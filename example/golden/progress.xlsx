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zanoo\Desktop\Progress_Studio_Output\example_20260728_231537\"/>
    </mc:Choice>
  </mc:AlternateContent>
  <xr:revisionPtr revIDLastSave="0" documentId="13_ncr:1_{4BD90620-6F66-4DD0-AB4C-ED5AFE5DEAF0}" xr6:coauthVersionLast="47" xr6:coauthVersionMax="47" xr10:uidLastSave="{00000000-0000-0000-0000-000000000000}"/>
  <bookViews>
    <workbookView xWindow="615" yWindow="135" windowWidth="25410" windowHeight="14820" xr2:uid="{00000000-000D-0000-FFFF-FFFF00000000}"/>
  </bookViews>
  <sheets>
    <sheet name="main" sheetId="1" r:id="rId1"/>
    <sheet name="Info" sheetId="2" r:id="rId2"/>
    <sheet name="Timescale Info" sheetId="3" r:id="rId3"/>
    <sheet name="Amount Mapping" sheetId="4" r:id="rId4"/>
    <sheet name="Distribution Report" sheetId="5" r:id="rId5"/>
    <sheet name="progress" sheetId="6" r:id="rId6"/>
    <sheet name="progress_table" sheetId="7" r:id="rId7"/>
  </sheets>
  <definedNames>
    <definedName name="_xlnm._FilterDatabase" localSheetId="3" hidden="1">'Amount Mapping'!$A$1:$E$256</definedName>
    <definedName name="_xlnm._FilterDatabase" localSheetId="4" hidden="1">'Distribution Report'!$A$7:$I$179</definedName>
    <definedName name="_xlnm._FilterDatabase" localSheetId="0" hidden="1">main!$A$4:$CO$514</definedName>
    <definedName name="_xlnm._FilterDatabase" localSheetId="5" hidden="1">progress!$A$1:$E$77</definedName>
    <definedName name="_xlnm._FilterDatabase" localSheetId="6" hidden="1">progress_table!$A$1:$CC$511</definedName>
    <definedName name="AccActual">main!$R$519:$CO$519</definedName>
    <definedName name="AccPlan">main!$R$517:$CO$517</definedName>
    <definedName name="ActualRange">main!$R$518:$CO$518</definedName>
    <definedName name="AmountRange">main!$O$5:$O$514</definedName>
    <definedName name="PlanRange">main!$R$516:$CO$516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C511" i="7" l="1"/>
  <c r="CB511" i="7"/>
  <c r="CA511" i="7"/>
  <c r="BZ511" i="7"/>
  <c r="BY511" i="7"/>
  <c r="BX511" i="7"/>
  <c r="BW511" i="7"/>
  <c r="BV511" i="7"/>
  <c r="BU511" i="7"/>
  <c r="BT511" i="7"/>
  <c r="BS511" i="7"/>
  <c r="BR511" i="7"/>
  <c r="BQ511" i="7"/>
  <c r="BP511" i="7"/>
  <c r="BO511" i="7"/>
  <c r="BN511" i="7"/>
  <c r="BM511" i="7"/>
  <c r="BL511" i="7"/>
  <c r="BK511" i="7"/>
  <c r="BJ511" i="7"/>
  <c r="BI511" i="7"/>
  <c r="BH511" i="7"/>
  <c r="BG511" i="7"/>
  <c r="BF511" i="7"/>
  <c r="BE511" i="7"/>
  <c r="BD511" i="7"/>
  <c r="BC511" i="7"/>
  <c r="BB511" i="7"/>
  <c r="BA511" i="7"/>
  <c r="AZ511" i="7"/>
  <c r="AY511" i="7"/>
  <c r="AX511" i="7"/>
  <c r="AW511" i="7"/>
  <c r="AV511" i="7"/>
  <c r="AU511" i="7"/>
  <c r="AT511" i="7"/>
  <c r="AS511" i="7"/>
  <c r="AR511" i="7"/>
  <c r="AQ511" i="7"/>
  <c r="AP511" i="7"/>
  <c r="AO511" i="7"/>
  <c r="AN511" i="7"/>
  <c r="AM511" i="7"/>
  <c r="AL511" i="7"/>
  <c r="AK511" i="7"/>
  <c r="AJ511" i="7"/>
  <c r="AI511" i="7"/>
  <c r="AH511" i="7"/>
  <c r="AG511" i="7"/>
  <c r="AF511" i="7"/>
  <c r="AE511" i="7"/>
  <c r="AD511" i="7"/>
  <c r="AC511" i="7"/>
  <c r="AB511" i="7"/>
  <c r="AA511" i="7"/>
  <c r="Z511" i="7"/>
  <c r="Y511" i="7"/>
  <c r="X511" i="7"/>
  <c r="W511" i="7"/>
  <c r="V511" i="7"/>
  <c r="U511" i="7"/>
  <c r="T511" i="7"/>
  <c r="S511" i="7"/>
  <c r="R511" i="7"/>
  <c r="Q511" i="7"/>
  <c r="P511" i="7"/>
  <c r="O511" i="7"/>
  <c r="N511" i="7"/>
  <c r="M511" i="7"/>
  <c r="L511" i="7"/>
  <c r="K511" i="7"/>
  <c r="J511" i="7"/>
  <c r="I511" i="7"/>
  <c r="H511" i="7"/>
  <c r="G511" i="7"/>
  <c r="F511" i="7"/>
  <c r="E511" i="7" s="1"/>
  <c r="C511" i="7"/>
  <c r="B511" i="7"/>
  <c r="CC510" i="7"/>
  <c r="CB510" i="7"/>
  <c r="CA510" i="7"/>
  <c r="BZ510" i="7"/>
  <c r="BY510" i="7"/>
  <c r="BX510" i="7"/>
  <c r="BW510" i="7"/>
  <c r="BV510" i="7"/>
  <c r="BU510" i="7"/>
  <c r="BT510" i="7"/>
  <c r="BS510" i="7"/>
  <c r="BR510" i="7"/>
  <c r="BQ510" i="7"/>
  <c r="BP510" i="7"/>
  <c r="BO510" i="7"/>
  <c r="BN510" i="7"/>
  <c r="BM510" i="7"/>
  <c r="BL510" i="7"/>
  <c r="BK510" i="7"/>
  <c r="BJ510" i="7"/>
  <c r="BI510" i="7"/>
  <c r="BH510" i="7"/>
  <c r="BG510" i="7"/>
  <c r="BF510" i="7"/>
  <c r="BE510" i="7"/>
  <c r="BD510" i="7"/>
  <c r="BC510" i="7"/>
  <c r="BB510" i="7"/>
  <c r="BA510" i="7"/>
  <c r="AZ510" i="7"/>
  <c r="AY510" i="7"/>
  <c r="AX510" i="7"/>
  <c r="AW510" i="7"/>
  <c r="AV510" i="7"/>
  <c r="AU510" i="7"/>
  <c r="AT510" i="7"/>
  <c r="AS510" i="7"/>
  <c r="AR510" i="7"/>
  <c r="AQ510" i="7"/>
  <c r="AP510" i="7"/>
  <c r="AO510" i="7"/>
  <c r="AN510" i="7"/>
  <c r="AM510" i="7"/>
  <c r="AL510" i="7"/>
  <c r="AK510" i="7"/>
  <c r="AJ510" i="7"/>
  <c r="AI510" i="7"/>
  <c r="AH510" i="7"/>
  <c r="AG510" i="7"/>
  <c r="AF510" i="7"/>
  <c r="AE510" i="7"/>
  <c r="AD510" i="7"/>
  <c r="AC510" i="7"/>
  <c r="AB510" i="7"/>
  <c r="AA510" i="7"/>
  <c r="Z510" i="7"/>
  <c r="Y510" i="7"/>
  <c r="X510" i="7"/>
  <c r="W510" i="7"/>
  <c r="V510" i="7"/>
  <c r="U510" i="7"/>
  <c r="T510" i="7"/>
  <c r="S510" i="7"/>
  <c r="R510" i="7"/>
  <c r="Q510" i="7"/>
  <c r="P510" i="7"/>
  <c r="O510" i="7"/>
  <c r="N510" i="7"/>
  <c r="M510" i="7"/>
  <c r="L510" i="7"/>
  <c r="K510" i="7"/>
  <c r="J510" i="7"/>
  <c r="I510" i="7"/>
  <c r="H510" i="7"/>
  <c r="E510" i="7" s="1"/>
  <c r="G510" i="7"/>
  <c r="F510" i="7"/>
  <c r="C510" i="7"/>
  <c r="B510" i="7"/>
  <c r="CC509" i="7"/>
  <c r="CB509" i="7"/>
  <c r="CA509" i="7"/>
  <c r="BZ509" i="7"/>
  <c r="BY509" i="7"/>
  <c r="BX509" i="7"/>
  <c r="BW509" i="7"/>
  <c r="BV509" i="7"/>
  <c r="BU509" i="7"/>
  <c r="BT509" i="7"/>
  <c r="BS509" i="7"/>
  <c r="BR509" i="7"/>
  <c r="BQ509" i="7"/>
  <c r="BP509" i="7"/>
  <c r="BO509" i="7"/>
  <c r="BN509" i="7"/>
  <c r="BM509" i="7"/>
  <c r="BL509" i="7"/>
  <c r="BK509" i="7"/>
  <c r="BJ509" i="7"/>
  <c r="BI509" i="7"/>
  <c r="BH509" i="7"/>
  <c r="BG509" i="7"/>
  <c r="BF509" i="7"/>
  <c r="BE509" i="7"/>
  <c r="BD509" i="7"/>
  <c r="BC509" i="7"/>
  <c r="BB509" i="7"/>
  <c r="BA509" i="7"/>
  <c r="AZ509" i="7"/>
  <c r="AY509" i="7"/>
  <c r="AX509" i="7"/>
  <c r="AW509" i="7"/>
  <c r="AV509" i="7"/>
  <c r="AU509" i="7"/>
  <c r="AT509" i="7"/>
  <c r="AS509" i="7"/>
  <c r="AR509" i="7"/>
  <c r="AQ509" i="7"/>
  <c r="AP509" i="7"/>
  <c r="AO509" i="7"/>
  <c r="AN509" i="7"/>
  <c r="AM509" i="7"/>
  <c r="AL509" i="7"/>
  <c r="AK509" i="7"/>
  <c r="AJ509" i="7"/>
  <c r="AI509" i="7"/>
  <c r="AH509" i="7"/>
  <c r="AG509" i="7"/>
  <c r="AF509" i="7"/>
  <c r="AE509" i="7"/>
  <c r="AD509" i="7"/>
  <c r="AC509" i="7"/>
  <c r="AB509" i="7"/>
  <c r="AA509" i="7"/>
  <c r="Z509" i="7"/>
  <c r="Y509" i="7"/>
  <c r="X509" i="7"/>
  <c r="W509" i="7"/>
  <c r="V509" i="7"/>
  <c r="U509" i="7"/>
  <c r="T509" i="7"/>
  <c r="S509" i="7"/>
  <c r="R509" i="7"/>
  <c r="Q509" i="7"/>
  <c r="P509" i="7"/>
  <c r="O509" i="7"/>
  <c r="N509" i="7"/>
  <c r="M509" i="7"/>
  <c r="L509" i="7"/>
  <c r="K509" i="7"/>
  <c r="J509" i="7"/>
  <c r="I509" i="7"/>
  <c r="H509" i="7"/>
  <c r="G509" i="7"/>
  <c r="F509" i="7"/>
  <c r="C509" i="7"/>
  <c r="B509" i="7"/>
  <c r="CC508" i="7"/>
  <c r="CB508" i="7"/>
  <c r="CA508" i="7"/>
  <c r="BZ508" i="7"/>
  <c r="BY508" i="7"/>
  <c r="BX508" i="7"/>
  <c r="BW508" i="7"/>
  <c r="BV508" i="7"/>
  <c r="BU508" i="7"/>
  <c r="BT508" i="7"/>
  <c r="BS508" i="7"/>
  <c r="BR508" i="7"/>
  <c r="BQ508" i="7"/>
  <c r="BP508" i="7"/>
  <c r="BO508" i="7"/>
  <c r="BN508" i="7"/>
  <c r="BM508" i="7"/>
  <c r="BL508" i="7"/>
  <c r="BK508" i="7"/>
  <c r="BJ508" i="7"/>
  <c r="BI508" i="7"/>
  <c r="BH508" i="7"/>
  <c r="BG508" i="7"/>
  <c r="BF508" i="7"/>
  <c r="BE508" i="7"/>
  <c r="BD508" i="7"/>
  <c r="BC508" i="7"/>
  <c r="BB508" i="7"/>
  <c r="BA508" i="7"/>
  <c r="AZ508" i="7"/>
  <c r="AY508" i="7"/>
  <c r="AX508" i="7"/>
  <c r="AW508" i="7"/>
  <c r="AV508" i="7"/>
  <c r="AU508" i="7"/>
  <c r="AT508" i="7"/>
  <c r="AS508" i="7"/>
  <c r="AR508" i="7"/>
  <c r="AQ508" i="7"/>
  <c r="AP508" i="7"/>
  <c r="AO508" i="7"/>
  <c r="AN508" i="7"/>
  <c r="AM508" i="7"/>
  <c r="AL508" i="7"/>
  <c r="AK508" i="7"/>
  <c r="AJ508" i="7"/>
  <c r="AI508" i="7"/>
  <c r="AH508" i="7"/>
  <c r="AG508" i="7"/>
  <c r="AF508" i="7"/>
  <c r="AE508" i="7"/>
  <c r="AD508" i="7"/>
  <c r="AC508" i="7"/>
  <c r="AB508" i="7"/>
  <c r="AA508" i="7"/>
  <c r="Z508" i="7"/>
  <c r="Y508" i="7"/>
  <c r="X508" i="7"/>
  <c r="W508" i="7"/>
  <c r="V508" i="7"/>
  <c r="U508" i="7"/>
  <c r="T508" i="7"/>
  <c r="S508" i="7"/>
  <c r="R508" i="7"/>
  <c r="Q508" i="7"/>
  <c r="P508" i="7"/>
  <c r="O508" i="7"/>
  <c r="N508" i="7"/>
  <c r="M508" i="7"/>
  <c r="L508" i="7"/>
  <c r="K508" i="7"/>
  <c r="J508" i="7"/>
  <c r="I508" i="7"/>
  <c r="H508" i="7"/>
  <c r="G508" i="7"/>
  <c r="F508" i="7"/>
  <c r="C508" i="7"/>
  <c r="B508" i="7"/>
  <c r="B507" i="7"/>
  <c r="B506" i="7"/>
  <c r="CC505" i="7"/>
  <c r="CB505" i="7"/>
  <c r="CA505" i="7"/>
  <c r="BZ505" i="7"/>
  <c r="BY505" i="7"/>
  <c r="BX505" i="7"/>
  <c r="BW505" i="7"/>
  <c r="BV505" i="7"/>
  <c r="BU505" i="7"/>
  <c r="BT505" i="7"/>
  <c r="BS505" i="7"/>
  <c r="BR505" i="7"/>
  <c r="BQ505" i="7"/>
  <c r="BP505" i="7"/>
  <c r="BO505" i="7"/>
  <c r="BN505" i="7"/>
  <c r="BM505" i="7"/>
  <c r="BL505" i="7"/>
  <c r="BK505" i="7"/>
  <c r="BJ505" i="7"/>
  <c r="BI505" i="7"/>
  <c r="BH505" i="7"/>
  <c r="BG505" i="7"/>
  <c r="BF505" i="7"/>
  <c r="BE505" i="7"/>
  <c r="BD505" i="7"/>
  <c r="BC505" i="7"/>
  <c r="BB505" i="7"/>
  <c r="BA505" i="7"/>
  <c r="AZ505" i="7"/>
  <c r="AY505" i="7"/>
  <c r="AX505" i="7"/>
  <c r="AW505" i="7"/>
  <c r="AV505" i="7"/>
  <c r="AU505" i="7"/>
  <c r="AT505" i="7"/>
  <c r="AS505" i="7"/>
  <c r="AR505" i="7"/>
  <c r="AQ505" i="7"/>
  <c r="AP505" i="7"/>
  <c r="AO505" i="7"/>
  <c r="AN505" i="7"/>
  <c r="AM505" i="7"/>
  <c r="AL505" i="7"/>
  <c r="AK505" i="7"/>
  <c r="AJ505" i="7"/>
  <c r="AI505" i="7"/>
  <c r="AH505" i="7"/>
  <c r="AG505" i="7"/>
  <c r="AF505" i="7"/>
  <c r="AE505" i="7"/>
  <c r="AD505" i="7"/>
  <c r="AC505" i="7"/>
  <c r="AB505" i="7"/>
  <c r="AA505" i="7"/>
  <c r="Z505" i="7"/>
  <c r="Y505" i="7"/>
  <c r="X505" i="7"/>
  <c r="W505" i="7"/>
  <c r="V505" i="7"/>
  <c r="U505" i="7"/>
  <c r="T505" i="7"/>
  <c r="S505" i="7"/>
  <c r="R505" i="7"/>
  <c r="Q505" i="7"/>
  <c r="P505" i="7"/>
  <c r="O505" i="7"/>
  <c r="N505" i="7"/>
  <c r="M505" i="7"/>
  <c r="L505" i="7"/>
  <c r="K505" i="7"/>
  <c r="J505" i="7"/>
  <c r="I505" i="7"/>
  <c r="H505" i="7"/>
  <c r="G505" i="7"/>
  <c r="F505" i="7"/>
  <c r="C505" i="7"/>
  <c r="B505" i="7"/>
  <c r="CC504" i="7"/>
  <c r="CB504" i="7"/>
  <c r="CA504" i="7"/>
  <c r="BZ504" i="7"/>
  <c r="BY504" i="7"/>
  <c r="BX504" i="7"/>
  <c r="BW504" i="7"/>
  <c r="BV504" i="7"/>
  <c r="BU504" i="7"/>
  <c r="BT504" i="7"/>
  <c r="BS504" i="7"/>
  <c r="BR504" i="7"/>
  <c r="BQ504" i="7"/>
  <c r="BP504" i="7"/>
  <c r="BO504" i="7"/>
  <c r="BN504" i="7"/>
  <c r="BM504" i="7"/>
  <c r="BL504" i="7"/>
  <c r="BK504" i="7"/>
  <c r="BJ504" i="7"/>
  <c r="BI504" i="7"/>
  <c r="BH504" i="7"/>
  <c r="BG504" i="7"/>
  <c r="BF504" i="7"/>
  <c r="BE504" i="7"/>
  <c r="BD504" i="7"/>
  <c r="BC504" i="7"/>
  <c r="BB504" i="7"/>
  <c r="BA504" i="7"/>
  <c r="AZ504" i="7"/>
  <c r="AY504" i="7"/>
  <c r="AX504" i="7"/>
  <c r="AW504" i="7"/>
  <c r="AV504" i="7"/>
  <c r="AU504" i="7"/>
  <c r="AT504" i="7"/>
  <c r="AS504" i="7"/>
  <c r="AR504" i="7"/>
  <c r="AQ504" i="7"/>
  <c r="AP504" i="7"/>
  <c r="AO504" i="7"/>
  <c r="AN504" i="7"/>
  <c r="AM504" i="7"/>
  <c r="AL504" i="7"/>
  <c r="AK504" i="7"/>
  <c r="AJ504" i="7"/>
  <c r="AI504" i="7"/>
  <c r="AH504" i="7"/>
  <c r="AG504" i="7"/>
  <c r="AF504" i="7"/>
  <c r="AE504" i="7"/>
  <c r="AD504" i="7"/>
  <c r="AC504" i="7"/>
  <c r="AB504" i="7"/>
  <c r="AA504" i="7"/>
  <c r="Z504" i="7"/>
  <c r="Y504" i="7"/>
  <c r="X504" i="7"/>
  <c r="W504" i="7"/>
  <c r="V504" i="7"/>
  <c r="U504" i="7"/>
  <c r="T504" i="7"/>
  <c r="S504" i="7"/>
  <c r="R504" i="7"/>
  <c r="Q504" i="7"/>
  <c r="P504" i="7"/>
  <c r="O504" i="7"/>
  <c r="N504" i="7"/>
  <c r="M504" i="7"/>
  <c r="L504" i="7"/>
  <c r="K504" i="7"/>
  <c r="J504" i="7"/>
  <c r="I504" i="7"/>
  <c r="H504" i="7"/>
  <c r="G504" i="7"/>
  <c r="F504" i="7"/>
  <c r="C504" i="7"/>
  <c r="B504" i="7"/>
  <c r="CC503" i="7"/>
  <c r="CB503" i="7"/>
  <c r="CA503" i="7"/>
  <c r="BZ503" i="7"/>
  <c r="BY503" i="7"/>
  <c r="BX503" i="7"/>
  <c r="BW503" i="7"/>
  <c r="BV503" i="7"/>
  <c r="BU503" i="7"/>
  <c r="BT503" i="7"/>
  <c r="BS503" i="7"/>
  <c r="BR503" i="7"/>
  <c r="BQ503" i="7"/>
  <c r="BP503" i="7"/>
  <c r="BO503" i="7"/>
  <c r="BN503" i="7"/>
  <c r="BM503" i="7"/>
  <c r="BL503" i="7"/>
  <c r="BK503" i="7"/>
  <c r="BJ503" i="7"/>
  <c r="BI503" i="7"/>
  <c r="BH503" i="7"/>
  <c r="BG503" i="7"/>
  <c r="BF503" i="7"/>
  <c r="BE503" i="7"/>
  <c r="BD503" i="7"/>
  <c r="BC503" i="7"/>
  <c r="BB503" i="7"/>
  <c r="BA503" i="7"/>
  <c r="AZ503" i="7"/>
  <c r="AY503" i="7"/>
  <c r="AX503" i="7"/>
  <c r="AW503" i="7"/>
  <c r="AV503" i="7"/>
  <c r="AU503" i="7"/>
  <c r="AT503" i="7"/>
  <c r="AS503" i="7"/>
  <c r="AR503" i="7"/>
  <c r="AQ503" i="7"/>
  <c r="AP503" i="7"/>
  <c r="AO503" i="7"/>
  <c r="AN503" i="7"/>
  <c r="AM503" i="7"/>
  <c r="AL503" i="7"/>
  <c r="AK503" i="7"/>
  <c r="AJ503" i="7"/>
  <c r="AI503" i="7"/>
  <c r="AH503" i="7"/>
  <c r="AG503" i="7"/>
  <c r="AF503" i="7"/>
  <c r="AE503" i="7"/>
  <c r="AD503" i="7"/>
  <c r="AC503" i="7"/>
  <c r="AB503" i="7"/>
  <c r="AA503" i="7"/>
  <c r="Z503" i="7"/>
  <c r="Y503" i="7"/>
  <c r="X503" i="7"/>
  <c r="W503" i="7"/>
  <c r="V503" i="7"/>
  <c r="U503" i="7"/>
  <c r="T503" i="7"/>
  <c r="S503" i="7"/>
  <c r="R503" i="7"/>
  <c r="Q503" i="7"/>
  <c r="P503" i="7"/>
  <c r="O503" i="7"/>
  <c r="N503" i="7"/>
  <c r="M503" i="7"/>
  <c r="L503" i="7"/>
  <c r="K503" i="7"/>
  <c r="J503" i="7"/>
  <c r="I503" i="7"/>
  <c r="H503" i="7"/>
  <c r="G503" i="7"/>
  <c r="F503" i="7"/>
  <c r="C503" i="7"/>
  <c r="B503" i="7"/>
  <c r="CC502" i="7"/>
  <c r="CB502" i="7"/>
  <c r="CA502" i="7"/>
  <c r="BZ502" i="7"/>
  <c r="BY502" i="7"/>
  <c r="BX502" i="7"/>
  <c r="BW502" i="7"/>
  <c r="BV502" i="7"/>
  <c r="BU502" i="7"/>
  <c r="BT502" i="7"/>
  <c r="BS502" i="7"/>
  <c r="BR502" i="7"/>
  <c r="BQ502" i="7"/>
  <c r="BP502" i="7"/>
  <c r="BO502" i="7"/>
  <c r="BN502" i="7"/>
  <c r="BM502" i="7"/>
  <c r="BL502" i="7"/>
  <c r="BK502" i="7"/>
  <c r="BJ502" i="7"/>
  <c r="BI502" i="7"/>
  <c r="BH502" i="7"/>
  <c r="BG502" i="7"/>
  <c r="BF502" i="7"/>
  <c r="BE502" i="7"/>
  <c r="BD502" i="7"/>
  <c r="BC502" i="7"/>
  <c r="BB502" i="7"/>
  <c r="BA502" i="7"/>
  <c r="AZ502" i="7"/>
  <c r="AY502" i="7"/>
  <c r="AX502" i="7"/>
  <c r="AW502" i="7"/>
  <c r="AV502" i="7"/>
  <c r="AU502" i="7"/>
  <c r="AT502" i="7"/>
  <c r="AS502" i="7"/>
  <c r="AR502" i="7"/>
  <c r="AQ502" i="7"/>
  <c r="AP502" i="7"/>
  <c r="AO502" i="7"/>
  <c r="AN502" i="7"/>
  <c r="AM502" i="7"/>
  <c r="AL502" i="7"/>
  <c r="AK502" i="7"/>
  <c r="AJ502" i="7"/>
  <c r="AI502" i="7"/>
  <c r="AH502" i="7"/>
  <c r="AG502" i="7"/>
  <c r="AF502" i="7"/>
  <c r="AE502" i="7"/>
  <c r="AD502" i="7"/>
  <c r="AC502" i="7"/>
  <c r="AB502" i="7"/>
  <c r="AA502" i="7"/>
  <c r="Z502" i="7"/>
  <c r="Y502" i="7"/>
  <c r="X502" i="7"/>
  <c r="W502" i="7"/>
  <c r="V502" i="7"/>
  <c r="U502" i="7"/>
  <c r="T502" i="7"/>
  <c r="S502" i="7"/>
  <c r="R502" i="7"/>
  <c r="Q502" i="7"/>
  <c r="P502" i="7"/>
  <c r="O502" i="7"/>
  <c r="N502" i="7"/>
  <c r="M502" i="7"/>
  <c r="L502" i="7"/>
  <c r="K502" i="7"/>
  <c r="J502" i="7"/>
  <c r="I502" i="7"/>
  <c r="H502" i="7"/>
  <c r="G502" i="7"/>
  <c r="F502" i="7"/>
  <c r="E502" i="7" s="1"/>
  <c r="C502" i="7"/>
  <c r="B502" i="7"/>
  <c r="CC501" i="7"/>
  <c r="CB501" i="7"/>
  <c r="CA501" i="7"/>
  <c r="BZ501" i="7"/>
  <c r="BY501" i="7"/>
  <c r="BX501" i="7"/>
  <c r="BW501" i="7"/>
  <c r="BV501" i="7"/>
  <c r="BU501" i="7"/>
  <c r="BT501" i="7"/>
  <c r="BS501" i="7"/>
  <c r="BR501" i="7"/>
  <c r="BQ501" i="7"/>
  <c r="BP501" i="7"/>
  <c r="BO501" i="7"/>
  <c r="BN501" i="7"/>
  <c r="BM501" i="7"/>
  <c r="BL501" i="7"/>
  <c r="BK501" i="7"/>
  <c r="BJ501" i="7"/>
  <c r="BI501" i="7"/>
  <c r="BH501" i="7"/>
  <c r="BG501" i="7"/>
  <c r="BF501" i="7"/>
  <c r="BE501" i="7"/>
  <c r="BD501" i="7"/>
  <c r="BC501" i="7"/>
  <c r="BB501" i="7"/>
  <c r="BA501" i="7"/>
  <c r="AZ501" i="7"/>
  <c r="AY501" i="7"/>
  <c r="AX501" i="7"/>
  <c r="AW501" i="7"/>
  <c r="AV501" i="7"/>
  <c r="AU501" i="7"/>
  <c r="AT501" i="7"/>
  <c r="AS501" i="7"/>
  <c r="AR501" i="7"/>
  <c r="AQ501" i="7"/>
  <c r="AP501" i="7"/>
  <c r="AO501" i="7"/>
  <c r="AN501" i="7"/>
  <c r="AM501" i="7"/>
  <c r="AL501" i="7"/>
  <c r="AK501" i="7"/>
  <c r="AJ501" i="7"/>
  <c r="AI501" i="7"/>
  <c r="AH501" i="7"/>
  <c r="AG501" i="7"/>
  <c r="AF501" i="7"/>
  <c r="AE501" i="7"/>
  <c r="AD501" i="7"/>
  <c r="AC501" i="7"/>
  <c r="AB501" i="7"/>
  <c r="AA501" i="7"/>
  <c r="Z501" i="7"/>
  <c r="Y501" i="7"/>
  <c r="X501" i="7"/>
  <c r="W501" i="7"/>
  <c r="V501" i="7"/>
  <c r="U501" i="7"/>
  <c r="T501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G501" i="7"/>
  <c r="F501" i="7"/>
  <c r="C501" i="7"/>
  <c r="B501" i="7"/>
  <c r="CC500" i="7"/>
  <c r="CB500" i="7"/>
  <c r="CA500" i="7"/>
  <c r="BZ500" i="7"/>
  <c r="BY500" i="7"/>
  <c r="BX500" i="7"/>
  <c r="BW500" i="7"/>
  <c r="BV500" i="7"/>
  <c r="BU500" i="7"/>
  <c r="BT500" i="7"/>
  <c r="BS500" i="7"/>
  <c r="BR500" i="7"/>
  <c r="BQ500" i="7"/>
  <c r="BP500" i="7"/>
  <c r="BO500" i="7"/>
  <c r="BN500" i="7"/>
  <c r="BM500" i="7"/>
  <c r="BL500" i="7"/>
  <c r="BK500" i="7"/>
  <c r="BJ500" i="7"/>
  <c r="BI500" i="7"/>
  <c r="BH500" i="7"/>
  <c r="BG500" i="7"/>
  <c r="BF500" i="7"/>
  <c r="BE500" i="7"/>
  <c r="BD500" i="7"/>
  <c r="BC500" i="7"/>
  <c r="BB500" i="7"/>
  <c r="BA500" i="7"/>
  <c r="AZ500" i="7"/>
  <c r="AY500" i="7"/>
  <c r="AX500" i="7"/>
  <c r="AW500" i="7"/>
  <c r="AV500" i="7"/>
  <c r="AU500" i="7"/>
  <c r="AT500" i="7"/>
  <c r="AS500" i="7"/>
  <c r="AR500" i="7"/>
  <c r="AQ500" i="7"/>
  <c r="AP500" i="7"/>
  <c r="AO500" i="7"/>
  <c r="AN500" i="7"/>
  <c r="AM500" i="7"/>
  <c r="AL500" i="7"/>
  <c r="AK500" i="7"/>
  <c r="AJ500" i="7"/>
  <c r="AI500" i="7"/>
  <c r="AH500" i="7"/>
  <c r="AG500" i="7"/>
  <c r="AF500" i="7"/>
  <c r="AE500" i="7"/>
  <c r="AD500" i="7"/>
  <c r="AC500" i="7"/>
  <c r="AB500" i="7"/>
  <c r="AA500" i="7"/>
  <c r="Z500" i="7"/>
  <c r="Y500" i="7"/>
  <c r="X500" i="7"/>
  <c r="W500" i="7"/>
  <c r="V500" i="7"/>
  <c r="U500" i="7"/>
  <c r="T500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G500" i="7"/>
  <c r="F500" i="7"/>
  <c r="C500" i="7"/>
  <c r="B500" i="7"/>
  <c r="CC499" i="7"/>
  <c r="CB499" i="7"/>
  <c r="CA499" i="7"/>
  <c r="BZ499" i="7"/>
  <c r="BY499" i="7"/>
  <c r="BX499" i="7"/>
  <c r="BW499" i="7"/>
  <c r="BV499" i="7"/>
  <c r="BU499" i="7"/>
  <c r="BT499" i="7"/>
  <c r="BS499" i="7"/>
  <c r="BR499" i="7"/>
  <c r="BQ499" i="7"/>
  <c r="BP499" i="7"/>
  <c r="BO499" i="7"/>
  <c r="BN499" i="7"/>
  <c r="BM499" i="7"/>
  <c r="BL499" i="7"/>
  <c r="BK499" i="7"/>
  <c r="BJ499" i="7"/>
  <c r="BI499" i="7"/>
  <c r="BH499" i="7"/>
  <c r="BG499" i="7"/>
  <c r="BF499" i="7"/>
  <c r="BE499" i="7"/>
  <c r="BD499" i="7"/>
  <c r="BC499" i="7"/>
  <c r="BB499" i="7"/>
  <c r="BA499" i="7"/>
  <c r="AZ499" i="7"/>
  <c r="AY499" i="7"/>
  <c r="AX499" i="7"/>
  <c r="AW499" i="7"/>
  <c r="AV499" i="7"/>
  <c r="AU499" i="7"/>
  <c r="AT499" i="7"/>
  <c r="AS499" i="7"/>
  <c r="AR499" i="7"/>
  <c r="AQ499" i="7"/>
  <c r="AP499" i="7"/>
  <c r="AO499" i="7"/>
  <c r="AN499" i="7"/>
  <c r="AM499" i="7"/>
  <c r="AL499" i="7"/>
  <c r="AK499" i="7"/>
  <c r="AJ499" i="7"/>
  <c r="AI499" i="7"/>
  <c r="AH499" i="7"/>
  <c r="AG499" i="7"/>
  <c r="AF499" i="7"/>
  <c r="AE499" i="7"/>
  <c r="AD499" i="7"/>
  <c r="AC499" i="7"/>
  <c r="AB499" i="7"/>
  <c r="AA499" i="7"/>
  <c r="Z499" i="7"/>
  <c r="Y499" i="7"/>
  <c r="X499" i="7"/>
  <c r="W499" i="7"/>
  <c r="V499" i="7"/>
  <c r="U499" i="7"/>
  <c r="T499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G499" i="7"/>
  <c r="F499" i="7"/>
  <c r="E499" i="7" s="1"/>
  <c r="C499" i="7"/>
  <c r="B499" i="7"/>
  <c r="CC498" i="7"/>
  <c r="CB498" i="7"/>
  <c r="CA498" i="7"/>
  <c r="BZ498" i="7"/>
  <c r="BY498" i="7"/>
  <c r="BX498" i="7"/>
  <c r="BW498" i="7"/>
  <c r="BV498" i="7"/>
  <c r="BU498" i="7"/>
  <c r="BT498" i="7"/>
  <c r="BS498" i="7"/>
  <c r="BR498" i="7"/>
  <c r="BQ498" i="7"/>
  <c r="BP498" i="7"/>
  <c r="BO498" i="7"/>
  <c r="BN498" i="7"/>
  <c r="BM498" i="7"/>
  <c r="BL498" i="7"/>
  <c r="BK498" i="7"/>
  <c r="BJ498" i="7"/>
  <c r="BI498" i="7"/>
  <c r="BH498" i="7"/>
  <c r="BG498" i="7"/>
  <c r="BF498" i="7"/>
  <c r="BE498" i="7"/>
  <c r="BD498" i="7"/>
  <c r="BC498" i="7"/>
  <c r="BB498" i="7"/>
  <c r="BA498" i="7"/>
  <c r="AZ498" i="7"/>
  <c r="AY498" i="7"/>
  <c r="AX498" i="7"/>
  <c r="AW498" i="7"/>
  <c r="AV498" i="7"/>
  <c r="AU498" i="7"/>
  <c r="AT498" i="7"/>
  <c r="AS498" i="7"/>
  <c r="AR498" i="7"/>
  <c r="AQ498" i="7"/>
  <c r="AP498" i="7"/>
  <c r="AO498" i="7"/>
  <c r="AN498" i="7"/>
  <c r="AM498" i="7"/>
  <c r="AL498" i="7"/>
  <c r="AK498" i="7"/>
  <c r="AJ498" i="7"/>
  <c r="AI498" i="7"/>
  <c r="AH498" i="7"/>
  <c r="AG498" i="7"/>
  <c r="AF498" i="7"/>
  <c r="AE498" i="7"/>
  <c r="AD498" i="7"/>
  <c r="AC498" i="7"/>
  <c r="AB498" i="7"/>
  <c r="AA498" i="7"/>
  <c r="Z498" i="7"/>
  <c r="Y498" i="7"/>
  <c r="X498" i="7"/>
  <c r="W498" i="7"/>
  <c r="V498" i="7"/>
  <c r="U498" i="7"/>
  <c r="T498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G498" i="7"/>
  <c r="F498" i="7"/>
  <c r="E498" i="7" s="1"/>
  <c r="C498" i="7"/>
  <c r="B498" i="7"/>
  <c r="B497" i="7"/>
  <c r="B496" i="7"/>
  <c r="CC495" i="7"/>
  <c r="CB495" i="7"/>
  <c r="CA495" i="7"/>
  <c r="BZ495" i="7"/>
  <c r="BY495" i="7"/>
  <c r="BX495" i="7"/>
  <c r="BW495" i="7"/>
  <c r="BV495" i="7"/>
  <c r="BU495" i="7"/>
  <c r="BT495" i="7"/>
  <c r="BS495" i="7"/>
  <c r="BR495" i="7"/>
  <c r="BQ495" i="7"/>
  <c r="BP495" i="7"/>
  <c r="BO495" i="7"/>
  <c r="BN495" i="7"/>
  <c r="BM495" i="7"/>
  <c r="BL495" i="7"/>
  <c r="BK495" i="7"/>
  <c r="BJ495" i="7"/>
  <c r="BI495" i="7"/>
  <c r="BH495" i="7"/>
  <c r="BG495" i="7"/>
  <c r="BF495" i="7"/>
  <c r="BE495" i="7"/>
  <c r="BD495" i="7"/>
  <c r="BC495" i="7"/>
  <c r="BB495" i="7"/>
  <c r="BA495" i="7"/>
  <c r="AZ495" i="7"/>
  <c r="AY495" i="7"/>
  <c r="AX495" i="7"/>
  <c r="AW495" i="7"/>
  <c r="AV495" i="7"/>
  <c r="AU495" i="7"/>
  <c r="AT495" i="7"/>
  <c r="AS495" i="7"/>
  <c r="AR495" i="7"/>
  <c r="AQ495" i="7"/>
  <c r="AP495" i="7"/>
  <c r="AO495" i="7"/>
  <c r="AN495" i="7"/>
  <c r="AM495" i="7"/>
  <c r="AL495" i="7"/>
  <c r="AK495" i="7"/>
  <c r="AJ495" i="7"/>
  <c r="AI495" i="7"/>
  <c r="AH495" i="7"/>
  <c r="AG495" i="7"/>
  <c r="AF495" i="7"/>
  <c r="AE495" i="7"/>
  <c r="AD495" i="7"/>
  <c r="AC495" i="7"/>
  <c r="AB495" i="7"/>
  <c r="AA495" i="7"/>
  <c r="Z495" i="7"/>
  <c r="Y495" i="7"/>
  <c r="X495" i="7"/>
  <c r="W495" i="7"/>
  <c r="V495" i="7"/>
  <c r="U495" i="7"/>
  <c r="T495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G495" i="7"/>
  <c r="F495" i="7"/>
  <c r="C495" i="7"/>
  <c r="B495" i="7"/>
  <c r="CC494" i="7"/>
  <c r="CB494" i="7"/>
  <c r="CA494" i="7"/>
  <c r="BZ494" i="7"/>
  <c r="BY494" i="7"/>
  <c r="BX494" i="7"/>
  <c r="BW494" i="7"/>
  <c r="BV494" i="7"/>
  <c r="BU494" i="7"/>
  <c r="BT494" i="7"/>
  <c r="BS494" i="7"/>
  <c r="BR494" i="7"/>
  <c r="BQ494" i="7"/>
  <c r="BP494" i="7"/>
  <c r="BO494" i="7"/>
  <c r="BN494" i="7"/>
  <c r="BM494" i="7"/>
  <c r="BL494" i="7"/>
  <c r="BK494" i="7"/>
  <c r="BJ494" i="7"/>
  <c r="BI494" i="7"/>
  <c r="BH494" i="7"/>
  <c r="BG494" i="7"/>
  <c r="BF494" i="7"/>
  <c r="BE494" i="7"/>
  <c r="BD494" i="7"/>
  <c r="BC494" i="7"/>
  <c r="BB494" i="7"/>
  <c r="BA494" i="7"/>
  <c r="AZ494" i="7"/>
  <c r="AY494" i="7"/>
  <c r="AX494" i="7"/>
  <c r="AW494" i="7"/>
  <c r="AV494" i="7"/>
  <c r="AU494" i="7"/>
  <c r="AT494" i="7"/>
  <c r="AS494" i="7"/>
  <c r="AR494" i="7"/>
  <c r="AQ494" i="7"/>
  <c r="AP494" i="7"/>
  <c r="AO494" i="7"/>
  <c r="AN494" i="7"/>
  <c r="AM494" i="7"/>
  <c r="AL494" i="7"/>
  <c r="AK494" i="7"/>
  <c r="AJ494" i="7"/>
  <c r="AI494" i="7"/>
  <c r="AH494" i="7"/>
  <c r="AG494" i="7"/>
  <c r="AF494" i="7"/>
  <c r="AE494" i="7"/>
  <c r="AD494" i="7"/>
  <c r="AC494" i="7"/>
  <c r="AB494" i="7"/>
  <c r="AA494" i="7"/>
  <c r="Z494" i="7"/>
  <c r="Y494" i="7"/>
  <c r="X494" i="7"/>
  <c r="W494" i="7"/>
  <c r="V494" i="7"/>
  <c r="U494" i="7"/>
  <c r="T494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G494" i="7"/>
  <c r="F494" i="7"/>
  <c r="E494" i="7" s="1"/>
  <c r="C494" i="7"/>
  <c r="B494" i="7"/>
  <c r="CC493" i="7"/>
  <c r="CB493" i="7"/>
  <c r="CA493" i="7"/>
  <c r="BZ493" i="7"/>
  <c r="BY493" i="7"/>
  <c r="BX493" i="7"/>
  <c r="BW493" i="7"/>
  <c r="BV493" i="7"/>
  <c r="BU493" i="7"/>
  <c r="BT493" i="7"/>
  <c r="BS493" i="7"/>
  <c r="BR493" i="7"/>
  <c r="BQ493" i="7"/>
  <c r="BP493" i="7"/>
  <c r="BO493" i="7"/>
  <c r="BN493" i="7"/>
  <c r="BM493" i="7"/>
  <c r="BL493" i="7"/>
  <c r="BK493" i="7"/>
  <c r="BJ493" i="7"/>
  <c r="BI493" i="7"/>
  <c r="BH493" i="7"/>
  <c r="BG493" i="7"/>
  <c r="BF493" i="7"/>
  <c r="BE493" i="7"/>
  <c r="BD493" i="7"/>
  <c r="BC493" i="7"/>
  <c r="BB493" i="7"/>
  <c r="BA493" i="7"/>
  <c r="AZ493" i="7"/>
  <c r="AY493" i="7"/>
  <c r="AX493" i="7"/>
  <c r="AW493" i="7"/>
  <c r="AV493" i="7"/>
  <c r="AU493" i="7"/>
  <c r="AT493" i="7"/>
  <c r="AS493" i="7"/>
  <c r="AR493" i="7"/>
  <c r="AQ493" i="7"/>
  <c r="AP493" i="7"/>
  <c r="AO493" i="7"/>
  <c r="AN493" i="7"/>
  <c r="AM493" i="7"/>
  <c r="AL493" i="7"/>
  <c r="AK493" i="7"/>
  <c r="AJ493" i="7"/>
  <c r="AI493" i="7"/>
  <c r="AH493" i="7"/>
  <c r="AG493" i="7"/>
  <c r="AF493" i="7"/>
  <c r="AE493" i="7"/>
  <c r="AD493" i="7"/>
  <c r="AC493" i="7"/>
  <c r="AB493" i="7"/>
  <c r="AA493" i="7"/>
  <c r="Z493" i="7"/>
  <c r="Y493" i="7"/>
  <c r="X493" i="7"/>
  <c r="W493" i="7"/>
  <c r="V493" i="7"/>
  <c r="U493" i="7"/>
  <c r="T493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G493" i="7"/>
  <c r="F493" i="7"/>
  <c r="C493" i="7"/>
  <c r="B493" i="7"/>
  <c r="CC492" i="7"/>
  <c r="CB492" i="7"/>
  <c r="CA492" i="7"/>
  <c r="BZ492" i="7"/>
  <c r="BY492" i="7"/>
  <c r="BX492" i="7"/>
  <c r="BW492" i="7"/>
  <c r="BV492" i="7"/>
  <c r="BU492" i="7"/>
  <c r="BT492" i="7"/>
  <c r="BS492" i="7"/>
  <c r="BR492" i="7"/>
  <c r="BQ492" i="7"/>
  <c r="BP492" i="7"/>
  <c r="BO492" i="7"/>
  <c r="BN492" i="7"/>
  <c r="BM492" i="7"/>
  <c r="BL492" i="7"/>
  <c r="BK492" i="7"/>
  <c r="BJ492" i="7"/>
  <c r="BI492" i="7"/>
  <c r="BH492" i="7"/>
  <c r="BG492" i="7"/>
  <c r="BF492" i="7"/>
  <c r="BE492" i="7"/>
  <c r="BD492" i="7"/>
  <c r="BC492" i="7"/>
  <c r="BB492" i="7"/>
  <c r="BA492" i="7"/>
  <c r="AZ492" i="7"/>
  <c r="AY492" i="7"/>
  <c r="AX492" i="7"/>
  <c r="AW492" i="7"/>
  <c r="AV492" i="7"/>
  <c r="AU492" i="7"/>
  <c r="AT492" i="7"/>
  <c r="AS492" i="7"/>
  <c r="AR492" i="7"/>
  <c r="AQ492" i="7"/>
  <c r="AP492" i="7"/>
  <c r="AO492" i="7"/>
  <c r="AN492" i="7"/>
  <c r="AM492" i="7"/>
  <c r="AL492" i="7"/>
  <c r="AK492" i="7"/>
  <c r="AJ492" i="7"/>
  <c r="AI492" i="7"/>
  <c r="AH492" i="7"/>
  <c r="AG492" i="7"/>
  <c r="AF492" i="7"/>
  <c r="AE492" i="7"/>
  <c r="AD492" i="7"/>
  <c r="AC492" i="7"/>
  <c r="AB492" i="7"/>
  <c r="AA492" i="7"/>
  <c r="Z492" i="7"/>
  <c r="Y492" i="7"/>
  <c r="X492" i="7"/>
  <c r="W492" i="7"/>
  <c r="V492" i="7"/>
  <c r="U492" i="7"/>
  <c r="T492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G492" i="7"/>
  <c r="F492" i="7"/>
  <c r="C492" i="7"/>
  <c r="B492" i="7"/>
  <c r="CC491" i="7"/>
  <c r="CB491" i="7"/>
  <c r="CA491" i="7"/>
  <c r="BZ491" i="7"/>
  <c r="BY491" i="7"/>
  <c r="BX491" i="7"/>
  <c r="BW491" i="7"/>
  <c r="BV491" i="7"/>
  <c r="BU491" i="7"/>
  <c r="BT491" i="7"/>
  <c r="BS491" i="7"/>
  <c r="BR491" i="7"/>
  <c r="BQ491" i="7"/>
  <c r="BP491" i="7"/>
  <c r="BO491" i="7"/>
  <c r="BN491" i="7"/>
  <c r="BM491" i="7"/>
  <c r="BL491" i="7"/>
  <c r="BK491" i="7"/>
  <c r="BJ491" i="7"/>
  <c r="BI491" i="7"/>
  <c r="BH491" i="7"/>
  <c r="BG491" i="7"/>
  <c r="BF491" i="7"/>
  <c r="BE491" i="7"/>
  <c r="BD491" i="7"/>
  <c r="BC491" i="7"/>
  <c r="BB491" i="7"/>
  <c r="BA491" i="7"/>
  <c r="AZ491" i="7"/>
  <c r="AY491" i="7"/>
  <c r="AX491" i="7"/>
  <c r="AW491" i="7"/>
  <c r="AV491" i="7"/>
  <c r="AU491" i="7"/>
  <c r="AT491" i="7"/>
  <c r="AS491" i="7"/>
  <c r="AR491" i="7"/>
  <c r="AQ491" i="7"/>
  <c r="AP491" i="7"/>
  <c r="AO491" i="7"/>
  <c r="AN491" i="7"/>
  <c r="AM491" i="7"/>
  <c r="AL491" i="7"/>
  <c r="AK491" i="7"/>
  <c r="AJ491" i="7"/>
  <c r="AI491" i="7"/>
  <c r="AH491" i="7"/>
  <c r="AG491" i="7"/>
  <c r="AF491" i="7"/>
  <c r="AE491" i="7"/>
  <c r="AD491" i="7"/>
  <c r="AC491" i="7"/>
  <c r="AB491" i="7"/>
  <c r="AA491" i="7"/>
  <c r="Z491" i="7"/>
  <c r="Y491" i="7"/>
  <c r="X491" i="7"/>
  <c r="W491" i="7"/>
  <c r="V491" i="7"/>
  <c r="U491" i="7"/>
  <c r="T491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G491" i="7"/>
  <c r="F491" i="7"/>
  <c r="E491" i="7" s="1"/>
  <c r="C491" i="7"/>
  <c r="B491" i="7"/>
  <c r="CC490" i="7"/>
  <c r="CB490" i="7"/>
  <c r="CA490" i="7"/>
  <c r="BZ490" i="7"/>
  <c r="BY490" i="7"/>
  <c r="BX490" i="7"/>
  <c r="BW490" i="7"/>
  <c r="BV490" i="7"/>
  <c r="BU490" i="7"/>
  <c r="BT490" i="7"/>
  <c r="BS490" i="7"/>
  <c r="BR490" i="7"/>
  <c r="BQ490" i="7"/>
  <c r="BP490" i="7"/>
  <c r="BO490" i="7"/>
  <c r="BN490" i="7"/>
  <c r="BM490" i="7"/>
  <c r="BL490" i="7"/>
  <c r="BK490" i="7"/>
  <c r="BJ490" i="7"/>
  <c r="BI490" i="7"/>
  <c r="BH490" i="7"/>
  <c r="BG490" i="7"/>
  <c r="BF490" i="7"/>
  <c r="BE490" i="7"/>
  <c r="BD490" i="7"/>
  <c r="BC490" i="7"/>
  <c r="BB490" i="7"/>
  <c r="BA490" i="7"/>
  <c r="AZ490" i="7"/>
  <c r="AY490" i="7"/>
  <c r="AX490" i="7"/>
  <c r="AW490" i="7"/>
  <c r="AV490" i="7"/>
  <c r="AU490" i="7"/>
  <c r="AT490" i="7"/>
  <c r="AS490" i="7"/>
  <c r="AR490" i="7"/>
  <c r="AQ490" i="7"/>
  <c r="AP490" i="7"/>
  <c r="AO490" i="7"/>
  <c r="AN490" i="7"/>
  <c r="AM490" i="7"/>
  <c r="AL490" i="7"/>
  <c r="AK490" i="7"/>
  <c r="AJ490" i="7"/>
  <c r="AI490" i="7"/>
  <c r="AH490" i="7"/>
  <c r="AG490" i="7"/>
  <c r="AF490" i="7"/>
  <c r="AE490" i="7"/>
  <c r="AD490" i="7"/>
  <c r="AC490" i="7"/>
  <c r="AB490" i="7"/>
  <c r="AA490" i="7"/>
  <c r="Z490" i="7"/>
  <c r="Y490" i="7"/>
  <c r="X490" i="7"/>
  <c r="W490" i="7"/>
  <c r="V490" i="7"/>
  <c r="U490" i="7"/>
  <c r="T490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G490" i="7"/>
  <c r="F490" i="7"/>
  <c r="C490" i="7"/>
  <c r="B490" i="7"/>
  <c r="CC489" i="7"/>
  <c r="CB489" i="7"/>
  <c r="CA489" i="7"/>
  <c r="BZ489" i="7"/>
  <c r="BY489" i="7"/>
  <c r="BX489" i="7"/>
  <c r="BW489" i="7"/>
  <c r="BV489" i="7"/>
  <c r="BU489" i="7"/>
  <c r="BT489" i="7"/>
  <c r="BS489" i="7"/>
  <c r="BR489" i="7"/>
  <c r="BQ489" i="7"/>
  <c r="BP489" i="7"/>
  <c r="BO489" i="7"/>
  <c r="BN489" i="7"/>
  <c r="BM489" i="7"/>
  <c r="BL489" i="7"/>
  <c r="BK489" i="7"/>
  <c r="BJ489" i="7"/>
  <c r="BI489" i="7"/>
  <c r="BH489" i="7"/>
  <c r="BG489" i="7"/>
  <c r="BF489" i="7"/>
  <c r="BE489" i="7"/>
  <c r="BD489" i="7"/>
  <c r="BC489" i="7"/>
  <c r="BB489" i="7"/>
  <c r="BA489" i="7"/>
  <c r="AZ489" i="7"/>
  <c r="AY489" i="7"/>
  <c r="AX489" i="7"/>
  <c r="AW489" i="7"/>
  <c r="AV489" i="7"/>
  <c r="AU489" i="7"/>
  <c r="AT489" i="7"/>
  <c r="AS489" i="7"/>
  <c r="AR489" i="7"/>
  <c r="AQ489" i="7"/>
  <c r="AP489" i="7"/>
  <c r="AO489" i="7"/>
  <c r="AN489" i="7"/>
  <c r="AM489" i="7"/>
  <c r="AL489" i="7"/>
  <c r="AK489" i="7"/>
  <c r="AJ489" i="7"/>
  <c r="AI489" i="7"/>
  <c r="AH489" i="7"/>
  <c r="AG489" i="7"/>
  <c r="AF489" i="7"/>
  <c r="AE489" i="7"/>
  <c r="AD489" i="7"/>
  <c r="AC489" i="7"/>
  <c r="AB489" i="7"/>
  <c r="AA489" i="7"/>
  <c r="Z489" i="7"/>
  <c r="Y489" i="7"/>
  <c r="X489" i="7"/>
  <c r="W489" i="7"/>
  <c r="V489" i="7"/>
  <c r="U489" i="7"/>
  <c r="T489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G489" i="7"/>
  <c r="E489" i="7" s="1"/>
  <c r="F489" i="7"/>
  <c r="C489" i="7"/>
  <c r="B489" i="7"/>
  <c r="CC488" i="7"/>
  <c r="CB488" i="7"/>
  <c r="CA488" i="7"/>
  <c r="BZ488" i="7"/>
  <c r="BY488" i="7"/>
  <c r="BX488" i="7"/>
  <c r="BW488" i="7"/>
  <c r="BV488" i="7"/>
  <c r="BU488" i="7"/>
  <c r="BT488" i="7"/>
  <c r="BS488" i="7"/>
  <c r="BR488" i="7"/>
  <c r="BQ488" i="7"/>
  <c r="BP488" i="7"/>
  <c r="BO488" i="7"/>
  <c r="BN488" i="7"/>
  <c r="BM488" i="7"/>
  <c r="BL488" i="7"/>
  <c r="BK488" i="7"/>
  <c r="BJ488" i="7"/>
  <c r="BI488" i="7"/>
  <c r="BH488" i="7"/>
  <c r="BG488" i="7"/>
  <c r="BF488" i="7"/>
  <c r="BE488" i="7"/>
  <c r="BD488" i="7"/>
  <c r="BC488" i="7"/>
  <c r="BB488" i="7"/>
  <c r="BA488" i="7"/>
  <c r="AZ488" i="7"/>
  <c r="AY488" i="7"/>
  <c r="AX488" i="7"/>
  <c r="AW488" i="7"/>
  <c r="AV488" i="7"/>
  <c r="AU488" i="7"/>
  <c r="AT488" i="7"/>
  <c r="AS488" i="7"/>
  <c r="AR488" i="7"/>
  <c r="AQ488" i="7"/>
  <c r="AP488" i="7"/>
  <c r="AO488" i="7"/>
  <c r="AN488" i="7"/>
  <c r="AM488" i="7"/>
  <c r="AL488" i="7"/>
  <c r="AK488" i="7"/>
  <c r="AJ488" i="7"/>
  <c r="AI488" i="7"/>
  <c r="AH488" i="7"/>
  <c r="AG488" i="7"/>
  <c r="AF488" i="7"/>
  <c r="AE488" i="7"/>
  <c r="AD488" i="7"/>
  <c r="AC488" i="7"/>
  <c r="AB488" i="7"/>
  <c r="AA488" i="7"/>
  <c r="Z488" i="7"/>
  <c r="Y488" i="7"/>
  <c r="X488" i="7"/>
  <c r="W488" i="7"/>
  <c r="V488" i="7"/>
  <c r="U488" i="7"/>
  <c r="T488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G488" i="7"/>
  <c r="F488" i="7"/>
  <c r="C488" i="7"/>
  <c r="B488" i="7"/>
  <c r="B487" i="7"/>
  <c r="B486" i="7"/>
  <c r="B485" i="7"/>
  <c r="B484" i="7"/>
  <c r="CC483" i="7"/>
  <c r="CB483" i="7"/>
  <c r="CA483" i="7"/>
  <c r="BZ483" i="7"/>
  <c r="BY483" i="7"/>
  <c r="BX483" i="7"/>
  <c r="BW483" i="7"/>
  <c r="BV483" i="7"/>
  <c r="BU483" i="7"/>
  <c r="BT483" i="7"/>
  <c r="BS483" i="7"/>
  <c r="BR483" i="7"/>
  <c r="BQ483" i="7"/>
  <c r="BP483" i="7"/>
  <c r="BO483" i="7"/>
  <c r="BN483" i="7"/>
  <c r="BM483" i="7"/>
  <c r="BL483" i="7"/>
  <c r="BK483" i="7"/>
  <c r="BJ483" i="7"/>
  <c r="BI483" i="7"/>
  <c r="BH483" i="7"/>
  <c r="BG483" i="7"/>
  <c r="BF483" i="7"/>
  <c r="BE483" i="7"/>
  <c r="BD483" i="7"/>
  <c r="BC483" i="7"/>
  <c r="BB483" i="7"/>
  <c r="BA483" i="7"/>
  <c r="AZ483" i="7"/>
  <c r="AY483" i="7"/>
  <c r="AX483" i="7"/>
  <c r="AW483" i="7"/>
  <c r="AV483" i="7"/>
  <c r="AU483" i="7"/>
  <c r="AT483" i="7"/>
  <c r="AS483" i="7"/>
  <c r="AR483" i="7"/>
  <c r="AQ483" i="7"/>
  <c r="AP483" i="7"/>
  <c r="AO483" i="7"/>
  <c r="AN483" i="7"/>
  <c r="AM483" i="7"/>
  <c r="AL483" i="7"/>
  <c r="AK483" i="7"/>
  <c r="AJ483" i="7"/>
  <c r="AI483" i="7"/>
  <c r="AH483" i="7"/>
  <c r="AG483" i="7"/>
  <c r="AF483" i="7"/>
  <c r="AE483" i="7"/>
  <c r="AD483" i="7"/>
  <c r="AC483" i="7"/>
  <c r="AB483" i="7"/>
  <c r="AA483" i="7"/>
  <c r="Z483" i="7"/>
  <c r="Y483" i="7"/>
  <c r="X483" i="7"/>
  <c r="W483" i="7"/>
  <c r="V483" i="7"/>
  <c r="U483" i="7"/>
  <c r="T483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G483" i="7"/>
  <c r="E483" i="7" s="1"/>
  <c r="F483" i="7"/>
  <c r="C483" i="7"/>
  <c r="B483" i="7"/>
  <c r="CC482" i="7"/>
  <c r="CB482" i="7"/>
  <c r="CA482" i="7"/>
  <c r="BZ482" i="7"/>
  <c r="BY482" i="7"/>
  <c r="BX482" i="7"/>
  <c r="BW482" i="7"/>
  <c r="BV482" i="7"/>
  <c r="BU482" i="7"/>
  <c r="BT482" i="7"/>
  <c r="BS482" i="7"/>
  <c r="BR482" i="7"/>
  <c r="BQ482" i="7"/>
  <c r="BP482" i="7"/>
  <c r="BO482" i="7"/>
  <c r="BN482" i="7"/>
  <c r="BM482" i="7"/>
  <c r="BL482" i="7"/>
  <c r="BK482" i="7"/>
  <c r="BJ482" i="7"/>
  <c r="BI482" i="7"/>
  <c r="BH482" i="7"/>
  <c r="BG482" i="7"/>
  <c r="BF482" i="7"/>
  <c r="BE482" i="7"/>
  <c r="BD482" i="7"/>
  <c r="BC482" i="7"/>
  <c r="BB482" i="7"/>
  <c r="BA482" i="7"/>
  <c r="AZ482" i="7"/>
  <c r="AY482" i="7"/>
  <c r="AX482" i="7"/>
  <c r="AW482" i="7"/>
  <c r="AV482" i="7"/>
  <c r="AU482" i="7"/>
  <c r="AT482" i="7"/>
  <c r="AS482" i="7"/>
  <c r="AR482" i="7"/>
  <c r="AQ482" i="7"/>
  <c r="AP482" i="7"/>
  <c r="AO482" i="7"/>
  <c r="AN482" i="7"/>
  <c r="AM482" i="7"/>
  <c r="AL482" i="7"/>
  <c r="AK482" i="7"/>
  <c r="AJ482" i="7"/>
  <c r="AI482" i="7"/>
  <c r="AH482" i="7"/>
  <c r="AG482" i="7"/>
  <c r="AF482" i="7"/>
  <c r="AE482" i="7"/>
  <c r="AD482" i="7"/>
  <c r="AC482" i="7"/>
  <c r="AB482" i="7"/>
  <c r="AA482" i="7"/>
  <c r="Z482" i="7"/>
  <c r="Y482" i="7"/>
  <c r="X482" i="7"/>
  <c r="W482" i="7"/>
  <c r="V482" i="7"/>
  <c r="U482" i="7"/>
  <c r="T482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G482" i="7"/>
  <c r="F482" i="7"/>
  <c r="C482" i="7"/>
  <c r="B482" i="7"/>
  <c r="CC481" i="7"/>
  <c r="CB481" i="7"/>
  <c r="CA481" i="7"/>
  <c r="BZ481" i="7"/>
  <c r="BY481" i="7"/>
  <c r="BX481" i="7"/>
  <c r="BW481" i="7"/>
  <c r="BV481" i="7"/>
  <c r="BU481" i="7"/>
  <c r="BT481" i="7"/>
  <c r="BS481" i="7"/>
  <c r="BR481" i="7"/>
  <c r="BQ481" i="7"/>
  <c r="BP481" i="7"/>
  <c r="BO481" i="7"/>
  <c r="BN481" i="7"/>
  <c r="BM481" i="7"/>
  <c r="BL481" i="7"/>
  <c r="BK481" i="7"/>
  <c r="BJ481" i="7"/>
  <c r="BI481" i="7"/>
  <c r="BH481" i="7"/>
  <c r="BG481" i="7"/>
  <c r="BF481" i="7"/>
  <c r="BE481" i="7"/>
  <c r="BD481" i="7"/>
  <c r="BC481" i="7"/>
  <c r="BB481" i="7"/>
  <c r="BA481" i="7"/>
  <c r="AZ481" i="7"/>
  <c r="AY481" i="7"/>
  <c r="AX481" i="7"/>
  <c r="AW481" i="7"/>
  <c r="AV481" i="7"/>
  <c r="AU481" i="7"/>
  <c r="AT481" i="7"/>
  <c r="AS481" i="7"/>
  <c r="AR481" i="7"/>
  <c r="AQ481" i="7"/>
  <c r="AP481" i="7"/>
  <c r="AO481" i="7"/>
  <c r="AN481" i="7"/>
  <c r="AM481" i="7"/>
  <c r="AL481" i="7"/>
  <c r="AK481" i="7"/>
  <c r="AJ481" i="7"/>
  <c r="AI481" i="7"/>
  <c r="AH481" i="7"/>
  <c r="AG481" i="7"/>
  <c r="AF481" i="7"/>
  <c r="AE481" i="7"/>
  <c r="AD481" i="7"/>
  <c r="AC481" i="7"/>
  <c r="AB481" i="7"/>
  <c r="AA481" i="7"/>
  <c r="Z481" i="7"/>
  <c r="Y481" i="7"/>
  <c r="X481" i="7"/>
  <c r="W481" i="7"/>
  <c r="V481" i="7"/>
  <c r="U481" i="7"/>
  <c r="T481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G481" i="7"/>
  <c r="F481" i="7"/>
  <c r="C481" i="7"/>
  <c r="B481" i="7"/>
  <c r="CC480" i="7"/>
  <c r="CB480" i="7"/>
  <c r="CA480" i="7"/>
  <c r="BZ480" i="7"/>
  <c r="BY480" i="7"/>
  <c r="BX480" i="7"/>
  <c r="BW480" i="7"/>
  <c r="BV480" i="7"/>
  <c r="BU480" i="7"/>
  <c r="BT480" i="7"/>
  <c r="BS480" i="7"/>
  <c r="BR480" i="7"/>
  <c r="BQ480" i="7"/>
  <c r="BP480" i="7"/>
  <c r="BO480" i="7"/>
  <c r="BN480" i="7"/>
  <c r="BM480" i="7"/>
  <c r="BL480" i="7"/>
  <c r="BK480" i="7"/>
  <c r="BJ480" i="7"/>
  <c r="BI480" i="7"/>
  <c r="BH480" i="7"/>
  <c r="BG480" i="7"/>
  <c r="BF480" i="7"/>
  <c r="BE480" i="7"/>
  <c r="BD480" i="7"/>
  <c r="BC480" i="7"/>
  <c r="BB480" i="7"/>
  <c r="BA480" i="7"/>
  <c r="AZ480" i="7"/>
  <c r="AY480" i="7"/>
  <c r="AX480" i="7"/>
  <c r="AW480" i="7"/>
  <c r="AV480" i="7"/>
  <c r="AU480" i="7"/>
  <c r="AT480" i="7"/>
  <c r="AS480" i="7"/>
  <c r="AR480" i="7"/>
  <c r="AQ480" i="7"/>
  <c r="AP480" i="7"/>
  <c r="AO480" i="7"/>
  <c r="AN480" i="7"/>
  <c r="AM480" i="7"/>
  <c r="AL480" i="7"/>
  <c r="AK480" i="7"/>
  <c r="AJ480" i="7"/>
  <c r="AI480" i="7"/>
  <c r="AH480" i="7"/>
  <c r="AG480" i="7"/>
  <c r="AF480" i="7"/>
  <c r="AE480" i="7"/>
  <c r="AD480" i="7"/>
  <c r="AC480" i="7"/>
  <c r="AB480" i="7"/>
  <c r="AA480" i="7"/>
  <c r="Z480" i="7"/>
  <c r="Y480" i="7"/>
  <c r="X480" i="7"/>
  <c r="W480" i="7"/>
  <c r="V480" i="7"/>
  <c r="U480" i="7"/>
  <c r="T480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C480" i="7"/>
  <c r="B480" i="7"/>
  <c r="CC479" i="7"/>
  <c r="CB479" i="7"/>
  <c r="CA479" i="7"/>
  <c r="BZ479" i="7"/>
  <c r="BY479" i="7"/>
  <c r="BX479" i="7"/>
  <c r="BW479" i="7"/>
  <c r="BV479" i="7"/>
  <c r="BU479" i="7"/>
  <c r="BT479" i="7"/>
  <c r="BS479" i="7"/>
  <c r="BR479" i="7"/>
  <c r="BQ479" i="7"/>
  <c r="BP479" i="7"/>
  <c r="BO479" i="7"/>
  <c r="BN479" i="7"/>
  <c r="BM479" i="7"/>
  <c r="BL479" i="7"/>
  <c r="BK479" i="7"/>
  <c r="BJ479" i="7"/>
  <c r="BI479" i="7"/>
  <c r="BH479" i="7"/>
  <c r="BG479" i="7"/>
  <c r="BF479" i="7"/>
  <c r="BE479" i="7"/>
  <c r="BD479" i="7"/>
  <c r="BC479" i="7"/>
  <c r="BB479" i="7"/>
  <c r="BA479" i="7"/>
  <c r="AZ479" i="7"/>
  <c r="AY479" i="7"/>
  <c r="AX479" i="7"/>
  <c r="AW479" i="7"/>
  <c r="AV479" i="7"/>
  <c r="AU479" i="7"/>
  <c r="AT479" i="7"/>
  <c r="AS479" i="7"/>
  <c r="AR479" i="7"/>
  <c r="AQ479" i="7"/>
  <c r="AP479" i="7"/>
  <c r="AO479" i="7"/>
  <c r="AN479" i="7"/>
  <c r="AM479" i="7"/>
  <c r="AL479" i="7"/>
  <c r="AK479" i="7"/>
  <c r="AJ479" i="7"/>
  <c r="AI479" i="7"/>
  <c r="AH479" i="7"/>
  <c r="AG479" i="7"/>
  <c r="AF479" i="7"/>
  <c r="AE479" i="7"/>
  <c r="AD479" i="7"/>
  <c r="AC479" i="7"/>
  <c r="AB479" i="7"/>
  <c r="AA479" i="7"/>
  <c r="Z479" i="7"/>
  <c r="Y479" i="7"/>
  <c r="X479" i="7"/>
  <c r="W479" i="7"/>
  <c r="V479" i="7"/>
  <c r="U479" i="7"/>
  <c r="T479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G479" i="7"/>
  <c r="F479" i="7"/>
  <c r="C479" i="7"/>
  <c r="B479" i="7"/>
  <c r="CC478" i="7"/>
  <c r="CB478" i="7"/>
  <c r="CA478" i="7"/>
  <c r="BZ478" i="7"/>
  <c r="BY478" i="7"/>
  <c r="BX478" i="7"/>
  <c r="BW478" i="7"/>
  <c r="BV478" i="7"/>
  <c r="BU478" i="7"/>
  <c r="BT478" i="7"/>
  <c r="BS478" i="7"/>
  <c r="BR478" i="7"/>
  <c r="BQ478" i="7"/>
  <c r="BP478" i="7"/>
  <c r="BO478" i="7"/>
  <c r="BN478" i="7"/>
  <c r="BM478" i="7"/>
  <c r="BL478" i="7"/>
  <c r="BK478" i="7"/>
  <c r="BJ478" i="7"/>
  <c r="BI478" i="7"/>
  <c r="BH478" i="7"/>
  <c r="BG478" i="7"/>
  <c r="BF478" i="7"/>
  <c r="BE478" i="7"/>
  <c r="BD478" i="7"/>
  <c r="BC478" i="7"/>
  <c r="BB478" i="7"/>
  <c r="BA478" i="7"/>
  <c r="AZ478" i="7"/>
  <c r="AY478" i="7"/>
  <c r="AX478" i="7"/>
  <c r="AW478" i="7"/>
  <c r="AV478" i="7"/>
  <c r="AU478" i="7"/>
  <c r="AT478" i="7"/>
  <c r="AS478" i="7"/>
  <c r="AR478" i="7"/>
  <c r="AQ478" i="7"/>
  <c r="AP478" i="7"/>
  <c r="AO478" i="7"/>
  <c r="AN478" i="7"/>
  <c r="AM478" i="7"/>
  <c r="AL478" i="7"/>
  <c r="AK478" i="7"/>
  <c r="AJ478" i="7"/>
  <c r="AI478" i="7"/>
  <c r="AH478" i="7"/>
  <c r="AG478" i="7"/>
  <c r="AF478" i="7"/>
  <c r="AE478" i="7"/>
  <c r="AD478" i="7"/>
  <c r="AC478" i="7"/>
  <c r="AB478" i="7"/>
  <c r="AA478" i="7"/>
  <c r="Z478" i="7"/>
  <c r="Y478" i="7"/>
  <c r="X478" i="7"/>
  <c r="W478" i="7"/>
  <c r="V478" i="7"/>
  <c r="U478" i="7"/>
  <c r="T478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G478" i="7"/>
  <c r="F478" i="7"/>
  <c r="E478" i="7" s="1"/>
  <c r="C478" i="7"/>
  <c r="B478" i="7"/>
  <c r="CC477" i="7"/>
  <c r="CB477" i="7"/>
  <c r="CA477" i="7"/>
  <c r="BZ477" i="7"/>
  <c r="BY477" i="7"/>
  <c r="BX477" i="7"/>
  <c r="BW477" i="7"/>
  <c r="BV477" i="7"/>
  <c r="BU477" i="7"/>
  <c r="BT477" i="7"/>
  <c r="BS477" i="7"/>
  <c r="BR477" i="7"/>
  <c r="BQ477" i="7"/>
  <c r="BP477" i="7"/>
  <c r="BO477" i="7"/>
  <c r="BN477" i="7"/>
  <c r="BM477" i="7"/>
  <c r="BL477" i="7"/>
  <c r="BK477" i="7"/>
  <c r="BJ477" i="7"/>
  <c r="BI477" i="7"/>
  <c r="BH477" i="7"/>
  <c r="BG477" i="7"/>
  <c r="BF477" i="7"/>
  <c r="BE477" i="7"/>
  <c r="BD477" i="7"/>
  <c r="BC477" i="7"/>
  <c r="BB477" i="7"/>
  <c r="BA477" i="7"/>
  <c r="AZ477" i="7"/>
  <c r="AY477" i="7"/>
  <c r="AX477" i="7"/>
  <c r="AW477" i="7"/>
  <c r="AV477" i="7"/>
  <c r="AU477" i="7"/>
  <c r="AT477" i="7"/>
  <c r="AS477" i="7"/>
  <c r="AR477" i="7"/>
  <c r="AQ477" i="7"/>
  <c r="AP477" i="7"/>
  <c r="AO477" i="7"/>
  <c r="AN477" i="7"/>
  <c r="AM477" i="7"/>
  <c r="AL477" i="7"/>
  <c r="AK477" i="7"/>
  <c r="AJ477" i="7"/>
  <c r="AI477" i="7"/>
  <c r="AH477" i="7"/>
  <c r="AG477" i="7"/>
  <c r="AF477" i="7"/>
  <c r="AE477" i="7"/>
  <c r="AD477" i="7"/>
  <c r="AC477" i="7"/>
  <c r="AB477" i="7"/>
  <c r="AA477" i="7"/>
  <c r="Z477" i="7"/>
  <c r="Y477" i="7"/>
  <c r="X477" i="7"/>
  <c r="W477" i="7"/>
  <c r="V477" i="7"/>
  <c r="U477" i="7"/>
  <c r="T477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G477" i="7"/>
  <c r="F477" i="7"/>
  <c r="C477" i="7"/>
  <c r="B477" i="7"/>
  <c r="CC476" i="7"/>
  <c r="CB476" i="7"/>
  <c r="CA476" i="7"/>
  <c r="BZ476" i="7"/>
  <c r="BY476" i="7"/>
  <c r="BX476" i="7"/>
  <c r="BW476" i="7"/>
  <c r="BV476" i="7"/>
  <c r="BU476" i="7"/>
  <c r="BT476" i="7"/>
  <c r="BS476" i="7"/>
  <c r="BR476" i="7"/>
  <c r="BQ476" i="7"/>
  <c r="BP476" i="7"/>
  <c r="BO476" i="7"/>
  <c r="BN476" i="7"/>
  <c r="BM476" i="7"/>
  <c r="BL476" i="7"/>
  <c r="BK476" i="7"/>
  <c r="BJ476" i="7"/>
  <c r="BI476" i="7"/>
  <c r="BH476" i="7"/>
  <c r="BG476" i="7"/>
  <c r="BF476" i="7"/>
  <c r="BE476" i="7"/>
  <c r="BD476" i="7"/>
  <c r="BC476" i="7"/>
  <c r="BB476" i="7"/>
  <c r="BA476" i="7"/>
  <c r="AZ476" i="7"/>
  <c r="AY476" i="7"/>
  <c r="AX476" i="7"/>
  <c r="AW476" i="7"/>
  <c r="AV476" i="7"/>
  <c r="AU476" i="7"/>
  <c r="AT476" i="7"/>
  <c r="AS476" i="7"/>
  <c r="AR476" i="7"/>
  <c r="AQ476" i="7"/>
  <c r="AP476" i="7"/>
  <c r="AO476" i="7"/>
  <c r="AN476" i="7"/>
  <c r="AM476" i="7"/>
  <c r="AL476" i="7"/>
  <c r="AK476" i="7"/>
  <c r="AJ476" i="7"/>
  <c r="AI476" i="7"/>
  <c r="AH476" i="7"/>
  <c r="AG476" i="7"/>
  <c r="AF476" i="7"/>
  <c r="AE476" i="7"/>
  <c r="AD476" i="7"/>
  <c r="AC476" i="7"/>
  <c r="AB476" i="7"/>
  <c r="AA476" i="7"/>
  <c r="Z476" i="7"/>
  <c r="Y476" i="7"/>
  <c r="X476" i="7"/>
  <c r="W476" i="7"/>
  <c r="V476" i="7"/>
  <c r="U476" i="7"/>
  <c r="T476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G476" i="7"/>
  <c r="F476" i="7"/>
  <c r="E476" i="7" s="1"/>
  <c r="C476" i="7"/>
  <c r="B476" i="7"/>
  <c r="B475" i="7"/>
  <c r="B474" i="7"/>
  <c r="CC473" i="7"/>
  <c r="CB473" i="7"/>
  <c r="CA473" i="7"/>
  <c r="BZ473" i="7"/>
  <c r="BY473" i="7"/>
  <c r="BX473" i="7"/>
  <c r="BW473" i="7"/>
  <c r="BV473" i="7"/>
  <c r="BU473" i="7"/>
  <c r="BT473" i="7"/>
  <c r="BS473" i="7"/>
  <c r="BR473" i="7"/>
  <c r="BQ473" i="7"/>
  <c r="BP473" i="7"/>
  <c r="BO473" i="7"/>
  <c r="BN473" i="7"/>
  <c r="BM473" i="7"/>
  <c r="BL473" i="7"/>
  <c r="BK473" i="7"/>
  <c r="BJ473" i="7"/>
  <c r="BI473" i="7"/>
  <c r="BH473" i="7"/>
  <c r="BG473" i="7"/>
  <c r="BF473" i="7"/>
  <c r="BE473" i="7"/>
  <c r="BD473" i="7"/>
  <c r="BC473" i="7"/>
  <c r="BB473" i="7"/>
  <c r="BA473" i="7"/>
  <c r="AZ473" i="7"/>
  <c r="AY473" i="7"/>
  <c r="AX473" i="7"/>
  <c r="AW473" i="7"/>
  <c r="AV473" i="7"/>
  <c r="AU473" i="7"/>
  <c r="AT473" i="7"/>
  <c r="AS473" i="7"/>
  <c r="AR473" i="7"/>
  <c r="AQ473" i="7"/>
  <c r="AP473" i="7"/>
  <c r="AO473" i="7"/>
  <c r="AN473" i="7"/>
  <c r="AM473" i="7"/>
  <c r="AL473" i="7"/>
  <c r="AK473" i="7"/>
  <c r="AJ473" i="7"/>
  <c r="AI473" i="7"/>
  <c r="AH473" i="7"/>
  <c r="AG473" i="7"/>
  <c r="AF473" i="7"/>
  <c r="AE473" i="7"/>
  <c r="AD473" i="7"/>
  <c r="AC473" i="7"/>
  <c r="AB473" i="7"/>
  <c r="AA473" i="7"/>
  <c r="Z473" i="7"/>
  <c r="Y473" i="7"/>
  <c r="X473" i="7"/>
  <c r="W473" i="7"/>
  <c r="V473" i="7"/>
  <c r="U473" i="7"/>
  <c r="T473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G473" i="7"/>
  <c r="E473" i="7" s="1"/>
  <c r="F473" i="7"/>
  <c r="C473" i="7"/>
  <c r="B473" i="7"/>
  <c r="CC472" i="7"/>
  <c r="CB472" i="7"/>
  <c r="CA472" i="7"/>
  <c r="BZ472" i="7"/>
  <c r="BY472" i="7"/>
  <c r="BX472" i="7"/>
  <c r="BW472" i="7"/>
  <c r="BV472" i="7"/>
  <c r="BU472" i="7"/>
  <c r="BT472" i="7"/>
  <c r="BS472" i="7"/>
  <c r="BR472" i="7"/>
  <c r="BQ472" i="7"/>
  <c r="BP472" i="7"/>
  <c r="BO472" i="7"/>
  <c r="BN472" i="7"/>
  <c r="BM472" i="7"/>
  <c r="BL472" i="7"/>
  <c r="BK472" i="7"/>
  <c r="BJ472" i="7"/>
  <c r="BI472" i="7"/>
  <c r="BH472" i="7"/>
  <c r="BG472" i="7"/>
  <c r="BF472" i="7"/>
  <c r="BE472" i="7"/>
  <c r="BD472" i="7"/>
  <c r="BC472" i="7"/>
  <c r="BB472" i="7"/>
  <c r="BA472" i="7"/>
  <c r="AZ472" i="7"/>
  <c r="AY472" i="7"/>
  <c r="AX472" i="7"/>
  <c r="AW472" i="7"/>
  <c r="AV472" i="7"/>
  <c r="AU472" i="7"/>
  <c r="AT472" i="7"/>
  <c r="AS472" i="7"/>
  <c r="AR472" i="7"/>
  <c r="AQ472" i="7"/>
  <c r="AP472" i="7"/>
  <c r="AO472" i="7"/>
  <c r="AN472" i="7"/>
  <c r="AM472" i="7"/>
  <c r="AL472" i="7"/>
  <c r="AK472" i="7"/>
  <c r="AJ472" i="7"/>
  <c r="AI472" i="7"/>
  <c r="AH472" i="7"/>
  <c r="AG472" i="7"/>
  <c r="AF472" i="7"/>
  <c r="AE472" i="7"/>
  <c r="AD472" i="7"/>
  <c r="AC472" i="7"/>
  <c r="AB472" i="7"/>
  <c r="AA472" i="7"/>
  <c r="Z472" i="7"/>
  <c r="Y472" i="7"/>
  <c r="X472" i="7"/>
  <c r="W472" i="7"/>
  <c r="V472" i="7"/>
  <c r="U472" i="7"/>
  <c r="T472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G472" i="7"/>
  <c r="F472" i="7"/>
  <c r="C472" i="7"/>
  <c r="B472" i="7"/>
  <c r="B471" i="7"/>
  <c r="B470" i="7"/>
  <c r="CC469" i="7"/>
  <c r="CB469" i="7"/>
  <c r="CA469" i="7"/>
  <c r="BZ469" i="7"/>
  <c r="BY469" i="7"/>
  <c r="BX469" i="7"/>
  <c r="BW469" i="7"/>
  <c r="BV469" i="7"/>
  <c r="BU469" i="7"/>
  <c r="BT469" i="7"/>
  <c r="BS469" i="7"/>
  <c r="BR469" i="7"/>
  <c r="BQ469" i="7"/>
  <c r="BP469" i="7"/>
  <c r="BO469" i="7"/>
  <c r="BN469" i="7"/>
  <c r="BM469" i="7"/>
  <c r="BL469" i="7"/>
  <c r="BK469" i="7"/>
  <c r="BJ469" i="7"/>
  <c r="BI469" i="7"/>
  <c r="BH469" i="7"/>
  <c r="BG469" i="7"/>
  <c r="BF469" i="7"/>
  <c r="BE469" i="7"/>
  <c r="BD469" i="7"/>
  <c r="BC469" i="7"/>
  <c r="BB469" i="7"/>
  <c r="BA469" i="7"/>
  <c r="AZ469" i="7"/>
  <c r="AY469" i="7"/>
  <c r="AX469" i="7"/>
  <c r="AW469" i="7"/>
  <c r="AV469" i="7"/>
  <c r="AU469" i="7"/>
  <c r="AT469" i="7"/>
  <c r="AS469" i="7"/>
  <c r="AR469" i="7"/>
  <c r="AQ469" i="7"/>
  <c r="AP469" i="7"/>
  <c r="AO469" i="7"/>
  <c r="AN469" i="7"/>
  <c r="AM469" i="7"/>
  <c r="AL469" i="7"/>
  <c r="AK469" i="7"/>
  <c r="AJ469" i="7"/>
  <c r="AI469" i="7"/>
  <c r="AH469" i="7"/>
  <c r="AG469" i="7"/>
  <c r="AF469" i="7"/>
  <c r="AE469" i="7"/>
  <c r="AD469" i="7"/>
  <c r="AC469" i="7"/>
  <c r="AB469" i="7"/>
  <c r="AA469" i="7"/>
  <c r="Z469" i="7"/>
  <c r="Y469" i="7"/>
  <c r="X469" i="7"/>
  <c r="W469" i="7"/>
  <c r="V469" i="7"/>
  <c r="U469" i="7"/>
  <c r="T469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G469" i="7"/>
  <c r="F469" i="7"/>
  <c r="C469" i="7"/>
  <c r="B469" i="7"/>
  <c r="CC468" i="7"/>
  <c r="CB468" i="7"/>
  <c r="CA468" i="7"/>
  <c r="BZ468" i="7"/>
  <c r="BY468" i="7"/>
  <c r="BX468" i="7"/>
  <c r="BW468" i="7"/>
  <c r="BV468" i="7"/>
  <c r="BU468" i="7"/>
  <c r="BT468" i="7"/>
  <c r="BS468" i="7"/>
  <c r="BR468" i="7"/>
  <c r="BQ468" i="7"/>
  <c r="BP468" i="7"/>
  <c r="BO468" i="7"/>
  <c r="BN468" i="7"/>
  <c r="BM468" i="7"/>
  <c r="BL468" i="7"/>
  <c r="BK468" i="7"/>
  <c r="BJ468" i="7"/>
  <c r="BI468" i="7"/>
  <c r="BH468" i="7"/>
  <c r="BG468" i="7"/>
  <c r="BF468" i="7"/>
  <c r="BE468" i="7"/>
  <c r="BD468" i="7"/>
  <c r="BC468" i="7"/>
  <c r="BB468" i="7"/>
  <c r="BA468" i="7"/>
  <c r="AZ468" i="7"/>
  <c r="AY468" i="7"/>
  <c r="AX468" i="7"/>
  <c r="AW468" i="7"/>
  <c r="AV468" i="7"/>
  <c r="AU468" i="7"/>
  <c r="AT468" i="7"/>
  <c r="AS468" i="7"/>
  <c r="AR468" i="7"/>
  <c r="AQ468" i="7"/>
  <c r="AP468" i="7"/>
  <c r="AO468" i="7"/>
  <c r="AN468" i="7"/>
  <c r="AM468" i="7"/>
  <c r="AL468" i="7"/>
  <c r="AK468" i="7"/>
  <c r="AJ468" i="7"/>
  <c r="AI468" i="7"/>
  <c r="AH468" i="7"/>
  <c r="AG468" i="7"/>
  <c r="AF468" i="7"/>
  <c r="AE468" i="7"/>
  <c r="AD468" i="7"/>
  <c r="AC468" i="7"/>
  <c r="AB468" i="7"/>
  <c r="AA468" i="7"/>
  <c r="Z468" i="7"/>
  <c r="Y468" i="7"/>
  <c r="X468" i="7"/>
  <c r="W468" i="7"/>
  <c r="V468" i="7"/>
  <c r="U468" i="7"/>
  <c r="T468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G468" i="7"/>
  <c r="F468" i="7"/>
  <c r="C468" i="7"/>
  <c r="B468" i="7"/>
  <c r="B467" i="7"/>
  <c r="B466" i="7"/>
  <c r="CC465" i="7"/>
  <c r="CB465" i="7"/>
  <c r="CA465" i="7"/>
  <c r="BZ465" i="7"/>
  <c r="BY465" i="7"/>
  <c r="BX465" i="7"/>
  <c r="BW465" i="7"/>
  <c r="BV465" i="7"/>
  <c r="BU465" i="7"/>
  <c r="BT465" i="7"/>
  <c r="BS465" i="7"/>
  <c r="BR465" i="7"/>
  <c r="BQ465" i="7"/>
  <c r="BP465" i="7"/>
  <c r="BO465" i="7"/>
  <c r="BN465" i="7"/>
  <c r="BM465" i="7"/>
  <c r="BL465" i="7"/>
  <c r="BK465" i="7"/>
  <c r="BJ465" i="7"/>
  <c r="BI465" i="7"/>
  <c r="BH465" i="7"/>
  <c r="BG465" i="7"/>
  <c r="BF465" i="7"/>
  <c r="BE465" i="7"/>
  <c r="BD465" i="7"/>
  <c r="BC465" i="7"/>
  <c r="BB465" i="7"/>
  <c r="BA465" i="7"/>
  <c r="AZ465" i="7"/>
  <c r="AY465" i="7"/>
  <c r="AX465" i="7"/>
  <c r="AW465" i="7"/>
  <c r="AV465" i="7"/>
  <c r="AU465" i="7"/>
  <c r="AT465" i="7"/>
  <c r="AS465" i="7"/>
  <c r="AR465" i="7"/>
  <c r="AQ465" i="7"/>
  <c r="AP465" i="7"/>
  <c r="AO465" i="7"/>
  <c r="AN465" i="7"/>
  <c r="AM465" i="7"/>
  <c r="AL465" i="7"/>
  <c r="AK465" i="7"/>
  <c r="AJ465" i="7"/>
  <c r="AI465" i="7"/>
  <c r="AH465" i="7"/>
  <c r="AG465" i="7"/>
  <c r="AF465" i="7"/>
  <c r="AE465" i="7"/>
  <c r="AD465" i="7"/>
  <c r="AC465" i="7"/>
  <c r="AB465" i="7"/>
  <c r="AA465" i="7"/>
  <c r="Z465" i="7"/>
  <c r="Y465" i="7"/>
  <c r="X465" i="7"/>
  <c r="W465" i="7"/>
  <c r="V465" i="7"/>
  <c r="U465" i="7"/>
  <c r="T465" i="7"/>
  <c r="S465" i="7"/>
  <c r="R465" i="7"/>
  <c r="Q465" i="7"/>
  <c r="P465" i="7"/>
  <c r="O465" i="7"/>
  <c r="N465" i="7"/>
  <c r="M465" i="7"/>
  <c r="L465" i="7"/>
  <c r="K465" i="7"/>
  <c r="J465" i="7"/>
  <c r="I465" i="7"/>
  <c r="H465" i="7"/>
  <c r="G465" i="7"/>
  <c r="F465" i="7"/>
  <c r="C465" i="7"/>
  <c r="B465" i="7"/>
  <c r="CC464" i="7"/>
  <c r="CB464" i="7"/>
  <c r="CA464" i="7"/>
  <c r="BZ464" i="7"/>
  <c r="BY464" i="7"/>
  <c r="BX464" i="7"/>
  <c r="BW464" i="7"/>
  <c r="BV464" i="7"/>
  <c r="BU464" i="7"/>
  <c r="BT464" i="7"/>
  <c r="BS464" i="7"/>
  <c r="BR464" i="7"/>
  <c r="BQ464" i="7"/>
  <c r="BP464" i="7"/>
  <c r="BO464" i="7"/>
  <c r="BN464" i="7"/>
  <c r="BM464" i="7"/>
  <c r="BL464" i="7"/>
  <c r="BK464" i="7"/>
  <c r="BJ464" i="7"/>
  <c r="BI464" i="7"/>
  <c r="BH464" i="7"/>
  <c r="BG464" i="7"/>
  <c r="BF464" i="7"/>
  <c r="BE464" i="7"/>
  <c r="BD464" i="7"/>
  <c r="BC464" i="7"/>
  <c r="BB464" i="7"/>
  <c r="BA464" i="7"/>
  <c r="AZ464" i="7"/>
  <c r="AY464" i="7"/>
  <c r="AX464" i="7"/>
  <c r="AW464" i="7"/>
  <c r="AV464" i="7"/>
  <c r="AU464" i="7"/>
  <c r="AT464" i="7"/>
  <c r="AS464" i="7"/>
  <c r="AR464" i="7"/>
  <c r="AQ464" i="7"/>
  <c r="AP464" i="7"/>
  <c r="AO464" i="7"/>
  <c r="AN464" i="7"/>
  <c r="AM464" i="7"/>
  <c r="AL464" i="7"/>
  <c r="AK464" i="7"/>
  <c r="AJ464" i="7"/>
  <c r="AI464" i="7"/>
  <c r="AH464" i="7"/>
  <c r="AG464" i="7"/>
  <c r="AF464" i="7"/>
  <c r="AE464" i="7"/>
  <c r="AD464" i="7"/>
  <c r="AC464" i="7"/>
  <c r="AB464" i="7"/>
  <c r="AA464" i="7"/>
  <c r="Z464" i="7"/>
  <c r="Y464" i="7"/>
  <c r="X464" i="7"/>
  <c r="W464" i="7"/>
  <c r="V464" i="7"/>
  <c r="U464" i="7"/>
  <c r="T464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G464" i="7"/>
  <c r="F464" i="7"/>
  <c r="E464" i="7"/>
  <c r="C464" i="7"/>
  <c r="B464" i="7"/>
  <c r="B463" i="7"/>
  <c r="B462" i="7"/>
  <c r="B461" i="7"/>
  <c r="B460" i="7"/>
  <c r="CC459" i="7"/>
  <c r="CB459" i="7"/>
  <c r="CA459" i="7"/>
  <c r="BZ459" i="7"/>
  <c r="BY459" i="7"/>
  <c r="BX459" i="7"/>
  <c r="BW459" i="7"/>
  <c r="BV459" i="7"/>
  <c r="BU459" i="7"/>
  <c r="BT459" i="7"/>
  <c r="BS459" i="7"/>
  <c r="BR459" i="7"/>
  <c r="BQ459" i="7"/>
  <c r="BP459" i="7"/>
  <c r="BO459" i="7"/>
  <c r="BN459" i="7"/>
  <c r="BM459" i="7"/>
  <c r="BL459" i="7"/>
  <c r="BK459" i="7"/>
  <c r="BJ459" i="7"/>
  <c r="BI459" i="7"/>
  <c r="BH459" i="7"/>
  <c r="BG459" i="7"/>
  <c r="BF459" i="7"/>
  <c r="BE459" i="7"/>
  <c r="BD459" i="7"/>
  <c r="BC459" i="7"/>
  <c r="BB459" i="7"/>
  <c r="BA459" i="7"/>
  <c r="AZ459" i="7"/>
  <c r="AY459" i="7"/>
  <c r="AX459" i="7"/>
  <c r="AW459" i="7"/>
  <c r="AV459" i="7"/>
  <c r="AU459" i="7"/>
  <c r="AT459" i="7"/>
  <c r="AS459" i="7"/>
  <c r="AR459" i="7"/>
  <c r="AQ459" i="7"/>
  <c r="AP459" i="7"/>
  <c r="AO459" i="7"/>
  <c r="AN459" i="7"/>
  <c r="AM459" i="7"/>
  <c r="AL459" i="7"/>
  <c r="AK459" i="7"/>
  <c r="AJ459" i="7"/>
  <c r="AI459" i="7"/>
  <c r="AH459" i="7"/>
  <c r="AG459" i="7"/>
  <c r="AF459" i="7"/>
  <c r="AE459" i="7"/>
  <c r="AD459" i="7"/>
  <c r="AC459" i="7"/>
  <c r="AB459" i="7"/>
  <c r="AA459" i="7"/>
  <c r="Z459" i="7"/>
  <c r="Y459" i="7"/>
  <c r="X459" i="7"/>
  <c r="W459" i="7"/>
  <c r="V459" i="7"/>
  <c r="U459" i="7"/>
  <c r="T459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G459" i="7"/>
  <c r="F459" i="7"/>
  <c r="C459" i="7"/>
  <c r="B459" i="7"/>
  <c r="CC458" i="7"/>
  <c r="CB458" i="7"/>
  <c r="CA458" i="7"/>
  <c r="BZ458" i="7"/>
  <c r="BY458" i="7"/>
  <c r="BX458" i="7"/>
  <c r="BW458" i="7"/>
  <c r="BV458" i="7"/>
  <c r="BU458" i="7"/>
  <c r="BT458" i="7"/>
  <c r="BS458" i="7"/>
  <c r="BR458" i="7"/>
  <c r="BQ458" i="7"/>
  <c r="BP458" i="7"/>
  <c r="BO458" i="7"/>
  <c r="BN458" i="7"/>
  <c r="BM458" i="7"/>
  <c r="BL458" i="7"/>
  <c r="BK458" i="7"/>
  <c r="BJ458" i="7"/>
  <c r="BI458" i="7"/>
  <c r="BH458" i="7"/>
  <c r="BG458" i="7"/>
  <c r="BF458" i="7"/>
  <c r="BE458" i="7"/>
  <c r="BD458" i="7"/>
  <c r="BC458" i="7"/>
  <c r="BB458" i="7"/>
  <c r="BA458" i="7"/>
  <c r="AZ458" i="7"/>
  <c r="AY458" i="7"/>
  <c r="AX458" i="7"/>
  <c r="AW458" i="7"/>
  <c r="AV458" i="7"/>
  <c r="AU458" i="7"/>
  <c r="AT458" i="7"/>
  <c r="AS458" i="7"/>
  <c r="AR458" i="7"/>
  <c r="AQ458" i="7"/>
  <c r="AP458" i="7"/>
  <c r="AO458" i="7"/>
  <c r="AN458" i="7"/>
  <c r="AM458" i="7"/>
  <c r="AL458" i="7"/>
  <c r="AK458" i="7"/>
  <c r="AJ458" i="7"/>
  <c r="AI458" i="7"/>
  <c r="AH458" i="7"/>
  <c r="AG458" i="7"/>
  <c r="AF458" i="7"/>
  <c r="AE458" i="7"/>
  <c r="AD458" i="7"/>
  <c r="AC458" i="7"/>
  <c r="AB458" i="7"/>
  <c r="AA458" i="7"/>
  <c r="Z458" i="7"/>
  <c r="Y458" i="7"/>
  <c r="X458" i="7"/>
  <c r="W458" i="7"/>
  <c r="V458" i="7"/>
  <c r="U458" i="7"/>
  <c r="T458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G458" i="7"/>
  <c r="F458" i="7"/>
  <c r="E458" i="7" s="1"/>
  <c r="C458" i="7"/>
  <c r="B458" i="7"/>
  <c r="CC457" i="7"/>
  <c r="CB457" i="7"/>
  <c r="CA457" i="7"/>
  <c r="BZ457" i="7"/>
  <c r="BY457" i="7"/>
  <c r="BX457" i="7"/>
  <c r="BW457" i="7"/>
  <c r="BV457" i="7"/>
  <c r="BU457" i="7"/>
  <c r="BT457" i="7"/>
  <c r="BS457" i="7"/>
  <c r="BR457" i="7"/>
  <c r="BQ457" i="7"/>
  <c r="BP457" i="7"/>
  <c r="BO457" i="7"/>
  <c r="BN457" i="7"/>
  <c r="BM457" i="7"/>
  <c r="BL457" i="7"/>
  <c r="BK457" i="7"/>
  <c r="BJ457" i="7"/>
  <c r="BI457" i="7"/>
  <c r="BH457" i="7"/>
  <c r="BG457" i="7"/>
  <c r="BF457" i="7"/>
  <c r="BE457" i="7"/>
  <c r="BD457" i="7"/>
  <c r="BC457" i="7"/>
  <c r="BB457" i="7"/>
  <c r="BA457" i="7"/>
  <c r="AZ457" i="7"/>
  <c r="AY457" i="7"/>
  <c r="AX457" i="7"/>
  <c r="AW457" i="7"/>
  <c r="AV457" i="7"/>
  <c r="AU457" i="7"/>
  <c r="AT457" i="7"/>
  <c r="AS457" i="7"/>
  <c r="AR457" i="7"/>
  <c r="AQ457" i="7"/>
  <c r="AP457" i="7"/>
  <c r="AO457" i="7"/>
  <c r="AN457" i="7"/>
  <c r="AM457" i="7"/>
  <c r="AL457" i="7"/>
  <c r="AK457" i="7"/>
  <c r="AJ457" i="7"/>
  <c r="AI457" i="7"/>
  <c r="AH457" i="7"/>
  <c r="AG457" i="7"/>
  <c r="AF457" i="7"/>
  <c r="AE457" i="7"/>
  <c r="AD457" i="7"/>
  <c r="AC457" i="7"/>
  <c r="AB457" i="7"/>
  <c r="AA457" i="7"/>
  <c r="Z457" i="7"/>
  <c r="Y457" i="7"/>
  <c r="X457" i="7"/>
  <c r="W457" i="7"/>
  <c r="V457" i="7"/>
  <c r="U457" i="7"/>
  <c r="T457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G457" i="7"/>
  <c r="F457" i="7"/>
  <c r="C457" i="7"/>
  <c r="B457" i="7"/>
  <c r="CC456" i="7"/>
  <c r="CB456" i="7"/>
  <c r="CA456" i="7"/>
  <c r="BZ456" i="7"/>
  <c r="BY456" i="7"/>
  <c r="BX456" i="7"/>
  <c r="BW456" i="7"/>
  <c r="BV456" i="7"/>
  <c r="BU456" i="7"/>
  <c r="BT456" i="7"/>
  <c r="BS456" i="7"/>
  <c r="BR456" i="7"/>
  <c r="BQ456" i="7"/>
  <c r="BP456" i="7"/>
  <c r="BO456" i="7"/>
  <c r="BN456" i="7"/>
  <c r="BM456" i="7"/>
  <c r="BL456" i="7"/>
  <c r="BK456" i="7"/>
  <c r="BJ456" i="7"/>
  <c r="BI456" i="7"/>
  <c r="BH456" i="7"/>
  <c r="BG456" i="7"/>
  <c r="BF456" i="7"/>
  <c r="BE456" i="7"/>
  <c r="BD456" i="7"/>
  <c r="BC456" i="7"/>
  <c r="BB456" i="7"/>
  <c r="BA456" i="7"/>
  <c r="AZ456" i="7"/>
  <c r="AY456" i="7"/>
  <c r="AX456" i="7"/>
  <c r="AW456" i="7"/>
  <c r="AV456" i="7"/>
  <c r="AU456" i="7"/>
  <c r="AT456" i="7"/>
  <c r="AS456" i="7"/>
  <c r="AR456" i="7"/>
  <c r="AQ456" i="7"/>
  <c r="AP456" i="7"/>
  <c r="AO456" i="7"/>
  <c r="AN456" i="7"/>
  <c r="AM456" i="7"/>
  <c r="AL456" i="7"/>
  <c r="AK456" i="7"/>
  <c r="AJ456" i="7"/>
  <c r="AI456" i="7"/>
  <c r="AH456" i="7"/>
  <c r="AG456" i="7"/>
  <c r="AF456" i="7"/>
  <c r="AE456" i="7"/>
  <c r="AD456" i="7"/>
  <c r="AC456" i="7"/>
  <c r="AB456" i="7"/>
  <c r="AA456" i="7"/>
  <c r="Z456" i="7"/>
  <c r="Y456" i="7"/>
  <c r="X456" i="7"/>
  <c r="W456" i="7"/>
  <c r="V456" i="7"/>
  <c r="U456" i="7"/>
  <c r="T456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G456" i="7"/>
  <c r="F456" i="7"/>
  <c r="E456" i="7" s="1"/>
  <c r="C456" i="7"/>
  <c r="B456" i="7"/>
  <c r="CC455" i="7"/>
  <c r="CB455" i="7"/>
  <c r="CA455" i="7"/>
  <c r="BZ455" i="7"/>
  <c r="BY455" i="7"/>
  <c r="BX455" i="7"/>
  <c r="BW455" i="7"/>
  <c r="BV455" i="7"/>
  <c r="BU455" i="7"/>
  <c r="BT455" i="7"/>
  <c r="BS455" i="7"/>
  <c r="BR455" i="7"/>
  <c r="BQ455" i="7"/>
  <c r="BP455" i="7"/>
  <c r="BO455" i="7"/>
  <c r="BN455" i="7"/>
  <c r="BM455" i="7"/>
  <c r="BL455" i="7"/>
  <c r="BK455" i="7"/>
  <c r="BJ455" i="7"/>
  <c r="BI455" i="7"/>
  <c r="BH455" i="7"/>
  <c r="BG455" i="7"/>
  <c r="BF455" i="7"/>
  <c r="BE455" i="7"/>
  <c r="BD455" i="7"/>
  <c r="BC455" i="7"/>
  <c r="BB455" i="7"/>
  <c r="BA455" i="7"/>
  <c r="AZ455" i="7"/>
  <c r="AY455" i="7"/>
  <c r="AX455" i="7"/>
  <c r="AW455" i="7"/>
  <c r="AV455" i="7"/>
  <c r="AU455" i="7"/>
  <c r="AT455" i="7"/>
  <c r="AS455" i="7"/>
  <c r="AR455" i="7"/>
  <c r="AQ455" i="7"/>
  <c r="AP455" i="7"/>
  <c r="AO455" i="7"/>
  <c r="AN455" i="7"/>
  <c r="AM455" i="7"/>
  <c r="AL455" i="7"/>
  <c r="AK455" i="7"/>
  <c r="AJ455" i="7"/>
  <c r="AI455" i="7"/>
  <c r="AH455" i="7"/>
  <c r="AG455" i="7"/>
  <c r="AF455" i="7"/>
  <c r="AE455" i="7"/>
  <c r="AD455" i="7"/>
  <c r="AC455" i="7"/>
  <c r="AB455" i="7"/>
  <c r="AA455" i="7"/>
  <c r="Z455" i="7"/>
  <c r="Y455" i="7"/>
  <c r="X455" i="7"/>
  <c r="W455" i="7"/>
  <c r="V455" i="7"/>
  <c r="U455" i="7"/>
  <c r="T455" i="7"/>
  <c r="S455" i="7"/>
  <c r="R455" i="7"/>
  <c r="Q455" i="7"/>
  <c r="P455" i="7"/>
  <c r="O455" i="7"/>
  <c r="N455" i="7"/>
  <c r="M455" i="7"/>
  <c r="L455" i="7"/>
  <c r="K455" i="7"/>
  <c r="J455" i="7"/>
  <c r="I455" i="7"/>
  <c r="H455" i="7"/>
  <c r="G455" i="7"/>
  <c r="F455" i="7"/>
  <c r="C455" i="7"/>
  <c r="B455" i="7"/>
  <c r="CC454" i="7"/>
  <c r="CB454" i="7"/>
  <c r="CA454" i="7"/>
  <c r="BZ454" i="7"/>
  <c r="BY454" i="7"/>
  <c r="BX454" i="7"/>
  <c r="BW454" i="7"/>
  <c r="BV454" i="7"/>
  <c r="BU454" i="7"/>
  <c r="BT454" i="7"/>
  <c r="BS454" i="7"/>
  <c r="BR454" i="7"/>
  <c r="BQ454" i="7"/>
  <c r="BP454" i="7"/>
  <c r="BO454" i="7"/>
  <c r="BN454" i="7"/>
  <c r="BM454" i="7"/>
  <c r="BL454" i="7"/>
  <c r="BK454" i="7"/>
  <c r="BJ454" i="7"/>
  <c r="BI454" i="7"/>
  <c r="BH454" i="7"/>
  <c r="BG454" i="7"/>
  <c r="BF454" i="7"/>
  <c r="BE454" i="7"/>
  <c r="BD454" i="7"/>
  <c r="BC454" i="7"/>
  <c r="BB454" i="7"/>
  <c r="BA454" i="7"/>
  <c r="AZ454" i="7"/>
  <c r="AY454" i="7"/>
  <c r="AX454" i="7"/>
  <c r="AW454" i="7"/>
  <c r="AV454" i="7"/>
  <c r="AU454" i="7"/>
  <c r="AT454" i="7"/>
  <c r="AS454" i="7"/>
  <c r="AR454" i="7"/>
  <c r="AQ454" i="7"/>
  <c r="AP454" i="7"/>
  <c r="AO454" i="7"/>
  <c r="AN454" i="7"/>
  <c r="AM454" i="7"/>
  <c r="AL454" i="7"/>
  <c r="AK454" i="7"/>
  <c r="AJ454" i="7"/>
  <c r="AI454" i="7"/>
  <c r="AH454" i="7"/>
  <c r="AG454" i="7"/>
  <c r="AF454" i="7"/>
  <c r="AE454" i="7"/>
  <c r="AD454" i="7"/>
  <c r="AC454" i="7"/>
  <c r="AB454" i="7"/>
  <c r="AA454" i="7"/>
  <c r="Z454" i="7"/>
  <c r="Y454" i="7"/>
  <c r="X454" i="7"/>
  <c r="W454" i="7"/>
  <c r="V454" i="7"/>
  <c r="U454" i="7"/>
  <c r="T454" i="7"/>
  <c r="S454" i="7"/>
  <c r="R454" i="7"/>
  <c r="Q454" i="7"/>
  <c r="P454" i="7"/>
  <c r="O454" i="7"/>
  <c r="N454" i="7"/>
  <c r="M454" i="7"/>
  <c r="L454" i="7"/>
  <c r="K454" i="7"/>
  <c r="J454" i="7"/>
  <c r="I454" i="7"/>
  <c r="H454" i="7"/>
  <c r="G454" i="7"/>
  <c r="F454" i="7"/>
  <c r="C454" i="7"/>
  <c r="B454" i="7"/>
  <c r="CC453" i="7"/>
  <c r="CB453" i="7"/>
  <c r="CA453" i="7"/>
  <c r="BZ453" i="7"/>
  <c r="BY453" i="7"/>
  <c r="BX453" i="7"/>
  <c r="BW453" i="7"/>
  <c r="BV453" i="7"/>
  <c r="BU453" i="7"/>
  <c r="BT453" i="7"/>
  <c r="BS453" i="7"/>
  <c r="BR453" i="7"/>
  <c r="BQ453" i="7"/>
  <c r="BP453" i="7"/>
  <c r="BO453" i="7"/>
  <c r="BN453" i="7"/>
  <c r="BM453" i="7"/>
  <c r="BL453" i="7"/>
  <c r="BK453" i="7"/>
  <c r="BJ453" i="7"/>
  <c r="BI453" i="7"/>
  <c r="BH453" i="7"/>
  <c r="BG453" i="7"/>
  <c r="BF453" i="7"/>
  <c r="BE453" i="7"/>
  <c r="BD453" i="7"/>
  <c r="BC453" i="7"/>
  <c r="BB453" i="7"/>
  <c r="BA453" i="7"/>
  <c r="AZ453" i="7"/>
  <c r="AY453" i="7"/>
  <c r="AX453" i="7"/>
  <c r="AW453" i="7"/>
  <c r="AV453" i="7"/>
  <c r="AU453" i="7"/>
  <c r="AT453" i="7"/>
  <c r="AS453" i="7"/>
  <c r="AR453" i="7"/>
  <c r="AQ453" i="7"/>
  <c r="AP453" i="7"/>
  <c r="AO453" i="7"/>
  <c r="AN453" i="7"/>
  <c r="AM453" i="7"/>
  <c r="AL453" i="7"/>
  <c r="AK453" i="7"/>
  <c r="AJ453" i="7"/>
  <c r="AI453" i="7"/>
  <c r="AH453" i="7"/>
  <c r="AG453" i="7"/>
  <c r="AF453" i="7"/>
  <c r="AE453" i="7"/>
  <c r="AD453" i="7"/>
  <c r="AC453" i="7"/>
  <c r="AB453" i="7"/>
  <c r="AA453" i="7"/>
  <c r="Z453" i="7"/>
  <c r="Y453" i="7"/>
  <c r="X453" i="7"/>
  <c r="W453" i="7"/>
  <c r="V453" i="7"/>
  <c r="U453" i="7"/>
  <c r="T453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G453" i="7"/>
  <c r="F453" i="7"/>
  <c r="C453" i="7"/>
  <c r="B453" i="7"/>
  <c r="CC452" i="7"/>
  <c r="CB452" i="7"/>
  <c r="CA452" i="7"/>
  <c r="BZ452" i="7"/>
  <c r="BY452" i="7"/>
  <c r="BX452" i="7"/>
  <c r="BW452" i="7"/>
  <c r="BV452" i="7"/>
  <c r="BU452" i="7"/>
  <c r="BT452" i="7"/>
  <c r="BS452" i="7"/>
  <c r="BR452" i="7"/>
  <c r="BQ452" i="7"/>
  <c r="BP452" i="7"/>
  <c r="BO452" i="7"/>
  <c r="BN452" i="7"/>
  <c r="BM452" i="7"/>
  <c r="BL452" i="7"/>
  <c r="BK452" i="7"/>
  <c r="BJ452" i="7"/>
  <c r="BI452" i="7"/>
  <c r="BH452" i="7"/>
  <c r="BG452" i="7"/>
  <c r="BF452" i="7"/>
  <c r="BE452" i="7"/>
  <c r="BD452" i="7"/>
  <c r="BC452" i="7"/>
  <c r="BB452" i="7"/>
  <c r="BA452" i="7"/>
  <c r="AZ452" i="7"/>
  <c r="AY452" i="7"/>
  <c r="AX452" i="7"/>
  <c r="AW452" i="7"/>
  <c r="AV452" i="7"/>
  <c r="AU452" i="7"/>
  <c r="AT452" i="7"/>
  <c r="AS452" i="7"/>
  <c r="AR452" i="7"/>
  <c r="AQ452" i="7"/>
  <c r="AP452" i="7"/>
  <c r="AO452" i="7"/>
  <c r="AN452" i="7"/>
  <c r="AM452" i="7"/>
  <c r="AL452" i="7"/>
  <c r="AK452" i="7"/>
  <c r="AJ452" i="7"/>
  <c r="AI452" i="7"/>
  <c r="AH452" i="7"/>
  <c r="AG452" i="7"/>
  <c r="AF452" i="7"/>
  <c r="AE452" i="7"/>
  <c r="AD452" i="7"/>
  <c r="AC452" i="7"/>
  <c r="AB452" i="7"/>
  <c r="AA452" i="7"/>
  <c r="Z452" i="7"/>
  <c r="Y452" i="7"/>
  <c r="X452" i="7"/>
  <c r="W452" i="7"/>
  <c r="V452" i="7"/>
  <c r="U452" i="7"/>
  <c r="T452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G452" i="7"/>
  <c r="F452" i="7"/>
  <c r="E452" i="7" s="1"/>
  <c r="C452" i="7"/>
  <c r="B452" i="7"/>
  <c r="CC451" i="7"/>
  <c r="CB451" i="7"/>
  <c r="CA451" i="7"/>
  <c r="BZ451" i="7"/>
  <c r="BY451" i="7"/>
  <c r="BX451" i="7"/>
  <c r="BW451" i="7"/>
  <c r="BV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P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Z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F451" i="7"/>
  <c r="E451" i="7" s="1"/>
  <c r="C451" i="7"/>
  <c r="B451" i="7"/>
  <c r="CC450" i="7"/>
  <c r="CB450" i="7"/>
  <c r="CA450" i="7"/>
  <c r="BZ450" i="7"/>
  <c r="BY450" i="7"/>
  <c r="BX450" i="7"/>
  <c r="BW450" i="7"/>
  <c r="BV450" i="7"/>
  <c r="BU450" i="7"/>
  <c r="BT450" i="7"/>
  <c r="BS450" i="7"/>
  <c r="BR450" i="7"/>
  <c r="BQ450" i="7"/>
  <c r="BP450" i="7"/>
  <c r="BO450" i="7"/>
  <c r="BN450" i="7"/>
  <c r="BM450" i="7"/>
  <c r="BL450" i="7"/>
  <c r="BK450" i="7"/>
  <c r="BJ450" i="7"/>
  <c r="BI450" i="7"/>
  <c r="BH450" i="7"/>
  <c r="BG450" i="7"/>
  <c r="BF450" i="7"/>
  <c r="BE450" i="7"/>
  <c r="BD450" i="7"/>
  <c r="BC450" i="7"/>
  <c r="BB450" i="7"/>
  <c r="BA450" i="7"/>
  <c r="AZ450" i="7"/>
  <c r="AY450" i="7"/>
  <c r="AX450" i="7"/>
  <c r="AW450" i="7"/>
  <c r="AV450" i="7"/>
  <c r="AU450" i="7"/>
  <c r="AT450" i="7"/>
  <c r="AS450" i="7"/>
  <c r="AR450" i="7"/>
  <c r="AQ450" i="7"/>
  <c r="AP450" i="7"/>
  <c r="AO450" i="7"/>
  <c r="AN450" i="7"/>
  <c r="AM450" i="7"/>
  <c r="AL450" i="7"/>
  <c r="AK450" i="7"/>
  <c r="AJ450" i="7"/>
  <c r="AI450" i="7"/>
  <c r="AH450" i="7"/>
  <c r="AG450" i="7"/>
  <c r="AF450" i="7"/>
  <c r="AE450" i="7"/>
  <c r="AD450" i="7"/>
  <c r="AC450" i="7"/>
  <c r="AB450" i="7"/>
  <c r="AA450" i="7"/>
  <c r="Z450" i="7"/>
  <c r="Y450" i="7"/>
  <c r="X450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F450" i="7"/>
  <c r="C450" i="7"/>
  <c r="B450" i="7"/>
  <c r="CC449" i="7"/>
  <c r="CB449" i="7"/>
  <c r="CA449" i="7"/>
  <c r="BZ449" i="7"/>
  <c r="BY449" i="7"/>
  <c r="BX449" i="7"/>
  <c r="BW449" i="7"/>
  <c r="BV449" i="7"/>
  <c r="BU449" i="7"/>
  <c r="BT449" i="7"/>
  <c r="BS449" i="7"/>
  <c r="BR449" i="7"/>
  <c r="BQ449" i="7"/>
  <c r="BP449" i="7"/>
  <c r="BO449" i="7"/>
  <c r="BN449" i="7"/>
  <c r="BM449" i="7"/>
  <c r="BL449" i="7"/>
  <c r="BK449" i="7"/>
  <c r="BJ449" i="7"/>
  <c r="BI449" i="7"/>
  <c r="BH449" i="7"/>
  <c r="BG449" i="7"/>
  <c r="BF449" i="7"/>
  <c r="BE449" i="7"/>
  <c r="BD449" i="7"/>
  <c r="BC449" i="7"/>
  <c r="BB449" i="7"/>
  <c r="BA449" i="7"/>
  <c r="AZ449" i="7"/>
  <c r="AY449" i="7"/>
  <c r="AX449" i="7"/>
  <c r="AW449" i="7"/>
  <c r="AV449" i="7"/>
  <c r="AU449" i="7"/>
  <c r="AT449" i="7"/>
  <c r="AS449" i="7"/>
  <c r="AR449" i="7"/>
  <c r="AQ449" i="7"/>
  <c r="AP449" i="7"/>
  <c r="AO449" i="7"/>
  <c r="AN449" i="7"/>
  <c r="AM449" i="7"/>
  <c r="AL449" i="7"/>
  <c r="AK449" i="7"/>
  <c r="AJ449" i="7"/>
  <c r="AI449" i="7"/>
  <c r="AH449" i="7"/>
  <c r="AG449" i="7"/>
  <c r="AF449" i="7"/>
  <c r="AE449" i="7"/>
  <c r="AD449" i="7"/>
  <c r="AC449" i="7"/>
  <c r="AB449" i="7"/>
  <c r="AA449" i="7"/>
  <c r="Z449" i="7"/>
  <c r="Y449" i="7"/>
  <c r="X449" i="7"/>
  <c r="W449" i="7"/>
  <c r="V449" i="7"/>
  <c r="U449" i="7"/>
  <c r="T449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G449" i="7"/>
  <c r="F449" i="7"/>
  <c r="E449" i="7" s="1"/>
  <c r="C449" i="7"/>
  <c r="B449" i="7"/>
  <c r="CC448" i="7"/>
  <c r="CB448" i="7"/>
  <c r="CA448" i="7"/>
  <c r="BZ448" i="7"/>
  <c r="BY448" i="7"/>
  <c r="BX448" i="7"/>
  <c r="BW448" i="7"/>
  <c r="BV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F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P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Z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F448" i="7"/>
  <c r="C448" i="7"/>
  <c r="B448" i="7"/>
  <c r="B447" i="7"/>
  <c r="B446" i="7"/>
  <c r="CC445" i="7"/>
  <c r="CB445" i="7"/>
  <c r="CA445" i="7"/>
  <c r="BZ445" i="7"/>
  <c r="BY445" i="7"/>
  <c r="BX445" i="7"/>
  <c r="BW445" i="7"/>
  <c r="BV445" i="7"/>
  <c r="BU445" i="7"/>
  <c r="BT445" i="7"/>
  <c r="BS445" i="7"/>
  <c r="BR445" i="7"/>
  <c r="BQ445" i="7"/>
  <c r="BP445" i="7"/>
  <c r="BO445" i="7"/>
  <c r="BN445" i="7"/>
  <c r="BM445" i="7"/>
  <c r="BL445" i="7"/>
  <c r="BK445" i="7"/>
  <c r="BJ445" i="7"/>
  <c r="BI445" i="7"/>
  <c r="BH445" i="7"/>
  <c r="BG445" i="7"/>
  <c r="BF445" i="7"/>
  <c r="BE445" i="7"/>
  <c r="BD445" i="7"/>
  <c r="BC445" i="7"/>
  <c r="BB445" i="7"/>
  <c r="BA445" i="7"/>
  <c r="AZ445" i="7"/>
  <c r="AY445" i="7"/>
  <c r="AX445" i="7"/>
  <c r="AW445" i="7"/>
  <c r="AV445" i="7"/>
  <c r="AU445" i="7"/>
  <c r="AT445" i="7"/>
  <c r="AS445" i="7"/>
  <c r="AR445" i="7"/>
  <c r="AQ445" i="7"/>
  <c r="AP445" i="7"/>
  <c r="AO445" i="7"/>
  <c r="AN445" i="7"/>
  <c r="AM445" i="7"/>
  <c r="AL445" i="7"/>
  <c r="AK445" i="7"/>
  <c r="AJ445" i="7"/>
  <c r="AI445" i="7"/>
  <c r="AH445" i="7"/>
  <c r="AG445" i="7"/>
  <c r="AF445" i="7"/>
  <c r="AE445" i="7"/>
  <c r="AD445" i="7"/>
  <c r="AC445" i="7"/>
  <c r="AB445" i="7"/>
  <c r="AA445" i="7"/>
  <c r="Z445" i="7"/>
  <c r="Y445" i="7"/>
  <c r="X445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F445" i="7"/>
  <c r="C445" i="7"/>
  <c r="B445" i="7"/>
  <c r="CC444" i="7"/>
  <c r="CB444" i="7"/>
  <c r="CA444" i="7"/>
  <c r="BZ444" i="7"/>
  <c r="BY444" i="7"/>
  <c r="BX444" i="7"/>
  <c r="BW444" i="7"/>
  <c r="BV444" i="7"/>
  <c r="BU444" i="7"/>
  <c r="BT444" i="7"/>
  <c r="BS444" i="7"/>
  <c r="BR444" i="7"/>
  <c r="BQ444" i="7"/>
  <c r="BP444" i="7"/>
  <c r="BO444" i="7"/>
  <c r="BN444" i="7"/>
  <c r="BM444" i="7"/>
  <c r="BL444" i="7"/>
  <c r="BK444" i="7"/>
  <c r="BJ444" i="7"/>
  <c r="BI444" i="7"/>
  <c r="BH444" i="7"/>
  <c r="BG444" i="7"/>
  <c r="BF444" i="7"/>
  <c r="BE444" i="7"/>
  <c r="BD444" i="7"/>
  <c r="BC444" i="7"/>
  <c r="BB444" i="7"/>
  <c r="BA444" i="7"/>
  <c r="AZ444" i="7"/>
  <c r="AY444" i="7"/>
  <c r="AX444" i="7"/>
  <c r="AW444" i="7"/>
  <c r="AV444" i="7"/>
  <c r="AU444" i="7"/>
  <c r="AT444" i="7"/>
  <c r="AS444" i="7"/>
  <c r="AR444" i="7"/>
  <c r="AQ444" i="7"/>
  <c r="AP444" i="7"/>
  <c r="AO444" i="7"/>
  <c r="AN444" i="7"/>
  <c r="AM444" i="7"/>
  <c r="AL444" i="7"/>
  <c r="AK444" i="7"/>
  <c r="AJ444" i="7"/>
  <c r="AI444" i="7"/>
  <c r="AH444" i="7"/>
  <c r="AG444" i="7"/>
  <c r="AF444" i="7"/>
  <c r="AE444" i="7"/>
  <c r="AD444" i="7"/>
  <c r="AC444" i="7"/>
  <c r="AB444" i="7"/>
  <c r="AA444" i="7"/>
  <c r="Z444" i="7"/>
  <c r="Y444" i="7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 s="1"/>
  <c r="C444" i="7"/>
  <c r="B444" i="7"/>
  <c r="B443" i="7"/>
  <c r="B442" i="7"/>
  <c r="CC441" i="7"/>
  <c r="CB441" i="7"/>
  <c r="CA441" i="7"/>
  <c r="BZ441" i="7"/>
  <c r="BY441" i="7"/>
  <c r="BX441" i="7"/>
  <c r="BW441" i="7"/>
  <c r="BV441" i="7"/>
  <c r="BU441" i="7"/>
  <c r="BT441" i="7"/>
  <c r="BS441" i="7"/>
  <c r="BR441" i="7"/>
  <c r="BQ441" i="7"/>
  <c r="BP441" i="7"/>
  <c r="BO441" i="7"/>
  <c r="BN441" i="7"/>
  <c r="BM441" i="7"/>
  <c r="BL441" i="7"/>
  <c r="BK441" i="7"/>
  <c r="BJ441" i="7"/>
  <c r="BI441" i="7"/>
  <c r="BH441" i="7"/>
  <c r="BG441" i="7"/>
  <c r="BF441" i="7"/>
  <c r="BE441" i="7"/>
  <c r="BD441" i="7"/>
  <c r="BC441" i="7"/>
  <c r="BB441" i="7"/>
  <c r="BA441" i="7"/>
  <c r="AZ441" i="7"/>
  <c r="AY441" i="7"/>
  <c r="AX441" i="7"/>
  <c r="AW441" i="7"/>
  <c r="AV441" i="7"/>
  <c r="AU441" i="7"/>
  <c r="AT441" i="7"/>
  <c r="AS441" i="7"/>
  <c r="AR441" i="7"/>
  <c r="AQ441" i="7"/>
  <c r="AP441" i="7"/>
  <c r="AO441" i="7"/>
  <c r="AN441" i="7"/>
  <c r="AM441" i="7"/>
  <c r="AL441" i="7"/>
  <c r="AK441" i="7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C441" i="7"/>
  <c r="B441" i="7"/>
  <c r="CC440" i="7"/>
  <c r="CB440" i="7"/>
  <c r="CA440" i="7"/>
  <c r="BZ440" i="7"/>
  <c r="BY440" i="7"/>
  <c r="BX440" i="7"/>
  <c r="BW440" i="7"/>
  <c r="BV440" i="7"/>
  <c r="BU440" i="7"/>
  <c r="BT440" i="7"/>
  <c r="BS440" i="7"/>
  <c r="BR440" i="7"/>
  <c r="BQ440" i="7"/>
  <c r="BP440" i="7"/>
  <c r="BO440" i="7"/>
  <c r="BN440" i="7"/>
  <c r="BM440" i="7"/>
  <c r="BL440" i="7"/>
  <c r="BK440" i="7"/>
  <c r="BJ440" i="7"/>
  <c r="BI440" i="7"/>
  <c r="BH440" i="7"/>
  <c r="BG440" i="7"/>
  <c r="BF440" i="7"/>
  <c r="BE440" i="7"/>
  <c r="BD440" i="7"/>
  <c r="BC440" i="7"/>
  <c r="BB440" i="7"/>
  <c r="BA440" i="7"/>
  <c r="AZ440" i="7"/>
  <c r="AY440" i="7"/>
  <c r="AX440" i="7"/>
  <c r="AW440" i="7"/>
  <c r="AV440" i="7"/>
  <c r="AU440" i="7"/>
  <c r="AT440" i="7"/>
  <c r="AS440" i="7"/>
  <c r="AR440" i="7"/>
  <c r="AQ440" i="7"/>
  <c r="AP440" i="7"/>
  <c r="AO440" i="7"/>
  <c r="AN440" i="7"/>
  <c r="AM440" i="7"/>
  <c r="AL440" i="7"/>
  <c r="AK440" i="7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 s="1"/>
  <c r="C440" i="7"/>
  <c r="B440" i="7"/>
  <c r="B439" i="7"/>
  <c r="B438" i="7"/>
  <c r="B437" i="7"/>
  <c r="B436" i="7"/>
  <c r="CC435" i="7"/>
  <c r="CB435" i="7"/>
  <c r="CA435" i="7"/>
  <c r="BZ435" i="7"/>
  <c r="BY435" i="7"/>
  <c r="BX435" i="7"/>
  <c r="BW435" i="7"/>
  <c r="BV435" i="7"/>
  <c r="BU435" i="7"/>
  <c r="BT435" i="7"/>
  <c r="BS435" i="7"/>
  <c r="BR435" i="7"/>
  <c r="BQ435" i="7"/>
  <c r="BP435" i="7"/>
  <c r="BO435" i="7"/>
  <c r="BN435" i="7"/>
  <c r="BM435" i="7"/>
  <c r="BL435" i="7"/>
  <c r="BK435" i="7"/>
  <c r="BJ435" i="7"/>
  <c r="BI435" i="7"/>
  <c r="BH435" i="7"/>
  <c r="BG435" i="7"/>
  <c r="BF435" i="7"/>
  <c r="BE435" i="7"/>
  <c r="BD435" i="7"/>
  <c r="BC435" i="7"/>
  <c r="BB435" i="7"/>
  <c r="BA435" i="7"/>
  <c r="AZ435" i="7"/>
  <c r="AY435" i="7"/>
  <c r="AX435" i="7"/>
  <c r="AW435" i="7"/>
  <c r="AV435" i="7"/>
  <c r="AU435" i="7"/>
  <c r="AT435" i="7"/>
  <c r="AS435" i="7"/>
  <c r="AR435" i="7"/>
  <c r="AQ435" i="7"/>
  <c r="AP435" i="7"/>
  <c r="AO435" i="7"/>
  <c r="AN435" i="7"/>
  <c r="AM435" i="7"/>
  <c r="AL435" i="7"/>
  <c r="AK435" i="7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C435" i="7"/>
  <c r="B435" i="7"/>
  <c r="CC434" i="7"/>
  <c r="CB434" i="7"/>
  <c r="CA434" i="7"/>
  <c r="BZ434" i="7"/>
  <c r="BY434" i="7"/>
  <c r="BX434" i="7"/>
  <c r="BW434" i="7"/>
  <c r="BV434" i="7"/>
  <c r="BU434" i="7"/>
  <c r="BT434" i="7"/>
  <c r="BS434" i="7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F434" i="7"/>
  <c r="BE434" i="7"/>
  <c r="BD434" i="7"/>
  <c r="BC434" i="7"/>
  <c r="BB434" i="7"/>
  <c r="BA434" i="7"/>
  <c r="AZ434" i="7"/>
  <c r="AY434" i="7"/>
  <c r="AX434" i="7"/>
  <c r="AW434" i="7"/>
  <c r="AV434" i="7"/>
  <c r="AU434" i="7"/>
  <c r="AT434" i="7"/>
  <c r="AS434" i="7"/>
  <c r="AR434" i="7"/>
  <c r="AQ434" i="7"/>
  <c r="AP434" i="7"/>
  <c r="AO434" i="7"/>
  <c r="AN434" i="7"/>
  <c r="AM434" i="7"/>
  <c r="AL434" i="7"/>
  <c r="AK434" i="7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C434" i="7"/>
  <c r="B434" i="7"/>
  <c r="CC433" i="7"/>
  <c r="CB433" i="7"/>
  <c r="CA433" i="7"/>
  <c r="BZ433" i="7"/>
  <c r="BY433" i="7"/>
  <c r="BX433" i="7"/>
  <c r="BW433" i="7"/>
  <c r="BV433" i="7"/>
  <c r="BU433" i="7"/>
  <c r="BT433" i="7"/>
  <c r="BS433" i="7"/>
  <c r="BR433" i="7"/>
  <c r="BQ433" i="7"/>
  <c r="BP433" i="7"/>
  <c r="BO433" i="7"/>
  <c r="BN433" i="7"/>
  <c r="BM433" i="7"/>
  <c r="BL433" i="7"/>
  <c r="BK433" i="7"/>
  <c r="BJ433" i="7"/>
  <c r="BI433" i="7"/>
  <c r="BH433" i="7"/>
  <c r="BG433" i="7"/>
  <c r="BF433" i="7"/>
  <c r="BE433" i="7"/>
  <c r="BD433" i="7"/>
  <c r="BC433" i="7"/>
  <c r="BB433" i="7"/>
  <c r="BA433" i="7"/>
  <c r="AZ433" i="7"/>
  <c r="AY433" i="7"/>
  <c r="AX433" i="7"/>
  <c r="AW433" i="7"/>
  <c r="AV433" i="7"/>
  <c r="AU433" i="7"/>
  <c r="AT433" i="7"/>
  <c r="AS433" i="7"/>
  <c r="AR433" i="7"/>
  <c r="AQ433" i="7"/>
  <c r="AP433" i="7"/>
  <c r="AO433" i="7"/>
  <c r="AN433" i="7"/>
  <c r="AM433" i="7"/>
  <c r="AL433" i="7"/>
  <c r="AK433" i="7"/>
  <c r="AJ433" i="7"/>
  <c r="AI433" i="7"/>
  <c r="AH433" i="7"/>
  <c r="AG433" i="7"/>
  <c r="AF433" i="7"/>
  <c r="AE433" i="7"/>
  <c r="AD433" i="7"/>
  <c r="AC433" i="7"/>
  <c r="AB433" i="7"/>
  <c r="AA433" i="7"/>
  <c r="Z433" i="7"/>
  <c r="Y433" i="7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C433" i="7"/>
  <c r="B433" i="7"/>
  <c r="CC432" i="7"/>
  <c r="CB432" i="7"/>
  <c r="CA432" i="7"/>
  <c r="BZ432" i="7"/>
  <c r="BY432" i="7"/>
  <c r="BX432" i="7"/>
  <c r="BW432" i="7"/>
  <c r="BV432" i="7"/>
  <c r="BU432" i="7"/>
  <c r="BT432" i="7"/>
  <c r="BS432" i="7"/>
  <c r="BR432" i="7"/>
  <c r="BQ432" i="7"/>
  <c r="BP432" i="7"/>
  <c r="BO432" i="7"/>
  <c r="BN432" i="7"/>
  <c r="BM432" i="7"/>
  <c r="BL432" i="7"/>
  <c r="BK432" i="7"/>
  <c r="BJ432" i="7"/>
  <c r="BI432" i="7"/>
  <c r="BH432" i="7"/>
  <c r="BG432" i="7"/>
  <c r="BF432" i="7"/>
  <c r="BE432" i="7"/>
  <c r="BD432" i="7"/>
  <c r="BC432" i="7"/>
  <c r="BB432" i="7"/>
  <c r="BA432" i="7"/>
  <c r="AZ432" i="7"/>
  <c r="AY432" i="7"/>
  <c r="AX432" i="7"/>
  <c r="AW432" i="7"/>
  <c r="AV432" i="7"/>
  <c r="AU432" i="7"/>
  <c r="AT432" i="7"/>
  <c r="AS432" i="7"/>
  <c r="AR432" i="7"/>
  <c r="AQ432" i="7"/>
  <c r="AP432" i="7"/>
  <c r="AO432" i="7"/>
  <c r="AN432" i="7"/>
  <c r="AM432" i="7"/>
  <c r="AL432" i="7"/>
  <c r="AK432" i="7"/>
  <c r="AJ432" i="7"/>
  <c r="AI432" i="7"/>
  <c r="AH432" i="7"/>
  <c r="AG432" i="7"/>
  <c r="AF432" i="7"/>
  <c r="AE432" i="7"/>
  <c r="AD432" i="7"/>
  <c r="AC432" i="7"/>
  <c r="AB432" i="7"/>
  <c r="AA432" i="7"/>
  <c r="Z432" i="7"/>
  <c r="Y432" i="7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I432" i="7"/>
  <c r="H432" i="7"/>
  <c r="G432" i="7"/>
  <c r="F432" i="7"/>
  <c r="C432" i="7"/>
  <c r="B432" i="7"/>
  <c r="CC431" i="7"/>
  <c r="CB431" i="7"/>
  <c r="CA431" i="7"/>
  <c r="BZ431" i="7"/>
  <c r="BY431" i="7"/>
  <c r="BX431" i="7"/>
  <c r="BW431" i="7"/>
  <c r="BV431" i="7"/>
  <c r="BU431" i="7"/>
  <c r="BT431" i="7"/>
  <c r="BS431" i="7"/>
  <c r="BR431" i="7"/>
  <c r="BQ431" i="7"/>
  <c r="BP431" i="7"/>
  <c r="BO431" i="7"/>
  <c r="BN431" i="7"/>
  <c r="BM431" i="7"/>
  <c r="BL431" i="7"/>
  <c r="BK431" i="7"/>
  <c r="BJ431" i="7"/>
  <c r="BI431" i="7"/>
  <c r="BH431" i="7"/>
  <c r="BG431" i="7"/>
  <c r="BF431" i="7"/>
  <c r="BE431" i="7"/>
  <c r="BD431" i="7"/>
  <c r="BC431" i="7"/>
  <c r="BB431" i="7"/>
  <c r="BA431" i="7"/>
  <c r="AZ431" i="7"/>
  <c r="AY431" i="7"/>
  <c r="AX431" i="7"/>
  <c r="AW431" i="7"/>
  <c r="AV431" i="7"/>
  <c r="AU431" i="7"/>
  <c r="AT431" i="7"/>
  <c r="AS431" i="7"/>
  <c r="AR431" i="7"/>
  <c r="AQ431" i="7"/>
  <c r="AP431" i="7"/>
  <c r="AO431" i="7"/>
  <c r="AN431" i="7"/>
  <c r="AM431" i="7"/>
  <c r="AL431" i="7"/>
  <c r="AK431" i="7"/>
  <c r="AJ431" i="7"/>
  <c r="AI431" i="7"/>
  <c r="AH431" i="7"/>
  <c r="AG431" i="7"/>
  <c r="AF431" i="7"/>
  <c r="AE431" i="7"/>
  <c r="AD431" i="7"/>
  <c r="AC431" i="7"/>
  <c r="AB431" i="7"/>
  <c r="AA431" i="7"/>
  <c r="Z431" i="7"/>
  <c r="Y431" i="7"/>
  <c r="X431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F431" i="7"/>
  <c r="C431" i="7"/>
  <c r="B431" i="7"/>
  <c r="CC430" i="7"/>
  <c r="CB430" i="7"/>
  <c r="CA430" i="7"/>
  <c r="BZ430" i="7"/>
  <c r="BY430" i="7"/>
  <c r="BX430" i="7"/>
  <c r="BW430" i="7"/>
  <c r="BV430" i="7"/>
  <c r="BU430" i="7"/>
  <c r="BT430" i="7"/>
  <c r="BS430" i="7"/>
  <c r="BR430" i="7"/>
  <c r="BQ430" i="7"/>
  <c r="BP430" i="7"/>
  <c r="BO430" i="7"/>
  <c r="BN430" i="7"/>
  <c r="BM430" i="7"/>
  <c r="BL430" i="7"/>
  <c r="BK430" i="7"/>
  <c r="BJ430" i="7"/>
  <c r="BI430" i="7"/>
  <c r="BH430" i="7"/>
  <c r="BG430" i="7"/>
  <c r="BF430" i="7"/>
  <c r="BE430" i="7"/>
  <c r="BD430" i="7"/>
  <c r="BC430" i="7"/>
  <c r="BB430" i="7"/>
  <c r="BA430" i="7"/>
  <c r="AZ430" i="7"/>
  <c r="AY430" i="7"/>
  <c r="AX430" i="7"/>
  <c r="AW430" i="7"/>
  <c r="AV430" i="7"/>
  <c r="AU430" i="7"/>
  <c r="AT430" i="7"/>
  <c r="AS430" i="7"/>
  <c r="AR430" i="7"/>
  <c r="AQ430" i="7"/>
  <c r="AP430" i="7"/>
  <c r="AO430" i="7"/>
  <c r="AN430" i="7"/>
  <c r="AM430" i="7"/>
  <c r="AL430" i="7"/>
  <c r="AK430" i="7"/>
  <c r="AJ430" i="7"/>
  <c r="AI430" i="7"/>
  <c r="AH430" i="7"/>
  <c r="AG430" i="7"/>
  <c r="AF430" i="7"/>
  <c r="AE430" i="7"/>
  <c r="AD430" i="7"/>
  <c r="AC430" i="7"/>
  <c r="AB430" i="7"/>
  <c r="AA430" i="7"/>
  <c r="Z430" i="7"/>
  <c r="Y430" i="7"/>
  <c r="X430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F430" i="7"/>
  <c r="C430" i="7"/>
  <c r="B430" i="7"/>
  <c r="B429" i="7"/>
  <c r="B428" i="7"/>
  <c r="CC427" i="7"/>
  <c r="CB427" i="7"/>
  <c r="CA427" i="7"/>
  <c r="BZ427" i="7"/>
  <c r="BY427" i="7"/>
  <c r="BX427" i="7"/>
  <c r="BW427" i="7"/>
  <c r="BV427" i="7"/>
  <c r="BU427" i="7"/>
  <c r="BT427" i="7"/>
  <c r="BS427" i="7"/>
  <c r="BR427" i="7"/>
  <c r="BQ427" i="7"/>
  <c r="BP427" i="7"/>
  <c r="BO427" i="7"/>
  <c r="BN427" i="7"/>
  <c r="BM427" i="7"/>
  <c r="BL427" i="7"/>
  <c r="BK427" i="7"/>
  <c r="BJ427" i="7"/>
  <c r="BI427" i="7"/>
  <c r="BH427" i="7"/>
  <c r="BG427" i="7"/>
  <c r="BF427" i="7"/>
  <c r="BE427" i="7"/>
  <c r="BD427" i="7"/>
  <c r="BC427" i="7"/>
  <c r="BB427" i="7"/>
  <c r="BA427" i="7"/>
  <c r="AZ427" i="7"/>
  <c r="AY427" i="7"/>
  <c r="AX427" i="7"/>
  <c r="AW427" i="7"/>
  <c r="AV427" i="7"/>
  <c r="AU427" i="7"/>
  <c r="AT427" i="7"/>
  <c r="AS427" i="7"/>
  <c r="AR427" i="7"/>
  <c r="AQ427" i="7"/>
  <c r="AP427" i="7"/>
  <c r="AO427" i="7"/>
  <c r="AN427" i="7"/>
  <c r="AM427" i="7"/>
  <c r="AL427" i="7"/>
  <c r="AK427" i="7"/>
  <c r="AJ427" i="7"/>
  <c r="AI427" i="7"/>
  <c r="AH427" i="7"/>
  <c r="AG427" i="7"/>
  <c r="AF427" i="7"/>
  <c r="AE427" i="7"/>
  <c r="AD427" i="7"/>
  <c r="AC427" i="7"/>
  <c r="AB427" i="7"/>
  <c r="AA427" i="7"/>
  <c r="Z427" i="7"/>
  <c r="Y427" i="7"/>
  <c r="X427" i="7"/>
  <c r="W427" i="7"/>
  <c r="V427" i="7"/>
  <c r="U427" i="7"/>
  <c r="T427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G427" i="7"/>
  <c r="F427" i="7"/>
  <c r="C427" i="7"/>
  <c r="B427" i="7"/>
  <c r="CC426" i="7"/>
  <c r="CB426" i="7"/>
  <c r="CA426" i="7"/>
  <c r="BZ426" i="7"/>
  <c r="BY426" i="7"/>
  <c r="BX426" i="7"/>
  <c r="BW426" i="7"/>
  <c r="BV426" i="7"/>
  <c r="BU426" i="7"/>
  <c r="BT426" i="7"/>
  <c r="BS426" i="7"/>
  <c r="BR426" i="7"/>
  <c r="BQ426" i="7"/>
  <c r="BP426" i="7"/>
  <c r="BO426" i="7"/>
  <c r="BN426" i="7"/>
  <c r="BM426" i="7"/>
  <c r="BL426" i="7"/>
  <c r="BK426" i="7"/>
  <c r="BJ426" i="7"/>
  <c r="BI426" i="7"/>
  <c r="BH426" i="7"/>
  <c r="BG426" i="7"/>
  <c r="BF426" i="7"/>
  <c r="BE426" i="7"/>
  <c r="BD426" i="7"/>
  <c r="BC426" i="7"/>
  <c r="BB426" i="7"/>
  <c r="BA426" i="7"/>
  <c r="AZ426" i="7"/>
  <c r="AY426" i="7"/>
  <c r="AX426" i="7"/>
  <c r="AW426" i="7"/>
  <c r="AV426" i="7"/>
  <c r="AU426" i="7"/>
  <c r="AT426" i="7"/>
  <c r="AS426" i="7"/>
  <c r="AR426" i="7"/>
  <c r="AQ426" i="7"/>
  <c r="AP426" i="7"/>
  <c r="AO426" i="7"/>
  <c r="AN426" i="7"/>
  <c r="AM426" i="7"/>
  <c r="AL426" i="7"/>
  <c r="AK426" i="7"/>
  <c r="AJ426" i="7"/>
  <c r="AI426" i="7"/>
  <c r="AH426" i="7"/>
  <c r="AG426" i="7"/>
  <c r="AF426" i="7"/>
  <c r="AE426" i="7"/>
  <c r="AD426" i="7"/>
  <c r="AC426" i="7"/>
  <c r="AB426" i="7"/>
  <c r="AA426" i="7"/>
  <c r="Z426" i="7"/>
  <c r="Y426" i="7"/>
  <c r="X426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F426" i="7"/>
  <c r="C426" i="7"/>
  <c r="B426" i="7"/>
  <c r="B425" i="7"/>
  <c r="B424" i="7"/>
  <c r="B423" i="7"/>
  <c r="B422" i="7"/>
  <c r="CC421" i="7"/>
  <c r="CB421" i="7"/>
  <c r="CA421" i="7"/>
  <c r="BZ421" i="7"/>
  <c r="BY421" i="7"/>
  <c r="BX421" i="7"/>
  <c r="BW421" i="7"/>
  <c r="BV421" i="7"/>
  <c r="BU421" i="7"/>
  <c r="BT421" i="7"/>
  <c r="BS421" i="7"/>
  <c r="BR421" i="7"/>
  <c r="BQ421" i="7"/>
  <c r="BP421" i="7"/>
  <c r="BO421" i="7"/>
  <c r="BN421" i="7"/>
  <c r="BM421" i="7"/>
  <c r="BL421" i="7"/>
  <c r="BK421" i="7"/>
  <c r="BJ421" i="7"/>
  <c r="BI421" i="7"/>
  <c r="BH421" i="7"/>
  <c r="BG421" i="7"/>
  <c r="BF421" i="7"/>
  <c r="BE421" i="7"/>
  <c r="BD421" i="7"/>
  <c r="BC421" i="7"/>
  <c r="BB421" i="7"/>
  <c r="BA421" i="7"/>
  <c r="AZ421" i="7"/>
  <c r="AY421" i="7"/>
  <c r="AX421" i="7"/>
  <c r="AW421" i="7"/>
  <c r="AV421" i="7"/>
  <c r="AU421" i="7"/>
  <c r="AT421" i="7"/>
  <c r="AS421" i="7"/>
  <c r="AR421" i="7"/>
  <c r="AQ421" i="7"/>
  <c r="AP421" i="7"/>
  <c r="AO421" i="7"/>
  <c r="AN421" i="7"/>
  <c r="AM421" i="7"/>
  <c r="AL421" i="7"/>
  <c r="AK421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 s="1"/>
  <c r="C421" i="7"/>
  <c r="B421" i="7"/>
  <c r="CC420" i="7"/>
  <c r="CB420" i="7"/>
  <c r="CA420" i="7"/>
  <c r="BZ420" i="7"/>
  <c r="BY420" i="7"/>
  <c r="BX420" i="7"/>
  <c r="BW420" i="7"/>
  <c r="BV420" i="7"/>
  <c r="BU420" i="7"/>
  <c r="BT420" i="7"/>
  <c r="BS420" i="7"/>
  <c r="BR420" i="7"/>
  <c r="BQ420" i="7"/>
  <c r="BP420" i="7"/>
  <c r="BO420" i="7"/>
  <c r="BN420" i="7"/>
  <c r="BM420" i="7"/>
  <c r="BL420" i="7"/>
  <c r="BK420" i="7"/>
  <c r="BJ420" i="7"/>
  <c r="BI420" i="7"/>
  <c r="BH420" i="7"/>
  <c r="BG420" i="7"/>
  <c r="BF420" i="7"/>
  <c r="BE420" i="7"/>
  <c r="BD420" i="7"/>
  <c r="BC420" i="7"/>
  <c r="BB420" i="7"/>
  <c r="BA420" i="7"/>
  <c r="AZ420" i="7"/>
  <c r="AY420" i="7"/>
  <c r="AX420" i="7"/>
  <c r="AW420" i="7"/>
  <c r="AV420" i="7"/>
  <c r="AU420" i="7"/>
  <c r="AT420" i="7"/>
  <c r="AS420" i="7"/>
  <c r="AR420" i="7"/>
  <c r="AQ420" i="7"/>
  <c r="AP420" i="7"/>
  <c r="AO420" i="7"/>
  <c r="AN420" i="7"/>
  <c r="AM420" i="7"/>
  <c r="AL420" i="7"/>
  <c r="AK420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C420" i="7"/>
  <c r="B420" i="7"/>
  <c r="CC419" i="7"/>
  <c r="CB419" i="7"/>
  <c r="CA419" i="7"/>
  <c r="BZ419" i="7"/>
  <c r="BY419" i="7"/>
  <c r="BX419" i="7"/>
  <c r="BW419" i="7"/>
  <c r="BV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F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P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C419" i="7"/>
  <c r="B419" i="7"/>
  <c r="CC418" i="7"/>
  <c r="CB418" i="7"/>
  <c r="CA418" i="7"/>
  <c r="BZ418" i="7"/>
  <c r="BY418" i="7"/>
  <c r="BX418" i="7"/>
  <c r="BW418" i="7"/>
  <c r="BV418" i="7"/>
  <c r="BU418" i="7"/>
  <c r="BT418" i="7"/>
  <c r="BS418" i="7"/>
  <c r="BR418" i="7"/>
  <c r="BQ418" i="7"/>
  <c r="BP418" i="7"/>
  <c r="BO418" i="7"/>
  <c r="BN418" i="7"/>
  <c r="BM418" i="7"/>
  <c r="BL418" i="7"/>
  <c r="BK418" i="7"/>
  <c r="BJ418" i="7"/>
  <c r="BI418" i="7"/>
  <c r="BH418" i="7"/>
  <c r="BG418" i="7"/>
  <c r="BF418" i="7"/>
  <c r="BE418" i="7"/>
  <c r="BD418" i="7"/>
  <c r="BC418" i="7"/>
  <c r="BB418" i="7"/>
  <c r="BA418" i="7"/>
  <c r="AZ418" i="7"/>
  <c r="AY418" i="7"/>
  <c r="AX418" i="7"/>
  <c r="AW418" i="7"/>
  <c r="AV418" i="7"/>
  <c r="AU418" i="7"/>
  <c r="AT418" i="7"/>
  <c r="AS418" i="7"/>
  <c r="AR418" i="7"/>
  <c r="AQ418" i="7"/>
  <c r="AP418" i="7"/>
  <c r="AO418" i="7"/>
  <c r="AN418" i="7"/>
  <c r="AM418" i="7"/>
  <c r="AL418" i="7"/>
  <c r="AK418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 s="1"/>
  <c r="C418" i="7"/>
  <c r="B418" i="7"/>
  <c r="B417" i="7"/>
  <c r="B416" i="7"/>
  <c r="CC415" i="7"/>
  <c r="CB415" i="7"/>
  <c r="CA415" i="7"/>
  <c r="BZ415" i="7"/>
  <c r="BY415" i="7"/>
  <c r="BX415" i="7"/>
  <c r="BW415" i="7"/>
  <c r="BV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F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P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C415" i="7"/>
  <c r="B415" i="7"/>
  <c r="CC414" i="7"/>
  <c r="CB414" i="7"/>
  <c r="CA414" i="7"/>
  <c r="BZ414" i="7"/>
  <c r="BY414" i="7"/>
  <c r="BX414" i="7"/>
  <c r="BW414" i="7"/>
  <c r="BV414" i="7"/>
  <c r="BU414" i="7"/>
  <c r="BT414" i="7"/>
  <c r="BS414" i="7"/>
  <c r="BR414" i="7"/>
  <c r="BQ414" i="7"/>
  <c r="BP414" i="7"/>
  <c r="BO414" i="7"/>
  <c r="BN414" i="7"/>
  <c r="BM414" i="7"/>
  <c r="BL414" i="7"/>
  <c r="BK414" i="7"/>
  <c r="BJ414" i="7"/>
  <c r="BI414" i="7"/>
  <c r="BH414" i="7"/>
  <c r="BG414" i="7"/>
  <c r="BF414" i="7"/>
  <c r="BE414" i="7"/>
  <c r="BD414" i="7"/>
  <c r="BC414" i="7"/>
  <c r="BB414" i="7"/>
  <c r="BA414" i="7"/>
  <c r="AZ414" i="7"/>
  <c r="AY414" i="7"/>
  <c r="AX414" i="7"/>
  <c r="AW414" i="7"/>
  <c r="AV414" i="7"/>
  <c r="AU414" i="7"/>
  <c r="AT414" i="7"/>
  <c r="AS414" i="7"/>
  <c r="AR414" i="7"/>
  <c r="AQ414" i="7"/>
  <c r="AP414" i="7"/>
  <c r="AO414" i="7"/>
  <c r="AN414" i="7"/>
  <c r="AM414" i="7"/>
  <c r="AL414" i="7"/>
  <c r="AK414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C414" i="7"/>
  <c r="B414" i="7"/>
  <c r="B413" i="7"/>
  <c r="B412" i="7"/>
  <c r="B411" i="7"/>
  <c r="B410" i="7"/>
  <c r="CC409" i="7"/>
  <c r="CB409" i="7"/>
  <c r="CA409" i="7"/>
  <c r="BZ409" i="7"/>
  <c r="BY409" i="7"/>
  <c r="BX409" i="7"/>
  <c r="BW409" i="7"/>
  <c r="BV409" i="7"/>
  <c r="BU409" i="7"/>
  <c r="BT409" i="7"/>
  <c r="BS409" i="7"/>
  <c r="BR409" i="7"/>
  <c r="BQ409" i="7"/>
  <c r="BP409" i="7"/>
  <c r="BO409" i="7"/>
  <c r="BN409" i="7"/>
  <c r="BM409" i="7"/>
  <c r="BL409" i="7"/>
  <c r="BK409" i="7"/>
  <c r="BJ409" i="7"/>
  <c r="BI409" i="7"/>
  <c r="BH409" i="7"/>
  <c r="BG409" i="7"/>
  <c r="BF409" i="7"/>
  <c r="BE409" i="7"/>
  <c r="BD409" i="7"/>
  <c r="BC409" i="7"/>
  <c r="BB409" i="7"/>
  <c r="BA409" i="7"/>
  <c r="AZ409" i="7"/>
  <c r="AY409" i="7"/>
  <c r="AX409" i="7"/>
  <c r="AW409" i="7"/>
  <c r="AV409" i="7"/>
  <c r="AU409" i="7"/>
  <c r="AT409" i="7"/>
  <c r="AS409" i="7"/>
  <c r="AR409" i="7"/>
  <c r="AQ409" i="7"/>
  <c r="AP409" i="7"/>
  <c r="AO409" i="7"/>
  <c r="AN409" i="7"/>
  <c r="AM409" i="7"/>
  <c r="AL409" i="7"/>
  <c r="AK409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G409" i="7"/>
  <c r="F409" i="7"/>
  <c r="E409" i="7" s="1"/>
  <c r="C409" i="7"/>
  <c r="B409" i="7"/>
  <c r="CC408" i="7"/>
  <c r="CB408" i="7"/>
  <c r="CA408" i="7"/>
  <c r="BZ408" i="7"/>
  <c r="BY408" i="7"/>
  <c r="BX408" i="7"/>
  <c r="BW408" i="7"/>
  <c r="BV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F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P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G408" i="7"/>
  <c r="F408" i="7"/>
  <c r="C408" i="7"/>
  <c r="B408" i="7"/>
  <c r="B407" i="7"/>
  <c r="B406" i="7"/>
  <c r="CC405" i="7"/>
  <c r="CB405" i="7"/>
  <c r="CA405" i="7"/>
  <c r="BZ405" i="7"/>
  <c r="BY405" i="7"/>
  <c r="BX405" i="7"/>
  <c r="BW405" i="7"/>
  <c r="BV405" i="7"/>
  <c r="BU405" i="7"/>
  <c r="BT405" i="7"/>
  <c r="BS405" i="7"/>
  <c r="BR405" i="7"/>
  <c r="BQ405" i="7"/>
  <c r="BP405" i="7"/>
  <c r="BO405" i="7"/>
  <c r="BN405" i="7"/>
  <c r="BM405" i="7"/>
  <c r="BL405" i="7"/>
  <c r="BK405" i="7"/>
  <c r="BJ405" i="7"/>
  <c r="BI405" i="7"/>
  <c r="BH405" i="7"/>
  <c r="BG405" i="7"/>
  <c r="BF405" i="7"/>
  <c r="BE405" i="7"/>
  <c r="BD405" i="7"/>
  <c r="BC405" i="7"/>
  <c r="BB405" i="7"/>
  <c r="BA405" i="7"/>
  <c r="AZ405" i="7"/>
  <c r="AY405" i="7"/>
  <c r="AX405" i="7"/>
  <c r="AW405" i="7"/>
  <c r="AV405" i="7"/>
  <c r="AU405" i="7"/>
  <c r="AT405" i="7"/>
  <c r="AS405" i="7"/>
  <c r="AR405" i="7"/>
  <c r="AQ405" i="7"/>
  <c r="AP405" i="7"/>
  <c r="AO405" i="7"/>
  <c r="AN405" i="7"/>
  <c r="AM405" i="7"/>
  <c r="AL405" i="7"/>
  <c r="AK405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F405" i="7"/>
  <c r="C405" i="7"/>
  <c r="B405" i="7"/>
  <c r="CC404" i="7"/>
  <c r="CB404" i="7"/>
  <c r="CA404" i="7"/>
  <c r="BZ404" i="7"/>
  <c r="BY404" i="7"/>
  <c r="BX404" i="7"/>
  <c r="BW404" i="7"/>
  <c r="BV404" i="7"/>
  <c r="BU404" i="7"/>
  <c r="BT404" i="7"/>
  <c r="BS404" i="7"/>
  <c r="BR404" i="7"/>
  <c r="BQ404" i="7"/>
  <c r="BP404" i="7"/>
  <c r="BO404" i="7"/>
  <c r="BN404" i="7"/>
  <c r="BM404" i="7"/>
  <c r="BL404" i="7"/>
  <c r="BK404" i="7"/>
  <c r="BJ404" i="7"/>
  <c r="BI404" i="7"/>
  <c r="BH404" i="7"/>
  <c r="BG404" i="7"/>
  <c r="BF404" i="7"/>
  <c r="BE404" i="7"/>
  <c r="BD404" i="7"/>
  <c r="BC404" i="7"/>
  <c r="BB404" i="7"/>
  <c r="BA404" i="7"/>
  <c r="AZ404" i="7"/>
  <c r="AY404" i="7"/>
  <c r="AX404" i="7"/>
  <c r="AW404" i="7"/>
  <c r="AV404" i="7"/>
  <c r="AU404" i="7"/>
  <c r="AT404" i="7"/>
  <c r="AS404" i="7"/>
  <c r="AR404" i="7"/>
  <c r="AQ404" i="7"/>
  <c r="AP404" i="7"/>
  <c r="AO404" i="7"/>
  <c r="AN404" i="7"/>
  <c r="AM404" i="7"/>
  <c r="AL404" i="7"/>
  <c r="AK404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F404" i="7"/>
  <c r="E404" i="7" s="1"/>
  <c r="C404" i="7"/>
  <c r="B404" i="7"/>
  <c r="CC403" i="7"/>
  <c r="CB403" i="7"/>
  <c r="CA403" i="7"/>
  <c r="BZ403" i="7"/>
  <c r="BY403" i="7"/>
  <c r="BX403" i="7"/>
  <c r="BW403" i="7"/>
  <c r="BV403" i="7"/>
  <c r="BU403" i="7"/>
  <c r="BT403" i="7"/>
  <c r="BS403" i="7"/>
  <c r="BR403" i="7"/>
  <c r="BQ403" i="7"/>
  <c r="BP403" i="7"/>
  <c r="BO403" i="7"/>
  <c r="BN403" i="7"/>
  <c r="BM403" i="7"/>
  <c r="BL403" i="7"/>
  <c r="BK403" i="7"/>
  <c r="BJ403" i="7"/>
  <c r="BI403" i="7"/>
  <c r="BH403" i="7"/>
  <c r="BG403" i="7"/>
  <c r="BF403" i="7"/>
  <c r="BE403" i="7"/>
  <c r="BD403" i="7"/>
  <c r="BC403" i="7"/>
  <c r="BB403" i="7"/>
  <c r="BA403" i="7"/>
  <c r="AZ403" i="7"/>
  <c r="AY403" i="7"/>
  <c r="AX403" i="7"/>
  <c r="AW403" i="7"/>
  <c r="AV403" i="7"/>
  <c r="AU403" i="7"/>
  <c r="AT403" i="7"/>
  <c r="AS403" i="7"/>
  <c r="AR403" i="7"/>
  <c r="AQ403" i="7"/>
  <c r="AP403" i="7"/>
  <c r="AO403" i="7"/>
  <c r="AN403" i="7"/>
  <c r="AM403" i="7"/>
  <c r="AL403" i="7"/>
  <c r="AK403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C403" i="7"/>
  <c r="B403" i="7"/>
  <c r="CC402" i="7"/>
  <c r="CB402" i="7"/>
  <c r="CA402" i="7"/>
  <c r="BZ402" i="7"/>
  <c r="BY402" i="7"/>
  <c r="BX402" i="7"/>
  <c r="BW402" i="7"/>
  <c r="BV402" i="7"/>
  <c r="BU402" i="7"/>
  <c r="BT402" i="7"/>
  <c r="BS402" i="7"/>
  <c r="BR402" i="7"/>
  <c r="BQ402" i="7"/>
  <c r="BP402" i="7"/>
  <c r="BO402" i="7"/>
  <c r="BN402" i="7"/>
  <c r="BM402" i="7"/>
  <c r="BL402" i="7"/>
  <c r="BK402" i="7"/>
  <c r="BJ402" i="7"/>
  <c r="BI402" i="7"/>
  <c r="BH402" i="7"/>
  <c r="BG402" i="7"/>
  <c r="BF402" i="7"/>
  <c r="BE402" i="7"/>
  <c r="BD402" i="7"/>
  <c r="BC402" i="7"/>
  <c r="BB402" i="7"/>
  <c r="BA402" i="7"/>
  <c r="AZ402" i="7"/>
  <c r="AY402" i="7"/>
  <c r="AX402" i="7"/>
  <c r="AW402" i="7"/>
  <c r="AV402" i="7"/>
  <c r="AU402" i="7"/>
  <c r="AT402" i="7"/>
  <c r="AS402" i="7"/>
  <c r="AR402" i="7"/>
  <c r="AQ402" i="7"/>
  <c r="AP402" i="7"/>
  <c r="AO402" i="7"/>
  <c r="AN402" i="7"/>
  <c r="AM402" i="7"/>
  <c r="AL402" i="7"/>
  <c r="AK402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F402" i="7"/>
  <c r="C402" i="7"/>
  <c r="B402" i="7"/>
  <c r="CC401" i="7"/>
  <c r="CB401" i="7"/>
  <c r="CA401" i="7"/>
  <c r="BZ401" i="7"/>
  <c r="BY401" i="7"/>
  <c r="BX401" i="7"/>
  <c r="BW401" i="7"/>
  <c r="BV401" i="7"/>
  <c r="BU401" i="7"/>
  <c r="BT401" i="7"/>
  <c r="BS401" i="7"/>
  <c r="BR401" i="7"/>
  <c r="BQ401" i="7"/>
  <c r="BP401" i="7"/>
  <c r="BO401" i="7"/>
  <c r="BN401" i="7"/>
  <c r="BM401" i="7"/>
  <c r="BL401" i="7"/>
  <c r="BK401" i="7"/>
  <c r="BJ401" i="7"/>
  <c r="BI401" i="7"/>
  <c r="BH401" i="7"/>
  <c r="BG401" i="7"/>
  <c r="BF401" i="7"/>
  <c r="BE401" i="7"/>
  <c r="BD401" i="7"/>
  <c r="BC401" i="7"/>
  <c r="BB401" i="7"/>
  <c r="BA401" i="7"/>
  <c r="AZ401" i="7"/>
  <c r="AY401" i="7"/>
  <c r="AX401" i="7"/>
  <c r="AW401" i="7"/>
  <c r="AV401" i="7"/>
  <c r="AU401" i="7"/>
  <c r="AT401" i="7"/>
  <c r="AS401" i="7"/>
  <c r="AR401" i="7"/>
  <c r="AQ401" i="7"/>
  <c r="AP401" i="7"/>
  <c r="AO401" i="7"/>
  <c r="AN401" i="7"/>
  <c r="AM401" i="7"/>
  <c r="AL401" i="7"/>
  <c r="AK401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 s="1"/>
  <c r="C401" i="7"/>
  <c r="B401" i="7"/>
  <c r="CC400" i="7"/>
  <c r="CB400" i="7"/>
  <c r="CA400" i="7"/>
  <c r="BZ400" i="7"/>
  <c r="BY400" i="7"/>
  <c r="BX400" i="7"/>
  <c r="BW400" i="7"/>
  <c r="BV400" i="7"/>
  <c r="BU400" i="7"/>
  <c r="BT400" i="7"/>
  <c r="BS400" i="7"/>
  <c r="BR400" i="7"/>
  <c r="BQ400" i="7"/>
  <c r="BP400" i="7"/>
  <c r="BO400" i="7"/>
  <c r="BN400" i="7"/>
  <c r="BM400" i="7"/>
  <c r="BL400" i="7"/>
  <c r="BK400" i="7"/>
  <c r="BJ400" i="7"/>
  <c r="BI400" i="7"/>
  <c r="BH400" i="7"/>
  <c r="BG400" i="7"/>
  <c r="BF400" i="7"/>
  <c r="BE400" i="7"/>
  <c r="BD400" i="7"/>
  <c r="BC400" i="7"/>
  <c r="BB400" i="7"/>
  <c r="BA400" i="7"/>
  <c r="AZ400" i="7"/>
  <c r="AY400" i="7"/>
  <c r="AX400" i="7"/>
  <c r="AW400" i="7"/>
  <c r="AV400" i="7"/>
  <c r="AU400" i="7"/>
  <c r="AT400" i="7"/>
  <c r="AS400" i="7"/>
  <c r="AR400" i="7"/>
  <c r="AQ400" i="7"/>
  <c r="AP400" i="7"/>
  <c r="AO400" i="7"/>
  <c r="AN400" i="7"/>
  <c r="AM400" i="7"/>
  <c r="AL400" i="7"/>
  <c r="AK400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F400" i="7"/>
  <c r="E400" i="7" s="1"/>
  <c r="C400" i="7"/>
  <c r="B400" i="7"/>
  <c r="B399" i="7"/>
  <c r="B398" i="7"/>
  <c r="B397" i="7"/>
  <c r="B396" i="7"/>
  <c r="CC395" i="7"/>
  <c r="CB395" i="7"/>
  <c r="CA395" i="7"/>
  <c r="BZ395" i="7"/>
  <c r="BY395" i="7"/>
  <c r="BX395" i="7"/>
  <c r="BW395" i="7"/>
  <c r="BV395" i="7"/>
  <c r="BU395" i="7"/>
  <c r="BT395" i="7"/>
  <c r="BS395" i="7"/>
  <c r="BR395" i="7"/>
  <c r="BQ395" i="7"/>
  <c r="BP395" i="7"/>
  <c r="BO395" i="7"/>
  <c r="BN395" i="7"/>
  <c r="BM395" i="7"/>
  <c r="BL395" i="7"/>
  <c r="BK395" i="7"/>
  <c r="BJ395" i="7"/>
  <c r="BI395" i="7"/>
  <c r="BH395" i="7"/>
  <c r="BG395" i="7"/>
  <c r="BF395" i="7"/>
  <c r="BE395" i="7"/>
  <c r="BD395" i="7"/>
  <c r="BC395" i="7"/>
  <c r="BB395" i="7"/>
  <c r="BA395" i="7"/>
  <c r="AZ395" i="7"/>
  <c r="AY395" i="7"/>
  <c r="AX395" i="7"/>
  <c r="AW395" i="7"/>
  <c r="AV395" i="7"/>
  <c r="AU395" i="7"/>
  <c r="AT395" i="7"/>
  <c r="AS395" i="7"/>
  <c r="AR395" i="7"/>
  <c r="AQ395" i="7"/>
  <c r="AP395" i="7"/>
  <c r="AO395" i="7"/>
  <c r="AN395" i="7"/>
  <c r="AM395" i="7"/>
  <c r="AL395" i="7"/>
  <c r="AK395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F395" i="7"/>
  <c r="C395" i="7"/>
  <c r="B395" i="7"/>
  <c r="CC394" i="7"/>
  <c r="CB394" i="7"/>
  <c r="CA394" i="7"/>
  <c r="BZ394" i="7"/>
  <c r="BY394" i="7"/>
  <c r="BX394" i="7"/>
  <c r="BW394" i="7"/>
  <c r="BV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F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P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F394" i="7"/>
  <c r="C394" i="7"/>
  <c r="B394" i="7"/>
  <c r="CC393" i="7"/>
  <c r="CB393" i="7"/>
  <c r="CA393" i="7"/>
  <c r="BZ393" i="7"/>
  <c r="BY393" i="7"/>
  <c r="BX393" i="7"/>
  <c r="BW393" i="7"/>
  <c r="BV393" i="7"/>
  <c r="BU393" i="7"/>
  <c r="BT393" i="7"/>
  <c r="BS393" i="7"/>
  <c r="BR393" i="7"/>
  <c r="BQ393" i="7"/>
  <c r="BP393" i="7"/>
  <c r="BO393" i="7"/>
  <c r="BN393" i="7"/>
  <c r="BM393" i="7"/>
  <c r="BL393" i="7"/>
  <c r="BK393" i="7"/>
  <c r="BJ393" i="7"/>
  <c r="BI393" i="7"/>
  <c r="BH393" i="7"/>
  <c r="BG393" i="7"/>
  <c r="BF393" i="7"/>
  <c r="BE393" i="7"/>
  <c r="BD393" i="7"/>
  <c r="BC393" i="7"/>
  <c r="BB393" i="7"/>
  <c r="BA393" i="7"/>
  <c r="AZ393" i="7"/>
  <c r="AY393" i="7"/>
  <c r="AX393" i="7"/>
  <c r="AW393" i="7"/>
  <c r="AV393" i="7"/>
  <c r="AU393" i="7"/>
  <c r="AT393" i="7"/>
  <c r="AS393" i="7"/>
  <c r="AR393" i="7"/>
  <c r="AQ393" i="7"/>
  <c r="AP393" i="7"/>
  <c r="AO393" i="7"/>
  <c r="AN393" i="7"/>
  <c r="AM393" i="7"/>
  <c r="AL393" i="7"/>
  <c r="AK393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F393" i="7"/>
  <c r="C393" i="7"/>
  <c r="B393" i="7"/>
  <c r="CC392" i="7"/>
  <c r="CB392" i="7"/>
  <c r="CA392" i="7"/>
  <c r="BZ392" i="7"/>
  <c r="BY392" i="7"/>
  <c r="BX392" i="7"/>
  <c r="BW392" i="7"/>
  <c r="BV392" i="7"/>
  <c r="BU392" i="7"/>
  <c r="BT392" i="7"/>
  <c r="BS392" i="7"/>
  <c r="BR392" i="7"/>
  <c r="BQ392" i="7"/>
  <c r="BP392" i="7"/>
  <c r="BO392" i="7"/>
  <c r="BN392" i="7"/>
  <c r="BM392" i="7"/>
  <c r="BL392" i="7"/>
  <c r="BK392" i="7"/>
  <c r="BJ392" i="7"/>
  <c r="BI392" i="7"/>
  <c r="BH392" i="7"/>
  <c r="BG392" i="7"/>
  <c r="BF392" i="7"/>
  <c r="BE392" i="7"/>
  <c r="BD392" i="7"/>
  <c r="BC392" i="7"/>
  <c r="BB392" i="7"/>
  <c r="BA392" i="7"/>
  <c r="AZ392" i="7"/>
  <c r="AY392" i="7"/>
  <c r="AX392" i="7"/>
  <c r="AW392" i="7"/>
  <c r="AV392" i="7"/>
  <c r="AU392" i="7"/>
  <c r="AT392" i="7"/>
  <c r="AS392" i="7"/>
  <c r="AR392" i="7"/>
  <c r="AQ392" i="7"/>
  <c r="AP392" i="7"/>
  <c r="AO392" i="7"/>
  <c r="AN392" i="7"/>
  <c r="AM392" i="7"/>
  <c r="AL392" i="7"/>
  <c r="AK392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C392" i="7"/>
  <c r="B392" i="7"/>
  <c r="B391" i="7"/>
  <c r="B390" i="7"/>
  <c r="B389" i="7"/>
  <c r="B388" i="7"/>
  <c r="B387" i="7"/>
  <c r="B386" i="7"/>
  <c r="CC385" i="7"/>
  <c r="CB385" i="7"/>
  <c r="CA385" i="7"/>
  <c r="BZ385" i="7"/>
  <c r="BY385" i="7"/>
  <c r="BX385" i="7"/>
  <c r="BW385" i="7"/>
  <c r="BV385" i="7"/>
  <c r="BU385" i="7"/>
  <c r="BT385" i="7"/>
  <c r="BS385" i="7"/>
  <c r="BR385" i="7"/>
  <c r="BQ385" i="7"/>
  <c r="BP385" i="7"/>
  <c r="BO385" i="7"/>
  <c r="BN385" i="7"/>
  <c r="BM385" i="7"/>
  <c r="BL385" i="7"/>
  <c r="BK385" i="7"/>
  <c r="BJ385" i="7"/>
  <c r="BI385" i="7"/>
  <c r="BH385" i="7"/>
  <c r="BG385" i="7"/>
  <c r="BF385" i="7"/>
  <c r="BE385" i="7"/>
  <c r="BD385" i="7"/>
  <c r="BC385" i="7"/>
  <c r="BB385" i="7"/>
  <c r="BA385" i="7"/>
  <c r="AZ385" i="7"/>
  <c r="AY385" i="7"/>
  <c r="AX385" i="7"/>
  <c r="AW385" i="7"/>
  <c r="AV385" i="7"/>
  <c r="AU385" i="7"/>
  <c r="AT385" i="7"/>
  <c r="AS385" i="7"/>
  <c r="AR385" i="7"/>
  <c r="AQ385" i="7"/>
  <c r="AP385" i="7"/>
  <c r="AO385" i="7"/>
  <c r="AN385" i="7"/>
  <c r="AM385" i="7"/>
  <c r="AL385" i="7"/>
  <c r="AK385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F385" i="7"/>
  <c r="E385" i="7" s="1"/>
  <c r="C385" i="7"/>
  <c r="B385" i="7"/>
  <c r="CC384" i="7"/>
  <c r="CB384" i="7"/>
  <c r="CA384" i="7"/>
  <c r="BZ384" i="7"/>
  <c r="BY384" i="7"/>
  <c r="BX384" i="7"/>
  <c r="BW384" i="7"/>
  <c r="BV384" i="7"/>
  <c r="BU384" i="7"/>
  <c r="BT384" i="7"/>
  <c r="BS384" i="7"/>
  <c r="BR384" i="7"/>
  <c r="BQ384" i="7"/>
  <c r="BP384" i="7"/>
  <c r="BO384" i="7"/>
  <c r="BN384" i="7"/>
  <c r="BM384" i="7"/>
  <c r="BL384" i="7"/>
  <c r="BK384" i="7"/>
  <c r="BJ384" i="7"/>
  <c r="BI384" i="7"/>
  <c r="BH384" i="7"/>
  <c r="BG384" i="7"/>
  <c r="BF384" i="7"/>
  <c r="BE384" i="7"/>
  <c r="BD384" i="7"/>
  <c r="BC384" i="7"/>
  <c r="BB384" i="7"/>
  <c r="BA384" i="7"/>
  <c r="AZ384" i="7"/>
  <c r="AY384" i="7"/>
  <c r="AX384" i="7"/>
  <c r="AW384" i="7"/>
  <c r="AV384" i="7"/>
  <c r="AU384" i="7"/>
  <c r="AT384" i="7"/>
  <c r="AS384" i="7"/>
  <c r="AR384" i="7"/>
  <c r="AQ384" i="7"/>
  <c r="AP384" i="7"/>
  <c r="AO384" i="7"/>
  <c r="AN384" i="7"/>
  <c r="AM384" i="7"/>
  <c r="AL384" i="7"/>
  <c r="AK384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C384" i="7"/>
  <c r="B384" i="7"/>
  <c r="CC383" i="7"/>
  <c r="CB383" i="7"/>
  <c r="CA383" i="7"/>
  <c r="BZ383" i="7"/>
  <c r="BY383" i="7"/>
  <c r="BX383" i="7"/>
  <c r="BW383" i="7"/>
  <c r="BV383" i="7"/>
  <c r="BU383" i="7"/>
  <c r="BT383" i="7"/>
  <c r="BS383" i="7"/>
  <c r="BR383" i="7"/>
  <c r="BQ383" i="7"/>
  <c r="BP383" i="7"/>
  <c r="BO383" i="7"/>
  <c r="BN383" i="7"/>
  <c r="BM383" i="7"/>
  <c r="BL383" i="7"/>
  <c r="BK383" i="7"/>
  <c r="BJ383" i="7"/>
  <c r="BI383" i="7"/>
  <c r="BH383" i="7"/>
  <c r="BG383" i="7"/>
  <c r="BF383" i="7"/>
  <c r="BE383" i="7"/>
  <c r="BD383" i="7"/>
  <c r="BC383" i="7"/>
  <c r="BB383" i="7"/>
  <c r="BA383" i="7"/>
  <c r="AZ383" i="7"/>
  <c r="AY383" i="7"/>
  <c r="AX383" i="7"/>
  <c r="AW383" i="7"/>
  <c r="AV383" i="7"/>
  <c r="AU383" i="7"/>
  <c r="AT383" i="7"/>
  <c r="AS383" i="7"/>
  <c r="AR383" i="7"/>
  <c r="AQ383" i="7"/>
  <c r="AP383" i="7"/>
  <c r="AO383" i="7"/>
  <c r="AN383" i="7"/>
  <c r="AM383" i="7"/>
  <c r="AL383" i="7"/>
  <c r="AK383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E383" i="7" s="1"/>
  <c r="F383" i="7"/>
  <c r="C383" i="7"/>
  <c r="B383" i="7"/>
  <c r="CC382" i="7"/>
  <c r="CB382" i="7"/>
  <c r="CA382" i="7"/>
  <c r="BZ382" i="7"/>
  <c r="BY382" i="7"/>
  <c r="BX382" i="7"/>
  <c r="BW382" i="7"/>
  <c r="BV382" i="7"/>
  <c r="BU382" i="7"/>
  <c r="BT382" i="7"/>
  <c r="BS382" i="7"/>
  <c r="BR382" i="7"/>
  <c r="BQ382" i="7"/>
  <c r="BP382" i="7"/>
  <c r="BO382" i="7"/>
  <c r="BN382" i="7"/>
  <c r="BM382" i="7"/>
  <c r="BL382" i="7"/>
  <c r="BK382" i="7"/>
  <c r="BJ382" i="7"/>
  <c r="BI382" i="7"/>
  <c r="BH382" i="7"/>
  <c r="BG382" i="7"/>
  <c r="BF382" i="7"/>
  <c r="BE382" i="7"/>
  <c r="BD382" i="7"/>
  <c r="BC382" i="7"/>
  <c r="BB382" i="7"/>
  <c r="BA382" i="7"/>
  <c r="AZ382" i="7"/>
  <c r="AY382" i="7"/>
  <c r="AX382" i="7"/>
  <c r="AW382" i="7"/>
  <c r="AV382" i="7"/>
  <c r="AU382" i="7"/>
  <c r="AT382" i="7"/>
  <c r="AS382" i="7"/>
  <c r="AR382" i="7"/>
  <c r="AQ382" i="7"/>
  <c r="AP382" i="7"/>
  <c r="AO382" i="7"/>
  <c r="AN382" i="7"/>
  <c r="AM382" i="7"/>
  <c r="AL382" i="7"/>
  <c r="AK382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F382" i="7"/>
  <c r="C382" i="7"/>
  <c r="B382" i="7"/>
  <c r="CC381" i="7"/>
  <c r="CB381" i="7"/>
  <c r="CA381" i="7"/>
  <c r="BZ381" i="7"/>
  <c r="BY381" i="7"/>
  <c r="BX381" i="7"/>
  <c r="BW381" i="7"/>
  <c r="BV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F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P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C381" i="7"/>
  <c r="B381" i="7"/>
  <c r="CC380" i="7"/>
  <c r="CB380" i="7"/>
  <c r="CA380" i="7"/>
  <c r="BZ380" i="7"/>
  <c r="BY380" i="7"/>
  <c r="BX380" i="7"/>
  <c r="BW380" i="7"/>
  <c r="BV380" i="7"/>
  <c r="BU380" i="7"/>
  <c r="BT380" i="7"/>
  <c r="BS380" i="7"/>
  <c r="BR380" i="7"/>
  <c r="BQ380" i="7"/>
  <c r="BP380" i="7"/>
  <c r="BO380" i="7"/>
  <c r="BN380" i="7"/>
  <c r="BM380" i="7"/>
  <c r="BL380" i="7"/>
  <c r="BK380" i="7"/>
  <c r="BJ380" i="7"/>
  <c r="BI380" i="7"/>
  <c r="BH380" i="7"/>
  <c r="BG380" i="7"/>
  <c r="BF380" i="7"/>
  <c r="BE380" i="7"/>
  <c r="BD380" i="7"/>
  <c r="BC380" i="7"/>
  <c r="BB380" i="7"/>
  <c r="BA380" i="7"/>
  <c r="AZ380" i="7"/>
  <c r="AY380" i="7"/>
  <c r="AX380" i="7"/>
  <c r="AW380" i="7"/>
  <c r="AV380" i="7"/>
  <c r="AU380" i="7"/>
  <c r="AT380" i="7"/>
  <c r="AS380" i="7"/>
  <c r="AR380" i="7"/>
  <c r="AQ380" i="7"/>
  <c r="AP380" i="7"/>
  <c r="AO380" i="7"/>
  <c r="AN380" i="7"/>
  <c r="AM380" i="7"/>
  <c r="AL380" i="7"/>
  <c r="AK380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C380" i="7"/>
  <c r="B380" i="7"/>
  <c r="B379" i="7"/>
  <c r="B378" i="7"/>
  <c r="CC377" i="7"/>
  <c r="CB377" i="7"/>
  <c r="CA377" i="7"/>
  <c r="BZ377" i="7"/>
  <c r="BY377" i="7"/>
  <c r="BX377" i="7"/>
  <c r="BW377" i="7"/>
  <c r="BV377" i="7"/>
  <c r="BU377" i="7"/>
  <c r="BT377" i="7"/>
  <c r="BS377" i="7"/>
  <c r="BR377" i="7"/>
  <c r="BQ377" i="7"/>
  <c r="BP377" i="7"/>
  <c r="BO377" i="7"/>
  <c r="BN377" i="7"/>
  <c r="BM377" i="7"/>
  <c r="BL377" i="7"/>
  <c r="BK377" i="7"/>
  <c r="BJ377" i="7"/>
  <c r="BI377" i="7"/>
  <c r="BH377" i="7"/>
  <c r="BG377" i="7"/>
  <c r="BF377" i="7"/>
  <c r="BE377" i="7"/>
  <c r="BD377" i="7"/>
  <c r="BC377" i="7"/>
  <c r="BB377" i="7"/>
  <c r="BA377" i="7"/>
  <c r="AZ377" i="7"/>
  <c r="AY377" i="7"/>
  <c r="AX377" i="7"/>
  <c r="AW377" i="7"/>
  <c r="AV377" i="7"/>
  <c r="AU377" i="7"/>
  <c r="AT377" i="7"/>
  <c r="AS377" i="7"/>
  <c r="AR377" i="7"/>
  <c r="AQ377" i="7"/>
  <c r="AP377" i="7"/>
  <c r="AO377" i="7"/>
  <c r="AN377" i="7"/>
  <c r="AM377" i="7"/>
  <c r="AL377" i="7"/>
  <c r="AK377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F377" i="7"/>
  <c r="E377" i="7" s="1"/>
  <c r="C377" i="7"/>
  <c r="B377" i="7"/>
  <c r="CC376" i="7"/>
  <c r="CB376" i="7"/>
  <c r="CA376" i="7"/>
  <c r="BZ376" i="7"/>
  <c r="BY376" i="7"/>
  <c r="BX376" i="7"/>
  <c r="BW376" i="7"/>
  <c r="BV376" i="7"/>
  <c r="BU376" i="7"/>
  <c r="BT376" i="7"/>
  <c r="BS376" i="7"/>
  <c r="BR376" i="7"/>
  <c r="BQ376" i="7"/>
  <c r="BP376" i="7"/>
  <c r="BO376" i="7"/>
  <c r="BN376" i="7"/>
  <c r="BM376" i="7"/>
  <c r="BL376" i="7"/>
  <c r="BK376" i="7"/>
  <c r="BJ376" i="7"/>
  <c r="BI376" i="7"/>
  <c r="BH376" i="7"/>
  <c r="BG376" i="7"/>
  <c r="BF376" i="7"/>
  <c r="BE376" i="7"/>
  <c r="BD376" i="7"/>
  <c r="BC376" i="7"/>
  <c r="BB376" i="7"/>
  <c r="BA376" i="7"/>
  <c r="AZ376" i="7"/>
  <c r="AY376" i="7"/>
  <c r="AX376" i="7"/>
  <c r="AW376" i="7"/>
  <c r="AV376" i="7"/>
  <c r="AU376" i="7"/>
  <c r="AT376" i="7"/>
  <c r="AS376" i="7"/>
  <c r="AR376" i="7"/>
  <c r="AQ376" i="7"/>
  <c r="AP376" i="7"/>
  <c r="AO376" i="7"/>
  <c r="AN376" i="7"/>
  <c r="AM376" i="7"/>
  <c r="AL376" i="7"/>
  <c r="AK376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F376" i="7"/>
  <c r="C376" i="7"/>
  <c r="B376" i="7"/>
  <c r="CC375" i="7"/>
  <c r="CB375" i="7"/>
  <c r="CA375" i="7"/>
  <c r="BZ375" i="7"/>
  <c r="BY375" i="7"/>
  <c r="BX375" i="7"/>
  <c r="BW375" i="7"/>
  <c r="BV375" i="7"/>
  <c r="BU375" i="7"/>
  <c r="BT375" i="7"/>
  <c r="BS375" i="7"/>
  <c r="BR375" i="7"/>
  <c r="BQ375" i="7"/>
  <c r="BP375" i="7"/>
  <c r="BO375" i="7"/>
  <c r="BN375" i="7"/>
  <c r="BM375" i="7"/>
  <c r="BL375" i="7"/>
  <c r="BK375" i="7"/>
  <c r="BJ375" i="7"/>
  <c r="BI375" i="7"/>
  <c r="BH375" i="7"/>
  <c r="BG375" i="7"/>
  <c r="BF375" i="7"/>
  <c r="BE375" i="7"/>
  <c r="BD375" i="7"/>
  <c r="BC375" i="7"/>
  <c r="BB375" i="7"/>
  <c r="BA375" i="7"/>
  <c r="AZ375" i="7"/>
  <c r="AY375" i="7"/>
  <c r="AX375" i="7"/>
  <c r="AW375" i="7"/>
  <c r="AV375" i="7"/>
  <c r="AU375" i="7"/>
  <c r="AT375" i="7"/>
  <c r="AS375" i="7"/>
  <c r="AR375" i="7"/>
  <c r="AQ375" i="7"/>
  <c r="AP375" i="7"/>
  <c r="AO375" i="7"/>
  <c r="AN375" i="7"/>
  <c r="AM375" i="7"/>
  <c r="AL375" i="7"/>
  <c r="AK375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F375" i="7"/>
  <c r="C375" i="7"/>
  <c r="B375" i="7"/>
  <c r="CC374" i="7"/>
  <c r="CB374" i="7"/>
  <c r="CA374" i="7"/>
  <c r="BZ374" i="7"/>
  <c r="BY374" i="7"/>
  <c r="BX374" i="7"/>
  <c r="BW374" i="7"/>
  <c r="BV374" i="7"/>
  <c r="BU374" i="7"/>
  <c r="BT374" i="7"/>
  <c r="BS374" i="7"/>
  <c r="BR374" i="7"/>
  <c r="BQ374" i="7"/>
  <c r="BP374" i="7"/>
  <c r="BO374" i="7"/>
  <c r="BN374" i="7"/>
  <c r="BM374" i="7"/>
  <c r="BL374" i="7"/>
  <c r="BK374" i="7"/>
  <c r="BJ374" i="7"/>
  <c r="BI374" i="7"/>
  <c r="BH374" i="7"/>
  <c r="BG374" i="7"/>
  <c r="BF374" i="7"/>
  <c r="BE374" i="7"/>
  <c r="BD374" i="7"/>
  <c r="BC374" i="7"/>
  <c r="BB374" i="7"/>
  <c r="BA374" i="7"/>
  <c r="AZ374" i="7"/>
  <c r="AY374" i="7"/>
  <c r="AX374" i="7"/>
  <c r="AW374" i="7"/>
  <c r="AV374" i="7"/>
  <c r="AU374" i="7"/>
  <c r="AT374" i="7"/>
  <c r="AS374" i="7"/>
  <c r="AR374" i="7"/>
  <c r="AQ374" i="7"/>
  <c r="AP374" i="7"/>
  <c r="AO374" i="7"/>
  <c r="AN374" i="7"/>
  <c r="AM374" i="7"/>
  <c r="AL374" i="7"/>
  <c r="AK374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F374" i="7"/>
  <c r="C374" i="7"/>
  <c r="B374" i="7"/>
  <c r="B373" i="7"/>
  <c r="B372" i="7"/>
  <c r="CC371" i="7"/>
  <c r="CB371" i="7"/>
  <c r="CA371" i="7"/>
  <c r="BZ371" i="7"/>
  <c r="BY371" i="7"/>
  <c r="BX371" i="7"/>
  <c r="BW371" i="7"/>
  <c r="BV371" i="7"/>
  <c r="BU371" i="7"/>
  <c r="BT371" i="7"/>
  <c r="BS371" i="7"/>
  <c r="BR371" i="7"/>
  <c r="BQ371" i="7"/>
  <c r="BP371" i="7"/>
  <c r="BO371" i="7"/>
  <c r="BN371" i="7"/>
  <c r="BM371" i="7"/>
  <c r="BL371" i="7"/>
  <c r="BK371" i="7"/>
  <c r="BJ371" i="7"/>
  <c r="BI371" i="7"/>
  <c r="BH371" i="7"/>
  <c r="BG371" i="7"/>
  <c r="BF371" i="7"/>
  <c r="BE371" i="7"/>
  <c r="BD371" i="7"/>
  <c r="BC371" i="7"/>
  <c r="BB371" i="7"/>
  <c r="BA371" i="7"/>
  <c r="AZ371" i="7"/>
  <c r="AY371" i="7"/>
  <c r="AX371" i="7"/>
  <c r="AW371" i="7"/>
  <c r="AV371" i="7"/>
  <c r="AU371" i="7"/>
  <c r="AT371" i="7"/>
  <c r="AS371" i="7"/>
  <c r="AR371" i="7"/>
  <c r="AQ371" i="7"/>
  <c r="AP371" i="7"/>
  <c r="AO371" i="7"/>
  <c r="AN371" i="7"/>
  <c r="AM371" i="7"/>
  <c r="AL371" i="7"/>
  <c r="AK371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C371" i="7"/>
  <c r="B371" i="7"/>
  <c r="CC370" i="7"/>
  <c r="CB370" i="7"/>
  <c r="CA370" i="7"/>
  <c r="BZ370" i="7"/>
  <c r="BY370" i="7"/>
  <c r="BX370" i="7"/>
  <c r="BW370" i="7"/>
  <c r="BV370" i="7"/>
  <c r="BU370" i="7"/>
  <c r="BT370" i="7"/>
  <c r="BS370" i="7"/>
  <c r="BR370" i="7"/>
  <c r="BQ370" i="7"/>
  <c r="BP370" i="7"/>
  <c r="BO370" i="7"/>
  <c r="BN370" i="7"/>
  <c r="BM370" i="7"/>
  <c r="BL370" i="7"/>
  <c r="BK370" i="7"/>
  <c r="BJ370" i="7"/>
  <c r="BI370" i="7"/>
  <c r="BH370" i="7"/>
  <c r="BG370" i="7"/>
  <c r="BF370" i="7"/>
  <c r="BE370" i="7"/>
  <c r="BD370" i="7"/>
  <c r="BC370" i="7"/>
  <c r="BB370" i="7"/>
  <c r="BA370" i="7"/>
  <c r="AZ370" i="7"/>
  <c r="AY370" i="7"/>
  <c r="AX370" i="7"/>
  <c r="AW370" i="7"/>
  <c r="AV370" i="7"/>
  <c r="AU370" i="7"/>
  <c r="AT370" i="7"/>
  <c r="AS370" i="7"/>
  <c r="AR370" i="7"/>
  <c r="AQ370" i="7"/>
  <c r="AP370" i="7"/>
  <c r="AO370" i="7"/>
  <c r="AN370" i="7"/>
  <c r="AM370" i="7"/>
  <c r="AL370" i="7"/>
  <c r="AK370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F370" i="7"/>
  <c r="C370" i="7"/>
  <c r="B370" i="7"/>
  <c r="CC369" i="7"/>
  <c r="CB369" i="7"/>
  <c r="CA369" i="7"/>
  <c r="BZ369" i="7"/>
  <c r="BY369" i="7"/>
  <c r="BX369" i="7"/>
  <c r="BW369" i="7"/>
  <c r="BV369" i="7"/>
  <c r="BU369" i="7"/>
  <c r="BT369" i="7"/>
  <c r="BS369" i="7"/>
  <c r="BR369" i="7"/>
  <c r="BQ369" i="7"/>
  <c r="BP369" i="7"/>
  <c r="BO369" i="7"/>
  <c r="BN369" i="7"/>
  <c r="BM369" i="7"/>
  <c r="BL369" i="7"/>
  <c r="BK369" i="7"/>
  <c r="BJ369" i="7"/>
  <c r="BI369" i="7"/>
  <c r="BH369" i="7"/>
  <c r="BG369" i="7"/>
  <c r="BF369" i="7"/>
  <c r="BE369" i="7"/>
  <c r="BD369" i="7"/>
  <c r="BC369" i="7"/>
  <c r="BB369" i="7"/>
  <c r="BA369" i="7"/>
  <c r="AZ369" i="7"/>
  <c r="AY369" i="7"/>
  <c r="AX369" i="7"/>
  <c r="AW369" i="7"/>
  <c r="AV369" i="7"/>
  <c r="AU369" i="7"/>
  <c r="AT369" i="7"/>
  <c r="AS369" i="7"/>
  <c r="AR369" i="7"/>
  <c r="AQ369" i="7"/>
  <c r="AP369" i="7"/>
  <c r="AO369" i="7"/>
  <c r="AN369" i="7"/>
  <c r="AM369" i="7"/>
  <c r="AL369" i="7"/>
  <c r="AK369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F369" i="7"/>
  <c r="E369" i="7" s="1"/>
  <c r="C369" i="7"/>
  <c r="B369" i="7"/>
  <c r="CC368" i="7"/>
  <c r="CB368" i="7"/>
  <c r="CA368" i="7"/>
  <c r="BZ368" i="7"/>
  <c r="BY368" i="7"/>
  <c r="BX368" i="7"/>
  <c r="BW368" i="7"/>
  <c r="BV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F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P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F368" i="7"/>
  <c r="C368" i="7"/>
  <c r="B368" i="7"/>
  <c r="CC367" i="7"/>
  <c r="CB367" i="7"/>
  <c r="CA367" i="7"/>
  <c r="BZ367" i="7"/>
  <c r="BY367" i="7"/>
  <c r="BX367" i="7"/>
  <c r="BW367" i="7"/>
  <c r="BV367" i="7"/>
  <c r="BU367" i="7"/>
  <c r="BT367" i="7"/>
  <c r="BS367" i="7"/>
  <c r="BR367" i="7"/>
  <c r="BQ367" i="7"/>
  <c r="BP367" i="7"/>
  <c r="BO367" i="7"/>
  <c r="BN367" i="7"/>
  <c r="BM367" i="7"/>
  <c r="BL367" i="7"/>
  <c r="BK367" i="7"/>
  <c r="BJ367" i="7"/>
  <c r="BI367" i="7"/>
  <c r="BH367" i="7"/>
  <c r="BG367" i="7"/>
  <c r="BF367" i="7"/>
  <c r="BE367" i="7"/>
  <c r="BD367" i="7"/>
  <c r="BC367" i="7"/>
  <c r="BB367" i="7"/>
  <c r="BA367" i="7"/>
  <c r="AZ367" i="7"/>
  <c r="AY367" i="7"/>
  <c r="AX367" i="7"/>
  <c r="AW367" i="7"/>
  <c r="AV367" i="7"/>
  <c r="AU367" i="7"/>
  <c r="AT367" i="7"/>
  <c r="AS367" i="7"/>
  <c r="AR367" i="7"/>
  <c r="AQ367" i="7"/>
  <c r="AP367" i="7"/>
  <c r="AO367" i="7"/>
  <c r="AN367" i="7"/>
  <c r="AM367" i="7"/>
  <c r="AL367" i="7"/>
  <c r="AK367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F367" i="7"/>
  <c r="E367" i="7" s="1"/>
  <c r="C367" i="7"/>
  <c r="B367" i="7"/>
  <c r="CC366" i="7"/>
  <c r="CB366" i="7"/>
  <c r="CA366" i="7"/>
  <c r="BZ366" i="7"/>
  <c r="BY366" i="7"/>
  <c r="BX366" i="7"/>
  <c r="BW366" i="7"/>
  <c r="BV366" i="7"/>
  <c r="BU366" i="7"/>
  <c r="BT366" i="7"/>
  <c r="BS366" i="7"/>
  <c r="BR366" i="7"/>
  <c r="BQ366" i="7"/>
  <c r="BP366" i="7"/>
  <c r="BO366" i="7"/>
  <c r="BN366" i="7"/>
  <c r="BM366" i="7"/>
  <c r="BL366" i="7"/>
  <c r="BK366" i="7"/>
  <c r="BJ366" i="7"/>
  <c r="BI366" i="7"/>
  <c r="BH366" i="7"/>
  <c r="BG366" i="7"/>
  <c r="BF366" i="7"/>
  <c r="BE366" i="7"/>
  <c r="BD366" i="7"/>
  <c r="BC366" i="7"/>
  <c r="BB366" i="7"/>
  <c r="BA366" i="7"/>
  <c r="AZ366" i="7"/>
  <c r="AY366" i="7"/>
  <c r="AX366" i="7"/>
  <c r="AW366" i="7"/>
  <c r="AV366" i="7"/>
  <c r="AU366" i="7"/>
  <c r="AT366" i="7"/>
  <c r="AS366" i="7"/>
  <c r="AR366" i="7"/>
  <c r="AQ366" i="7"/>
  <c r="AP366" i="7"/>
  <c r="AO366" i="7"/>
  <c r="AN366" i="7"/>
  <c r="AM366" i="7"/>
  <c r="AL366" i="7"/>
  <c r="AK366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C366" i="7"/>
  <c r="B366" i="7"/>
  <c r="CC365" i="7"/>
  <c r="CB365" i="7"/>
  <c r="CA365" i="7"/>
  <c r="BZ365" i="7"/>
  <c r="BY365" i="7"/>
  <c r="BX365" i="7"/>
  <c r="BW365" i="7"/>
  <c r="BV365" i="7"/>
  <c r="BU365" i="7"/>
  <c r="BT365" i="7"/>
  <c r="BS365" i="7"/>
  <c r="BR365" i="7"/>
  <c r="BQ365" i="7"/>
  <c r="BP365" i="7"/>
  <c r="BO365" i="7"/>
  <c r="BN365" i="7"/>
  <c r="BM365" i="7"/>
  <c r="BL365" i="7"/>
  <c r="BK365" i="7"/>
  <c r="BJ365" i="7"/>
  <c r="BI365" i="7"/>
  <c r="BH365" i="7"/>
  <c r="BG365" i="7"/>
  <c r="BF365" i="7"/>
  <c r="BE365" i="7"/>
  <c r="BD365" i="7"/>
  <c r="BC365" i="7"/>
  <c r="BB365" i="7"/>
  <c r="BA365" i="7"/>
  <c r="AZ365" i="7"/>
  <c r="AY365" i="7"/>
  <c r="AX365" i="7"/>
  <c r="AW365" i="7"/>
  <c r="AV365" i="7"/>
  <c r="AU365" i="7"/>
  <c r="AT365" i="7"/>
  <c r="AS365" i="7"/>
  <c r="AR365" i="7"/>
  <c r="AQ365" i="7"/>
  <c r="AP365" i="7"/>
  <c r="AO365" i="7"/>
  <c r="AN365" i="7"/>
  <c r="AM365" i="7"/>
  <c r="AL365" i="7"/>
  <c r="AK365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F365" i="7"/>
  <c r="C365" i="7"/>
  <c r="B365" i="7"/>
  <c r="CC364" i="7"/>
  <c r="CB364" i="7"/>
  <c r="CA364" i="7"/>
  <c r="BZ364" i="7"/>
  <c r="BY364" i="7"/>
  <c r="BX364" i="7"/>
  <c r="BW364" i="7"/>
  <c r="BV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F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P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C364" i="7"/>
  <c r="B364" i="7"/>
  <c r="B363" i="7"/>
  <c r="B362" i="7"/>
  <c r="B361" i="7"/>
  <c r="B360" i="7"/>
  <c r="CC359" i="7"/>
  <c r="CB359" i="7"/>
  <c r="CA359" i="7"/>
  <c r="BZ359" i="7"/>
  <c r="BY359" i="7"/>
  <c r="BX359" i="7"/>
  <c r="BW359" i="7"/>
  <c r="BV359" i="7"/>
  <c r="BU359" i="7"/>
  <c r="BT359" i="7"/>
  <c r="BS359" i="7"/>
  <c r="BR359" i="7"/>
  <c r="BQ359" i="7"/>
  <c r="BP359" i="7"/>
  <c r="BO359" i="7"/>
  <c r="BN359" i="7"/>
  <c r="BM359" i="7"/>
  <c r="BL359" i="7"/>
  <c r="BK359" i="7"/>
  <c r="BJ359" i="7"/>
  <c r="BI359" i="7"/>
  <c r="BH359" i="7"/>
  <c r="BG359" i="7"/>
  <c r="BF359" i="7"/>
  <c r="BE359" i="7"/>
  <c r="BD359" i="7"/>
  <c r="BC359" i="7"/>
  <c r="BB359" i="7"/>
  <c r="BA359" i="7"/>
  <c r="AZ359" i="7"/>
  <c r="AY359" i="7"/>
  <c r="AX359" i="7"/>
  <c r="AW359" i="7"/>
  <c r="AV359" i="7"/>
  <c r="AU359" i="7"/>
  <c r="AT359" i="7"/>
  <c r="AS359" i="7"/>
  <c r="AR359" i="7"/>
  <c r="AQ359" i="7"/>
  <c r="AP359" i="7"/>
  <c r="AO359" i="7"/>
  <c r="AN359" i="7"/>
  <c r="AM359" i="7"/>
  <c r="AL359" i="7"/>
  <c r="AK359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I359" i="7"/>
  <c r="H359" i="7"/>
  <c r="G359" i="7"/>
  <c r="F359" i="7"/>
  <c r="C359" i="7"/>
  <c r="B359" i="7"/>
  <c r="CC358" i="7"/>
  <c r="CB358" i="7"/>
  <c r="CA358" i="7"/>
  <c r="BZ358" i="7"/>
  <c r="BY358" i="7"/>
  <c r="BX358" i="7"/>
  <c r="BW358" i="7"/>
  <c r="BV358" i="7"/>
  <c r="BU358" i="7"/>
  <c r="BT358" i="7"/>
  <c r="BS358" i="7"/>
  <c r="BR358" i="7"/>
  <c r="BQ358" i="7"/>
  <c r="BP358" i="7"/>
  <c r="BO358" i="7"/>
  <c r="BN358" i="7"/>
  <c r="BM358" i="7"/>
  <c r="BL358" i="7"/>
  <c r="BK358" i="7"/>
  <c r="BJ358" i="7"/>
  <c r="BI358" i="7"/>
  <c r="BH358" i="7"/>
  <c r="BG358" i="7"/>
  <c r="BF358" i="7"/>
  <c r="BE358" i="7"/>
  <c r="BD358" i="7"/>
  <c r="BC358" i="7"/>
  <c r="BB358" i="7"/>
  <c r="BA358" i="7"/>
  <c r="AZ358" i="7"/>
  <c r="AY358" i="7"/>
  <c r="AX358" i="7"/>
  <c r="AW358" i="7"/>
  <c r="AV358" i="7"/>
  <c r="AU358" i="7"/>
  <c r="AT358" i="7"/>
  <c r="AS358" i="7"/>
  <c r="AR358" i="7"/>
  <c r="AQ358" i="7"/>
  <c r="AP358" i="7"/>
  <c r="AO358" i="7"/>
  <c r="AN358" i="7"/>
  <c r="AM358" i="7"/>
  <c r="AL358" i="7"/>
  <c r="AK358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C358" i="7"/>
  <c r="B358" i="7"/>
  <c r="CC357" i="7"/>
  <c r="CB357" i="7"/>
  <c r="CA357" i="7"/>
  <c r="BZ357" i="7"/>
  <c r="BY357" i="7"/>
  <c r="BX357" i="7"/>
  <c r="BW357" i="7"/>
  <c r="BV357" i="7"/>
  <c r="BU357" i="7"/>
  <c r="BT357" i="7"/>
  <c r="BS357" i="7"/>
  <c r="BR357" i="7"/>
  <c r="BQ357" i="7"/>
  <c r="BP357" i="7"/>
  <c r="BO357" i="7"/>
  <c r="BN357" i="7"/>
  <c r="BM357" i="7"/>
  <c r="BL357" i="7"/>
  <c r="BK357" i="7"/>
  <c r="BJ357" i="7"/>
  <c r="BI357" i="7"/>
  <c r="BH357" i="7"/>
  <c r="BG357" i="7"/>
  <c r="BF357" i="7"/>
  <c r="BE357" i="7"/>
  <c r="BD357" i="7"/>
  <c r="BC357" i="7"/>
  <c r="BB357" i="7"/>
  <c r="BA357" i="7"/>
  <c r="AZ357" i="7"/>
  <c r="AY357" i="7"/>
  <c r="AX357" i="7"/>
  <c r="AW357" i="7"/>
  <c r="AV357" i="7"/>
  <c r="AU357" i="7"/>
  <c r="AT357" i="7"/>
  <c r="AS357" i="7"/>
  <c r="AR357" i="7"/>
  <c r="AQ357" i="7"/>
  <c r="AP357" i="7"/>
  <c r="AO357" i="7"/>
  <c r="AN357" i="7"/>
  <c r="AM357" i="7"/>
  <c r="AL357" i="7"/>
  <c r="AK357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F357" i="7"/>
  <c r="C357" i="7"/>
  <c r="B357" i="7"/>
  <c r="CC356" i="7"/>
  <c r="CB356" i="7"/>
  <c r="CA356" i="7"/>
  <c r="BZ356" i="7"/>
  <c r="BY356" i="7"/>
  <c r="BX356" i="7"/>
  <c r="BW356" i="7"/>
  <c r="BV356" i="7"/>
  <c r="BU356" i="7"/>
  <c r="BT356" i="7"/>
  <c r="BS356" i="7"/>
  <c r="BR356" i="7"/>
  <c r="BQ356" i="7"/>
  <c r="BP356" i="7"/>
  <c r="BO356" i="7"/>
  <c r="BN356" i="7"/>
  <c r="BM356" i="7"/>
  <c r="BL356" i="7"/>
  <c r="BK356" i="7"/>
  <c r="BJ356" i="7"/>
  <c r="BI356" i="7"/>
  <c r="BH356" i="7"/>
  <c r="BG356" i="7"/>
  <c r="BF356" i="7"/>
  <c r="BE356" i="7"/>
  <c r="BD356" i="7"/>
  <c r="BC356" i="7"/>
  <c r="BB356" i="7"/>
  <c r="BA356" i="7"/>
  <c r="AZ356" i="7"/>
  <c r="AY356" i="7"/>
  <c r="AX356" i="7"/>
  <c r="AW356" i="7"/>
  <c r="AV356" i="7"/>
  <c r="AU356" i="7"/>
  <c r="AT356" i="7"/>
  <c r="AS356" i="7"/>
  <c r="AR356" i="7"/>
  <c r="AQ356" i="7"/>
  <c r="AP356" i="7"/>
  <c r="AO356" i="7"/>
  <c r="AN356" i="7"/>
  <c r="AM356" i="7"/>
  <c r="AL356" i="7"/>
  <c r="AK356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F356" i="7"/>
  <c r="E356" i="7" s="1"/>
  <c r="C356" i="7"/>
  <c r="B356" i="7"/>
  <c r="CC355" i="7"/>
  <c r="CB355" i="7"/>
  <c r="CA355" i="7"/>
  <c r="BZ355" i="7"/>
  <c r="BY355" i="7"/>
  <c r="BX355" i="7"/>
  <c r="BW355" i="7"/>
  <c r="BV355" i="7"/>
  <c r="BU355" i="7"/>
  <c r="BT355" i="7"/>
  <c r="BS355" i="7"/>
  <c r="BR355" i="7"/>
  <c r="BQ355" i="7"/>
  <c r="BP355" i="7"/>
  <c r="BO355" i="7"/>
  <c r="BN355" i="7"/>
  <c r="BM355" i="7"/>
  <c r="BL355" i="7"/>
  <c r="BK355" i="7"/>
  <c r="BJ355" i="7"/>
  <c r="BI355" i="7"/>
  <c r="BH355" i="7"/>
  <c r="BG355" i="7"/>
  <c r="BF355" i="7"/>
  <c r="BE355" i="7"/>
  <c r="BD355" i="7"/>
  <c r="BC355" i="7"/>
  <c r="BB355" i="7"/>
  <c r="BA355" i="7"/>
  <c r="AZ355" i="7"/>
  <c r="AY355" i="7"/>
  <c r="AX355" i="7"/>
  <c r="AW355" i="7"/>
  <c r="AV355" i="7"/>
  <c r="AU355" i="7"/>
  <c r="AT355" i="7"/>
  <c r="AS355" i="7"/>
  <c r="AR355" i="7"/>
  <c r="AQ355" i="7"/>
  <c r="AP355" i="7"/>
  <c r="AO355" i="7"/>
  <c r="AN355" i="7"/>
  <c r="AM355" i="7"/>
  <c r="AL355" i="7"/>
  <c r="AK355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I355" i="7"/>
  <c r="H355" i="7"/>
  <c r="G355" i="7"/>
  <c r="F355" i="7"/>
  <c r="C355" i="7"/>
  <c r="B355" i="7"/>
  <c r="CC354" i="7"/>
  <c r="CB354" i="7"/>
  <c r="CA354" i="7"/>
  <c r="BZ354" i="7"/>
  <c r="BY354" i="7"/>
  <c r="BX354" i="7"/>
  <c r="BW354" i="7"/>
  <c r="BV354" i="7"/>
  <c r="BU354" i="7"/>
  <c r="BT354" i="7"/>
  <c r="BS354" i="7"/>
  <c r="BR354" i="7"/>
  <c r="BQ354" i="7"/>
  <c r="BP354" i="7"/>
  <c r="BO354" i="7"/>
  <c r="BN354" i="7"/>
  <c r="BM354" i="7"/>
  <c r="BL354" i="7"/>
  <c r="BK354" i="7"/>
  <c r="BJ354" i="7"/>
  <c r="BI354" i="7"/>
  <c r="BH354" i="7"/>
  <c r="BG354" i="7"/>
  <c r="BF354" i="7"/>
  <c r="BE354" i="7"/>
  <c r="BD354" i="7"/>
  <c r="BC354" i="7"/>
  <c r="BB354" i="7"/>
  <c r="BA354" i="7"/>
  <c r="AZ354" i="7"/>
  <c r="AY354" i="7"/>
  <c r="AX354" i="7"/>
  <c r="AW354" i="7"/>
  <c r="AV354" i="7"/>
  <c r="AU354" i="7"/>
  <c r="AT354" i="7"/>
  <c r="AS354" i="7"/>
  <c r="AR354" i="7"/>
  <c r="AQ354" i="7"/>
  <c r="AP354" i="7"/>
  <c r="AO354" i="7"/>
  <c r="AN354" i="7"/>
  <c r="AM354" i="7"/>
  <c r="AL354" i="7"/>
  <c r="AK354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I354" i="7"/>
  <c r="H354" i="7"/>
  <c r="G354" i="7"/>
  <c r="F354" i="7"/>
  <c r="E354" i="7" s="1"/>
  <c r="C354" i="7"/>
  <c r="B354" i="7"/>
  <c r="B353" i="7"/>
  <c r="B352" i="7"/>
  <c r="CC351" i="7"/>
  <c r="CB351" i="7"/>
  <c r="CA351" i="7"/>
  <c r="BZ351" i="7"/>
  <c r="BY351" i="7"/>
  <c r="BX351" i="7"/>
  <c r="BW351" i="7"/>
  <c r="BV351" i="7"/>
  <c r="BU351" i="7"/>
  <c r="BT351" i="7"/>
  <c r="BS351" i="7"/>
  <c r="BR351" i="7"/>
  <c r="BQ351" i="7"/>
  <c r="BP351" i="7"/>
  <c r="BO351" i="7"/>
  <c r="BN351" i="7"/>
  <c r="BM351" i="7"/>
  <c r="BL351" i="7"/>
  <c r="BK351" i="7"/>
  <c r="BJ351" i="7"/>
  <c r="BI351" i="7"/>
  <c r="BH351" i="7"/>
  <c r="BG351" i="7"/>
  <c r="BF351" i="7"/>
  <c r="BE351" i="7"/>
  <c r="BD351" i="7"/>
  <c r="BC351" i="7"/>
  <c r="BB351" i="7"/>
  <c r="BA351" i="7"/>
  <c r="AZ351" i="7"/>
  <c r="AY351" i="7"/>
  <c r="AX351" i="7"/>
  <c r="AW351" i="7"/>
  <c r="AV351" i="7"/>
  <c r="AU351" i="7"/>
  <c r="AT351" i="7"/>
  <c r="AS351" i="7"/>
  <c r="AR351" i="7"/>
  <c r="AQ351" i="7"/>
  <c r="AP351" i="7"/>
  <c r="AO351" i="7"/>
  <c r="AN351" i="7"/>
  <c r="AM351" i="7"/>
  <c r="AL351" i="7"/>
  <c r="AK351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F351" i="7"/>
  <c r="C351" i="7"/>
  <c r="B351" i="7"/>
  <c r="CC350" i="7"/>
  <c r="CB350" i="7"/>
  <c r="CA350" i="7"/>
  <c r="BZ350" i="7"/>
  <c r="BY350" i="7"/>
  <c r="BX350" i="7"/>
  <c r="BW350" i="7"/>
  <c r="BV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F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P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C350" i="7"/>
  <c r="B350" i="7"/>
  <c r="CC349" i="7"/>
  <c r="CB349" i="7"/>
  <c r="CA349" i="7"/>
  <c r="BZ349" i="7"/>
  <c r="BY349" i="7"/>
  <c r="BX349" i="7"/>
  <c r="BW349" i="7"/>
  <c r="BV349" i="7"/>
  <c r="BU349" i="7"/>
  <c r="BT349" i="7"/>
  <c r="BS349" i="7"/>
  <c r="BR349" i="7"/>
  <c r="BQ349" i="7"/>
  <c r="BP349" i="7"/>
  <c r="BO349" i="7"/>
  <c r="BN349" i="7"/>
  <c r="BM349" i="7"/>
  <c r="BL349" i="7"/>
  <c r="BK349" i="7"/>
  <c r="BJ349" i="7"/>
  <c r="BI349" i="7"/>
  <c r="BH349" i="7"/>
  <c r="BG349" i="7"/>
  <c r="BF349" i="7"/>
  <c r="BE349" i="7"/>
  <c r="BD349" i="7"/>
  <c r="BC349" i="7"/>
  <c r="BB349" i="7"/>
  <c r="BA349" i="7"/>
  <c r="AZ349" i="7"/>
  <c r="AY349" i="7"/>
  <c r="AX349" i="7"/>
  <c r="AW349" i="7"/>
  <c r="AV349" i="7"/>
  <c r="AU349" i="7"/>
  <c r="AT349" i="7"/>
  <c r="AS349" i="7"/>
  <c r="AR349" i="7"/>
  <c r="AQ349" i="7"/>
  <c r="AP349" i="7"/>
  <c r="AO349" i="7"/>
  <c r="AN349" i="7"/>
  <c r="AM349" i="7"/>
  <c r="AL349" i="7"/>
  <c r="AK349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F349" i="7"/>
  <c r="C349" i="7"/>
  <c r="B349" i="7"/>
  <c r="CC348" i="7"/>
  <c r="CB348" i="7"/>
  <c r="CA348" i="7"/>
  <c r="BZ348" i="7"/>
  <c r="BY348" i="7"/>
  <c r="BX348" i="7"/>
  <c r="BW348" i="7"/>
  <c r="BV348" i="7"/>
  <c r="BU348" i="7"/>
  <c r="BT348" i="7"/>
  <c r="BS348" i="7"/>
  <c r="BR348" i="7"/>
  <c r="BQ348" i="7"/>
  <c r="BP348" i="7"/>
  <c r="BO348" i="7"/>
  <c r="BN348" i="7"/>
  <c r="BM348" i="7"/>
  <c r="BL348" i="7"/>
  <c r="BK348" i="7"/>
  <c r="BJ348" i="7"/>
  <c r="BI348" i="7"/>
  <c r="BH348" i="7"/>
  <c r="BG348" i="7"/>
  <c r="BF348" i="7"/>
  <c r="BE348" i="7"/>
  <c r="BD348" i="7"/>
  <c r="BC348" i="7"/>
  <c r="BB348" i="7"/>
  <c r="BA348" i="7"/>
  <c r="AZ348" i="7"/>
  <c r="AY348" i="7"/>
  <c r="AX348" i="7"/>
  <c r="AW348" i="7"/>
  <c r="AV348" i="7"/>
  <c r="AU348" i="7"/>
  <c r="AT348" i="7"/>
  <c r="AS348" i="7"/>
  <c r="AR348" i="7"/>
  <c r="AQ348" i="7"/>
  <c r="AP348" i="7"/>
  <c r="AO348" i="7"/>
  <c r="AN348" i="7"/>
  <c r="AM348" i="7"/>
  <c r="AL348" i="7"/>
  <c r="AK348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F348" i="7"/>
  <c r="C348" i="7"/>
  <c r="B348" i="7"/>
  <c r="B347" i="7"/>
  <c r="B346" i="7"/>
  <c r="B345" i="7"/>
  <c r="B344" i="7"/>
  <c r="CC343" i="7"/>
  <c r="CB343" i="7"/>
  <c r="CA343" i="7"/>
  <c r="BZ343" i="7"/>
  <c r="BY343" i="7"/>
  <c r="BX343" i="7"/>
  <c r="BW343" i="7"/>
  <c r="BV343" i="7"/>
  <c r="BU343" i="7"/>
  <c r="BT343" i="7"/>
  <c r="BS343" i="7"/>
  <c r="BR343" i="7"/>
  <c r="BQ343" i="7"/>
  <c r="BP343" i="7"/>
  <c r="BO343" i="7"/>
  <c r="BN343" i="7"/>
  <c r="BM343" i="7"/>
  <c r="BL343" i="7"/>
  <c r="BK343" i="7"/>
  <c r="BJ343" i="7"/>
  <c r="BI343" i="7"/>
  <c r="BH343" i="7"/>
  <c r="BG343" i="7"/>
  <c r="BF343" i="7"/>
  <c r="BE343" i="7"/>
  <c r="BD343" i="7"/>
  <c r="BC343" i="7"/>
  <c r="BB343" i="7"/>
  <c r="BA343" i="7"/>
  <c r="AZ343" i="7"/>
  <c r="AY343" i="7"/>
  <c r="AX343" i="7"/>
  <c r="AW343" i="7"/>
  <c r="AV343" i="7"/>
  <c r="AU343" i="7"/>
  <c r="AT343" i="7"/>
  <c r="AS343" i="7"/>
  <c r="AR343" i="7"/>
  <c r="AQ343" i="7"/>
  <c r="AP343" i="7"/>
  <c r="AO343" i="7"/>
  <c r="AN343" i="7"/>
  <c r="AM343" i="7"/>
  <c r="AL343" i="7"/>
  <c r="AK343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F343" i="7"/>
  <c r="C343" i="7"/>
  <c r="B343" i="7"/>
  <c r="CC342" i="7"/>
  <c r="CB342" i="7"/>
  <c r="CA342" i="7"/>
  <c r="BZ342" i="7"/>
  <c r="BY342" i="7"/>
  <c r="BX342" i="7"/>
  <c r="BW342" i="7"/>
  <c r="BV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F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P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C342" i="7"/>
  <c r="B342" i="7"/>
  <c r="CC341" i="7"/>
  <c r="CB341" i="7"/>
  <c r="CA341" i="7"/>
  <c r="BZ341" i="7"/>
  <c r="BY341" i="7"/>
  <c r="BX341" i="7"/>
  <c r="BW341" i="7"/>
  <c r="BV341" i="7"/>
  <c r="BU341" i="7"/>
  <c r="BT341" i="7"/>
  <c r="BS341" i="7"/>
  <c r="BR341" i="7"/>
  <c r="BQ341" i="7"/>
  <c r="BP341" i="7"/>
  <c r="BO341" i="7"/>
  <c r="BN341" i="7"/>
  <c r="BM341" i="7"/>
  <c r="BL341" i="7"/>
  <c r="BK341" i="7"/>
  <c r="BJ341" i="7"/>
  <c r="BI341" i="7"/>
  <c r="BH341" i="7"/>
  <c r="BG341" i="7"/>
  <c r="BF341" i="7"/>
  <c r="BE341" i="7"/>
  <c r="BD341" i="7"/>
  <c r="BC341" i="7"/>
  <c r="BB341" i="7"/>
  <c r="BA341" i="7"/>
  <c r="AZ341" i="7"/>
  <c r="AY341" i="7"/>
  <c r="AX341" i="7"/>
  <c r="AW341" i="7"/>
  <c r="AV341" i="7"/>
  <c r="AU341" i="7"/>
  <c r="AT341" i="7"/>
  <c r="AS341" i="7"/>
  <c r="AR341" i="7"/>
  <c r="AQ341" i="7"/>
  <c r="AP341" i="7"/>
  <c r="AO341" i="7"/>
  <c r="AN341" i="7"/>
  <c r="AM341" i="7"/>
  <c r="AL341" i="7"/>
  <c r="AK341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F341" i="7"/>
  <c r="C341" i="7"/>
  <c r="B341" i="7"/>
  <c r="CC340" i="7"/>
  <c r="CB340" i="7"/>
  <c r="CA340" i="7"/>
  <c r="BZ340" i="7"/>
  <c r="BY340" i="7"/>
  <c r="BX340" i="7"/>
  <c r="BW340" i="7"/>
  <c r="BV340" i="7"/>
  <c r="BU340" i="7"/>
  <c r="BT340" i="7"/>
  <c r="BS340" i="7"/>
  <c r="BR340" i="7"/>
  <c r="BQ340" i="7"/>
  <c r="BP340" i="7"/>
  <c r="BO340" i="7"/>
  <c r="BN340" i="7"/>
  <c r="BM340" i="7"/>
  <c r="BL340" i="7"/>
  <c r="BK340" i="7"/>
  <c r="BJ340" i="7"/>
  <c r="BI340" i="7"/>
  <c r="BH340" i="7"/>
  <c r="BG340" i="7"/>
  <c r="BF340" i="7"/>
  <c r="BE340" i="7"/>
  <c r="BD340" i="7"/>
  <c r="BC340" i="7"/>
  <c r="BB340" i="7"/>
  <c r="BA340" i="7"/>
  <c r="AZ340" i="7"/>
  <c r="AY340" i="7"/>
  <c r="AX340" i="7"/>
  <c r="AW340" i="7"/>
  <c r="AV340" i="7"/>
  <c r="AU340" i="7"/>
  <c r="AT340" i="7"/>
  <c r="AS340" i="7"/>
  <c r="AR340" i="7"/>
  <c r="AQ340" i="7"/>
  <c r="AP340" i="7"/>
  <c r="AO340" i="7"/>
  <c r="AN340" i="7"/>
  <c r="AM340" i="7"/>
  <c r="AL340" i="7"/>
  <c r="AK340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C340" i="7"/>
  <c r="B340" i="7"/>
  <c r="CC339" i="7"/>
  <c r="CB339" i="7"/>
  <c r="CA339" i="7"/>
  <c r="BZ339" i="7"/>
  <c r="BY339" i="7"/>
  <c r="BX339" i="7"/>
  <c r="BW339" i="7"/>
  <c r="BV339" i="7"/>
  <c r="BU339" i="7"/>
  <c r="BT339" i="7"/>
  <c r="BS339" i="7"/>
  <c r="BR339" i="7"/>
  <c r="BQ339" i="7"/>
  <c r="BP339" i="7"/>
  <c r="BO339" i="7"/>
  <c r="BN339" i="7"/>
  <c r="BM339" i="7"/>
  <c r="BL339" i="7"/>
  <c r="BK339" i="7"/>
  <c r="BJ339" i="7"/>
  <c r="BI339" i="7"/>
  <c r="BH339" i="7"/>
  <c r="BG339" i="7"/>
  <c r="BF339" i="7"/>
  <c r="BE339" i="7"/>
  <c r="BD339" i="7"/>
  <c r="BC339" i="7"/>
  <c r="BB339" i="7"/>
  <c r="BA339" i="7"/>
  <c r="AZ339" i="7"/>
  <c r="AY339" i="7"/>
  <c r="AX339" i="7"/>
  <c r="AW339" i="7"/>
  <c r="AV339" i="7"/>
  <c r="AU339" i="7"/>
  <c r="AT339" i="7"/>
  <c r="AS339" i="7"/>
  <c r="AR339" i="7"/>
  <c r="AQ339" i="7"/>
  <c r="AP339" i="7"/>
  <c r="AO339" i="7"/>
  <c r="AN339" i="7"/>
  <c r="AM339" i="7"/>
  <c r="AL339" i="7"/>
  <c r="AK339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F339" i="7"/>
  <c r="C339" i="7"/>
  <c r="B339" i="7"/>
  <c r="CC338" i="7"/>
  <c r="CB338" i="7"/>
  <c r="CA338" i="7"/>
  <c r="BZ338" i="7"/>
  <c r="BY338" i="7"/>
  <c r="BX338" i="7"/>
  <c r="BW338" i="7"/>
  <c r="BV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F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P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F338" i="7"/>
  <c r="E338" i="7" s="1"/>
  <c r="C338" i="7"/>
  <c r="B338" i="7"/>
  <c r="B337" i="7"/>
  <c r="B336" i="7"/>
  <c r="CC335" i="7"/>
  <c r="CB335" i="7"/>
  <c r="CA335" i="7"/>
  <c r="BZ335" i="7"/>
  <c r="BY335" i="7"/>
  <c r="BX335" i="7"/>
  <c r="BW335" i="7"/>
  <c r="BV335" i="7"/>
  <c r="BU335" i="7"/>
  <c r="BT335" i="7"/>
  <c r="BS335" i="7"/>
  <c r="BR335" i="7"/>
  <c r="BQ335" i="7"/>
  <c r="BP335" i="7"/>
  <c r="BO335" i="7"/>
  <c r="BN335" i="7"/>
  <c r="BM335" i="7"/>
  <c r="BL335" i="7"/>
  <c r="BK335" i="7"/>
  <c r="BJ335" i="7"/>
  <c r="BI335" i="7"/>
  <c r="BH335" i="7"/>
  <c r="BG335" i="7"/>
  <c r="BF335" i="7"/>
  <c r="BE335" i="7"/>
  <c r="BD335" i="7"/>
  <c r="BC335" i="7"/>
  <c r="BB335" i="7"/>
  <c r="BA335" i="7"/>
  <c r="AZ335" i="7"/>
  <c r="AY335" i="7"/>
  <c r="AX335" i="7"/>
  <c r="AW335" i="7"/>
  <c r="AV335" i="7"/>
  <c r="AU335" i="7"/>
  <c r="AT335" i="7"/>
  <c r="AS335" i="7"/>
  <c r="AR335" i="7"/>
  <c r="AQ335" i="7"/>
  <c r="AP335" i="7"/>
  <c r="AO335" i="7"/>
  <c r="AN335" i="7"/>
  <c r="AM335" i="7"/>
  <c r="AL335" i="7"/>
  <c r="AK335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I335" i="7"/>
  <c r="H335" i="7"/>
  <c r="G335" i="7"/>
  <c r="F335" i="7"/>
  <c r="C335" i="7"/>
  <c r="B335" i="7"/>
  <c r="CC334" i="7"/>
  <c r="CB334" i="7"/>
  <c r="CA334" i="7"/>
  <c r="BZ334" i="7"/>
  <c r="BY334" i="7"/>
  <c r="BX334" i="7"/>
  <c r="BW334" i="7"/>
  <c r="BV334" i="7"/>
  <c r="BU334" i="7"/>
  <c r="BT334" i="7"/>
  <c r="BS334" i="7"/>
  <c r="BR334" i="7"/>
  <c r="BQ334" i="7"/>
  <c r="BP334" i="7"/>
  <c r="BO334" i="7"/>
  <c r="BN334" i="7"/>
  <c r="BM334" i="7"/>
  <c r="BL334" i="7"/>
  <c r="BK334" i="7"/>
  <c r="BJ334" i="7"/>
  <c r="BI334" i="7"/>
  <c r="BH334" i="7"/>
  <c r="BG334" i="7"/>
  <c r="BF334" i="7"/>
  <c r="BE334" i="7"/>
  <c r="BD334" i="7"/>
  <c r="BC334" i="7"/>
  <c r="BB334" i="7"/>
  <c r="BA334" i="7"/>
  <c r="AZ334" i="7"/>
  <c r="AY334" i="7"/>
  <c r="AX334" i="7"/>
  <c r="AW334" i="7"/>
  <c r="AV334" i="7"/>
  <c r="AU334" i="7"/>
  <c r="AT334" i="7"/>
  <c r="AS334" i="7"/>
  <c r="AR334" i="7"/>
  <c r="AQ334" i="7"/>
  <c r="AP334" i="7"/>
  <c r="AO334" i="7"/>
  <c r="AN334" i="7"/>
  <c r="AM334" i="7"/>
  <c r="AL334" i="7"/>
  <c r="AK334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C334" i="7"/>
  <c r="B334" i="7"/>
  <c r="B333" i="7"/>
  <c r="B332" i="7"/>
  <c r="CC331" i="7"/>
  <c r="CB331" i="7"/>
  <c r="CA331" i="7"/>
  <c r="BZ331" i="7"/>
  <c r="BY331" i="7"/>
  <c r="BX331" i="7"/>
  <c r="BW331" i="7"/>
  <c r="BV331" i="7"/>
  <c r="BU331" i="7"/>
  <c r="BT331" i="7"/>
  <c r="BS331" i="7"/>
  <c r="BR331" i="7"/>
  <c r="BQ331" i="7"/>
  <c r="BP331" i="7"/>
  <c r="BO331" i="7"/>
  <c r="BN331" i="7"/>
  <c r="BM331" i="7"/>
  <c r="BL331" i="7"/>
  <c r="BK331" i="7"/>
  <c r="BJ331" i="7"/>
  <c r="BI331" i="7"/>
  <c r="BH331" i="7"/>
  <c r="BG331" i="7"/>
  <c r="BF331" i="7"/>
  <c r="BE331" i="7"/>
  <c r="BD331" i="7"/>
  <c r="BC331" i="7"/>
  <c r="BB331" i="7"/>
  <c r="BA331" i="7"/>
  <c r="AZ331" i="7"/>
  <c r="AY331" i="7"/>
  <c r="AX331" i="7"/>
  <c r="AW331" i="7"/>
  <c r="AV331" i="7"/>
  <c r="AU331" i="7"/>
  <c r="AT331" i="7"/>
  <c r="AS331" i="7"/>
  <c r="AR331" i="7"/>
  <c r="AQ331" i="7"/>
  <c r="AP331" i="7"/>
  <c r="AO331" i="7"/>
  <c r="AN331" i="7"/>
  <c r="AM331" i="7"/>
  <c r="AL331" i="7"/>
  <c r="AK331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F331" i="7"/>
  <c r="E331" i="7" s="1"/>
  <c r="C331" i="7"/>
  <c r="B331" i="7"/>
  <c r="CC330" i="7"/>
  <c r="CB330" i="7"/>
  <c r="CA330" i="7"/>
  <c r="BZ330" i="7"/>
  <c r="BY330" i="7"/>
  <c r="BX330" i="7"/>
  <c r="BW330" i="7"/>
  <c r="BV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F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P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 s="1"/>
  <c r="C330" i="7"/>
  <c r="B330" i="7"/>
  <c r="CC329" i="7"/>
  <c r="CB329" i="7"/>
  <c r="CA329" i="7"/>
  <c r="BZ329" i="7"/>
  <c r="BY329" i="7"/>
  <c r="BX329" i="7"/>
  <c r="BW329" i="7"/>
  <c r="BV329" i="7"/>
  <c r="BU329" i="7"/>
  <c r="BT329" i="7"/>
  <c r="BS329" i="7"/>
  <c r="BR329" i="7"/>
  <c r="BQ329" i="7"/>
  <c r="BP329" i="7"/>
  <c r="BO329" i="7"/>
  <c r="BN329" i="7"/>
  <c r="BM329" i="7"/>
  <c r="BL329" i="7"/>
  <c r="BK329" i="7"/>
  <c r="BJ329" i="7"/>
  <c r="BI329" i="7"/>
  <c r="BH329" i="7"/>
  <c r="BG329" i="7"/>
  <c r="BF329" i="7"/>
  <c r="BE329" i="7"/>
  <c r="BD329" i="7"/>
  <c r="BC329" i="7"/>
  <c r="BB329" i="7"/>
  <c r="BA329" i="7"/>
  <c r="AZ329" i="7"/>
  <c r="AY329" i="7"/>
  <c r="AX329" i="7"/>
  <c r="AW329" i="7"/>
  <c r="AV329" i="7"/>
  <c r="AU329" i="7"/>
  <c r="AT329" i="7"/>
  <c r="AS329" i="7"/>
  <c r="AR329" i="7"/>
  <c r="AQ329" i="7"/>
  <c r="AP329" i="7"/>
  <c r="AO329" i="7"/>
  <c r="AN329" i="7"/>
  <c r="AM329" i="7"/>
  <c r="AL329" i="7"/>
  <c r="AK329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F329" i="7"/>
  <c r="C329" i="7"/>
  <c r="B329" i="7"/>
  <c r="CC328" i="7"/>
  <c r="CB328" i="7"/>
  <c r="CA328" i="7"/>
  <c r="BZ328" i="7"/>
  <c r="BY328" i="7"/>
  <c r="BX328" i="7"/>
  <c r="BW328" i="7"/>
  <c r="BV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F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P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F328" i="7"/>
  <c r="C328" i="7"/>
  <c r="B328" i="7"/>
  <c r="CC327" i="7"/>
  <c r="CB327" i="7"/>
  <c r="CA327" i="7"/>
  <c r="BZ327" i="7"/>
  <c r="BY327" i="7"/>
  <c r="BX327" i="7"/>
  <c r="BW327" i="7"/>
  <c r="BV327" i="7"/>
  <c r="BU327" i="7"/>
  <c r="BT327" i="7"/>
  <c r="BS327" i="7"/>
  <c r="BR327" i="7"/>
  <c r="BQ327" i="7"/>
  <c r="BP327" i="7"/>
  <c r="BO327" i="7"/>
  <c r="BN327" i="7"/>
  <c r="BM327" i="7"/>
  <c r="BL327" i="7"/>
  <c r="BK327" i="7"/>
  <c r="BJ327" i="7"/>
  <c r="BI327" i="7"/>
  <c r="BH327" i="7"/>
  <c r="BG327" i="7"/>
  <c r="BF327" i="7"/>
  <c r="BE327" i="7"/>
  <c r="BD327" i="7"/>
  <c r="BC327" i="7"/>
  <c r="BB327" i="7"/>
  <c r="BA327" i="7"/>
  <c r="AZ327" i="7"/>
  <c r="AY327" i="7"/>
  <c r="AX327" i="7"/>
  <c r="AW327" i="7"/>
  <c r="AV327" i="7"/>
  <c r="AU327" i="7"/>
  <c r="AT327" i="7"/>
  <c r="AS327" i="7"/>
  <c r="AR327" i="7"/>
  <c r="AQ327" i="7"/>
  <c r="AP327" i="7"/>
  <c r="AO327" i="7"/>
  <c r="AN327" i="7"/>
  <c r="AM327" i="7"/>
  <c r="AL327" i="7"/>
  <c r="AK327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I327" i="7"/>
  <c r="H327" i="7"/>
  <c r="G327" i="7"/>
  <c r="F327" i="7"/>
  <c r="C327" i="7"/>
  <c r="B327" i="7"/>
  <c r="CC326" i="7"/>
  <c r="CB326" i="7"/>
  <c r="CA326" i="7"/>
  <c r="BZ326" i="7"/>
  <c r="BY326" i="7"/>
  <c r="BX326" i="7"/>
  <c r="BW326" i="7"/>
  <c r="BV326" i="7"/>
  <c r="BU326" i="7"/>
  <c r="BT326" i="7"/>
  <c r="BS326" i="7"/>
  <c r="BR326" i="7"/>
  <c r="BQ326" i="7"/>
  <c r="BP326" i="7"/>
  <c r="BO326" i="7"/>
  <c r="BN326" i="7"/>
  <c r="BM326" i="7"/>
  <c r="BL326" i="7"/>
  <c r="BK326" i="7"/>
  <c r="BJ326" i="7"/>
  <c r="BI326" i="7"/>
  <c r="BH326" i="7"/>
  <c r="BG326" i="7"/>
  <c r="BF326" i="7"/>
  <c r="BE326" i="7"/>
  <c r="BD326" i="7"/>
  <c r="BC326" i="7"/>
  <c r="BB326" i="7"/>
  <c r="BA326" i="7"/>
  <c r="AZ326" i="7"/>
  <c r="AY326" i="7"/>
  <c r="AX326" i="7"/>
  <c r="AW326" i="7"/>
  <c r="AV326" i="7"/>
  <c r="AU326" i="7"/>
  <c r="AT326" i="7"/>
  <c r="AS326" i="7"/>
  <c r="AR326" i="7"/>
  <c r="AQ326" i="7"/>
  <c r="AP326" i="7"/>
  <c r="AO326" i="7"/>
  <c r="AN326" i="7"/>
  <c r="AM326" i="7"/>
  <c r="AL326" i="7"/>
  <c r="AK326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I326" i="7"/>
  <c r="H326" i="7"/>
  <c r="G326" i="7"/>
  <c r="F326" i="7"/>
  <c r="E326" i="7"/>
  <c r="C326" i="7"/>
  <c r="B326" i="7"/>
  <c r="B325" i="7"/>
  <c r="B324" i="7"/>
  <c r="CC323" i="7"/>
  <c r="CB323" i="7"/>
  <c r="CA323" i="7"/>
  <c r="BZ323" i="7"/>
  <c r="BY323" i="7"/>
  <c r="BX323" i="7"/>
  <c r="BW323" i="7"/>
  <c r="BV323" i="7"/>
  <c r="BU323" i="7"/>
  <c r="BT323" i="7"/>
  <c r="BS323" i="7"/>
  <c r="BR323" i="7"/>
  <c r="BQ323" i="7"/>
  <c r="BP323" i="7"/>
  <c r="BO323" i="7"/>
  <c r="BN323" i="7"/>
  <c r="BM323" i="7"/>
  <c r="BL323" i="7"/>
  <c r="BK323" i="7"/>
  <c r="BJ323" i="7"/>
  <c r="BI323" i="7"/>
  <c r="BH323" i="7"/>
  <c r="BG323" i="7"/>
  <c r="BF323" i="7"/>
  <c r="BE323" i="7"/>
  <c r="BD323" i="7"/>
  <c r="BC323" i="7"/>
  <c r="BB323" i="7"/>
  <c r="BA323" i="7"/>
  <c r="AZ323" i="7"/>
  <c r="AY323" i="7"/>
  <c r="AX323" i="7"/>
  <c r="AW323" i="7"/>
  <c r="AV323" i="7"/>
  <c r="AU323" i="7"/>
  <c r="AT323" i="7"/>
  <c r="AS323" i="7"/>
  <c r="AR323" i="7"/>
  <c r="AQ323" i="7"/>
  <c r="AP323" i="7"/>
  <c r="AO323" i="7"/>
  <c r="AN323" i="7"/>
  <c r="AM323" i="7"/>
  <c r="AL323" i="7"/>
  <c r="AK323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E323" i="7" s="1"/>
  <c r="C323" i="7"/>
  <c r="B323" i="7"/>
  <c r="CC322" i="7"/>
  <c r="CB322" i="7"/>
  <c r="CA322" i="7"/>
  <c r="BZ322" i="7"/>
  <c r="BY322" i="7"/>
  <c r="BX322" i="7"/>
  <c r="BW322" i="7"/>
  <c r="BV322" i="7"/>
  <c r="BU322" i="7"/>
  <c r="BT322" i="7"/>
  <c r="BS322" i="7"/>
  <c r="BR322" i="7"/>
  <c r="BQ322" i="7"/>
  <c r="BP322" i="7"/>
  <c r="BO322" i="7"/>
  <c r="BN322" i="7"/>
  <c r="BM322" i="7"/>
  <c r="BL322" i="7"/>
  <c r="BK322" i="7"/>
  <c r="BJ322" i="7"/>
  <c r="BI322" i="7"/>
  <c r="BH322" i="7"/>
  <c r="BG322" i="7"/>
  <c r="BF322" i="7"/>
  <c r="BE322" i="7"/>
  <c r="BD322" i="7"/>
  <c r="BC322" i="7"/>
  <c r="BB322" i="7"/>
  <c r="BA322" i="7"/>
  <c r="AZ322" i="7"/>
  <c r="AY322" i="7"/>
  <c r="AX322" i="7"/>
  <c r="AW322" i="7"/>
  <c r="AV322" i="7"/>
  <c r="AU322" i="7"/>
  <c r="AT322" i="7"/>
  <c r="AS322" i="7"/>
  <c r="AR322" i="7"/>
  <c r="AQ322" i="7"/>
  <c r="AP322" i="7"/>
  <c r="AO322" i="7"/>
  <c r="AN322" i="7"/>
  <c r="AM322" i="7"/>
  <c r="AL322" i="7"/>
  <c r="AK322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 s="1"/>
  <c r="C322" i="7"/>
  <c r="B322" i="7"/>
  <c r="CC321" i="7"/>
  <c r="CB321" i="7"/>
  <c r="CA321" i="7"/>
  <c r="BZ321" i="7"/>
  <c r="BY321" i="7"/>
  <c r="BX321" i="7"/>
  <c r="BW321" i="7"/>
  <c r="BV321" i="7"/>
  <c r="BU321" i="7"/>
  <c r="BT321" i="7"/>
  <c r="BS321" i="7"/>
  <c r="BR321" i="7"/>
  <c r="BQ321" i="7"/>
  <c r="BP321" i="7"/>
  <c r="BO321" i="7"/>
  <c r="BN321" i="7"/>
  <c r="BM321" i="7"/>
  <c r="BL321" i="7"/>
  <c r="BK321" i="7"/>
  <c r="BJ321" i="7"/>
  <c r="BI321" i="7"/>
  <c r="BH321" i="7"/>
  <c r="BG321" i="7"/>
  <c r="BF321" i="7"/>
  <c r="BE321" i="7"/>
  <c r="BD321" i="7"/>
  <c r="BC321" i="7"/>
  <c r="BB321" i="7"/>
  <c r="BA321" i="7"/>
  <c r="AZ321" i="7"/>
  <c r="AY321" i="7"/>
  <c r="AX321" i="7"/>
  <c r="AW321" i="7"/>
  <c r="AV321" i="7"/>
  <c r="AU321" i="7"/>
  <c r="AT321" i="7"/>
  <c r="AS321" i="7"/>
  <c r="AR321" i="7"/>
  <c r="AQ321" i="7"/>
  <c r="AP321" i="7"/>
  <c r="AO321" i="7"/>
  <c r="AN321" i="7"/>
  <c r="AM321" i="7"/>
  <c r="AL321" i="7"/>
  <c r="AK321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F321" i="7"/>
  <c r="C321" i="7"/>
  <c r="B321" i="7"/>
  <c r="CC320" i="7"/>
  <c r="CB320" i="7"/>
  <c r="CA320" i="7"/>
  <c r="BZ320" i="7"/>
  <c r="BY320" i="7"/>
  <c r="BX320" i="7"/>
  <c r="BW320" i="7"/>
  <c r="BV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F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P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F320" i="7"/>
  <c r="C320" i="7"/>
  <c r="B320" i="7"/>
  <c r="B319" i="7"/>
  <c r="B318" i="7"/>
  <c r="CC317" i="7"/>
  <c r="CB317" i="7"/>
  <c r="CA317" i="7"/>
  <c r="BZ317" i="7"/>
  <c r="BY317" i="7"/>
  <c r="BX317" i="7"/>
  <c r="BW317" i="7"/>
  <c r="BV317" i="7"/>
  <c r="BU317" i="7"/>
  <c r="BT317" i="7"/>
  <c r="BS317" i="7"/>
  <c r="BR317" i="7"/>
  <c r="BQ317" i="7"/>
  <c r="BP317" i="7"/>
  <c r="BO317" i="7"/>
  <c r="BN317" i="7"/>
  <c r="BM317" i="7"/>
  <c r="BL317" i="7"/>
  <c r="BK317" i="7"/>
  <c r="BJ317" i="7"/>
  <c r="BI317" i="7"/>
  <c r="BH317" i="7"/>
  <c r="BG317" i="7"/>
  <c r="BF317" i="7"/>
  <c r="BE317" i="7"/>
  <c r="BD317" i="7"/>
  <c r="BC317" i="7"/>
  <c r="BB317" i="7"/>
  <c r="BA317" i="7"/>
  <c r="AZ317" i="7"/>
  <c r="AY317" i="7"/>
  <c r="AX317" i="7"/>
  <c r="AW317" i="7"/>
  <c r="AV317" i="7"/>
  <c r="AU317" i="7"/>
  <c r="AT317" i="7"/>
  <c r="AS317" i="7"/>
  <c r="AR317" i="7"/>
  <c r="AQ317" i="7"/>
  <c r="AP317" i="7"/>
  <c r="AO317" i="7"/>
  <c r="AN317" i="7"/>
  <c r="AM317" i="7"/>
  <c r="AL317" i="7"/>
  <c r="AK317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F317" i="7"/>
  <c r="C317" i="7"/>
  <c r="B317" i="7"/>
  <c r="CC316" i="7"/>
  <c r="CB316" i="7"/>
  <c r="CA316" i="7"/>
  <c r="BZ316" i="7"/>
  <c r="BY316" i="7"/>
  <c r="BX316" i="7"/>
  <c r="BW316" i="7"/>
  <c r="BV316" i="7"/>
  <c r="BU316" i="7"/>
  <c r="BT316" i="7"/>
  <c r="BS316" i="7"/>
  <c r="BR316" i="7"/>
  <c r="BQ316" i="7"/>
  <c r="BP316" i="7"/>
  <c r="BO316" i="7"/>
  <c r="BN316" i="7"/>
  <c r="BM316" i="7"/>
  <c r="BL316" i="7"/>
  <c r="BK316" i="7"/>
  <c r="BJ316" i="7"/>
  <c r="BI316" i="7"/>
  <c r="BH316" i="7"/>
  <c r="BG316" i="7"/>
  <c r="BF316" i="7"/>
  <c r="BE316" i="7"/>
  <c r="BD316" i="7"/>
  <c r="BC316" i="7"/>
  <c r="BB316" i="7"/>
  <c r="BA316" i="7"/>
  <c r="AZ316" i="7"/>
  <c r="AY316" i="7"/>
  <c r="AX316" i="7"/>
  <c r="AW316" i="7"/>
  <c r="AV316" i="7"/>
  <c r="AU316" i="7"/>
  <c r="AT316" i="7"/>
  <c r="AS316" i="7"/>
  <c r="AR316" i="7"/>
  <c r="AQ316" i="7"/>
  <c r="AP316" i="7"/>
  <c r="AO316" i="7"/>
  <c r="AN316" i="7"/>
  <c r="AM316" i="7"/>
  <c r="AL316" i="7"/>
  <c r="AK316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E316" i="7" s="1"/>
  <c r="F316" i="7"/>
  <c r="C316" i="7"/>
  <c r="B316" i="7"/>
  <c r="CC315" i="7"/>
  <c r="CB315" i="7"/>
  <c r="CA315" i="7"/>
  <c r="BZ315" i="7"/>
  <c r="BY315" i="7"/>
  <c r="BX315" i="7"/>
  <c r="BW315" i="7"/>
  <c r="BV315" i="7"/>
  <c r="BU315" i="7"/>
  <c r="BT315" i="7"/>
  <c r="BS315" i="7"/>
  <c r="BR315" i="7"/>
  <c r="BQ315" i="7"/>
  <c r="BP315" i="7"/>
  <c r="BO315" i="7"/>
  <c r="BN315" i="7"/>
  <c r="BM315" i="7"/>
  <c r="BL315" i="7"/>
  <c r="BK315" i="7"/>
  <c r="BJ315" i="7"/>
  <c r="BI315" i="7"/>
  <c r="BH315" i="7"/>
  <c r="BG315" i="7"/>
  <c r="BF315" i="7"/>
  <c r="BE315" i="7"/>
  <c r="BD315" i="7"/>
  <c r="BC315" i="7"/>
  <c r="BB315" i="7"/>
  <c r="BA315" i="7"/>
  <c r="AZ315" i="7"/>
  <c r="AY315" i="7"/>
  <c r="AX315" i="7"/>
  <c r="AW315" i="7"/>
  <c r="AV315" i="7"/>
  <c r="AU315" i="7"/>
  <c r="AT315" i="7"/>
  <c r="AS315" i="7"/>
  <c r="AR315" i="7"/>
  <c r="AQ315" i="7"/>
  <c r="AP315" i="7"/>
  <c r="AO315" i="7"/>
  <c r="AN315" i="7"/>
  <c r="AM315" i="7"/>
  <c r="AL315" i="7"/>
  <c r="AK315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F315" i="7"/>
  <c r="C315" i="7"/>
  <c r="B315" i="7"/>
  <c r="CC314" i="7"/>
  <c r="CB314" i="7"/>
  <c r="CA314" i="7"/>
  <c r="BZ314" i="7"/>
  <c r="BY314" i="7"/>
  <c r="BX314" i="7"/>
  <c r="BW314" i="7"/>
  <c r="BV314" i="7"/>
  <c r="BU314" i="7"/>
  <c r="BT314" i="7"/>
  <c r="BS314" i="7"/>
  <c r="BR314" i="7"/>
  <c r="BQ314" i="7"/>
  <c r="BP314" i="7"/>
  <c r="BO314" i="7"/>
  <c r="BN314" i="7"/>
  <c r="BM314" i="7"/>
  <c r="BL314" i="7"/>
  <c r="BK314" i="7"/>
  <c r="BJ314" i="7"/>
  <c r="BI314" i="7"/>
  <c r="BH314" i="7"/>
  <c r="BG314" i="7"/>
  <c r="BF314" i="7"/>
  <c r="BE314" i="7"/>
  <c r="BD314" i="7"/>
  <c r="BC314" i="7"/>
  <c r="BB314" i="7"/>
  <c r="BA314" i="7"/>
  <c r="AZ314" i="7"/>
  <c r="AY314" i="7"/>
  <c r="AX314" i="7"/>
  <c r="AW314" i="7"/>
  <c r="AV314" i="7"/>
  <c r="AU314" i="7"/>
  <c r="AT314" i="7"/>
  <c r="AS314" i="7"/>
  <c r="AR314" i="7"/>
  <c r="AQ314" i="7"/>
  <c r="AP314" i="7"/>
  <c r="AO314" i="7"/>
  <c r="AN314" i="7"/>
  <c r="AM314" i="7"/>
  <c r="AL314" i="7"/>
  <c r="AK314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F314" i="7"/>
  <c r="E314" i="7" s="1"/>
  <c r="C314" i="7"/>
  <c r="B314" i="7"/>
  <c r="B313" i="7"/>
  <c r="B312" i="7"/>
  <c r="B311" i="7"/>
  <c r="B310" i="7"/>
  <c r="CC309" i="7"/>
  <c r="CB309" i="7"/>
  <c r="CA309" i="7"/>
  <c r="BZ309" i="7"/>
  <c r="BY309" i="7"/>
  <c r="BX309" i="7"/>
  <c r="BW309" i="7"/>
  <c r="BV309" i="7"/>
  <c r="BU309" i="7"/>
  <c r="BT309" i="7"/>
  <c r="BS309" i="7"/>
  <c r="BR309" i="7"/>
  <c r="BQ309" i="7"/>
  <c r="BP309" i="7"/>
  <c r="BO309" i="7"/>
  <c r="BN309" i="7"/>
  <c r="BM309" i="7"/>
  <c r="BL309" i="7"/>
  <c r="BK309" i="7"/>
  <c r="BJ309" i="7"/>
  <c r="BI309" i="7"/>
  <c r="BH309" i="7"/>
  <c r="BG309" i="7"/>
  <c r="BF309" i="7"/>
  <c r="BE309" i="7"/>
  <c r="BD309" i="7"/>
  <c r="BC309" i="7"/>
  <c r="BB309" i="7"/>
  <c r="BA309" i="7"/>
  <c r="AZ309" i="7"/>
  <c r="AY309" i="7"/>
  <c r="AX309" i="7"/>
  <c r="AW309" i="7"/>
  <c r="AV309" i="7"/>
  <c r="AU309" i="7"/>
  <c r="AT309" i="7"/>
  <c r="AS309" i="7"/>
  <c r="AR309" i="7"/>
  <c r="AQ309" i="7"/>
  <c r="AP309" i="7"/>
  <c r="AO309" i="7"/>
  <c r="AN309" i="7"/>
  <c r="AM309" i="7"/>
  <c r="AL309" i="7"/>
  <c r="AK309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F309" i="7"/>
  <c r="E309" i="7" s="1"/>
  <c r="C309" i="7"/>
  <c r="B309" i="7"/>
  <c r="CC308" i="7"/>
  <c r="CB308" i="7"/>
  <c r="CA308" i="7"/>
  <c r="BZ308" i="7"/>
  <c r="BY308" i="7"/>
  <c r="BX308" i="7"/>
  <c r="BW308" i="7"/>
  <c r="BV308" i="7"/>
  <c r="BU308" i="7"/>
  <c r="BT308" i="7"/>
  <c r="BS308" i="7"/>
  <c r="BR308" i="7"/>
  <c r="BQ308" i="7"/>
  <c r="BP308" i="7"/>
  <c r="BO308" i="7"/>
  <c r="BN308" i="7"/>
  <c r="BM308" i="7"/>
  <c r="BL308" i="7"/>
  <c r="BK308" i="7"/>
  <c r="BJ308" i="7"/>
  <c r="BI308" i="7"/>
  <c r="BH308" i="7"/>
  <c r="BG308" i="7"/>
  <c r="BF308" i="7"/>
  <c r="BE308" i="7"/>
  <c r="BD308" i="7"/>
  <c r="BC308" i="7"/>
  <c r="BB308" i="7"/>
  <c r="BA308" i="7"/>
  <c r="AZ308" i="7"/>
  <c r="AY308" i="7"/>
  <c r="AX308" i="7"/>
  <c r="AW308" i="7"/>
  <c r="AV308" i="7"/>
  <c r="AU308" i="7"/>
  <c r="AT308" i="7"/>
  <c r="AS308" i="7"/>
  <c r="AR308" i="7"/>
  <c r="AQ308" i="7"/>
  <c r="AP308" i="7"/>
  <c r="AO308" i="7"/>
  <c r="AN308" i="7"/>
  <c r="AM308" i="7"/>
  <c r="AL308" i="7"/>
  <c r="AK308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C308" i="7"/>
  <c r="B308" i="7"/>
  <c r="CC307" i="7"/>
  <c r="CB307" i="7"/>
  <c r="CA307" i="7"/>
  <c r="BZ307" i="7"/>
  <c r="BY307" i="7"/>
  <c r="BX307" i="7"/>
  <c r="BW307" i="7"/>
  <c r="BV307" i="7"/>
  <c r="BU307" i="7"/>
  <c r="BT307" i="7"/>
  <c r="BS307" i="7"/>
  <c r="BR307" i="7"/>
  <c r="BQ307" i="7"/>
  <c r="BP307" i="7"/>
  <c r="BO307" i="7"/>
  <c r="BN307" i="7"/>
  <c r="BM307" i="7"/>
  <c r="BL307" i="7"/>
  <c r="BK307" i="7"/>
  <c r="BJ307" i="7"/>
  <c r="BI307" i="7"/>
  <c r="BH307" i="7"/>
  <c r="BG307" i="7"/>
  <c r="BF307" i="7"/>
  <c r="BE307" i="7"/>
  <c r="BD307" i="7"/>
  <c r="BC307" i="7"/>
  <c r="BB307" i="7"/>
  <c r="BA307" i="7"/>
  <c r="AZ307" i="7"/>
  <c r="AY307" i="7"/>
  <c r="AX307" i="7"/>
  <c r="AW307" i="7"/>
  <c r="AV307" i="7"/>
  <c r="AU307" i="7"/>
  <c r="AT307" i="7"/>
  <c r="AS307" i="7"/>
  <c r="AR307" i="7"/>
  <c r="AQ307" i="7"/>
  <c r="AP307" i="7"/>
  <c r="AO307" i="7"/>
  <c r="AN307" i="7"/>
  <c r="AM307" i="7"/>
  <c r="AL307" i="7"/>
  <c r="AK307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E307" i="7" s="1"/>
  <c r="F307" i="7"/>
  <c r="C307" i="7"/>
  <c r="B307" i="7"/>
  <c r="CC306" i="7"/>
  <c r="CB306" i="7"/>
  <c r="CA306" i="7"/>
  <c r="BZ306" i="7"/>
  <c r="BY306" i="7"/>
  <c r="BX306" i="7"/>
  <c r="BW306" i="7"/>
  <c r="BV306" i="7"/>
  <c r="BU306" i="7"/>
  <c r="BT306" i="7"/>
  <c r="BS306" i="7"/>
  <c r="BR306" i="7"/>
  <c r="BQ306" i="7"/>
  <c r="BP306" i="7"/>
  <c r="BO306" i="7"/>
  <c r="BN306" i="7"/>
  <c r="BM306" i="7"/>
  <c r="BL306" i="7"/>
  <c r="BK306" i="7"/>
  <c r="BJ306" i="7"/>
  <c r="BI306" i="7"/>
  <c r="BH306" i="7"/>
  <c r="BG306" i="7"/>
  <c r="BF306" i="7"/>
  <c r="BE306" i="7"/>
  <c r="BD306" i="7"/>
  <c r="BC306" i="7"/>
  <c r="BB306" i="7"/>
  <c r="BA306" i="7"/>
  <c r="AZ306" i="7"/>
  <c r="AY306" i="7"/>
  <c r="AX306" i="7"/>
  <c r="AW306" i="7"/>
  <c r="AV306" i="7"/>
  <c r="AU306" i="7"/>
  <c r="AT306" i="7"/>
  <c r="AS306" i="7"/>
  <c r="AR306" i="7"/>
  <c r="AQ306" i="7"/>
  <c r="AP306" i="7"/>
  <c r="AO306" i="7"/>
  <c r="AN306" i="7"/>
  <c r="AM306" i="7"/>
  <c r="AL306" i="7"/>
  <c r="AK306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C306" i="7"/>
  <c r="B306" i="7"/>
  <c r="CC305" i="7"/>
  <c r="CB305" i="7"/>
  <c r="CA305" i="7"/>
  <c r="BZ305" i="7"/>
  <c r="BY305" i="7"/>
  <c r="BX305" i="7"/>
  <c r="BW305" i="7"/>
  <c r="BV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 s="1"/>
  <c r="C305" i="7"/>
  <c r="B305" i="7"/>
  <c r="CC304" i="7"/>
  <c r="CB304" i="7"/>
  <c r="CA304" i="7"/>
  <c r="BZ304" i="7"/>
  <c r="BY304" i="7"/>
  <c r="BX304" i="7"/>
  <c r="BW304" i="7"/>
  <c r="BV304" i="7"/>
  <c r="BU304" i="7"/>
  <c r="BT304" i="7"/>
  <c r="BS304" i="7"/>
  <c r="BR304" i="7"/>
  <c r="BQ304" i="7"/>
  <c r="BP304" i="7"/>
  <c r="BO304" i="7"/>
  <c r="BN304" i="7"/>
  <c r="BM304" i="7"/>
  <c r="BL304" i="7"/>
  <c r="BK304" i="7"/>
  <c r="BJ304" i="7"/>
  <c r="BI304" i="7"/>
  <c r="BH304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C304" i="7"/>
  <c r="B304" i="7"/>
  <c r="B303" i="7"/>
  <c r="B302" i="7"/>
  <c r="CC301" i="7"/>
  <c r="CB301" i="7"/>
  <c r="CA301" i="7"/>
  <c r="BZ301" i="7"/>
  <c r="BY301" i="7"/>
  <c r="BX301" i="7"/>
  <c r="BW301" i="7"/>
  <c r="BV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 s="1"/>
  <c r="C301" i="7"/>
  <c r="B301" i="7"/>
  <c r="CC300" i="7"/>
  <c r="CB300" i="7"/>
  <c r="CA300" i="7"/>
  <c r="BZ300" i="7"/>
  <c r="BY300" i="7"/>
  <c r="BX300" i="7"/>
  <c r="BW300" i="7"/>
  <c r="BV300" i="7"/>
  <c r="BU300" i="7"/>
  <c r="BT300" i="7"/>
  <c r="BS300" i="7"/>
  <c r="BR300" i="7"/>
  <c r="BQ300" i="7"/>
  <c r="BP300" i="7"/>
  <c r="BO300" i="7"/>
  <c r="BN300" i="7"/>
  <c r="BM300" i="7"/>
  <c r="BL300" i="7"/>
  <c r="BK300" i="7"/>
  <c r="BJ300" i="7"/>
  <c r="BI300" i="7"/>
  <c r="BH300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C300" i="7"/>
  <c r="B300" i="7"/>
  <c r="B299" i="7"/>
  <c r="B298" i="7"/>
  <c r="CC297" i="7"/>
  <c r="CB297" i="7"/>
  <c r="CA297" i="7"/>
  <c r="BZ297" i="7"/>
  <c r="BY297" i="7"/>
  <c r="BX297" i="7"/>
  <c r="BW297" i="7"/>
  <c r="BV297" i="7"/>
  <c r="BU297" i="7"/>
  <c r="BT297" i="7"/>
  <c r="BS297" i="7"/>
  <c r="BR297" i="7"/>
  <c r="BQ297" i="7"/>
  <c r="BP297" i="7"/>
  <c r="BO297" i="7"/>
  <c r="BN297" i="7"/>
  <c r="BM297" i="7"/>
  <c r="BL297" i="7"/>
  <c r="BK297" i="7"/>
  <c r="BJ297" i="7"/>
  <c r="BI297" i="7"/>
  <c r="BH297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C297" i="7"/>
  <c r="B297" i="7"/>
  <c r="CC296" i="7"/>
  <c r="CB296" i="7"/>
  <c r="CA296" i="7"/>
  <c r="BZ296" i="7"/>
  <c r="BY296" i="7"/>
  <c r="BX296" i="7"/>
  <c r="BW296" i="7"/>
  <c r="BV296" i="7"/>
  <c r="BU296" i="7"/>
  <c r="BT296" i="7"/>
  <c r="BS296" i="7"/>
  <c r="BR296" i="7"/>
  <c r="BQ296" i="7"/>
  <c r="BP296" i="7"/>
  <c r="BO296" i="7"/>
  <c r="BN296" i="7"/>
  <c r="BM296" i="7"/>
  <c r="BL296" i="7"/>
  <c r="BK296" i="7"/>
  <c r="BJ296" i="7"/>
  <c r="BI296" i="7"/>
  <c r="BH296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E296" i="7" s="1"/>
  <c r="G296" i="7"/>
  <c r="F296" i="7"/>
  <c r="C296" i="7"/>
  <c r="B296" i="7"/>
  <c r="CC295" i="7"/>
  <c r="CB295" i="7"/>
  <c r="CA295" i="7"/>
  <c r="BZ295" i="7"/>
  <c r="BY295" i="7"/>
  <c r="BX295" i="7"/>
  <c r="BW295" i="7"/>
  <c r="BV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 s="1"/>
  <c r="C295" i="7"/>
  <c r="B295" i="7"/>
  <c r="CC294" i="7"/>
  <c r="CB294" i="7"/>
  <c r="CA294" i="7"/>
  <c r="BZ294" i="7"/>
  <c r="BY294" i="7"/>
  <c r="BX294" i="7"/>
  <c r="BW294" i="7"/>
  <c r="BV294" i="7"/>
  <c r="BU294" i="7"/>
  <c r="BT294" i="7"/>
  <c r="BS294" i="7"/>
  <c r="BR294" i="7"/>
  <c r="BQ294" i="7"/>
  <c r="BP294" i="7"/>
  <c r="BO294" i="7"/>
  <c r="BN294" i="7"/>
  <c r="BM294" i="7"/>
  <c r="BL294" i="7"/>
  <c r="BK294" i="7"/>
  <c r="BJ294" i="7"/>
  <c r="BI294" i="7"/>
  <c r="BH294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C294" i="7"/>
  <c r="B294" i="7"/>
  <c r="CC293" i="7"/>
  <c r="CB293" i="7"/>
  <c r="CA293" i="7"/>
  <c r="BZ293" i="7"/>
  <c r="BY293" i="7"/>
  <c r="BX293" i="7"/>
  <c r="BW293" i="7"/>
  <c r="BV293" i="7"/>
  <c r="BU293" i="7"/>
  <c r="BT293" i="7"/>
  <c r="BS293" i="7"/>
  <c r="BR293" i="7"/>
  <c r="BQ293" i="7"/>
  <c r="BP293" i="7"/>
  <c r="BO293" i="7"/>
  <c r="BN293" i="7"/>
  <c r="BM293" i="7"/>
  <c r="BL293" i="7"/>
  <c r="BK293" i="7"/>
  <c r="BJ293" i="7"/>
  <c r="BI293" i="7"/>
  <c r="BH293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 s="1"/>
  <c r="C293" i="7"/>
  <c r="B293" i="7"/>
  <c r="CC292" i="7"/>
  <c r="CB292" i="7"/>
  <c r="CA292" i="7"/>
  <c r="BZ292" i="7"/>
  <c r="BY292" i="7"/>
  <c r="BX292" i="7"/>
  <c r="BW292" i="7"/>
  <c r="BV292" i="7"/>
  <c r="BU292" i="7"/>
  <c r="BT292" i="7"/>
  <c r="BS292" i="7"/>
  <c r="BR292" i="7"/>
  <c r="BQ292" i="7"/>
  <c r="BP292" i="7"/>
  <c r="BO292" i="7"/>
  <c r="BN292" i="7"/>
  <c r="BM292" i="7"/>
  <c r="BL292" i="7"/>
  <c r="BK292" i="7"/>
  <c r="BJ292" i="7"/>
  <c r="BI292" i="7"/>
  <c r="BH292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C292" i="7"/>
  <c r="B292" i="7"/>
  <c r="CC291" i="7"/>
  <c r="CB291" i="7"/>
  <c r="CA291" i="7"/>
  <c r="BZ291" i="7"/>
  <c r="BY291" i="7"/>
  <c r="BX291" i="7"/>
  <c r="BW291" i="7"/>
  <c r="BV291" i="7"/>
  <c r="BU291" i="7"/>
  <c r="BT291" i="7"/>
  <c r="BS291" i="7"/>
  <c r="BR291" i="7"/>
  <c r="BQ291" i="7"/>
  <c r="BP291" i="7"/>
  <c r="BO291" i="7"/>
  <c r="BN291" i="7"/>
  <c r="BM291" i="7"/>
  <c r="BL291" i="7"/>
  <c r="BK291" i="7"/>
  <c r="BJ291" i="7"/>
  <c r="BI291" i="7"/>
  <c r="BH291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C291" i="7"/>
  <c r="B291" i="7"/>
  <c r="CC290" i="7"/>
  <c r="CB290" i="7"/>
  <c r="CA290" i="7"/>
  <c r="BZ290" i="7"/>
  <c r="BY290" i="7"/>
  <c r="BX290" i="7"/>
  <c r="BW290" i="7"/>
  <c r="BV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C290" i="7"/>
  <c r="B290" i="7"/>
  <c r="B289" i="7"/>
  <c r="B288" i="7"/>
  <c r="CC287" i="7"/>
  <c r="CB287" i="7"/>
  <c r="CA287" i="7"/>
  <c r="BZ287" i="7"/>
  <c r="BY287" i="7"/>
  <c r="BX287" i="7"/>
  <c r="BW287" i="7"/>
  <c r="BV287" i="7"/>
  <c r="BU287" i="7"/>
  <c r="BT287" i="7"/>
  <c r="BS287" i="7"/>
  <c r="BR287" i="7"/>
  <c r="BQ287" i="7"/>
  <c r="BP287" i="7"/>
  <c r="BO287" i="7"/>
  <c r="BN287" i="7"/>
  <c r="BM287" i="7"/>
  <c r="BL287" i="7"/>
  <c r="BK287" i="7"/>
  <c r="BJ287" i="7"/>
  <c r="BI287" i="7"/>
  <c r="BH287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C287" i="7"/>
  <c r="B287" i="7"/>
  <c r="CC286" i="7"/>
  <c r="CB286" i="7"/>
  <c r="CA286" i="7"/>
  <c r="BZ286" i="7"/>
  <c r="BY286" i="7"/>
  <c r="BX286" i="7"/>
  <c r="BW286" i="7"/>
  <c r="BV286" i="7"/>
  <c r="BU286" i="7"/>
  <c r="BT286" i="7"/>
  <c r="BS286" i="7"/>
  <c r="BR286" i="7"/>
  <c r="BQ286" i="7"/>
  <c r="BP286" i="7"/>
  <c r="BO286" i="7"/>
  <c r="BN286" i="7"/>
  <c r="BM286" i="7"/>
  <c r="BL286" i="7"/>
  <c r="BK286" i="7"/>
  <c r="BJ286" i="7"/>
  <c r="BI286" i="7"/>
  <c r="BH286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C286" i="7"/>
  <c r="B286" i="7"/>
  <c r="CC285" i="7"/>
  <c r="CB285" i="7"/>
  <c r="CA285" i="7"/>
  <c r="BZ285" i="7"/>
  <c r="BY285" i="7"/>
  <c r="BX285" i="7"/>
  <c r="BW285" i="7"/>
  <c r="BV285" i="7"/>
  <c r="BU285" i="7"/>
  <c r="BT285" i="7"/>
  <c r="BS285" i="7"/>
  <c r="BR285" i="7"/>
  <c r="BQ285" i="7"/>
  <c r="BP285" i="7"/>
  <c r="BO285" i="7"/>
  <c r="BN285" i="7"/>
  <c r="BM285" i="7"/>
  <c r="BL285" i="7"/>
  <c r="BK285" i="7"/>
  <c r="BJ285" i="7"/>
  <c r="BI285" i="7"/>
  <c r="BH285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C285" i="7"/>
  <c r="B285" i="7"/>
  <c r="CC284" i="7"/>
  <c r="CB284" i="7"/>
  <c r="CA284" i="7"/>
  <c r="BZ284" i="7"/>
  <c r="BY284" i="7"/>
  <c r="BX284" i="7"/>
  <c r="BW284" i="7"/>
  <c r="BV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E284" i="7" s="1"/>
  <c r="G284" i="7"/>
  <c r="F284" i="7"/>
  <c r="C284" i="7"/>
  <c r="B284" i="7"/>
  <c r="B283" i="7"/>
  <c r="B282" i="7"/>
  <c r="CC281" i="7"/>
  <c r="CB281" i="7"/>
  <c r="CA281" i="7"/>
  <c r="BZ281" i="7"/>
  <c r="BY281" i="7"/>
  <c r="BX281" i="7"/>
  <c r="BW281" i="7"/>
  <c r="BV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C281" i="7"/>
  <c r="B281" i="7"/>
  <c r="CC280" i="7"/>
  <c r="CB280" i="7"/>
  <c r="CA280" i="7"/>
  <c r="BZ280" i="7"/>
  <c r="BY280" i="7"/>
  <c r="BX280" i="7"/>
  <c r="BW280" i="7"/>
  <c r="BV280" i="7"/>
  <c r="BU280" i="7"/>
  <c r="BT280" i="7"/>
  <c r="BS280" i="7"/>
  <c r="BR280" i="7"/>
  <c r="BQ280" i="7"/>
  <c r="BP280" i="7"/>
  <c r="BO280" i="7"/>
  <c r="BN280" i="7"/>
  <c r="BM280" i="7"/>
  <c r="BL280" i="7"/>
  <c r="BK280" i="7"/>
  <c r="BJ280" i="7"/>
  <c r="BI280" i="7"/>
  <c r="BH280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C280" i="7"/>
  <c r="B280" i="7"/>
  <c r="CC279" i="7"/>
  <c r="CB279" i="7"/>
  <c r="CA279" i="7"/>
  <c r="BZ279" i="7"/>
  <c r="BY279" i="7"/>
  <c r="BX279" i="7"/>
  <c r="BW279" i="7"/>
  <c r="BV279" i="7"/>
  <c r="BU279" i="7"/>
  <c r="BT279" i="7"/>
  <c r="BS279" i="7"/>
  <c r="BR279" i="7"/>
  <c r="BQ279" i="7"/>
  <c r="BP279" i="7"/>
  <c r="BO279" i="7"/>
  <c r="BN279" i="7"/>
  <c r="BM279" i="7"/>
  <c r="BL279" i="7"/>
  <c r="BK279" i="7"/>
  <c r="BJ279" i="7"/>
  <c r="BI279" i="7"/>
  <c r="BH279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C279" i="7"/>
  <c r="B279" i="7"/>
  <c r="CC278" i="7"/>
  <c r="CB278" i="7"/>
  <c r="CA278" i="7"/>
  <c r="BZ278" i="7"/>
  <c r="BY278" i="7"/>
  <c r="BX278" i="7"/>
  <c r="BW278" i="7"/>
  <c r="BV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C278" i="7"/>
  <c r="B278" i="7"/>
  <c r="CC277" i="7"/>
  <c r="CB277" i="7"/>
  <c r="CA277" i="7"/>
  <c r="BZ277" i="7"/>
  <c r="BY277" i="7"/>
  <c r="BX277" i="7"/>
  <c r="BW277" i="7"/>
  <c r="BV277" i="7"/>
  <c r="BU277" i="7"/>
  <c r="BT277" i="7"/>
  <c r="BS277" i="7"/>
  <c r="BR277" i="7"/>
  <c r="BQ277" i="7"/>
  <c r="BP277" i="7"/>
  <c r="BO277" i="7"/>
  <c r="BN277" i="7"/>
  <c r="BM277" i="7"/>
  <c r="BL277" i="7"/>
  <c r="BK277" i="7"/>
  <c r="BJ277" i="7"/>
  <c r="BI277" i="7"/>
  <c r="BH277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C277" i="7"/>
  <c r="B277" i="7"/>
  <c r="CC276" i="7"/>
  <c r="CB276" i="7"/>
  <c r="CA276" i="7"/>
  <c r="BZ276" i="7"/>
  <c r="BY276" i="7"/>
  <c r="BX276" i="7"/>
  <c r="BW276" i="7"/>
  <c r="BV276" i="7"/>
  <c r="BU276" i="7"/>
  <c r="BT276" i="7"/>
  <c r="BS276" i="7"/>
  <c r="BR276" i="7"/>
  <c r="BQ276" i="7"/>
  <c r="BP276" i="7"/>
  <c r="BO276" i="7"/>
  <c r="BN276" i="7"/>
  <c r="BM276" i="7"/>
  <c r="BL276" i="7"/>
  <c r="BK276" i="7"/>
  <c r="BJ276" i="7"/>
  <c r="BI276" i="7"/>
  <c r="BH276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E276" i="7" s="1"/>
  <c r="G276" i="7"/>
  <c r="F276" i="7"/>
  <c r="C276" i="7"/>
  <c r="B276" i="7"/>
  <c r="B275" i="7"/>
  <c r="B274" i="7"/>
  <c r="B273" i="7"/>
  <c r="B272" i="7"/>
  <c r="CC271" i="7"/>
  <c r="CB271" i="7"/>
  <c r="CA271" i="7"/>
  <c r="BZ271" i="7"/>
  <c r="BY271" i="7"/>
  <c r="BX271" i="7"/>
  <c r="BW271" i="7"/>
  <c r="BV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C271" i="7"/>
  <c r="B271" i="7"/>
  <c r="CC270" i="7"/>
  <c r="CB270" i="7"/>
  <c r="CA270" i="7"/>
  <c r="BZ270" i="7"/>
  <c r="BY270" i="7"/>
  <c r="BX270" i="7"/>
  <c r="BW270" i="7"/>
  <c r="BV270" i="7"/>
  <c r="BU270" i="7"/>
  <c r="BT270" i="7"/>
  <c r="BS270" i="7"/>
  <c r="BR270" i="7"/>
  <c r="BQ270" i="7"/>
  <c r="BP270" i="7"/>
  <c r="BO270" i="7"/>
  <c r="BN270" i="7"/>
  <c r="BM270" i="7"/>
  <c r="BL270" i="7"/>
  <c r="BK270" i="7"/>
  <c r="BJ270" i="7"/>
  <c r="BI270" i="7"/>
  <c r="BH270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C270" i="7"/>
  <c r="B270" i="7"/>
  <c r="CC269" i="7"/>
  <c r="CB269" i="7"/>
  <c r="CA269" i="7"/>
  <c r="BZ269" i="7"/>
  <c r="BY269" i="7"/>
  <c r="BX269" i="7"/>
  <c r="BW269" i="7"/>
  <c r="BV269" i="7"/>
  <c r="BU269" i="7"/>
  <c r="BT269" i="7"/>
  <c r="BS269" i="7"/>
  <c r="BR269" i="7"/>
  <c r="BQ269" i="7"/>
  <c r="BP269" i="7"/>
  <c r="BO269" i="7"/>
  <c r="BN269" i="7"/>
  <c r="BM269" i="7"/>
  <c r="BL269" i="7"/>
  <c r="BK269" i="7"/>
  <c r="BJ269" i="7"/>
  <c r="BI269" i="7"/>
  <c r="BH269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 s="1"/>
  <c r="C269" i="7"/>
  <c r="B269" i="7"/>
  <c r="CC268" i="7"/>
  <c r="CB268" i="7"/>
  <c r="CA268" i="7"/>
  <c r="BZ268" i="7"/>
  <c r="BY268" i="7"/>
  <c r="BX268" i="7"/>
  <c r="BW268" i="7"/>
  <c r="BV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C268" i="7"/>
  <c r="B268" i="7"/>
  <c r="B267" i="7"/>
  <c r="B266" i="7"/>
  <c r="CC265" i="7"/>
  <c r="CB265" i="7"/>
  <c r="CA265" i="7"/>
  <c r="BZ265" i="7"/>
  <c r="BY265" i="7"/>
  <c r="BX265" i="7"/>
  <c r="BW265" i="7"/>
  <c r="BV265" i="7"/>
  <c r="BU265" i="7"/>
  <c r="BT265" i="7"/>
  <c r="BS265" i="7"/>
  <c r="BR265" i="7"/>
  <c r="BQ265" i="7"/>
  <c r="BP265" i="7"/>
  <c r="BO265" i="7"/>
  <c r="BN265" i="7"/>
  <c r="BM265" i="7"/>
  <c r="BL265" i="7"/>
  <c r="BK265" i="7"/>
  <c r="BJ265" i="7"/>
  <c r="BI265" i="7"/>
  <c r="BH265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C265" i="7"/>
  <c r="B265" i="7"/>
  <c r="CC264" i="7"/>
  <c r="CB264" i="7"/>
  <c r="CA264" i="7"/>
  <c r="BZ264" i="7"/>
  <c r="BY264" i="7"/>
  <c r="BX264" i="7"/>
  <c r="BW264" i="7"/>
  <c r="BV264" i="7"/>
  <c r="BU264" i="7"/>
  <c r="BT264" i="7"/>
  <c r="BS264" i="7"/>
  <c r="BR264" i="7"/>
  <c r="BQ264" i="7"/>
  <c r="BP264" i="7"/>
  <c r="BO264" i="7"/>
  <c r="BN264" i="7"/>
  <c r="BM264" i="7"/>
  <c r="BL264" i="7"/>
  <c r="BK264" i="7"/>
  <c r="BJ264" i="7"/>
  <c r="BI264" i="7"/>
  <c r="BH264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E264" i="7" s="1"/>
  <c r="G264" i="7"/>
  <c r="F264" i="7"/>
  <c r="C264" i="7"/>
  <c r="B264" i="7"/>
  <c r="B263" i="7"/>
  <c r="B262" i="7"/>
  <c r="CC261" i="7"/>
  <c r="CB261" i="7"/>
  <c r="CA261" i="7"/>
  <c r="BZ261" i="7"/>
  <c r="BY261" i="7"/>
  <c r="BX261" i="7"/>
  <c r="BW261" i="7"/>
  <c r="BV261" i="7"/>
  <c r="BU261" i="7"/>
  <c r="BT261" i="7"/>
  <c r="BS261" i="7"/>
  <c r="BR261" i="7"/>
  <c r="BQ261" i="7"/>
  <c r="BP261" i="7"/>
  <c r="BO261" i="7"/>
  <c r="BN261" i="7"/>
  <c r="BM261" i="7"/>
  <c r="BL261" i="7"/>
  <c r="BK261" i="7"/>
  <c r="BJ261" i="7"/>
  <c r="BI261" i="7"/>
  <c r="BH261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C261" i="7"/>
  <c r="B261" i="7"/>
  <c r="CC260" i="7"/>
  <c r="CB260" i="7"/>
  <c r="CA260" i="7"/>
  <c r="BZ260" i="7"/>
  <c r="BY260" i="7"/>
  <c r="BX260" i="7"/>
  <c r="BW260" i="7"/>
  <c r="BV260" i="7"/>
  <c r="BU260" i="7"/>
  <c r="BT260" i="7"/>
  <c r="BS260" i="7"/>
  <c r="BR260" i="7"/>
  <c r="BQ260" i="7"/>
  <c r="BP260" i="7"/>
  <c r="BO260" i="7"/>
  <c r="BN260" i="7"/>
  <c r="BM260" i="7"/>
  <c r="BL260" i="7"/>
  <c r="BK260" i="7"/>
  <c r="BJ260" i="7"/>
  <c r="BI260" i="7"/>
  <c r="BH260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 s="1"/>
  <c r="C260" i="7"/>
  <c r="B260" i="7"/>
  <c r="CC259" i="7"/>
  <c r="CB259" i="7"/>
  <c r="CA259" i="7"/>
  <c r="BZ259" i="7"/>
  <c r="BY259" i="7"/>
  <c r="BX259" i="7"/>
  <c r="BW259" i="7"/>
  <c r="BV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C259" i="7"/>
  <c r="B259" i="7"/>
  <c r="CC258" i="7"/>
  <c r="CB258" i="7"/>
  <c r="CA258" i="7"/>
  <c r="BZ258" i="7"/>
  <c r="BY258" i="7"/>
  <c r="BX258" i="7"/>
  <c r="BW258" i="7"/>
  <c r="BV258" i="7"/>
  <c r="BU258" i="7"/>
  <c r="BT258" i="7"/>
  <c r="BS258" i="7"/>
  <c r="BR258" i="7"/>
  <c r="BQ258" i="7"/>
  <c r="BP258" i="7"/>
  <c r="BO258" i="7"/>
  <c r="BN258" i="7"/>
  <c r="BM258" i="7"/>
  <c r="BL258" i="7"/>
  <c r="BK258" i="7"/>
  <c r="BJ258" i="7"/>
  <c r="BI258" i="7"/>
  <c r="BH258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C258" i="7"/>
  <c r="B258" i="7"/>
  <c r="CC257" i="7"/>
  <c r="CB257" i="7"/>
  <c r="CA257" i="7"/>
  <c r="BZ257" i="7"/>
  <c r="BY257" i="7"/>
  <c r="BX257" i="7"/>
  <c r="BW257" i="7"/>
  <c r="BV257" i="7"/>
  <c r="BU257" i="7"/>
  <c r="BT257" i="7"/>
  <c r="BS257" i="7"/>
  <c r="BR257" i="7"/>
  <c r="BQ257" i="7"/>
  <c r="BP257" i="7"/>
  <c r="BO257" i="7"/>
  <c r="BN257" i="7"/>
  <c r="BM257" i="7"/>
  <c r="BL257" i="7"/>
  <c r="BK257" i="7"/>
  <c r="BJ257" i="7"/>
  <c r="BI257" i="7"/>
  <c r="BH257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C257" i="7"/>
  <c r="B257" i="7"/>
  <c r="CC256" i="7"/>
  <c r="CB256" i="7"/>
  <c r="CA256" i="7"/>
  <c r="BZ256" i="7"/>
  <c r="BY256" i="7"/>
  <c r="BX256" i="7"/>
  <c r="BW256" i="7"/>
  <c r="BV256" i="7"/>
  <c r="BU256" i="7"/>
  <c r="BT256" i="7"/>
  <c r="BS256" i="7"/>
  <c r="BR256" i="7"/>
  <c r="BQ256" i="7"/>
  <c r="BP256" i="7"/>
  <c r="BO256" i="7"/>
  <c r="BN256" i="7"/>
  <c r="BM256" i="7"/>
  <c r="BL256" i="7"/>
  <c r="BK256" i="7"/>
  <c r="BJ256" i="7"/>
  <c r="BI256" i="7"/>
  <c r="BH256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 s="1"/>
  <c r="C256" i="7"/>
  <c r="B256" i="7"/>
  <c r="CC255" i="7"/>
  <c r="CB255" i="7"/>
  <c r="CA255" i="7"/>
  <c r="BZ255" i="7"/>
  <c r="BY255" i="7"/>
  <c r="BX255" i="7"/>
  <c r="BW255" i="7"/>
  <c r="BV255" i="7"/>
  <c r="BU255" i="7"/>
  <c r="BT255" i="7"/>
  <c r="BS255" i="7"/>
  <c r="BR255" i="7"/>
  <c r="BQ255" i="7"/>
  <c r="BP255" i="7"/>
  <c r="BO255" i="7"/>
  <c r="BN255" i="7"/>
  <c r="BM255" i="7"/>
  <c r="BL255" i="7"/>
  <c r="BK255" i="7"/>
  <c r="BJ255" i="7"/>
  <c r="BI255" i="7"/>
  <c r="BH255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C255" i="7"/>
  <c r="B255" i="7"/>
  <c r="CC254" i="7"/>
  <c r="CB254" i="7"/>
  <c r="CA254" i="7"/>
  <c r="BZ254" i="7"/>
  <c r="BY254" i="7"/>
  <c r="BX254" i="7"/>
  <c r="BW254" i="7"/>
  <c r="BV254" i="7"/>
  <c r="BU254" i="7"/>
  <c r="BT254" i="7"/>
  <c r="BS254" i="7"/>
  <c r="BR254" i="7"/>
  <c r="BQ254" i="7"/>
  <c r="BP254" i="7"/>
  <c r="BO254" i="7"/>
  <c r="BN254" i="7"/>
  <c r="BM254" i="7"/>
  <c r="BL254" i="7"/>
  <c r="BK254" i="7"/>
  <c r="BJ254" i="7"/>
  <c r="BI254" i="7"/>
  <c r="BH254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C254" i="7"/>
  <c r="B254" i="7"/>
  <c r="B253" i="7"/>
  <c r="B252" i="7"/>
  <c r="CC251" i="7"/>
  <c r="CB251" i="7"/>
  <c r="CA251" i="7"/>
  <c r="BZ251" i="7"/>
  <c r="BY251" i="7"/>
  <c r="BX251" i="7"/>
  <c r="BW251" i="7"/>
  <c r="BV251" i="7"/>
  <c r="BU251" i="7"/>
  <c r="BT251" i="7"/>
  <c r="BS251" i="7"/>
  <c r="BR251" i="7"/>
  <c r="BQ251" i="7"/>
  <c r="BP251" i="7"/>
  <c r="BO251" i="7"/>
  <c r="BN251" i="7"/>
  <c r="BM251" i="7"/>
  <c r="BL251" i="7"/>
  <c r="BK251" i="7"/>
  <c r="BJ251" i="7"/>
  <c r="BI251" i="7"/>
  <c r="BH251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C251" i="7"/>
  <c r="B251" i="7"/>
  <c r="CC250" i="7"/>
  <c r="CB250" i="7"/>
  <c r="CA250" i="7"/>
  <c r="BZ250" i="7"/>
  <c r="BY250" i="7"/>
  <c r="BX250" i="7"/>
  <c r="BW250" i="7"/>
  <c r="BV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 s="1"/>
  <c r="C250" i="7"/>
  <c r="B250" i="7"/>
  <c r="CC249" i="7"/>
  <c r="CB249" i="7"/>
  <c r="CA249" i="7"/>
  <c r="BZ249" i="7"/>
  <c r="BY249" i="7"/>
  <c r="BX249" i="7"/>
  <c r="BW249" i="7"/>
  <c r="BV249" i="7"/>
  <c r="BU249" i="7"/>
  <c r="BT249" i="7"/>
  <c r="BS249" i="7"/>
  <c r="BR249" i="7"/>
  <c r="BQ249" i="7"/>
  <c r="BP249" i="7"/>
  <c r="BO249" i="7"/>
  <c r="BN249" i="7"/>
  <c r="BM249" i="7"/>
  <c r="BL249" i="7"/>
  <c r="BK249" i="7"/>
  <c r="BJ249" i="7"/>
  <c r="BI249" i="7"/>
  <c r="BH249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C249" i="7"/>
  <c r="B249" i="7"/>
  <c r="CC248" i="7"/>
  <c r="CB248" i="7"/>
  <c r="CA248" i="7"/>
  <c r="BZ248" i="7"/>
  <c r="BY248" i="7"/>
  <c r="BX248" i="7"/>
  <c r="BW248" i="7"/>
  <c r="BV248" i="7"/>
  <c r="BU248" i="7"/>
  <c r="BT248" i="7"/>
  <c r="BS248" i="7"/>
  <c r="BR248" i="7"/>
  <c r="BQ248" i="7"/>
  <c r="BP248" i="7"/>
  <c r="BO248" i="7"/>
  <c r="BN248" i="7"/>
  <c r="BM248" i="7"/>
  <c r="BL248" i="7"/>
  <c r="BK248" i="7"/>
  <c r="BJ248" i="7"/>
  <c r="BI248" i="7"/>
  <c r="BH248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 s="1"/>
  <c r="C248" i="7"/>
  <c r="B248" i="7"/>
  <c r="B247" i="7"/>
  <c r="B246" i="7"/>
  <c r="CC245" i="7"/>
  <c r="CB245" i="7"/>
  <c r="CA245" i="7"/>
  <c r="BZ245" i="7"/>
  <c r="BY245" i="7"/>
  <c r="BX245" i="7"/>
  <c r="BW245" i="7"/>
  <c r="BV245" i="7"/>
  <c r="BU245" i="7"/>
  <c r="BT245" i="7"/>
  <c r="BS245" i="7"/>
  <c r="BR245" i="7"/>
  <c r="BQ245" i="7"/>
  <c r="BP245" i="7"/>
  <c r="BO245" i="7"/>
  <c r="BN245" i="7"/>
  <c r="BM245" i="7"/>
  <c r="BL245" i="7"/>
  <c r="BK245" i="7"/>
  <c r="BJ245" i="7"/>
  <c r="BI245" i="7"/>
  <c r="BH245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C245" i="7"/>
  <c r="B245" i="7"/>
  <c r="CC244" i="7"/>
  <c r="CB244" i="7"/>
  <c r="CA244" i="7"/>
  <c r="BZ244" i="7"/>
  <c r="BY244" i="7"/>
  <c r="BX244" i="7"/>
  <c r="BW244" i="7"/>
  <c r="BV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C244" i="7"/>
  <c r="B244" i="7"/>
  <c r="CC243" i="7"/>
  <c r="CB243" i="7"/>
  <c r="CA243" i="7"/>
  <c r="BZ243" i="7"/>
  <c r="BY243" i="7"/>
  <c r="BX243" i="7"/>
  <c r="BW243" i="7"/>
  <c r="BV243" i="7"/>
  <c r="BU243" i="7"/>
  <c r="BT243" i="7"/>
  <c r="BS243" i="7"/>
  <c r="BR243" i="7"/>
  <c r="BQ243" i="7"/>
  <c r="BP243" i="7"/>
  <c r="BO243" i="7"/>
  <c r="BN243" i="7"/>
  <c r="BM243" i="7"/>
  <c r="BL243" i="7"/>
  <c r="BK243" i="7"/>
  <c r="BJ243" i="7"/>
  <c r="BI243" i="7"/>
  <c r="BH243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C243" i="7"/>
  <c r="B243" i="7"/>
  <c r="CC242" i="7"/>
  <c r="CB242" i="7"/>
  <c r="CA242" i="7"/>
  <c r="BZ242" i="7"/>
  <c r="BY242" i="7"/>
  <c r="BX242" i="7"/>
  <c r="BW242" i="7"/>
  <c r="BV242" i="7"/>
  <c r="BU242" i="7"/>
  <c r="BT242" i="7"/>
  <c r="BS242" i="7"/>
  <c r="BR242" i="7"/>
  <c r="BQ242" i="7"/>
  <c r="BP242" i="7"/>
  <c r="BO242" i="7"/>
  <c r="BN242" i="7"/>
  <c r="BM242" i="7"/>
  <c r="BL242" i="7"/>
  <c r="BK242" i="7"/>
  <c r="BJ242" i="7"/>
  <c r="BI242" i="7"/>
  <c r="BH242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 s="1"/>
  <c r="C242" i="7"/>
  <c r="B242" i="7"/>
  <c r="CC241" i="7"/>
  <c r="CB241" i="7"/>
  <c r="CA241" i="7"/>
  <c r="BZ241" i="7"/>
  <c r="BY241" i="7"/>
  <c r="BX241" i="7"/>
  <c r="BW241" i="7"/>
  <c r="BV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C241" i="7"/>
  <c r="B241" i="7"/>
  <c r="CC240" i="7"/>
  <c r="CB240" i="7"/>
  <c r="CA240" i="7"/>
  <c r="BZ240" i="7"/>
  <c r="BY240" i="7"/>
  <c r="BX240" i="7"/>
  <c r="BW240" i="7"/>
  <c r="BV240" i="7"/>
  <c r="BU240" i="7"/>
  <c r="BT240" i="7"/>
  <c r="BS240" i="7"/>
  <c r="BR240" i="7"/>
  <c r="BQ240" i="7"/>
  <c r="BP240" i="7"/>
  <c r="BO240" i="7"/>
  <c r="BN240" i="7"/>
  <c r="BM240" i="7"/>
  <c r="BL240" i="7"/>
  <c r="BK240" i="7"/>
  <c r="BJ240" i="7"/>
  <c r="BI240" i="7"/>
  <c r="BH240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 s="1"/>
  <c r="C240" i="7"/>
  <c r="B240" i="7"/>
  <c r="B239" i="7"/>
  <c r="B238" i="7"/>
  <c r="B237" i="7"/>
  <c r="B236" i="7"/>
  <c r="CC235" i="7"/>
  <c r="CB235" i="7"/>
  <c r="CA235" i="7"/>
  <c r="BZ235" i="7"/>
  <c r="BY235" i="7"/>
  <c r="BX235" i="7"/>
  <c r="BW235" i="7"/>
  <c r="BV235" i="7"/>
  <c r="BU235" i="7"/>
  <c r="BT235" i="7"/>
  <c r="BS235" i="7"/>
  <c r="BR235" i="7"/>
  <c r="BQ235" i="7"/>
  <c r="BP235" i="7"/>
  <c r="BO235" i="7"/>
  <c r="BN235" i="7"/>
  <c r="BM235" i="7"/>
  <c r="BL235" i="7"/>
  <c r="BK235" i="7"/>
  <c r="BJ235" i="7"/>
  <c r="BI235" i="7"/>
  <c r="BH235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C235" i="7"/>
  <c r="B235" i="7"/>
  <c r="CC234" i="7"/>
  <c r="CB234" i="7"/>
  <c r="CA234" i="7"/>
  <c r="BZ234" i="7"/>
  <c r="BY234" i="7"/>
  <c r="BX234" i="7"/>
  <c r="BW234" i="7"/>
  <c r="BV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C234" i="7"/>
  <c r="B234" i="7"/>
  <c r="CC233" i="7"/>
  <c r="CB233" i="7"/>
  <c r="CA233" i="7"/>
  <c r="BZ233" i="7"/>
  <c r="BY233" i="7"/>
  <c r="BX233" i="7"/>
  <c r="BW233" i="7"/>
  <c r="BV233" i="7"/>
  <c r="BU233" i="7"/>
  <c r="BT233" i="7"/>
  <c r="BS233" i="7"/>
  <c r="BR233" i="7"/>
  <c r="BQ233" i="7"/>
  <c r="BP233" i="7"/>
  <c r="BO233" i="7"/>
  <c r="BN233" i="7"/>
  <c r="BM233" i="7"/>
  <c r="BL233" i="7"/>
  <c r="BK233" i="7"/>
  <c r="BJ233" i="7"/>
  <c r="BI233" i="7"/>
  <c r="BH233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 s="1"/>
  <c r="C233" i="7"/>
  <c r="B233" i="7"/>
  <c r="CC232" i="7"/>
  <c r="CB232" i="7"/>
  <c r="CA232" i="7"/>
  <c r="BZ232" i="7"/>
  <c r="BY232" i="7"/>
  <c r="BX232" i="7"/>
  <c r="BW232" i="7"/>
  <c r="BV232" i="7"/>
  <c r="BU232" i="7"/>
  <c r="BT232" i="7"/>
  <c r="BS232" i="7"/>
  <c r="BR232" i="7"/>
  <c r="BQ232" i="7"/>
  <c r="BP232" i="7"/>
  <c r="BO232" i="7"/>
  <c r="BN232" i="7"/>
  <c r="BM232" i="7"/>
  <c r="BL232" i="7"/>
  <c r="BK232" i="7"/>
  <c r="BJ232" i="7"/>
  <c r="BI232" i="7"/>
  <c r="BH232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C232" i="7"/>
  <c r="B232" i="7"/>
  <c r="B231" i="7"/>
  <c r="B230" i="7"/>
  <c r="CC229" i="7"/>
  <c r="CB229" i="7"/>
  <c r="CA229" i="7"/>
  <c r="BZ229" i="7"/>
  <c r="BY229" i="7"/>
  <c r="BX229" i="7"/>
  <c r="BW229" i="7"/>
  <c r="BV229" i="7"/>
  <c r="BU229" i="7"/>
  <c r="BT229" i="7"/>
  <c r="BS229" i="7"/>
  <c r="BR229" i="7"/>
  <c r="BQ229" i="7"/>
  <c r="BP229" i="7"/>
  <c r="BO229" i="7"/>
  <c r="BN229" i="7"/>
  <c r="BM229" i="7"/>
  <c r="BL229" i="7"/>
  <c r="BK229" i="7"/>
  <c r="BJ229" i="7"/>
  <c r="BI229" i="7"/>
  <c r="BH229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C229" i="7"/>
  <c r="B229" i="7"/>
  <c r="CC228" i="7"/>
  <c r="CB228" i="7"/>
  <c r="CA228" i="7"/>
  <c r="BZ228" i="7"/>
  <c r="BY228" i="7"/>
  <c r="BX228" i="7"/>
  <c r="BW228" i="7"/>
  <c r="BV228" i="7"/>
  <c r="BU228" i="7"/>
  <c r="BT228" i="7"/>
  <c r="BS228" i="7"/>
  <c r="BR228" i="7"/>
  <c r="BQ228" i="7"/>
  <c r="BP228" i="7"/>
  <c r="BO228" i="7"/>
  <c r="BN228" i="7"/>
  <c r="BM228" i="7"/>
  <c r="BL228" i="7"/>
  <c r="BK228" i="7"/>
  <c r="BJ228" i="7"/>
  <c r="BI228" i="7"/>
  <c r="BH228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 s="1"/>
  <c r="C228" i="7"/>
  <c r="B228" i="7"/>
  <c r="B227" i="7"/>
  <c r="B226" i="7"/>
  <c r="CC225" i="7"/>
  <c r="CB225" i="7"/>
  <c r="CA225" i="7"/>
  <c r="BZ225" i="7"/>
  <c r="BY225" i="7"/>
  <c r="BX225" i="7"/>
  <c r="BW225" i="7"/>
  <c r="BV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 s="1"/>
  <c r="C225" i="7"/>
  <c r="B225" i="7"/>
  <c r="CC224" i="7"/>
  <c r="CB224" i="7"/>
  <c r="CA224" i="7"/>
  <c r="BZ224" i="7"/>
  <c r="BY224" i="7"/>
  <c r="BX224" i="7"/>
  <c r="BW224" i="7"/>
  <c r="BV224" i="7"/>
  <c r="BU224" i="7"/>
  <c r="BT224" i="7"/>
  <c r="BS224" i="7"/>
  <c r="BR224" i="7"/>
  <c r="BQ224" i="7"/>
  <c r="BP224" i="7"/>
  <c r="BO224" i="7"/>
  <c r="BN224" i="7"/>
  <c r="BM224" i="7"/>
  <c r="BL224" i="7"/>
  <c r="BK224" i="7"/>
  <c r="BJ224" i="7"/>
  <c r="BI224" i="7"/>
  <c r="BH224" i="7"/>
  <c r="BG224" i="7"/>
  <c r="BF224" i="7"/>
  <c r="BE224" i="7"/>
  <c r="BD224" i="7"/>
  <c r="BC224" i="7"/>
  <c r="BB224" i="7"/>
  <c r="BA224" i="7"/>
  <c r="AZ224" i="7"/>
  <c r="AY224" i="7"/>
  <c r="AX224" i="7"/>
  <c r="AW224" i="7"/>
  <c r="AV224" i="7"/>
  <c r="AU224" i="7"/>
  <c r="AT224" i="7"/>
  <c r="AS224" i="7"/>
  <c r="AR224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C224" i="7"/>
  <c r="B224" i="7"/>
  <c r="CC223" i="7"/>
  <c r="CB223" i="7"/>
  <c r="CA223" i="7"/>
  <c r="BZ223" i="7"/>
  <c r="BY223" i="7"/>
  <c r="BX223" i="7"/>
  <c r="BW223" i="7"/>
  <c r="BV223" i="7"/>
  <c r="BU223" i="7"/>
  <c r="BT223" i="7"/>
  <c r="BS223" i="7"/>
  <c r="BR223" i="7"/>
  <c r="BQ223" i="7"/>
  <c r="BP223" i="7"/>
  <c r="BO223" i="7"/>
  <c r="BN223" i="7"/>
  <c r="BM223" i="7"/>
  <c r="BL223" i="7"/>
  <c r="BK223" i="7"/>
  <c r="BJ223" i="7"/>
  <c r="BI223" i="7"/>
  <c r="BH223" i="7"/>
  <c r="BG223" i="7"/>
  <c r="BF223" i="7"/>
  <c r="BE223" i="7"/>
  <c r="BD223" i="7"/>
  <c r="BC223" i="7"/>
  <c r="BB223" i="7"/>
  <c r="BA223" i="7"/>
  <c r="AZ223" i="7"/>
  <c r="AY223" i="7"/>
  <c r="AX223" i="7"/>
  <c r="AW223" i="7"/>
  <c r="AV223" i="7"/>
  <c r="AU223" i="7"/>
  <c r="AT223" i="7"/>
  <c r="AS223" i="7"/>
  <c r="AR223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 s="1"/>
  <c r="C223" i="7"/>
  <c r="B223" i="7"/>
  <c r="CC222" i="7"/>
  <c r="CB222" i="7"/>
  <c r="CA222" i="7"/>
  <c r="BZ222" i="7"/>
  <c r="BY222" i="7"/>
  <c r="BX222" i="7"/>
  <c r="BW222" i="7"/>
  <c r="BV222" i="7"/>
  <c r="BU222" i="7"/>
  <c r="BT222" i="7"/>
  <c r="BS222" i="7"/>
  <c r="BR222" i="7"/>
  <c r="BQ222" i="7"/>
  <c r="BP222" i="7"/>
  <c r="BO222" i="7"/>
  <c r="BN222" i="7"/>
  <c r="BM222" i="7"/>
  <c r="BL222" i="7"/>
  <c r="BK222" i="7"/>
  <c r="BJ222" i="7"/>
  <c r="BI222" i="7"/>
  <c r="BH222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C222" i="7"/>
  <c r="B222" i="7"/>
  <c r="B221" i="7"/>
  <c r="B220" i="7"/>
  <c r="CC219" i="7"/>
  <c r="CB219" i="7"/>
  <c r="CA219" i="7"/>
  <c r="BZ219" i="7"/>
  <c r="BY219" i="7"/>
  <c r="BX219" i="7"/>
  <c r="BW219" i="7"/>
  <c r="BV219" i="7"/>
  <c r="BU219" i="7"/>
  <c r="BT219" i="7"/>
  <c r="BS219" i="7"/>
  <c r="BR219" i="7"/>
  <c r="BQ219" i="7"/>
  <c r="BP219" i="7"/>
  <c r="BO219" i="7"/>
  <c r="BN219" i="7"/>
  <c r="BM219" i="7"/>
  <c r="BL219" i="7"/>
  <c r="BK219" i="7"/>
  <c r="BJ219" i="7"/>
  <c r="BI219" i="7"/>
  <c r="BH219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C219" i="7"/>
  <c r="B219" i="7"/>
  <c r="CC218" i="7"/>
  <c r="CB218" i="7"/>
  <c r="CA218" i="7"/>
  <c r="BZ218" i="7"/>
  <c r="BY218" i="7"/>
  <c r="BX218" i="7"/>
  <c r="BW218" i="7"/>
  <c r="BV218" i="7"/>
  <c r="BU218" i="7"/>
  <c r="BT218" i="7"/>
  <c r="BS218" i="7"/>
  <c r="BR218" i="7"/>
  <c r="BQ218" i="7"/>
  <c r="BP218" i="7"/>
  <c r="BO218" i="7"/>
  <c r="BN218" i="7"/>
  <c r="BM218" i="7"/>
  <c r="BL218" i="7"/>
  <c r="BK218" i="7"/>
  <c r="BJ218" i="7"/>
  <c r="BI218" i="7"/>
  <c r="BH218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 s="1"/>
  <c r="C218" i="7"/>
  <c r="B218" i="7"/>
  <c r="CC217" i="7"/>
  <c r="CB217" i="7"/>
  <c r="CA217" i="7"/>
  <c r="BZ217" i="7"/>
  <c r="BY217" i="7"/>
  <c r="BX217" i="7"/>
  <c r="BW217" i="7"/>
  <c r="BV217" i="7"/>
  <c r="BU217" i="7"/>
  <c r="BT217" i="7"/>
  <c r="BS217" i="7"/>
  <c r="BR217" i="7"/>
  <c r="BQ217" i="7"/>
  <c r="BP217" i="7"/>
  <c r="BO217" i="7"/>
  <c r="BN217" i="7"/>
  <c r="BM217" i="7"/>
  <c r="BL217" i="7"/>
  <c r="BK217" i="7"/>
  <c r="BJ217" i="7"/>
  <c r="BI217" i="7"/>
  <c r="BH217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 s="1"/>
  <c r="C217" i="7"/>
  <c r="B217" i="7"/>
  <c r="CC216" i="7"/>
  <c r="CB216" i="7"/>
  <c r="CA216" i="7"/>
  <c r="BZ216" i="7"/>
  <c r="BY216" i="7"/>
  <c r="BX216" i="7"/>
  <c r="BW216" i="7"/>
  <c r="BV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C216" i="7"/>
  <c r="B216" i="7"/>
  <c r="CC215" i="7"/>
  <c r="CB215" i="7"/>
  <c r="CA215" i="7"/>
  <c r="BZ215" i="7"/>
  <c r="BY215" i="7"/>
  <c r="BX215" i="7"/>
  <c r="BW215" i="7"/>
  <c r="BV215" i="7"/>
  <c r="BU215" i="7"/>
  <c r="BT215" i="7"/>
  <c r="BS215" i="7"/>
  <c r="BR215" i="7"/>
  <c r="BQ215" i="7"/>
  <c r="BP215" i="7"/>
  <c r="BO215" i="7"/>
  <c r="BN215" i="7"/>
  <c r="BM215" i="7"/>
  <c r="BL215" i="7"/>
  <c r="BK215" i="7"/>
  <c r="BJ215" i="7"/>
  <c r="BI215" i="7"/>
  <c r="BH215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 s="1"/>
  <c r="C215" i="7"/>
  <c r="B215" i="7"/>
  <c r="CC214" i="7"/>
  <c r="CB214" i="7"/>
  <c r="CA214" i="7"/>
  <c r="BZ214" i="7"/>
  <c r="BY214" i="7"/>
  <c r="BX214" i="7"/>
  <c r="BW214" i="7"/>
  <c r="BV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C214" i="7"/>
  <c r="B214" i="7"/>
  <c r="B213" i="7"/>
  <c r="B212" i="7"/>
  <c r="CC211" i="7"/>
  <c r="CB211" i="7"/>
  <c r="CA211" i="7"/>
  <c r="BZ211" i="7"/>
  <c r="BY211" i="7"/>
  <c r="BX211" i="7"/>
  <c r="BW211" i="7"/>
  <c r="BV211" i="7"/>
  <c r="BU211" i="7"/>
  <c r="BT211" i="7"/>
  <c r="BS211" i="7"/>
  <c r="BR211" i="7"/>
  <c r="BQ211" i="7"/>
  <c r="BP211" i="7"/>
  <c r="BO211" i="7"/>
  <c r="BN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C211" i="7"/>
  <c r="B211" i="7"/>
  <c r="CC210" i="7"/>
  <c r="CB210" i="7"/>
  <c r="CA210" i="7"/>
  <c r="BZ210" i="7"/>
  <c r="BY210" i="7"/>
  <c r="BX210" i="7"/>
  <c r="BW210" i="7"/>
  <c r="BV210" i="7"/>
  <c r="BU210" i="7"/>
  <c r="BT210" i="7"/>
  <c r="BS210" i="7"/>
  <c r="BR210" i="7"/>
  <c r="BQ210" i="7"/>
  <c r="BP210" i="7"/>
  <c r="BO210" i="7"/>
  <c r="BN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 s="1"/>
  <c r="C210" i="7"/>
  <c r="B210" i="7"/>
  <c r="CC209" i="7"/>
  <c r="CB209" i="7"/>
  <c r="CA209" i="7"/>
  <c r="BZ209" i="7"/>
  <c r="BY209" i="7"/>
  <c r="BX209" i="7"/>
  <c r="BW209" i="7"/>
  <c r="BV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C209" i="7"/>
  <c r="B209" i="7"/>
  <c r="CC208" i="7"/>
  <c r="CB208" i="7"/>
  <c r="CA208" i="7"/>
  <c r="BZ208" i="7"/>
  <c r="BY208" i="7"/>
  <c r="BX208" i="7"/>
  <c r="BW208" i="7"/>
  <c r="BV208" i="7"/>
  <c r="BU208" i="7"/>
  <c r="BT208" i="7"/>
  <c r="BS208" i="7"/>
  <c r="BR208" i="7"/>
  <c r="BQ208" i="7"/>
  <c r="BP208" i="7"/>
  <c r="BO208" i="7"/>
  <c r="BN208" i="7"/>
  <c r="BM208" i="7"/>
  <c r="BL208" i="7"/>
  <c r="BK208" i="7"/>
  <c r="BJ208" i="7"/>
  <c r="BI208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C208" i="7"/>
  <c r="B208" i="7"/>
  <c r="CC207" i="7"/>
  <c r="CB207" i="7"/>
  <c r="CA207" i="7"/>
  <c r="BZ207" i="7"/>
  <c r="BY207" i="7"/>
  <c r="BX207" i="7"/>
  <c r="BW207" i="7"/>
  <c r="BV207" i="7"/>
  <c r="BU207" i="7"/>
  <c r="BT207" i="7"/>
  <c r="BS207" i="7"/>
  <c r="BR207" i="7"/>
  <c r="BQ207" i="7"/>
  <c r="BP207" i="7"/>
  <c r="BO207" i="7"/>
  <c r="BN207" i="7"/>
  <c r="BM207" i="7"/>
  <c r="BL207" i="7"/>
  <c r="BK207" i="7"/>
  <c r="BJ207" i="7"/>
  <c r="BI207" i="7"/>
  <c r="BH207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 s="1"/>
  <c r="C207" i="7"/>
  <c r="B207" i="7"/>
  <c r="CC206" i="7"/>
  <c r="CB206" i="7"/>
  <c r="CA206" i="7"/>
  <c r="BZ206" i="7"/>
  <c r="BY206" i="7"/>
  <c r="BX206" i="7"/>
  <c r="BW206" i="7"/>
  <c r="BV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 s="1"/>
  <c r="C206" i="7"/>
  <c r="B206" i="7"/>
  <c r="B205" i="7"/>
  <c r="B204" i="7"/>
  <c r="B203" i="7"/>
  <c r="B202" i="7"/>
  <c r="CC201" i="7"/>
  <c r="CB201" i="7"/>
  <c r="CA201" i="7"/>
  <c r="BZ201" i="7"/>
  <c r="BY201" i="7"/>
  <c r="BX201" i="7"/>
  <c r="BW201" i="7"/>
  <c r="BV201" i="7"/>
  <c r="BU201" i="7"/>
  <c r="BT201" i="7"/>
  <c r="BS201" i="7"/>
  <c r="BR201" i="7"/>
  <c r="BQ201" i="7"/>
  <c r="BP201" i="7"/>
  <c r="BO201" i="7"/>
  <c r="BN201" i="7"/>
  <c r="BM201" i="7"/>
  <c r="BL201" i="7"/>
  <c r="BK201" i="7"/>
  <c r="BJ201" i="7"/>
  <c r="BI201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C201" i="7"/>
  <c r="B201" i="7"/>
  <c r="CC200" i="7"/>
  <c r="CB200" i="7"/>
  <c r="CA200" i="7"/>
  <c r="BZ200" i="7"/>
  <c r="BY200" i="7"/>
  <c r="BX200" i="7"/>
  <c r="BW200" i="7"/>
  <c r="BV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C200" i="7"/>
  <c r="B200" i="7"/>
  <c r="CC199" i="7"/>
  <c r="CB199" i="7"/>
  <c r="CA199" i="7"/>
  <c r="BZ199" i="7"/>
  <c r="BY199" i="7"/>
  <c r="BX199" i="7"/>
  <c r="BW199" i="7"/>
  <c r="BV199" i="7"/>
  <c r="BU199" i="7"/>
  <c r="BT199" i="7"/>
  <c r="BS199" i="7"/>
  <c r="BR199" i="7"/>
  <c r="BQ199" i="7"/>
  <c r="BP199" i="7"/>
  <c r="BO199" i="7"/>
  <c r="BN199" i="7"/>
  <c r="BM199" i="7"/>
  <c r="BL199" i="7"/>
  <c r="BK199" i="7"/>
  <c r="BJ199" i="7"/>
  <c r="BI199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C199" i="7"/>
  <c r="B199" i="7"/>
  <c r="CC198" i="7"/>
  <c r="CB198" i="7"/>
  <c r="CA198" i="7"/>
  <c r="BZ198" i="7"/>
  <c r="BY198" i="7"/>
  <c r="BX198" i="7"/>
  <c r="BW198" i="7"/>
  <c r="BV198" i="7"/>
  <c r="BU198" i="7"/>
  <c r="BT198" i="7"/>
  <c r="BS198" i="7"/>
  <c r="BR198" i="7"/>
  <c r="BQ198" i="7"/>
  <c r="BP198" i="7"/>
  <c r="BO198" i="7"/>
  <c r="BN198" i="7"/>
  <c r="BM198" i="7"/>
  <c r="BL198" i="7"/>
  <c r="BK198" i="7"/>
  <c r="BJ198" i="7"/>
  <c r="BI198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C198" i="7"/>
  <c r="B198" i="7"/>
  <c r="CC197" i="7"/>
  <c r="CB197" i="7"/>
  <c r="CA197" i="7"/>
  <c r="BZ197" i="7"/>
  <c r="BY197" i="7"/>
  <c r="BX197" i="7"/>
  <c r="BW197" i="7"/>
  <c r="BV197" i="7"/>
  <c r="BU197" i="7"/>
  <c r="BT197" i="7"/>
  <c r="BS197" i="7"/>
  <c r="BR197" i="7"/>
  <c r="BQ197" i="7"/>
  <c r="BP197" i="7"/>
  <c r="BO197" i="7"/>
  <c r="BN197" i="7"/>
  <c r="BM197" i="7"/>
  <c r="BL197" i="7"/>
  <c r="BK197" i="7"/>
  <c r="BJ197" i="7"/>
  <c r="BI197" i="7"/>
  <c r="BH197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E197" i="7" s="1"/>
  <c r="G197" i="7"/>
  <c r="F197" i="7"/>
  <c r="C197" i="7"/>
  <c r="B197" i="7"/>
  <c r="CC196" i="7"/>
  <c r="CB196" i="7"/>
  <c r="CA196" i="7"/>
  <c r="BZ196" i="7"/>
  <c r="BY196" i="7"/>
  <c r="BX196" i="7"/>
  <c r="BW196" i="7"/>
  <c r="BV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 s="1"/>
  <c r="C196" i="7"/>
  <c r="B196" i="7"/>
  <c r="CC195" i="7"/>
  <c r="CB195" i="7"/>
  <c r="CA195" i="7"/>
  <c r="BZ195" i="7"/>
  <c r="BY195" i="7"/>
  <c r="BX195" i="7"/>
  <c r="BW195" i="7"/>
  <c r="BV195" i="7"/>
  <c r="BU195" i="7"/>
  <c r="BT195" i="7"/>
  <c r="BS195" i="7"/>
  <c r="BR195" i="7"/>
  <c r="BQ195" i="7"/>
  <c r="BP195" i="7"/>
  <c r="BO195" i="7"/>
  <c r="BN195" i="7"/>
  <c r="BM195" i="7"/>
  <c r="BL195" i="7"/>
  <c r="BK195" i="7"/>
  <c r="BJ195" i="7"/>
  <c r="BI195" i="7"/>
  <c r="BH195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C195" i="7"/>
  <c r="B195" i="7"/>
  <c r="CC194" i="7"/>
  <c r="CB194" i="7"/>
  <c r="CA194" i="7"/>
  <c r="BZ194" i="7"/>
  <c r="BY194" i="7"/>
  <c r="BX194" i="7"/>
  <c r="BW194" i="7"/>
  <c r="BV194" i="7"/>
  <c r="BU194" i="7"/>
  <c r="BT194" i="7"/>
  <c r="BS194" i="7"/>
  <c r="BR194" i="7"/>
  <c r="BQ194" i="7"/>
  <c r="BP194" i="7"/>
  <c r="BO194" i="7"/>
  <c r="BN194" i="7"/>
  <c r="BM194" i="7"/>
  <c r="BL194" i="7"/>
  <c r="BK194" i="7"/>
  <c r="BJ194" i="7"/>
  <c r="BI194" i="7"/>
  <c r="BH194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 s="1"/>
  <c r="C194" i="7"/>
  <c r="B194" i="7"/>
  <c r="B193" i="7"/>
  <c r="B192" i="7"/>
  <c r="CC191" i="7"/>
  <c r="CB191" i="7"/>
  <c r="CA191" i="7"/>
  <c r="BZ191" i="7"/>
  <c r="BY191" i="7"/>
  <c r="BX191" i="7"/>
  <c r="BW191" i="7"/>
  <c r="BV191" i="7"/>
  <c r="BU191" i="7"/>
  <c r="BT191" i="7"/>
  <c r="BS191" i="7"/>
  <c r="BR191" i="7"/>
  <c r="BQ191" i="7"/>
  <c r="BP191" i="7"/>
  <c r="BO191" i="7"/>
  <c r="BN191" i="7"/>
  <c r="BM191" i="7"/>
  <c r="BL191" i="7"/>
  <c r="BK191" i="7"/>
  <c r="BJ191" i="7"/>
  <c r="BI191" i="7"/>
  <c r="BH191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C191" i="7"/>
  <c r="B191" i="7"/>
  <c r="CC190" i="7"/>
  <c r="CB190" i="7"/>
  <c r="CA190" i="7"/>
  <c r="BZ190" i="7"/>
  <c r="BY190" i="7"/>
  <c r="BX190" i="7"/>
  <c r="BW190" i="7"/>
  <c r="BV190" i="7"/>
  <c r="BU190" i="7"/>
  <c r="BT190" i="7"/>
  <c r="BS190" i="7"/>
  <c r="BR190" i="7"/>
  <c r="BQ190" i="7"/>
  <c r="BP190" i="7"/>
  <c r="BO190" i="7"/>
  <c r="BN190" i="7"/>
  <c r="BM190" i="7"/>
  <c r="BL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C190" i="7"/>
  <c r="B190" i="7"/>
  <c r="B189" i="7"/>
  <c r="B188" i="7"/>
  <c r="CC187" i="7"/>
  <c r="CB187" i="7"/>
  <c r="CA187" i="7"/>
  <c r="BZ187" i="7"/>
  <c r="BY187" i="7"/>
  <c r="BX187" i="7"/>
  <c r="BW187" i="7"/>
  <c r="BV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 s="1"/>
  <c r="C187" i="7"/>
  <c r="B187" i="7"/>
  <c r="CC186" i="7"/>
  <c r="CB186" i="7"/>
  <c r="CA186" i="7"/>
  <c r="BZ186" i="7"/>
  <c r="BY186" i="7"/>
  <c r="BX186" i="7"/>
  <c r="BW186" i="7"/>
  <c r="BV186" i="7"/>
  <c r="BU186" i="7"/>
  <c r="BT186" i="7"/>
  <c r="BS186" i="7"/>
  <c r="BR186" i="7"/>
  <c r="BQ186" i="7"/>
  <c r="BP186" i="7"/>
  <c r="BO186" i="7"/>
  <c r="BN186" i="7"/>
  <c r="BM186" i="7"/>
  <c r="BL186" i="7"/>
  <c r="BK186" i="7"/>
  <c r="BJ186" i="7"/>
  <c r="BI186" i="7"/>
  <c r="BH186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C186" i="7"/>
  <c r="B186" i="7"/>
  <c r="CC185" i="7"/>
  <c r="CB185" i="7"/>
  <c r="CA185" i="7"/>
  <c r="BZ185" i="7"/>
  <c r="BY185" i="7"/>
  <c r="BX185" i="7"/>
  <c r="BW185" i="7"/>
  <c r="BV185" i="7"/>
  <c r="BU185" i="7"/>
  <c r="BT185" i="7"/>
  <c r="BS185" i="7"/>
  <c r="BR185" i="7"/>
  <c r="BQ185" i="7"/>
  <c r="BP185" i="7"/>
  <c r="BO185" i="7"/>
  <c r="BN185" i="7"/>
  <c r="BM185" i="7"/>
  <c r="BL185" i="7"/>
  <c r="BK185" i="7"/>
  <c r="BJ185" i="7"/>
  <c r="BI185" i="7"/>
  <c r="BH185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C185" i="7"/>
  <c r="B185" i="7"/>
  <c r="CC184" i="7"/>
  <c r="CB184" i="7"/>
  <c r="CA184" i="7"/>
  <c r="BZ184" i="7"/>
  <c r="BY184" i="7"/>
  <c r="BX184" i="7"/>
  <c r="BW184" i="7"/>
  <c r="BV184" i="7"/>
  <c r="BU184" i="7"/>
  <c r="BT184" i="7"/>
  <c r="BS184" i="7"/>
  <c r="BR184" i="7"/>
  <c r="BQ184" i="7"/>
  <c r="BP184" i="7"/>
  <c r="BO184" i="7"/>
  <c r="BN184" i="7"/>
  <c r="BM184" i="7"/>
  <c r="BL184" i="7"/>
  <c r="BK184" i="7"/>
  <c r="BJ184" i="7"/>
  <c r="BI184" i="7"/>
  <c r="BH184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C184" i="7"/>
  <c r="B184" i="7"/>
  <c r="CC183" i="7"/>
  <c r="CB183" i="7"/>
  <c r="CA183" i="7"/>
  <c r="BZ183" i="7"/>
  <c r="BY183" i="7"/>
  <c r="BX183" i="7"/>
  <c r="BW183" i="7"/>
  <c r="BV183" i="7"/>
  <c r="BU183" i="7"/>
  <c r="BT183" i="7"/>
  <c r="BS183" i="7"/>
  <c r="BR183" i="7"/>
  <c r="BQ183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C183" i="7"/>
  <c r="B183" i="7"/>
  <c r="CC182" i="7"/>
  <c r="CB182" i="7"/>
  <c r="CA182" i="7"/>
  <c r="BZ182" i="7"/>
  <c r="BY182" i="7"/>
  <c r="BX182" i="7"/>
  <c r="BW182" i="7"/>
  <c r="BV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C182" i="7"/>
  <c r="B182" i="7"/>
  <c r="CC181" i="7"/>
  <c r="CB181" i="7"/>
  <c r="CA181" i="7"/>
  <c r="BZ181" i="7"/>
  <c r="BY181" i="7"/>
  <c r="BX181" i="7"/>
  <c r="BW181" i="7"/>
  <c r="BV181" i="7"/>
  <c r="BU181" i="7"/>
  <c r="BT181" i="7"/>
  <c r="BS181" i="7"/>
  <c r="BR181" i="7"/>
  <c r="BQ181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E181" i="7" s="1"/>
  <c r="G181" i="7"/>
  <c r="F181" i="7"/>
  <c r="C181" i="7"/>
  <c r="B181" i="7"/>
  <c r="CC180" i="7"/>
  <c r="CB180" i="7"/>
  <c r="CA180" i="7"/>
  <c r="BZ180" i="7"/>
  <c r="BY180" i="7"/>
  <c r="BX180" i="7"/>
  <c r="BW180" i="7"/>
  <c r="BV180" i="7"/>
  <c r="BU180" i="7"/>
  <c r="BT180" i="7"/>
  <c r="BS180" i="7"/>
  <c r="BR180" i="7"/>
  <c r="BQ180" i="7"/>
  <c r="BP180" i="7"/>
  <c r="BO180" i="7"/>
  <c r="BN180" i="7"/>
  <c r="BM180" i="7"/>
  <c r="BL180" i="7"/>
  <c r="BK180" i="7"/>
  <c r="BJ180" i="7"/>
  <c r="BI180" i="7"/>
  <c r="BH180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 s="1"/>
  <c r="C180" i="7"/>
  <c r="B180" i="7"/>
  <c r="B179" i="7"/>
  <c r="B178" i="7"/>
  <c r="CC177" i="7"/>
  <c r="CB177" i="7"/>
  <c r="CA177" i="7"/>
  <c r="BZ177" i="7"/>
  <c r="BY177" i="7"/>
  <c r="BX177" i="7"/>
  <c r="BW177" i="7"/>
  <c r="BV177" i="7"/>
  <c r="BU177" i="7"/>
  <c r="BT177" i="7"/>
  <c r="BS177" i="7"/>
  <c r="BR177" i="7"/>
  <c r="BQ177" i="7"/>
  <c r="BP177" i="7"/>
  <c r="BO177" i="7"/>
  <c r="BN177" i="7"/>
  <c r="BM177" i="7"/>
  <c r="BL177" i="7"/>
  <c r="BK177" i="7"/>
  <c r="BJ177" i="7"/>
  <c r="BI177" i="7"/>
  <c r="BH177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C177" i="7"/>
  <c r="B177" i="7"/>
  <c r="CC176" i="7"/>
  <c r="CB176" i="7"/>
  <c r="CA176" i="7"/>
  <c r="BZ176" i="7"/>
  <c r="BY176" i="7"/>
  <c r="BX176" i="7"/>
  <c r="BW176" i="7"/>
  <c r="BV176" i="7"/>
  <c r="BU176" i="7"/>
  <c r="BT176" i="7"/>
  <c r="BS176" i="7"/>
  <c r="BR176" i="7"/>
  <c r="BQ176" i="7"/>
  <c r="BP176" i="7"/>
  <c r="BO176" i="7"/>
  <c r="BN176" i="7"/>
  <c r="BM176" i="7"/>
  <c r="BL176" i="7"/>
  <c r="BK176" i="7"/>
  <c r="BJ176" i="7"/>
  <c r="BI176" i="7"/>
  <c r="BH176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C176" i="7"/>
  <c r="B176" i="7"/>
  <c r="CC175" i="7"/>
  <c r="CB175" i="7"/>
  <c r="CA175" i="7"/>
  <c r="BZ175" i="7"/>
  <c r="BY175" i="7"/>
  <c r="BX175" i="7"/>
  <c r="BW175" i="7"/>
  <c r="BV175" i="7"/>
  <c r="BU175" i="7"/>
  <c r="BT175" i="7"/>
  <c r="BS175" i="7"/>
  <c r="BR175" i="7"/>
  <c r="BQ175" i="7"/>
  <c r="BP175" i="7"/>
  <c r="BO175" i="7"/>
  <c r="BN175" i="7"/>
  <c r="BM175" i="7"/>
  <c r="BL175" i="7"/>
  <c r="BK175" i="7"/>
  <c r="BJ175" i="7"/>
  <c r="BI175" i="7"/>
  <c r="BH175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 s="1"/>
  <c r="C175" i="7"/>
  <c r="B175" i="7"/>
  <c r="CC174" i="7"/>
  <c r="CB174" i="7"/>
  <c r="CA174" i="7"/>
  <c r="BZ174" i="7"/>
  <c r="BY174" i="7"/>
  <c r="BX174" i="7"/>
  <c r="BW174" i="7"/>
  <c r="BV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E174" i="7" s="1"/>
  <c r="F174" i="7"/>
  <c r="C174" i="7"/>
  <c r="B174" i="7"/>
  <c r="CC173" i="7"/>
  <c r="CB173" i="7"/>
  <c r="CA173" i="7"/>
  <c r="BZ173" i="7"/>
  <c r="BY173" i="7"/>
  <c r="BX173" i="7"/>
  <c r="BW173" i="7"/>
  <c r="BV173" i="7"/>
  <c r="BU173" i="7"/>
  <c r="BT173" i="7"/>
  <c r="BS173" i="7"/>
  <c r="BR173" i="7"/>
  <c r="BQ173" i="7"/>
  <c r="BP173" i="7"/>
  <c r="BO173" i="7"/>
  <c r="BN173" i="7"/>
  <c r="BM173" i="7"/>
  <c r="BL173" i="7"/>
  <c r="BK173" i="7"/>
  <c r="BJ173" i="7"/>
  <c r="BI173" i="7"/>
  <c r="BH173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C173" i="7"/>
  <c r="B173" i="7"/>
  <c r="CC172" i="7"/>
  <c r="CB172" i="7"/>
  <c r="CA172" i="7"/>
  <c r="BZ172" i="7"/>
  <c r="BY172" i="7"/>
  <c r="BX172" i="7"/>
  <c r="BW172" i="7"/>
  <c r="BV172" i="7"/>
  <c r="BU172" i="7"/>
  <c r="BT172" i="7"/>
  <c r="BS172" i="7"/>
  <c r="BR172" i="7"/>
  <c r="BQ172" i="7"/>
  <c r="BP172" i="7"/>
  <c r="BO172" i="7"/>
  <c r="BN172" i="7"/>
  <c r="BM172" i="7"/>
  <c r="BL172" i="7"/>
  <c r="BK172" i="7"/>
  <c r="BJ172" i="7"/>
  <c r="BI172" i="7"/>
  <c r="BH172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C172" i="7"/>
  <c r="B172" i="7"/>
  <c r="B171" i="7"/>
  <c r="B170" i="7"/>
  <c r="CC169" i="7"/>
  <c r="CB169" i="7"/>
  <c r="CA169" i="7"/>
  <c r="BZ169" i="7"/>
  <c r="BY169" i="7"/>
  <c r="BX169" i="7"/>
  <c r="BW169" i="7"/>
  <c r="BV169" i="7"/>
  <c r="BU169" i="7"/>
  <c r="BT169" i="7"/>
  <c r="BS169" i="7"/>
  <c r="BR169" i="7"/>
  <c r="BQ169" i="7"/>
  <c r="BP169" i="7"/>
  <c r="BO169" i="7"/>
  <c r="BN169" i="7"/>
  <c r="BM169" i="7"/>
  <c r="BL169" i="7"/>
  <c r="BK169" i="7"/>
  <c r="BJ169" i="7"/>
  <c r="BI169" i="7"/>
  <c r="BH169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C169" i="7"/>
  <c r="B169" i="7"/>
  <c r="CC168" i="7"/>
  <c r="CB168" i="7"/>
  <c r="CA168" i="7"/>
  <c r="BZ168" i="7"/>
  <c r="BY168" i="7"/>
  <c r="BX168" i="7"/>
  <c r="BW168" i="7"/>
  <c r="BV168" i="7"/>
  <c r="BU168" i="7"/>
  <c r="BT168" i="7"/>
  <c r="BS168" i="7"/>
  <c r="BR168" i="7"/>
  <c r="BQ168" i="7"/>
  <c r="BP168" i="7"/>
  <c r="BO168" i="7"/>
  <c r="BN168" i="7"/>
  <c r="BM168" i="7"/>
  <c r="BL168" i="7"/>
  <c r="BK168" i="7"/>
  <c r="BJ168" i="7"/>
  <c r="BI168" i="7"/>
  <c r="BH168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C168" i="7"/>
  <c r="B168" i="7"/>
  <c r="CC167" i="7"/>
  <c r="CB167" i="7"/>
  <c r="CA167" i="7"/>
  <c r="BZ167" i="7"/>
  <c r="BY167" i="7"/>
  <c r="BX167" i="7"/>
  <c r="BW167" i="7"/>
  <c r="BV167" i="7"/>
  <c r="BU167" i="7"/>
  <c r="BT167" i="7"/>
  <c r="BS167" i="7"/>
  <c r="BR167" i="7"/>
  <c r="BQ167" i="7"/>
  <c r="BP167" i="7"/>
  <c r="BO167" i="7"/>
  <c r="BN167" i="7"/>
  <c r="BM167" i="7"/>
  <c r="BL167" i="7"/>
  <c r="BK167" i="7"/>
  <c r="BJ167" i="7"/>
  <c r="BI167" i="7"/>
  <c r="BH167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C167" i="7"/>
  <c r="B167" i="7"/>
  <c r="CC166" i="7"/>
  <c r="CB166" i="7"/>
  <c r="CA166" i="7"/>
  <c r="BZ166" i="7"/>
  <c r="BY166" i="7"/>
  <c r="BX166" i="7"/>
  <c r="BW166" i="7"/>
  <c r="BV166" i="7"/>
  <c r="BU166" i="7"/>
  <c r="BT166" i="7"/>
  <c r="BS166" i="7"/>
  <c r="BR166" i="7"/>
  <c r="BQ166" i="7"/>
  <c r="BP166" i="7"/>
  <c r="BO166" i="7"/>
  <c r="BN166" i="7"/>
  <c r="BM166" i="7"/>
  <c r="BL166" i="7"/>
  <c r="BK166" i="7"/>
  <c r="BJ166" i="7"/>
  <c r="BI166" i="7"/>
  <c r="BH166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C166" i="7"/>
  <c r="B166" i="7"/>
  <c r="CC165" i="7"/>
  <c r="CB165" i="7"/>
  <c r="CA165" i="7"/>
  <c r="BZ165" i="7"/>
  <c r="BY165" i="7"/>
  <c r="BX165" i="7"/>
  <c r="BW165" i="7"/>
  <c r="BV165" i="7"/>
  <c r="BU165" i="7"/>
  <c r="BT165" i="7"/>
  <c r="BS165" i="7"/>
  <c r="BR165" i="7"/>
  <c r="BQ165" i="7"/>
  <c r="BP165" i="7"/>
  <c r="BO165" i="7"/>
  <c r="BN165" i="7"/>
  <c r="BM165" i="7"/>
  <c r="BL165" i="7"/>
  <c r="BK165" i="7"/>
  <c r="BJ165" i="7"/>
  <c r="BI165" i="7"/>
  <c r="BH165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C165" i="7"/>
  <c r="B165" i="7"/>
  <c r="CC164" i="7"/>
  <c r="CB164" i="7"/>
  <c r="CA164" i="7"/>
  <c r="BZ164" i="7"/>
  <c r="BY164" i="7"/>
  <c r="BX164" i="7"/>
  <c r="BW164" i="7"/>
  <c r="BV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C164" i="7"/>
  <c r="B164" i="7"/>
  <c r="B163" i="7"/>
  <c r="B162" i="7"/>
  <c r="B161" i="7"/>
  <c r="B160" i="7"/>
  <c r="CC159" i="7"/>
  <c r="CB159" i="7"/>
  <c r="CA159" i="7"/>
  <c r="BZ159" i="7"/>
  <c r="BY159" i="7"/>
  <c r="BX159" i="7"/>
  <c r="BW159" i="7"/>
  <c r="BV159" i="7"/>
  <c r="BU159" i="7"/>
  <c r="BT159" i="7"/>
  <c r="BS159" i="7"/>
  <c r="BR159" i="7"/>
  <c r="BQ159" i="7"/>
  <c r="BP159" i="7"/>
  <c r="BO159" i="7"/>
  <c r="BN159" i="7"/>
  <c r="BM159" i="7"/>
  <c r="BL159" i="7"/>
  <c r="BK159" i="7"/>
  <c r="BJ159" i="7"/>
  <c r="BI159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 s="1"/>
  <c r="C159" i="7"/>
  <c r="B159" i="7"/>
  <c r="CC158" i="7"/>
  <c r="CB158" i="7"/>
  <c r="CA158" i="7"/>
  <c r="BZ158" i="7"/>
  <c r="BY158" i="7"/>
  <c r="BX158" i="7"/>
  <c r="BW158" i="7"/>
  <c r="BV158" i="7"/>
  <c r="BU158" i="7"/>
  <c r="BT158" i="7"/>
  <c r="BS158" i="7"/>
  <c r="BR158" i="7"/>
  <c r="BQ158" i="7"/>
  <c r="BP158" i="7"/>
  <c r="BO158" i="7"/>
  <c r="BN158" i="7"/>
  <c r="BM158" i="7"/>
  <c r="BL158" i="7"/>
  <c r="BK158" i="7"/>
  <c r="BJ158" i="7"/>
  <c r="BI158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E158" i="7" s="1"/>
  <c r="G158" i="7"/>
  <c r="F158" i="7"/>
  <c r="C158" i="7"/>
  <c r="B158" i="7"/>
  <c r="CC157" i="7"/>
  <c r="CB157" i="7"/>
  <c r="CA157" i="7"/>
  <c r="BZ157" i="7"/>
  <c r="BY157" i="7"/>
  <c r="BX157" i="7"/>
  <c r="BW157" i="7"/>
  <c r="BV157" i="7"/>
  <c r="BU157" i="7"/>
  <c r="BT157" i="7"/>
  <c r="BS157" i="7"/>
  <c r="BR157" i="7"/>
  <c r="BQ157" i="7"/>
  <c r="BP157" i="7"/>
  <c r="BO157" i="7"/>
  <c r="BN157" i="7"/>
  <c r="BM157" i="7"/>
  <c r="BL157" i="7"/>
  <c r="BK157" i="7"/>
  <c r="BJ157" i="7"/>
  <c r="BI157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 s="1"/>
  <c r="C157" i="7"/>
  <c r="B157" i="7"/>
  <c r="CC156" i="7"/>
  <c r="CB156" i="7"/>
  <c r="CA156" i="7"/>
  <c r="BZ156" i="7"/>
  <c r="BY156" i="7"/>
  <c r="BX156" i="7"/>
  <c r="BW156" i="7"/>
  <c r="BV156" i="7"/>
  <c r="BU156" i="7"/>
  <c r="BT156" i="7"/>
  <c r="BS156" i="7"/>
  <c r="BR156" i="7"/>
  <c r="BQ156" i="7"/>
  <c r="BP156" i="7"/>
  <c r="BO156" i="7"/>
  <c r="BN156" i="7"/>
  <c r="BM156" i="7"/>
  <c r="BL156" i="7"/>
  <c r="BK156" i="7"/>
  <c r="BJ156" i="7"/>
  <c r="BI156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C156" i="7"/>
  <c r="B156" i="7"/>
  <c r="CC155" i="7"/>
  <c r="CB155" i="7"/>
  <c r="CA155" i="7"/>
  <c r="BZ155" i="7"/>
  <c r="BY155" i="7"/>
  <c r="BX155" i="7"/>
  <c r="BW155" i="7"/>
  <c r="BV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 s="1"/>
  <c r="C155" i="7"/>
  <c r="B155" i="7"/>
  <c r="CC154" i="7"/>
  <c r="CB154" i="7"/>
  <c r="CA154" i="7"/>
  <c r="BZ154" i="7"/>
  <c r="BY154" i="7"/>
  <c r="BX154" i="7"/>
  <c r="BW154" i="7"/>
  <c r="BV154" i="7"/>
  <c r="BU154" i="7"/>
  <c r="BT154" i="7"/>
  <c r="BS154" i="7"/>
  <c r="BR154" i="7"/>
  <c r="BQ154" i="7"/>
  <c r="BP154" i="7"/>
  <c r="BO154" i="7"/>
  <c r="BN154" i="7"/>
  <c r="BM154" i="7"/>
  <c r="BL154" i="7"/>
  <c r="BK154" i="7"/>
  <c r="BJ154" i="7"/>
  <c r="BI154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C154" i="7"/>
  <c r="B154" i="7"/>
  <c r="CC153" i="7"/>
  <c r="CB153" i="7"/>
  <c r="CA153" i="7"/>
  <c r="BZ153" i="7"/>
  <c r="BY153" i="7"/>
  <c r="BX153" i="7"/>
  <c r="BW153" i="7"/>
  <c r="BV153" i="7"/>
  <c r="BU153" i="7"/>
  <c r="BT153" i="7"/>
  <c r="BS153" i="7"/>
  <c r="BR153" i="7"/>
  <c r="BQ153" i="7"/>
  <c r="BP153" i="7"/>
  <c r="BO153" i="7"/>
  <c r="BN153" i="7"/>
  <c r="BM153" i="7"/>
  <c r="BL153" i="7"/>
  <c r="BK153" i="7"/>
  <c r="BJ153" i="7"/>
  <c r="BI153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E153" i="7" s="1"/>
  <c r="F153" i="7"/>
  <c r="C153" i="7"/>
  <c r="B153" i="7"/>
  <c r="CC152" i="7"/>
  <c r="CB152" i="7"/>
  <c r="CA152" i="7"/>
  <c r="BZ152" i="7"/>
  <c r="BY152" i="7"/>
  <c r="BX152" i="7"/>
  <c r="BW152" i="7"/>
  <c r="BV152" i="7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C152" i="7"/>
  <c r="B152" i="7"/>
  <c r="B151" i="7"/>
  <c r="B150" i="7"/>
  <c r="B149" i="7"/>
  <c r="B148" i="7"/>
  <c r="B147" i="7"/>
  <c r="B146" i="7"/>
  <c r="CC145" i="7"/>
  <c r="CB145" i="7"/>
  <c r="CA145" i="7"/>
  <c r="BZ145" i="7"/>
  <c r="BY145" i="7"/>
  <c r="BX145" i="7"/>
  <c r="BW145" i="7"/>
  <c r="BV145" i="7"/>
  <c r="BU145" i="7"/>
  <c r="BT145" i="7"/>
  <c r="BS145" i="7"/>
  <c r="BR145" i="7"/>
  <c r="BQ145" i="7"/>
  <c r="BP145" i="7"/>
  <c r="BO145" i="7"/>
  <c r="BN145" i="7"/>
  <c r="BM145" i="7"/>
  <c r="BL145" i="7"/>
  <c r="BK145" i="7"/>
  <c r="BJ145" i="7"/>
  <c r="BI145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C145" i="7"/>
  <c r="B145" i="7"/>
  <c r="CC144" i="7"/>
  <c r="CB144" i="7"/>
  <c r="CA144" i="7"/>
  <c r="BZ144" i="7"/>
  <c r="BY144" i="7"/>
  <c r="BX144" i="7"/>
  <c r="BW144" i="7"/>
  <c r="BV144" i="7"/>
  <c r="BU144" i="7"/>
  <c r="BT144" i="7"/>
  <c r="BS144" i="7"/>
  <c r="BR144" i="7"/>
  <c r="BQ144" i="7"/>
  <c r="BP144" i="7"/>
  <c r="BO144" i="7"/>
  <c r="BN144" i="7"/>
  <c r="BM144" i="7"/>
  <c r="BL144" i="7"/>
  <c r="BK144" i="7"/>
  <c r="BJ144" i="7"/>
  <c r="BI144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C144" i="7"/>
  <c r="B144" i="7"/>
  <c r="CC143" i="7"/>
  <c r="CB143" i="7"/>
  <c r="CA143" i="7"/>
  <c r="BZ143" i="7"/>
  <c r="BY143" i="7"/>
  <c r="BX143" i="7"/>
  <c r="BW143" i="7"/>
  <c r="BV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C143" i="7"/>
  <c r="B143" i="7"/>
  <c r="CC142" i="7"/>
  <c r="CB142" i="7"/>
  <c r="CA142" i="7"/>
  <c r="BZ142" i="7"/>
  <c r="BY142" i="7"/>
  <c r="BX142" i="7"/>
  <c r="BW142" i="7"/>
  <c r="BV142" i="7"/>
  <c r="BU142" i="7"/>
  <c r="BT142" i="7"/>
  <c r="BS142" i="7"/>
  <c r="BR142" i="7"/>
  <c r="BQ142" i="7"/>
  <c r="BP142" i="7"/>
  <c r="BO142" i="7"/>
  <c r="BN142" i="7"/>
  <c r="BM142" i="7"/>
  <c r="BL142" i="7"/>
  <c r="BK142" i="7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C142" i="7"/>
  <c r="B142" i="7"/>
  <c r="CC141" i="7"/>
  <c r="CB141" i="7"/>
  <c r="CA141" i="7"/>
  <c r="BZ141" i="7"/>
  <c r="BY141" i="7"/>
  <c r="BX141" i="7"/>
  <c r="BW141" i="7"/>
  <c r="BV141" i="7"/>
  <c r="BU141" i="7"/>
  <c r="BT141" i="7"/>
  <c r="BS141" i="7"/>
  <c r="BR141" i="7"/>
  <c r="BQ141" i="7"/>
  <c r="BP141" i="7"/>
  <c r="BO141" i="7"/>
  <c r="BN141" i="7"/>
  <c r="BM141" i="7"/>
  <c r="BL141" i="7"/>
  <c r="BK141" i="7"/>
  <c r="BJ141" i="7"/>
  <c r="BI141" i="7"/>
  <c r="BH141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C141" i="7"/>
  <c r="B141" i="7"/>
  <c r="CC140" i="7"/>
  <c r="CB140" i="7"/>
  <c r="CA140" i="7"/>
  <c r="BZ140" i="7"/>
  <c r="BY140" i="7"/>
  <c r="BX140" i="7"/>
  <c r="BW140" i="7"/>
  <c r="BV140" i="7"/>
  <c r="BU140" i="7"/>
  <c r="BT140" i="7"/>
  <c r="BS140" i="7"/>
  <c r="BR140" i="7"/>
  <c r="BQ140" i="7"/>
  <c r="BP140" i="7"/>
  <c r="BO140" i="7"/>
  <c r="BN140" i="7"/>
  <c r="BM140" i="7"/>
  <c r="BL140" i="7"/>
  <c r="BK140" i="7"/>
  <c r="BJ140" i="7"/>
  <c r="BI140" i="7"/>
  <c r="BH140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 s="1"/>
  <c r="C140" i="7"/>
  <c r="B140" i="7"/>
  <c r="CC139" i="7"/>
  <c r="CB139" i="7"/>
  <c r="CA139" i="7"/>
  <c r="BZ139" i="7"/>
  <c r="BY139" i="7"/>
  <c r="BX139" i="7"/>
  <c r="BW139" i="7"/>
  <c r="BV139" i="7"/>
  <c r="BU139" i="7"/>
  <c r="BT139" i="7"/>
  <c r="BS139" i="7"/>
  <c r="BR139" i="7"/>
  <c r="BQ139" i="7"/>
  <c r="BP139" i="7"/>
  <c r="BO139" i="7"/>
  <c r="BN139" i="7"/>
  <c r="BM139" i="7"/>
  <c r="BL139" i="7"/>
  <c r="BK139" i="7"/>
  <c r="BJ139" i="7"/>
  <c r="BI139" i="7"/>
  <c r="BH139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C139" i="7"/>
  <c r="B139" i="7"/>
  <c r="CC138" i="7"/>
  <c r="CB138" i="7"/>
  <c r="CA138" i="7"/>
  <c r="BZ138" i="7"/>
  <c r="BY138" i="7"/>
  <c r="BX138" i="7"/>
  <c r="BW138" i="7"/>
  <c r="BV138" i="7"/>
  <c r="BU138" i="7"/>
  <c r="BT138" i="7"/>
  <c r="BS138" i="7"/>
  <c r="BR138" i="7"/>
  <c r="BQ138" i="7"/>
  <c r="BP138" i="7"/>
  <c r="BO138" i="7"/>
  <c r="BN138" i="7"/>
  <c r="BM138" i="7"/>
  <c r="BL138" i="7"/>
  <c r="BK138" i="7"/>
  <c r="BJ138" i="7"/>
  <c r="BI138" i="7"/>
  <c r="BH138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C138" i="7"/>
  <c r="B138" i="7"/>
  <c r="CC137" i="7"/>
  <c r="CB137" i="7"/>
  <c r="CA137" i="7"/>
  <c r="BZ137" i="7"/>
  <c r="BY137" i="7"/>
  <c r="BX137" i="7"/>
  <c r="BW137" i="7"/>
  <c r="BV137" i="7"/>
  <c r="BU137" i="7"/>
  <c r="BT137" i="7"/>
  <c r="BS137" i="7"/>
  <c r="BR137" i="7"/>
  <c r="BQ137" i="7"/>
  <c r="BP137" i="7"/>
  <c r="BO137" i="7"/>
  <c r="BN137" i="7"/>
  <c r="BM137" i="7"/>
  <c r="BL137" i="7"/>
  <c r="BK137" i="7"/>
  <c r="BJ137" i="7"/>
  <c r="BI137" i="7"/>
  <c r="BH137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C137" i="7"/>
  <c r="B137" i="7"/>
  <c r="CC136" i="7"/>
  <c r="CB136" i="7"/>
  <c r="CA136" i="7"/>
  <c r="BZ136" i="7"/>
  <c r="BY136" i="7"/>
  <c r="BX136" i="7"/>
  <c r="BW136" i="7"/>
  <c r="BV136" i="7"/>
  <c r="BU136" i="7"/>
  <c r="BT136" i="7"/>
  <c r="BS136" i="7"/>
  <c r="BR136" i="7"/>
  <c r="BQ136" i="7"/>
  <c r="BP136" i="7"/>
  <c r="BO136" i="7"/>
  <c r="BN136" i="7"/>
  <c r="BM136" i="7"/>
  <c r="BL136" i="7"/>
  <c r="BK136" i="7"/>
  <c r="BJ136" i="7"/>
  <c r="BI136" i="7"/>
  <c r="BH136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C136" i="7"/>
  <c r="B136" i="7"/>
  <c r="CC135" i="7"/>
  <c r="CB135" i="7"/>
  <c r="CA135" i="7"/>
  <c r="BZ135" i="7"/>
  <c r="BY135" i="7"/>
  <c r="BX135" i="7"/>
  <c r="BW135" i="7"/>
  <c r="BV135" i="7"/>
  <c r="BU135" i="7"/>
  <c r="BT135" i="7"/>
  <c r="BS135" i="7"/>
  <c r="BR135" i="7"/>
  <c r="BQ135" i="7"/>
  <c r="BP135" i="7"/>
  <c r="BO135" i="7"/>
  <c r="BN135" i="7"/>
  <c r="BM135" i="7"/>
  <c r="BL135" i="7"/>
  <c r="BK135" i="7"/>
  <c r="BJ135" i="7"/>
  <c r="BI135" i="7"/>
  <c r="BH135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C135" i="7"/>
  <c r="B135" i="7"/>
  <c r="CC134" i="7"/>
  <c r="CB134" i="7"/>
  <c r="CA134" i="7"/>
  <c r="BZ134" i="7"/>
  <c r="BY134" i="7"/>
  <c r="BX134" i="7"/>
  <c r="BW134" i="7"/>
  <c r="BV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 s="1"/>
  <c r="C134" i="7"/>
  <c r="B134" i="7"/>
  <c r="B133" i="7"/>
  <c r="B132" i="7"/>
  <c r="CC131" i="7"/>
  <c r="CB131" i="7"/>
  <c r="CA131" i="7"/>
  <c r="BZ131" i="7"/>
  <c r="BY131" i="7"/>
  <c r="BX131" i="7"/>
  <c r="BW131" i="7"/>
  <c r="BV131" i="7"/>
  <c r="BU131" i="7"/>
  <c r="BT131" i="7"/>
  <c r="BS131" i="7"/>
  <c r="BR131" i="7"/>
  <c r="BQ131" i="7"/>
  <c r="BP131" i="7"/>
  <c r="BO131" i="7"/>
  <c r="BN131" i="7"/>
  <c r="BM131" i="7"/>
  <c r="BL131" i="7"/>
  <c r="BK131" i="7"/>
  <c r="BJ131" i="7"/>
  <c r="BI131" i="7"/>
  <c r="BH131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 s="1"/>
  <c r="C131" i="7"/>
  <c r="B131" i="7"/>
  <c r="CC130" i="7"/>
  <c r="CB130" i="7"/>
  <c r="CA130" i="7"/>
  <c r="BZ130" i="7"/>
  <c r="BY130" i="7"/>
  <c r="BX130" i="7"/>
  <c r="BW130" i="7"/>
  <c r="BV130" i="7"/>
  <c r="BU130" i="7"/>
  <c r="BT130" i="7"/>
  <c r="BS130" i="7"/>
  <c r="BR130" i="7"/>
  <c r="BQ130" i="7"/>
  <c r="BP130" i="7"/>
  <c r="BO130" i="7"/>
  <c r="BN130" i="7"/>
  <c r="BM130" i="7"/>
  <c r="BL130" i="7"/>
  <c r="BK130" i="7"/>
  <c r="BJ130" i="7"/>
  <c r="BI130" i="7"/>
  <c r="BH130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C130" i="7"/>
  <c r="B130" i="7"/>
  <c r="CC129" i="7"/>
  <c r="CB129" i="7"/>
  <c r="CA129" i="7"/>
  <c r="BZ129" i="7"/>
  <c r="BY129" i="7"/>
  <c r="BX129" i="7"/>
  <c r="BW129" i="7"/>
  <c r="BV129" i="7"/>
  <c r="BU129" i="7"/>
  <c r="BT129" i="7"/>
  <c r="BS129" i="7"/>
  <c r="BR129" i="7"/>
  <c r="BQ129" i="7"/>
  <c r="BP129" i="7"/>
  <c r="BO129" i="7"/>
  <c r="BN129" i="7"/>
  <c r="BM129" i="7"/>
  <c r="BL129" i="7"/>
  <c r="BK129" i="7"/>
  <c r="BJ129" i="7"/>
  <c r="BI129" i="7"/>
  <c r="BH129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C129" i="7"/>
  <c r="B129" i="7"/>
  <c r="CC128" i="7"/>
  <c r="CB128" i="7"/>
  <c r="CA128" i="7"/>
  <c r="BZ128" i="7"/>
  <c r="BY128" i="7"/>
  <c r="BX128" i="7"/>
  <c r="BW128" i="7"/>
  <c r="BV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C128" i="7"/>
  <c r="B128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BP127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C127" i="7"/>
  <c r="B127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BP126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C126" i="7"/>
  <c r="B126" i="7"/>
  <c r="CC125" i="7"/>
  <c r="CB125" i="7"/>
  <c r="CA125" i="7"/>
  <c r="BZ125" i="7"/>
  <c r="BY125" i="7"/>
  <c r="BX125" i="7"/>
  <c r="BW125" i="7"/>
  <c r="BV125" i="7"/>
  <c r="BU125" i="7"/>
  <c r="BT125" i="7"/>
  <c r="BS125" i="7"/>
  <c r="BR125" i="7"/>
  <c r="BQ125" i="7"/>
  <c r="BP125" i="7"/>
  <c r="BO125" i="7"/>
  <c r="BN125" i="7"/>
  <c r="BM125" i="7"/>
  <c r="BL125" i="7"/>
  <c r="BK125" i="7"/>
  <c r="BJ125" i="7"/>
  <c r="BI125" i="7"/>
  <c r="BH125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C125" i="7"/>
  <c r="B125" i="7"/>
  <c r="CC124" i="7"/>
  <c r="CB124" i="7"/>
  <c r="CA124" i="7"/>
  <c r="BZ124" i="7"/>
  <c r="BY124" i="7"/>
  <c r="BX124" i="7"/>
  <c r="BW124" i="7"/>
  <c r="BV124" i="7"/>
  <c r="BU124" i="7"/>
  <c r="BT124" i="7"/>
  <c r="BS124" i="7"/>
  <c r="BR124" i="7"/>
  <c r="BQ124" i="7"/>
  <c r="BP124" i="7"/>
  <c r="BO124" i="7"/>
  <c r="BN124" i="7"/>
  <c r="BM124" i="7"/>
  <c r="BL124" i="7"/>
  <c r="BK124" i="7"/>
  <c r="BJ124" i="7"/>
  <c r="BI124" i="7"/>
  <c r="BH124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C124" i="7"/>
  <c r="B124" i="7"/>
  <c r="CC123" i="7"/>
  <c r="CB123" i="7"/>
  <c r="CA123" i="7"/>
  <c r="BZ123" i="7"/>
  <c r="BY123" i="7"/>
  <c r="BX123" i="7"/>
  <c r="BW123" i="7"/>
  <c r="BV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C123" i="7"/>
  <c r="B123" i="7"/>
  <c r="CC122" i="7"/>
  <c r="CB122" i="7"/>
  <c r="CA122" i="7"/>
  <c r="BZ122" i="7"/>
  <c r="BY122" i="7"/>
  <c r="BX122" i="7"/>
  <c r="BW122" i="7"/>
  <c r="BV122" i="7"/>
  <c r="BU122" i="7"/>
  <c r="BT122" i="7"/>
  <c r="BS122" i="7"/>
  <c r="BR122" i="7"/>
  <c r="BQ122" i="7"/>
  <c r="BP122" i="7"/>
  <c r="BO122" i="7"/>
  <c r="BN122" i="7"/>
  <c r="BM122" i="7"/>
  <c r="BL122" i="7"/>
  <c r="BK122" i="7"/>
  <c r="BJ122" i="7"/>
  <c r="BI122" i="7"/>
  <c r="BH122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 s="1"/>
  <c r="C122" i="7"/>
  <c r="B122" i="7"/>
  <c r="B121" i="7"/>
  <c r="B120" i="7"/>
  <c r="CC119" i="7"/>
  <c r="CB119" i="7"/>
  <c r="CA119" i="7"/>
  <c r="BZ119" i="7"/>
  <c r="BY119" i="7"/>
  <c r="BX119" i="7"/>
  <c r="BW119" i="7"/>
  <c r="BV119" i="7"/>
  <c r="BU119" i="7"/>
  <c r="BT119" i="7"/>
  <c r="BS119" i="7"/>
  <c r="BR119" i="7"/>
  <c r="BQ119" i="7"/>
  <c r="BP119" i="7"/>
  <c r="BO119" i="7"/>
  <c r="BN119" i="7"/>
  <c r="BM119" i="7"/>
  <c r="BL119" i="7"/>
  <c r="BK119" i="7"/>
  <c r="BJ119" i="7"/>
  <c r="BI119" i="7"/>
  <c r="BH119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C119" i="7"/>
  <c r="B119" i="7"/>
  <c r="CC118" i="7"/>
  <c r="CB118" i="7"/>
  <c r="CA118" i="7"/>
  <c r="BZ118" i="7"/>
  <c r="BY118" i="7"/>
  <c r="BX118" i="7"/>
  <c r="BW118" i="7"/>
  <c r="BV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C118" i="7"/>
  <c r="B118" i="7"/>
  <c r="CC117" i="7"/>
  <c r="CB117" i="7"/>
  <c r="CA117" i="7"/>
  <c r="BZ117" i="7"/>
  <c r="BY117" i="7"/>
  <c r="BX117" i="7"/>
  <c r="BW117" i="7"/>
  <c r="BV117" i="7"/>
  <c r="BU117" i="7"/>
  <c r="BT117" i="7"/>
  <c r="BS117" i="7"/>
  <c r="BR117" i="7"/>
  <c r="BQ117" i="7"/>
  <c r="BP117" i="7"/>
  <c r="BO117" i="7"/>
  <c r="BN117" i="7"/>
  <c r="BM117" i="7"/>
  <c r="BL117" i="7"/>
  <c r="BK117" i="7"/>
  <c r="BJ117" i="7"/>
  <c r="BI117" i="7"/>
  <c r="BH117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E117" i="7" s="1"/>
  <c r="G117" i="7"/>
  <c r="F117" i="7"/>
  <c r="C117" i="7"/>
  <c r="B117" i="7"/>
  <c r="CC116" i="7"/>
  <c r="CB116" i="7"/>
  <c r="CA116" i="7"/>
  <c r="BZ116" i="7"/>
  <c r="BY116" i="7"/>
  <c r="BX116" i="7"/>
  <c r="BW116" i="7"/>
  <c r="BV116" i="7"/>
  <c r="BU116" i="7"/>
  <c r="BT116" i="7"/>
  <c r="BS116" i="7"/>
  <c r="BR116" i="7"/>
  <c r="BQ116" i="7"/>
  <c r="BP116" i="7"/>
  <c r="BO116" i="7"/>
  <c r="BN116" i="7"/>
  <c r="BM116" i="7"/>
  <c r="BL116" i="7"/>
  <c r="BK116" i="7"/>
  <c r="BJ116" i="7"/>
  <c r="BI116" i="7"/>
  <c r="BH116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C116" i="7"/>
  <c r="B116" i="7"/>
  <c r="CC115" i="7"/>
  <c r="CB115" i="7"/>
  <c r="CA115" i="7"/>
  <c r="BZ115" i="7"/>
  <c r="BY115" i="7"/>
  <c r="BX115" i="7"/>
  <c r="BW115" i="7"/>
  <c r="BV115" i="7"/>
  <c r="BU115" i="7"/>
  <c r="BT115" i="7"/>
  <c r="BS115" i="7"/>
  <c r="BR115" i="7"/>
  <c r="BQ115" i="7"/>
  <c r="BP115" i="7"/>
  <c r="BO115" i="7"/>
  <c r="BN115" i="7"/>
  <c r="BM115" i="7"/>
  <c r="BL115" i="7"/>
  <c r="BK115" i="7"/>
  <c r="BJ115" i="7"/>
  <c r="BI115" i="7"/>
  <c r="BH115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C115" i="7"/>
  <c r="B115" i="7"/>
  <c r="CC114" i="7"/>
  <c r="CB114" i="7"/>
  <c r="CA114" i="7"/>
  <c r="BZ114" i="7"/>
  <c r="BY114" i="7"/>
  <c r="BX114" i="7"/>
  <c r="BW114" i="7"/>
  <c r="BV114" i="7"/>
  <c r="BU114" i="7"/>
  <c r="BT114" i="7"/>
  <c r="BS114" i="7"/>
  <c r="BR114" i="7"/>
  <c r="BQ114" i="7"/>
  <c r="BP114" i="7"/>
  <c r="BO114" i="7"/>
  <c r="BN114" i="7"/>
  <c r="BM114" i="7"/>
  <c r="BL114" i="7"/>
  <c r="BK114" i="7"/>
  <c r="BJ114" i="7"/>
  <c r="BI114" i="7"/>
  <c r="BH114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 s="1"/>
  <c r="C114" i="7"/>
  <c r="B114" i="7"/>
  <c r="B113" i="7"/>
  <c r="B112" i="7"/>
  <c r="CC111" i="7"/>
  <c r="CB111" i="7"/>
  <c r="CA111" i="7"/>
  <c r="BZ111" i="7"/>
  <c r="BY111" i="7"/>
  <c r="BX111" i="7"/>
  <c r="BW111" i="7"/>
  <c r="BV111" i="7"/>
  <c r="BU111" i="7"/>
  <c r="BT111" i="7"/>
  <c r="BS111" i="7"/>
  <c r="BR111" i="7"/>
  <c r="BQ111" i="7"/>
  <c r="BP111" i="7"/>
  <c r="BO111" i="7"/>
  <c r="BN111" i="7"/>
  <c r="BM111" i="7"/>
  <c r="BL111" i="7"/>
  <c r="BK111" i="7"/>
  <c r="BJ111" i="7"/>
  <c r="BI111" i="7"/>
  <c r="BH111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C111" i="7"/>
  <c r="B111" i="7"/>
  <c r="CC110" i="7"/>
  <c r="CB110" i="7"/>
  <c r="CA110" i="7"/>
  <c r="BZ110" i="7"/>
  <c r="BY110" i="7"/>
  <c r="BX110" i="7"/>
  <c r="BW110" i="7"/>
  <c r="BV110" i="7"/>
  <c r="BU110" i="7"/>
  <c r="BT110" i="7"/>
  <c r="BS110" i="7"/>
  <c r="BR110" i="7"/>
  <c r="BQ110" i="7"/>
  <c r="BP110" i="7"/>
  <c r="BO110" i="7"/>
  <c r="BN110" i="7"/>
  <c r="BM110" i="7"/>
  <c r="BL110" i="7"/>
  <c r="BK110" i="7"/>
  <c r="BJ110" i="7"/>
  <c r="BI110" i="7"/>
  <c r="BH110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C110" i="7"/>
  <c r="B110" i="7"/>
  <c r="CC109" i="7"/>
  <c r="CB109" i="7"/>
  <c r="CA109" i="7"/>
  <c r="BZ109" i="7"/>
  <c r="BY109" i="7"/>
  <c r="BX109" i="7"/>
  <c r="BW109" i="7"/>
  <c r="BV109" i="7"/>
  <c r="BU109" i="7"/>
  <c r="BT109" i="7"/>
  <c r="BS109" i="7"/>
  <c r="BR109" i="7"/>
  <c r="BQ109" i="7"/>
  <c r="BP109" i="7"/>
  <c r="BO109" i="7"/>
  <c r="BN109" i="7"/>
  <c r="BM109" i="7"/>
  <c r="BL109" i="7"/>
  <c r="BK109" i="7"/>
  <c r="BJ109" i="7"/>
  <c r="BI109" i="7"/>
  <c r="BH109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E109" i="7" s="1"/>
  <c r="G109" i="7"/>
  <c r="F109" i="7"/>
  <c r="C109" i="7"/>
  <c r="B109" i="7"/>
  <c r="CC108" i="7"/>
  <c r="CB108" i="7"/>
  <c r="CA108" i="7"/>
  <c r="BZ108" i="7"/>
  <c r="BY108" i="7"/>
  <c r="BX108" i="7"/>
  <c r="BW108" i="7"/>
  <c r="BV108" i="7"/>
  <c r="BU108" i="7"/>
  <c r="BT108" i="7"/>
  <c r="BS108" i="7"/>
  <c r="BR108" i="7"/>
  <c r="BQ108" i="7"/>
  <c r="BP108" i="7"/>
  <c r="BO108" i="7"/>
  <c r="BN108" i="7"/>
  <c r="BM108" i="7"/>
  <c r="BL108" i="7"/>
  <c r="BK108" i="7"/>
  <c r="BJ108" i="7"/>
  <c r="BI108" i="7"/>
  <c r="BH108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 s="1"/>
  <c r="C108" i="7"/>
  <c r="B108" i="7"/>
  <c r="CC107" i="7"/>
  <c r="CB107" i="7"/>
  <c r="CA107" i="7"/>
  <c r="BZ107" i="7"/>
  <c r="BY107" i="7"/>
  <c r="BX107" i="7"/>
  <c r="BW107" i="7"/>
  <c r="BV107" i="7"/>
  <c r="BU107" i="7"/>
  <c r="BT107" i="7"/>
  <c r="BS107" i="7"/>
  <c r="BR107" i="7"/>
  <c r="BQ107" i="7"/>
  <c r="BP107" i="7"/>
  <c r="BO107" i="7"/>
  <c r="BN107" i="7"/>
  <c r="BM107" i="7"/>
  <c r="BL107" i="7"/>
  <c r="BK107" i="7"/>
  <c r="BJ107" i="7"/>
  <c r="BI107" i="7"/>
  <c r="BH107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C107" i="7"/>
  <c r="B107" i="7"/>
  <c r="CC106" i="7"/>
  <c r="CB106" i="7"/>
  <c r="CA106" i="7"/>
  <c r="BZ106" i="7"/>
  <c r="BY106" i="7"/>
  <c r="BX106" i="7"/>
  <c r="BW106" i="7"/>
  <c r="BV106" i="7"/>
  <c r="BU106" i="7"/>
  <c r="BT106" i="7"/>
  <c r="BS106" i="7"/>
  <c r="BR106" i="7"/>
  <c r="BQ106" i="7"/>
  <c r="BP106" i="7"/>
  <c r="BO106" i="7"/>
  <c r="BN106" i="7"/>
  <c r="BM106" i="7"/>
  <c r="BL106" i="7"/>
  <c r="BK106" i="7"/>
  <c r="BJ106" i="7"/>
  <c r="BI106" i="7"/>
  <c r="BH106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 s="1"/>
  <c r="C106" i="7"/>
  <c r="B106" i="7"/>
  <c r="B105" i="7"/>
  <c r="B104" i="7"/>
  <c r="CC103" i="7"/>
  <c r="CB103" i="7"/>
  <c r="CA103" i="7"/>
  <c r="BZ103" i="7"/>
  <c r="BY103" i="7"/>
  <c r="BX103" i="7"/>
  <c r="BW103" i="7"/>
  <c r="BV103" i="7"/>
  <c r="BU103" i="7"/>
  <c r="BT103" i="7"/>
  <c r="BS103" i="7"/>
  <c r="BR103" i="7"/>
  <c r="BQ103" i="7"/>
  <c r="BP103" i="7"/>
  <c r="BO103" i="7"/>
  <c r="BN103" i="7"/>
  <c r="BM103" i="7"/>
  <c r="BL103" i="7"/>
  <c r="BK103" i="7"/>
  <c r="BJ103" i="7"/>
  <c r="BI103" i="7"/>
  <c r="BH103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C103" i="7"/>
  <c r="B103" i="7"/>
  <c r="CC102" i="7"/>
  <c r="CB102" i="7"/>
  <c r="CA102" i="7"/>
  <c r="BZ102" i="7"/>
  <c r="BY102" i="7"/>
  <c r="BX102" i="7"/>
  <c r="BW102" i="7"/>
  <c r="BV102" i="7"/>
  <c r="BU102" i="7"/>
  <c r="BT102" i="7"/>
  <c r="BS102" i="7"/>
  <c r="BR102" i="7"/>
  <c r="BQ102" i="7"/>
  <c r="BP102" i="7"/>
  <c r="BO102" i="7"/>
  <c r="BN102" i="7"/>
  <c r="BM102" i="7"/>
  <c r="BL102" i="7"/>
  <c r="BK102" i="7"/>
  <c r="BJ102" i="7"/>
  <c r="BI102" i="7"/>
  <c r="BH102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C102" i="7"/>
  <c r="B102" i="7"/>
  <c r="CC101" i="7"/>
  <c r="CB101" i="7"/>
  <c r="CA101" i="7"/>
  <c r="BZ101" i="7"/>
  <c r="BY101" i="7"/>
  <c r="BX101" i="7"/>
  <c r="BW101" i="7"/>
  <c r="BV101" i="7"/>
  <c r="BU101" i="7"/>
  <c r="BT101" i="7"/>
  <c r="BS101" i="7"/>
  <c r="BR101" i="7"/>
  <c r="BQ101" i="7"/>
  <c r="BP101" i="7"/>
  <c r="BO101" i="7"/>
  <c r="BN101" i="7"/>
  <c r="BM101" i="7"/>
  <c r="BL101" i="7"/>
  <c r="BK101" i="7"/>
  <c r="BJ101" i="7"/>
  <c r="BI101" i="7"/>
  <c r="BH101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C101" i="7"/>
  <c r="B101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BP100" i="7"/>
  <c r="BO100" i="7"/>
  <c r="BN100" i="7"/>
  <c r="BM100" i="7"/>
  <c r="BL100" i="7"/>
  <c r="BK100" i="7"/>
  <c r="BJ100" i="7"/>
  <c r="BI100" i="7"/>
  <c r="BH100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C100" i="7"/>
  <c r="B100" i="7"/>
  <c r="CC99" i="7"/>
  <c r="CB99" i="7"/>
  <c r="CA99" i="7"/>
  <c r="BZ99" i="7"/>
  <c r="BY99" i="7"/>
  <c r="BX99" i="7"/>
  <c r="BW99" i="7"/>
  <c r="BV99" i="7"/>
  <c r="BU99" i="7"/>
  <c r="BT99" i="7"/>
  <c r="BS99" i="7"/>
  <c r="BR99" i="7"/>
  <c r="BQ99" i="7"/>
  <c r="BP99" i="7"/>
  <c r="BO99" i="7"/>
  <c r="BN99" i="7"/>
  <c r="BM99" i="7"/>
  <c r="BL99" i="7"/>
  <c r="BK99" i="7"/>
  <c r="BJ99" i="7"/>
  <c r="BI99" i="7"/>
  <c r="BH99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C99" i="7"/>
  <c r="B99" i="7"/>
  <c r="CC98" i="7"/>
  <c r="CB98" i="7"/>
  <c r="CA98" i="7"/>
  <c r="BZ98" i="7"/>
  <c r="BY98" i="7"/>
  <c r="BX98" i="7"/>
  <c r="BW98" i="7"/>
  <c r="BV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 s="1"/>
  <c r="C98" i="7"/>
  <c r="B98" i="7"/>
  <c r="CC97" i="7"/>
  <c r="CB97" i="7"/>
  <c r="CA97" i="7"/>
  <c r="BZ97" i="7"/>
  <c r="BY97" i="7"/>
  <c r="BX97" i="7"/>
  <c r="BW97" i="7"/>
  <c r="BV97" i="7"/>
  <c r="BU97" i="7"/>
  <c r="BT97" i="7"/>
  <c r="BS97" i="7"/>
  <c r="BR97" i="7"/>
  <c r="BQ97" i="7"/>
  <c r="BP97" i="7"/>
  <c r="BO97" i="7"/>
  <c r="BN97" i="7"/>
  <c r="BM97" i="7"/>
  <c r="BL97" i="7"/>
  <c r="BK97" i="7"/>
  <c r="BJ97" i="7"/>
  <c r="BI97" i="7"/>
  <c r="BH97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C97" i="7"/>
  <c r="B97" i="7"/>
  <c r="CC96" i="7"/>
  <c r="CB96" i="7"/>
  <c r="CA96" i="7"/>
  <c r="BZ96" i="7"/>
  <c r="BY96" i="7"/>
  <c r="BX96" i="7"/>
  <c r="BW96" i="7"/>
  <c r="BV96" i="7"/>
  <c r="BU96" i="7"/>
  <c r="BT96" i="7"/>
  <c r="BS96" i="7"/>
  <c r="BR96" i="7"/>
  <c r="BQ96" i="7"/>
  <c r="BP96" i="7"/>
  <c r="BO96" i="7"/>
  <c r="BN96" i="7"/>
  <c r="BM96" i="7"/>
  <c r="BL96" i="7"/>
  <c r="BK96" i="7"/>
  <c r="BJ96" i="7"/>
  <c r="BI96" i="7"/>
  <c r="BH96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C96" i="7"/>
  <c r="B96" i="7"/>
  <c r="B95" i="7"/>
  <c r="B94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BP93" i="7"/>
  <c r="BO93" i="7"/>
  <c r="BN93" i="7"/>
  <c r="BM93" i="7"/>
  <c r="BL93" i="7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C93" i="7"/>
  <c r="B93" i="7"/>
  <c r="CC92" i="7"/>
  <c r="CB92" i="7"/>
  <c r="CA92" i="7"/>
  <c r="BZ92" i="7"/>
  <c r="BY92" i="7"/>
  <c r="BX92" i="7"/>
  <c r="BW92" i="7"/>
  <c r="BV92" i="7"/>
  <c r="BU92" i="7"/>
  <c r="BT92" i="7"/>
  <c r="BS92" i="7"/>
  <c r="BR92" i="7"/>
  <c r="BQ92" i="7"/>
  <c r="BP92" i="7"/>
  <c r="BO92" i="7"/>
  <c r="BN92" i="7"/>
  <c r="BM92" i="7"/>
  <c r="BL92" i="7"/>
  <c r="BK92" i="7"/>
  <c r="BJ92" i="7"/>
  <c r="BI92" i="7"/>
  <c r="BH92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C92" i="7"/>
  <c r="B92" i="7"/>
  <c r="CC91" i="7"/>
  <c r="CB91" i="7"/>
  <c r="CA91" i="7"/>
  <c r="BZ91" i="7"/>
  <c r="BY91" i="7"/>
  <c r="BX91" i="7"/>
  <c r="BW91" i="7"/>
  <c r="BV91" i="7"/>
  <c r="BU91" i="7"/>
  <c r="BT91" i="7"/>
  <c r="BS91" i="7"/>
  <c r="BR91" i="7"/>
  <c r="BQ91" i="7"/>
  <c r="BP91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E91" i="7" s="1"/>
  <c r="G91" i="7"/>
  <c r="F91" i="7"/>
  <c r="C91" i="7"/>
  <c r="B91" i="7"/>
  <c r="CC90" i="7"/>
  <c r="CB90" i="7"/>
  <c r="CA90" i="7"/>
  <c r="BZ90" i="7"/>
  <c r="BY90" i="7"/>
  <c r="BX90" i="7"/>
  <c r="BW90" i="7"/>
  <c r="BV90" i="7"/>
  <c r="BU90" i="7"/>
  <c r="BT90" i="7"/>
  <c r="BS90" i="7"/>
  <c r="BR90" i="7"/>
  <c r="BQ90" i="7"/>
  <c r="BP90" i="7"/>
  <c r="BO90" i="7"/>
  <c r="BN90" i="7"/>
  <c r="BM90" i="7"/>
  <c r="BL90" i="7"/>
  <c r="BK90" i="7"/>
  <c r="BJ90" i="7"/>
  <c r="BI90" i="7"/>
  <c r="BH90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C90" i="7"/>
  <c r="B90" i="7"/>
  <c r="CC89" i="7"/>
  <c r="CB89" i="7"/>
  <c r="CA89" i="7"/>
  <c r="BZ89" i="7"/>
  <c r="BY89" i="7"/>
  <c r="BX89" i="7"/>
  <c r="BW89" i="7"/>
  <c r="BV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C89" i="7"/>
  <c r="B89" i="7"/>
  <c r="CC88" i="7"/>
  <c r="CB88" i="7"/>
  <c r="CA88" i="7"/>
  <c r="BZ88" i="7"/>
  <c r="BY88" i="7"/>
  <c r="BX88" i="7"/>
  <c r="BW88" i="7"/>
  <c r="BV88" i="7"/>
  <c r="BU88" i="7"/>
  <c r="BT88" i="7"/>
  <c r="BS88" i="7"/>
  <c r="BR88" i="7"/>
  <c r="BQ88" i="7"/>
  <c r="BP88" i="7"/>
  <c r="BO88" i="7"/>
  <c r="BN88" i="7"/>
  <c r="BM88" i="7"/>
  <c r="BL88" i="7"/>
  <c r="BK88" i="7"/>
  <c r="BJ88" i="7"/>
  <c r="BI88" i="7"/>
  <c r="BH88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 s="1"/>
  <c r="C88" i="7"/>
  <c r="B88" i="7"/>
  <c r="B87" i="7"/>
  <c r="B86" i="7"/>
  <c r="CC85" i="7"/>
  <c r="CB85" i="7"/>
  <c r="CA85" i="7"/>
  <c r="BZ85" i="7"/>
  <c r="BY85" i="7"/>
  <c r="BX85" i="7"/>
  <c r="BW85" i="7"/>
  <c r="BV85" i="7"/>
  <c r="BU85" i="7"/>
  <c r="BT85" i="7"/>
  <c r="BS85" i="7"/>
  <c r="BR85" i="7"/>
  <c r="BQ85" i="7"/>
  <c r="BP85" i="7"/>
  <c r="BO85" i="7"/>
  <c r="BN85" i="7"/>
  <c r="BM85" i="7"/>
  <c r="BL85" i="7"/>
  <c r="BK85" i="7"/>
  <c r="BJ85" i="7"/>
  <c r="BI85" i="7"/>
  <c r="BH85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C85" i="7"/>
  <c r="B85" i="7"/>
  <c r="CC84" i="7"/>
  <c r="CB84" i="7"/>
  <c r="CA84" i="7"/>
  <c r="BZ84" i="7"/>
  <c r="BY84" i="7"/>
  <c r="BX84" i="7"/>
  <c r="BW84" i="7"/>
  <c r="BV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C84" i="7"/>
  <c r="B84" i="7"/>
  <c r="CC83" i="7"/>
  <c r="CB83" i="7"/>
  <c r="CA83" i="7"/>
  <c r="BZ83" i="7"/>
  <c r="BY83" i="7"/>
  <c r="BX83" i="7"/>
  <c r="BW83" i="7"/>
  <c r="BV83" i="7"/>
  <c r="BU83" i="7"/>
  <c r="BT83" i="7"/>
  <c r="BS83" i="7"/>
  <c r="BR83" i="7"/>
  <c r="BQ83" i="7"/>
  <c r="BP83" i="7"/>
  <c r="BO83" i="7"/>
  <c r="BN83" i="7"/>
  <c r="BM83" i="7"/>
  <c r="BL83" i="7"/>
  <c r="BK83" i="7"/>
  <c r="BJ83" i="7"/>
  <c r="BI83" i="7"/>
  <c r="BH83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E83" i="7" s="1"/>
  <c r="G83" i="7"/>
  <c r="F83" i="7"/>
  <c r="C83" i="7"/>
  <c r="B83" i="7"/>
  <c r="CC82" i="7"/>
  <c r="CB82" i="7"/>
  <c r="CA82" i="7"/>
  <c r="BZ82" i="7"/>
  <c r="BY82" i="7"/>
  <c r="BX82" i="7"/>
  <c r="BW82" i="7"/>
  <c r="BV82" i="7"/>
  <c r="BU82" i="7"/>
  <c r="BT82" i="7"/>
  <c r="BS82" i="7"/>
  <c r="BR82" i="7"/>
  <c r="BQ82" i="7"/>
  <c r="BP82" i="7"/>
  <c r="BO82" i="7"/>
  <c r="BN82" i="7"/>
  <c r="BM82" i="7"/>
  <c r="BL82" i="7"/>
  <c r="BK82" i="7"/>
  <c r="BJ82" i="7"/>
  <c r="BI82" i="7"/>
  <c r="BH82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 s="1"/>
  <c r="C82" i="7"/>
  <c r="B82" i="7"/>
  <c r="CC81" i="7"/>
  <c r="CB81" i="7"/>
  <c r="CA81" i="7"/>
  <c r="BZ81" i="7"/>
  <c r="BY81" i="7"/>
  <c r="BX81" i="7"/>
  <c r="BW81" i="7"/>
  <c r="BV81" i="7"/>
  <c r="BU81" i="7"/>
  <c r="BT81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C81" i="7"/>
  <c r="B81" i="7"/>
  <c r="CC80" i="7"/>
  <c r="CB80" i="7"/>
  <c r="CA80" i="7"/>
  <c r="BZ80" i="7"/>
  <c r="BY80" i="7"/>
  <c r="BX80" i="7"/>
  <c r="BW80" i="7"/>
  <c r="BV80" i="7"/>
  <c r="BU80" i="7"/>
  <c r="BT80" i="7"/>
  <c r="BS80" i="7"/>
  <c r="BR80" i="7"/>
  <c r="BQ80" i="7"/>
  <c r="BP80" i="7"/>
  <c r="BO80" i="7"/>
  <c r="BN80" i="7"/>
  <c r="BM80" i="7"/>
  <c r="BL80" i="7"/>
  <c r="BK80" i="7"/>
  <c r="BJ80" i="7"/>
  <c r="BI80" i="7"/>
  <c r="BH80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 s="1"/>
  <c r="C80" i="7"/>
  <c r="B80" i="7"/>
  <c r="B79" i="7"/>
  <c r="B78" i="7"/>
  <c r="CC77" i="7"/>
  <c r="CB77" i="7"/>
  <c r="CA77" i="7"/>
  <c r="BZ77" i="7"/>
  <c r="BY77" i="7"/>
  <c r="BX77" i="7"/>
  <c r="BW77" i="7"/>
  <c r="BV77" i="7"/>
  <c r="BU77" i="7"/>
  <c r="BT77" i="7"/>
  <c r="BS77" i="7"/>
  <c r="BR77" i="7"/>
  <c r="BQ77" i="7"/>
  <c r="BP77" i="7"/>
  <c r="BO77" i="7"/>
  <c r="BN77" i="7"/>
  <c r="BM77" i="7"/>
  <c r="BL77" i="7"/>
  <c r="BK77" i="7"/>
  <c r="BJ77" i="7"/>
  <c r="BI77" i="7"/>
  <c r="BH77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C77" i="7"/>
  <c r="B77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BO76" i="7"/>
  <c r="BN76" i="7"/>
  <c r="BM76" i="7"/>
  <c r="BL76" i="7"/>
  <c r="BK76" i="7"/>
  <c r="BJ76" i="7"/>
  <c r="BI76" i="7"/>
  <c r="BH76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C76" i="7"/>
  <c r="B76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E75" i="7" s="1"/>
  <c r="G75" i="7"/>
  <c r="F75" i="7"/>
  <c r="C75" i="7"/>
  <c r="B75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BP74" i="7"/>
  <c r="BO74" i="7"/>
  <c r="BN74" i="7"/>
  <c r="BM74" i="7"/>
  <c r="BL74" i="7"/>
  <c r="BK74" i="7"/>
  <c r="BJ74" i="7"/>
  <c r="BI74" i="7"/>
  <c r="BH74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C74" i="7"/>
  <c r="B74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BP73" i="7"/>
  <c r="BO73" i="7"/>
  <c r="BN73" i="7"/>
  <c r="BM73" i="7"/>
  <c r="BL73" i="7"/>
  <c r="BK73" i="7"/>
  <c r="BJ73" i="7"/>
  <c r="BI73" i="7"/>
  <c r="BH73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C73" i="7"/>
  <c r="B73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 s="1"/>
  <c r="C72" i="7"/>
  <c r="B72" i="7"/>
  <c r="B71" i="7"/>
  <c r="B70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BP69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C69" i="7"/>
  <c r="B69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C68" i="7"/>
  <c r="B68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E67" i="7" s="1"/>
  <c r="G67" i="7"/>
  <c r="F67" i="7"/>
  <c r="C67" i="7"/>
  <c r="B67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O66" i="7"/>
  <c r="BN66" i="7"/>
  <c r="BM66" i="7"/>
  <c r="BL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C66" i="7"/>
  <c r="B66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C65" i="7"/>
  <c r="B65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O64" i="7"/>
  <c r="BN64" i="7"/>
  <c r="BM64" i="7"/>
  <c r="BL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 s="1"/>
  <c r="C64" i="7"/>
  <c r="B64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C63" i="7"/>
  <c r="B63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O62" i="7"/>
  <c r="BN62" i="7"/>
  <c r="BM62" i="7"/>
  <c r="BL62" i="7"/>
  <c r="BK62" i="7"/>
  <c r="BJ62" i="7"/>
  <c r="BI62" i="7"/>
  <c r="BH62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C62" i="7"/>
  <c r="B62" i="7"/>
  <c r="B61" i="7"/>
  <c r="B60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O59" i="7"/>
  <c r="BN59" i="7"/>
  <c r="BM59" i="7"/>
  <c r="BL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C59" i="7"/>
  <c r="B59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C58" i="7"/>
  <c r="B58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C57" i="7"/>
  <c r="B57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O56" i="7"/>
  <c r="BN56" i="7"/>
  <c r="BM56" i="7"/>
  <c r="BL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C56" i="7"/>
  <c r="B56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O55" i="7"/>
  <c r="BN55" i="7"/>
  <c r="BM55" i="7"/>
  <c r="BL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E55" i="7" s="1"/>
  <c r="G55" i="7"/>
  <c r="F55" i="7"/>
  <c r="C55" i="7"/>
  <c r="B55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C54" i="7"/>
  <c r="B54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C53" i="7"/>
  <c r="B53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 s="1"/>
  <c r="C52" i="7"/>
  <c r="B52" i="7"/>
  <c r="B51" i="7"/>
  <c r="B50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C49" i="7"/>
  <c r="B49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C48" i="7"/>
  <c r="B48" i="7"/>
  <c r="CC47" i="7"/>
  <c r="CB47" i="7"/>
  <c r="CA47" i="7"/>
  <c r="BZ47" i="7"/>
  <c r="BY47" i="7"/>
  <c r="BX47" i="7"/>
  <c r="BW47" i="7"/>
  <c r="BV47" i="7"/>
  <c r="BU47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E47" i="7" s="1"/>
  <c r="G47" i="7"/>
  <c r="F47" i="7"/>
  <c r="C47" i="7"/>
  <c r="B47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C46" i="7"/>
  <c r="B46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C45" i="7"/>
  <c r="B45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 s="1"/>
  <c r="C44" i="7"/>
  <c r="B44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C43" i="7"/>
  <c r="B43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E42" i="7" s="1"/>
  <c r="F42" i="7"/>
  <c r="C42" i="7"/>
  <c r="B42" i="7"/>
  <c r="B41" i="7"/>
  <c r="B40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C39" i="7"/>
  <c r="B39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C38" i="7"/>
  <c r="B38" i="7"/>
  <c r="B37" i="7"/>
  <c r="B36" i="7"/>
  <c r="B35" i="7"/>
  <c r="B34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C33" i="7"/>
  <c r="B33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C32" i="7"/>
  <c r="B32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E31" i="7" s="1"/>
  <c r="G31" i="7"/>
  <c r="F31" i="7"/>
  <c r="C31" i="7"/>
  <c r="B31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C30" i="7"/>
  <c r="B30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C29" i="7"/>
  <c r="B29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 s="1"/>
  <c r="C28" i="7"/>
  <c r="B28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C27" i="7"/>
  <c r="B27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E26" i="7" s="1"/>
  <c r="F26" i="7"/>
  <c r="C26" i="7"/>
  <c r="B26" i="7"/>
  <c r="B25" i="7"/>
  <c r="B24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C23" i="7"/>
  <c r="B23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C22" i="7"/>
  <c r="B22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C21" i="7"/>
  <c r="B21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C20" i="7"/>
  <c r="B20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C19" i="7"/>
  <c r="B19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C18" i="7"/>
  <c r="B18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C17" i="7"/>
  <c r="B17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C16" i="7"/>
  <c r="B16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E15" i="7" s="1"/>
  <c r="G15" i="7"/>
  <c r="F15" i="7"/>
  <c r="C15" i="7"/>
  <c r="B15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C14" i="7"/>
  <c r="B14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C13" i="7"/>
  <c r="B13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 s="1"/>
  <c r="C12" i="7"/>
  <c r="B12" i="7"/>
  <c r="B11" i="7"/>
  <c r="B10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C9" i="7"/>
  <c r="B9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E8" i="7" s="1"/>
  <c r="G8" i="7"/>
  <c r="F8" i="7"/>
  <c r="C8" i="7"/>
  <c r="B8" i="7"/>
  <c r="B7" i="7"/>
  <c r="B6" i="7"/>
  <c r="B5" i="7"/>
  <c r="B4" i="7"/>
  <c r="B3" i="7"/>
  <c r="B2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C77" i="6"/>
  <c r="B77" i="6"/>
  <c r="A77" i="6"/>
  <c r="C76" i="6"/>
  <c r="B76" i="6"/>
  <c r="A76" i="6"/>
  <c r="C75" i="6"/>
  <c r="B75" i="6"/>
  <c r="A75" i="6"/>
  <c r="C74" i="6"/>
  <c r="B74" i="6"/>
  <c r="A74" i="6"/>
  <c r="C73" i="6"/>
  <c r="B73" i="6"/>
  <c r="A73" i="6"/>
  <c r="C72" i="6"/>
  <c r="B72" i="6"/>
  <c r="A72" i="6"/>
  <c r="C71" i="6"/>
  <c r="B71" i="6"/>
  <c r="A71" i="6"/>
  <c r="C70" i="6"/>
  <c r="B70" i="6"/>
  <c r="A70" i="6"/>
  <c r="C69" i="6"/>
  <c r="B69" i="6"/>
  <c r="A69" i="6"/>
  <c r="C68" i="6"/>
  <c r="B68" i="6"/>
  <c r="A68" i="6"/>
  <c r="C67" i="6"/>
  <c r="B67" i="6"/>
  <c r="A67" i="6"/>
  <c r="C66" i="6"/>
  <c r="B66" i="6"/>
  <c r="A66" i="6"/>
  <c r="C65" i="6"/>
  <c r="B65" i="6"/>
  <c r="A65" i="6"/>
  <c r="C64" i="6"/>
  <c r="B64" i="6"/>
  <c r="A64" i="6"/>
  <c r="C63" i="6"/>
  <c r="B63" i="6"/>
  <c r="A63" i="6"/>
  <c r="C62" i="6"/>
  <c r="B62" i="6"/>
  <c r="A62" i="6"/>
  <c r="C61" i="6"/>
  <c r="B61" i="6"/>
  <c r="A61" i="6"/>
  <c r="C60" i="6"/>
  <c r="B60" i="6"/>
  <c r="A60" i="6"/>
  <c r="C59" i="6"/>
  <c r="B59" i="6"/>
  <c r="A59" i="6"/>
  <c r="C58" i="6"/>
  <c r="B58" i="6"/>
  <c r="A58" i="6"/>
  <c r="C57" i="6"/>
  <c r="B57" i="6"/>
  <c r="A57" i="6"/>
  <c r="C56" i="6"/>
  <c r="B56" i="6"/>
  <c r="A56" i="6"/>
  <c r="C55" i="6"/>
  <c r="B55" i="6"/>
  <c r="A55" i="6"/>
  <c r="C54" i="6"/>
  <c r="B54" i="6"/>
  <c r="A54" i="6"/>
  <c r="C53" i="6"/>
  <c r="B53" i="6"/>
  <c r="A53" i="6"/>
  <c r="C52" i="6"/>
  <c r="B52" i="6"/>
  <c r="A52" i="6"/>
  <c r="C51" i="6"/>
  <c r="B51" i="6"/>
  <c r="A51" i="6"/>
  <c r="C50" i="6"/>
  <c r="B50" i="6"/>
  <c r="A50" i="6"/>
  <c r="C49" i="6"/>
  <c r="B49" i="6"/>
  <c r="A49" i="6"/>
  <c r="C48" i="6"/>
  <c r="B48" i="6"/>
  <c r="A48" i="6"/>
  <c r="C47" i="6"/>
  <c r="B47" i="6"/>
  <c r="A47" i="6"/>
  <c r="C46" i="6"/>
  <c r="B46" i="6"/>
  <c r="A46" i="6"/>
  <c r="C45" i="6"/>
  <c r="B45" i="6"/>
  <c r="A45" i="6"/>
  <c r="C44" i="6"/>
  <c r="B44" i="6"/>
  <c r="A44" i="6"/>
  <c r="C43" i="6"/>
  <c r="B43" i="6"/>
  <c r="A43" i="6"/>
  <c r="C42" i="6"/>
  <c r="B42" i="6"/>
  <c r="A42" i="6"/>
  <c r="C41" i="6"/>
  <c r="B41" i="6"/>
  <c r="A41" i="6"/>
  <c r="C40" i="6"/>
  <c r="B40" i="6"/>
  <c r="A40" i="6"/>
  <c r="C39" i="6"/>
  <c r="B39" i="6"/>
  <c r="A39" i="6"/>
  <c r="C38" i="6"/>
  <c r="B38" i="6"/>
  <c r="A38" i="6"/>
  <c r="C37" i="6"/>
  <c r="B37" i="6"/>
  <c r="A37" i="6"/>
  <c r="C36" i="6"/>
  <c r="B36" i="6"/>
  <c r="A36" i="6"/>
  <c r="C35" i="6"/>
  <c r="B35" i="6"/>
  <c r="A35" i="6"/>
  <c r="C34" i="6"/>
  <c r="B34" i="6"/>
  <c r="A34" i="6"/>
  <c r="C33" i="6"/>
  <c r="B33" i="6"/>
  <c r="A33" i="6"/>
  <c r="C32" i="6"/>
  <c r="B32" i="6"/>
  <c r="A32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C5" i="6"/>
  <c r="B5" i="6"/>
  <c r="A5" i="6"/>
  <c r="C4" i="6"/>
  <c r="B4" i="6"/>
  <c r="A4" i="6"/>
  <c r="C3" i="6"/>
  <c r="B3" i="6"/>
  <c r="A3" i="6"/>
  <c r="C2" i="6"/>
  <c r="B2" i="6"/>
  <c r="A2" i="6"/>
  <c r="O514" i="1"/>
  <c r="CF509" i="1" s="1"/>
  <c r="BT506" i="7" s="1"/>
  <c r="M514" i="1"/>
  <c r="M513" i="1"/>
  <c r="O512" i="1"/>
  <c r="M512" i="1"/>
  <c r="M511" i="1"/>
  <c r="CO510" i="1"/>
  <c r="CC507" i="7" s="1"/>
  <c r="CN510" i="1"/>
  <c r="CB507" i="7" s="1"/>
  <c r="CM510" i="1"/>
  <c r="CA507" i="7" s="1"/>
  <c r="CL510" i="1"/>
  <c r="BZ507" i="7" s="1"/>
  <c r="CK510" i="1"/>
  <c r="BY507" i="7" s="1"/>
  <c r="CJ510" i="1"/>
  <c r="BX507" i="7" s="1"/>
  <c r="CI510" i="1"/>
  <c r="BW507" i="7" s="1"/>
  <c r="CH510" i="1"/>
  <c r="BV507" i="7" s="1"/>
  <c r="CG510" i="1"/>
  <c r="BU507" i="7" s="1"/>
  <c r="CF510" i="1"/>
  <c r="BT507" i="7" s="1"/>
  <c r="CE510" i="1"/>
  <c r="BS507" i="7" s="1"/>
  <c r="CD510" i="1"/>
  <c r="BR507" i="7" s="1"/>
  <c r="CC510" i="1"/>
  <c r="BQ507" i="7" s="1"/>
  <c r="CB510" i="1"/>
  <c r="BP507" i="7" s="1"/>
  <c r="CA510" i="1"/>
  <c r="BO507" i="7" s="1"/>
  <c r="BZ510" i="1"/>
  <c r="BN507" i="7" s="1"/>
  <c r="BY510" i="1"/>
  <c r="BM507" i="7" s="1"/>
  <c r="BX510" i="1"/>
  <c r="BL507" i="7" s="1"/>
  <c r="BW510" i="1"/>
  <c r="BK507" i="7" s="1"/>
  <c r="BV510" i="1"/>
  <c r="BJ507" i="7" s="1"/>
  <c r="BU510" i="1"/>
  <c r="BI507" i="7" s="1"/>
  <c r="BT510" i="1"/>
  <c r="BH507" i="7" s="1"/>
  <c r="BS510" i="1"/>
  <c r="BG507" i="7" s="1"/>
  <c r="BR510" i="1"/>
  <c r="BF507" i="7" s="1"/>
  <c r="BQ510" i="1"/>
  <c r="BE507" i="7" s="1"/>
  <c r="BP510" i="1"/>
  <c r="BD507" i="7" s="1"/>
  <c r="BO510" i="1"/>
  <c r="BC507" i="7" s="1"/>
  <c r="BN510" i="1"/>
  <c r="BB507" i="7" s="1"/>
  <c r="BM510" i="1"/>
  <c r="BA507" i="7" s="1"/>
  <c r="BL510" i="1"/>
  <c r="AZ507" i="7" s="1"/>
  <c r="BK510" i="1"/>
  <c r="AY507" i="7" s="1"/>
  <c r="BJ510" i="1"/>
  <c r="AX507" i="7" s="1"/>
  <c r="BI510" i="1"/>
  <c r="AW507" i="7" s="1"/>
  <c r="BH510" i="1"/>
  <c r="AV507" i="7" s="1"/>
  <c r="BG510" i="1"/>
  <c r="AU507" i="7" s="1"/>
  <c r="BF510" i="1"/>
  <c r="AT507" i="7" s="1"/>
  <c r="BE510" i="1"/>
  <c r="AS507" i="7" s="1"/>
  <c r="BD510" i="1"/>
  <c r="AR507" i="7" s="1"/>
  <c r="BC510" i="1"/>
  <c r="AQ507" i="7" s="1"/>
  <c r="BB510" i="1"/>
  <c r="AP507" i="7" s="1"/>
  <c r="BA510" i="1"/>
  <c r="AO507" i="7" s="1"/>
  <c r="AZ510" i="1"/>
  <c r="AN507" i="7" s="1"/>
  <c r="AY510" i="1"/>
  <c r="AM507" i="7" s="1"/>
  <c r="AX510" i="1"/>
  <c r="AL507" i="7" s="1"/>
  <c r="AW510" i="1"/>
  <c r="AK507" i="7" s="1"/>
  <c r="AV510" i="1"/>
  <c r="AJ507" i="7" s="1"/>
  <c r="AU510" i="1"/>
  <c r="AI507" i="7" s="1"/>
  <c r="AT510" i="1"/>
  <c r="AH507" i="7" s="1"/>
  <c r="AS510" i="1"/>
  <c r="AG507" i="7" s="1"/>
  <c r="AR510" i="1"/>
  <c r="AF507" i="7" s="1"/>
  <c r="AQ510" i="1"/>
  <c r="AE507" i="7" s="1"/>
  <c r="AP510" i="1"/>
  <c r="AD507" i="7" s="1"/>
  <c r="AO510" i="1"/>
  <c r="AC507" i="7" s="1"/>
  <c r="AN510" i="1"/>
  <c r="AB507" i="7" s="1"/>
  <c r="AM510" i="1"/>
  <c r="AA507" i="7" s="1"/>
  <c r="AL510" i="1"/>
  <c r="Z507" i="7" s="1"/>
  <c r="AK510" i="1"/>
  <c r="Y507" i="7" s="1"/>
  <c r="AJ510" i="1"/>
  <c r="X507" i="7" s="1"/>
  <c r="AI510" i="1"/>
  <c r="W507" i="7" s="1"/>
  <c r="AH510" i="1"/>
  <c r="V507" i="7" s="1"/>
  <c r="AG510" i="1"/>
  <c r="U507" i="7" s="1"/>
  <c r="AF510" i="1"/>
  <c r="T507" i="7" s="1"/>
  <c r="AE510" i="1"/>
  <c r="S507" i="7" s="1"/>
  <c r="AD510" i="1"/>
  <c r="R507" i="7" s="1"/>
  <c r="AC510" i="1"/>
  <c r="Q507" i="7" s="1"/>
  <c r="AB510" i="1"/>
  <c r="P507" i="7" s="1"/>
  <c r="AA510" i="1"/>
  <c r="O507" i="7" s="1"/>
  <c r="Z510" i="1"/>
  <c r="N507" i="7" s="1"/>
  <c r="Y510" i="1"/>
  <c r="M507" i="7" s="1"/>
  <c r="X510" i="1"/>
  <c r="L507" i="7" s="1"/>
  <c r="W510" i="1"/>
  <c r="K507" i="7" s="1"/>
  <c r="V510" i="1"/>
  <c r="J507" i="7" s="1"/>
  <c r="U510" i="1"/>
  <c r="I507" i="7" s="1"/>
  <c r="T510" i="1"/>
  <c r="H507" i="7" s="1"/>
  <c r="S510" i="1"/>
  <c r="R510" i="1"/>
  <c r="F507" i="7" s="1"/>
  <c r="CO509" i="1"/>
  <c r="CC506" i="7" s="1"/>
  <c r="CN509" i="1"/>
  <c r="CB506" i="7" s="1"/>
  <c r="CM509" i="1"/>
  <c r="CA506" i="7" s="1"/>
  <c r="CL509" i="1"/>
  <c r="BZ506" i="7" s="1"/>
  <c r="CK509" i="1"/>
  <c r="BY506" i="7" s="1"/>
  <c r="CG509" i="1"/>
  <c r="BU506" i="7" s="1"/>
  <c r="BY509" i="1"/>
  <c r="BM506" i="7" s="1"/>
  <c r="BQ509" i="1"/>
  <c r="BE506" i="7" s="1"/>
  <c r="BP509" i="1"/>
  <c r="BD506" i="7" s="1"/>
  <c r="BO509" i="1"/>
  <c r="BC506" i="7" s="1"/>
  <c r="BN509" i="1"/>
  <c r="BB506" i="7" s="1"/>
  <c r="BM509" i="1"/>
  <c r="BA506" i="7" s="1"/>
  <c r="BL509" i="1"/>
  <c r="AZ506" i="7" s="1"/>
  <c r="BK509" i="1"/>
  <c r="AY506" i="7" s="1"/>
  <c r="BJ509" i="1"/>
  <c r="AX506" i="7" s="1"/>
  <c r="BI509" i="1"/>
  <c r="AW506" i="7" s="1"/>
  <c r="BH509" i="1"/>
  <c r="AV506" i="7" s="1"/>
  <c r="BG509" i="1"/>
  <c r="AU506" i="7" s="1"/>
  <c r="BF509" i="1"/>
  <c r="AT506" i="7" s="1"/>
  <c r="BE509" i="1"/>
  <c r="AS506" i="7" s="1"/>
  <c r="BD509" i="1"/>
  <c r="AR506" i="7" s="1"/>
  <c r="BC509" i="1"/>
  <c r="AQ506" i="7" s="1"/>
  <c r="BB509" i="1"/>
  <c r="AP506" i="7" s="1"/>
  <c r="BA509" i="1"/>
  <c r="AO506" i="7" s="1"/>
  <c r="AZ509" i="1"/>
  <c r="AN506" i="7" s="1"/>
  <c r="AY509" i="1"/>
  <c r="AM506" i="7" s="1"/>
  <c r="AX509" i="1"/>
  <c r="AL506" i="7" s="1"/>
  <c r="AW509" i="1"/>
  <c r="AK506" i="7" s="1"/>
  <c r="AV509" i="1"/>
  <c r="AJ506" i="7" s="1"/>
  <c r="AU509" i="1"/>
  <c r="AI506" i="7" s="1"/>
  <c r="AT509" i="1"/>
  <c r="AH506" i="7" s="1"/>
  <c r="AS509" i="1"/>
  <c r="AG506" i="7" s="1"/>
  <c r="AR509" i="1"/>
  <c r="AF506" i="7" s="1"/>
  <c r="AQ509" i="1"/>
  <c r="AE506" i="7" s="1"/>
  <c r="AP509" i="1"/>
  <c r="AD506" i="7" s="1"/>
  <c r="AO509" i="1"/>
  <c r="AC506" i="7" s="1"/>
  <c r="AN509" i="1"/>
  <c r="AB506" i="7" s="1"/>
  <c r="AM509" i="1"/>
  <c r="AA506" i="7" s="1"/>
  <c r="AL509" i="1"/>
  <c r="Z506" i="7" s="1"/>
  <c r="AK509" i="1"/>
  <c r="Y506" i="7" s="1"/>
  <c r="AJ509" i="1"/>
  <c r="X506" i="7" s="1"/>
  <c r="AI509" i="1"/>
  <c r="W506" i="7" s="1"/>
  <c r="AH509" i="1"/>
  <c r="V506" i="7" s="1"/>
  <c r="AG509" i="1"/>
  <c r="U506" i="7" s="1"/>
  <c r="AF509" i="1"/>
  <c r="T506" i="7" s="1"/>
  <c r="AE509" i="1"/>
  <c r="S506" i="7" s="1"/>
  <c r="AD509" i="1"/>
  <c r="R506" i="7" s="1"/>
  <c r="AC509" i="1"/>
  <c r="Q506" i="7" s="1"/>
  <c r="AB509" i="1"/>
  <c r="P506" i="7" s="1"/>
  <c r="AA509" i="1"/>
  <c r="O506" i="7" s="1"/>
  <c r="Z509" i="1"/>
  <c r="N506" i="7" s="1"/>
  <c r="Y509" i="1"/>
  <c r="M506" i="7" s="1"/>
  <c r="X509" i="1"/>
  <c r="L506" i="7" s="1"/>
  <c r="W509" i="1"/>
  <c r="K506" i="7" s="1"/>
  <c r="V509" i="1"/>
  <c r="J506" i="7" s="1"/>
  <c r="U509" i="1"/>
  <c r="I506" i="7" s="1"/>
  <c r="T509" i="1"/>
  <c r="H506" i="7" s="1"/>
  <c r="S509" i="1"/>
  <c r="G506" i="7" s="1"/>
  <c r="R509" i="1"/>
  <c r="F506" i="7" s="1"/>
  <c r="O509" i="1"/>
  <c r="O508" i="1"/>
  <c r="M508" i="1"/>
  <c r="M507" i="1"/>
  <c r="O506" i="1"/>
  <c r="M506" i="1"/>
  <c r="M505" i="1"/>
  <c r="O504" i="1"/>
  <c r="M504" i="1"/>
  <c r="M503" i="1"/>
  <c r="O502" i="1"/>
  <c r="M502" i="1"/>
  <c r="M501" i="1"/>
  <c r="CO500" i="1"/>
  <c r="CC497" i="7" s="1"/>
  <c r="CN500" i="1"/>
  <c r="CB497" i="7" s="1"/>
  <c r="CM500" i="1"/>
  <c r="CA497" i="7" s="1"/>
  <c r="CL500" i="1"/>
  <c r="BZ497" i="7" s="1"/>
  <c r="CK500" i="1"/>
  <c r="BY497" i="7" s="1"/>
  <c r="CJ500" i="1"/>
  <c r="BX497" i="7" s="1"/>
  <c r="CI500" i="1"/>
  <c r="BW497" i="7" s="1"/>
  <c r="CH500" i="1"/>
  <c r="BV497" i="7" s="1"/>
  <c r="CG500" i="1"/>
  <c r="BU497" i="7" s="1"/>
  <c r="CF500" i="1"/>
  <c r="BT497" i="7" s="1"/>
  <c r="CE500" i="1"/>
  <c r="BS497" i="7" s="1"/>
  <c r="CD500" i="1"/>
  <c r="BR497" i="7" s="1"/>
  <c r="CC500" i="1"/>
  <c r="BQ497" i="7" s="1"/>
  <c r="CB500" i="1"/>
  <c r="BP497" i="7" s="1"/>
  <c r="CA500" i="1"/>
  <c r="BO497" i="7" s="1"/>
  <c r="BZ500" i="1"/>
  <c r="BN497" i="7" s="1"/>
  <c r="BY500" i="1"/>
  <c r="BM497" i="7" s="1"/>
  <c r="BX500" i="1"/>
  <c r="BL497" i="7" s="1"/>
  <c r="BW500" i="1"/>
  <c r="BK497" i="7" s="1"/>
  <c r="BV500" i="1"/>
  <c r="BJ497" i="7" s="1"/>
  <c r="BU500" i="1"/>
  <c r="BI497" i="7" s="1"/>
  <c r="BT500" i="1"/>
  <c r="BH497" i="7" s="1"/>
  <c r="BS500" i="1"/>
  <c r="BG497" i="7" s="1"/>
  <c r="BR500" i="1"/>
  <c r="BF497" i="7" s="1"/>
  <c r="BQ500" i="1"/>
  <c r="BE497" i="7" s="1"/>
  <c r="BP500" i="1"/>
  <c r="BD497" i="7" s="1"/>
  <c r="BO500" i="1"/>
  <c r="BC497" i="7" s="1"/>
  <c r="BN500" i="1"/>
  <c r="BB497" i="7" s="1"/>
  <c r="BM500" i="1"/>
  <c r="BA497" i="7" s="1"/>
  <c r="BL500" i="1"/>
  <c r="AZ497" i="7" s="1"/>
  <c r="BK500" i="1"/>
  <c r="AY497" i="7" s="1"/>
  <c r="BJ500" i="1"/>
  <c r="AX497" i="7" s="1"/>
  <c r="BI500" i="1"/>
  <c r="AW497" i="7" s="1"/>
  <c r="BH500" i="1"/>
  <c r="AV497" i="7" s="1"/>
  <c r="BG500" i="1"/>
  <c r="AU497" i="7" s="1"/>
  <c r="BF500" i="1"/>
  <c r="AT497" i="7" s="1"/>
  <c r="BE500" i="1"/>
  <c r="AS497" i="7" s="1"/>
  <c r="BD500" i="1"/>
  <c r="AR497" i="7" s="1"/>
  <c r="BC500" i="1"/>
  <c r="AQ497" i="7" s="1"/>
  <c r="BB500" i="1"/>
  <c r="AP497" i="7" s="1"/>
  <c r="BA500" i="1"/>
  <c r="AO497" i="7" s="1"/>
  <c r="AZ500" i="1"/>
  <c r="AN497" i="7" s="1"/>
  <c r="AY500" i="1"/>
  <c r="AM497" i="7" s="1"/>
  <c r="AX500" i="1"/>
  <c r="AL497" i="7" s="1"/>
  <c r="AW500" i="1"/>
  <c r="AK497" i="7" s="1"/>
  <c r="AV500" i="1"/>
  <c r="AJ497" i="7" s="1"/>
  <c r="AU500" i="1"/>
  <c r="AI497" i="7" s="1"/>
  <c r="AT500" i="1"/>
  <c r="AH497" i="7" s="1"/>
  <c r="AS500" i="1"/>
  <c r="AG497" i="7" s="1"/>
  <c r="AR500" i="1"/>
  <c r="AF497" i="7" s="1"/>
  <c r="AQ500" i="1"/>
  <c r="AE497" i="7" s="1"/>
  <c r="AP500" i="1"/>
  <c r="AD497" i="7" s="1"/>
  <c r="AO500" i="1"/>
  <c r="AC497" i="7" s="1"/>
  <c r="AN500" i="1"/>
  <c r="AB497" i="7" s="1"/>
  <c r="AM500" i="1"/>
  <c r="AA497" i="7" s="1"/>
  <c r="AL500" i="1"/>
  <c r="Z497" i="7" s="1"/>
  <c r="AK500" i="1"/>
  <c r="Y497" i="7" s="1"/>
  <c r="AJ500" i="1"/>
  <c r="X497" i="7" s="1"/>
  <c r="AI500" i="1"/>
  <c r="W497" i="7" s="1"/>
  <c r="AH500" i="1"/>
  <c r="V497" i="7" s="1"/>
  <c r="AG500" i="1"/>
  <c r="U497" i="7" s="1"/>
  <c r="AF500" i="1"/>
  <c r="T497" i="7" s="1"/>
  <c r="AE500" i="1"/>
  <c r="S497" i="7" s="1"/>
  <c r="AD500" i="1"/>
  <c r="R497" i="7" s="1"/>
  <c r="AC500" i="1"/>
  <c r="Q497" i="7" s="1"/>
  <c r="AB500" i="1"/>
  <c r="P497" i="7" s="1"/>
  <c r="AA500" i="1"/>
  <c r="O497" i="7" s="1"/>
  <c r="Z500" i="1"/>
  <c r="N497" i="7" s="1"/>
  <c r="Y500" i="1"/>
  <c r="M497" i="7" s="1"/>
  <c r="X500" i="1"/>
  <c r="L497" i="7" s="1"/>
  <c r="W500" i="1"/>
  <c r="K497" i="7" s="1"/>
  <c r="V500" i="1"/>
  <c r="J497" i="7" s="1"/>
  <c r="U500" i="1"/>
  <c r="I497" i="7" s="1"/>
  <c r="T500" i="1"/>
  <c r="H497" i="7" s="1"/>
  <c r="S500" i="1"/>
  <c r="G497" i="7" s="1"/>
  <c r="R500" i="1"/>
  <c r="F497" i="7" s="1"/>
  <c r="CO499" i="1"/>
  <c r="CC496" i="7" s="1"/>
  <c r="CN499" i="1"/>
  <c r="CB496" i="7" s="1"/>
  <c r="CM499" i="1"/>
  <c r="CA496" i="7" s="1"/>
  <c r="CL499" i="1"/>
  <c r="BZ496" i="7" s="1"/>
  <c r="CK499" i="1"/>
  <c r="BY496" i="7" s="1"/>
  <c r="CJ499" i="1"/>
  <c r="BX496" i="7" s="1"/>
  <c r="CI499" i="1"/>
  <c r="BW496" i="7" s="1"/>
  <c r="CF499" i="1"/>
  <c r="BT496" i="7" s="1"/>
  <c r="CE499" i="1"/>
  <c r="BS496" i="7" s="1"/>
  <c r="CD499" i="1"/>
  <c r="BR496" i="7" s="1"/>
  <c r="CB499" i="1"/>
  <c r="BP496" i="7" s="1"/>
  <c r="CA499" i="1"/>
  <c r="BO496" i="7" s="1"/>
  <c r="BX499" i="1"/>
  <c r="BL496" i="7" s="1"/>
  <c r="BW499" i="1"/>
  <c r="BK496" i="7" s="1"/>
  <c r="BT499" i="1"/>
  <c r="BH496" i="7" s="1"/>
  <c r="BS499" i="1"/>
  <c r="BG496" i="7" s="1"/>
  <c r="BR499" i="1"/>
  <c r="BF496" i="7" s="1"/>
  <c r="BQ499" i="1"/>
  <c r="BE496" i="7" s="1"/>
  <c r="BP499" i="1"/>
  <c r="BD496" i="7" s="1"/>
  <c r="BO499" i="1"/>
  <c r="BC496" i="7" s="1"/>
  <c r="BN499" i="1"/>
  <c r="BB496" i="7" s="1"/>
  <c r="BM499" i="1"/>
  <c r="BA496" i="7" s="1"/>
  <c r="BL499" i="1"/>
  <c r="AZ496" i="7" s="1"/>
  <c r="BK499" i="1"/>
  <c r="AY496" i="7" s="1"/>
  <c r="BJ499" i="1"/>
  <c r="AX496" i="7" s="1"/>
  <c r="BI499" i="1"/>
  <c r="AW496" i="7" s="1"/>
  <c r="BH499" i="1"/>
  <c r="AV496" i="7" s="1"/>
  <c r="BG499" i="1"/>
  <c r="AU496" i="7" s="1"/>
  <c r="BF499" i="1"/>
  <c r="AT496" i="7" s="1"/>
  <c r="BE499" i="1"/>
  <c r="AS496" i="7" s="1"/>
  <c r="BD499" i="1"/>
  <c r="AR496" i="7" s="1"/>
  <c r="BC499" i="1"/>
  <c r="AQ496" i="7" s="1"/>
  <c r="BB499" i="1"/>
  <c r="AP496" i="7" s="1"/>
  <c r="BA499" i="1"/>
  <c r="AO496" i="7" s="1"/>
  <c r="AZ499" i="1"/>
  <c r="AN496" i="7" s="1"/>
  <c r="AY499" i="1"/>
  <c r="AM496" i="7" s="1"/>
  <c r="AX499" i="1"/>
  <c r="AL496" i="7" s="1"/>
  <c r="AW499" i="1"/>
  <c r="AK496" i="7" s="1"/>
  <c r="AV499" i="1"/>
  <c r="AJ496" i="7" s="1"/>
  <c r="AU499" i="1"/>
  <c r="AI496" i="7" s="1"/>
  <c r="AT499" i="1"/>
  <c r="AH496" i="7" s="1"/>
  <c r="AS499" i="1"/>
  <c r="AG496" i="7" s="1"/>
  <c r="AR499" i="1"/>
  <c r="AF496" i="7" s="1"/>
  <c r="AQ499" i="1"/>
  <c r="AE496" i="7" s="1"/>
  <c r="AP499" i="1"/>
  <c r="AD496" i="7" s="1"/>
  <c r="AO499" i="1"/>
  <c r="AC496" i="7" s="1"/>
  <c r="AN499" i="1"/>
  <c r="AB496" i="7" s="1"/>
  <c r="AM499" i="1"/>
  <c r="AA496" i="7" s="1"/>
  <c r="AL499" i="1"/>
  <c r="Z496" i="7" s="1"/>
  <c r="AK499" i="1"/>
  <c r="Y496" i="7" s="1"/>
  <c r="AJ499" i="1"/>
  <c r="X496" i="7" s="1"/>
  <c r="AI499" i="1"/>
  <c r="W496" i="7" s="1"/>
  <c r="AH499" i="1"/>
  <c r="V496" i="7" s="1"/>
  <c r="AG499" i="1"/>
  <c r="U496" i="7" s="1"/>
  <c r="AF499" i="1"/>
  <c r="T496" i="7" s="1"/>
  <c r="AE499" i="1"/>
  <c r="S496" i="7" s="1"/>
  <c r="AD499" i="1"/>
  <c r="R496" i="7" s="1"/>
  <c r="AC499" i="1"/>
  <c r="Q496" i="7" s="1"/>
  <c r="AB499" i="1"/>
  <c r="P496" i="7" s="1"/>
  <c r="AA499" i="1"/>
  <c r="O496" i="7" s="1"/>
  <c r="Z499" i="1"/>
  <c r="N496" i="7" s="1"/>
  <c r="Y499" i="1"/>
  <c r="M496" i="7" s="1"/>
  <c r="X499" i="1"/>
  <c r="L496" i="7" s="1"/>
  <c r="W499" i="1"/>
  <c r="K496" i="7" s="1"/>
  <c r="V499" i="1"/>
  <c r="J496" i="7" s="1"/>
  <c r="U499" i="1"/>
  <c r="I496" i="7" s="1"/>
  <c r="T499" i="1"/>
  <c r="H496" i="7" s="1"/>
  <c r="S499" i="1"/>
  <c r="G496" i="7" s="1"/>
  <c r="R499" i="1"/>
  <c r="F496" i="7" s="1"/>
  <c r="O499" i="1"/>
  <c r="O498" i="1"/>
  <c r="M498" i="1"/>
  <c r="M497" i="1"/>
  <c r="O496" i="1"/>
  <c r="M496" i="1"/>
  <c r="M495" i="1"/>
  <c r="O494" i="1"/>
  <c r="M494" i="1"/>
  <c r="M493" i="1"/>
  <c r="O492" i="1"/>
  <c r="BJ489" i="1" s="1"/>
  <c r="AX486" i="7" s="1"/>
  <c r="M492" i="1"/>
  <c r="M491" i="1"/>
  <c r="CO490" i="1"/>
  <c r="CC487" i="7" s="1"/>
  <c r="CN490" i="1"/>
  <c r="CB487" i="7" s="1"/>
  <c r="CM490" i="1"/>
  <c r="CA487" i="7" s="1"/>
  <c r="CL490" i="1"/>
  <c r="BZ487" i="7" s="1"/>
  <c r="CK490" i="1"/>
  <c r="BY487" i="7" s="1"/>
  <c r="CJ490" i="1"/>
  <c r="BX487" i="7" s="1"/>
  <c r="CI490" i="1"/>
  <c r="BW487" i="7" s="1"/>
  <c r="CH490" i="1"/>
  <c r="BV487" i="7" s="1"/>
  <c r="CG490" i="1"/>
  <c r="BU487" i="7" s="1"/>
  <c r="CF490" i="1"/>
  <c r="BT487" i="7" s="1"/>
  <c r="CE490" i="1"/>
  <c r="BS487" i="7" s="1"/>
  <c r="CD490" i="1"/>
  <c r="BR487" i="7" s="1"/>
  <c r="CC490" i="1"/>
  <c r="BQ487" i="7" s="1"/>
  <c r="CB490" i="1"/>
  <c r="BP487" i="7" s="1"/>
  <c r="CA490" i="1"/>
  <c r="BO487" i="7" s="1"/>
  <c r="BZ490" i="1"/>
  <c r="BN487" i="7" s="1"/>
  <c r="BY490" i="1"/>
  <c r="BM487" i="7" s="1"/>
  <c r="BX490" i="1"/>
  <c r="BL487" i="7" s="1"/>
  <c r="BW490" i="1"/>
  <c r="BK487" i="7" s="1"/>
  <c r="BV490" i="1"/>
  <c r="BJ487" i="7" s="1"/>
  <c r="BU490" i="1"/>
  <c r="BI487" i="7" s="1"/>
  <c r="BT490" i="1"/>
  <c r="BH487" i="7" s="1"/>
  <c r="BS490" i="1"/>
  <c r="BG487" i="7" s="1"/>
  <c r="BR490" i="1"/>
  <c r="BF487" i="7" s="1"/>
  <c r="BQ490" i="1"/>
  <c r="BE487" i="7" s="1"/>
  <c r="BP490" i="1"/>
  <c r="BD487" i="7" s="1"/>
  <c r="BO490" i="1"/>
  <c r="BC487" i="7" s="1"/>
  <c r="BN490" i="1"/>
  <c r="BB487" i="7" s="1"/>
  <c r="BM490" i="1"/>
  <c r="BA487" i="7" s="1"/>
  <c r="BL490" i="1"/>
  <c r="AZ487" i="7" s="1"/>
  <c r="BK490" i="1"/>
  <c r="AY487" i="7" s="1"/>
  <c r="BJ490" i="1"/>
  <c r="AX487" i="7" s="1"/>
  <c r="BI490" i="1"/>
  <c r="AW487" i="7" s="1"/>
  <c r="BH490" i="1"/>
  <c r="AV487" i="7" s="1"/>
  <c r="BG490" i="1"/>
  <c r="AU487" i="7" s="1"/>
  <c r="BF490" i="1"/>
  <c r="AT487" i="7" s="1"/>
  <c r="BE490" i="1"/>
  <c r="AS487" i="7" s="1"/>
  <c r="BD490" i="1"/>
  <c r="AR487" i="7" s="1"/>
  <c r="BC490" i="1"/>
  <c r="AQ487" i="7" s="1"/>
  <c r="BB490" i="1"/>
  <c r="AP487" i="7" s="1"/>
  <c r="BA490" i="1"/>
  <c r="AO487" i="7" s="1"/>
  <c r="AZ490" i="1"/>
  <c r="AN487" i="7" s="1"/>
  <c r="AY490" i="1"/>
  <c r="AM487" i="7" s="1"/>
  <c r="AX490" i="1"/>
  <c r="AL487" i="7" s="1"/>
  <c r="AW490" i="1"/>
  <c r="AK487" i="7" s="1"/>
  <c r="AV490" i="1"/>
  <c r="AJ487" i="7" s="1"/>
  <c r="AU490" i="1"/>
  <c r="AI487" i="7" s="1"/>
  <c r="AT490" i="1"/>
  <c r="AH487" i="7" s="1"/>
  <c r="AS490" i="1"/>
  <c r="AG487" i="7" s="1"/>
  <c r="AR490" i="1"/>
  <c r="AF487" i="7" s="1"/>
  <c r="AQ490" i="1"/>
  <c r="AE487" i="7" s="1"/>
  <c r="AP490" i="1"/>
  <c r="AD487" i="7" s="1"/>
  <c r="AO490" i="1"/>
  <c r="AC487" i="7" s="1"/>
  <c r="AN490" i="1"/>
  <c r="AB487" i="7" s="1"/>
  <c r="AM490" i="1"/>
  <c r="AA487" i="7" s="1"/>
  <c r="AL490" i="1"/>
  <c r="Z487" i="7" s="1"/>
  <c r="AK490" i="1"/>
  <c r="Y487" i="7" s="1"/>
  <c r="AJ490" i="1"/>
  <c r="X487" i="7" s="1"/>
  <c r="AI490" i="1"/>
  <c r="W487" i="7" s="1"/>
  <c r="AH490" i="1"/>
  <c r="V487" i="7" s="1"/>
  <c r="AG490" i="1"/>
  <c r="U487" i="7" s="1"/>
  <c r="AF490" i="1"/>
  <c r="T487" i="7" s="1"/>
  <c r="AE490" i="1"/>
  <c r="S487" i="7" s="1"/>
  <c r="AD490" i="1"/>
  <c r="R487" i="7" s="1"/>
  <c r="AC490" i="1"/>
  <c r="Q487" i="7" s="1"/>
  <c r="AB490" i="1"/>
  <c r="P487" i="7" s="1"/>
  <c r="AA490" i="1"/>
  <c r="O487" i="7" s="1"/>
  <c r="Z490" i="1"/>
  <c r="N487" i="7" s="1"/>
  <c r="Y490" i="1"/>
  <c r="M487" i="7" s="1"/>
  <c r="X490" i="1"/>
  <c r="L487" i="7" s="1"/>
  <c r="W490" i="1"/>
  <c r="K487" i="7" s="1"/>
  <c r="V490" i="1"/>
  <c r="J487" i="7" s="1"/>
  <c r="U490" i="1"/>
  <c r="I487" i="7" s="1"/>
  <c r="T490" i="1"/>
  <c r="H487" i="7" s="1"/>
  <c r="S490" i="1"/>
  <c r="G487" i="7" s="1"/>
  <c r="R490" i="1"/>
  <c r="F487" i="7" s="1"/>
  <c r="CO489" i="1"/>
  <c r="CC486" i="7" s="1"/>
  <c r="CN489" i="1"/>
  <c r="CB486" i="7" s="1"/>
  <c r="CM489" i="1"/>
  <c r="CA486" i="7" s="1"/>
  <c r="CL489" i="1"/>
  <c r="BZ486" i="7" s="1"/>
  <c r="CK489" i="1"/>
  <c r="BY486" i="7" s="1"/>
  <c r="CJ489" i="1"/>
  <c r="BX486" i="7" s="1"/>
  <c r="CI489" i="1"/>
  <c r="BW486" i="7" s="1"/>
  <c r="CD489" i="1"/>
  <c r="BR486" i="7" s="1"/>
  <c r="BN489" i="1"/>
  <c r="BB486" i="7" s="1"/>
  <c r="BE489" i="1"/>
  <c r="AS486" i="7" s="1"/>
  <c r="BD489" i="1"/>
  <c r="AR486" i="7" s="1"/>
  <c r="BC489" i="1"/>
  <c r="AQ486" i="7" s="1"/>
  <c r="BB489" i="1"/>
  <c r="AP486" i="7" s="1"/>
  <c r="BA489" i="1"/>
  <c r="AO486" i="7" s="1"/>
  <c r="AZ489" i="1"/>
  <c r="AN486" i="7" s="1"/>
  <c r="AY489" i="1"/>
  <c r="AM486" i="7" s="1"/>
  <c r="AX489" i="1"/>
  <c r="AL486" i="7" s="1"/>
  <c r="AW489" i="1"/>
  <c r="AK486" i="7" s="1"/>
  <c r="AV489" i="1"/>
  <c r="AJ486" i="7" s="1"/>
  <c r="AU489" i="1"/>
  <c r="AI486" i="7" s="1"/>
  <c r="AT489" i="1"/>
  <c r="AH486" i="7" s="1"/>
  <c r="AS489" i="1"/>
  <c r="AG486" i="7" s="1"/>
  <c r="AR489" i="1"/>
  <c r="AF486" i="7" s="1"/>
  <c r="AQ489" i="1"/>
  <c r="AE486" i="7" s="1"/>
  <c r="AP489" i="1"/>
  <c r="AD486" i="7" s="1"/>
  <c r="AO489" i="1"/>
  <c r="AC486" i="7" s="1"/>
  <c r="AN489" i="1"/>
  <c r="AB486" i="7" s="1"/>
  <c r="AM489" i="1"/>
  <c r="AA486" i="7" s="1"/>
  <c r="AL489" i="1"/>
  <c r="Z486" i="7" s="1"/>
  <c r="AK489" i="1"/>
  <c r="Y486" i="7" s="1"/>
  <c r="AJ489" i="1"/>
  <c r="X486" i="7" s="1"/>
  <c r="AI489" i="1"/>
  <c r="W486" i="7" s="1"/>
  <c r="AH489" i="1"/>
  <c r="V486" i="7" s="1"/>
  <c r="AG489" i="1"/>
  <c r="U486" i="7" s="1"/>
  <c r="AF489" i="1"/>
  <c r="T486" i="7" s="1"/>
  <c r="AE489" i="1"/>
  <c r="S486" i="7" s="1"/>
  <c r="AD489" i="1"/>
  <c r="R486" i="7" s="1"/>
  <c r="AC489" i="1"/>
  <c r="Q486" i="7" s="1"/>
  <c r="AB489" i="1"/>
  <c r="P486" i="7" s="1"/>
  <c r="AA489" i="1"/>
  <c r="O486" i="7" s="1"/>
  <c r="Z489" i="1"/>
  <c r="N486" i="7" s="1"/>
  <c r="Y489" i="1"/>
  <c r="M486" i="7" s="1"/>
  <c r="X489" i="1"/>
  <c r="L486" i="7" s="1"/>
  <c r="W489" i="1"/>
  <c r="K486" i="7" s="1"/>
  <c r="V489" i="1"/>
  <c r="J486" i="7" s="1"/>
  <c r="U489" i="1"/>
  <c r="I486" i="7" s="1"/>
  <c r="T489" i="1"/>
  <c r="H486" i="7" s="1"/>
  <c r="S489" i="1"/>
  <c r="G486" i="7" s="1"/>
  <c r="R489" i="1"/>
  <c r="F486" i="7" s="1"/>
  <c r="O489" i="1"/>
  <c r="CO488" i="1"/>
  <c r="CC485" i="7" s="1"/>
  <c r="CN488" i="1"/>
  <c r="CB485" i="7" s="1"/>
  <c r="CM488" i="1"/>
  <c r="CA485" i="7" s="1"/>
  <c r="CL488" i="1"/>
  <c r="BZ485" i="7" s="1"/>
  <c r="CK488" i="1"/>
  <c r="BY485" i="7" s="1"/>
  <c r="CJ488" i="1"/>
  <c r="BX485" i="7" s="1"/>
  <c r="CI488" i="1"/>
  <c r="BW485" i="7" s="1"/>
  <c r="CH488" i="1"/>
  <c r="BV485" i="7" s="1"/>
  <c r="CG488" i="1"/>
  <c r="BU485" i="7" s="1"/>
  <c r="CF488" i="1"/>
  <c r="BT485" i="7" s="1"/>
  <c r="CE488" i="1"/>
  <c r="BS485" i="7" s="1"/>
  <c r="CD488" i="1"/>
  <c r="BR485" i="7" s="1"/>
  <c r="CC488" i="1"/>
  <c r="BQ485" i="7" s="1"/>
  <c r="CB488" i="1"/>
  <c r="BP485" i="7" s="1"/>
  <c r="CA488" i="1"/>
  <c r="BO485" i="7" s="1"/>
  <c r="BZ488" i="1"/>
  <c r="BN485" i="7" s="1"/>
  <c r="BY488" i="1"/>
  <c r="BM485" i="7" s="1"/>
  <c r="BX488" i="1"/>
  <c r="BL485" i="7" s="1"/>
  <c r="BW488" i="1"/>
  <c r="BK485" i="7" s="1"/>
  <c r="BV488" i="1"/>
  <c r="BJ485" i="7" s="1"/>
  <c r="BU488" i="1"/>
  <c r="BI485" i="7" s="1"/>
  <c r="BT488" i="1"/>
  <c r="BH485" i="7" s="1"/>
  <c r="BS488" i="1"/>
  <c r="BG485" i="7" s="1"/>
  <c r="BR488" i="1"/>
  <c r="BF485" i="7" s="1"/>
  <c r="BQ488" i="1"/>
  <c r="BE485" i="7" s="1"/>
  <c r="BP488" i="1"/>
  <c r="BD485" i="7" s="1"/>
  <c r="BO488" i="1"/>
  <c r="BC485" i="7" s="1"/>
  <c r="BN488" i="1"/>
  <c r="BB485" i="7" s="1"/>
  <c r="BM488" i="1"/>
  <c r="BA485" i="7" s="1"/>
  <c r="BL488" i="1"/>
  <c r="AZ485" i="7" s="1"/>
  <c r="BK488" i="1"/>
  <c r="AY485" i="7" s="1"/>
  <c r="BJ488" i="1"/>
  <c r="AX485" i="7" s="1"/>
  <c r="BI488" i="1"/>
  <c r="AW485" i="7" s="1"/>
  <c r="BH488" i="1"/>
  <c r="AV485" i="7" s="1"/>
  <c r="BG488" i="1"/>
  <c r="AU485" i="7" s="1"/>
  <c r="BF488" i="1"/>
  <c r="AT485" i="7" s="1"/>
  <c r="BE488" i="1"/>
  <c r="AS485" i="7" s="1"/>
  <c r="BD488" i="1"/>
  <c r="AR485" i="7" s="1"/>
  <c r="BC488" i="1"/>
  <c r="AQ485" i="7" s="1"/>
  <c r="BB488" i="1"/>
  <c r="AP485" i="7" s="1"/>
  <c r="BA488" i="1"/>
  <c r="AO485" i="7" s="1"/>
  <c r="AZ488" i="1"/>
  <c r="AN485" i="7" s="1"/>
  <c r="AY488" i="1"/>
  <c r="AM485" i="7" s="1"/>
  <c r="AX488" i="1"/>
  <c r="AL485" i="7" s="1"/>
  <c r="AW488" i="1"/>
  <c r="AK485" i="7" s="1"/>
  <c r="AV488" i="1"/>
  <c r="AJ485" i="7" s="1"/>
  <c r="AU488" i="1"/>
  <c r="AI485" i="7" s="1"/>
  <c r="AT488" i="1"/>
  <c r="AH485" i="7" s="1"/>
  <c r="AS488" i="1"/>
  <c r="AG485" i="7" s="1"/>
  <c r="AR488" i="1"/>
  <c r="AF485" i="7" s="1"/>
  <c r="AQ488" i="1"/>
  <c r="AE485" i="7" s="1"/>
  <c r="AP488" i="1"/>
  <c r="AD485" i="7" s="1"/>
  <c r="AO488" i="1"/>
  <c r="AC485" i="7" s="1"/>
  <c r="AN488" i="1"/>
  <c r="AB485" i="7" s="1"/>
  <c r="AM488" i="1"/>
  <c r="AA485" i="7" s="1"/>
  <c r="AL488" i="1"/>
  <c r="Z485" i="7" s="1"/>
  <c r="AK488" i="1"/>
  <c r="Y485" i="7" s="1"/>
  <c r="AJ488" i="1"/>
  <c r="X485" i="7" s="1"/>
  <c r="AI488" i="1"/>
  <c r="W485" i="7" s="1"/>
  <c r="AH488" i="1"/>
  <c r="V485" i="7" s="1"/>
  <c r="AG488" i="1"/>
  <c r="U485" i="7" s="1"/>
  <c r="AF488" i="1"/>
  <c r="T485" i="7" s="1"/>
  <c r="AE488" i="1"/>
  <c r="S485" i="7" s="1"/>
  <c r="AD488" i="1"/>
  <c r="R485" i="7" s="1"/>
  <c r="AC488" i="1"/>
  <c r="Q485" i="7" s="1"/>
  <c r="AB488" i="1"/>
  <c r="P485" i="7" s="1"/>
  <c r="AA488" i="1"/>
  <c r="O485" i="7" s="1"/>
  <c r="Z488" i="1"/>
  <c r="N485" i="7" s="1"/>
  <c r="Y488" i="1"/>
  <c r="M485" i="7" s="1"/>
  <c r="X488" i="1"/>
  <c r="L485" i="7" s="1"/>
  <c r="W488" i="1"/>
  <c r="K485" i="7" s="1"/>
  <c r="V488" i="1"/>
  <c r="J485" i="7" s="1"/>
  <c r="U488" i="1"/>
  <c r="I485" i="7" s="1"/>
  <c r="T488" i="1"/>
  <c r="H485" i="7" s="1"/>
  <c r="S488" i="1"/>
  <c r="G485" i="7" s="1"/>
  <c r="R488" i="1"/>
  <c r="F485" i="7" s="1"/>
  <c r="CO487" i="1"/>
  <c r="CC484" i="7" s="1"/>
  <c r="CN487" i="1"/>
  <c r="CB484" i="7" s="1"/>
  <c r="CM487" i="1"/>
  <c r="CA484" i="7" s="1"/>
  <c r="CL487" i="1"/>
  <c r="BZ484" i="7" s="1"/>
  <c r="CK487" i="1"/>
  <c r="BY484" i="7" s="1"/>
  <c r="BE487" i="1"/>
  <c r="AS484" i="7" s="1"/>
  <c r="BD487" i="1"/>
  <c r="AR484" i="7" s="1"/>
  <c r="BC487" i="1"/>
  <c r="AQ484" i="7" s="1"/>
  <c r="BB487" i="1"/>
  <c r="AP484" i="7" s="1"/>
  <c r="BA487" i="1"/>
  <c r="AO484" i="7" s="1"/>
  <c r="AZ487" i="1"/>
  <c r="AN484" i="7" s="1"/>
  <c r="AY487" i="1"/>
  <c r="AM484" i="7" s="1"/>
  <c r="AX487" i="1"/>
  <c r="AL484" i="7" s="1"/>
  <c r="AW487" i="1"/>
  <c r="AK484" i="7" s="1"/>
  <c r="AV487" i="1"/>
  <c r="AJ484" i="7" s="1"/>
  <c r="AU487" i="1"/>
  <c r="AI484" i="7" s="1"/>
  <c r="AT487" i="1"/>
  <c r="AH484" i="7" s="1"/>
  <c r="AS487" i="1"/>
  <c r="AG484" i="7" s="1"/>
  <c r="AR487" i="1"/>
  <c r="AF484" i="7" s="1"/>
  <c r="AQ487" i="1"/>
  <c r="AE484" i="7" s="1"/>
  <c r="AP487" i="1"/>
  <c r="AD484" i="7" s="1"/>
  <c r="AO487" i="1"/>
  <c r="AC484" i="7" s="1"/>
  <c r="AN487" i="1"/>
  <c r="AB484" i="7" s="1"/>
  <c r="AM487" i="1"/>
  <c r="AA484" i="7" s="1"/>
  <c r="AL487" i="1"/>
  <c r="Z484" i="7" s="1"/>
  <c r="AK487" i="1"/>
  <c r="Y484" i="7" s="1"/>
  <c r="AJ487" i="1"/>
  <c r="X484" i="7" s="1"/>
  <c r="AI487" i="1"/>
  <c r="W484" i="7" s="1"/>
  <c r="AH487" i="1"/>
  <c r="V484" i="7" s="1"/>
  <c r="AG487" i="1"/>
  <c r="U484" i="7" s="1"/>
  <c r="AF487" i="1"/>
  <c r="T484" i="7" s="1"/>
  <c r="AE487" i="1"/>
  <c r="S484" i="7" s="1"/>
  <c r="AD487" i="1"/>
  <c r="R484" i="7" s="1"/>
  <c r="AC487" i="1"/>
  <c r="Q484" i="7" s="1"/>
  <c r="AB487" i="1"/>
  <c r="P484" i="7" s="1"/>
  <c r="AA487" i="1"/>
  <c r="O484" i="7" s="1"/>
  <c r="Z487" i="1"/>
  <c r="N484" i="7" s="1"/>
  <c r="Y487" i="1"/>
  <c r="M484" i="7" s="1"/>
  <c r="X487" i="1"/>
  <c r="L484" i="7" s="1"/>
  <c r="W487" i="1"/>
  <c r="K484" i="7" s="1"/>
  <c r="V487" i="1"/>
  <c r="J484" i="7" s="1"/>
  <c r="U487" i="1"/>
  <c r="I484" i="7" s="1"/>
  <c r="T487" i="1"/>
  <c r="H484" i="7" s="1"/>
  <c r="S487" i="1"/>
  <c r="G484" i="7" s="1"/>
  <c r="R487" i="1"/>
  <c r="F484" i="7" s="1"/>
  <c r="O487" i="1"/>
  <c r="O486" i="1"/>
  <c r="BV477" i="1" s="1"/>
  <c r="BJ474" i="7" s="1"/>
  <c r="M486" i="1"/>
  <c r="M485" i="1"/>
  <c r="O484" i="1"/>
  <c r="M484" i="1"/>
  <c r="M483" i="1"/>
  <c r="O482" i="1"/>
  <c r="BZ477" i="1" s="1"/>
  <c r="BN474" i="7" s="1"/>
  <c r="M482" i="1"/>
  <c r="M481" i="1"/>
  <c r="O480" i="1"/>
  <c r="CH477" i="1" s="1"/>
  <c r="BV474" i="7" s="1"/>
  <c r="M480" i="1"/>
  <c r="M479" i="1"/>
  <c r="CO478" i="1"/>
  <c r="CC475" i="7" s="1"/>
  <c r="CN478" i="1"/>
  <c r="CB475" i="7" s="1"/>
  <c r="CM478" i="1"/>
  <c r="CA475" i="7" s="1"/>
  <c r="CL478" i="1"/>
  <c r="BZ475" i="7" s="1"/>
  <c r="CK478" i="1"/>
  <c r="BY475" i="7" s="1"/>
  <c r="CJ478" i="1"/>
  <c r="BX475" i="7" s="1"/>
  <c r="CI478" i="1"/>
  <c r="BW475" i="7" s="1"/>
  <c r="CH478" i="1"/>
  <c r="BV475" i="7" s="1"/>
  <c r="CG478" i="1"/>
  <c r="BU475" i="7" s="1"/>
  <c r="CF478" i="1"/>
  <c r="BT475" i="7" s="1"/>
  <c r="CE478" i="1"/>
  <c r="BS475" i="7" s="1"/>
  <c r="CD478" i="1"/>
  <c r="BR475" i="7" s="1"/>
  <c r="CC478" i="1"/>
  <c r="BQ475" i="7" s="1"/>
  <c r="CB478" i="1"/>
  <c r="BP475" i="7" s="1"/>
  <c r="CA478" i="1"/>
  <c r="BO475" i="7" s="1"/>
  <c r="BZ478" i="1"/>
  <c r="BN475" i="7" s="1"/>
  <c r="BY478" i="1"/>
  <c r="BM475" i="7" s="1"/>
  <c r="BX478" i="1"/>
  <c r="BL475" i="7" s="1"/>
  <c r="BW478" i="1"/>
  <c r="BK475" i="7" s="1"/>
  <c r="BV478" i="1"/>
  <c r="BJ475" i="7" s="1"/>
  <c r="BU478" i="1"/>
  <c r="BI475" i="7" s="1"/>
  <c r="BT478" i="1"/>
  <c r="BH475" i="7" s="1"/>
  <c r="BS478" i="1"/>
  <c r="BG475" i="7" s="1"/>
  <c r="BR478" i="1"/>
  <c r="BF475" i="7" s="1"/>
  <c r="BQ478" i="1"/>
  <c r="BE475" i="7" s="1"/>
  <c r="BP478" i="1"/>
  <c r="BD475" i="7" s="1"/>
  <c r="BO478" i="1"/>
  <c r="BC475" i="7" s="1"/>
  <c r="BN478" i="1"/>
  <c r="BB475" i="7" s="1"/>
  <c r="BM478" i="1"/>
  <c r="BA475" i="7" s="1"/>
  <c r="BL478" i="1"/>
  <c r="AZ475" i="7" s="1"/>
  <c r="BK478" i="1"/>
  <c r="AY475" i="7" s="1"/>
  <c r="BJ478" i="1"/>
  <c r="AX475" i="7" s="1"/>
  <c r="BI478" i="1"/>
  <c r="AW475" i="7" s="1"/>
  <c r="BH478" i="1"/>
  <c r="AV475" i="7" s="1"/>
  <c r="BG478" i="1"/>
  <c r="AU475" i="7" s="1"/>
  <c r="BF478" i="1"/>
  <c r="AT475" i="7" s="1"/>
  <c r="BE478" i="1"/>
  <c r="AS475" i="7" s="1"/>
  <c r="BD478" i="1"/>
  <c r="AR475" i="7" s="1"/>
  <c r="BC478" i="1"/>
  <c r="AQ475" i="7" s="1"/>
  <c r="BB478" i="1"/>
  <c r="AP475" i="7" s="1"/>
  <c r="BA478" i="1"/>
  <c r="AO475" i="7" s="1"/>
  <c r="AZ478" i="1"/>
  <c r="AN475" i="7" s="1"/>
  <c r="AY478" i="1"/>
  <c r="AM475" i="7" s="1"/>
  <c r="AX478" i="1"/>
  <c r="AL475" i="7" s="1"/>
  <c r="AW478" i="1"/>
  <c r="AK475" i="7" s="1"/>
  <c r="AV478" i="1"/>
  <c r="AJ475" i="7" s="1"/>
  <c r="AU478" i="1"/>
  <c r="AI475" i="7" s="1"/>
  <c r="AT478" i="1"/>
  <c r="AH475" i="7" s="1"/>
  <c r="AS478" i="1"/>
  <c r="AG475" i="7" s="1"/>
  <c r="AR478" i="1"/>
  <c r="AF475" i="7" s="1"/>
  <c r="AQ478" i="1"/>
  <c r="AE475" i="7" s="1"/>
  <c r="AP478" i="1"/>
  <c r="AD475" i="7" s="1"/>
  <c r="AO478" i="1"/>
  <c r="AC475" i="7" s="1"/>
  <c r="AN478" i="1"/>
  <c r="AB475" i="7" s="1"/>
  <c r="AM478" i="1"/>
  <c r="AA475" i="7" s="1"/>
  <c r="AL478" i="1"/>
  <c r="Z475" i="7" s="1"/>
  <c r="AK478" i="1"/>
  <c r="Y475" i="7" s="1"/>
  <c r="AJ478" i="1"/>
  <c r="X475" i="7" s="1"/>
  <c r="AI478" i="1"/>
  <c r="W475" i="7" s="1"/>
  <c r="AH478" i="1"/>
  <c r="V475" i="7" s="1"/>
  <c r="AG478" i="1"/>
  <c r="U475" i="7" s="1"/>
  <c r="AF478" i="1"/>
  <c r="T475" i="7" s="1"/>
  <c r="AE478" i="1"/>
  <c r="S475" i="7" s="1"/>
  <c r="AD478" i="1"/>
  <c r="R475" i="7" s="1"/>
  <c r="AC478" i="1"/>
  <c r="Q475" i="7" s="1"/>
  <c r="AB478" i="1"/>
  <c r="P475" i="7" s="1"/>
  <c r="AA478" i="1"/>
  <c r="O475" i="7" s="1"/>
  <c r="Z478" i="1"/>
  <c r="N475" i="7" s="1"/>
  <c r="Y478" i="1"/>
  <c r="M475" i="7" s="1"/>
  <c r="X478" i="1"/>
  <c r="L475" i="7" s="1"/>
  <c r="W478" i="1"/>
  <c r="K475" i="7" s="1"/>
  <c r="V478" i="1"/>
  <c r="J475" i="7" s="1"/>
  <c r="U478" i="1"/>
  <c r="I475" i="7" s="1"/>
  <c r="T478" i="1"/>
  <c r="H475" i="7" s="1"/>
  <c r="S478" i="1"/>
  <c r="G475" i="7" s="1"/>
  <c r="R478" i="1"/>
  <c r="F475" i="7" s="1"/>
  <c r="M478" i="1"/>
  <c r="CO477" i="1"/>
  <c r="CC474" i="7" s="1"/>
  <c r="CN477" i="1"/>
  <c r="CB474" i="7" s="1"/>
  <c r="CM477" i="1"/>
  <c r="CA474" i="7" s="1"/>
  <c r="CL477" i="1"/>
  <c r="BZ474" i="7" s="1"/>
  <c r="CK477" i="1"/>
  <c r="BY474" i="7" s="1"/>
  <c r="CJ477" i="1"/>
  <c r="BX474" i="7" s="1"/>
  <c r="CD477" i="1"/>
  <c r="BR474" i="7" s="1"/>
  <c r="BS477" i="1"/>
  <c r="BG474" i="7" s="1"/>
  <c r="BR477" i="1"/>
  <c r="BF474" i="7" s="1"/>
  <c r="BQ477" i="1"/>
  <c r="BE474" i="7" s="1"/>
  <c r="BP477" i="1"/>
  <c r="BD474" i="7" s="1"/>
  <c r="BO477" i="1"/>
  <c r="BC474" i="7" s="1"/>
  <c r="BN477" i="1"/>
  <c r="BB474" i="7" s="1"/>
  <c r="BM477" i="1"/>
  <c r="BA474" i="7" s="1"/>
  <c r="BL477" i="1"/>
  <c r="AZ474" i="7" s="1"/>
  <c r="BK477" i="1"/>
  <c r="AY474" i="7" s="1"/>
  <c r="BJ477" i="1"/>
  <c r="AX474" i="7" s="1"/>
  <c r="BI477" i="1"/>
  <c r="AW474" i="7" s="1"/>
  <c r="BH477" i="1"/>
  <c r="AV474" i="7" s="1"/>
  <c r="BG477" i="1"/>
  <c r="AU474" i="7" s="1"/>
  <c r="BF477" i="1"/>
  <c r="AT474" i="7" s="1"/>
  <c r="BE477" i="1"/>
  <c r="AS474" i="7" s="1"/>
  <c r="BD477" i="1"/>
  <c r="AR474" i="7" s="1"/>
  <c r="BC477" i="1"/>
  <c r="AQ474" i="7" s="1"/>
  <c r="BB477" i="1"/>
  <c r="AP474" i="7" s="1"/>
  <c r="BA477" i="1"/>
  <c r="AO474" i="7" s="1"/>
  <c r="AZ477" i="1"/>
  <c r="AN474" i="7" s="1"/>
  <c r="AY477" i="1"/>
  <c r="AM474" i="7" s="1"/>
  <c r="AX477" i="1"/>
  <c r="AL474" i="7" s="1"/>
  <c r="AW477" i="1"/>
  <c r="AK474" i="7" s="1"/>
  <c r="AV477" i="1"/>
  <c r="AJ474" i="7" s="1"/>
  <c r="AU477" i="1"/>
  <c r="AI474" i="7" s="1"/>
  <c r="AT477" i="1"/>
  <c r="AH474" i="7" s="1"/>
  <c r="AS477" i="1"/>
  <c r="AG474" i="7" s="1"/>
  <c r="AR477" i="1"/>
  <c r="AF474" i="7" s="1"/>
  <c r="AQ477" i="1"/>
  <c r="AE474" i="7" s="1"/>
  <c r="AP477" i="1"/>
  <c r="AD474" i="7" s="1"/>
  <c r="AO477" i="1"/>
  <c r="AC474" i="7" s="1"/>
  <c r="AN477" i="1"/>
  <c r="AB474" i="7" s="1"/>
  <c r="AM477" i="1"/>
  <c r="AA474" i="7" s="1"/>
  <c r="AL477" i="1"/>
  <c r="Z474" i="7" s="1"/>
  <c r="AK477" i="1"/>
  <c r="Y474" i="7" s="1"/>
  <c r="AJ477" i="1"/>
  <c r="X474" i="7" s="1"/>
  <c r="AI477" i="1"/>
  <c r="W474" i="7" s="1"/>
  <c r="AH477" i="1"/>
  <c r="V474" i="7" s="1"/>
  <c r="AG477" i="1"/>
  <c r="U474" i="7" s="1"/>
  <c r="AF477" i="1"/>
  <c r="T474" i="7" s="1"/>
  <c r="AE477" i="1"/>
  <c r="S474" i="7" s="1"/>
  <c r="AD477" i="1"/>
  <c r="R474" i="7" s="1"/>
  <c r="AC477" i="1"/>
  <c r="Q474" i="7" s="1"/>
  <c r="AB477" i="1"/>
  <c r="P474" i="7" s="1"/>
  <c r="AA477" i="1"/>
  <c r="O474" i="7" s="1"/>
  <c r="Z477" i="1"/>
  <c r="N474" i="7" s="1"/>
  <c r="Y477" i="1"/>
  <c r="M474" i="7" s="1"/>
  <c r="X477" i="1"/>
  <c r="L474" i="7" s="1"/>
  <c r="W477" i="1"/>
  <c r="K474" i="7" s="1"/>
  <c r="V477" i="1"/>
  <c r="J474" i="7" s="1"/>
  <c r="U477" i="1"/>
  <c r="I474" i="7" s="1"/>
  <c r="T477" i="1"/>
  <c r="H474" i="7" s="1"/>
  <c r="S477" i="1"/>
  <c r="G474" i="7" s="1"/>
  <c r="R477" i="1"/>
  <c r="F474" i="7" s="1"/>
  <c r="O477" i="1"/>
  <c r="O476" i="1"/>
  <c r="CC473" i="1" s="1"/>
  <c r="BQ470" i="7" s="1"/>
  <c r="M476" i="1"/>
  <c r="M475" i="1"/>
  <c r="CO474" i="1"/>
  <c r="CC471" i="7" s="1"/>
  <c r="CN474" i="1"/>
  <c r="CB471" i="7" s="1"/>
  <c r="CM474" i="1"/>
  <c r="CA471" i="7" s="1"/>
  <c r="CL474" i="1"/>
  <c r="BZ471" i="7" s="1"/>
  <c r="CK474" i="1"/>
  <c r="BY471" i="7" s="1"/>
  <c r="CJ474" i="1"/>
  <c r="BX471" i="7" s="1"/>
  <c r="CI474" i="1"/>
  <c r="BW471" i="7" s="1"/>
  <c r="CH474" i="1"/>
  <c r="BV471" i="7" s="1"/>
  <c r="CG474" i="1"/>
  <c r="BU471" i="7" s="1"/>
  <c r="CF474" i="1"/>
  <c r="BT471" i="7" s="1"/>
  <c r="CE474" i="1"/>
  <c r="BS471" i="7" s="1"/>
  <c r="CD474" i="1"/>
  <c r="BR471" i="7" s="1"/>
  <c r="CC474" i="1"/>
  <c r="BQ471" i="7" s="1"/>
  <c r="CB474" i="1"/>
  <c r="BP471" i="7" s="1"/>
  <c r="CA474" i="1"/>
  <c r="BO471" i="7" s="1"/>
  <c r="BZ474" i="1"/>
  <c r="BN471" i="7" s="1"/>
  <c r="BY474" i="1"/>
  <c r="BM471" i="7" s="1"/>
  <c r="BX474" i="1"/>
  <c r="BL471" i="7" s="1"/>
  <c r="BW474" i="1"/>
  <c r="BK471" i="7" s="1"/>
  <c r="BV474" i="1"/>
  <c r="BJ471" i="7" s="1"/>
  <c r="BU474" i="1"/>
  <c r="BI471" i="7" s="1"/>
  <c r="BT474" i="1"/>
  <c r="BH471" i="7" s="1"/>
  <c r="BS474" i="1"/>
  <c r="BG471" i="7" s="1"/>
  <c r="BR474" i="1"/>
  <c r="BF471" i="7" s="1"/>
  <c r="BQ474" i="1"/>
  <c r="BE471" i="7" s="1"/>
  <c r="BP474" i="1"/>
  <c r="BD471" i="7" s="1"/>
  <c r="BO474" i="1"/>
  <c r="BC471" i="7" s="1"/>
  <c r="BN474" i="1"/>
  <c r="BB471" i="7" s="1"/>
  <c r="BM474" i="1"/>
  <c r="BA471" i="7" s="1"/>
  <c r="BL474" i="1"/>
  <c r="AZ471" i="7" s="1"/>
  <c r="BK474" i="1"/>
  <c r="AY471" i="7" s="1"/>
  <c r="BJ474" i="1"/>
  <c r="AX471" i="7" s="1"/>
  <c r="BI474" i="1"/>
  <c r="AW471" i="7" s="1"/>
  <c r="BH474" i="1"/>
  <c r="AV471" i="7" s="1"/>
  <c r="BG474" i="1"/>
  <c r="AU471" i="7" s="1"/>
  <c r="BF474" i="1"/>
  <c r="AT471" i="7" s="1"/>
  <c r="BE474" i="1"/>
  <c r="AS471" i="7" s="1"/>
  <c r="BD474" i="1"/>
  <c r="AR471" i="7" s="1"/>
  <c r="BC474" i="1"/>
  <c r="AQ471" i="7" s="1"/>
  <c r="BB474" i="1"/>
  <c r="AP471" i="7" s="1"/>
  <c r="BA474" i="1"/>
  <c r="AO471" i="7" s="1"/>
  <c r="AZ474" i="1"/>
  <c r="AN471" i="7" s="1"/>
  <c r="AY474" i="1"/>
  <c r="AM471" i="7" s="1"/>
  <c r="AX474" i="1"/>
  <c r="AL471" i="7" s="1"/>
  <c r="AW474" i="1"/>
  <c r="AK471" i="7" s="1"/>
  <c r="AV474" i="1"/>
  <c r="AJ471" i="7" s="1"/>
  <c r="AU474" i="1"/>
  <c r="AI471" i="7" s="1"/>
  <c r="AT474" i="1"/>
  <c r="AH471" i="7" s="1"/>
  <c r="AS474" i="1"/>
  <c r="AG471" i="7" s="1"/>
  <c r="AR474" i="1"/>
  <c r="AF471" i="7" s="1"/>
  <c r="AQ474" i="1"/>
  <c r="AE471" i="7" s="1"/>
  <c r="AP474" i="1"/>
  <c r="AD471" i="7" s="1"/>
  <c r="AO474" i="1"/>
  <c r="AC471" i="7" s="1"/>
  <c r="AN474" i="1"/>
  <c r="AB471" i="7" s="1"/>
  <c r="AM474" i="1"/>
  <c r="AA471" i="7" s="1"/>
  <c r="AL474" i="1"/>
  <c r="Z471" i="7" s="1"/>
  <c r="AK474" i="1"/>
  <c r="Y471" i="7" s="1"/>
  <c r="AJ474" i="1"/>
  <c r="X471" i="7" s="1"/>
  <c r="AI474" i="1"/>
  <c r="W471" i="7" s="1"/>
  <c r="AH474" i="1"/>
  <c r="V471" i="7" s="1"/>
  <c r="AG474" i="1"/>
  <c r="U471" i="7" s="1"/>
  <c r="AF474" i="1"/>
  <c r="T471" i="7" s="1"/>
  <c r="AE474" i="1"/>
  <c r="S471" i="7" s="1"/>
  <c r="AD474" i="1"/>
  <c r="R471" i="7" s="1"/>
  <c r="AC474" i="1"/>
  <c r="Q471" i="7" s="1"/>
  <c r="AB474" i="1"/>
  <c r="P471" i="7" s="1"/>
  <c r="AA474" i="1"/>
  <c r="O471" i="7" s="1"/>
  <c r="Z474" i="1"/>
  <c r="N471" i="7" s="1"/>
  <c r="Y474" i="1"/>
  <c r="M471" i="7" s="1"/>
  <c r="X474" i="1"/>
  <c r="L471" i="7" s="1"/>
  <c r="W474" i="1"/>
  <c r="K471" i="7" s="1"/>
  <c r="V474" i="1"/>
  <c r="J471" i="7" s="1"/>
  <c r="U474" i="1"/>
  <c r="I471" i="7" s="1"/>
  <c r="T474" i="1"/>
  <c r="H471" i="7" s="1"/>
  <c r="S474" i="1"/>
  <c r="G471" i="7" s="1"/>
  <c r="R474" i="1"/>
  <c r="F471" i="7" s="1"/>
  <c r="CO473" i="1"/>
  <c r="CC470" i="7" s="1"/>
  <c r="CN473" i="1"/>
  <c r="CB470" i="7" s="1"/>
  <c r="CM473" i="1"/>
  <c r="CA470" i="7" s="1"/>
  <c r="CL473" i="1"/>
  <c r="BZ470" i="7" s="1"/>
  <c r="CK473" i="1"/>
  <c r="BY470" i="7" s="1"/>
  <c r="CJ473" i="1"/>
  <c r="BX470" i="7" s="1"/>
  <c r="CI473" i="1"/>
  <c r="BW470" i="7" s="1"/>
  <c r="CH473" i="1"/>
  <c r="BV470" i="7" s="1"/>
  <c r="CG473" i="1"/>
  <c r="BU470" i="7" s="1"/>
  <c r="CF473" i="1"/>
  <c r="BT470" i="7" s="1"/>
  <c r="CE473" i="1"/>
  <c r="BS470" i="7" s="1"/>
  <c r="CD473" i="1"/>
  <c r="BR470" i="7" s="1"/>
  <c r="CB473" i="1"/>
  <c r="BP470" i="7" s="1"/>
  <c r="BZ473" i="1"/>
  <c r="BN470" i="7" s="1"/>
  <c r="BX473" i="1"/>
  <c r="BL470" i="7" s="1"/>
  <c r="BW473" i="1"/>
  <c r="BK470" i="7" s="1"/>
  <c r="BV473" i="1"/>
  <c r="BJ470" i="7" s="1"/>
  <c r="BU473" i="1"/>
  <c r="BI470" i="7" s="1"/>
  <c r="BT473" i="1"/>
  <c r="BH470" i="7" s="1"/>
  <c r="BS473" i="1"/>
  <c r="BG470" i="7" s="1"/>
  <c r="BR473" i="1"/>
  <c r="BF470" i="7" s="1"/>
  <c r="BQ473" i="1"/>
  <c r="BE470" i="7" s="1"/>
  <c r="BP473" i="1"/>
  <c r="BD470" i="7" s="1"/>
  <c r="BO473" i="1"/>
  <c r="BC470" i="7" s="1"/>
  <c r="BN473" i="1"/>
  <c r="BB470" i="7" s="1"/>
  <c r="BM473" i="1"/>
  <c r="BA470" i="7" s="1"/>
  <c r="BL473" i="1"/>
  <c r="AZ470" i="7" s="1"/>
  <c r="BK473" i="1"/>
  <c r="AY470" i="7" s="1"/>
  <c r="BJ473" i="1"/>
  <c r="AX470" i="7" s="1"/>
  <c r="BI473" i="1"/>
  <c r="AW470" i="7" s="1"/>
  <c r="BH473" i="1"/>
  <c r="AV470" i="7" s="1"/>
  <c r="BG473" i="1"/>
  <c r="AU470" i="7" s="1"/>
  <c r="BF473" i="1"/>
  <c r="AT470" i="7" s="1"/>
  <c r="BE473" i="1"/>
  <c r="AS470" i="7" s="1"/>
  <c r="BD473" i="1"/>
  <c r="AR470" i="7" s="1"/>
  <c r="BC473" i="1"/>
  <c r="AQ470" i="7" s="1"/>
  <c r="BB473" i="1"/>
  <c r="AP470" i="7" s="1"/>
  <c r="BA473" i="1"/>
  <c r="AO470" i="7" s="1"/>
  <c r="AZ473" i="1"/>
  <c r="AN470" i="7" s="1"/>
  <c r="AY473" i="1"/>
  <c r="AM470" i="7" s="1"/>
  <c r="AX473" i="1"/>
  <c r="AL470" i="7" s="1"/>
  <c r="AW473" i="1"/>
  <c r="AK470" i="7" s="1"/>
  <c r="AV473" i="1"/>
  <c r="AJ470" i="7" s="1"/>
  <c r="AU473" i="1"/>
  <c r="AI470" i="7" s="1"/>
  <c r="AT473" i="1"/>
  <c r="AH470" i="7" s="1"/>
  <c r="AS473" i="1"/>
  <c r="AG470" i="7" s="1"/>
  <c r="AR473" i="1"/>
  <c r="AF470" i="7" s="1"/>
  <c r="AQ473" i="1"/>
  <c r="AE470" i="7" s="1"/>
  <c r="AP473" i="1"/>
  <c r="AD470" i="7" s="1"/>
  <c r="AO473" i="1"/>
  <c r="AC470" i="7" s="1"/>
  <c r="AN473" i="1"/>
  <c r="AB470" i="7" s="1"/>
  <c r="AM473" i="1"/>
  <c r="AA470" i="7" s="1"/>
  <c r="AL473" i="1"/>
  <c r="Z470" i="7" s="1"/>
  <c r="AK473" i="1"/>
  <c r="Y470" i="7" s="1"/>
  <c r="AJ473" i="1"/>
  <c r="X470" i="7" s="1"/>
  <c r="AI473" i="1"/>
  <c r="W470" i="7" s="1"/>
  <c r="AH473" i="1"/>
  <c r="V470" i="7" s="1"/>
  <c r="AG473" i="1"/>
  <c r="U470" i="7" s="1"/>
  <c r="AF473" i="1"/>
  <c r="T470" i="7" s="1"/>
  <c r="AE473" i="1"/>
  <c r="S470" i="7" s="1"/>
  <c r="AD473" i="1"/>
  <c r="R470" i="7" s="1"/>
  <c r="AC473" i="1"/>
  <c r="Q470" i="7" s="1"/>
  <c r="AB473" i="1"/>
  <c r="P470" i="7" s="1"/>
  <c r="AA473" i="1"/>
  <c r="O470" i="7" s="1"/>
  <c r="Z473" i="1"/>
  <c r="N470" i="7" s="1"/>
  <c r="Y473" i="1"/>
  <c r="M470" i="7" s="1"/>
  <c r="X473" i="1"/>
  <c r="L470" i="7" s="1"/>
  <c r="W473" i="1"/>
  <c r="K470" i="7" s="1"/>
  <c r="V473" i="1"/>
  <c r="J470" i="7" s="1"/>
  <c r="U473" i="1"/>
  <c r="I470" i="7" s="1"/>
  <c r="T473" i="1"/>
  <c r="H470" i="7" s="1"/>
  <c r="S473" i="1"/>
  <c r="G470" i="7" s="1"/>
  <c r="R473" i="1"/>
  <c r="F470" i="7" s="1"/>
  <c r="O473" i="1"/>
  <c r="O474" i="1" s="1"/>
  <c r="O472" i="1"/>
  <c r="CG469" i="1" s="1"/>
  <c r="BU466" i="7" s="1"/>
  <c r="M472" i="1"/>
  <c r="M471" i="1"/>
  <c r="CO470" i="1"/>
  <c r="CC467" i="7" s="1"/>
  <c r="CN470" i="1"/>
  <c r="CB467" i="7" s="1"/>
  <c r="CM470" i="1"/>
  <c r="CA467" i="7" s="1"/>
  <c r="CL470" i="1"/>
  <c r="BZ467" i="7" s="1"/>
  <c r="CK470" i="1"/>
  <c r="BY467" i="7" s="1"/>
  <c r="CJ470" i="1"/>
  <c r="BX467" i="7" s="1"/>
  <c r="CI470" i="1"/>
  <c r="BW467" i="7" s="1"/>
  <c r="CH470" i="1"/>
  <c r="BV467" i="7" s="1"/>
  <c r="CG470" i="1"/>
  <c r="BU467" i="7" s="1"/>
  <c r="CF470" i="1"/>
  <c r="BT467" i="7" s="1"/>
  <c r="CE470" i="1"/>
  <c r="BS467" i="7" s="1"/>
  <c r="CD470" i="1"/>
  <c r="BR467" i="7" s="1"/>
  <c r="CC470" i="1"/>
  <c r="BQ467" i="7" s="1"/>
  <c r="CB470" i="1"/>
  <c r="BP467" i="7" s="1"/>
  <c r="CA470" i="1"/>
  <c r="BO467" i="7" s="1"/>
  <c r="BZ470" i="1"/>
  <c r="BN467" i="7" s="1"/>
  <c r="BY470" i="1"/>
  <c r="BM467" i="7" s="1"/>
  <c r="BX470" i="1"/>
  <c r="BL467" i="7" s="1"/>
  <c r="BW470" i="1"/>
  <c r="BK467" i="7" s="1"/>
  <c r="BV470" i="1"/>
  <c r="BJ467" i="7" s="1"/>
  <c r="BU470" i="1"/>
  <c r="BI467" i="7" s="1"/>
  <c r="BT470" i="1"/>
  <c r="BH467" i="7" s="1"/>
  <c r="BS470" i="1"/>
  <c r="BG467" i="7" s="1"/>
  <c r="BR470" i="1"/>
  <c r="BF467" i="7" s="1"/>
  <c r="BQ470" i="1"/>
  <c r="BE467" i="7" s="1"/>
  <c r="BP470" i="1"/>
  <c r="BD467" i="7" s="1"/>
  <c r="BO470" i="1"/>
  <c r="BC467" i="7" s="1"/>
  <c r="BN470" i="1"/>
  <c r="BB467" i="7" s="1"/>
  <c r="BM470" i="1"/>
  <c r="BA467" i="7" s="1"/>
  <c r="BL470" i="1"/>
  <c r="AZ467" i="7" s="1"/>
  <c r="BK470" i="1"/>
  <c r="AY467" i="7" s="1"/>
  <c r="BJ470" i="1"/>
  <c r="AX467" i="7" s="1"/>
  <c r="BI470" i="1"/>
  <c r="AW467" i="7" s="1"/>
  <c r="BH470" i="1"/>
  <c r="AV467" i="7" s="1"/>
  <c r="BG470" i="1"/>
  <c r="AU467" i="7" s="1"/>
  <c r="BF470" i="1"/>
  <c r="AT467" i="7" s="1"/>
  <c r="BE470" i="1"/>
  <c r="AS467" i="7" s="1"/>
  <c r="BD470" i="1"/>
  <c r="AR467" i="7" s="1"/>
  <c r="BC470" i="1"/>
  <c r="AQ467" i="7" s="1"/>
  <c r="BB470" i="1"/>
  <c r="AP467" i="7" s="1"/>
  <c r="BA470" i="1"/>
  <c r="AO467" i="7" s="1"/>
  <c r="AZ470" i="1"/>
  <c r="AN467" i="7" s="1"/>
  <c r="AY470" i="1"/>
  <c r="AM467" i="7" s="1"/>
  <c r="AX470" i="1"/>
  <c r="AL467" i="7" s="1"/>
  <c r="AW470" i="1"/>
  <c r="AK467" i="7" s="1"/>
  <c r="AV470" i="1"/>
  <c r="AJ467" i="7" s="1"/>
  <c r="AU470" i="1"/>
  <c r="AI467" i="7" s="1"/>
  <c r="AT470" i="1"/>
  <c r="AH467" i="7" s="1"/>
  <c r="AS470" i="1"/>
  <c r="AG467" i="7" s="1"/>
  <c r="AR470" i="1"/>
  <c r="AF467" i="7" s="1"/>
  <c r="AQ470" i="1"/>
  <c r="AE467" i="7" s="1"/>
  <c r="AP470" i="1"/>
  <c r="AD467" i="7" s="1"/>
  <c r="AO470" i="1"/>
  <c r="AC467" i="7" s="1"/>
  <c r="AN470" i="1"/>
  <c r="AB467" i="7" s="1"/>
  <c r="AM470" i="1"/>
  <c r="AA467" i="7" s="1"/>
  <c r="AL470" i="1"/>
  <c r="Z467" i="7" s="1"/>
  <c r="AK470" i="1"/>
  <c r="Y467" i="7" s="1"/>
  <c r="AJ470" i="1"/>
  <c r="X467" i="7" s="1"/>
  <c r="AI470" i="1"/>
  <c r="W467" i="7" s="1"/>
  <c r="AH470" i="1"/>
  <c r="V467" i="7" s="1"/>
  <c r="AG470" i="1"/>
  <c r="U467" i="7" s="1"/>
  <c r="AF470" i="1"/>
  <c r="T467" i="7" s="1"/>
  <c r="AE470" i="1"/>
  <c r="S467" i="7" s="1"/>
  <c r="AD470" i="1"/>
  <c r="R467" i="7" s="1"/>
  <c r="AC470" i="1"/>
  <c r="Q467" i="7" s="1"/>
  <c r="AB470" i="1"/>
  <c r="P467" i="7" s="1"/>
  <c r="AA470" i="1"/>
  <c r="O467" i="7" s="1"/>
  <c r="Z470" i="1"/>
  <c r="N467" i="7" s="1"/>
  <c r="Y470" i="1"/>
  <c r="M467" i="7" s="1"/>
  <c r="X470" i="1"/>
  <c r="L467" i="7" s="1"/>
  <c r="W470" i="1"/>
  <c r="K467" i="7" s="1"/>
  <c r="V470" i="1"/>
  <c r="J467" i="7" s="1"/>
  <c r="U470" i="1"/>
  <c r="I467" i="7" s="1"/>
  <c r="T470" i="1"/>
  <c r="H467" i="7" s="1"/>
  <c r="S470" i="1"/>
  <c r="G467" i="7" s="1"/>
  <c r="R470" i="1"/>
  <c r="F467" i="7" s="1"/>
  <c r="E467" i="7" s="1"/>
  <c r="CO469" i="1"/>
  <c r="CC466" i="7" s="1"/>
  <c r="CN469" i="1"/>
  <c r="CB466" i="7" s="1"/>
  <c r="CM469" i="1"/>
  <c r="CA466" i="7" s="1"/>
  <c r="CL469" i="1"/>
  <c r="BZ466" i="7" s="1"/>
  <c r="CK469" i="1"/>
  <c r="BY466" i="7" s="1"/>
  <c r="CJ469" i="1"/>
  <c r="BX466" i="7" s="1"/>
  <c r="CF469" i="1"/>
  <c r="BT466" i="7" s="1"/>
  <c r="CB469" i="1"/>
  <c r="BP466" i="7" s="1"/>
  <c r="BZ469" i="1"/>
  <c r="BN466" i="7" s="1"/>
  <c r="BY469" i="1"/>
  <c r="BM466" i="7" s="1"/>
  <c r="BX469" i="1"/>
  <c r="BL466" i="7" s="1"/>
  <c r="BW469" i="1"/>
  <c r="BK466" i="7" s="1"/>
  <c r="BV469" i="1"/>
  <c r="BJ466" i="7" s="1"/>
  <c r="BU469" i="1"/>
  <c r="BI466" i="7" s="1"/>
  <c r="BT469" i="1"/>
  <c r="BH466" i="7" s="1"/>
  <c r="BS469" i="1"/>
  <c r="BG466" i="7" s="1"/>
  <c r="BR469" i="1"/>
  <c r="BF466" i="7" s="1"/>
  <c r="BQ469" i="1"/>
  <c r="BE466" i="7" s="1"/>
  <c r="BP469" i="1"/>
  <c r="BD466" i="7" s="1"/>
  <c r="BO469" i="1"/>
  <c r="BC466" i="7" s="1"/>
  <c r="BN469" i="1"/>
  <c r="BB466" i="7" s="1"/>
  <c r="BM469" i="1"/>
  <c r="BA466" i="7" s="1"/>
  <c r="BL469" i="1"/>
  <c r="AZ466" i="7" s="1"/>
  <c r="BK469" i="1"/>
  <c r="AY466" i="7" s="1"/>
  <c r="BJ469" i="1"/>
  <c r="AX466" i="7" s="1"/>
  <c r="BI469" i="1"/>
  <c r="AW466" i="7" s="1"/>
  <c r="BH469" i="1"/>
  <c r="AV466" i="7" s="1"/>
  <c r="BG469" i="1"/>
  <c r="AU466" i="7" s="1"/>
  <c r="BF469" i="1"/>
  <c r="AT466" i="7" s="1"/>
  <c r="BE469" i="1"/>
  <c r="AS466" i="7" s="1"/>
  <c r="BD469" i="1"/>
  <c r="AR466" i="7" s="1"/>
  <c r="BC469" i="1"/>
  <c r="AQ466" i="7" s="1"/>
  <c r="BB469" i="1"/>
  <c r="AP466" i="7" s="1"/>
  <c r="BA469" i="1"/>
  <c r="AO466" i="7" s="1"/>
  <c r="AZ469" i="1"/>
  <c r="AN466" i="7" s="1"/>
  <c r="AY469" i="1"/>
  <c r="AM466" i="7" s="1"/>
  <c r="AX469" i="1"/>
  <c r="AL466" i="7" s="1"/>
  <c r="AW469" i="1"/>
  <c r="AK466" i="7" s="1"/>
  <c r="AV469" i="1"/>
  <c r="AJ466" i="7" s="1"/>
  <c r="AU469" i="1"/>
  <c r="AI466" i="7" s="1"/>
  <c r="AT469" i="1"/>
  <c r="AH466" i="7" s="1"/>
  <c r="AS469" i="1"/>
  <c r="AG466" i="7" s="1"/>
  <c r="AR469" i="1"/>
  <c r="AF466" i="7" s="1"/>
  <c r="AQ469" i="1"/>
  <c r="AE466" i="7" s="1"/>
  <c r="AP469" i="1"/>
  <c r="AD466" i="7" s="1"/>
  <c r="AO469" i="1"/>
  <c r="AC466" i="7" s="1"/>
  <c r="AN469" i="1"/>
  <c r="AB466" i="7" s="1"/>
  <c r="AM469" i="1"/>
  <c r="AA466" i="7" s="1"/>
  <c r="AL469" i="1"/>
  <c r="Z466" i="7" s="1"/>
  <c r="AK469" i="1"/>
  <c r="Y466" i="7" s="1"/>
  <c r="AJ469" i="1"/>
  <c r="X466" i="7" s="1"/>
  <c r="AI469" i="1"/>
  <c r="W466" i="7" s="1"/>
  <c r="AH469" i="1"/>
  <c r="V466" i="7" s="1"/>
  <c r="AG469" i="1"/>
  <c r="U466" i="7" s="1"/>
  <c r="AF469" i="1"/>
  <c r="T466" i="7" s="1"/>
  <c r="AE469" i="1"/>
  <c r="S466" i="7" s="1"/>
  <c r="AD469" i="1"/>
  <c r="R466" i="7" s="1"/>
  <c r="AC469" i="1"/>
  <c r="Q466" i="7" s="1"/>
  <c r="AB469" i="1"/>
  <c r="P466" i="7" s="1"/>
  <c r="AA469" i="1"/>
  <c r="O466" i="7" s="1"/>
  <c r="Z469" i="1"/>
  <c r="N466" i="7" s="1"/>
  <c r="Y469" i="1"/>
  <c r="M466" i="7" s="1"/>
  <c r="X469" i="1"/>
  <c r="L466" i="7" s="1"/>
  <c r="W469" i="1"/>
  <c r="K466" i="7" s="1"/>
  <c r="V469" i="1"/>
  <c r="J466" i="7" s="1"/>
  <c r="U469" i="1"/>
  <c r="I466" i="7" s="1"/>
  <c r="T469" i="1"/>
  <c r="H466" i="7" s="1"/>
  <c r="S469" i="1"/>
  <c r="G466" i="7" s="1"/>
  <c r="R469" i="1"/>
  <c r="F466" i="7" s="1"/>
  <c r="O469" i="1"/>
  <c r="O470" i="1" s="1"/>
  <c r="O468" i="1"/>
  <c r="BW465" i="1" s="1"/>
  <c r="BK462" i="7" s="1"/>
  <c r="M468" i="1"/>
  <c r="M467" i="1"/>
  <c r="CO466" i="1"/>
  <c r="CC463" i="7" s="1"/>
  <c r="CN466" i="1"/>
  <c r="CB463" i="7" s="1"/>
  <c r="CM466" i="1"/>
  <c r="CA463" i="7" s="1"/>
  <c r="CL466" i="1"/>
  <c r="BZ463" i="7" s="1"/>
  <c r="CK466" i="1"/>
  <c r="BY463" i="7" s="1"/>
  <c r="CJ466" i="1"/>
  <c r="BX463" i="7" s="1"/>
  <c r="CI466" i="1"/>
  <c r="BW463" i="7" s="1"/>
  <c r="CH466" i="1"/>
  <c r="BV463" i="7" s="1"/>
  <c r="CG466" i="1"/>
  <c r="BU463" i="7" s="1"/>
  <c r="CF466" i="1"/>
  <c r="BT463" i="7" s="1"/>
  <c r="CE466" i="1"/>
  <c r="BS463" i="7" s="1"/>
  <c r="CD466" i="1"/>
  <c r="BR463" i="7" s="1"/>
  <c r="CC466" i="1"/>
  <c r="BQ463" i="7" s="1"/>
  <c r="CB466" i="1"/>
  <c r="BP463" i="7" s="1"/>
  <c r="CA466" i="1"/>
  <c r="BO463" i="7" s="1"/>
  <c r="BZ466" i="1"/>
  <c r="BN463" i="7" s="1"/>
  <c r="BY466" i="1"/>
  <c r="BM463" i="7" s="1"/>
  <c r="BX466" i="1"/>
  <c r="BL463" i="7" s="1"/>
  <c r="BW466" i="1"/>
  <c r="BK463" i="7" s="1"/>
  <c r="BV466" i="1"/>
  <c r="BJ463" i="7" s="1"/>
  <c r="BU466" i="1"/>
  <c r="BI463" i="7" s="1"/>
  <c r="BT466" i="1"/>
  <c r="BH463" i="7" s="1"/>
  <c r="BS466" i="1"/>
  <c r="BG463" i="7" s="1"/>
  <c r="BR466" i="1"/>
  <c r="BF463" i="7" s="1"/>
  <c r="BQ466" i="1"/>
  <c r="BE463" i="7" s="1"/>
  <c r="BP466" i="1"/>
  <c r="BD463" i="7" s="1"/>
  <c r="BO466" i="1"/>
  <c r="BC463" i="7" s="1"/>
  <c r="BN466" i="1"/>
  <c r="BB463" i="7" s="1"/>
  <c r="BM466" i="1"/>
  <c r="BA463" i="7" s="1"/>
  <c r="BL466" i="1"/>
  <c r="AZ463" i="7" s="1"/>
  <c r="BK466" i="1"/>
  <c r="AY463" i="7" s="1"/>
  <c r="BJ466" i="1"/>
  <c r="AX463" i="7" s="1"/>
  <c r="BI466" i="1"/>
  <c r="AW463" i="7" s="1"/>
  <c r="BH466" i="1"/>
  <c r="AV463" i="7" s="1"/>
  <c r="BG466" i="1"/>
  <c r="AU463" i="7" s="1"/>
  <c r="BF466" i="1"/>
  <c r="AT463" i="7" s="1"/>
  <c r="BE466" i="1"/>
  <c r="AS463" i="7" s="1"/>
  <c r="BD466" i="1"/>
  <c r="AR463" i="7" s="1"/>
  <c r="BC466" i="1"/>
  <c r="AQ463" i="7" s="1"/>
  <c r="BB466" i="1"/>
  <c r="AP463" i="7" s="1"/>
  <c r="BA466" i="1"/>
  <c r="AO463" i="7" s="1"/>
  <c r="AZ466" i="1"/>
  <c r="AN463" i="7" s="1"/>
  <c r="AY466" i="1"/>
  <c r="AM463" i="7" s="1"/>
  <c r="AX466" i="1"/>
  <c r="AL463" i="7" s="1"/>
  <c r="AW466" i="1"/>
  <c r="AK463" i="7" s="1"/>
  <c r="AV466" i="1"/>
  <c r="AJ463" i="7" s="1"/>
  <c r="AU466" i="1"/>
  <c r="AI463" i="7" s="1"/>
  <c r="AT466" i="1"/>
  <c r="AH463" i="7" s="1"/>
  <c r="AS466" i="1"/>
  <c r="AG463" i="7" s="1"/>
  <c r="AR466" i="1"/>
  <c r="AF463" i="7" s="1"/>
  <c r="AQ466" i="1"/>
  <c r="AE463" i="7" s="1"/>
  <c r="AP466" i="1"/>
  <c r="AD463" i="7" s="1"/>
  <c r="AO466" i="1"/>
  <c r="AC463" i="7" s="1"/>
  <c r="AN466" i="1"/>
  <c r="AB463" i="7" s="1"/>
  <c r="AM466" i="1"/>
  <c r="AA463" i="7" s="1"/>
  <c r="AL466" i="1"/>
  <c r="Z463" i="7" s="1"/>
  <c r="AK466" i="1"/>
  <c r="Y463" i="7" s="1"/>
  <c r="AJ466" i="1"/>
  <c r="X463" i="7" s="1"/>
  <c r="AI466" i="1"/>
  <c r="W463" i="7" s="1"/>
  <c r="AH466" i="1"/>
  <c r="V463" i="7" s="1"/>
  <c r="AG466" i="1"/>
  <c r="U463" i="7" s="1"/>
  <c r="AF466" i="1"/>
  <c r="T463" i="7" s="1"/>
  <c r="AE466" i="1"/>
  <c r="S463" i="7" s="1"/>
  <c r="AD466" i="1"/>
  <c r="R463" i="7" s="1"/>
  <c r="AC466" i="1"/>
  <c r="Q463" i="7" s="1"/>
  <c r="AB466" i="1"/>
  <c r="P463" i="7" s="1"/>
  <c r="AA466" i="1"/>
  <c r="O463" i="7" s="1"/>
  <c r="Z466" i="1"/>
  <c r="N463" i="7" s="1"/>
  <c r="Y466" i="1"/>
  <c r="M463" i="7" s="1"/>
  <c r="X466" i="1"/>
  <c r="L463" i="7" s="1"/>
  <c r="W466" i="1"/>
  <c r="K463" i="7" s="1"/>
  <c r="V466" i="1"/>
  <c r="J463" i="7" s="1"/>
  <c r="U466" i="1"/>
  <c r="I463" i="7" s="1"/>
  <c r="T466" i="1"/>
  <c r="H463" i="7" s="1"/>
  <c r="S466" i="1"/>
  <c r="G463" i="7" s="1"/>
  <c r="R466" i="1"/>
  <c r="F463" i="7" s="1"/>
  <c r="O466" i="1"/>
  <c r="CO465" i="1"/>
  <c r="CC462" i="7" s="1"/>
  <c r="CN465" i="1"/>
  <c r="CB462" i="7" s="1"/>
  <c r="CM465" i="1"/>
  <c r="CA462" i="7" s="1"/>
  <c r="CL465" i="1"/>
  <c r="BZ462" i="7" s="1"/>
  <c r="CK465" i="1"/>
  <c r="BY462" i="7" s="1"/>
  <c r="CJ465" i="1"/>
  <c r="BX462" i="7" s="1"/>
  <c r="CI465" i="1"/>
  <c r="BW462" i="7" s="1"/>
  <c r="CH465" i="1"/>
  <c r="BV462" i="7" s="1"/>
  <c r="CG465" i="1"/>
  <c r="BU462" i="7" s="1"/>
  <c r="CF465" i="1"/>
  <c r="BT462" i="7" s="1"/>
  <c r="CE465" i="1"/>
  <c r="BS462" i="7" s="1"/>
  <c r="CD465" i="1"/>
  <c r="BR462" i="7" s="1"/>
  <c r="CC465" i="1"/>
  <c r="BQ462" i="7" s="1"/>
  <c r="CB465" i="1"/>
  <c r="BP462" i="7" s="1"/>
  <c r="CA465" i="1"/>
  <c r="BO462" i="7" s="1"/>
  <c r="BZ465" i="1"/>
  <c r="BN462" i="7" s="1"/>
  <c r="BY465" i="1"/>
  <c r="BM462" i="7" s="1"/>
  <c r="BX465" i="1"/>
  <c r="BL462" i="7" s="1"/>
  <c r="BV465" i="1"/>
  <c r="BJ462" i="7" s="1"/>
  <c r="BU465" i="1"/>
  <c r="BI462" i="7" s="1"/>
  <c r="BT465" i="1"/>
  <c r="BH462" i="7" s="1"/>
  <c r="BR465" i="1"/>
  <c r="BF462" i="7" s="1"/>
  <c r="BQ465" i="1"/>
  <c r="BE462" i="7" s="1"/>
  <c r="BP465" i="1"/>
  <c r="BD462" i="7" s="1"/>
  <c r="BO465" i="1"/>
  <c r="BC462" i="7" s="1"/>
  <c r="BN465" i="1"/>
  <c r="BB462" i="7" s="1"/>
  <c r="BM465" i="1"/>
  <c r="BA462" i="7" s="1"/>
  <c r="BL465" i="1"/>
  <c r="AZ462" i="7" s="1"/>
  <c r="BK465" i="1"/>
  <c r="AY462" i="7" s="1"/>
  <c r="BJ465" i="1"/>
  <c r="AX462" i="7" s="1"/>
  <c r="BI465" i="1"/>
  <c r="AW462" i="7" s="1"/>
  <c r="BH465" i="1"/>
  <c r="AV462" i="7" s="1"/>
  <c r="BG465" i="1"/>
  <c r="AU462" i="7" s="1"/>
  <c r="BF465" i="1"/>
  <c r="AT462" i="7" s="1"/>
  <c r="BE465" i="1"/>
  <c r="AS462" i="7" s="1"/>
  <c r="BD465" i="1"/>
  <c r="AR462" i="7" s="1"/>
  <c r="BC465" i="1"/>
  <c r="AQ462" i="7" s="1"/>
  <c r="BB465" i="1"/>
  <c r="AP462" i="7" s="1"/>
  <c r="BA465" i="1"/>
  <c r="AO462" i="7" s="1"/>
  <c r="AZ465" i="1"/>
  <c r="AN462" i="7" s="1"/>
  <c r="AY465" i="1"/>
  <c r="AM462" i="7" s="1"/>
  <c r="AX465" i="1"/>
  <c r="AL462" i="7" s="1"/>
  <c r="AW465" i="1"/>
  <c r="AK462" i="7" s="1"/>
  <c r="AV465" i="1"/>
  <c r="AJ462" i="7" s="1"/>
  <c r="AU465" i="1"/>
  <c r="AI462" i="7" s="1"/>
  <c r="AT465" i="1"/>
  <c r="AH462" i="7" s="1"/>
  <c r="AS465" i="1"/>
  <c r="AG462" i="7" s="1"/>
  <c r="AR465" i="1"/>
  <c r="AF462" i="7" s="1"/>
  <c r="AQ465" i="1"/>
  <c r="AE462" i="7" s="1"/>
  <c r="AP465" i="1"/>
  <c r="AD462" i="7" s="1"/>
  <c r="AO465" i="1"/>
  <c r="AC462" i="7" s="1"/>
  <c r="AN465" i="1"/>
  <c r="AB462" i="7" s="1"/>
  <c r="AM465" i="1"/>
  <c r="AA462" i="7" s="1"/>
  <c r="AL465" i="1"/>
  <c r="Z462" i="7" s="1"/>
  <c r="AK465" i="1"/>
  <c r="Y462" i="7" s="1"/>
  <c r="AJ465" i="1"/>
  <c r="X462" i="7" s="1"/>
  <c r="AI465" i="1"/>
  <c r="W462" i="7" s="1"/>
  <c r="AH465" i="1"/>
  <c r="V462" i="7" s="1"/>
  <c r="AG465" i="1"/>
  <c r="U462" i="7" s="1"/>
  <c r="AF465" i="1"/>
  <c r="T462" i="7" s="1"/>
  <c r="AE465" i="1"/>
  <c r="S462" i="7" s="1"/>
  <c r="AD465" i="1"/>
  <c r="R462" i="7" s="1"/>
  <c r="AC465" i="1"/>
  <c r="Q462" i="7" s="1"/>
  <c r="AB465" i="1"/>
  <c r="P462" i="7" s="1"/>
  <c r="AA465" i="1"/>
  <c r="O462" i="7" s="1"/>
  <c r="Z465" i="1"/>
  <c r="N462" i="7" s="1"/>
  <c r="Y465" i="1"/>
  <c r="M462" i="7" s="1"/>
  <c r="X465" i="1"/>
  <c r="L462" i="7" s="1"/>
  <c r="W465" i="1"/>
  <c r="K462" i="7" s="1"/>
  <c r="V465" i="1"/>
  <c r="J462" i="7" s="1"/>
  <c r="U465" i="1"/>
  <c r="I462" i="7" s="1"/>
  <c r="T465" i="1"/>
  <c r="H462" i="7" s="1"/>
  <c r="S465" i="1"/>
  <c r="G462" i="7" s="1"/>
  <c r="R465" i="1"/>
  <c r="F462" i="7" s="1"/>
  <c r="O465" i="1"/>
  <c r="CO464" i="1"/>
  <c r="CC461" i="7" s="1"/>
  <c r="CN464" i="1"/>
  <c r="CB461" i="7" s="1"/>
  <c r="CM464" i="1"/>
  <c r="CA461" i="7" s="1"/>
  <c r="CL464" i="1"/>
  <c r="BZ461" i="7" s="1"/>
  <c r="CK464" i="1"/>
  <c r="BY461" i="7" s="1"/>
  <c r="CJ464" i="1"/>
  <c r="BX461" i="7" s="1"/>
  <c r="CI464" i="1"/>
  <c r="BW461" i="7" s="1"/>
  <c r="CH464" i="1"/>
  <c r="BV461" i="7" s="1"/>
  <c r="CG464" i="1"/>
  <c r="BU461" i="7" s="1"/>
  <c r="CF464" i="1"/>
  <c r="BT461" i="7" s="1"/>
  <c r="CE464" i="1"/>
  <c r="BS461" i="7" s="1"/>
  <c r="CD464" i="1"/>
  <c r="BR461" i="7" s="1"/>
  <c r="CC464" i="1"/>
  <c r="BQ461" i="7" s="1"/>
  <c r="CB464" i="1"/>
  <c r="BP461" i="7" s="1"/>
  <c r="CA464" i="1"/>
  <c r="BO461" i="7" s="1"/>
  <c r="BZ464" i="1"/>
  <c r="BN461" i="7" s="1"/>
  <c r="BY464" i="1"/>
  <c r="BM461" i="7" s="1"/>
  <c r="BX464" i="1"/>
  <c r="BL461" i="7" s="1"/>
  <c r="BW464" i="1"/>
  <c r="BK461" i="7" s="1"/>
  <c r="BV464" i="1"/>
  <c r="BJ461" i="7" s="1"/>
  <c r="BU464" i="1"/>
  <c r="BI461" i="7" s="1"/>
  <c r="BT464" i="1"/>
  <c r="BH461" i="7" s="1"/>
  <c r="BS464" i="1"/>
  <c r="BG461" i="7" s="1"/>
  <c r="BR464" i="1"/>
  <c r="BF461" i="7" s="1"/>
  <c r="BQ464" i="1"/>
  <c r="BE461" i="7" s="1"/>
  <c r="BP464" i="1"/>
  <c r="BD461" i="7" s="1"/>
  <c r="BO464" i="1"/>
  <c r="BC461" i="7" s="1"/>
  <c r="BN464" i="1"/>
  <c r="BB461" i="7" s="1"/>
  <c r="BM464" i="1"/>
  <c r="BA461" i="7" s="1"/>
  <c r="BL464" i="1"/>
  <c r="AZ461" i="7" s="1"/>
  <c r="BK464" i="1"/>
  <c r="AY461" i="7" s="1"/>
  <c r="BJ464" i="1"/>
  <c r="AX461" i="7" s="1"/>
  <c r="BI464" i="1"/>
  <c r="AW461" i="7" s="1"/>
  <c r="BH464" i="1"/>
  <c r="AV461" i="7" s="1"/>
  <c r="BG464" i="1"/>
  <c r="AU461" i="7" s="1"/>
  <c r="BF464" i="1"/>
  <c r="AT461" i="7" s="1"/>
  <c r="BE464" i="1"/>
  <c r="AS461" i="7" s="1"/>
  <c r="BD464" i="1"/>
  <c r="AR461" i="7" s="1"/>
  <c r="BC464" i="1"/>
  <c r="AQ461" i="7" s="1"/>
  <c r="BB464" i="1"/>
  <c r="AP461" i="7" s="1"/>
  <c r="BA464" i="1"/>
  <c r="AO461" i="7" s="1"/>
  <c r="AZ464" i="1"/>
  <c r="AN461" i="7" s="1"/>
  <c r="AY464" i="1"/>
  <c r="AM461" i="7" s="1"/>
  <c r="AX464" i="1"/>
  <c r="AL461" i="7" s="1"/>
  <c r="AW464" i="1"/>
  <c r="AK461" i="7" s="1"/>
  <c r="AV464" i="1"/>
  <c r="AJ461" i="7" s="1"/>
  <c r="AU464" i="1"/>
  <c r="AI461" i="7" s="1"/>
  <c r="AT464" i="1"/>
  <c r="AH461" i="7" s="1"/>
  <c r="AS464" i="1"/>
  <c r="AG461" i="7" s="1"/>
  <c r="AR464" i="1"/>
  <c r="AF461" i="7" s="1"/>
  <c r="AQ464" i="1"/>
  <c r="AE461" i="7" s="1"/>
  <c r="AP464" i="1"/>
  <c r="AD461" i="7" s="1"/>
  <c r="AO464" i="1"/>
  <c r="AC461" i="7" s="1"/>
  <c r="AN464" i="1"/>
  <c r="AB461" i="7" s="1"/>
  <c r="AM464" i="1"/>
  <c r="AA461" i="7" s="1"/>
  <c r="AL464" i="1"/>
  <c r="Z461" i="7" s="1"/>
  <c r="AK464" i="1"/>
  <c r="Y461" i="7" s="1"/>
  <c r="AJ464" i="1"/>
  <c r="X461" i="7" s="1"/>
  <c r="AI464" i="1"/>
  <c r="W461" i="7" s="1"/>
  <c r="AH464" i="1"/>
  <c r="V461" i="7" s="1"/>
  <c r="AG464" i="1"/>
  <c r="U461" i="7" s="1"/>
  <c r="AF464" i="1"/>
  <c r="T461" i="7" s="1"/>
  <c r="AE464" i="1"/>
  <c r="S461" i="7" s="1"/>
  <c r="AD464" i="1"/>
  <c r="R461" i="7" s="1"/>
  <c r="AC464" i="1"/>
  <c r="Q461" i="7" s="1"/>
  <c r="AB464" i="1"/>
  <c r="P461" i="7" s="1"/>
  <c r="AA464" i="1"/>
  <c r="O461" i="7" s="1"/>
  <c r="Z464" i="1"/>
  <c r="N461" i="7" s="1"/>
  <c r="Y464" i="1"/>
  <c r="M461" i="7" s="1"/>
  <c r="X464" i="1"/>
  <c r="L461" i="7" s="1"/>
  <c r="W464" i="1"/>
  <c r="K461" i="7" s="1"/>
  <c r="V464" i="1"/>
  <c r="J461" i="7" s="1"/>
  <c r="U464" i="1"/>
  <c r="I461" i="7" s="1"/>
  <c r="T464" i="1"/>
  <c r="H461" i="7" s="1"/>
  <c r="S464" i="1"/>
  <c r="G461" i="7" s="1"/>
  <c r="R464" i="1"/>
  <c r="F461" i="7" s="1"/>
  <c r="O464" i="1"/>
  <c r="CO463" i="1"/>
  <c r="CC460" i="7" s="1"/>
  <c r="CN463" i="1"/>
  <c r="CB460" i="7" s="1"/>
  <c r="CM463" i="1"/>
  <c r="CA460" i="7" s="1"/>
  <c r="CL463" i="1"/>
  <c r="BZ460" i="7" s="1"/>
  <c r="CK463" i="1"/>
  <c r="BY460" i="7" s="1"/>
  <c r="CJ463" i="1"/>
  <c r="BX460" i="7" s="1"/>
  <c r="BQ463" i="1"/>
  <c r="BE460" i="7" s="1"/>
  <c r="BP463" i="1"/>
  <c r="BD460" i="7" s="1"/>
  <c r="BO463" i="1"/>
  <c r="BC460" i="7" s="1"/>
  <c r="BN463" i="1"/>
  <c r="BB460" i="7" s="1"/>
  <c r="BM463" i="1"/>
  <c r="BA460" i="7" s="1"/>
  <c r="BL463" i="1"/>
  <c r="AZ460" i="7" s="1"/>
  <c r="BK463" i="1"/>
  <c r="AY460" i="7" s="1"/>
  <c r="BJ463" i="1"/>
  <c r="AX460" i="7" s="1"/>
  <c r="BI463" i="1"/>
  <c r="AW460" i="7" s="1"/>
  <c r="BH463" i="1"/>
  <c r="AV460" i="7" s="1"/>
  <c r="BG463" i="1"/>
  <c r="AU460" i="7" s="1"/>
  <c r="BF463" i="1"/>
  <c r="AT460" i="7" s="1"/>
  <c r="BE463" i="1"/>
  <c r="AS460" i="7" s="1"/>
  <c r="BD463" i="1"/>
  <c r="AR460" i="7" s="1"/>
  <c r="BC463" i="1"/>
  <c r="AQ460" i="7" s="1"/>
  <c r="BB463" i="1"/>
  <c r="AP460" i="7" s="1"/>
  <c r="BA463" i="1"/>
  <c r="AO460" i="7" s="1"/>
  <c r="AZ463" i="1"/>
  <c r="AN460" i="7" s="1"/>
  <c r="AY463" i="1"/>
  <c r="AM460" i="7" s="1"/>
  <c r="AX463" i="1"/>
  <c r="AL460" i="7" s="1"/>
  <c r="AW463" i="1"/>
  <c r="AK460" i="7" s="1"/>
  <c r="AV463" i="1"/>
  <c r="AJ460" i="7" s="1"/>
  <c r="AU463" i="1"/>
  <c r="AI460" i="7" s="1"/>
  <c r="AT463" i="1"/>
  <c r="AH460" i="7" s="1"/>
  <c r="AS463" i="1"/>
  <c r="AG460" i="7" s="1"/>
  <c r="AR463" i="1"/>
  <c r="AF460" i="7" s="1"/>
  <c r="AQ463" i="1"/>
  <c r="AE460" i="7" s="1"/>
  <c r="AP463" i="1"/>
  <c r="AD460" i="7" s="1"/>
  <c r="AO463" i="1"/>
  <c r="AC460" i="7" s="1"/>
  <c r="AN463" i="1"/>
  <c r="AB460" i="7" s="1"/>
  <c r="AM463" i="1"/>
  <c r="AA460" i="7" s="1"/>
  <c r="AL463" i="1"/>
  <c r="Z460" i="7" s="1"/>
  <c r="AK463" i="1"/>
  <c r="Y460" i="7" s="1"/>
  <c r="AJ463" i="1"/>
  <c r="X460" i="7" s="1"/>
  <c r="AI463" i="1"/>
  <c r="W460" i="7" s="1"/>
  <c r="AH463" i="1"/>
  <c r="V460" i="7" s="1"/>
  <c r="AG463" i="1"/>
  <c r="U460" i="7" s="1"/>
  <c r="AF463" i="1"/>
  <c r="T460" i="7" s="1"/>
  <c r="AE463" i="1"/>
  <c r="S460" i="7" s="1"/>
  <c r="AD463" i="1"/>
  <c r="R460" i="7" s="1"/>
  <c r="AC463" i="1"/>
  <c r="Q460" i="7" s="1"/>
  <c r="AB463" i="1"/>
  <c r="P460" i="7" s="1"/>
  <c r="AA463" i="1"/>
  <c r="O460" i="7" s="1"/>
  <c r="Z463" i="1"/>
  <c r="N460" i="7" s="1"/>
  <c r="Y463" i="1"/>
  <c r="M460" i="7" s="1"/>
  <c r="X463" i="1"/>
  <c r="L460" i="7" s="1"/>
  <c r="W463" i="1"/>
  <c r="K460" i="7" s="1"/>
  <c r="V463" i="1"/>
  <c r="J460" i="7" s="1"/>
  <c r="U463" i="1"/>
  <c r="I460" i="7" s="1"/>
  <c r="T463" i="1"/>
  <c r="H460" i="7" s="1"/>
  <c r="S463" i="1"/>
  <c r="G460" i="7" s="1"/>
  <c r="R463" i="1"/>
  <c r="F460" i="7" s="1"/>
  <c r="O463" i="1"/>
  <c r="O462" i="1"/>
  <c r="M462" i="1"/>
  <c r="M461" i="1"/>
  <c r="O460" i="1"/>
  <c r="M460" i="1"/>
  <c r="M459" i="1"/>
  <c r="O458" i="1"/>
  <c r="BQ449" i="1" s="1"/>
  <c r="BE446" i="7" s="1"/>
  <c r="M458" i="1"/>
  <c r="M457" i="1"/>
  <c r="O456" i="1"/>
  <c r="M456" i="1"/>
  <c r="M455" i="1"/>
  <c r="O454" i="1"/>
  <c r="BM449" i="1" s="1"/>
  <c r="BA446" i="7" s="1"/>
  <c r="M454" i="1"/>
  <c r="M453" i="1"/>
  <c r="O452" i="1"/>
  <c r="M452" i="1"/>
  <c r="M451" i="1"/>
  <c r="CO450" i="1"/>
  <c r="CC447" i="7" s="1"/>
  <c r="CN450" i="1"/>
  <c r="CB447" i="7" s="1"/>
  <c r="CM450" i="1"/>
  <c r="CA447" i="7" s="1"/>
  <c r="CL450" i="1"/>
  <c r="BZ447" i="7" s="1"/>
  <c r="CK450" i="1"/>
  <c r="BY447" i="7" s="1"/>
  <c r="CJ450" i="1"/>
  <c r="BX447" i="7" s="1"/>
  <c r="CI450" i="1"/>
  <c r="BW447" i="7" s="1"/>
  <c r="CH450" i="1"/>
  <c r="BV447" i="7" s="1"/>
  <c r="CG450" i="1"/>
  <c r="BU447" i="7" s="1"/>
  <c r="CF450" i="1"/>
  <c r="BT447" i="7" s="1"/>
  <c r="CE450" i="1"/>
  <c r="BS447" i="7" s="1"/>
  <c r="CD450" i="1"/>
  <c r="BR447" i="7" s="1"/>
  <c r="CC450" i="1"/>
  <c r="BQ447" i="7" s="1"/>
  <c r="CB450" i="1"/>
  <c r="BP447" i="7" s="1"/>
  <c r="CA450" i="1"/>
  <c r="BO447" i="7" s="1"/>
  <c r="BZ450" i="1"/>
  <c r="BN447" i="7" s="1"/>
  <c r="BY450" i="1"/>
  <c r="BM447" i="7" s="1"/>
  <c r="BX450" i="1"/>
  <c r="BL447" i="7" s="1"/>
  <c r="BW450" i="1"/>
  <c r="BK447" i="7" s="1"/>
  <c r="BV450" i="1"/>
  <c r="BJ447" i="7" s="1"/>
  <c r="BU450" i="1"/>
  <c r="BI447" i="7" s="1"/>
  <c r="BT450" i="1"/>
  <c r="BH447" i="7" s="1"/>
  <c r="BS450" i="1"/>
  <c r="BG447" i="7" s="1"/>
  <c r="BR450" i="1"/>
  <c r="BF447" i="7" s="1"/>
  <c r="BQ450" i="1"/>
  <c r="BE447" i="7" s="1"/>
  <c r="BP450" i="1"/>
  <c r="BD447" i="7" s="1"/>
  <c r="BO450" i="1"/>
  <c r="BC447" i="7" s="1"/>
  <c r="BN450" i="1"/>
  <c r="BB447" i="7" s="1"/>
  <c r="BM450" i="1"/>
  <c r="BA447" i="7" s="1"/>
  <c r="BL450" i="1"/>
  <c r="AZ447" i="7" s="1"/>
  <c r="BK450" i="1"/>
  <c r="AY447" i="7" s="1"/>
  <c r="BJ450" i="1"/>
  <c r="AX447" i="7" s="1"/>
  <c r="BI450" i="1"/>
  <c r="AW447" i="7" s="1"/>
  <c r="BH450" i="1"/>
  <c r="AV447" i="7" s="1"/>
  <c r="BG450" i="1"/>
  <c r="AU447" i="7" s="1"/>
  <c r="BF450" i="1"/>
  <c r="AT447" i="7" s="1"/>
  <c r="BE450" i="1"/>
  <c r="AS447" i="7" s="1"/>
  <c r="BD450" i="1"/>
  <c r="AR447" i="7" s="1"/>
  <c r="BC450" i="1"/>
  <c r="AQ447" i="7" s="1"/>
  <c r="BB450" i="1"/>
  <c r="AP447" i="7" s="1"/>
  <c r="BA450" i="1"/>
  <c r="AO447" i="7" s="1"/>
  <c r="AZ450" i="1"/>
  <c r="AN447" i="7" s="1"/>
  <c r="AY450" i="1"/>
  <c r="AM447" i="7" s="1"/>
  <c r="AX450" i="1"/>
  <c r="AL447" i="7" s="1"/>
  <c r="AW450" i="1"/>
  <c r="AK447" i="7" s="1"/>
  <c r="AV450" i="1"/>
  <c r="AJ447" i="7" s="1"/>
  <c r="AU450" i="1"/>
  <c r="AI447" i="7" s="1"/>
  <c r="AT450" i="1"/>
  <c r="AH447" i="7" s="1"/>
  <c r="AS450" i="1"/>
  <c r="AG447" i="7" s="1"/>
  <c r="AR450" i="1"/>
  <c r="AF447" i="7" s="1"/>
  <c r="AQ450" i="1"/>
  <c r="AE447" i="7" s="1"/>
  <c r="AP450" i="1"/>
  <c r="AD447" i="7" s="1"/>
  <c r="AO450" i="1"/>
  <c r="AC447" i="7" s="1"/>
  <c r="AN450" i="1"/>
  <c r="AB447" i="7" s="1"/>
  <c r="AM450" i="1"/>
  <c r="AA447" i="7" s="1"/>
  <c r="AL450" i="1"/>
  <c r="Z447" i="7" s="1"/>
  <c r="AK450" i="1"/>
  <c r="Y447" i="7" s="1"/>
  <c r="AJ450" i="1"/>
  <c r="X447" i="7" s="1"/>
  <c r="AI450" i="1"/>
  <c r="W447" i="7" s="1"/>
  <c r="AH450" i="1"/>
  <c r="V447" i="7" s="1"/>
  <c r="AG450" i="1"/>
  <c r="U447" i="7" s="1"/>
  <c r="AF450" i="1"/>
  <c r="T447" i="7" s="1"/>
  <c r="AE450" i="1"/>
  <c r="S447" i="7" s="1"/>
  <c r="AD450" i="1"/>
  <c r="R447" i="7" s="1"/>
  <c r="AC450" i="1"/>
  <c r="Q447" i="7" s="1"/>
  <c r="AB450" i="1"/>
  <c r="P447" i="7" s="1"/>
  <c r="AA450" i="1"/>
  <c r="O447" i="7" s="1"/>
  <c r="Z450" i="1"/>
  <c r="N447" i="7" s="1"/>
  <c r="Y450" i="1"/>
  <c r="M447" i="7" s="1"/>
  <c r="X450" i="1"/>
  <c r="L447" i="7" s="1"/>
  <c r="W450" i="1"/>
  <c r="K447" i="7" s="1"/>
  <c r="V450" i="1"/>
  <c r="J447" i="7" s="1"/>
  <c r="U450" i="1"/>
  <c r="I447" i="7" s="1"/>
  <c r="T450" i="1"/>
  <c r="H447" i="7" s="1"/>
  <c r="S450" i="1"/>
  <c r="G447" i="7" s="1"/>
  <c r="R450" i="1"/>
  <c r="F447" i="7" s="1"/>
  <c r="CO449" i="1"/>
  <c r="CC446" i="7" s="1"/>
  <c r="CN449" i="1"/>
  <c r="CB446" i="7" s="1"/>
  <c r="CM449" i="1"/>
  <c r="CA446" i="7" s="1"/>
  <c r="CL449" i="1"/>
  <c r="BZ446" i="7" s="1"/>
  <c r="CK449" i="1"/>
  <c r="BY446" i="7" s="1"/>
  <c r="CJ449" i="1"/>
  <c r="BX446" i="7" s="1"/>
  <c r="CI449" i="1"/>
  <c r="BW446" i="7" s="1"/>
  <c r="CH449" i="1"/>
  <c r="BV446" i="7" s="1"/>
  <c r="CG449" i="1"/>
  <c r="BU446" i="7" s="1"/>
  <c r="CF449" i="1"/>
  <c r="BT446" i="7" s="1"/>
  <c r="CE449" i="1"/>
  <c r="BS446" i="7" s="1"/>
  <c r="CD449" i="1"/>
  <c r="BR446" i="7" s="1"/>
  <c r="CC449" i="1"/>
  <c r="BQ446" i="7" s="1"/>
  <c r="CB449" i="1"/>
  <c r="BP446" i="7" s="1"/>
  <c r="CA449" i="1"/>
  <c r="BO446" i="7" s="1"/>
  <c r="BZ449" i="1"/>
  <c r="BN446" i="7" s="1"/>
  <c r="BY449" i="1"/>
  <c r="BM446" i="7" s="1"/>
  <c r="BI449" i="1"/>
  <c r="AW446" i="7" s="1"/>
  <c r="BF449" i="1"/>
  <c r="AT446" i="7" s="1"/>
  <c r="BE449" i="1"/>
  <c r="AS446" i="7" s="1"/>
  <c r="BD449" i="1"/>
  <c r="AR446" i="7" s="1"/>
  <c r="BC449" i="1"/>
  <c r="AQ446" i="7" s="1"/>
  <c r="BB449" i="1"/>
  <c r="AP446" i="7" s="1"/>
  <c r="BA449" i="1"/>
  <c r="AO446" i="7" s="1"/>
  <c r="AZ449" i="1"/>
  <c r="AN446" i="7" s="1"/>
  <c r="AY449" i="1"/>
  <c r="AM446" i="7" s="1"/>
  <c r="AX449" i="1"/>
  <c r="AL446" i="7" s="1"/>
  <c r="AW449" i="1"/>
  <c r="AK446" i="7" s="1"/>
  <c r="AV449" i="1"/>
  <c r="AJ446" i="7" s="1"/>
  <c r="AU449" i="1"/>
  <c r="AI446" i="7" s="1"/>
  <c r="AT449" i="1"/>
  <c r="AH446" i="7" s="1"/>
  <c r="AS449" i="1"/>
  <c r="AG446" i="7" s="1"/>
  <c r="AR449" i="1"/>
  <c r="AF446" i="7" s="1"/>
  <c r="AQ449" i="1"/>
  <c r="AE446" i="7" s="1"/>
  <c r="AP449" i="1"/>
  <c r="AD446" i="7" s="1"/>
  <c r="AO449" i="1"/>
  <c r="AC446" i="7" s="1"/>
  <c r="AN449" i="1"/>
  <c r="AB446" i="7" s="1"/>
  <c r="AM449" i="1"/>
  <c r="AA446" i="7" s="1"/>
  <c r="AL449" i="1"/>
  <c r="Z446" i="7" s="1"/>
  <c r="AK449" i="1"/>
  <c r="Y446" i="7" s="1"/>
  <c r="AJ449" i="1"/>
  <c r="X446" i="7" s="1"/>
  <c r="AI449" i="1"/>
  <c r="W446" i="7" s="1"/>
  <c r="AH449" i="1"/>
  <c r="V446" i="7" s="1"/>
  <c r="AG449" i="1"/>
  <c r="U446" i="7" s="1"/>
  <c r="AF449" i="1"/>
  <c r="T446" i="7" s="1"/>
  <c r="AE449" i="1"/>
  <c r="S446" i="7" s="1"/>
  <c r="AD449" i="1"/>
  <c r="R446" i="7" s="1"/>
  <c r="AC449" i="1"/>
  <c r="Q446" i="7" s="1"/>
  <c r="AB449" i="1"/>
  <c r="P446" i="7" s="1"/>
  <c r="AA449" i="1"/>
  <c r="O446" i="7" s="1"/>
  <c r="Z449" i="1"/>
  <c r="N446" i="7" s="1"/>
  <c r="Y449" i="1"/>
  <c r="M446" i="7" s="1"/>
  <c r="X449" i="1"/>
  <c r="L446" i="7" s="1"/>
  <c r="W449" i="1"/>
  <c r="K446" i="7" s="1"/>
  <c r="V449" i="1"/>
  <c r="J446" i="7" s="1"/>
  <c r="U449" i="1"/>
  <c r="I446" i="7" s="1"/>
  <c r="T449" i="1"/>
  <c r="H446" i="7" s="1"/>
  <c r="S449" i="1"/>
  <c r="G446" i="7" s="1"/>
  <c r="R449" i="1"/>
  <c r="F446" i="7" s="1"/>
  <c r="O449" i="1"/>
  <c r="O450" i="1" s="1"/>
  <c r="O448" i="1"/>
  <c r="CG445" i="1" s="1"/>
  <c r="BU442" i="7" s="1"/>
  <c r="M448" i="1"/>
  <c r="M447" i="1"/>
  <c r="CO446" i="1"/>
  <c r="CC443" i="7" s="1"/>
  <c r="CN446" i="1"/>
  <c r="CB443" i="7" s="1"/>
  <c r="CM446" i="1"/>
  <c r="CA443" i="7" s="1"/>
  <c r="CL446" i="1"/>
  <c r="BZ443" i="7" s="1"/>
  <c r="CK446" i="1"/>
  <c r="BY443" i="7" s="1"/>
  <c r="CJ446" i="1"/>
  <c r="BX443" i="7" s="1"/>
  <c r="CI446" i="1"/>
  <c r="BW443" i="7" s="1"/>
  <c r="CH446" i="1"/>
  <c r="BV443" i="7" s="1"/>
  <c r="CG446" i="1"/>
  <c r="BU443" i="7" s="1"/>
  <c r="CF446" i="1"/>
  <c r="BT443" i="7" s="1"/>
  <c r="CE446" i="1"/>
  <c r="BS443" i="7" s="1"/>
  <c r="CD446" i="1"/>
  <c r="BR443" i="7" s="1"/>
  <c r="CC446" i="1"/>
  <c r="BQ443" i="7" s="1"/>
  <c r="CB446" i="1"/>
  <c r="BP443" i="7" s="1"/>
  <c r="CA446" i="1"/>
  <c r="BO443" i="7" s="1"/>
  <c r="BZ446" i="1"/>
  <c r="BN443" i="7" s="1"/>
  <c r="BY446" i="1"/>
  <c r="BM443" i="7" s="1"/>
  <c r="BX446" i="1"/>
  <c r="BL443" i="7" s="1"/>
  <c r="BW446" i="1"/>
  <c r="BK443" i="7" s="1"/>
  <c r="BV446" i="1"/>
  <c r="BJ443" i="7" s="1"/>
  <c r="BU446" i="1"/>
  <c r="BI443" i="7" s="1"/>
  <c r="BT446" i="1"/>
  <c r="BH443" i="7" s="1"/>
  <c r="BS446" i="1"/>
  <c r="BG443" i="7" s="1"/>
  <c r="BR446" i="1"/>
  <c r="BF443" i="7" s="1"/>
  <c r="BQ446" i="1"/>
  <c r="BE443" i="7" s="1"/>
  <c r="BP446" i="1"/>
  <c r="BD443" i="7" s="1"/>
  <c r="BO446" i="1"/>
  <c r="BC443" i="7" s="1"/>
  <c r="BN446" i="1"/>
  <c r="BB443" i="7" s="1"/>
  <c r="BM446" i="1"/>
  <c r="BA443" i="7" s="1"/>
  <c r="BL446" i="1"/>
  <c r="AZ443" i="7" s="1"/>
  <c r="BK446" i="1"/>
  <c r="AY443" i="7" s="1"/>
  <c r="BJ446" i="1"/>
  <c r="AX443" i="7" s="1"/>
  <c r="BI446" i="1"/>
  <c r="AW443" i="7" s="1"/>
  <c r="BH446" i="1"/>
  <c r="AV443" i="7" s="1"/>
  <c r="BG446" i="1"/>
  <c r="AU443" i="7" s="1"/>
  <c r="BF446" i="1"/>
  <c r="AT443" i="7" s="1"/>
  <c r="BE446" i="1"/>
  <c r="AS443" i="7" s="1"/>
  <c r="BD446" i="1"/>
  <c r="AR443" i="7" s="1"/>
  <c r="BC446" i="1"/>
  <c r="AQ443" i="7" s="1"/>
  <c r="BB446" i="1"/>
  <c r="AP443" i="7" s="1"/>
  <c r="BA446" i="1"/>
  <c r="AO443" i="7" s="1"/>
  <c r="AZ446" i="1"/>
  <c r="AN443" i="7" s="1"/>
  <c r="AY446" i="1"/>
  <c r="AM443" i="7" s="1"/>
  <c r="AX446" i="1"/>
  <c r="AL443" i="7" s="1"/>
  <c r="AW446" i="1"/>
  <c r="AK443" i="7" s="1"/>
  <c r="AV446" i="1"/>
  <c r="AJ443" i="7" s="1"/>
  <c r="AU446" i="1"/>
  <c r="AI443" i="7" s="1"/>
  <c r="AT446" i="1"/>
  <c r="AH443" i="7" s="1"/>
  <c r="AS446" i="1"/>
  <c r="AG443" i="7" s="1"/>
  <c r="AR446" i="1"/>
  <c r="AF443" i="7" s="1"/>
  <c r="AQ446" i="1"/>
  <c r="AE443" i="7" s="1"/>
  <c r="AP446" i="1"/>
  <c r="AD443" i="7" s="1"/>
  <c r="AO446" i="1"/>
  <c r="AC443" i="7" s="1"/>
  <c r="AN446" i="1"/>
  <c r="AB443" i="7" s="1"/>
  <c r="AM446" i="1"/>
  <c r="AA443" i="7" s="1"/>
  <c r="AL446" i="1"/>
  <c r="Z443" i="7" s="1"/>
  <c r="AK446" i="1"/>
  <c r="Y443" i="7" s="1"/>
  <c r="AJ446" i="1"/>
  <c r="X443" i="7" s="1"/>
  <c r="AI446" i="1"/>
  <c r="W443" i="7" s="1"/>
  <c r="AH446" i="1"/>
  <c r="V443" i="7" s="1"/>
  <c r="AG446" i="1"/>
  <c r="U443" i="7" s="1"/>
  <c r="AF446" i="1"/>
  <c r="T443" i="7" s="1"/>
  <c r="AE446" i="1"/>
  <c r="S443" i="7" s="1"/>
  <c r="AD446" i="1"/>
  <c r="R443" i="7" s="1"/>
  <c r="AC446" i="1"/>
  <c r="Q443" i="7" s="1"/>
  <c r="AB446" i="1"/>
  <c r="P443" i="7" s="1"/>
  <c r="AA446" i="1"/>
  <c r="O443" i="7" s="1"/>
  <c r="Z446" i="1"/>
  <c r="N443" i="7" s="1"/>
  <c r="Y446" i="1"/>
  <c r="M443" i="7" s="1"/>
  <c r="X446" i="1"/>
  <c r="L443" i="7" s="1"/>
  <c r="W446" i="1"/>
  <c r="K443" i="7" s="1"/>
  <c r="V446" i="1"/>
  <c r="J443" i="7" s="1"/>
  <c r="U446" i="1"/>
  <c r="I443" i="7" s="1"/>
  <c r="T446" i="1"/>
  <c r="H443" i="7" s="1"/>
  <c r="S446" i="1"/>
  <c r="G443" i="7" s="1"/>
  <c r="R446" i="1"/>
  <c r="F443" i="7" s="1"/>
  <c r="CO445" i="1"/>
  <c r="CC442" i="7" s="1"/>
  <c r="CN445" i="1"/>
  <c r="CB442" i="7" s="1"/>
  <c r="CM445" i="1"/>
  <c r="CA442" i="7" s="1"/>
  <c r="CL445" i="1"/>
  <c r="BZ442" i="7" s="1"/>
  <c r="CK445" i="1"/>
  <c r="BY442" i="7" s="1"/>
  <c r="CJ445" i="1"/>
  <c r="BX442" i="7" s="1"/>
  <c r="CI445" i="1"/>
  <c r="BW442" i="7" s="1"/>
  <c r="CH445" i="1"/>
  <c r="BV442" i="7" s="1"/>
  <c r="CF445" i="1"/>
  <c r="BT442" i="7" s="1"/>
  <c r="CD445" i="1"/>
  <c r="BR442" i="7" s="1"/>
  <c r="CB445" i="1"/>
  <c r="BP442" i="7" s="1"/>
  <c r="CA445" i="1"/>
  <c r="BO442" i="7" s="1"/>
  <c r="BZ445" i="1"/>
  <c r="BN442" i="7" s="1"/>
  <c r="BY445" i="1"/>
  <c r="BM442" i="7" s="1"/>
  <c r="BX445" i="1"/>
  <c r="BL442" i="7" s="1"/>
  <c r="BW445" i="1"/>
  <c r="BK442" i="7" s="1"/>
  <c r="BV445" i="1"/>
  <c r="BJ442" i="7" s="1"/>
  <c r="BU445" i="1"/>
  <c r="BI442" i="7" s="1"/>
  <c r="BT445" i="1"/>
  <c r="BH442" i="7" s="1"/>
  <c r="BS445" i="1"/>
  <c r="BG442" i="7" s="1"/>
  <c r="BR445" i="1"/>
  <c r="BF442" i="7" s="1"/>
  <c r="BQ445" i="1"/>
  <c r="BE442" i="7" s="1"/>
  <c r="BP445" i="1"/>
  <c r="BD442" i="7" s="1"/>
  <c r="BO445" i="1"/>
  <c r="BC442" i="7" s="1"/>
  <c r="BN445" i="1"/>
  <c r="BB442" i="7" s="1"/>
  <c r="BM445" i="1"/>
  <c r="BA442" i="7" s="1"/>
  <c r="BL445" i="1"/>
  <c r="AZ442" i="7" s="1"/>
  <c r="BK445" i="1"/>
  <c r="AY442" i="7" s="1"/>
  <c r="BJ445" i="1"/>
  <c r="AX442" i="7" s="1"/>
  <c r="BI445" i="1"/>
  <c r="AW442" i="7" s="1"/>
  <c r="BH445" i="1"/>
  <c r="AV442" i="7" s="1"/>
  <c r="BG445" i="1"/>
  <c r="AU442" i="7" s="1"/>
  <c r="BF445" i="1"/>
  <c r="AT442" i="7" s="1"/>
  <c r="BE445" i="1"/>
  <c r="AS442" i="7" s="1"/>
  <c r="BD445" i="1"/>
  <c r="AR442" i="7" s="1"/>
  <c r="BC445" i="1"/>
  <c r="AQ442" i="7" s="1"/>
  <c r="BB445" i="1"/>
  <c r="AP442" i="7" s="1"/>
  <c r="BA445" i="1"/>
  <c r="AO442" i="7" s="1"/>
  <c r="AZ445" i="1"/>
  <c r="AN442" i="7" s="1"/>
  <c r="AY445" i="1"/>
  <c r="AM442" i="7" s="1"/>
  <c r="AX445" i="1"/>
  <c r="AL442" i="7" s="1"/>
  <c r="AW445" i="1"/>
  <c r="AK442" i="7" s="1"/>
  <c r="AV445" i="1"/>
  <c r="AJ442" i="7" s="1"/>
  <c r="AU445" i="1"/>
  <c r="AI442" i="7" s="1"/>
  <c r="AT445" i="1"/>
  <c r="AH442" i="7" s="1"/>
  <c r="AS445" i="1"/>
  <c r="AG442" i="7" s="1"/>
  <c r="AR445" i="1"/>
  <c r="AF442" i="7" s="1"/>
  <c r="AQ445" i="1"/>
  <c r="AE442" i="7" s="1"/>
  <c r="AP445" i="1"/>
  <c r="AD442" i="7" s="1"/>
  <c r="AO445" i="1"/>
  <c r="AC442" i="7" s="1"/>
  <c r="AN445" i="1"/>
  <c r="AB442" i="7" s="1"/>
  <c r="AM445" i="1"/>
  <c r="AA442" i="7" s="1"/>
  <c r="AL445" i="1"/>
  <c r="Z442" i="7" s="1"/>
  <c r="AK445" i="1"/>
  <c r="Y442" i="7" s="1"/>
  <c r="AJ445" i="1"/>
  <c r="X442" i="7" s="1"/>
  <c r="AI445" i="1"/>
  <c r="W442" i="7" s="1"/>
  <c r="AH445" i="1"/>
  <c r="V442" i="7" s="1"/>
  <c r="AG445" i="1"/>
  <c r="U442" i="7" s="1"/>
  <c r="AF445" i="1"/>
  <c r="T442" i="7" s="1"/>
  <c r="AE445" i="1"/>
  <c r="S442" i="7" s="1"/>
  <c r="AD445" i="1"/>
  <c r="R442" i="7" s="1"/>
  <c r="AC445" i="1"/>
  <c r="Q442" i="7" s="1"/>
  <c r="AB445" i="1"/>
  <c r="P442" i="7" s="1"/>
  <c r="AA445" i="1"/>
  <c r="O442" i="7" s="1"/>
  <c r="Z445" i="1"/>
  <c r="N442" i="7" s="1"/>
  <c r="Y445" i="1"/>
  <c r="M442" i="7" s="1"/>
  <c r="X445" i="1"/>
  <c r="L442" i="7" s="1"/>
  <c r="W445" i="1"/>
  <c r="K442" i="7" s="1"/>
  <c r="V445" i="1"/>
  <c r="J442" i="7" s="1"/>
  <c r="U445" i="1"/>
  <c r="I442" i="7" s="1"/>
  <c r="T445" i="1"/>
  <c r="H442" i="7" s="1"/>
  <c r="S445" i="1"/>
  <c r="G442" i="7" s="1"/>
  <c r="R445" i="1"/>
  <c r="F442" i="7" s="1"/>
  <c r="O445" i="1"/>
  <c r="O446" i="1" s="1"/>
  <c r="O444" i="1"/>
  <c r="CF441" i="1" s="1"/>
  <c r="BT438" i="7" s="1"/>
  <c r="M444" i="1"/>
  <c r="M443" i="1"/>
  <c r="CO442" i="1"/>
  <c r="CC439" i="7" s="1"/>
  <c r="CN442" i="1"/>
  <c r="CB439" i="7" s="1"/>
  <c r="CM442" i="1"/>
  <c r="CA439" i="7" s="1"/>
  <c r="CL442" i="1"/>
  <c r="BZ439" i="7" s="1"/>
  <c r="CK442" i="1"/>
  <c r="BY439" i="7" s="1"/>
  <c r="CJ442" i="1"/>
  <c r="BX439" i="7" s="1"/>
  <c r="CI442" i="1"/>
  <c r="BW439" i="7" s="1"/>
  <c r="CH442" i="1"/>
  <c r="BV439" i="7" s="1"/>
  <c r="CG442" i="1"/>
  <c r="BU439" i="7" s="1"/>
  <c r="CF442" i="1"/>
  <c r="BT439" i="7" s="1"/>
  <c r="CE442" i="1"/>
  <c r="BS439" i="7" s="1"/>
  <c r="CD442" i="1"/>
  <c r="BR439" i="7" s="1"/>
  <c r="CC442" i="1"/>
  <c r="BQ439" i="7" s="1"/>
  <c r="CB442" i="1"/>
  <c r="BP439" i="7" s="1"/>
  <c r="CA442" i="1"/>
  <c r="BO439" i="7" s="1"/>
  <c r="BZ442" i="1"/>
  <c r="BN439" i="7" s="1"/>
  <c r="BY442" i="1"/>
  <c r="BM439" i="7" s="1"/>
  <c r="BX442" i="1"/>
  <c r="BL439" i="7" s="1"/>
  <c r="BW442" i="1"/>
  <c r="BK439" i="7" s="1"/>
  <c r="BV442" i="1"/>
  <c r="BJ439" i="7" s="1"/>
  <c r="BU442" i="1"/>
  <c r="BI439" i="7" s="1"/>
  <c r="BT442" i="1"/>
  <c r="BH439" i="7" s="1"/>
  <c r="BS442" i="1"/>
  <c r="BG439" i="7" s="1"/>
  <c r="BR442" i="1"/>
  <c r="BF439" i="7" s="1"/>
  <c r="BQ442" i="1"/>
  <c r="BE439" i="7" s="1"/>
  <c r="BP442" i="1"/>
  <c r="BD439" i="7" s="1"/>
  <c r="BO442" i="1"/>
  <c r="BC439" i="7" s="1"/>
  <c r="BN442" i="1"/>
  <c r="BB439" i="7" s="1"/>
  <c r="BM442" i="1"/>
  <c r="BA439" i="7" s="1"/>
  <c r="BL442" i="1"/>
  <c r="AZ439" i="7" s="1"/>
  <c r="BK442" i="1"/>
  <c r="AY439" i="7" s="1"/>
  <c r="BJ442" i="1"/>
  <c r="AX439" i="7" s="1"/>
  <c r="BI442" i="1"/>
  <c r="AW439" i="7" s="1"/>
  <c r="BH442" i="1"/>
  <c r="AV439" i="7" s="1"/>
  <c r="BG442" i="1"/>
  <c r="AU439" i="7" s="1"/>
  <c r="BF442" i="1"/>
  <c r="AT439" i="7" s="1"/>
  <c r="BE442" i="1"/>
  <c r="AS439" i="7" s="1"/>
  <c r="BD442" i="1"/>
  <c r="AR439" i="7" s="1"/>
  <c r="BC442" i="1"/>
  <c r="AQ439" i="7" s="1"/>
  <c r="BB442" i="1"/>
  <c r="AP439" i="7" s="1"/>
  <c r="BA442" i="1"/>
  <c r="AO439" i="7" s="1"/>
  <c r="AZ442" i="1"/>
  <c r="AN439" i="7" s="1"/>
  <c r="AY442" i="1"/>
  <c r="AM439" i="7" s="1"/>
  <c r="AX442" i="1"/>
  <c r="AL439" i="7" s="1"/>
  <c r="AW442" i="1"/>
  <c r="AK439" i="7" s="1"/>
  <c r="AV442" i="1"/>
  <c r="AJ439" i="7" s="1"/>
  <c r="AU442" i="1"/>
  <c r="AI439" i="7" s="1"/>
  <c r="AT442" i="1"/>
  <c r="AH439" i="7" s="1"/>
  <c r="AS442" i="1"/>
  <c r="AG439" i="7" s="1"/>
  <c r="AR442" i="1"/>
  <c r="AF439" i="7" s="1"/>
  <c r="AQ442" i="1"/>
  <c r="AE439" i="7" s="1"/>
  <c r="AP442" i="1"/>
  <c r="AD439" i="7" s="1"/>
  <c r="AO442" i="1"/>
  <c r="AC439" i="7" s="1"/>
  <c r="AN442" i="1"/>
  <c r="AB439" i="7" s="1"/>
  <c r="AM442" i="1"/>
  <c r="AA439" i="7" s="1"/>
  <c r="AL442" i="1"/>
  <c r="Z439" i="7" s="1"/>
  <c r="AK442" i="1"/>
  <c r="Y439" i="7" s="1"/>
  <c r="AJ442" i="1"/>
  <c r="X439" i="7" s="1"/>
  <c r="AI442" i="1"/>
  <c r="W439" i="7" s="1"/>
  <c r="AH442" i="1"/>
  <c r="V439" i="7" s="1"/>
  <c r="AG442" i="1"/>
  <c r="U439" i="7" s="1"/>
  <c r="AF442" i="1"/>
  <c r="T439" i="7" s="1"/>
  <c r="AE442" i="1"/>
  <c r="S439" i="7" s="1"/>
  <c r="AD442" i="1"/>
  <c r="R439" i="7" s="1"/>
  <c r="AC442" i="1"/>
  <c r="Q439" i="7" s="1"/>
  <c r="AB442" i="1"/>
  <c r="P439" i="7" s="1"/>
  <c r="AA442" i="1"/>
  <c r="O439" i="7" s="1"/>
  <c r="Z442" i="1"/>
  <c r="N439" i="7" s="1"/>
  <c r="Y442" i="1"/>
  <c r="M439" i="7" s="1"/>
  <c r="X442" i="1"/>
  <c r="L439" i="7" s="1"/>
  <c r="W442" i="1"/>
  <c r="K439" i="7" s="1"/>
  <c r="V442" i="1"/>
  <c r="J439" i="7" s="1"/>
  <c r="U442" i="1"/>
  <c r="I439" i="7" s="1"/>
  <c r="T442" i="1"/>
  <c r="H439" i="7" s="1"/>
  <c r="S442" i="1"/>
  <c r="G439" i="7" s="1"/>
  <c r="R442" i="1"/>
  <c r="F439" i="7" s="1"/>
  <c r="CO441" i="1"/>
  <c r="CC438" i="7" s="1"/>
  <c r="CN441" i="1"/>
  <c r="CB438" i="7" s="1"/>
  <c r="CM441" i="1"/>
  <c r="CA438" i="7" s="1"/>
  <c r="CL441" i="1"/>
  <c r="BZ438" i="7" s="1"/>
  <c r="CK441" i="1"/>
  <c r="BY438" i="7" s="1"/>
  <c r="CJ441" i="1"/>
  <c r="BX438" i="7" s="1"/>
  <c r="CI441" i="1"/>
  <c r="BW438" i="7" s="1"/>
  <c r="CH441" i="1"/>
  <c r="BV438" i="7" s="1"/>
  <c r="CG441" i="1"/>
  <c r="BU438" i="7" s="1"/>
  <c r="CD441" i="1"/>
  <c r="BR438" i="7" s="1"/>
  <c r="CC441" i="1"/>
  <c r="BQ438" i="7" s="1"/>
  <c r="CB441" i="1"/>
  <c r="BP438" i="7" s="1"/>
  <c r="CA441" i="1"/>
  <c r="BO438" i="7" s="1"/>
  <c r="BZ441" i="1"/>
  <c r="BN438" i="7" s="1"/>
  <c r="BY441" i="1"/>
  <c r="BM438" i="7" s="1"/>
  <c r="BX441" i="1"/>
  <c r="BL438" i="7" s="1"/>
  <c r="BW441" i="1"/>
  <c r="BK438" i="7" s="1"/>
  <c r="BV441" i="1"/>
  <c r="BJ438" i="7" s="1"/>
  <c r="BU441" i="1"/>
  <c r="BI438" i="7" s="1"/>
  <c r="BT441" i="1"/>
  <c r="BH438" i="7" s="1"/>
  <c r="BS441" i="1"/>
  <c r="BG438" i="7" s="1"/>
  <c r="BR441" i="1"/>
  <c r="BF438" i="7" s="1"/>
  <c r="BQ441" i="1"/>
  <c r="BE438" i="7" s="1"/>
  <c r="BP441" i="1"/>
  <c r="BD438" i="7" s="1"/>
  <c r="BO441" i="1"/>
  <c r="BC438" i="7" s="1"/>
  <c r="BN441" i="1"/>
  <c r="BB438" i="7" s="1"/>
  <c r="BM441" i="1"/>
  <c r="BA438" i="7" s="1"/>
  <c r="BL441" i="1"/>
  <c r="AZ438" i="7" s="1"/>
  <c r="BK441" i="1"/>
  <c r="AY438" i="7" s="1"/>
  <c r="BJ441" i="1"/>
  <c r="AX438" i="7" s="1"/>
  <c r="BI441" i="1"/>
  <c r="AW438" i="7" s="1"/>
  <c r="BH441" i="1"/>
  <c r="AV438" i="7" s="1"/>
  <c r="BG441" i="1"/>
  <c r="AU438" i="7" s="1"/>
  <c r="BF441" i="1"/>
  <c r="AT438" i="7" s="1"/>
  <c r="BE441" i="1"/>
  <c r="AS438" i="7" s="1"/>
  <c r="BD441" i="1"/>
  <c r="AR438" i="7" s="1"/>
  <c r="BC441" i="1"/>
  <c r="AQ438" i="7" s="1"/>
  <c r="BB441" i="1"/>
  <c r="AP438" i="7" s="1"/>
  <c r="BA441" i="1"/>
  <c r="AO438" i="7" s="1"/>
  <c r="AZ441" i="1"/>
  <c r="AN438" i="7" s="1"/>
  <c r="AY441" i="1"/>
  <c r="AM438" i="7" s="1"/>
  <c r="AX441" i="1"/>
  <c r="AL438" i="7" s="1"/>
  <c r="AW441" i="1"/>
  <c r="AK438" i="7" s="1"/>
  <c r="AV441" i="1"/>
  <c r="AJ438" i="7" s="1"/>
  <c r="AU441" i="1"/>
  <c r="AI438" i="7" s="1"/>
  <c r="AT441" i="1"/>
  <c r="AH438" i="7" s="1"/>
  <c r="AS441" i="1"/>
  <c r="AG438" i="7" s="1"/>
  <c r="AR441" i="1"/>
  <c r="AF438" i="7" s="1"/>
  <c r="AQ441" i="1"/>
  <c r="AE438" i="7" s="1"/>
  <c r="AP441" i="1"/>
  <c r="AD438" i="7" s="1"/>
  <c r="AO441" i="1"/>
  <c r="AC438" i="7" s="1"/>
  <c r="AN441" i="1"/>
  <c r="AB438" i="7" s="1"/>
  <c r="AM441" i="1"/>
  <c r="AA438" i="7" s="1"/>
  <c r="AL441" i="1"/>
  <c r="Z438" i="7" s="1"/>
  <c r="AK441" i="1"/>
  <c r="Y438" i="7" s="1"/>
  <c r="AJ441" i="1"/>
  <c r="X438" i="7" s="1"/>
  <c r="AI441" i="1"/>
  <c r="W438" i="7" s="1"/>
  <c r="AH441" i="1"/>
  <c r="V438" i="7" s="1"/>
  <c r="AG441" i="1"/>
  <c r="U438" i="7" s="1"/>
  <c r="AF441" i="1"/>
  <c r="T438" i="7" s="1"/>
  <c r="AE441" i="1"/>
  <c r="S438" i="7" s="1"/>
  <c r="AD441" i="1"/>
  <c r="R438" i="7" s="1"/>
  <c r="AC441" i="1"/>
  <c r="Q438" i="7" s="1"/>
  <c r="AB441" i="1"/>
  <c r="P438" i="7" s="1"/>
  <c r="AA441" i="1"/>
  <c r="O438" i="7" s="1"/>
  <c r="Z441" i="1"/>
  <c r="N438" i="7" s="1"/>
  <c r="Y441" i="1"/>
  <c r="M438" i="7" s="1"/>
  <c r="X441" i="1"/>
  <c r="L438" i="7" s="1"/>
  <c r="W441" i="1"/>
  <c r="K438" i="7" s="1"/>
  <c r="V441" i="1"/>
  <c r="J438" i="7" s="1"/>
  <c r="U441" i="1"/>
  <c r="I438" i="7" s="1"/>
  <c r="T441" i="1"/>
  <c r="H438" i="7" s="1"/>
  <c r="S441" i="1"/>
  <c r="G438" i="7" s="1"/>
  <c r="R441" i="1"/>
  <c r="F438" i="7" s="1"/>
  <c r="O441" i="1"/>
  <c r="CO440" i="1"/>
  <c r="CC437" i="7" s="1"/>
  <c r="CN440" i="1"/>
  <c r="CB437" i="7" s="1"/>
  <c r="CM440" i="1"/>
  <c r="CA437" i="7" s="1"/>
  <c r="CL440" i="1"/>
  <c r="BZ437" i="7" s="1"/>
  <c r="CK440" i="1"/>
  <c r="BY437" i="7" s="1"/>
  <c r="CJ440" i="1"/>
  <c r="BX437" i="7" s="1"/>
  <c r="CI440" i="1"/>
  <c r="BW437" i="7" s="1"/>
  <c r="CH440" i="1"/>
  <c r="BV437" i="7" s="1"/>
  <c r="CG440" i="1"/>
  <c r="BU437" i="7" s="1"/>
  <c r="CF440" i="1"/>
  <c r="BT437" i="7" s="1"/>
  <c r="CE440" i="1"/>
  <c r="BS437" i="7" s="1"/>
  <c r="CD440" i="1"/>
  <c r="BR437" i="7" s="1"/>
  <c r="CC440" i="1"/>
  <c r="BQ437" i="7" s="1"/>
  <c r="CB440" i="1"/>
  <c r="BP437" i="7" s="1"/>
  <c r="CA440" i="1"/>
  <c r="BO437" i="7" s="1"/>
  <c r="BZ440" i="1"/>
  <c r="BN437" i="7" s="1"/>
  <c r="BY440" i="1"/>
  <c r="BM437" i="7" s="1"/>
  <c r="BX440" i="1"/>
  <c r="BL437" i="7" s="1"/>
  <c r="BW440" i="1"/>
  <c r="BK437" i="7" s="1"/>
  <c r="BV440" i="1"/>
  <c r="BJ437" i="7" s="1"/>
  <c r="BU440" i="1"/>
  <c r="BI437" i="7" s="1"/>
  <c r="BT440" i="1"/>
  <c r="BH437" i="7" s="1"/>
  <c r="BS440" i="1"/>
  <c r="BG437" i="7" s="1"/>
  <c r="BR440" i="1"/>
  <c r="BF437" i="7" s="1"/>
  <c r="BQ440" i="1"/>
  <c r="BE437" i="7" s="1"/>
  <c r="BP440" i="1"/>
  <c r="BD437" i="7" s="1"/>
  <c r="BO440" i="1"/>
  <c r="BC437" i="7" s="1"/>
  <c r="BN440" i="1"/>
  <c r="BB437" i="7" s="1"/>
  <c r="BM440" i="1"/>
  <c r="BA437" i="7" s="1"/>
  <c r="BL440" i="1"/>
  <c r="AZ437" i="7" s="1"/>
  <c r="BK440" i="1"/>
  <c r="AY437" i="7" s="1"/>
  <c r="BJ440" i="1"/>
  <c r="AX437" i="7" s="1"/>
  <c r="BI440" i="1"/>
  <c r="AW437" i="7" s="1"/>
  <c r="BH440" i="1"/>
  <c r="AV437" i="7" s="1"/>
  <c r="BG440" i="1"/>
  <c r="AU437" i="7" s="1"/>
  <c r="BF440" i="1"/>
  <c r="AT437" i="7" s="1"/>
  <c r="BE440" i="1"/>
  <c r="AS437" i="7" s="1"/>
  <c r="BD440" i="1"/>
  <c r="AR437" i="7" s="1"/>
  <c r="BC440" i="1"/>
  <c r="AQ437" i="7" s="1"/>
  <c r="BB440" i="1"/>
  <c r="AP437" i="7" s="1"/>
  <c r="BA440" i="1"/>
  <c r="AO437" i="7" s="1"/>
  <c r="AZ440" i="1"/>
  <c r="AN437" i="7" s="1"/>
  <c r="AY440" i="1"/>
  <c r="AM437" i="7" s="1"/>
  <c r="AX440" i="1"/>
  <c r="AL437" i="7" s="1"/>
  <c r="AW440" i="1"/>
  <c r="AK437" i="7" s="1"/>
  <c r="AV440" i="1"/>
  <c r="AJ437" i="7" s="1"/>
  <c r="AU440" i="1"/>
  <c r="AI437" i="7" s="1"/>
  <c r="AT440" i="1"/>
  <c r="AH437" i="7" s="1"/>
  <c r="AS440" i="1"/>
  <c r="AG437" i="7" s="1"/>
  <c r="AR440" i="1"/>
  <c r="AF437" i="7" s="1"/>
  <c r="AQ440" i="1"/>
  <c r="AE437" i="7" s="1"/>
  <c r="AP440" i="1"/>
  <c r="AD437" i="7" s="1"/>
  <c r="AO440" i="1"/>
  <c r="AC437" i="7" s="1"/>
  <c r="AN440" i="1"/>
  <c r="AB437" i="7" s="1"/>
  <c r="AM440" i="1"/>
  <c r="AA437" i="7" s="1"/>
  <c r="AL440" i="1"/>
  <c r="Z437" i="7" s="1"/>
  <c r="AK440" i="1"/>
  <c r="Y437" i="7" s="1"/>
  <c r="AJ440" i="1"/>
  <c r="X437" i="7" s="1"/>
  <c r="AI440" i="1"/>
  <c r="W437" i="7" s="1"/>
  <c r="AH440" i="1"/>
  <c r="V437" i="7" s="1"/>
  <c r="AG440" i="1"/>
  <c r="U437" i="7" s="1"/>
  <c r="AF440" i="1"/>
  <c r="T437" i="7" s="1"/>
  <c r="AE440" i="1"/>
  <c r="S437" i="7" s="1"/>
  <c r="AD440" i="1"/>
  <c r="R437" i="7" s="1"/>
  <c r="AC440" i="1"/>
  <c r="Q437" i="7" s="1"/>
  <c r="AB440" i="1"/>
  <c r="P437" i="7" s="1"/>
  <c r="AA440" i="1"/>
  <c r="O437" i="7" s="1"/>
  <c r="Z440" i="1"/>
  <c r="N437" i="7" s="1"/>
  <c r="Y440" i="1"/>
  <c r="M437" i="7" s="1"/>
  <c r="X440" i="1"/>
  <c r="L437" i="7" s="1"/>
  <c r="W440" i="1"/>
  <c r="K437" i="7" s="1"/>
  <c r="V440" i="1"/>
  <c r="J437" i="7" s="1"/>
  <c r="U440" i="1"/>
  <c r="I437" i="7" s="1"/>
  <c r="T440" i="1"/>
  <c r="H437" i="7" s="1"/>
  <c r="S440" i="1"/>
  <c r="G437" i="7" s="1"/>
  <c r="R440" i="1"/>
  <c r="F437" i="7" s="1"/>
  <c r="CO439" i="1"/>
  <c r="CC436" i="7" s="1"/>
  <c r="CN439" i="1"/>
  <c r="CB436" i="7" s="1"/>
  <c r="CM439" i="1"/>
  <c r="CA436" i="7" s="1"/>
  <c r="CL439" i="1"/>
  <c r="BZ436" i="7" s="1"/>
  <c r="CK439" i="1"/>
  <c r="BY436" i="7" s="1"/>
  <c r="CJ439" i="1"/>
  <c r="BX436" i="7" s="1"/>
  <c r="CI439" i="1"/>
  <c r="BW436" i="7" s="1"/>
  <c r="CH439" i="1"/>
  <c r="BV436" i="7" s="1"/>
  <c r="CD439" i="1"/>
  <c r="BR436" i="7" s="1"/>
  <c r="CC439" i="1"/>
  <c r="BQ436" i="7" s="1"/>
  <c r="CB439" i="1"/>
  <c r="BP436" i="7" s="1"/>
  <c r="CA439" i="1"/>
  <c r="BO436" i="7" s="1"/>
  <c r="BZ439" i="1"/>
  <c r="BN436" i="7" s="1"/>
  <c r="BY439" i="1"/>
  <c r="BM436" i="7" s="1"/>
  <c r="BX439" i="1"/>
  <c r="BL436" i="7" s="1"/>
  <c r="BW439" i="1"/>
  <c r="BK436" i="7" s="1"/>
  <c r="BV439" i="1"/>
  <c r="BJ436" i="7" s="1"/>
  <c r="BU439" i="1"/>
  <c r="BI436" i="7" s="1"/>
  <c r="BT439" i="1"/>
  <c r="BH436" i="7" s="1"/>
  <c r="BS439" i="1"/>
  <c r="BG436" i="7" s="1"/>
  <c r="BR439" i="1"/>
  <c r="BF436" i="7" s="1"/>
  <c r="BQ439" i="1"/>
  <c r="BE436" i="7" s="1"/>
  <c r="BP439" i="1"/>
  <c r="BD436" i="7" s="1"/>
  <c r="BO439" i="1"/>
  <c r="BC436" i="7" s="1"/>
  <c r="BN439" i="1"/>
  <c r="BB436" i="7" s="1"/>
  <c r="BM439" i="1"/>
  <c r="BA436" i="7" s="1"/>
  <c r="BL439" i="1"/>
  <c r="AZ436" i="7" s="1"/>
  <c r="BK439" i="1"/>
  <c r="AY436" i="7" s="1"/>
  <c r="BJ439" i="1"/>
  <c r="AX436" i="7" s="1"/>
  <c r="BI439" i="1"/>
  <c r="AW436" i="7" s="1"/>
  <c r="BH439" i="1"/>
  <c r="AV436" i="7" s="1"/>
  <c r="BG439" i="1"/>
  <c r="AU436" i="7" s="1"/>
  <c r="BF439" i="1"/>
  <c r="AT436" i="7" s="1"/>
  <c r="BE439" i="1"/>
  <c r="AS436" i="7" s="1"/>
  <c r="BD439" i="1"/>
  <c r="AR436" i="7" s="1"/>
  <c r="BC439" i="1"/>
  <c r="AQ436" i="7" s="1"/>
  <c r="BB439" i="1"/>
  <c r="AP436" i="7" s="1"/>
  <c r="BA439" i="1"/>
  <c r="AO436" i="7" s="1"/>
  <c r="AZ439" i="1"/>
  <c r="AN436" i="7" s="1"/>
  <c r="AY439" i="1"/>
  <c r="AM436" i="7" s="1"/>
  <c r="AX439" i="1"/>
  <c r="AL436" i="7" s="1"/>
  <c r="AW439" i="1"/>
  <c r="AK436" i="7" s="1"/>
  <c r="AV439" i="1"/>
  <c r="AJ436" i="7" s="1"/>
  <c r="AU439" i="1"/>
  <c r="AI436" i="7" s="1"/>
  <c r="AT439" i="1"/>
  <c r="AH436" i="7" s="1"/>
  <c r="AS439" i="1"/>
  <c r="AG436" i="7" s="1"/>
  <c r="AR439" i="1"/>
  <c r="AF436" i="7" s="1"/>
  <c r="AQ439" i="1"/>
  <c r="AE436" i="7" s="1"/>
  <c r="AP439" i="1"/>
  <c r="AD436" i="7" s="1"/>
  <c r="AO439" i="1"/>
  <c r="AC436" i="7" s="1"/>
  <c r="AN439" i="1"/>
  <c r="AB436" i="7" s="1"/>
  <c r="AM439" i="1"/>
  <c r="AA436" i="7" s="1"/>
  <c r="AL439" i="1"/>
  <c r="Z436" i="7" s="1"/>
  <c r="AK439" i="1"/>
  <c r="Y436" i="7" s="1"/>
  <c r="AJ439" i="1"/>
  <c r="X436" i="7" s="1"/>
  <c r="AI439" i="1"/>
  <c r="W436" i="7" s="1"/>
  <c r="AH439" i="1"/>
  <c r="V436" i="7" s="1"/>
  <c r="AG439" i="1"/>
  <c r="U436" i="7" s="1"/>
  <c r="AF439" i="1"/>
  <c r="T436" i="7" s="1"/>
  <c r="AE439" i="1"/>
  <c r="S436" i="7" s="1"/>
  <c r="AD439" i="1"/>
  <c r="R436" i="7" s="1"/>
  <c r="AC439" i="1"/>
  <c r="Q436" i="7" s="1"/>
  <c r="AB439" i="1"/>
  <c r="P436" i="7" s="1"/>
  <c r="AA439" i="1"/>
  <c r="O436" i="7" s="1"/>
  <c r="Z439" i="1"/>
  <c r="N436" i="7" s="1"/>
  <c r="Y439" i="1"/>
  <c r="M436" i="7" s="1"/>
  <c r="X439" i="1"/>
  <c r="L436" i="7" s="1"/>
  <c r="W439" i="1"/>
  <c r="K436" i="7" s="1"/>
  <c r="V439" i="1"/>
  <c r="J436" i="7" s="1"/>
  <c r="U439" i="1"/>
  <c r="I436" i="7" s="1"/>
  <c r="T439" i="1"/>
  <c r="H436" i="7" s="1"/>
  <c r="S439" i="1"/>
  <c r="G436" i="7" s="1"/>
  <c r="R439" i="1"/>
  <c r="F436" i="7" s="1"/>
  <c r="O439" i="1"/>
  <c r="O440" i="1" s="1"/>
  <c r="O438" i="1"/>
  <c r="M438" i="1"/>
  <c r="M437" i="1"/>
  <c r="O436" i="1"/>
  <c r="CJ431" i="1" s="1"/>
  <c r="BX428" i="7" s="1"/>
  <c r="M436" i="1"/>
  <c r="M435" i="1"/>
  <c r="O434" i="1"/>
  <c r="M434" i="1"/>
  <c r="M433" i="1"/>
  <c r="CO432" i="1"/>
  <c r="CC429" i="7" s="1"/>
  <c r="CN432" i="1"/>
  <c r="CB429" i="7" s="1"/>
  <c r="CM432" i="1"/>
  <c r="CA429" i="7" s="1"/>
  <c r="CL432" i="1"/>
  <c r="BZ429" i="7" s="1"/>
  <c r="CK432" i="1"/>
  <c r="BY429" i="7" s="1"/>
  <c r="CJ432" i="1"/>
  <c r="BX429" i="7" s="1"/>
  <c r="CI432" i="1"/>
  <c r="BW429" i="7" s="1"/>
  <c r="CH432" i="1"/>
  <c r="BV429" i="7" s="1"/>
  <c r="CG432" i="1"/>
  <c r="BU429" i="7" s="1"/>
  <c r="CF432" i="1"/>
  <c r="BT429" i="7" s="1"/>
  <c r="CE432" i="1"/>
  <c r="BS429" i="7" s="1"/>
  <c r="CD432" i="1"/>
  <c r="BR429" i="7" s="1"/>
  <c r="CC432" i="1"/>
  <c r="BQ429" i="7" s="1"/>
  <c r="CB432" i="1"/>
  <c r="BP429" i="7" s="1"/>
  <c r="CA432" i="1"/>
  <c r="BO429" i="7" s="1"/>
  <c r="BZ432" i="1"/>
  <c r="BN429" i="7" s="1"/>
  <c r="BY432" i="1"/>
  <c r="BM429" i="7" s="1"/>
  <c r="BX432" i="1"/>
  <c r="BL429" i="7" s="1"/>
  <c r="BW432" i="1"/>
  <c r="BK429" i="7" s="1"/>
  <c r="BV432" i="1"/>
  <c r="BJ429" i="7" s="1"/>
  <c r="BU432" i="1"/>
  <c r="BI429" i="7" s="1"/>
  <c r="BT432" i="1"/>
  <c r="BH429" i="7" s="1"/>
  <c r="BS432" i="1"/>
  <c r="BG429" i="7" s="1"/>
  <c r="BR432" i="1"/>
  <c r="BF429" i="7" s="1"/>
  <c r="BQ432" i="1"/>
  <c r="BE429" i="7" s="1"/>
  <c r="BP432" i="1"/>
  <c r="BD429" i="7" s="1"/>
  <c r="BO432" i="1"/>
  <c r="BC429" i="7" s="1"/>
  <c r="BN432" i="1"/>
  <c r="BB429" i="7" s="1"/>
  <c r="BM432" i="1"/>
  <c r="BA429" i="7" s="1"/>
  <c r="BL432" i="1"/>
  <c r="AZ429" i="7" s="1"/>
  <c r="BK432" i="1"/>
  <c r="AY429" i="7" s="1"/>
  <c r="BJ432" i="1"/>
  <c r="AX429" i="7" s="1"/>
  <c r="BI432" i="1"/>
  <c r="AW429" i="7" s="1"/>
  <c r="BH432" i="1"/>
  <c r="AV429" i="7" s="1"/>
  <c r="BG432" i="1"/>
  <c r="AU429" i="7" s="1"/>
  <c r="BF432" i="1"/>
  <c r="AT429" i="7" s="1"/>
  <c r="BE432" i="1"/>
  <c r="AS429" i="7" s="1"/>
  <c r="BD432" i="1"/>
  <c r="AR429" i="7" s="1"/>
  <c r="BC432" i="1"/>
  <c r="AQ429" i="7" s="1"/>
  <c r="BB432" i="1"/>
  <c r="AP429" i="7" s="1"/>
  <c r="BA432" i="1"/>
  <c r="AO429" i="7" s="1"/>
  <c r="AZ432" i="1"/>
  <c r="AN429" i="7" s="1"/>
  <c r="AY432" i="1"/>
  <c r="AM429" i="7" s="1"/>
  <c r="AX432" i="1"/>
  <c r="AL429" i="7" s="1"/>
  <c r="AW432" i="1"/>
  <c r="AK429" i="7" s="1"/>
  <c r="AV432" i="1"/>
  <c r="AJ429" i="7" s="1"/>
  <c r="AU432" i="1"/>
  <c r="AI429" i="7" s="1"/>
  <c r="AT432" i="1"/>
  <c r="AH429" i="7" s="1"/>
  <c r="AS432" i="1"/>
  <c r="AG429" i="7" s="1"/>
  <c r="AR432" i="1"/>
  <c r="AF429" i="7" s="1"/>
  <c r="AQ432" i="1"/>
  <c r="AE429" i="7" s="1"/>
  <c r="AP432" i="1"/>
  <c r="AD429" i="7" s="1"/>
  <c r="AO432" i="1"/>
  <c r="AC429" i="7" s="1"/>
  <c r="AN432" i="1"/>
  <c r="AB429" i="7" s="1"/>
  <c r="AM432" i="1"/>
  <c r="AA429" i="7" s="1"/>
  <c r="AL432" i="1"/>
  <c r="Z429" i="7" s="1"/>
  <c r="AK432" i="1"/>
  <c r="Y429" i="7" s="1"/>
  <c r="AJ432" i="1"/>
  <c r="X429" i="7" s="1"/>
  <c r="AI432" i="1"/>
  <c r="W429" i="7" s="1"/>
  <c r="AH432" i="1"/>
  <c r="V429" i="7" s="1"/>
  <c r="AG432" i="1"/>
  <c r="U429" i="7" s="1"/>
  <c r="AF432" i="1"/>
  <c r="T429" i="7" s="1"/>
  <c r="AE432" i="1"/>
  <c r="S429" i="7" s="1"/>
  <c r="AD432" i="1"/>
  <c r="R429" i="7" s="1"/>
  <c r="AC432" i="1"/>
  <c r="Q429" i="7" s="1"/>
  <c r="AB432" i="1"/>
  <c r="P429" i="7" s="1"/>
  <c r="AA432" i="1"/>
  <c r="O429" i="7" s="1"/>
  <c r="Z432" i="1"/>
  <c r="N429" i="7" s="1"/>
  <c r="Y432" i="1"/>
  <c r="M429" i="7" s="1"/>
  <c r="X432" i="1"/>
  <c r="L429" i="7" s="1"/>
  <c r="W432" i="1"/>
  <c r="K429" i="7" s="1"/>
  <c r="V432" i="1"/>
  <c r="J429" i="7" s="1"/>
  <c r="U432" i="1"/>
  <c r="I429" i="7" s="1"/>
  <c r="T432" i="1"/>
  <c r="H429" i="7" s="1"/>
  <c r="S432" i="1"/>
  <c r="G429" i="7" s="1"/>
  <c r="R432" i="1"/>
  <c r="F429" i="7" s="1"/>
  <c r="CO431" i="1"/>
  <c r="CC428" i="7" s="1"/>
  <c r="CN431" i="1"/>
  <c r="CB428" i="7" s="1"/>
  <c r="CM431" i="1"/>
  <c r="CA428" i="7" s="1"/>
  <c r="CL431" i="1"/>
  <c r="BZ428" i="7" s="1"/>
  <c r="CF431" i="1"/>
  <c r="BT428" i="7" s="1"/>
  <c r="CE431" i="1"/>
  <c r="BS428" i="7" s="1"/>
  <c r="CD431" i="1"/>
  <c r="BR428" i="7" s="1"/>
  <c r="CC431" i="1"/>
  <c r="BQ428" i="7" s="1"/>
  <c r="CB431" i="1"/>
  <c r="BP428" i="7" s="1"/>
  <c r="CA431" i="1"/>
  <c r="BO428" i="7" s="1"/>
  <c r="BZ431" i="1"/>
  <c r="BN428" i="7" s="1"/>
  <c r="BY431" i="1"/>
  <c r="BM428" i="7" s="1"/>
  <c r="BX431" i="1"/>
  <c r="BL428" i="7" s="1"/>
  <c r="BW431" i="1"/>
  <c r="BK428" i="7" s="1"/>
  <c r="BV431" i="1"/>
  <c r="BJ428" i="7" s="1"/>
  <c r="BU431" i="1"/>
  <c r="BI428" i="7" s="1"/>
  <c r="BT431" i="1"/>
  <c r="BH428" i="7" s="1"/>
  <c r="BS431" i="1"/>
  <c r="BG428" i="7" s="1"/>
  <c r="BR431" i="1"/>
  <c r="BF428" i="7" s="1"/>
  <c r="BQ431" i="1"/>
  <c r="BE428" i="7" s="1"/>
  <c r="BP431" i="1"/>
  <c r="BD428" i="7" s="1"/>
  <c r="BO431" i="1"/>
  <c r="BC428" i="7" s="1"/>
  <c r="BN431" i="1"/>
  <c r="BB428" i="7" s="1"/>
  <c r="BM431" i="1"/>
  <c r="BA428" i="7" s="1"/>
  <c r="BL431" i="1"/>
  <c r="AZ428" i="7" s="1"/>
  <c r="BK431" i="1"/>
  <c r="AY428" i="7" s="1"/>
  <c r="BJ431" i="1"/>
  <c r="AX428" i="7" s="1"/>
  <c r="BI431" i="1"/>
  <c r="AW428" i="7" s="1"/>
  <c r="BH431" i="1"/>
  <c r="AV428" i="7" s="1"/>
  <c r="BG431" i="1"/>
  <c r="AU428" i="7" s="1"/>
  <c r="BF431" i="1"/>
  <c r="AT428" i="7" s="1"/>
  <c r="BE431" i="1"/>
  <c r="AS428" i="7" s="1"/>
  <c r="BD431" i="1"/>
  <c r="AR428" i="7" s="1"/>
  <c r="BC431" i="1"/>
  <c r="AQ428" i="7" s="1"/>
  <c r="BB431" i="1"/>
  <c r="AP428" i="7" s="1"/>
  <c r="BA431" i="1"/>
  <c r="AO428" i="7" s="1"/>
  <c r="AZ431" i="1"/>
  <c r="AN428" i="7" s="1"/>
  <c r="AY431" i="1"/>
  <c r="AM428" i="7" s="1"/>
  <c r="AX431" i="1"/>
  <c r="AL428" i="7" s="1"/>
  <c r="AW431" i="1"/>
  <c r="AK428" i="7" s="1"/>
  <c r="AV431" i="1"/>
  <c r="AJ428" i="7" s="1"/>
  <c r="AU431" i="1"/>
  <c r="AI428" i="7" s="1"/>
  <c r="AT431" i="1"/>
  <c r="AH428" i="7" s="1"/>
  <c r="AS431" i="1"/>
  <c r="AG428" i="7" s="1"/>
  <c r="AR431" i="1"/>
  <c r="AF428" i="7" s="1"/>
  <c r="AQ431" i="1"/>
  <c r="AE428" i="7" s="1"/>
  <c r="AP431" i="1"/>
  <c r="AD428" i="7" s="1"/>
  <c r="AO431" i="1"/>
  <c r="AC428" i="7" s="1"/>
  <c r="AN431" i="1"/>
  <c r="AB428" i="7" s="1"/>
  <c r="AM431" i="1"/>
  <c r="AA428" i="7" s="1"/>
  <c r="AL431" i="1"/>
  <c r="Z428" i="7" s="1"/>
  <c r="AK431" i="1"/>
  <c r="Y428" i="7" s="1"/>
  <c r="AJ431" i="1"/>
  <c r="X428" i="7" s="1"/>
  <c r="AI431" i="1"/>
  <c r="W428" i="7" s="1"/>
  <c r="AH431" i="1"/>
  <c r="V428" i="7" s="1"/>
  <c r="AG431" i="1"/>
  <c r="U428" i="7" s="1"/>
  <c r="AF431" i="1"/>
  <c r="T428" i="7" s="1"/>
  <c r="AE431" i="1"/>
  <c r="S428" i="7" s="1"/>
  <c r="AD431" i="1"/>
  <c r="R428" i="7" s="1"/>
  <c r="AC431" i="1"/>
  <c r="Q428" i="7" s="1"/>
  <c r="AB431" i="1"/>
  <c r="P428" i="7" s="1"/>
  <c r="AA431" i="1"/>
  <c r="O428" i="7" s="1"/>
  <c r="Z431" i="1"/>
  <c r="N428" i="7" s="1"/>
  <c r="Y431" i="1"/>
  <c r="M428" i="7" s="1"/>
  <c r="X431" i="1"/>
  <c r="L428" i="7" s="1"/>
  <c r="W431" i="1"/>
  <c r="K428" i="7" s="1"/>
  <c r="V431" i="1"/>
  <c r="J428" i="7" s="1"/>
  <c r="U431" i="1"/>
  <c r="I428" i="7" s="1"/>
  <c r="T431" i="1"/>
  <c r="H428" i="7" s="1"/>
  <c r="S431" i="1"/>
  <c r="G428" i="7" s="1"/>
  <c r="R431" i="1"/>
  <c r="F428" i="7" s="1"/>
  <c r="O431" i="1"/>
  <c r="O432" i="1" s="1"/>
  <c r="O430" i="1"/>
  <c r="M430" i="1"/>
  <c r="M429" i="1"/>
  <c r="CO428" i="1"/>
  <c r="CC425" i="7" s="1"/>
  <c r="CN428" i="1"/>
  <c r="CB425" i="7" s="1"/>
  <c r="CM428" i="1"/>
  <c r="CA425" i="7" s="1"/>
  <c r="CL428" i="1"/>
  <c r="BZ425" i="7" s="1"/>
  <c r="CK428" i="1"/>
  <c r="BY425" i="7" s="1"/>
  <c r="CJ428" i="1"/>
  <c r="BX425" i="7" s="1"/>
  <c r="CI428" i="1"/>
  <c r="BW425" i="7" s="1"/>
  <c r="CH428" i="1"/>
  <c r="BV425" i="7" s="1"/>
  <c r="CG428" i="1"/>
  <c r="BU425" i="7" s="1"/>
  <c r="CF428" i="1"/>
  <c r="BT425" i="7" s="1"/>
  <c r="CE428" i="1"/>
  <c r="BS425" i="7" s="1"/>
  <c r="CD428" i="1"/>
  <c r="BR425" i="7" s="1"/>
  <c r="CC428" i="1"/>
  <c r="BQ425" i="7" s="1"/>
  <c r="CB428" i="1"/>
  <c r="BP425" i="7" s="1"/>
  <c r="CA428" i="1"/>
  <c r="BO425" i="7" s="1"/>
  <c r="BZ428" i="1"/>
  <c r="BN425" i="7" s="1"/>
  <c r="BY428" i="1"/>
  <c r="BM425" i="7" s="1"/>
  <c r="BX428" i="1"/>
  <c r="BL425" i="7" s="1"/>
  <c r="BW428" i="1"/>
  <c r="BK425" i="7" s="1"/>
  <c r="BV428" i="1"/>
  <c r="BJ425" i="7" s="1"/>
  <c r="BU428" i="1"/>
  <c r="BI425" i="7" s="1"/>
  <c r="BT428" i="1"/>
  <c r="BH425" i="7" s="1"/>
  <c r="BS428" i="1"/>
  <c r="BG425" i="7" s="1"/>
  <c r="BR428" i="1"/>
  <c r="BF425" i="7" s="1"/>
  <c r="BQ428" i="1"/>
  <c r="BE425" i="7" s="1"/>
  <c r="BP428" i="1"/>
  <c r="BD425" i="7" s="1"/>
  <c r="BO428" i="1"/>
  <c r="BC425" i="7" s="1"/>
  <c r="BN428" i="1"/>
  <c r="BB425" i="7" s="1"/>
  <c r="BM428" i="1"/>
  <c r="BA425" i="7" s="1"/>
  <c r="BL428" i="1"/>
  <c r="AZ425" i="7" s="1"/>
  <c r="BK428" i="1"/>
  <c r="AY425" i="7" s="1"/>
  <c r="BJ428" i="1"/>
  <c r="AX425" i="7" s="1"/>
  <c r="BI428" i="1"/>
  <c r="AW425" i="7" s="1"/>
  <c r="BH428" i="1"/>
  <c r="AV425" i="7" s="1"/>
  <c r="BG428" i="1"/>
  <c r="AU425" i="7" s="1"/>
  <c r="BF428" i="1"/>
  <c r="AT425" i="7" s="1"/>
  <c r="BE428" i="1"/>
  <c r="AS425" i="7" s="1"/>
  <c r="BD428" i="1"/>
  <c r="AR425" i="7" s="1"/>
  <c r="BC428" i="1"/>
  <c r="AQ425" i="7" s="1"/>
  <c r="BB428" i="1"/>
  <c r="AP425" i="7" s="1"/>
  <c r="BA428" i="1"/>
  <c r="AO425" i="7" s="1"/>
  <c r="AZ428" i="1"/>
  <c r="AN425" i="7" s="1"/>
  <c r="AY428" i="1"/>
  <c r="AM425" i="7" s="1"/>
  <c r="AX428" i="1"/>
  <c r="AL425" i="7" s="1"/>
  <c r="AW428" i="1"/>
  <c r="AK425" i="7" s="1"/>
  <c r="AV428" i="1"/>
  <c r="AJ425" i="7" s="1"/>
  <c r="AU428" i="1"/>
  <c r="AI425" i="7" s="1"/>
  <c r="AT428" i="1"/>
  <c r="AH425" i="7" s="1"/>
  <c r="AS428" i="1"/>
  <c r="AG425" i="7" s="1"/>
  <c r="AR428" i="1"/>
  <c r="AF425" i="7" s="1"/>
  <c r="AQ428" i="1"/>
  <c r="AE425" i="7" s="1"/>
  <c r="AP428" i="1"/>
  <c r="AD425" i="7" s="1"/>
  <c r="AO428" i="1"/>
  <c r="AC425" i="7" s="1"/>
  <c r="AN428" i="1"/>
  <c r="AB425" i="7" s="1"/>
  <c r="AM428" i="1"/>
  <c r="AA425" i="7" s="1"/>
  <c r="AL428" i="1"/>
  <c r="Z425" i="7" s="1"/>
  <c r="AK428" i="1"/>
  <c r="Y425" i="7" s="1"/>
  <c r="AJ428" i="1"/>
  <c r="X425" i="7" s="1"/>
  <c r="AI428" i="1"/>
  <c r="W425" i="7" s="1"/>
  <c r="AH428" i="1"/>
  <c r="V425" i="7" s="1"/>
  <c r="AG428" i="1"/>
  <c r="U425" i="7" s="1"/>
  <c r="AF428" i="1"/>
  <c r="T425" i="7" s="1"/>
  <c r="AE428" i="1"/>
  <c r="S425" i="7" s="1"/>
  <c r="AD428" i="1"/>
  <c r="R425" i="7" s="1"/>
  <c r="AC428" i="1"/>
  <c r="Q425" i="7" s="1"/>
  <c r="AB428" i="1"/>
  <c r="P425" i="7" s="1"/>
  <c r="AA428" i="1"/>
  <c r="O425" i="7" s="1"/>
  <c r="Z428" i="1"/>
  <c r="N425" i="7" s="1"/>
  <c r="Y428" i="1"/>
  <c r="M425" i="7" s="1"/>
  <c r="X428" i="1"/>
  <c r="L425" i="7" s="1"/>
  <c r="W428" i="1"/>
  <c r="K425" i="7" s="1"/>
  <c r="V428" i="1"/>
  <c r="J425" i="7" s="1"/>
  <c r="U428" i="1"/>
  <c r="I425" i="7" s="1"/>
  <c r="T428" i="1"/>
  <c r="H425" i="7" s="1"/>
  <c r="S428" i="1"/>
  <c r="G425" i="7" s="1"/>
  <c r="R428" i="1"/>
  <c r="F425" i="7" s="1"/>
  <c r="O428" i="1"/>
  <c r="CO427" i="1"/>
  <c r="CC424" i="7" s="1"/>
  <c r="CN427" i="1"/>
  <c r="CB424" i="7" s="1"/>
  <c r="CM427" i="1"/>
  <c r="CA424" i="7" s="1"/>
  <c r="CL427" i="1"/>
  <c r="BZ424" i="7" s="1"/>
  <c r="CK427" i="1"/>
  <c r="BY424" i="7" s="1"/>
  <c r="CJ427" i="1"/>
  <c r="BX424" i="7" s="1"/>
  <c r="CI427" i="1"/>
  <c r="BW424" i="7" s="1"/>
  <c r="CH427" i="1"/>
  <c r="BV424" i="7" s="1"/>
  <c r="CG427" i="1"/>
  <c r="BU424" i="7" s="1"/>
  <c r="CF427" i="1"/>
  <c r="BT424" i="7" s="1"/>
  <c r="CE427" i="1"/>
  <c r="BS424" i="7" s="1"/>
  <c r="CD427" i="1"/>
  <c r="BR424" i="7" s="1"/>
  <c r="CC427" i="1"/>
  <c r="BQ424" i="7" s="1"/>
  <c r="CB427" i="1"/>
  <c r="BP424" i="7" s="1"/>
  <c r="CA427" i="1"/>
  <c r="BO424" i="7" s="1"/>
  <c r="BZ427" i="1"/>
  <c r="BN424" i="7" s="1"/>
  <c r="BY427" i="1"/>
  <c r="BM424" i="7" s="1"/>
  <c r="BX427" i="1"/>
  <c r="BL424" i="7" s="1"/>
  <c r="BW427" i="1"/>
  <c r="BK424" i="7" s="1"/>
  <c r="BV427" i="1"/>
  <c r="BJ424" i="7" s="1"/>
  <c r="BU427" i="1"/>
  <c r="BI424" i="7" s="1"/>
  <c r="BT427" i="1"/>
  <c r="BH424" i="7" s="1"/>
  <c r="BS427" i="1"/>
  <c r="BG424" i="7" s="1"/>
  <c r="BR427" i="1"/>
  <c r="BF424" i="7" s="1"/>
  <c r="BQ427" i="1"/>
  <c r="BE424" i="7" s="1"/>
  <c r="BP427" i="1"/>
  <c r="BD424" i="7" s="1"/>
  <c r="BO427" i="1"/>
  <c r="BC424" i="7" s="1"/>
  <c r="BN427" i="1"/>
  <c r="BB424" i="7" s="1"/>
  <c r="BM427" i="1"/>
  <c r="BA424" i="7" s="1"/>
  <c r="BL427" i="1"/>
  <c r="AZ424" i="7" s="1"/>
  <c r="BK427" i="1"/>
  <c r="AY424" i="7" s="1"/>
  <c r="BJ427" i="1"/>
  <c r="AX424" i="7" s="1"/>
  <c r="BI427" i="1"/>
  <c r="AW424" i="7" s="1"/>
  <c r="BH427" i="1"/>
  <c r="AV424" i="7" s="1"/>
  <c r="BG427" i="1"/>
  <c r="AU424" i="7" s="1"/>
  <c r="BF427" i="1"/>
  <c r="AT424" i="7" s="1"/>
  <c r="BE427" i="1"/>
  <c r="AS424" i="7" s="1"/>
  <c r="BD427" i="1"/>
  <c r="AR424" i="7" s="1"/>
  <c r="BC427" i="1"/>
  <c r="AQ424" i="7" s="1"/>
  <c r="BB427" i="1"/>
  <c r="AP424" i="7" s="1"/>
  <c r="BA427" i="1"/>
  <c r="AO424" i="7" s="1"/>
  <c r="AZ427" i="1"/>
  <c r="AN424" i="7" s="1"/>
  <c r="AY427" i="1"/>
  <c r="AM424" i="7" s="1"/>
  <c r="AX427" i="1"/>
  <c r="AL424" i="7" s="1"/>
  <c r="AW427" i="1"/>
  <c r="AK424" i="7" s="1"/>
  <c r="AV427" i="1"/>
  <c r="AJ424" i="7" s="1"/>
  <c r="AU427" i="1"/>
  <c r="AI424" i="7" s="1"/>
  <c r="AT427" i="1"/>
  <c r="AH424" i="7" s="1"/>
  <c r="AS427" i="1"/>
  <c r="AG424" i="7" s="1"/>
  <c r="AR427" i="1"/>
  <c r="AF424" i="7" s="1"/>
  <c r="AQ427" i="1"/>
  <c r="AE424" i="7" s="1"/>
  <c r="AP427" i="1"/>
  <c r="AD424" i="7" s="1"/>
  <c r="AO427" i="1"/>
  <c r="AC424" i="7" s="1"/>
  <c r="AN427" i="1"/>
  <c r="AB424" i="7" s="1"/>
  <c r="AM427" i="1"/>
  <c r="AA424" i="7" s="1"/>
  <c r="AL427" i="1"/>
  <c r="Z424" i="7" s="1"/>
  <c r="AK427" i="1"/>
  <c r="Y424" i="7" s="1"/>
  <c r="AJ427" i="1"/>
  <c r="X424" i="7" s="1"/>
  <c r="AI427" i="1"/>
  <c r="W424" i="7" s="1"/>
  <c r="AH427" i="1"/>
  <c r="V424" i="7" s="1"/>
  <c r="AG427" i="1"/>
  <c r="U424" i="7" s="1"/>
  <c r="AF427" i="1"/>
  <c r="T424" i="7" s="1"/>
  <c r="AE427" i="1"/>
  <c r="S424" i="7" s="1"/>
  <c r="AD427" i="1"/>
  <c r="R424" i="7" s="1"/>
  <c r="AC427" i="1"/>
  <c r="Q424" i="7" s="1"/>
  <c r="AB427" i="1"/>
  <c r="P424" i="7" s="1"/>
  <c r="AA427" i="1"/>
  <c r="O424" i="7" s="1"/>
  <c r="Z427" i="1"/>
  <c r="N424" i="7" s="1"/>
  <c r="Y427" i="1"/>
  <c r="M424" i="7" s="1"/>
  <c r="X427" i="1"/>
  <c r="L424" i="7" s="1"/>
  <c r="W427" i="1"/>
  <c r="K424" i="7" s="1"/>
  <c r="V427" i="1"/>
  <c r="J424" i="7" s="1"/>
  <c r="U427" i="1"/>
  <c r="I424" i="7" s="1"/>
  <c r="T427" i="1"/>
  <c r="H424" i="7" s="1"/>
  <c r="S427" i="1"/>
  <c r="G424" i="7" s="1"/>
  <c r="R427" i="1"/>
  <c r="F424" i="7" s="1"/>
  <c r="O427" i="1"/>
  <c r="CO426" i="1"/>
  <c r="CC423" i="7" s="1"/>
  <c r="CN426" i="1"/>
  <c r="CB423" i="7" s="1"/>
  <c r="CM426" i="1"/>
  <c r="CA423" i="7" s="1"/>
  <c r="CL426" i="1"/>
  <c r="BZ423" i="7" s="1"/>
  <c r="CK426" i="1"/>
  <c r="BY423" i="7" s="1"/>
  <c r="CJ426" i="1"/>
  <c r="BX423" i="7" s="1"/>
  <c r="CI426" i="1"/>
  <c r="BW423" i="7" s="1"/>
  <c r="CH426" i="1"/>
  <c r="BV423" i="7" s="1"/>
  <c r="CG426" i="1"/>
  <c r="BU423" i="7" s="1"/>
  <c r="CF426" i="1"/>
  <c r="BT423" i="7" s="1"/>
  <c r="CE426" i="1"/>
  <c r="BS423" i="7" s="1"/>
  <c r="CD426" i="1"/>
  <c r="BR423" i="7" s="1"/>
  <c r="CC426" i="1"/>
  <c r="BQ423" i="7" s="1"/>
  <c r="CB426" i="1"/>
  <c r="BP423" i="7" s="1"/>
  <c r="CA426" i="1"/>
  <c r="BO423" i="7" s="1"/>
  <c r="BZ426" i="1"/>
  <c r="BN423" i="7" s="1"/>
  <c r="BY426" i="1"/>
  <c r="BM423" i="7" s="1"/>
  <c r="BX426" i="1"/>
  <c r="BL423" i="7" s="1"/>
  <c r="BW426" i="1"/>
  <c r="BK423" i="7" s="1"/>
  <c r="BV426" i="1"/>
  <c r="BJ423" i="7" s="1"/>
  <c r="BU426" i="1"/>
  <c r="BI423" i="7" s="1"/>
  <c r="BT426" i="1"/>
  <c r="BH423" i="7" s="1"/>
  <c r="BS426" i="1"/>
  <c r="BG423" i="7" s="1"/>
  <c r="BR426" i="1"/>
  <c r="BF423" i="7" s="1"/>
  <c r="BQ426" i="1"/>
  <c r="BE423" i="7" s="1"/>
  <c r="BP426" i="1"/>
  <c r="BD423" i="7" s="1"/>
  <c r="BO426" i="1"/>
  <c r="BC423" i="7" s="1"/>
  <c r="BN426" i="1"/>
  <c r="BB423" i="7" s="1"/>
  <c r="BM426" i="1"/>
  <c r="BA423" i="7" s="1"/>
  <c r="BL426" i="1"/>
  <c r="AZ423" i="7" s="1"/>
  <c r="BK426" i="1"/>
  <c r="AY423" i="7" s="1"/>
  <c r="BJ426" i="1"/>
  <c r="AX423" i="7" s="1"/>
  <c r="BI426" i="1"/>
  <c r="AW423" i="7" s="1"/>
  <c r="BH426" i="1"/>
  <c r="AV423" i="7" s="1"/>
  <c r="BG426" i="1"/>
  <c r="AU423" i="7" s="1"/>
  <c r="BF426" i="1"/>
  <c r="AT423" i="7" s="1"/>
  <c r="BE426" i="1"/>
  <c r="AS423" i="7" s="1"/>
  <c r="BD426" i="1"/>
  <c r="AR423" i="7" s="1"/>
  <c r="BC426" i="1"/>
  <c r="AQ423" i="7" s="1"/>
  <c r="BB426" i="1"/>
  <c r="AP423" i="7" s="1"/>
  <c r="BA426" i="1"/>
  <c r="AO423" i="7" s="1"/>
  <c r="AZ426" i="1"/>
  <c r="AN423" i="7" s="1"/>
  <c r="AY426" i="1"/>
  <c r="AM423" i="7" s="1"/>
  <c r="AX426" i="1"/>
  <c r="AL423" i="7" s="1"/>
  <c r="AW426" i="1"/>
  <c r="AK423" i="7" s="1"/>
  <c r="AV426" i="1"/>
  <c r="AJ423" i="7" s="1"/>
  <c r="AU426" i="1"/>
  <c r="AI423" i="7" s="1"/>
  <c r="AT426" i="1"/>
  <c r="AH423" i="7" s="1"/>
  <c r="AS426" i="1"/>
  <c r="AG423" i="7" s="1"/>
  <c r="AR426" i="1"/>
  <c r="AF423" i="7" s="1"/>
  <c r="AQ426" i="1"/>
  <c r="AE423" i="7" s="1"/>
  <c r="AP426" i="1"/>
  <c r="AD423" i="7" s="1"/>
  <c r="AO426" i="1"/>
  <c r="AC423" i="7" s="1"/>
  <c r="AN426" i="1"/>
  <c r="AB423" i="7" s="1"/>
  <c r="AM426" i="1"/>
  <c r="AA423" i="7" s="1"/>
  <c r="AL426" i="1"/>
  <c r="Z423" i="7" s="1"/>
  <c r="AK426" i="1"/>
  <c r="Y423" i="7" s="1"/>
  <c r="AJ426" i="1"/>
  <c r="X423" i="7" s="1"/>
  <c r="AI426" i="1"/>
  <c r="W423" i="7" s="1"/>
  <c r="AH426" i="1"/>
  <c r="V423" i="7" s="1"/>
  <c r="AG426" i="1"/>
  <c r="U423" i="7" s="1"/>
  <c r="AF426" i="1"/>
  <c r="T423" i="7" s="1"/>
  <c r="AE426" i="1"/>
  <c r="S423" i="7" s="1"/>
  <c r="AD426" i="1"/>
  <c r="R423" i="7" s="1"/>
  <c r="AC426" i="1"/>
  <c r="Q423" i="7" s="1"/>
  <c r="AB426" i="1"/>
  <c r="P423" i="7" s="1"/>
  <c r="AA426" i="1"/>
  <c r="O423" i="7" s="1"/>
  <c r="Z426" i="1"/>
  <c r="N423" i="7" s="1"/>
  <c r="Y426" i="1"/>
  <c r="M423" i="7" s="1"/>
  <c r="X426" i="1"/>
  <c r="L423" i="7" s="1"/>
  <c r="W426" i="1"/>
  <c r="K423" i="7" s="1"/>
  <c r="V426" i="1"/>
  <c r="J423" i="7" s="1"/>
  <c r="U426" i="1"/>
  <c r="I423" i="7" s="1"/>
  <c r="T426" i="1"/>
  <c r="H423" i="7" s="1"/>
  <c r="S426" i="1"/>
  <c r="G423" i="7" s="1"/>
  <c r="R426" i="1"/>
  <c r="F423" i="7" s="1"/>
  <c r="CO425" i="1"/>
  <c r="CC422" i="7" s="1"/>
  <c r="CN425" i="1"/>
  <c r="CB422" i="7" s="1"/>
  <c r="CM425" i="1"/>
  <c r="CA422" i="7" s="1"/>
  <c r="CL425" i="1"/>
  <c r="BZ422" i="7" s="1"/>
  <c r="CB425" i="1"/>
  <c r="BP422" i="7" s="1"/>
  <c r="CA425" i="1"/>
  <c r="BO422" i="7" s="1"/>
  <c r="BZ425" i="1"/>
  <c r="BN422" i="7" s="1"/>
  <c r="BY425" i="1"/>
  <c r="BM422" i="7" s="1"/>
  <c r="BX425" i="1"/>
  <c r="BL422" i="7" s="1"/>
  <c r="BW425" i="1"/>
  <c r="BK422" i="7" s="1"/>
  <c r="BV425" i="1"/>
  <c r="BJ422" i="7" s="1"/>
  <c r="BU425" i="1"/>
  <c r="BI422" i="7" s="1"/>
  <c r="BT425" i="1"/>
  <c r="BH422" i="7" s="1"/>
  <c r="BS425" i="1"/>
  <c r="BG422" i="7" s="1"/>
  <c r="BR425" i="1"/>
  <c r="BF422" i="7" s="1"/>
  <c r="BQ425" i="1"/>
  <c r="BE422" i="7" s="1"/>
  <c r="BP425" i="1"/>
  <c r="BD422" i="7" s="1"/>
  <c r="BO425" i="1"/>
  <c r="BC422" i="7" s="1"/>
  <c r="BN425" i="1"/>
  <c r="BB422" i="7" s="1"/>
  <c r="BM425" i="1"/>
  <c r="BA422" i="7" s="1"/>
  <c r="BL425" i="1"/>
  <c r="AZ422" i="7" s="1"/>
  <c r="BK425" i="1"/>
  <c r="AY422" i="7" s="1"/>
  <c r="BJ425" i="1"/>
  <c r="AX422" i="7" s="1"/>
  <c r="BI425" i="1"/>
  <c r="AW422" i="7" s="1"/>
  <c r="BH425" i="1"/>
  <c r="AV422" i="7" s="1"/>
  <c r="BG425" i="1"/>
  <c r="AU422" i="7" s="1"/>
  <c r="BF425" i="1"/>
  <c r="AT422" i="7" s="1"/>
  <c r="BE425" i="1"/>
  <c r="AS422" i="7" s="1"/>
  <c r="BD425" i="1"/>
  <c r="AR422" i="7" s="1"/>
  <c r="BC425" i="1"/>
  <c r="AQ422" i="7" s="1"/>
  <c r="BB425" i="1"/>
  <c r="AP422" i="7" s="1"/>
  <c r="BA425" i="1"/>
  <c r="AO422" i="7" s="1"/>
  <c r="AZ425" i="1"/>
  <c r="AN422" i="7" s="1"/>
  <c r="AY425" i="1"/>
  <c r="AM422" i="7" s="1"/>
  <c r="AX425" i="1"/>
  <c r="AL422" i="7" s="1"/>
  <c r="AW425" i="1"/>
  <c r="AK422" i="7" s="1"/>
  <c r="AV425" i="1"/>
  <c r="AJ422" i="7" s="1"/>
  <c r="AU425" i="1"/>
  <c r="AI422" i="7" s="1"/>
  <c r="AT425" i="1"/>
  <c r="AH422" i="7" s="1"/>
  <c r="AS425" i="1"/>
  <c r="AG422" i="7" s="1"/>
  <c r="AR425" i="1"/>
  <c r="AF422" i="7" s="1"/>
  <c r="AQ425" i="1"/>
  <c r="AE422" i="7" s="1"/>
  <c r="AP425" i="1"/>
  <c r="AD422" i="7" s="1"/>
  <c r="AO425" i="1"/>
  <c r="AC422" i="7" s="1"/>
  <c r="AN425" i="1"/>
  <c r="AB422" i="7" s="1"/>
  <c r="AM425" i="1"/>
  <c r="AA422" i="7" s="1"/>
  <c r="AL425" i="1"/>
  <c r="Z422" i="7" s="1"/>
  <c r="AK425" i="1"/>
  <c r="Y422" i="7" s="1"/>
  <c r="AJ425" i="1"/>
  <c r="X422" i="7" s="1"/>
  <c r="AI425" i="1"/>
  <c r="W422" i="7" s="1"/>
  <c r="AH425" i="1"/>
  <c r="V422" i="7" s="1"/>
  <c r="AG425" i="1"/>
  <c r="U422" i="7" s="1"/>
  <c r="AF425" i="1"/>
  <c r="T422" i="7" s="1"/>
  <c r="AE425" i="1"/>
  <c r="S422" i="7" s="1"/>
  <c r="AD425" i="1"/>
  <c r="R422" i="7" s="1"/>
  <c r="AC425" i="1"/>
  <c r="Q422" i="7" s="1"/>
  <c r="AB425" i="1"/>
  <c r="P422" i="7" s="1"/>
  <c r="AA425" i="1"/>
  <c r="O422" i="7" s="1"/>
  <c r="Z425" i="1"/>
  <c r="N422" i="7" s="1"/>
  <c r="Y425" i="1"/>
  <c r="M422" i="7" s="1"/>
  <c r="X425" i="1"/>
  <c r="L422" i="7" s="1"/>
  <c r="W425" i="1"/>
  <c r="K422" i="7" s="1"/>
  <c r="V425" i="1"/>
  <c r="J422" i="7" s="1"/>
  <c r="U425" i="1"/>
  <c r="I422" i="7" s="1"/>
  <c r="T425" i="1"/>
  <c r="H422" i="7" s="1"/>
  <c r="S425" i="1"/>
  <c r="G422" i="7" s="1"/>
  <c r="R425" i="1"/>
  <c r="F422" i="7" s="1"/>
  <c r="O425" i="1"/>
  <c r="O426" i="1" s="1"/>
  <c r="O424" i="1"/>
  <c r="M424" i="1"/>
  <c r="M423" i="1"/>
  <c r="O422" i="1"/>
  <c r="CC419" i="1" s="1"/>
  <c r="BQ416" i="7" s="1"/>
  <c r="M422" i="1"/>
  <c r="M421" i="1"/>
  <c r="CO420" i="1"/>
  <c r="CC417" i="7" s="1"/>
  <c r="CN420" i="1"/>
  <c r="CB417" i="7" s="1"/>
  <c r="CM420" i="1"/>
  <c r="CA417" i="7" s="1"/>
  <c r="CL420" i="1"/>
  <c r="BZ417" i="7" s="1"/>
  <c r="CK420" i="1"/>
  <c r="BY417" i="7" s="1"/>
  <c r="CJ420" i="1"/>
  <c r="BX417" i="7" s="1"/>
  <c r="CI420" i="1"/>
  <c r="BW417" i="7" s="1"/>
  <c r="CH420" i="1"/>
  <c r="BV417" i="7" s="1"/>
  <c r="CG420" i="1"/>
  <c r="BU417" i="7" s="1"/>
  <c r="CF420" i="1"/>
  <c r="BT417" i="7" s="1"/>
  <c r="CE420" i="1"/>
  <c r="BS417" i="7" s="1"/>
  <c r="CD420" i="1"/>
  <c r="BR417" i="7" s="1"/>
  <c r="CC420" i="1"/>
  <c r="BQ417" i="7" s="1"/>
  <c r="CB420" i="1"/>
  <c r="BP417" i="7" s="1"/>
  <c r="CA420" i="1"/>
  <c r="BO417" i="7" s="1"/>
  <c r="BZ420" i="1"/>
  <c r="BN417" i="7" s="1"/>
  <c r="BY420" i="1"/>
  <c r="BM417" i="7" s="1"/>
  <c r="BX420" i="1"/>
  <c r="BL417" i="7" s="1"/>
  <c r="BW420" i="1"/>
  <c r="BK417" i="7" s="1"/>
  <c r="BV420" i="1"/>
  <c r="BJ417" i="7" s="1"/>
  <c r="BU420" i="1"/>
  <c r="BI417" i="7" s="1"/>
  <c r="BT420" i="1"/>
  <c r="BH417" i="7" s="1"/>
  <c r="BS420" i="1"/>
  <c r="BG417" i="7" s="1"/>
  <c r="BR420" i="1"/>
  <c r="BF417" i="7" s="1"/>
  <c r="BQ420" i="1"/>
  <c r="BE417" i="7" s="1"/>
  <c r="BP420" i="1"/>
  <c r="BD417" i="7" s="1"/>
  <c r="BO420" i="1"/>
  <c r="BC417" i="7" s="1"/>
  <c r="BN420" i="1"/>
  <c r="BB417" i="7" s="1"/>
  <c r="BM420" i="1"/>
  <c r="BA417" i="7" s="1"/>
  <c r="BL420" i="1"/>
  <c r="AZ417" i="7" s="1"/>
  <c r="BK420" i="1"/>
  <c r="AY417" i="7" s="1"/>
  <c r="BJ420" i="1"/>
  <c r="AX417" i="7" s="1"/>
  <c r="BI420" i="1"/>
  <c r="AW417" i="7" s="1"/>
  <c r="BH420" i="1"/>
  <c r="AV417" i="7" s="1"/>
  <c r="BG420" i="1"/>
  <c r="AU417" i="7" s="1"/>
  <c r="BF420" i="1"/>
  <c r="AT417" i="7" s="1"/>
  <c r="BE420" i="1"/>
  <c r="AS417" i="7" s="1"/>
  <c r="BD420" i="1"/>
  <c r="AR417" i="7" s="1"/>
  <c r="BC420" i="1"/>
  <c r="AQ417" i="7" s="1"/>
  <c r="BB420" i="1"/>
  <c r="AP417" i="7" s="1"/>
  <c r="BA420" i="1"/>
  <c r="AO417" i="7" s="1"/>
  <c r="AZ420" i="1"/>
  <c r="AN417" i="7" s="1"/>
  <c r="AY420" i="1"/>
  <c r="AM417" i="7" s="1"/>
  <c r="AX420" i="1"/>
  <c r="AL417" i="7" s="1"/>
  <c r="AW420" i="1"/>
  <c r="AK417" i="7" s="1"/>
  <c r="AV420" i="1"/>
  <c r="AJ417" i="7" s="1"/>
  <c r="AU420" i="1"/>
  <c r="AI417" i="7" s="1"/>
  <c r="AT420" i="1"/>
  <c r="AH417" i="7" s="1"/>
  <c r="AS420" i="1"/>
  <c r="AG417" i="7" s="1"/>
  <c r="AR420" i="1"/>
  <c r="AF417" i="7" s="1"/>
  <c r="AQ420" i="1"/>
  <c r="AE417" i="7" s="1"/>
  <c r="AP420" i="1"/>
  <c r="AD417" i="7" s="1"/>
  <c r="AO420" i="1"/>
  <c r="AC417" i="7" s="1"/>
  <c r="AN420" i="1"/>
  <c r="AB417" i="7" s="1"/>
  <c r="AM420" i="1"/>
  <c r="AA417" i="7" s="1"/>
  <c r="AL420" i="1"/>
  <c r="Z417" i="7" s="1"/>
  <c r="AK420" i="1"/>
  <c r="Y417" i="7" s="1"/>
  <c r="AJ420" i="1"/>
  <c r="X417" i="7" s="1"/>
  <c r="AI420" i="1"/>
  <c r="W417" i="7" s="1"/>
  <c r="AH420" i="1"/>
  <c r="V417" i="7" s="1"/>
  <c r="AG420" i="1"/>
  <c r="U417" i="7" s="1"/>
  <c r="AF420" i="1"/>
  <c r="T417" i="7" s="1"/>
  <c r="AE420" i="1"/>
  <c r="S417" i="7" s="1"/>
  <c r="AD420" i="1"/>
  <c r="R417" i="7" s="1"/>
  <c r="AC420" i="1"/>
  <c r="Q417" i="7" s="1"/>
  <c r="AB420" i="1"/>
  <c r="P417" i="7" s="1"/>
  <c r="AA420" i="1"/>
  <c r="O417" i="7" s="1"/>
  <c r="Z420" i="1"/>
  <c r="N417" i="7" s="1"/>
  <c r="Y420" i="1"/>
  <c r="M417" i="7" s="1"/>
  <c r="X420" i="1"/>
  <c r="L417" i="7" s="1"/>
  <c r="W420" i="1"/>
  <c r="K417" i="7" s="1"/>
  <c r="V420" i="1"/>
  <c r="J417" i="7" s="1"/>
  <c r="U420" i="1"/>
  <c r="I417" i="7" s="1"/>
  <c r="T420" i="1"/>
  <c r="H417" i="7" s="1"/>
  <c r="S420" i="1"/>
  <c r="G417" i="7" s="1"/>
  <c r="R420" i="1"/>
  <c r="F417" i="7" s="1"/>
  <c r="CO419" i="1"/>
  <c r="CC416" i="7" s="1"/>
  <c r="CN419" i="1"/>
  <c r="CB416" i="7" s="1"/>
  <c r="CM419" i="1"/>
  <c r="CA416" i="7" s="1"/>
  <c r="CL419" i="1"/>
  <c r="BZ416" i="7" s="1"/>
  <c r="CK419" i="1"/>
  <c r="BY416" i="7" s="1"/>
  <c r="CJ419" i="1"/>
  <c r="BX416" i="7" s="1"/>
  <c r="CI419" i="1"/>
  <c r="BW416" i="7" s="1"/>
  <c r="CH419" i="1"/>
  <c r="BV416" i="7" s="1"/>
  <c r="CG419" i="1"/>
  <c r="BU416" i="7" s="1"/>
  <c r="CF419" i="1"/>
  <c r="BT416" i="7" s="1"/>
  <c r="BZ419" i="1"/>
  <c r="BN416" i="7" s="1"/>
  <c r="BY419" i="1"/>
  <c r="BM416" i="7" s="1"/>
  <c r="BX419" i="1"/>
  <c r="BL416" i="7" s="1"/>
  <c r="BW419" i="1"/>
  <c r="BK416" i="7" s="1"/>
  <c r="BV419" i="1"/>
  <c r="BJ416" i="7" s="1"/>
  <c r="BU419" i="1"/>
  <c r="BI416" i="7" s="1"/>
  <c r="BT419" i="1"/>
  <c r="BH416" i="7" s="1"/>
  <c r="BS419" i="1"/>
  <c r="BG416" i="7" s="1"/>
  <c r="BR419" i="1"/>
  <c r="BF416" i="7" s="1"/>
  <c r="BQ419" i="1"/>
  <c r="BE416" i="7" s="1"/>
  <c r="BP419" i="1"/>
  <c r="BD416" i="7" s="1"/>
  <c r="BO419" i="1"/>
  <c r="BC416" i="7" s="1"/>
  <c r="BN419" i="1"/>
  <c r="BB416" i="7" s="1"/>
  <c r="BM419" i="1"/>
  <c r="BA416" i="7" s="1"/>
  <c r="BL419" i="1"/>
  <c r="AZ416" i="7" s="1"/>
  <c r="BK419" i="1"/>
  <c r="AY416" i="7" s="1"/>
  <c r="BJ419" i="1"/>
  <c r="AX416" i="7" s="1"/>
  <c r="BI419" i="1"/>
  <c r="AW416" i="7" s="1"/>
  <c r="BH419" i="1"/>
  <c r="AV416" i="7" s="1"/>
  <c r="BG419" i="1"/>
  <c r="AU416" i="7" s="1"/>
  <c r="BF419" i="1"/>
  <c r="AT416" i="7" s="1"/>
  <c r="BE419" i="1"/>
  <c r="AS416" i="7" s="1"/>
  <c r="BD419" i="1"/>
  <c r="AR416" i="7" s="1"/>
  <c r="BC419" i="1"/>
  <c r="AQ416" i="7" s="1"/>
  <c r="BB419" i="1"/>
  <c r="AP416" i="7" s="1"/>
  <c r="BA419" i="1"/>
  <c r="AO416" i="7" s="1"/>
  <c r="AZ419" i="1"/>
  <c r="AN416" i="7" s="1"/>
  <c r="AY419" i="1"/>
  <c r="AM416" i="7" s="1"/>
  <c r="AX419" i="1"/>
  <c r="AL416" i="7" s="1"/>
  <c r="AW419" i="1"/>
  <c r="AK416" i="7" s="1"/>
  <c r="AV419" i="1"/>
  <c r="AJ416" i="7" s="1"/>
  <c r="AU419" i="1"/>
  <c r="AI416" i="7" s="1"/>
  <c r="AT419" i="1"/>
  <c r="AH416" i="7" s="1"/>
  <c r="AS419" i="1"/>
  <c r="AG416" i="7" s="1"/>
  <c r="AR419" i="1"/>
  <c r="AF416" i="7" s="1"/>
  <c r="AQ419" i="1"/>
  <c r="AE416" i="7" s="1"/>
  <c r="AP419" i="1"/>
  <c r="AD416" i="7" s="1"/>
  <c r="AO419" i="1"/>
  <c r="AC416" i="7" s="1"/>
  <c r="AN419" i="1"/>
  <c r="AB416" i="7" s="1"/>
  <c r="AM419" i="1"/>
  <c r="AA416" i="7" s="1"/>
  <c r="AL419" i="1"/>
  <c r="Z416" i="7" s="1"/>
  <c r="AK419" i="1"/>
  <c r="Y416" i="7" s="1"/>
  <c r="AJ419" i="1"/>
  <c r="X416" i="7" s="1"/>
  <c r="AI419" i="1"/>
  <c r="W416" i="7" s="1"/>
  <c r="AH419" i="1"/>
  <c r="V416" i="7" s="1"/>
  <c r="AG419" i="1"/>
  <c r="U416" i="7" s="1"/>
  <c r="AF419" i="1"/>
  <c r="T416" i="7" s="1"/>
  <c r="AE419" i="1"/>
  <c r="S416" i="7" s="1"/>
  <c r="AD419" i="1"/>
  <c r="R416" i="7" s="1"/>
  <c r="AC419" i="1"/>
  <c r="Q416" i="7" s="1"/>
  <c r="AB419" i="1"/>
  <c r="P416" i="7" s="1"/>
  <c r="AA419" i="1"/>
  <c r="O416" i="7" s="1"/>
  <c r="Z419" i="1"/>
  <c r="N416" i="7" s="1"/>
  <c r="Y419" i="1"/>
  <c r="M416" i="7" s="1"/>
  <c r="X419" i="1"/>
  <c r="L416" i="7" s="1"/>
  <c r="W419" i="1"/>
  <c r="K416" i="7" s="1"/>
  <c r="V419" i="1"/>
  <c r="J416" i="7" s="1"/>
  <c r="U419" i="1"/>
  <c r="I416" i="7" s="1"/>
  <c r="T419" i="1"/>
  <c r="H416" i="7" s="1"/>
  <c r="S419" i="1"/>
  <c r="G416" i="7" s="1"/>
  <c r="R419" i="1"/>
  <c r="F416" i="7" s="1"/>
  <c r="O419" i="1"/>
  <c r="O420" i="1" s="1"/>
  <c r="O418" i="1"/>
  <c r="BY415" i="1" s="1"/>
  <c r="BM412" i="7" s="1"/>
  <c r="M418" i="1"/>
  <c r="M417" i="1"/>
  <c r="CO416" i="1"/>
  <c r="CC413" i="7" s="1"/>
  <c r="CN416" i="1"/>
  <c r="CB413" i="7" s="1"/>
  <c r="CM416" i="1"/>
  <c r="CA413" i="7" s="1"/>
  <c r="CL416" i="1"/>
  <c r="BZ413" i="7" s="1"/>
  <c r="CK416" i="1"/>
  <c r="BY413" i="7" s="1"/>
  <c r="CJ416" i="1"/>
  <c r="BX413" i="7" s="1"/>
  <c r="CI416" i="1"/>
  <c r="BW413" i="7" s="1"/>
  <c r="CH416" i="1"/>
  <c r="BV413" i="7" s="1"/>
  <c r="CG416" i="1"/>
  <c r="BU413" i="7" s="1"/>
  <c r="CF416" i="1"/>
  <c r="BT413" i="7" s="1"/>
  <c r="CE416" i="1"/>
  <c r="BS413" i="7" s="1"/>
  <c r="CD416" i="1"/>
  <c r="BR413" i="7" s="1"/>
  <c r="CC416" i="1"/>
  <c r="BQ413" i="7" s="1"/>
  <c r="CB416" i="1"/>
  <c r="BP413" i="7" s="1"/>
  <c r="CA416" i="1"/>
  <c r="BO413" i="7" s="1"/>
  <c r="BZ416" i="1"/>
  <c r="BN413" i="7" s="1"/>
  <c r="BY416" i="1"/>
  <c r="BM413" i="7" s="1"/>
  <c r="BX416" i="1"/>
  <c r="BL413" i="7" s="1"/>
  <c r="BW416" i="1"/>
  <c r="BK413" i="7" s="1"/>
  <c r="BV416" i="1"/>
  <c r="BJ413" i="7" s="1"/>
  <c r="BU416" i="1"/>
  <c r="BI413" i="7" s="1"/>
  <c r="BT416" i="1"/>
  <c r="BH413" i="7" s="1"/>
  <c r="BS416" i="1"/>
  <c r="BG413" i="7" s="1"/>
  <c r="BR416" i="1"/>
  <c r="BF413" i="7" s="1"/>
  <c r="BQ416" i="1"/>
  <c r="BE413" i="7" s="1"/>
  <c r="BP416" i="1"/>
  <c r="BD413" i="7" s="1"/>
  <c r="BO416" i="1"/>
  <c r="BC413" i="7" s="1"/>
  <c r="BN416" i="1"/>
  <c r="BB413" i="7" s="1"/>
  <c r="BM416" i="1"/>
  <c r="BA413" i="7" s="1"/>
  <c r="BL416" i="1"/>
  <c r="AZ413" i="7" s="1"/>
  <c r="BK416" i="1"/>
  <c r="AY413" i="7" s="1"/>
  <c r="BJ416" i="1"/>
  <c r="AX413" i="7" s="1"/>
  <c r="BI416" i="1"/>
  <c r="AW413" i="7" s="1"/>
  <c r="BH416" i="1"/>
  <c r="AV413" i="7" s="1"/>
  <c r="BG416" i="1"/>
  <c r="AU413" i="7" s="1"/>
  <c r="BF416" i="1"/>
  <c r="AT413" i="7" s="1"/>
  <c r="BE416" i="1"/>
  <c r="AS413" i="7" s="1"/>
  <c r="BD416" i="1"/>
  <c r="AR413" i="7" s="1"/>
  <c r="BC416" i="1"/>
  <c r="AQ413" i="7" s="1"/>
  <c r="BB416" i="1"/>
  <c r="AP413" i="7" s="1"/>
  <c r="BA416" i="1"/>
  <c r="AO413" i="7" s="1"/>
  <c r="AZ416" i="1"/>
  <c r="AN413" i="7" s="1"/>
  <c r="AY416" i="1"/>
  <c r="AM413" i="7" s="1"/>
  <c r="AX416" i="1"/>
  <c r="AL413" i="7" s="1"/>
  <c r="AW416" i="1"/>
  <c r="AK413" i="7" s="1"/>
  <c r="AV416" i="1"/>
  <c r="AJ413" i="7" s="1"/>
  <c r="AU416" i="1"/>
  <c r="AI413" i="7" s="1"/>
  <c r="AT416" i="1"/>
  <c r="AH413" i="7" s="1"/>
  <c r="AS416" i="1"/>
  <c r="AG413" i="7" s="1"/>
  <c r="AR416" i="1"/>
  <c r="AF413" i="7" s="1"/>
  <c r="AQ416" i="1"/>
  <c r="AE413" i="7" s="1"/>
  <c r="AP416" i="1"/>
  <c r="AD413" i="7" s="1"/>
  <c r="AO416" i="1"/>
  <c r="AC413" i="7" s="1"/>
  <c r="AN416" i="1"/>
  <c r="AB413" i="7" s="1"/>
  <c r="AM416" i="1"/>
  <c r="AA413" i="7" s="1"/>
  <c r="AL416" i="1"/>
  <c r="Z413" i="7" s="1"/>
  <c r="AK416" i="1"/>
  <c r="Y413" i="7" s="1"/>
  <c r="AJ416" i="1"/>
  <c r="X413" i="7" s="1"/>
  <c r="AI416" i="1"/>
  <c r="W413" i="7" s="1"/>
  <c r="AH416" i="1"/>
  <c r="V413" i="7" s="1"/>
  <c r="AG416" i="1"/>
  <c r="U413" i="7" s="1"/>
  <c r="AF416" i="1"/>
  <c r="T413" i="7" s="1"/>
  <c r="AE416" i="1"/>
  <c r="S413" i="7" s="1"/>
  <c r="AD416" i="1"/>
  <c r="R413" i="7" s="1"/>
  <c r="AC416" i="1"/>
  <c r="Q413" i="7" s="1"/>
  <c r="AB416" i="1"/>
  <c r="P413" i="7" s="1"/>
  <c r="AA416" i="1"/>
  <c r="O413" i="7" s="1"/>
  <c r="Z416" i="1"/>
  <c r="N413" i="7" s="1"/>
  <c r="Y416" i="1"/>
  <c r="M413" i="7" s="1"/>
  <c r="X416" i="1"/>
  <c r="L413" i="7" s="1"/>
  <c r="W416" i="1"/>
  <c r="K413" i="7" s="1"/>
  <c r="V416" i="1"/>
  <c r="J413" i="7" s="1"/>
  <c r="U416" i="1"/>
  <c r="I413" i="7" s="1"/>
  <c r="T416" i="1"/>
  <c r="H413" i="7" s="1"/>
  <c r="S416" i="1"/>
  <c r="G413" i="7" s="1"/>
  <c r="R416" i="1"/>
  <c r="F413" i="7" s="1"/>
  <c r="CO415" i="1"/>
  <c r="CC412" i="7" s="1"/>
  <c r="CN415" i="1"/>
  <c r="CB412" i="7" s="1"/>
  <c r="CM415" i="1"/>
  <c r="CA412" i="7" s="1"/>
  <c r="CL415" i="1"/>
  <c r="BZ412" i="7" s="1"/>
  <c r="CK415" i="1"/>
  <c r="BY412" i="7" s="1"/>
  <c r="CJ415" i="1"/>
  <c r="BX412" i="7" s="1"/>
  <c r="CI415" i="1"/>
  <c r="BW412" i="7" s="1"/>
  <c r="CH415" i="1"/>
  <c r="BV412" i="7" s="1"/>
  <c r="CG415" i="1"/>
  <c r="BU412" i="7" s="1"/>
  <c r="CF415" i="1"/>
  <c r="BT412" i="7" s="1"/>
  <c r="CE415" i="1"/>
  <c r="BS412" i="7" s="1"/>
  <c r="CD415" i="1"/>
  <c r="BR412" i="7" s="1"/>
  <c r="CC415" i="1"/>
  <c r="BQ412" i="7" s="1"/>
  <c r="CB415" i="1"/>
  <c r="BP412" i="7" s="1"/>
  <c r="BV415" i="1"/>
  <c r="BJ412" i="7" s="1"/>
  <c r="BU415" i="1"/>
  <c r="BI412" i="7" s="1"/>
  <c r="BT415" i="1"/>
  <c r="BH412" i="7" s="1"/>
  <c r="BS415" i="1"/>
  <c r="BG412" i="7" s="1"/>
  <c r="BR415" i="1"/>
  <c r="BF412" i="7" s="1"/>
  <c r="BQ415" i="1"/>
  <c r="BE412" i="7" s="1"/>
  <c r="BP415" i="1"/>
  <c r="BD412" i="7" s="1"/>
  <c r="BO415" i="1"/>
  <c r="BC412" i="7" s="1"/>
  <c r="BN415" i="1"/>
  <c r="BB412" i="7" s="1"/>
  <c r="BM415" i="1"/>
  <c r="BA412" i="7" s="1"/>
  <c r="BL415" i="1"/>
  <c r="AZ412" i="7" s="1"/>
  <c r="BK415" i="1"/>
  <c r="AY412" i="7" s="1"/>
  <c r="BJ415" i="1"/>
  <c r="AX412" i="7" s="1"/>
  <c r="BI415" i="1"/>
  <c r="AW412" i="7" s="1"/>
  <c r="BH415" i="1"/>
  <c r="AV412" i="7" s="1"/>
  <c r="BG415" i="1"/>
  <c r="AU412" i="7" s="1"/>
  <c r="BF415" i="1"/>
  <c r="AT412" i="7" s="1"/>
  <c r="BE415" i="1"/>
  <c r="AS412" i="7" s="1"/>
  <c r="BD415" i="1"/>
  <c r="AR412" i="7" s="1"/>
  <c r="BC415" i="1"/>
  <c r="AQ412" i="7" s="1"/>
  <c r="BB415" i="1"/>
  <c r="AP412" i="7" s="1"/>
  <c r="BA415" i="1"/>
  <c r="AO412" i="7" s="1"/>
  <c r="AZ415" i="1"/>
  <c r="AN412" i="7" s="1"/>
  <c r="AY415" i="1"/>
  <c r="AM412" i="7" s="1"/>
  <c r="AX415" i="1"/>
  <c r="AL412" i="7" s="1"/>
  <c r="AW415" i="1"/>
  <c r="AK412" i="7" s="1"/>
  <c r="AV415" i="1"/>
  <c r="AJ412" i="7" s="1"/>
  <c r="AU415" i="1"/>
  <c r="AI412" i="7" s="1"/>
  <c r="AT415" i="1"/>
  <c r="AH412" i="7" s="1"/>
  <c r="AS415" i="1"/>
  <c r="AG412" i="7" s="1"/>
  <c r="AR415" i="1"/>
  <c r="AF412" i="7" s="1"/>
  <c r="AQ415" i="1"/>
  <c r="AE412" i="7" s="1"/>
  <c r="AP415" i="1"/>
  <c r="AD412" i="7" s="1"/>
  <c r="AO415" i="1"/>
  <c r="AC412" i="7" s="1"/>
  <c r="AN415" i="1"/>
  <c r="AB412" i="7" s="1"/>
  <c r="AM415" i="1"/>
  <c r="AA412" i="7" s="1"/>
  <c r="AL415" i="1"/>
  <c r="Z412" i="7" s="1"/>
  <c r="AK415" i="1"/>
  <c r="Y412" i="7" s="1"/>
  <c r="AJ415" i="1"/>
  <c r="X412" i="7" s="1"/>
  <c r="AI415" i="1"/>
  <c r="W412" i="7" s="1"/>
  <c r="AH415" i="1"/>
  <c r="V412" i="7" s="1"/>
  <c r="AG415" i="1"/>
  <c r="U412" i="7" s="1"/>
  <c r="AF415" i="1"/>
  <c r="T412" i="7" s="1"/>
  <c r="AE415" i="1"/>
  <c r="S412" i="7" s="1"/>
  <c r="AD415" i="1"/>
  <c r="R412" i="7" s="1"/>
  <c r="AC415" i="1"/>
  <c r="Q412" i="7" s="1"/>
  <c r="AB415" i="1"/>
  <c r="P412" i="7" s="1"/>
  <c r="AA415" i="1"/>
  <c r="O412" i="7" s="1"/>
  <c r="Z415" i="1"/>
  <c r="N412" i="7" s="1"/>
  <c r="Y415" i="1"/>
  <c r="M412" i="7" s="1"/>
  <c r="X415" i="1"/>
  <c r="L412" i="7" s="1"/>
  <c r="W415" i="1"/>
  <c r="K412" i="7" s="1"/>
  <c r="V415" i="1"/>
  <c r="J412" i="7" s="1"/>
  <c r="U415" i="1"/>
  <c r="I412" i="7" s="1"/>
  <c r="T415" i="1"/>
  <c r="H412" i="7" s="1"/>
  <c r="S415" i="1"/>
  <c r="G412" i="7" s="1"/>
  <c r="R415" i="1"/>
  <c r="F412" i="7" s="1"/>
  <c r="O415" i="1"/>
  <c r="O416" i="1" s="1"/>
  <c r="CO414" i="1"/>
  <c r="CC411" i="7" s="1"/>
  <c r="CN414" i="1"/>
  <c r="CB411" i="7" s="1"/>
  <c r="CM414" i="1"/>
  <c r="CA411" i="7" s="1"/>
  <c r="CL414" i="1"/>
  <c r="BZ411" i="7" s="1"/>
  <c r="CK414" i="1"/>
  <c r="BY411" i="7" s="1"/>
  <c r="CJ414" i="1"/>
  <c r="BX411" i="7" s="1"/>
  <c r="CI414" i="1"/>
  <c r="BW411" i="7" s="1"/>
  <c r="CH414" i="1"/>
  <c r="BV411" i="7" s="1"/>
  <c r="CG414" i="1"/>
  <c r="BU411" i="7" s="1"/>
  <c r="CF414" i="1"/>
  <c r="BT411" i="7" s="1"/>
  <c r="CE414" i="1"/>
  <c r="BS411" i="7" s="1"/>
  <c r="CD414" i="1"/>
  <c r="BR411" i="7" s="1"/>
  <c r="CC414" i="1"/>
  <c r="BQ411" i="7" s="1"/>
  <c r="CB414" i="1"/>
  <c r="BP411" i="7" s="1"/>
  <c r="CA414" i="1"/>
  <c r="BO411" i="7" s="1"/>
  <c r="BZ414" i="1"/>
  <c r="BN411" i="7" s="1"/>
  <c r="BY414" i="1"/>
  <c r="BM411" i="7" s="1"/>
  <c r="BX414" i="1"/>
  <c r="BL411" i="7" s="1"/>
  <c r="BW414" i="1"/>
  <c r="BK411" i="7" s="1"/>
  <c r="BV414" i="1"/>
  <c r="BJ411" i="7" s="1"/>
  <c r="BU414" i="1"/>
  <c r="BI411" i="7" s="1"/>
  <c r="BT414" i="1"/>
  <c r="BH411" i="7" s="1"/>
  <c r="BS414" i="1"/>
  <c r="BG411" i="7" s="1"/>
  <c r="BR414" i="1"/>
  <c r="BF411" i="7" s="1"/>
  <c r="BQ414" i="1"/>
  <c r="BE411" i="7" s="1"/>
  <c r="BP414" i="1"/>
  <c r="BD411" i="7" s="1"/>
  <c r="BO414" i="1"/>
  <c r="BC411" i="7" s="1"/>
  <c r="BN414" i="1"/>
  <c r="BB411" i="7" s="1"/>
  <c r="BM414" i="1"/>
  <c r="BA411" i="7" s="1"/>
  <c r="BL414" i="1"/>
  <c r="AZ411" i="7" s="1"/>
  <c r="BK414" i="1"/>
  <c r="AY411" i="7" s="1"/>
  <c r="BJ414" i="1"/>
  <c r="AX411" i="7" s="1"/>
  <c r="BI414" i="1"/>
  <c r="AW411" i="7" s="1"/>
  <c r="BH414" i="1"/>
  <c r="AV411" i="7" s="1"/>
  <c r="BG414" i="1"/>
  <c r="AU411" i="7" s="1"/>
  <c r="BF414" i="1"/>
  <c r="AT411" i="7" s="1"/>
  <c r="BE414" i="1"/>
  <c r="AS411" i="7" s="1"/>
  <c r="BD414" i="1"/>
  <c r="AR411" i="7" s="1"/>
  <c r="BC414" i="1"/>
  <c r="AQ411" i="7" s="1"/>
  <c r="BB414" i="1"/>
  <c r="AP411" i="7" s="1"/>
  <c r="BA414" i="1"/>
  <c r="AO411" i="7" s="1"/>
  <c r="AZ414" i="1"/>
  <c r="AN411" i="7" s="1"/>
  <c r="AY414" i="1"/>
  <c r="AM411" i="7" s="1"/>
  <c r="AX414" i="1"/>
  <c r="AL411" i="7" s="1"/>
  <c r="AW414" i="1"/>
  <c r="AK411" i="7" s="1"/>
  <c r="AV414" i="1"/>
  <c r="AJ411" i="7" s="1"/>
  <c r="AU414" i="1"/>
  <c r="AI411" i="7" s="1"/>
  <c r="AT414" i="1"/>
  <c r="AH411" i="7" s="1"/>
  <c r="AS414" i="1"/>
  <c r="AG411" i="7" s="1"/>
  <c r="AR414" i="1"/>
  <c r="AF411" i="7" s="1"/>
  <c r="AQ414" i="1"/>
  <c r="AE411" i="7" s="1"/>
  <c r="AP414" i="1"/>
  <c r="AD411" i="7" s="1"/>
  <c r="AO414" i="1"/>
  <c r="AC411" i="7" s="1"/>
  <c r="AN414" i="1"/>
  <c r="AB411" i="7" s="1"/>
  <c r="AM414" i="1"/>
  <c r="AA411" i="7" s="1"/>
  <c r="AL414" i="1"/>
  <c r="Z411" i="7" s="1"/>
  <c r="AK414" i="1"/>
  <c r="Y411" i="7" s="1"/>
  <c r="AJ414" i="1"/>
  <c r="X411" i="7" s="1"/>
  <c r="AI414" i="1"/>
  <c r="W411" i="7" s="1"/>
  <c r="AH414" i="1"/>
  <c r="V411" i="7" s="1"/>
  <c r="AG414" i="1"/>
  <c r="U411" i="7" s="1"/>
  <c r="AF414" i="1"/>
  <c r="T411" i="7" s="1"/>
  <c r="AE414" i="1"/>
  <c r="S411" i="7" s="1"/>
  <c r="AD414" i="1"/>
  <c r="R411" i="7" s="1"/>
  <c r="AC414" i="1"/>
  <c r="Q411" i="7" s="1"/>
  <c r="AB414" i="1"/>
  <c r="P411" i="7" s="1"/>
  <c r="AA414" i="1"/>
  <c r="O411" i="7" s="1"/>
  <c r="Z414" i="1"/>
  <c r="N411" i="7" s="1"/>
  <c r="Y414" i="1"/>
  <c r="M411" i="7" s="1"/>
  <c r="X414" i="1"/>
  <c r="L411" i="7" s="1"/>
  <c r="W414" i="1"/>
  <c r="K411" i="7" s="1"/>
  <c r="V414" i="1"/>
  <c r="J411" i="7" s="1"/>
  <c r="U414" i="1"/>
  <c r="I411" i="7" s="1"/>
  <c r="T414" i="1"/>
  <c r="H411" i="7" s="1"/>
  <c r="S414" i="1"/>
  <c r="G411" i="7" s="1"/>
  <c r="R414" i="1"/>
  <c r="F411" i="7" s="1"/>
  <c r="E411" i="7" s="1"/>
  <c r="CO413" i="1"/>
  <c r="CC410" i="7" s="1"/>
  <c r="CN413" i="1"/>
  <c r="CB410" i="7" s="1"/>
  <c r="CM413" i="1"/>
  <c r="CA410" i="7" s="1"/>
  <c r="CL413" i="1"/>
  <c r="BZ410" i="7" s="1"/>
  <c r="CK413" i="1"/>
  <c r="BY410" i="7" s="1"/>
  <c r="CJ413" i="1"/>
  <c r="BX410" i="7" s="1"/>
  <c r="CI413" i="1"/>
  <c r="BW410" i="7" s="1"/>
  <c r="CH413" i="1"/>
  <c r="BV410" i="7" s="1"/>
  <c r="CG413" i="1"/>
  <c r="BU410" i="7" s="1"/>
  <c r="CF413" i="1"/>
  <c r="BT410" i="7" s="1"/>
  <c r="BV413" i="1"/>
  <c r="BJ410" i="7" s="1"/>
  <c r="BU413" i="1"/>
  <c r="BI410" i="7" s="1"/>
  <c r="BT413" i="1"/>
  <c r="BH410" i="7" s="1"/>
  <c r="BS413" i="1"/>
  <c r="BG410" i="7" s="1"/>
  <c r="BR413" i="1"/>
  <c r="BF410" i="7" s="1"/>
  <c r="BQ413" i="1"/>
  <c r="BE410" i="7" s="1"/>
  <c r="BP413" i="1"/>
  <c r="BD410" i="7" s="1"/>
  <c r="BO413" i="1"/>
  <c r="BC410" i="7" s="1"/>
  <c r="BN413" i="1"/>
  <c r="BB410" i="7" s="1"/>
  <c r="BM413" i="1"/>
  <c r="BA410" i="7" s="1"/>
  <c r="BL413" i="1"/>
  <c r="AZ410" i="7" s="1"/>
  <c r="BK413" i="1"/>
  <c r="AY410" i="7" s="1"/>
  <c r="BJ413" i="1"/>
  <c r="AX410" i="7" s="1"/>
  <c r="BI413" i="1"/>
  <c r="AW410" i="7" s="1"/>
  <c r="BH413" i="1"/>
  <c r="AV410" i="7" s="1"/>
  <c r="BG413" i="1"/>
  <c r="AU410" i="7" s="1"/>
  <c r="BF413" i="1"/>
  <c r="AT410" i="7" s="1"/>
  <c r="BE413" i="1"/>
  <c r="AS410" i="7" s="1"/>
  <c r="BD413" i="1"/>
  <c r="AR410" i="7" s="1"/>
  <c r="BC413" i="1"/>
  <c r="AQ410" i="7" s="1"/>
  <c r="BB413" i="1"/>
  <c r="AP410" i="7" s="1"/>
  <c r="BA413" i="1"/>
  <c r="AO410" i="7" s="1"/>
  <c r="AZ413" i="1"/>
  <c r="AN410" i="7" s="1"/>
  <c r="AY413" i="1"/>
  <c r="AM410" i="7" s="1"/>
  <c r="AX413" i="1"/>
  <c r="AL410" i="7" s="1"/>
  <c r="AW413" i="1"/>
  <c r="AK410" i="7" s="1"/>
  <c r="AV413" i="1"/>
  <c r="AJ410" i="7" s="1"/>
  <c r="AU413" i="1"/>
  <c r="AI410" i="7" s="1"/>
  <c r="AT413" i="1"/>
  <c r="AH410" i="7" s="1"/>
  <c r="AS413" i="1"/>
  <c r="AG410" i="7" s="1"/>
  <c r="AR413" i="1"/>
  <c r="AF410" i="7" s="1"/>
  <c r="AQ413" i="1"/>
  <c r="AE410" i="7" s="1"/>
  <c r="AP413" i="1"/>
  <c r="AD410" i="7" s="1"/>
  <c r="AO413" i="1"/>
  <c r="AC410" i="7" s="1"/>
  <c r="AN413" i="1"/>
  <c r="AB410" i="7" s="1"/>
  <c r="AM413" i="1"/>
  <c r="AA410" i="7" s="1"/>
  <c r="AL413" i="1"/>
  <c r="Z410" i="7" s="1"/>
  <c r="AK413" i="1"/>
  <c r="Y410" i="7" s="1"/>
  <c r="AJ413" i="1"/>
  <c r="X410" i="7" s="1"/>
  <c r="AI413" i="1"/>
  <c r="W410" i="7" s="1"/>
  <c r="AH413" i="1"/>
  <c r="V410" i="7" s="1"/>
  <c r="AG413" i="1"/>
  <c r="U410" i="7" s="1"/>
  <c r="AF413" i="1"/>
  <c r="T410" i="7" s="1"/>
  <c r="AE413" i="1"/>
  <c r="S410" i="7" s="1"/>
  <c r="AD413" i="1"/>
  <c r="R410" i="7" s="1"/>
  <c r="AC413" i="1"/>
  <c r="Q410" i="7" s="1"/>
  <c r="AB413" i="1"/>
  <c r="P410" i="7" s="1"/>
  <c r="AA413" i="1"/>
  <c r="O410" i="7" s="1"/>
  <c r="Z413" i="1"/>
  <c r="N410" i="7" s="1"/>
  <c r="Y413" i="1"/>
  <c r="M410" i="7" s="1"/>
  <c r="X413" i="1"/>
  <c r="L410" i="7" s="1"/>
  <c r="W413" i="1"/>
  <c r="K410" i="7" s="1"/>
  <c r="V413" i="1"/>
  <c r="J410" i="7" s="1"/>
  <c r="U413" i="1"/>
  <c r="I410" i="7" s="1"/>
  <c r="T413" i="1"/>
  <c r="H410" i="7" s="1"/>
  <c r="S413" i="1"/>
  <c r="G410" i="7" s="1"/>
  <c r="R413" i="1"/>
  <c r="F410" i="7" s="1"/>
  <c r="O413" i="1"/>
  <c r="O414" i="1" s="1"/>
  <c r="O412" i="1"/>
  <c r="CE409" i="1" s="1"/>
  <c r="BS406" i="7" s="1"/>
  <c r="M412" i="1"/>
  <c r="M411" i="1"/>
  <c r="CO410" i="1"/>
  <c r="CC407" i="7" s="1"/>
  <c r="CN410" i="1"/>
  <c r="CB407" i="7" s="1"/>
  <c r="CM410" i="1"/>
  <c r="CA407" i="7" s="1"/>
  <c r="CL410" i="1"/>
  <c r="BZ407" i="7" s="1"/>
  <c r="CK410" i="1"/>
  <c r="BY407" i="7" s="1"/>
  <c r="CJ410" i="1"/>
  <c r="BX407" i="7" s="1"/>
  <c r="CI410" i="1"/>
  <c r="BW407" i="7" s="1"/>
  <c r="CH410" i="1"/>
  <c r="BV407" i="7" s="1"/>
  <c r="CG410" i="1"/>
  <c r="BU407" i="7" s="1"/>
  <c r="CF410" i="1"/>
  <c r="BT407" i="7" s="1"/>
  <c r="CE410" i="1"/>
  <c r="BS407" i="7" s="1"/>
  <c r="CD410" i="1"/>
  <c r="BR407" i="7" s="1"/>
  <c r="CC410" i="1"/>
  <c r="BQ407" i="7" s="1"/>
  <c r="CB410" i="1"/>
  <c r="BP407" i="7" s="1"/>
  <c r="CA410" i="1"/>
  <c r="BO407" i="7" s="1"/>
  <c r="BZ410" i="1"/>
  <c r="BN407" i="7" s="1"/>
  <c r="BY410" i="1"/>
  <c r="BM407" i="7" s="1"/>
  <c r="BX410" i="1"/>
  <c r="BL407" i="7" s="1"/>
  <c r="BW410" i="1"/>
  <c r="BK407" i="7" s="1"/>
  <c r="BV410" i="1"/>
  <c r="BJ407" i="7" s="1"/>
  <c r="BU410" i="1"/>
  <c r="BI407" i="7" s="1"/>
  <c r="BT410" i="1"/>
  <c r="BH407" i="7" s="1"/>
  <c r="BS410" i="1"/>
  <c r="BG407" i="7" s="1"/>
  <c r="BR410" i="1"/>
  <c r="BF407" i="7" s="1"/>
  <c r="BQ410" i="1"/>
  <c r="BE407" i="7" s="1"/>
  <c r="BP410" i="1"/>
  <c r="BD407" i="7" s="1"/>
  <c r="BO410" i="1"/>
  <c r="BC407" i="7" s="1"/>
  <c r="BN410" i="1"/>
  <c r="BB407" i="7" s="1"/>
  <c r="BM410" i="1"/>
  <c r="BA407" i="7" s="1"/>
  <c r="BL410" i="1"/>
  <c r="AZ407" i="7" s="1"/>
  <c r="BK410" i="1"/>
  <c r="AY407" i="7" s="1"/>
  <c r="BJ410" i="1"/>
  <c r="AX407" i="7" s="1"/>
  <c r="BI410" i="1"/>
  <c r="AW407" i="7" s="1"/>
  <c r="BH410" i="1"/>
  <c r="AV407" i="7" s="1"/>
  <c r="BG410" i="1"/>
  <c r="AU407" i="7" s="1"/>
  <c r="BF410" i="1"/>
  <c r="AT407" i="7" s="1"/>
  <c r="BE410" i="1"/>
  <c r="AS407" i="7" s="1"/>
  <c r="BD410" i="1"/>
  <c r="AR407" i="7" s="1"/>
  <c r="BC410" i="1"/>
  <c r="AQ407" i="7" s="1"/>
  <c r="BB410" i="1"/>
  <c r="AP407" i="7" s="1"/>
  <c r="BA410" i="1"/>
  <c r="AO407" i="7" s="1"/>
  <c r="AZ410" i="1"/>
  <c r="AN407" i="7" s="1"/>
  <c r="AY410" i="1"/>
  <c r="AM407" i="7" s="1"/>
  <c r="AX410" i="1"/>
  <c r="AL407" i="7" s="1"/>
  <c r="AW410" i="1"/>
  <c r="AK407" i="7" s="1"/>
  <c r="AV410" i="1"/>
  <c r="AJ407" i="7" s="1"/>
  <c r="AU410" i="1"/>
  <c r="AI407" i="7" s="1"/>
  <c r="AT410" i="1"/>
  <c r="AH407" i="7" s="1"/>
  <c r="AS410" i="1"/>
  <c r="AG407" i="7" s="1"/>
  <c r="AR410" i="1"/>
  <c r="AF407" i="7" s="1"/>
  <c r="AQ410" i="1"/>
  <c r="AE407" i="7" s="1"/>
  <c r="AP410" i="1"/>
  <c r="AD407" i="7" s="1"/>
  <c r="AO410" i="1"/>
  <c r="AC407" i="7" s="1"/>
  <c r="AN410" i="1"/>
  <c r="AB407" i="7" s="1"/>
  <c r="AM410" i="1"/>
  <c r="AA407" i="7" s="1"/>
  <c r="AL410" i="1"/>
  <c r="Z407" i="7" s="1"/>
  <c r="AK410" i="1"/>
  <c r="Y407" i="7" s="1"/>
  <c r="AJ410" i="1"/>
  <c r="X407" i="7" s="1"/>
  <c r="AI410" i="1"/>
  <c r="W407" i="7" s="1"/>
  <c r="AH410" i="1"/>
  <c r="V407" i="7" s="1"/>
  <c r="AG410" i="1"/>
  <c r="U407" i="7" s="1"/>
  <c r="AF410" i="1"/>
  <c r="T407" i="7" s="1"/>
  <c r="AE410" i="1"/>
  <c r="S407" i="7" s="1"/>
  <c r="AD410" i="1"/>
  <c r="R407" i="7" s="1"/>
  <c r="AC410" i="1"/>
  <c r="Q407" i="7" s="1"/>
  <c r="AB410" i="1"/>
  <c r="P407" i="7" s="1"/>
  <c r="AA410" i="1"/>
  <c r="O407" i="7" s="1"/>
  <c r="Z410" i="1"/>
  <c r="N407" i="7" s="1"/>
  <c r="Y410" i="1"/>
  <c r="M407" i="7" s="1"/>
  <c r="X410" i="1"/>
  <c r="L407" i="7" s="1"/>
  <c r="W410" i="1"/>
  <c r="K407" i="7" s="1"/>
  <c r="V410" i="1"/>
  <c r="J407" i="7" s="1"/>
  <c r="U410" i="1"/>
  <c r="I407" i="7" s="1"/>
  <c r="T410" i="1"/>
  <c r="H407" i="7" s="1"/>
  <c r="S410" i="1"/>
  <c r="G407" i="7" s="1"/>
  <c r="R410" i="1"/>
  <c r="F407" i="7" s="1"/>
  <c r="O410" i="1"/>
  <c r="CO409" i="1"/>
  <c r="CC406" i="7" s="1"/>
  <c r="CN409" i="1"/>
  <c r="CB406" i="7" s="1"/>
  <c r="CM409" i="1"/>
  <c r="CA406" i="7" s="1"/>
  <c r="CL409" i="1"/>
  <c r="BZ406" i="7" s="1"/>
  <c r="CK409" i="1"/>
  <c r="BY406" i="7" s="1"/>
  <c r="CJ409" i="1"/>
  <c r="BX406" i="7" s="1"/>
  <c r="CI409" i="1"/>
  <c r="BW406" i="7" s="1"/>
  <c r="CH409" i="1"/>
  <c r="BV406" i="7" s="1"/>
  <c r="CG409" i="1"/>
  <c r="BU406" i="7" s="1"/>
  <c r="CF409" i="1"/>
  <c r="BT406" i="7" s="1"/>
  <c r="CD409" i="1"/>
  <c r="BR406" i="7" s="1"/>
  <c r="CC409" i="1"/>
  <c r="BQ406" i="7" s="1"/>
  <c r="CB409" i="1"/>
  <c r="BP406" i="7" s="1"/>
  <c r="CA409" i="1"/>
  <c r="BO406" i="7" s="1"/>
  <c r="BZ409" i="1"/>
  <c r="BN406" i="7" s="1"/>
  <c r="BY409" i="1"/>
  <c r="BM406" i="7" s="1"/>
  <c r="BX409" i="1"/>
  <c r="BL406" i="7" s="1"/>
  <c r="BW409" i="1"/>
  <c r="BK406" i="7" s="1"/>
  <c r="BV409" i="1"/>
  <c r="BJ406" i="7" s="1"/>
  <c r="BU409" i="1"/>
  <c r="BI406" i="7" s="1"/>
  <c r="BT409" i="1"/>
  <c r="BH406" i="7" s="1"/>
  <c r="BS409" i="1"/>
  <c r="BG406" i="7" s="1"/>
  <c r="BR409" i="1"/>
  <c r="BF406" i="7" s="1"/>
  <c r="BQ409" i="1"/>
  <c r="BE406" i="7" s="1"/>
  <c r="BP409" i="1"/>
  <c r="BD406" i="7" s="1"/>
  <c r="BO409" i="1"/>
  <c r="BC406" i="7" s="1"/>
  <c r="BN409" i="1"/>
  <c r="BB406" i="7" s="1"/>
  <c r="BM409" i="1"/>
  <c r="BA406" i="7" s="1"/>
  <c r="BL409" i="1"/>
  <c r="AZ406" i="7" s="1"/>
  <c r="BK409" i="1"/>
  <c r="AY406" i="7" s="1"/>
  <c r="BJ409" i="1"/>
  <c r="AX406" i="7" s="1"/>
  <c r="BI409" i="1"/>
  <c r="AW406" i="7" s="1"/>
  <c r="BH409" i="1"/>
  <c r="AV406" i="7" s="1"/>
  <c r="BG409" i="1"/>
  <c r="AU406" i="7" s="1"/>
  <c r="BF409" i="1"/>
  <c r="AT406" i="7" s="1"/>
  <c r="BE409" i="1"/>
  <c r="AS406" i="7" s="1"/>
  <c r="BD409" i="1"/>
  <c r="AR406" i="7" s="1"/>
  <c r="BC409" i="1"/>
  <c r="AQ406" i="7" s="1"/>
  <c r="BB409" i="1"/>
  <c r="AP406" i="7" s="1"/>
  <c r="BA409" i="1"/>
  <c r="AO406" i="7" s="1"/>
  <c r="AZ409" i="1"/>
  <c r="AN406" i="7" s="1"/>
  <c r="AY409" i="1"/>
  <c r="AM406" i="7" s="1"/>
  <c r="AX409" i="1"/>
  <c r="AL406" i="7" s="1"/>
  <c r="AW409" i="1"/>
  <c r="AK406" i="7" s="1"/>
  <c r="AV409" i="1"/>
  <c r="AJ406" i="7" s="1"/>
  <c r="AU409" i="1"/>
  <c r="AI406" i="7" s="1"/>
  <c r="AT409" i="1"/>
  <c r="AH406" i="7" s="1"/>
  <c r="AS409" i="1"/>
  <c r="AG406" i="7" s="1"/>
  <c r="AR409" i="1"/>
  <c r="AF406" i="7" s="1"/>
  <c r="AQ409" i="1"/>
  <c r="AE406" i="7" s="1"/>
  <c r="AP409" i="1"/>
  <c r="AD406" i="7" s="1"/>
  <c r="AO409" i="1"/>
  <c r="AC406" i="7" s="1"/>
  <c r="AN409" i="1"/>
  <c r="AB406" i="7" s="1"/>
  <c r="AM409" i="1"/>
  <c r="AA406" i="7" s="1"/>
  <c r="AL409" i="1"/>
  <c r="Z406" i="7" s="1"/>
  <c r="AK409" i="1"/>
  <c r="Y406" i="7" s="1"/>
  <c r="AJ409" i="1"/>
  <c r="X406" i="7" s="1"/>
  <c r="AI409" i="1"/>
  <c r="W406" i="7" s="1"/>
  <c r="AH409" i="1"/>
  <c r="V406" i="7" s="1"/>
  <c r="AG409" i="1"/>
  <c r="U406" i="7" s="1"/>
  <c r="AF409" i="1"/>
  <c r="T406" i="7" s="1"/>
  <c r="AE409" i="1"/>
  <c r="S406" i="7" s="1"/>
  <c r="AD409" i="1"/>
  <c r="R406" i="7" s="1"/>
  <c r="AC409" i="1"/>
  <c r="Q406" i="7" s="1"/>
  <c r="AB409" i="1"/>
  <c r="P406" i="7" s="1"/>
  <c r="AA409" i="1"/>
  <c r="O406" i="7" s="1"/>
  <c r="Z409" i="1"/>
  <c r="N406" i="7" s="1"/>
  <c r="Y409" i="1"/>
  <c r="M406" i="7" s="1"/>
  <c r="X409" i="1"/>
  <c r="L406" i="7" s="1"/>
  <c r="W409" i="1"/>
  <c r="K406" i="7" s="1"/>
  <c r="V409" i="1"/>
  <c r="J406" i="7" s="1"/>
  <c r="U409" i="1"/>
  <c r="I406" i="7" s="1"/>
  <c r="T409" i="1"/>
  <c r="H406" i="7" s="1"/>
  <c r="S409" i="1"/>
  <c r="G406" i="7" s="1"/>
  <c r="R409" i="1"/>
  <c r="F406" i="7" s="1"/>
  <c r="O409" i="1"/>
  <c r="O408" i="1"/>
  <c r="M408" i="1"/>
  <c r="M407" i="1"/>
  <c r="O406" i="1"/>
  <c r="M406" i="1"/>
  <c r="M405" i="1"/>
  <c r="O404" i="1"/>
  <c r="CC401" i="1" s="1"/>
  <c r="BQ398" i="7" s="1"/>
  <c r="M404" i="1"/>
  <c r="M403" i="1"/>
  <c r="CO402" i="1"/>
  <c r="CC399" i="7" s="1"/>
  <c r="CN402" i="1"/>
  <c r="CB399" i="7" s="1"/>
  <c r="CM402" i="1"/>
  <c r="CA399" i="7" s="1"/>
  <c r="CL402" i="1"/>
  <c r="BZ399" i="7" s="1"/>
  <c r="CK402" i="1"/>
  <c r="BY399" i="7" s="1"/>
  <c r="CJ402" i="1"/>
  <c r="BX399" i="7" s="1"/>
  <c r="CI402" i="1"/>
  <c r="BW399" i="7" s="1"/>
  <c r="CH402" i="1"/>
  <c r="BV399" i="7" s="1"/>
  <c r="CG402" i="1"/>
  <c r="BU399" i="7" s="1"/>
  <c r="CF402" i="1"/>
  <c r="BT399" i="7" s="1"/>
  <c r="CE402" i="1"/>
  <c r="BS399" i="7" s="1"/>
  <c r="CD402" i="1"/>
  <c r="BR399" i="7" s="1"/>
  <c r="CC402" i="1"/>
  <c r="BQ399" i="7" s="1"/>
  <c r="CB402" i="1"/>
  <c r="BP399" i="7" s="1"/>
  <c r="CA402" i="1"/>
  <c r="BO399" i="7" s="1"/>
  <c r="BZ402" i="1"/>
  <c r="BN399" i="7" s="1"/>
  <c r="BY402" i="1"/>
  <c r="BM399" i="7" s="1"/>
  <c r="BX402" i="1"/>
  <c r="BL399" i="7" s="1"/>
  <c r="BW402" i="1"/>
  <c r="BK399" i="7" s="1"/>
  <c r="BV402" i="1"/>
  <c r="BJ399" i="7" s="1"/>
  <c r="BU402" i="1"/>
  <c r="BI399" i="7" s="1"/>
  <c r="BT402" i="1"/>
  <c r="BH399" i="7" s="1"/>
  <c r="BS402" i="1"/>
  <c r="BG399" i="7" s="1"/>
  <c r="BR402" i="1"/>
  <c r="BF399" i="7" s="1"/>
  <c r="BQ402" i="1"/>
  <c r="BE399" i="7" s="1"/>
  <c r="BP402" i="1"/>
  <c r="BD399" i="7" s="1"/>
  <c r="BO402" i="1"/>
  <c r="BC399" i="7" s="1"/>
  <c r="BN402" i="1"/>
  <c r="BB399" i="7" s="1"/>
  <c r="BM402" i="1"/>
  <c r="BA399" i="7" s="1"/>
  <c r="BL402" i="1"/>
  <c r="AZ399" i="7" s="1"/>
  <c r="BK402" i="1"/>
  <c r="AY399" i="7" s="1"/>
  <c r="BJ402" i="1"/>
  <c r="AX399" i="7" s="1"/>
  <c r="BI402" i="1"/>
  <c r="AW399" i="7" s="1"/>
  <c r="BH402" i="1"/>
  <c r="AV399" i="7" s="1"/>
  <c r="BG402" i="1"/>
  <c r="AU399" i="7" s="1"/>
  <c r="BF402" i="1"/>
  <c r="AT399" i="7" s="1"/>
  <c r="BE402" i="1"/>
  <c r="AS399" i="7" s="1"/>
  <c r="BD402" i="1"/>
  <c r="AR399" i="7" s="1"/>
  <c r="BC402" i="1"/>
  <c r="AQ399" i="7" s="1"/>
  <c r="BB402" i="1"/>
  <c r="AP399" i="7" s="1"/>
  <c r="BA402" i="1"/>
  <c r="AO399" i="7" s="1"/>
  <c r="AZ402" i="1"/>
  <c r="AN399" i="7" s="1"/>
  <c r="AY402" i="1"/>
  <c r="AM399" i="7" s="1"/>
  <c r="AX402" i="1"/>
  <c r="AL399" i="7" s="1"/>
  <c r="AW402" i="1"/>
  <c r="AK399" i="7" s="1"/>
  <c r="AV402" i="1"/>
  <c r="AJ399" i="7" s="1"/>
  <c r="AU402" i="1"/>
  <c r="AI399" i="7" s="1"/>
  <c r="AT402" i="1"/>
  <c r="AH399" i="7" s="1"/>
  <c r="AS402" i="1"/>
  <c r="AG399" i="7" s="1"/>
  <c r="AR402" i="1"/>
  <c r="AF399" i="7" s="1"/>
  <c r="AQ402" i="1"/>
  <c r="AE399" i="7" s="1"/>
  <c r="AP402" i="1"/>
  <c r="AD399" i="7" s="1"/>
  <c r="AO402" i="1"/>
  <c r="AC399" i="7" s="1"/>
  <c r="AN402" i="1"/>
  <c r="AB399" i="7" s="1"/>
  <c r="AM402" i="1"/>
  <c r="AA399" i="7" s="1"/>
  <c r="AL402" i="1"/>
  <c r="Z399" i="7" s="1"/>
  <c r="AK402" i="1"/>
  <c r="Y399" i="7" s="1"/>
  <c r="AJ402" i="1"/>
  <c r="X399" i="7" s="1"/>
  <c r="AI402" i="1"/>
  <c r="W399" i="7" s="1"/>
  <c r="AH402" i="1"/>
  <c r="V399" i="7" s="1"/>
  <c r="AG402" i="1"/>
  <c r="U399" i="7" s="1"/>
  <c r="AF402" i="1"/>
  <c r="T399" i="7" s="1"/>
  <c r="AE402" i="1"/>
  <c r="S399" i="7" s="1"/>
  <c r="AD402" i="1"/>
  <c r="R399" i="7" s="1"/>
  <c r="AC402" i="1"/>
  <c r="Q399" i="7" s="1"/>
  <c r="AB402" i="1"/>
  <c r="P399" i="7" s="1"/>
  <c r="AA402" i="1"/>
  <c r="O399" i="7" s="1"/>
  <c r="Z402" i="1"/>
  <c r="N399" i="7" s="1"/>
  <c r="Y402" i="1"/>
  <c r="M399" i="7" s="1"/>
  <c r="X402" i="1"/>
  <c r="L399" i="7" s="1"/>
  <c r="W402" i="1"/>
  <c r="K399" i="7" s="1"/>
  <c r="V402" i="1"/>
  <c r="J399" i="7" s="1"/>
  <c r="U402" i="1"/>
  <c r="I399" i="7" s="1"/>
  <c r="T402" i="1"/>
  <c r="H399" i="7" s="1"/>
  <c r="S402" i="1"/>
  <c r="G399" i="7" s="1"/>
  <c r="R402" i="1"/>
  <c r="F399" i="7" s="1"/>
  <c r="CO401" i="1"/>
  <c r="CC398" i="7" s="1"/>
  <c r="CN401" i="1"/>
  <c r="CB398" i="7" s="1"/>
  <c r="CM401" i="1"/>
  <c r="CA398" i="7" s="1"/>
  <c r="CL401" i="1"/>
  <c r="BZ398" i="7" s="1"/>
  <c r="CK401" i="1"/>
  <c r="BY398" i="7" s="1"/>
  <c r="CJ401" i="1"/>
  <c r="BX398" i="7" s="1"/>
  <c r="CI401" i="1"/>
  <c r="BW398" i="7" s="1"/>
  <c r="CH401" i="1"/>
  <c r="BV398" i="7" s="1"/>
  <c r="CG401" i="1"/>
  <c r="BU398" i="7" s="1"/>
  <c r="CF401" i="1"/>
  <c r="BT398" i="7" s="1"/>
  <c r="CE401" i="1"/>
  <c r="BS398" i="7" s="1"/>
  <c r="CD401" i="1"/>
  <c r="BR398" i="7" s="1"/>
  <c r="BX401" i="1"/>
  <c r="BL398" i="7" s="1"/>
  <c r="BW401" i="1"/>
  <c r="BK398" i="7" s="1"/>
  <c r="BV401" i="1"/>
  <c r="BJ398" i="7" s="1"/>
  <c r="BU401" i="1"/>
  <c r="BI398" i="7" s="1"/>
  <c r="BT401" i="1"/>
  <c r="BH398" i="7" s="1"/>
  <c r="BS401" i="1"/>
  <c r="BG398" i="7" s="1"/>
  <c r="BR401" i="1"/>
  <c r="BF398" i="7" s="1"/>
  <c r="BQ401" i="1"/>
  <c r="BE398" i="7" s="1"/>
  <c r="BP401" i="1"/>
  <c r="BD398" i="7" s="1"/>
  <c r="BO401" i="1"/>
  <c r="BC398" i="7" s="1"/>
  <c r="BN401" i="1"/>
  <c r="BB398" i="7" s="1"/>
  <c r="BM401" i="1"/>
  <c r="BA398" i="7" s="1"/>
  <c r="BL401" i="1"/>
  <c r="AZ398" i="7" s="1"/>
  <c r="BK401" i="1"/>
  <c r="AY398" i="7" s="1"/>
  <c r="BJ401" i="1"/>
  <c r="AX398" i="7" s="1"/>
  <c r="BI401" i="1"/>
  <c r="AW398" i="7" s="1"/>
  <c r="BH401" i="1"/>
  <c r="AV398" i="7" s="1"/>
  <c r="BG401" i="1"/>
  <c r="AU398" i="7" s="1"/>
  <c r="BF401" i="1"/>
  <c r="AT398" i="7" s="1"/>
  <c r="BE401" i="1"/>
  <c r="AS398" i="7" s="1"/>
  <c r="BD401" i="1"/>
  <c r="AR398" i="7" s="1"/>
  <c r="BC401" i="1"/>
  <c r="AQ398" i="7" s="1"/>
  <c r="BB401" i="1"/>
  <c r="AP398" i="7" s="1"/>
  <c r="BA401" i="1"/>
  <c r="AO398" i="7" s="1"/>
  <c r="AZ401" i="1"/>
  <c r="AN398" i="7" s="1"/>
  <c r="AY401" i="1"/>
  <c r="AM398" i="7" s="1"/>
  <c r="AX401" i="1"/>
  <c r="AL398" i="7" s="1"/>
  <c r="AW401" i="1"/>
  <c r="AK398" i="7" s="1"/>
  <c r="AV401" i="1"/>
  <c r="AJ398" i="7" s="1"/>
  <c r="AU401" i="1"/>
  <c r="AI398" i="7" s="1"/>
  <c r="AT401" i="1"/>
  <c r="AH398" i="7" s="1"/>
  <c r="AS401" i="1"/>
  <c r="AG398" i="7" s="1"/>
  <c r="AR401" i="1"/>
  <c r="AF398" i="7" s="1"/>
  <c r="AQ401" i="1"/>
  <c r="AE398" i="7" s="1"/>
  <c r="AP401" i="1"/>
  <c r="AD398" i="7" s="1"/>
  <c r="AO401" i="1"/>
  <c r="AC398" i="7" s="1"/>
  <c r="AN401" i="1"/>
  <c r="AB398" i="7" s="1"/>
  <c r="AM401" i="1"/>
  <c r="AA398" i="7" s="1"/>
  <c r="AL401" i="1"/>
  <c r="Z398" i="7" s="1"/>
  <c r="AK401" i="1"/>
  <c r="Y398" i="7" s="1"/>
  <c r="AJ401" i="1"/>
  <c r="X398" i="7" s="1"/>
  <c r="AI401" i="1"/>
  <c r="W398" i="7" s="1"/>
  <c r="AH401" i="1"/>
  <c r="V398" i="7" s="1"/>
  <c r="AG401" i="1"/>
  <c r="U398" i="7" s="1"/>
  <c r="AF401" i="1"/>
  <c r="T398" i="7" s="1"/>
  <c r="AE401" i="1"/>
  <c r="S398" i="7" s="1"/>
  <c r="AD401" i="1"/>
  <c r="R398" i="7" s="1"/>
  <c r="AC401" i="1"/>
  <c r="Q398" i="7" s="1"/>
  <c r="AB401" i="1"/>
  <c r="P398" i="7" s="1"/>
  <c r="AA401" i="1"/>
  <c r="O398" i="7" s="1"/>
  <c r="Z401" i="1"/>
  <c r="N398" i="7" s="1"/>
  <c r="Y401" i="1"/>
  <c r="M398" i="7" s="1"/>
  <c r="X401" i="1"/>
  <c r="L398" i="7" s="1"/>
  <c r="W401" i="1"/>
  <c r="K398" i="7" s="1"/>
  <c r="V401" i="1"/>
  <c r="J398" i="7" s="1"/>
  <c r="U401" i="1"/>
  <c r="I398" i="7" s="1"/>
  <c r="T401" i="1"/>
  <c r="H398" i="7" s="1"/>
  <c r="S401" i="1"/>
  <c r="G398" i="7" s="1"/>
  <c r="R401" i="1"/>
  <c r="F398" i="7" s="1"/>
  <c r="O401" i="1"/>
  <c r="O402" i="1" s="1"/>
  <c r="CO400" i="1"/>
  <c r="CC397" i="7" s="1"/>
  <c r="CN400" i="1"/>
  <c r="CB397" i="7" s="1"/>
  <c r="CM400" i="1"/>
  <c r="CA397" i="7" s="1"/>
  <c r="CL400" i="1"/>
  <c r="BZ397" i="7" s="1"/>
  <c r="CK400" i="1"/>
  <c r="BY397" i="7" s="1"/>
  <c r="CJ400" i="1"/>
  <c r="BX397" i="7" s="1"/>
  <c r="CI400" i="1"/>
  <c r="BW397" i="7" s="1"/>
  <c r="CH400" i="1"/>
  <c r="BV397" i="7" s="1"/>
  <c r="CG400" i="1"/>
  <c r="BU397" i="7" s="1"/>
  <c r="CF400" i="1"/>
  <c r="BT397" i="7" s="1"/>
  <c r="CE400" i="1"/>
  <c r="BS397" i="7" s="1"/>
  <c r="CD400" i="1"/>
  <c r="BR397" i="7" s="1"/>
  <c r="CC400" i="1"/>
  <c r="BQ397" i="7" s="1"/>
  <c r="CB400" i="1"/>
  <c r="BP397" i="7" s="1"/>
  <c r="CA400" i="1"/>
  <c r="BO397" i="7" s="1"/>
  <c r="BZ400" i="1"/>
  <c r="BN397" i="7" s="1"/>
  <c r="BY400" i="1"/>
  <c r="BM397" i="7" s="1"/>
  <c r="BX400" i="1"/>
  <c r="BL397" i="7" s="1"/>
  <c r="BW400" i="1"/>
  <c r="BK397" i="7" s="1"/>
  <c r="BV400" i="1"/>
  <c r="BJ397" i="7" s="1"/>
  <c r="BU400" i="1"/>
  <c r="BI397" i="7" s="1"/>
  <c r="BT400" i="1"/>
  <c r="BH397" i="7" s="1"/>
  <c r="BS400" i="1"/>
  <c r="BG397" i="7" s="1"/>
  <c r="BR400" i="1"/>
  <c r="BF397" i="7" s="1"/>
  <c r="BQ400" i="1"/>
  <c r="BE397" i="7" s="1"/>
  <c r="BP400" i="1"/>
  <c r="BD397" i="7" s="1"/>
  <c r="BO400" i="1"/>
  <c r="BC397" i="7" s="1"/>
  <c r="BN400" i="1"/>
  <c r="BB397" i="7" s="1"/>
  <c r="BM400" i="1"/>
  <c r="BA397" i="7" s="1"/>
  <c r="BL400" i="1"/>
  <c r="AZ397" i="7" s="1"/>
  <c r="BK400" i="1"/>
  <c r="AY397" i="7" s="1"/>
  <c r="BJ400" i="1"/>
  <c r="AX397" i="7" s="1"/>
  <c r="BI400" i="1"/>
  <c r="AW397" i="7" s="1"/>
  <c r="BH400" i="1"/>
  <c r="AV397" i="7" s="1"/>
  <c r="BG400" i="1"/>
  <c r="AU397" i="7" s="1"/>
  <c r="BF400" i="1"/>
  <c r="AT397" i="7" s="1"/>
  <c r="BE400" i="1"/>
  <c r="AS397" i="7" s="1"/>
  <c r="BD400" i="1"/>
  <c r="AR397" i="7" s="1"/>
  <c r="BC400" i="1"/>
  <c r="AQ397" i="7" s="1"/>
  <c r="BB400" i="1"/>
  <c r="AP397" i="7" s="1"/>
  <c r="BA400" i="1"/>
  <c r="AO397" i="7" s="1"/>
  <c r="AZ400" i="1"/>
  <c r="AN397" i="7" s="1"/>
  <c r="AY400" i="1"/>
  <c r="AM397" i="7" s="1"/>
  <c r="AX400" i="1"/>
  <c r="AL397" i="7" s="1"/>
  <c r="AW400" i="1"/>
  <c r="AK397" i="7" s="1"/>
  <c r="AV400" i="1"/>
  <c r="AJ397" i="7" s="1"/>
  <c r="AU400" i="1"/>
  <c r="AI397" i="7" s="1"/>
  <c r="AT400" i="1"/>
  <c r="AH397" i="7" s="1"/>
  <c r="AS400" i="1"/>
  <c r="AG397" i="7" s="1"/>
  <c r="AR400" i="1"/>
  <c r="AF397" i="7" s="1"/>
  <c r="AQ400" i="1"/>
  <c r="AE397" i="7" s="1"/>
  <c r="AP400" i="1"/>
  <c r="AD397" i="7" s="1"/>
  <c r="AO400" i="1"/>
  <c r="AC397" i="7" s="1"/>
  <c r="AN400" i="1"/>
  <c r="AB397" i="7" s="1"/>
  <c r="AM400" i="1"/>
  <c r="AA397" i="7" s="1"/>
  <c r="AL400" i="1"/>
  <c r="Z397" i="7" s="1"/>
  <c r="AK400" i="1"/>
  <c r="Y397" i="7" s="1"/>
  <c r="AJ400" i="1"/>
  <c r="X397" i="7" s="1"/>
  <c r="AI400" i="1"/>
  <c r="W397" i="7" s="1"/>
  <c r="AH400" i="1"/>
  <c r="V397" i="7" s="1"/>
  <c r="AG400" i="1"/>
  <c r="U397" i="7" s="1"/>
  <c r="AF400" i="1"/>
  <c r="T397" i="7" s="1"/>
  <c r="AE400" i="1"/>
  <c r="S397" i="7" s="1"/>
  <c r="AD400" i="1"/>
  <c r="R397" i="7" s="1"/>
  <c r="AC400" i="1"/>
  <c r="Q397" i="7" s="1"/>
  <c r="AB400" i="1"/>
  <c r="P397" i="7" s="1"/>
  <c r="AA400" i="1"/>
  <c r="O397" i="7" s="1"/>
  <c r="Z400" i="1"/>
  <c r="N397" i="7" s="1"/>
  <c r="Y400" i="1"/>
  <c r="M397" i="7" s="1"/>
  <c r="X400" i="1"/>
  <c r="L397" i="7" s="1"/>
  <c r="W400" i="1"/>
  <c r="K397" i="7" s="1"/>
  <c r="V400" i="1"/>
  <c r="J397" i="7" s="1"/>
  <c r="U400" i="1"/>
  <c r="I397" i="7" s="1"/>
  <c r="T400" i="1"/>
  <c r="H397" i="7" s="1"/>
  <c r="S400" i="1"/>
  <c r="G397" i="7" s="1"/>
  <c r="R400" i="1"/>
  <c r="F397" i="7" s="1"/>
  <c r="CO399" i="1"/>
  <c r="CC396" i="7" s="1"/>
  <c r="CN399" i="1"/>
  <c r="CB396" i="7" s="1"/>
  <c r="CM399" i="1"/>
  <c r="CA396" i="7" s="1"/>
  <c r="CL399" i="1"/>
  <c r="BZ396" i="7" s="1"/>
  <c r="CK399" i="1"/>
  <c r="BY396" i="7" s="1"/>
  <c r="CJ399" i="1"/>
  <c r="BX396" i="7" s="1"/>
  <c r="CI399" i="1"/>
  <c r="BW396" i="7" s="1"/>
  <c r="CH399" i="1"/>
  <c r="BV396" i="7" s="1"/>
  <c r="CG399" i="1"/>
  <c r="BU396" i="7" s="1"/>
  <c r="BX399" i="1"/>
  <c r="BL396" i="7" s="1"/>
  <c r="BW399" i="1"/>
  <c r="BK396" i="7" s="1"/>
  <c r="BV399" i="1"/>
  <c r="BJ396" i="7" s="1"/>
  <c r="BU399" i="1"/>
  <c r="BI396" i="7" s="1"/>
  <c r="BT399" i="1"/>
  <c r="BH396" i="7" s="1"/>
  <c r="BS399" i="1"/>
  <c r="BG396" i="7" s="1"/>
  <c r="BR399" i="1"/>
  <c r="BF396" i="7" s="1"/>
  <c r="BQ399" i="1"/>
  <c r="BE396" i="7" s="1"/>
  <c r="BP399" i="1"/>
  <c r="BD396" i="7" s="1"/>
  <c r="BO399" i="1"/>
  <c r="BC396" i="7" s="1"/>
  <c r="BN399" i="1"/>
  <c r="BB396" i="7" s="1"/>
  <c r="BM399" i="1"/>
  <c r="BA396" i="7" s="1"/>
  <c r="BL399" i="1"/>
  <c r="AZ396" i="7" s="1"/>
  <c r="BK399" i="1"/>
  <c r="AY396" i="7" s="1"/>
  <c r="BJ399" i="1"/>
  <c r="AX396" i="7" s="1"/>
  <c r="BI399" i="1"/>
  <c r="AW396" i="7" s="1"/>
  <c r="BH399" i="1"/>
  <c r="AV396" i="7" s="1"/>
  <c r="BG399" i="1"/>
  <c r="AU396" i="7" s="1"/>
  <c r="BF399" i="1"/>
  <c r="AT396" i="7" s="1"/>
  <c r="BE399" i="1"/>
  <c r="AS396" i="7" s="1"/>
  <c r="BD399" i="1"/>
  <c r="AR396" i="7" s="1"/>
  <c r="BC399" i="1"/>
  <c r="AQ396" i="7" s="1"/>
  <c r="BB399" i="1"/>
  <c r="AP396" i="7" s="1"/>
  <c r="BA399" i="1"/>
  <c r="AO396" i="7" s="1"/>
  <c r="AZ399" i="1"/>
  <c r="AN396" i="7" s="1"/>
  <c r="AY399" i="1"/>
  <c r="AM396" i="7" s="1"/>
  <c r="AX399" i="1"/>
  <c r="AL396" i="7" s="1"/>
  <c r="AW399" i="1"/>
  <c r="AK396" i="7" s="1"/>
  <c r="AV399" i="1"/>
  <c r="AJ396" i="7" s="1"/>
  <c r="AU399" i="1"/>
  <c r="AI396" i="7" s="1"/>
  <c r="AT399" i="1"/>
  <c r="AH396" i="7" s="1"/>
  <c r="AS399" i="1"/>
  <c r="AG396" i="7" s="1"/>
  <c r="AR399" i="1"/>
  <c r="AF396" i="7" s="1"/>
  <c r="AQ399" i="1"/>
  <c r="AE396" i="7" s="1"/>
  <c r="AP399" i="1"/>
  <c r="AD396" i="7" s="1"/>
  <c r="AO399" i="1"/>
  <c r="AC396" i="7" s="1"/>
  <c r="AN399" i="1"/>
  <c r="AB396" i="7" s="1"/>
  <c r="AM399" i="1"/>
  <c r="AA396" i="7" s="1"/>
  <c r="AL399" i="1"/>
  <c r="Z396" i="7" s="1"/>
  <c r="AK399" i="1"/>
  <c r="Y396" i="7" s="1"/>
  <c r="AJ399" i="1"/>
  <c r="X396" i="7" s="1"/>
  <c r="AI399" i="1"/>
  <c r="W396" i="7" s="1"/>
  <c r="AH399" i="1"/>
  <c r="V396" i="7" s="1"/>
  <c r="AG399" i="1"/>
  <c r="U396" i="7" s="1"/>
  <c r="AF399" i="1"/>
  <c r="T396" i="7" s="1"/>
  <c r="AE399" i="1"/>
  <c r="S396" i="7" s="1"/>
  <c r="AD399" i="1"/>
  <c r="R396" i="7" s="1"/>
  <c r="AC399" i="1"/>
  <c r="Q396" i="7" s="1"/>
  <c r="AB399" i="1"/>
  <c r="P396" i="7" s="1"/>
  <c r="AA399" i="1"/>
  <c r="O396" i="7" s="1"/>
  <c r="Z399" i="1"/>
  <c r="N396" i="7" s="1"/>
  <c r="Y399" i="1"/>
  <c r="M396" i="7" s="1"/>
  <c r="X399" i="1"/>
  <c r="L396" i="7" s="1"/>
  <c r="W399" i="1"/>
  <c r="K396" i="7" s="1"/>
  <c r="V399" i="1"/>
  <c r="J396" i="7" s="1"/>
  <c r="U399" i="1"/>
  <c r="I396" i="7" s="1"/>
  <c r="T399" i="1"/>
  <c r="H396" i="7" s="1"/>
  <c r="S399" i="1"/>
  <c r="G396" i="7" s="1"/>
  <c r="R399" i="1"/>
  <c r="F396" i="7" s="1"/>
  <c r="O399" i="1"/>
  <c r="O400" i="1" s="1"/>
  <c r="O398" i="1"/>
  <c r="M398" i="1"/>
  <c r="M397" i="1"/>
  <c r="O396" i="1"/>
  <c r="BW393" i="1" s="1"/>
  <c r="BK390" i="7" s="1"/>
  <c r="M396" i="1"/>
  <c r="M395" i="1"/>
  <c r="CO394" i="1"/>
  <c r="CC391" i="7" s="1"/>
  <c r="CN394" i="1"/>
  <c r="CB391" i="7" s="1"/>
  <c r="CM394" i="1"/>
  <c r="CA391" i="7" s="1"/>
  <c r="CL394" i="1"/>
  <c r="BZ391" i="7" s="1"/>
  <c r="CK394" i="1"/>
  <c r="BY391" i="7" s="1"/>
  <c r="CJ394" i="1"/>
  <c r="BX391" i="7" s="1"/>
  <c r="CI394" i="1"/>
  <c r="BW391" i="7" s="1"/>
  <c r="CH394" i="1"/>
  <c r="BV391" i="7" s="1"/>
  <c r="CG394" i="1"/>
  <c r="BU391" i="7" s="1"/>
  <c r="CF394" i="1"/>
  <c r="BT391" i="7" s="1"/>
  <c r="CE394" i="1"/>
  <c r="BS391" i="7" s="1"/>
  <c r="CD394" i="1"/>
  <c r="BR391" i="7" s="1"/>
  <c r="CC394" i="1"/>
  <c r="BQ391" i="7" s="1"/>
  <c r="CB394" i="1"/>
  <c r="BP391" i="7" s="1"/>
  <c r="CA394" i="1"/>
  <c r="BO391" i="7" s="1"/>
  <c r="BZ394" i="1"/>
  <c r="BN391" i="7" s="1"/>
  <c r="BY394" i="1"/>
  <c r="BM391" i="7" s="1"/>
  <c r="BX394" i="1"/>
  <c r="BL391" i="7" s="1"/>
  <c r="BW394" i="1"/>
  <c r="BK391" i="7" s="1"/>
  <c r="BV394" i="1"/>
  <c r="BJ391" i="7" s="1"/>
  <c r="BU394" i="1"/>
  <c r="BI391" i="7" s="1"/>
  <c r="BT394" i="1"/>
  <c r="BH391" i="7" s="1"/>
  <c r="BS394" i="1"/>
  <c r="BG391" i="7" s="1"/>
  <c r="BR394" i="1"/>
  <c r="BF391" i="7" s="1"/>
  <c r="BQ394" i="1"/>
  <c r="BE391" i="7" s="1"/>
  <c r="BP394" i="1"/>
  <c r="BD391" i="7" s="1"/>
  <c r="BO394" i="1"/>
  <c r="BC391" i="7" s="1"/>
  <c r="BN394" i="1"/>
  <c r="BB391" i="7" s="1"/>
  <c r="BM394" i="1"/>
  <c r="BA391" i="7" s="1"/>
  <c r="BL394" i="1"/>
  <c r="AZ391" i="7" s="1"/>
  <c r="BK394" i="1"/>
  <c r="AY391" i="7" s="1"/>
  <c r="BJ394" i="1"/>
  <c r="AX391" i="7" s="1"/>
  <c r="BI394" i="1"/>
  <c r="AW391" i="7" s="1"/>
  <c r="BH394" i="1"/>
  <c r="AV391" i="7" s="1"/>
  <c r="BG394" i="1"/>
  <c r="AU391" i="7" s="1"/>
  <c r="BF394" i="1"/>
  <c r="AT391" i="7" s="1"/>
  <c r="BE394" i="1"/>
  <c r="AS391" i="7" s="1"/>
  <c r="BD394" i="1"/>
  <c r="AR391" i="7" s="1"/>
  <c r="BC394" i="1"/>
  <c r="AQ391" i="7" s="1"/>
  <c r="BB394" i="1"/>
  <c r="AP391" i="7" s="1"/>
  <c r="BA394" i="1"/>
  <c r="AO391" i="7" s="1"/>
  <c r="AZ394" i="1"/>
  <c r="AN391" i="7" s="1"/>
  <c r="AY394" i="1"/>
  <c r="AM391" i="7" s="1"/>
  <c r="AX394" i="1"/>
  <c r="AL391" i="7" s="1"/>
  <c r="AW394" i="1"/>
  <c r="AK391" i="7" s="1"/>
  <c r="AV394" i="1"/>
  <c r="AJ391" i="7" s="1"/>
  <c r="AU394" i="1"/>
  <c r="AI391" i="7" s="1"/>
  <c r="AT394" i="1"/>
  <c r="AH391" i="7" s="1"/>
  <c r="AS394" i="1"/>
  <c r="AG391" i="7" s="1"/>
  <c r="AR394" i="1"/>
  <c r="AF391" i="7" s="1"/>
  <c r="AQ394" i="1"/>
  <c r="AE391" i="7" s="1"/>
  <c r="AP394" i="1"/>
  <c r="AD391" i="7" s="1"/>
  <c r="AO394" i="1"/>
  <c r="AC391" i="7" s="1"/>
  <c r="AN394" i="1"/>
  <c r="AB391" i="7" s="1"/>
  <c r="AM394" i="1"/>
  <c r="AA391" i="7" s="1"/>
  <c r="AL394" i="1"/>
  <c r="Z391" i="7" s="1"/>
  <c r="AK394" i="1"/>
  <c r="Y391" i="7" s="1"/>
  <c r="AJ394" i="1"/>
  <c r="X391" i="7" s="1"/>
  <c r="AI394" i="1"/>
  <c r="W391" i="7" s="1"/>
  <c r="AH394" i="1"/>
  <c r="V391" i="7" s="1"/>
  <c r="AG394" i="1"/>
  <c r="U391" i="7" s="1"/>
  <c r="AF394" i="1"/>
  <c r="T391" i="7" s="1"/>
  <c r="AE394" i="1"/>
  <c r="S391" i="7" s="1"/>
  <c r="AD394" i="1"/>
  <c r="R391" i="7" s="1"/>
  <c r="AC394" i="1"/>
  <c r="Q391" i="7" s="1"/>
  <c r="AB394" i="1"/>
  <c r="P391" i="7" s="1"/>
  <c r="AA394" i="1"/>
  <c r="O391" i="7" s="1"/>
  <c r="Z394" i="1"/>
  <c r="N391" i="7" s="1"/>
  <c r="Y394" i="1"/>
  <c r="M391" i="7" s="1"/>
  <c r="X394" i="1"/>
  <c r="L391" i="7" s="1"/>
  <c r="W394" i="1"/>
  <c r="K391" i="7" s="1"/>
  <c r="V394" i="1"/>
  <c r="J391" i="7" s="1"/>
  <c r="U394" i="1"/>
  <c r="I391" i="7" s="1"/>
  <c r="T394" i="1"/>
  <c r="H391" i="7" s="1"/>
  <c r="S394" i="1"/>
  <c r="G391" i="7" s="1"/>
  <c r="R394" i="1"/>
  <c r="F391" i="7" s="1"/>
  <c r="CO393" i="1"/>
  <c r="CC390" i="7" s="1"/>
  <c r="CN393" i="1"/>
  <c r="CB390" i="7" s="1"/>
  <c r="CM393" i="1"/>
  <c r="CA390" i="7" s="1"/>
  <c r="CL393" i="1"/>
  <c r="BZ390" i="7" s="1"/>
  <c r="CK393" i="1"/>
  <c r="BY390" i="7" s="1"/>
  <c r="CJ393" i="1"/>
  <c r="BX390" i="7" s="1"/>
  <c r="CI393" i="1"/>
  <c r="BW390" i="7" s="1"/>
  <c r="CH393" i="1"/>
  <c r="BV390" i="7" s="1"/>
  <c r="CG393" i="1"/>
  <c r="BU390" i="7" s="1"/>
  <c r="CF393" i="1"/>
  <c r="BT390" i="7" s="1"/>
  <c r="CE393" i="1"/>
  <c r="BS390" i="7" s="1"/>
  <c r="CD393" i="1"/>
  <c r="BR390" i="7" s="1"/>
  <c r="CC393" i="1"/>
  <c r="BQ390" i="7" s="1"/>
  <c r="CB393" i="1"/>
  <c r="BP390" i="7" s="1"/>
  <c r="CA393" i="1"/>
  <c r="BO390" i="7" s="1"/>
  <c r="BV393" i="1"/>
  <c r="BJ390" i="7" s="1"/>
  <c r="BU393" i="1"/>
  <c r="BI390" i="7" s="1"/>
  <c r="BT393" i="1"/>
  <c r="BH390" i="7" s="1"/>
  <c r="BS393" i="1"/>
  <c r="BG390" i="7" s="1"/>
  <c r="BR393" i="1"/>
  <c r="BF390" i="7" s="1"/>
  <c r="BQ393" i="1"/>
  <c r="BE390" i="7" s="1"/>
  <c r="BP393" i="1"/>
  <c r="BD390" i="7" s="1"/>
  <c r="BO393" i="1"/>
  <c r="BC390" i="7" s="1"/>
  <c r="BN393" i="1"/>
  <c r="BB390" i="7" s="1"/>
  <c r="BM393" i="1"/>
  <c r="BA390" i="7" s="1"/>
  <c r="BL393" i="1"/>
  <c r="AZ390" i="7" s="1"/>
  <c r="BK393" i="1"/>
  <c r="AY390" i="7" s="1"/>
  <c r="BJ393" i="1"/>
  <c r="AX390" i="7" s="1"/>
  <c r="BI393" i="1"/>
  <c r="AW390" i="7" s="1"/>
  <c r="BH393" i="1"/>
  <c r="AV390" i="7" s="1"/>
  <c r="BG393" i="1"/>
  <c r="AU390" i="7" s="1"/>
  <c r="BF393" i="1"/>
  <c r="AT390" i="7" s="1"/>
  <c r="BE393" i="1"/>
  <c r="AS390" i="7" s="1"/>
  <c r="BD393" i="1"/>
  <c r="AR390" i="7" s="1"/>
  <c r="BC393" i="1"/>
  <c r="AQ390" i="7" s="1"/>
  <c r="BB393" i="1"/>
  <c r="AP390" i="7" s="1"/>
  <c r="BA393" i="1"/>
  <c r="AO390" i="7" s="1"/>
  <c r="AZ393" i="1"/>
  <c r="AN390" i="7" s="1"/>
  <c r="AY393" i="1"/>
  <c r="AM390" i="7" s="1"/>
  <c r="AX393" i="1"/>
  <c r="AL390" i="7" s="1"/>
  <c r="AW393" i="1"/>
  <c r="AK390" i="7" s="1"/>
  <c r="AV393" i="1"/>
  <c r="AJ390" i="7" s="1"/>
  <c r="AU393" i="1"/>
  <c r="AI390" i="7" s="1"/>
  <c r="AT393" i="1"/>
  <c r="AH390" i="7" s="1"/>
  <c r="AS393" i="1"/>
  <c r="AG390" i="7" s="1"/>
  <c r="AR393" i="1"/>
  <c r="AF390" i="7" s="1"/>
  <c r="AQ393" i="1"/>
  <c r="AE390" i="7" s="1"/>
  <c r="AP393" i="1"/>
  <c r="AD390" i="7" s="1"/>
  <c r="AO393" i="1"/>
  <c r="AC390" i="7" s="1"/>
  <c r="AN393" i="1"/>
  <c r="AB390" i="7" s="1"/>
  <c r="AM393" i="1"/>
  <c r="AA390" i="7" s="1"/>
  <c r="AL393" i="1"/>
  <c r="Z390" i="7" s="1"/>
  <c r="AK393" i="1"/>
  <c r="Y390" i="7" s="1"/>
  <c r="AJ393" i="1"/>
  <c r="X390" i="7" s="1"/>
  <c r="AI393" i="1"/>
  <c r="W390" i="7" s="1"/>
  <c r="AH393" i="1"/>
  <c r="V390" i="7" s="1"/>
  <c r="AG393" i="1"/>
  <c r="U390" i="7" s="1"/>
  <c r="AF393" i="1"/>
  <c r="T390" i="7" s="1"/>
  <c r="AE393" i="1"/>
  <c r="S390" i="7" s="1"/>
  <c r="AD393" i="1"/>
  <c r="R390" i="7" s="1"/>
  <c r="AC393" i="1"/>
  <c r="Q390" i="7" s="1"/>
  <c r="AB393" i="1"/>
  <c r="P390" i="7" s="1"/>
  <c r="AA393" i="1"/>
  <c r="O390" i="7" s="1"/>
  <c r="Z393" i="1"/>
  <c r="N390" i="7" s="1"/>
  <c r="Y393" i="1"/>
  <c r="M390" i="7" s="1"/>
  <c r="X393" i="1"/>
  <c r="L390" i="7" s="1"/>
  <c r="W393" i="1"/>
  <c r="K390" i="7" s="1"/>
  <c r="V393" i="1"/>
  <c r="J390" i="7" s="1"/>
  <c r="U393" i="1"/>
  <c r="I390" i="7" s="1"/>
  <c r="T393" i="1"/>
  <c r="H390" i="7" s="1"/>
  <c r="S393" i="1"/>
  <c r="G390" i="7" s="1"/>
  <c r="R393" i="1"/>
  <c r="F390" i="7" s="1"/>
  <c r="O393" i="1"/>
  <c r="CO392" i="1"/>
  <c r="CC389" i="7" s="1"/>
  <c r="CN392" i="1"/>
  <c r="CB389" i="7" s="1"/>
  <c r="CM392" i="1"/>
  <c r="CA389" i="7" s="1"/>
  <c r="CL392" i="1"/>
  <c r="BZ389" i="7" s="1"/>
  <c r="CK392" i="1"/>
  <c r="BY389" i="7" s="1"/>
  <c r="CJ392" i="1"/>
  <c r="BX389" i="7" s="1"/>
  <c r="CI392" i="1"/>
  <c r="BW389" i="7" s="1"/>
  <c r="CH392" i="1"/>
  <c r="BV389" i="7" s="1"/>
  <c r="CG392" i="1"/>
  <c r="BU389" i="7" s="1"/>
  <c r="CF392" i="1"/>
  <c r="BT389" i="7" s="1"/>
  <c r="CE392" i="1"/>
  <c r="BS389" i="7" s="1"/>
  <c r="CD392" i="1"/>
  <c r="BR389" i="7" s="1"/>
  <c r="CC392" i="1"/>
  <c r="BQ389" i="7" s="1"/>
  <c r="CB392" i="1"/>
  <c r="BP389" i="7" s="1"/>
  <c r="CA392" i="1"/>
  <c r="BO389" i="7" s="1"/>
  <c r="BZ392" i="1"/>
  <c r="BN389" i="7" s="1"/>
  <c r="BY392" i="1"/>
  <c r="BM389" i="7" s="1"/>
  <c r="BX392" i="1"/>
  <c r="BL389" i="7" s="1"/>
  <c r="BW392" i="1"/>
  <c r="BK389" i="7" s="1"/>
  <c r="BV392" i="1"/>
  <c r="BJ389" i="7" s="1"/>
  <c r="BU392" i="1"/>
  <c r="BI389" i="7" s="1"/>
  <c r="BT392" i="1"/>
  <c r="BH389" i="7" s="1"/>
  <c r="BS392" i="1"/>
  <c r="BG389" i="7" s="1"/>
  <c r="BR392" i="1"/>
  <c r="BF389" i="7" s="1"/>
  <c r="BQ392" i="1"/>
  <c r="BE389" i="7" s="1"/>
  <c r="BP392" i="1"/>
  <c r="BD389" i="7" s="1"/>
  <c r="BO392" i="1"/>
  <c r="BC389" i="7" s="1"/>
  <c r="BN392" i="1"/>
  <c r="BB389" i="7" s="1"/>
  <c r="BM392" i="1"/>
  <c r="BA389" i="7" s="1"/>
  <c r="BL392" i="1"/>
  <c r="AZ389" i="7" s="1"/>
  <c r="BK392" i="1"/>
  <c r="AY389" i="7" s="1"/>
  <c r="BJ392" i="1"/>
  <c r="AX389" i="7" s="1"/>
  <c r="BI392" i="1"/>
  <c r="AW389" i="7" s="1"/>
  <c r="BH392" i="1"/>
  <c r="AV389" i="7" s="1"/>
  <c r="BG392" i="1"/>
  <c r="AU389" i="7" s="1"/>
  <c r="BF392" i="1"/>
  <c r="AT389" i="7" s="1"/>
  <c r="BE392" i="1"/>
  <c r="AS389" i="7" s="1"/>
  <c r="BD392" i="1"/>
  <c r="AR389" i="7" s="1"/>
  <c r="BC392" i="1"/>
  <c r="AQ389" i="7" s="1"/>
  <c r="BB392" i="1"/>
  <c r="AP389" i="7" s="1"/>
  <c r="BA392" i="1"/>
  <c r="AO389" i="7" s="1"/>
  <c r="AZ392" i="1"/>
  <c r="AN389" i="7" s="1"/>
  <c r="AY392" i="1"/>
  <c r="AM389" i="7" s="1"/>
  <c r="AX392" i="1"/>
  <c r="AL389" i="7" s="1"/>
  <c r="AW392" i="1"/>
  <c r="AK389" i="7" s="1"/>
  <c r="AV392" i="1"/>
  <c r="AJ389" i="7" s="1"/>
  <c r="AU392" i="1"/>
  <c r="AI389" i="7" s="1"/>
  <c r="AT392" i="1"/>
  <c r="AH389" i="7" s="1"/>
  <c r="AS392" i="1"/>
  <c r="AG389" i="7" s="1"/>
  <c r="AR392" i="1"/>
  <c r="AF389" i="7" s="1"/>
  <c r="AQ392" i="1"/>
  <c r="AE389" i="7" s="1"/>
  <c r="AP392" i="1"/>
  <c r="AD389" i="7" s="1"/>
  <c r="AO392" i="1"/>
  <c r="AC389" i="7" s="1"/>
  <c r="AN392" i="1"/>
  <c r="AB389" i="7" s="1"/>
  <c r="AM392" i="1"/>
  <c r="AA389" i="7" s="1"/>
  <c r="AL392" i="1"/>
  <c r="Z389" i="7" s="1"/>
  <c r="AK392" i="1"/>
  <c r="Y389" i="7" s="1"/>
  <c r="AJ392" i="1"/>
  <c r="X389" i="7" s="1"/>
  <c r="AI392" i="1"/>
  <c r="W389" i="7" s="1"/>
  <c r="AH392" i="1"/>
  <c r="V389" i="7" s="1"/>
  <c r="AG392" i="1"/>
  <c r="U389" i="7" s="1"/>
  <c r="AF392" i="1"/>
  <c r="T389" i="7" s="1"/>
  <c r="AE392" i="1"/>
  <c r="S389" i="7" s="1"/>
  <c r="AD392" i="1"/>
  <c r="R389" i="7" s="1"/>
  <c r="AC392" i="1"/>
  <c r="Q389" i="7" s="1"/>
  <c r="AB392" i="1"/>
  <c r="P389" i="7" s="1"/>
  <c r="AA392" i="1"/>
  <c r="O389" i="7" s="1"/>
  <c r="Z392" i="1"/>
  <c r="N389" i="7" s="1"/>
  <c r="Y392" i="1"/>
  <c r="M389" i="7" s="1"/>
  <c r="X392" i="1"/>
  <c r="L389" i="7" s="1"/>
  <c r="W392" i="1"/>
  <c r="K389" i="7" s="1"/>
  <c r="V392" i="1"/>
  <c r="J389" i="7" s="1"/>
  <c r="U392" i="1"/>
  <c r="I389" i="7" s="1"/>
  <c r="T392" i="1"/>
  <c r="H389" i="7" s="1"/>
  <c r="S392" i="1"/>
  <c r="G389" i="7" s="1"/>
  <c r="R392" i="1"/>
  <c r="F389" i="7" s="1"/>
  <c r="CO391" i="1"/>
  <c r="CC388" i="7" s="1"/>
  <c r="CN391" i="1"/>
  <c r="CB388" i="7" s="1"/>
  <c r="CM391" i="1"/>
  <c r="CA388" i="7" s="1"/>
  <c r="CL391" i="1"/>
  <c r="BZ388" i="7" s="1"/>
  <c r="CK391" i="1"/>
  <c r="BY388" i="7" s="1"/>
  <c r="CJ391" i="1"/>
  <c r="BX388" i="7" s="1"/>
  <c r="CI391" i="1"/>
  <c r="BW388" i="7" s="1"/>
  <c r="CH391" i="1"/>
  <c r="BV388" i="7" s="1"/>
  <c r="CG391" i="1"/>
  <c r="BU388" i="7" s="1"/>
  <c r="CF391" i="1"/>
  <c r="BT388" i="7" s="1"/>
  <c r="CE391" i="1"/>
  <c r="BS388" i="7" s="1"/>
  <c r="CD391" i="1"/>
  <c r="BR388" i="7" s="1"/>
  <c r="CC391" i="1"/>
  <c r="BQ388" i="7" s="1"/>
  <c r="CB391" i="1"/>
  <c r="BP388" i="7" s="1"/>
  <c r="CA391" i="1"/>
  <c r="BO388" i="7" s="1"/>
  <c r="BU391" i="1"/>
  <c r="BI388" i="7" s="1"/>
  <c r="BT391" i="1"/>
  <c r="BH388" i="7" s="1"/>
  <c r="BS391" i="1"/>
  <c r="BG388" i="7" s="1"/>
  <c r="BR391" i="1"/>
  <c r="BF388" i="7" s="1"/>
  <c r="BQ391" i="1"/>
  <c r="BE388" i="7" s="1"/>
  <c r="BP391" i="1"/>
  <c r="BD388" i="7" s="1"/>
  <c r="BO391" i="1"/>
  <c r="BC388" i="7" s="1"/>
  <c r="BN391" i="1"/>
  <c r="BB388" i="7" s="1"/>
  <c r="BM391" i="1"/>
  <c r="BA388" i="7" s="1"/>
  <c r="BL391" i="1"/>
  <c r="AZ388" i="7" s="1"/>
  <c r="BK391" i="1"/>
  <c r="AY388" i="7" s="1"/>
  <c r="BJ391" i="1"/>
  <c r="AX388" i="7" s="1"/>
  <c r="BI391" i="1"/>
  <c r="AW388" i="7" s="1"/>
  <c r="BH391" i="1"/>
  <c r="AV388" i="7" s="1"/>
  <c r="BG391" i="1"/>
  <c r="AU388" i="7" s="1"/>
  <c r="BF391" i="1"/>
  <c r="AT388" i="7" s="1"/>
  <c r="BE391" i="1"/>
  <c r="AS388" i="7" s="1"/>
  <c r="BD391" i="1"/>
  <c r="AR388" i="7" s="1"/>
  <c r="BC391" i="1"/>
  <c r="AQ388" i="7" s="1"/>
  <c r="BB391" i="1"/>
  <c r="AP388" i="7" s="1"/>
  <c r="BA391" i="1"/>
  <c r="AO388" i="7" s="1"/>
  <c r="AZ391" i="1"/>
  <c r="AN388" i="7" s="1"/>
  <c r="AY391" i="1"/>
  <c r="AM388" i="7" s="1"/>
  <c r="AX391" i="1"/>
  <c r="AL388" i="7" s="1"/>
  <c r="AW391" i="1"/>
  <c r="AK388" i="7" s="1"/>
  <c r="AV391" i="1"/>
  <c r="AJ388" i="7" s="1"/>
  <c r="AU391" i="1"/>
  <c r="AI388" i="7" s="1"/>
  <c r="AT391" i="1"/>
  <c r="AH388" i="7" s="1"/>
  <c r="AS391" i="1"/>
  <c r="AG388" i="7" s="1"/>
  <c r="AR391" i="1"/>
  <c r="AF388" i="7" s="1"/>
  <c r="AQ391" i="1"/>
  <c r="AE388" i="7" s="1"/>
  <c r="AP391" i="1"/>
  <c r="AD388" i="7" s="1"/>
  <c r="AO391" i="1"/>
  <c r="AC388" i="7" s="1"/>
  <c r="AN391" i="1"/>
  <c r="AB388" i="7" s="1"/>
  <c r="AM391" i="1"/>
  <c r="AA388" i="7" s="1"/>
  <c r="AL391" i="1"/>
  <c r="Z388" i="7" s="1"/>
  <c r="AK391" i="1"/>
  <c r="Y388" i="7" s="1"/>
  <c r="AJ391" i="1"/>
  <c r="X388" i="7" s="1"/>
  <c r="AI391" i="1"/>
  <c r="W388" i="7" s="1"/>
  <c r="AH391" i="1"/>
  <c r="V388" i="7" s="1"/>
  <c r="AG391" i="1"/>
  <c r="U388" i="7" s="1"/>
  <c r="AF391" i="1"/>
  <c r="T388" i="7" s="1"/>
  <c r="AE391" i="1"/>
  <c r="S388" i="7" s="1"/>
  <c r="AD391" i="1"/>
  <c r="R388" i="7" s="1"/>
  <c r="AC391" i="1"/>
  <c r="Q388" i="7" s="1"/>
  <c r="AB391" i="1"/>
  <c r="P388" i="7" s="1"/>
  <c r="AA391" i="1"/>
  <c r="O388" i="7" s="1"/>
  <c r="Z391" i="1"/>
  <c r="N388" i="7" s="1"/>
  <c r="Y391" i="1"/>
  <c r="M388" i="7" s="1"/>
  <c r="X391" i="1"/>
  <c r="L388" i="7" s="1"/>
  <c r="W391" i="1"/>
  <c r="K388" i="7" s="1"/>
  <c r="V391" i="1"/>
  <c r="J388" i="7" s="1"/>
  <c r="U391" i="1"/>
  <c r="I388" i="7" s="1"/>
  <c r="T391" i="1"/>
  <c r="H388" i="7" s="1"/>
  <c r="S391" i="1"/>
  <c r="G388" i="7" s="1"/>
  <c r="R391" i="1"/>
  <c r="F388" i="7" s="1"/>
  <c r="O391" i="1"/>
  <c r="CO390" i="1"/>
  <c r="CC387" i="7" s="1"/>
  <c r="CN390" i="1"/>
  <c r="CB387" i="7" s="1"/>
  <c r="CM390" i="1"/>
  <c r="CA387" i="7" s="1"/>
  <c r="CL390" i="1"/>
  <c r="BZ387" i="7" s="1"/>
  <c r="CK390" i="1"/>
  <c r="BY387" i="7" s="1"/>
  <c r="CJ390" i="1"/>
  <c r="BX387" i="7" s="1"/>
  <c r="CI390" i="1"/>
  <c r="BW387" i="7" s="1"/>
  <c r="CH390" i="1"/>
  <c r="BV387" i="7" s="1"/>
  <c r="CG390" i="1"/>
  <c r="BU387" i="7" s="1"/>
  <c r="CF390" i="1"/>
  <c r="BT387" i="7" s="1"/>
  <c r="CE390" i="1"/>
  <c r="BS387" i="7" s="1"/>
  <c r="CD390" i="1"/>
  <c r="BR387" i="7" s="1"/>
  <c r="CC390" i="1"/>
  <c r="BQ387" i="7" s="1"/>
  <c r="CB390" i="1"/>
  <c r="BP387" i="7" s="1"/>
  <c r="CA390" i="1"/>
  <c r="BO387" i="7" s="1"/>
  <c r="BZ390" i="1"/>
  <c r="BN387" i="7" s="1"/>
  <c r="BY390" i="1"/>
  <c r="BM387" i="7" s="1"/>
  <c r="BX390" i="1"/>
  <c r="BL387" i="7" s="1"/>
  <c r="BW390" i="1"/>
  <c r="BK387" i="7" s="1"/>
  <c r="BV390" i="1"/>
  <c r="BJ387" i="7" s="1"/>
  <c r="BU390" i="1"/>
  <c r="BI387" i="7" s="1"/>
  <c r="BT390" i="1"/>
  <c r="BH387" i="7" s="1"/>
  <c r="BS390" i="1"/>
  <c r="BG387" i="7" s="1"/>
  <c r="BR390" i="1"/>
  <c r="BF387" i="7" s="1"/>
  <c r="BQ390" i="1"/>
  <c r="BE387" i="7" s="1"/>
  <c r="BP390" i="1"/>
  <c r="BD387" i="7" s="1"/>
  <c r="BO390" i="1"/>
  <c r="BC387" i="7" s="1"/>
  <c r="BN390" i="1"/>
  <c r="BB387" i="7" s="1"/>
  <c r="BM390" i="1"/>
  <c r="BA387" i="7" s="1"/>
  <c r="BL390" i="1"/>
  <c r="AZ387" i="7" s="1"/>
  <c r="BK390" i="1"/>
  <c r="AY387" i="7" s="1"/>
  <c r="BJ390" i="1"/>
  <c r="AX387" i="7" s="1"/>
  <c r="BI390" i="1"/>
  <c r="AW387" i="7" s="1"/>
  <c r="BH390" i="1"/>
  <c r="AV387" i="7" s="1"/>
  <c r="BG390" i="1"/>
  <c r="AU387" i="7" s="1"/>
  <c r="BF390" i="1"/>
  <c r="AT387" i="7" s="1"/>
  <c r="BE390" i="1"/>
  <c r="AS387" i="7" s="1"/>
  <c r="BD390" i="1"/>
  <c r="AR387" i="7" s="1"/>
  <c r="BC390" i="1"/>
  <c r="AQ387" i="7" s="1"/>
  <c r="BB390" i="1"/>
  <c r="AP387" i="7" s="1"/>
  <c r="BA390" i="1"/>
  <c r="AO387" i="7" s="1"/>
  <c r="AZ390" i="1"/>
  <c r="AN387" i="7" s="1"/>
  <c r="AY390" i="1"/>
  <c r="AM387" i="7" s="1"/>
  <c r="AX390" i="1"/>
  <c r="AL387" i="7" s="1"/>
  <c r="AW390" i="1"/>
  <c r="AK387" i="7" s="1"/>
  <c r="AV390" i="1"/>
  <c r="AJ387" i="7" s="1"/>
  <c r="AU390" i="1"/>
  <c r="AI387" i="7" s="1"/>
  <c r="AT390" i="1"/>
  <c r="AH387" i="7" s="1"/>
  <c r="AS390" i="1"/>
  <c r="AG387" i="7" s="1"/>
  <c r="AR390" i="1"/>
  <c r="AF387" i="7" s="1"/>
  <c r="AQ390" i="1"/>
  <c r="AE387" i="7" s="1"/>
  <c r="AP390" i="1"/>
  <c r="AD387" i="7" s="1"/>
  <c r="AO390" i="1"/>
  <c r="AC387" i="7" s="1"/>
  <c r="AN390" i="1"/>
  <c r="AB387" i="7" s="1"/>
  <c r="AM390" i="1"/>
  <c r="AA387" i="7" s="1"/>
  <c r="AL390" i="1"/>
  <c r="Z387" i="7" s="1"/>
  <c r="AK390" i="1"/>
  <c r="Y387" i="7" s="1"/>
  <c r="AJ390" i="1"/>
  <c r="X387" i="7" s="1"/>
  <c r="AI390" i="1"/>
  <c r="W387" i="7" s="1"/>
  <c r="AH390" i="1"/>
  <c r="V387" i="7" s="1"/>
  <c r="AG390" i="1"/>
  <c r="U387" i="7" s="1"/>
  <c r="AF390" i="1"/>
  <c r="T387" i="7" s="1"/>
  <c r="AE390" i="1"/>
  <c r="S387" i="7" s="1"/>
  <c r="AD390" i="1"/>
  <c r="R387" i="7" s="1"/>
  <c r="AC390" i="1"/>
  <c r="Q387" i="7" s="1"/>
  <c r="AB390" i="1"/>
  <c r="P387" i="7" s="1"/>
  <c r="AA390" i="1"/>
  <c r="O387" i="7" s="1"/>
  <c r="Z390" i="1"/>
  <c r="N387" i="7" s="1"/>
  <c r="Y390" i="1"/>
  <c r="M387" i="7" s="1"/>
  <c r="X390" i="1"/>
  <c r="L387" i="7" s="1"/>
  <c r="W390" i="1"/>
  <c r="K387" i="7" s="1"/>
  <c r="V390" i="1"/>
  <c r="J387" i="7" s="1"/>
  <c r="U390" i="1"/>
  <c r="I387" i="7" s="1"/>
  <c r="T390" i="1"/>
  <c r="H387" i="7" s="1"/>
  <c r="S390" i="1"/>
  <c r="G387" i="7" s="1"/>
  <c r="R390" i="1"/>
  <c r="F387" i="7" s="1"/>
  <c r="CO389" i="1"/>
  <c r="CC386" i="7" s="1"/>
  <c r="CN389" i="1"/>
  <c r="CB386" i="7" s="1"/>
  <c r="CM389" i="1"/>
  <c r="CA386" i="7" s="1"/>
  <c r="CL389" i="1"/>
  <c r="BZ386" i="7" s="1"/>
  <c r="BU389" i="1"/>
  <c r="BI386" i="7" s="1"/>
  <c r="BT389" i="1"/>
  <c r="BH386" i="7" s="1"/>
  <c r="BS389" i="1"/>
  <c r="BG386" i="7" s="1"/>
  <c r="BR389" i="1"/>
  <c r="BF386" i="7" s="1"/>
  <c r="BQ389" i="1"/>
  <c r="BE386" i="7" s="1"/>
  <c r="BP389" i="1"/>
  <c r="BD386" i="7" s="1"/>
  <c r="BO389" i="1"/>
  <c r="BC386" i="7" s="1"/>
  <c r="BN389" i="1"/>
  <c r="BB386" i="7" s="1"/>
  <c r="BM389" i="1"/>
  <c r="BA386" i="7" s="1"/>
  <c r="BL389" i="1"/>
  <c r="AZ386" i="7" s="1"/>
  <c r="BK389" i="1"/>
  <c r="AY386" i="7" s="1"/>
  <c r="BJ389" i="1"/>
  <c r="AX386" i="7" s="1"/>
  <c r="BI389" i="1"/>
  <c r="AW386" i="7" s="1"/>
  <c r="BH389" i="1"/>
  <c r="AV386" i="7" s="1"/>
  <c r="BG389" i="1"/>
  <c r="AU386" i="7" s="1"/>
  <c r="BF389" i="1"/>
  <c r="AT386" i="7" s="1"/>
  <c r="BE389" i="1"/>
  <c r="AS386" i="7" s="1"/>
  <c r="BD389" i="1"/>
  <c r="AR386" i="7" s="1"/>
  <c r="BC389" i="1"/>
  <c r="AQ386" i="7" s="1"/>
  <c r="BB389" i="1"/>
  <c r="AP386" i="7" s="1"/>
  <c r="BA389" i="1"/>
  <c r="AO386" i="7" s="1"/>
  <c r="AZ389" i="1"/>
  <c r="AN386" i="7" s="1"/>
  <c r="AY389" i="1"/>
  <c r="AM386" i="7" s="1"/>
  <c r="AX389" i="1"/>
  <c r="AL386" i="7" s="1"/>
  <c r="AW389" i="1"/>
  <c r="AK386" i="7" s="1"/>
  <c r="AV389" i="1"/>
  <c r="AJ386" i="7" s="1"/>
  <c r="AU389" i="1"/>
  <c r="AI386" i="7" s="1"/>
  <c r="AT389" i="1"/>
  <c r="AH386" i="7" s="1"/>
  <c r="AS389" i="1"/>
  <c r="AG386" i="7" s="1"/>
  <c r="AR389" i="1"/>
  <c r="AF386" i="7" s="1"/>
  <c r="AQ389" i="1"/>
  <c r="AE386" i="7" s="1"/>
  <c r="AP389" i="1"/>
  <c r="AD386" i="7" s="1"/>
  <c r="AO389" i="1"/>
  <c r="AC386" i="7" s="1"/>
  <c r="AN389" i="1"/>
  <c r="AB386" i="7" s="1"/>
  <c r="AM389" i="1"/>
  <c r="AA386" i="7" s="1"/>
  <c r="AL389" i="1"/>
  <c r="Z386" i="7" s="1"/>
  <c r="AK389" i="1"/>
  <c r="Y386" i="7" s="1"/>
  <c r="AJ389" i="1"/>
  <c r="X386" i="7" s="1"/>
  <c r="AI389" i="1"/>
  <c r="W386" i="7" s="1"/>
  <c r="AH389" i="1"/>
  <c r="V386" i="7" s="1"/>
  <c r="AG389" i="1"/>
  <c r="U386" i="7" s="1"/>
  <c r="AF389" i="1"/>
  <c r="T386" i="7" s="1"/>
  <c r="AE389" i="1"/>
  <c r="S386" i="7" s="1"/>
  <c r="AD389" i="1"/>
  <c r="R386" i="7" s="1"/>
  <c r="AC389" i="1"/>
  <c r="Q386" i="7" s="1"/>
  <c r="AB389" i="1"/>
  <c r="P386" i="7" s="1"/>
  <c r="AA389" i="1"/>
  <c r="O386" i="7" s="1"/>
  <c r="Z389" i="1"/>
  <c r="N386" i="7" s="1"/>
  <c r="Y389" i="1"/>
  <c r="M386" i="7" s="1"/>
  <c r="X389" i="1"/>
  <c r="L386" i="7" s="1"/>
  <c r="W389" i="1"/>
  <c r="K386" i="7" s="1"/>
  <c r="V389" i="1"/>
  <c r="J386" i="7" s="1"/>
  <c r="U389" i="1"/>
  <c r="I386" i="7" s="1"/>
  <c r="T389" i="1"/>
  <c r="H386" i="7" s="1"/>
  <c r="S389" i="1"/>
  <c r="G386" i="7" s="1"/>
  <c r="R389" i="1"/>
  <c r="F386" i="7" s="1"/>
  <c r="O389" i="1"/>
  <c r="O388" i="1"/>
  <c r="M388" i="1"/>
  <c r="M387" i="1"/>
  <c r="O386" i="1"/>
  <c r="CJ381" i="1" s="1"/>
  <c r="BX378" i="7" s="1"/>
  <c r="M386" i="1"/>
  <c r="M385" i="1"/>
  <c r="O384" i="1"/>
  <c r="M384" i="1"/>
  <c r="M383" i="1"/>
  <c r="CO382" i="1"/>
  <c r="CC379" i="7" s="1"/>
  <c r="CN382" i="1"/>
  <c r="CB379" i="7" s="1"/>
  <c r="CM382" i="1"/>
  <c r="CA379" i="7" s="1"/>
  <c r="CL382" i="1"/>
  <c r="BZ379" i="7" s="1"/>
  <c r="CK382" i="1"/>
  <c r="BY379" i="7" s="1"/>
  <c r="CJ382" i="1"/>
  <c r="BX379" i="7" s="1"/>
  <c r="CI382" i="1"/>
  <c r="BW379" i="7" s="1"/>
  <c r="CH382" i="1"/>
  <c r="BV379" i="7" s="1"/>
  <c r="CG382" i="1"/>
  <c r="BU379" i="7" s="1"/>
  <c r="CF382" i="1"/>
  <c r="BT379" i="7" s="1"/>
  <c r="CE382" i="1"/>
  <c r="BS379" i="7" s="1"/>
  <c r="CD382" i="1"/>
  <c r="BR379" i="7" s="1"/>
  <c r="CC382" i="1"/>
  <c r="BQ379" i="7" s="1"/>
  <c r="CB382" i="1"/>
  <c r="BP379" i="7" s="1"/>
  <c r="CA382" i="1"/>
  <c r="BO379" i="7" s="1"/>
  <c r="BZ382" i="1"/>
  <c r="BN379" i="7" s="1"/>
  <c r="BY382" i="1"/>
  <c r="BM379" i="7" s="1"/>
  <c r="BX382" i="1"/>
  <c r="BL379" i="7" s="1"/>
  <c r="BW382" i="1"/>
  <c r="BK379" i="7" s="1"/>
  <c r="BV382" i="1"/>
  <c r="BJ379" i="7" s="1"/>
  <c r="BU382" i="1"/>
  <c r="BI379" i="7" s="1"/>
  <c r="BT382" i="1"/>
  <c r="BH379" i="7" s="1"/>
  <c r="BS382" i="1"/>
  <c r="BG379" i="7" s="1"/>
  <c r="BR382" i="1"/>
  <c r="BF379" i="7" s="1"/>
  <c r="BQ382" i="1"/>
  <c r="BE379" i="7" s="1"/>
  <c r="BP382" i="1"/>
  <c r="BD379" i="7" s="1"/>
  <c r="BO382" i="1"/>
  <c r="BC379" i="7" s="1"/>
  <c r="BN382" i="1"/>
  <c r="BB379" i="7" s="1"/>
  <c r="BM382" i="1"/>
  <c r="BA379" i="7" s="1"/>
  <c r="BL382" i="1"/>
  <c r="AZ379" i="7" s="1"/>
  <c r="BK382" i="1"/>
  <c r="AY379" i="7" s="1"/>
  <c r="BJ382" i="1"/>
  <c r="AX379" i="7" s="1"/>
  <c r="BI382" i="1"/>
  <c r="AW379" i="7" s="1"/>
  <c r="BH382" i="1"/>
  <c r="AV379" i="7" s="1"/>
  <c r="BG382" i="1"/>
  <c r="AU379" i="7" s="1"/>
  <c r="BF382" i="1"/>
  <c r="AT379" i="7" s="1"/>
  <c r="BE382" i="1"/>
  <c r="AS379" i="7" s="1"/>
  <c r="BD382" i="1"/>
  <c r="AR379" i="7" s="1"/>
  <c r="BC382" i="1"/>
  <c r="AQ379" i="7" s="1"/>
  <c r="BB382" i="1"/>
  <c r="AP379" i="7" s="1"/>
  <c r="BA382" i="1"/>
  <c r="AO379" i="7" s="1"/>
  <c r="AZ382" i="1"/>
  <c r="AN379" i="7" s="1"/>
  <c r="AY382" i="1"/>
  <c r="AM379" i="7" s="1"/>
  <c r="AX382" i="1"/>
  <c r="AL379" i="7" s="1"/>
  <c r="AW382" i="1"/>
  <c r="AK379" i="7" s="1"/>
  <c r="AV382" i="1"/>
  <c r="AJ379" i="7" s="1"/>
  <c r="AU382" i="1"/>
  <c r="AI379" i="7" s="1"/>
  <c r="AT382" i="1"/>
  <c r="AH379" i="7" s="1"/>
  <c r="AS382" i="1"/>
  <c r="AG379" i="7" s="1"/>
  <c r="AR382" i="1"/>
  <c r="AF379" i="7" s="1"/>
  <c r="AQ382" i="1"/>
  <c r="AE379" i="7" s="1"/>
  <c r="AP382" i="1"/>
  <c r="AD379" i="7" s="1"/>
  <c r="AO382" i="1"/>
  <c r="AC379" i="7" s="1"/>
  <c r="AN382" i="1"/>
  <c r="AB379" i="7" s="1"/>
  <c r="AM382" i="1"/>
  <c r="AA379" i="7" s="1"/>
  <c r="AL382" i="1"/>
  <c r="Z379" i="7" s="1"/>
  <c r="AK382" i="1"/>
  <c r="Y379" i="7" s="1"/>
  <c r="AJ382" i="1"/>
  <c r="X379" i="7" s="1"/>
  <c r="AI382" i="1"/>
  <c r="W379" i="7" s="1"/>
  <c r="AH382" i="1"/>
  <c r="V379" i="7" s="1"/>
  <c r="AG382" i="1"/>
  <c r="U379" i="7" s="1"/>
  <c r="AF382" i="1"/>
  <c r="T379" i="7" s="1"/>
  <c r="AE382" i="1"/>
  <c r="S379" i="7" s="1"/>
  <c r="AD382" i="1"/>
  <c r="R379" i="7" s="1"/>
  <c r="AC382" i="1"/>
  <c r="Q379" i="7" s="1"/>
  <c r="AB382" i="1"/>
  <c r="P379" i="7" s="1"/>
  <c r="AA382" i="1"/>
  <c r="O379" i="7" s="1"/>
  <c r="Z382" i="1"/>
  <c r="N379" i="7" s="1"/>
  <c r="Y382" i="1"/>
  <c r="M379" i="7" s="1"/>
  <c r="X382" i="1"/>
  <c r="L379" i="7" s="1"/>
  <c r="W382" i="1"/>
  <c r="K379" i="7" s="1"/>
  <c r="V382" i="1"/>
  <c r="J379" i="7" s="1"/>
  <c r="U382" i="1"/>
  <c r="I379" i="7" s="1"/>
  <c r="T382" i="1"/>
  <c r="H379" i="7" s="1"/>
  <c r="S382" i="1"/>
  <c r="G379" i="7" s="1"/>
  <c r="R382" i="1"/>
  <c r="F379" i="7" s="1"/>
  <c r="CO381" i="1"/>
  <c r="CC378" i="7" s="1"/>
  <c r="CN381" i="1"/>
  <c r="CB378" i="7" s="1"/>
  <c r="CM381" i="1"/>
  <c r="CA378" i="7" s="1"/>
  <c r="CL381" i="1"/>
  <c r="BZ378" i="7" s="1"/>
  <c r="CI381" i="1"/>
  <c r="BW378" i="7" s="1"/>
  <c r="CE381" i="1"/>
  <c r="BS378" i="7" s="1"/>
  <c r="CD381" i="1"/>
  <c r="BR378" i="7" s="1"/>
  <c r="CC381" i="1"/>
  <c r="BQ378" i="7" s="1"/>
  <c r="CB381" i="1"/>
  <c r="BP378" i="7" s="1"/>
  <c r="CA381" i="1"/>
  <c r="BO378" i="7" s="1"/>
  <c r="BZ381" i="1"/>
  <c r="BN378" i="7" s="1"/>
  <c r="BY381" i="1"/>
  <c r="BM378" i="7" s="1"/>
  <c r="BX381" i="1"/>
  <c r="BL378" i="7" s="1"/>
  <c r="BW381" i="1"/>
  <c r="BK378" i="7" s="1"/>
  <c r="BV381" i="1"/>
  <c r="BJ378" i="7" s="1"/>
  <c r="BU381" i="1"/>
  <c r="BI378" i="7" s="1"/>
  <c r="BT381" i="1"/>
  <c r="BH378" i="7" s="1"/>
  <c r="BS381" i="1"/>
  <c r="BG378" i="7" s="1"/>
  <c r="BR381" i="1"/>
  <c r="BF378" i="7" s="1"/>
  <c r="BQ381" i="1"/>
  <c r="BE378" i="7" s="1"/>
  <c r="BP381" i="1"/>
  <c r="BD378" i="7" s="1"/>
  <c r="BO381" i="1"/>
  <c r="BC378" i="7" s="1"/>
  <c r="BN381" i="1"/>
  <c r="BB378" i="7" s="1"/>
  <c r="BM381" i="1"/>
  <c r="BA378" i="7" s="1"/>
  <c r="BL381" i="1"/>
  <c r="AZ378" i="7" s="1"/>
  <c r="BK381" i="1"/>
  <c r="AY378" i="7" s="1"/>
  <c r="BJ381" i="1"/>
  <c r="AX378" i="7" s="1"/>
  <c r="BI381" i="1"/>
  <c r="AW378" i="7" s="1"/>
  <c r="BH381" i="1"/>
  <c r="AV378" i="7" s="1"/>
  <c r="BG381" i="1"/>
  <c r="AU378" i="7" s="1"/>
  <c r="BF381" i="1"/>
  <c r="AT378" i="7" s="1"/>
  <c r="BE381" i="1"/>
  <c r="AS378" i="7" s="1"/>
  <c r="BD381" i="1"/>
  <c r="AR378" i="7" s="1"/>
  <c r="BC381" i="1"/>
  <c r="AQ378" i="7" s="1"/>
  <c r="BB381" i="1"/>
  <c r="AP378" i="7" s="1"/>
  <c r="BA381" i="1"/>
  <c r="AO378" i="7" s="1"/>
  <c r="AZ381" i="1"/>
  <c r="AN378" i="7" s="1"/>
  <c r="AY381" i="1"/>
  <c r="AM378" i="7" s="1"/>
  <c r="AX381" i="1"/>
  <c r="AL378" i="7" s="1"/>
  <c r="AW381" i="1"/>
  <c r="AK378" i="7" s="1"/>
  <c r="AV381" i="1"/>
  <c r="AJ378" i="7" s="1"/>
  <c r="AU381" i="1"/>
  <c r="AI378" i="7" s="1"/>
  <c r="AT381" i="1"/>
  <c r="AH378" i="7" s="1"/>
  <c r="AS381" i="1"/>
  <c r="AG378" i="7" s="1"/>
  <c r="AR381" i="1"/>
  <c r="AF378" i="7" s="1"/>
  <c r="AQ381" i="1"/>
  <c r="AE378" i="7" s="1"/>
  <c r="AP381" i="1"/>
  <c r="AD378" i="7" s="1"/>
  <c r="AO381" i="1"/>
  <c r="AC378" i="7" s="1"/>
  <c r="AN381" i="1"/>
  <c r="AB378" i="7" s="1"/>
  <c r="AM381" i="1"/>
  <c r="AA378" i="7" s="1"/>
  <c r="AL381" i="1"/>
  <c r="Z378" i="7" s="1"/>
  <c r="AK381" i="1"/>
  <c r="Y378" i="7" s="1"/>
  <c r="AJ381" i="1"/>
  <c r="X378" i="7" s="1"/>
  <c r="AI381" i="1"/>
  <c r="W378" i="7" s="1"/>
  <c r="AH381" i="1"/>
  <c r="V378" i="7" s="1"/>
  <c r="AG381" i="1"/>
  <c r="U378" i="7" s="1"/>
  <c r="AF381" i="1"/>
  <c r="T378" i="7" s="1"/>
  <c r="AE381" i="1"/>
  <c r="S378" i="7" s="1"/>
  <c r="AD381" i="1"/>
  <c r="R378" i="7" s="1"/>
  <c r="AC381" i="1"/>
  <c r="Q378" i="7" s="1"/>
  <c r="AB381" i="1"/>
  <c r="P378" i="7" s="1"/>
  <c r="AA381" i="1"/>
  <c r="O378" i="7" s="1"/>
  <c r="Z381" i="1"/>
  <c r="N378" i="7" s="1"/>
  <c r="Y381" i="1"/>
  <c r="M378" i="7" s="1"/>
  <c r="X381" i="1"/>
  <c r="L378" i="7" s="1"/>
  <c r="W381" i="1"/>
  <c r="K378" i="7" s="1"/>
  <c r="V381" i="1"/>
  <c r="J378" i="7" s="1"/>
  <c r="U381" i="1"/>
  <c r="I378" i="7" s="1"/>
  <c r="T381" i="1"/>
  <c r="H378" i="7" s="1"/>
  <c r="S381" i="1"/>
  <c r="G378" i="7" s="1"/>
  <c r="R381" i="1"/>
  <c r="F378" i="7" s="1"/>
  <c r="O381" i="1"/>
  <c r="O382" i="1" s="1"/>
  <c r="O380" i="1"/>
  <c r="M380" i="1"/>
  <c r="M379" i="1"/>
  <c r="O378" i="1"/>
  <c r="CG375" i="1" s="1"/>
  <c r="BU372" i="7" s="1"/>
  <c r="M378" i="1"/>
  <c r="M377" i="1"/>
  <c r="CO376" i="1"/>
  <c r="CC373" i="7" s="1"/>
  <c r="CN376" i="1"/>
  <c r="CB373" i="7" s="1"/>
  <c r="CM376" i="1"/>
  <c r="CA373" i="7" s="1"/>
  <c r="CL376" i="1"/>
  <c r="BZ373" i="7" s="1"/>
  <c r="CK376" i="1"/>
  <c r="BY373" i="7" s="1"/>
  <c r="CJ376" i="1"/>
  <c r="BX373" i="7" s="1"/>
  <c r="CI376" i="1"/>
  <c r="BW373" i="7" s="1"/>
  <c r="CH376" i="1"/>
  <c r="BV373" i="7" s="1"/>
  <c r="CG376" i="1"/>
  <c r="BU373" i="7" s="1"/>
  <c r="CF376" i="1"/>
  <c r="BT373" i="7" s="1"/>
  <c r="CE376" i="1"/>
  <c r="BS373" i="7" s="1"/>
  <c r="CD376" i="1"/>
  <c r="BR373" i="7" s="1"/>
  <c r="CC376" i="1"/>
  <c r="BQ373" i="7" s="1"/>
  <c r="CB376" i="1"/>
  <c r="BP373" i="7" s="1"/>
  <c r="CA376" i="1"/>
  <c r="BO373" i="7" s="1"/>
  <c r="BZ376" i="1"/>
  <c r="BN373" i="7" s="1"/>
  <c r="BY376" i="1"/>
  <c r="BM373" i="7" s="1"/>
  <c r="BX376" i="1"/>
  <c r="BL373" i="7" s="1"/>
  <c r="BW376" i="1"/>
  <c r="BK373" i="7" s="1"/>
  <c r="BV376" i="1"/>
  <c r="BJ373" i="7" s="1"/>
  <c r="BU376" i="1"/>
  <c r="BI373" i="7" s="1"/>
  <c r="BT376" i="1"/>
  <c r="BH373" i="7" s="1"/>
  <c r="BS376" i="1"/>
  <c r="BG373" i="7" s="1"/>
  <c r="BR376" i="1"/>
  <c r="BF373" i="7" s="1"/>
  <c r="BQ376" i="1"/>
  <c r="BE373" i="7" s="1"/>
  <c r="BP376" i="1"/>
  <c r="BD373" i="7" s="1"/>
  <c r="BO376" i="1"/>
  <c r="BC373" i="7" s="1"/>
  <c r="BN376" i="1"/>
  <c r="BB373" i="7" s="1"/>
  <c r="BM376" i="1"/>
  <c r="BA373" i="7" s="1"/>
  <c r="BL376" i="1"/>
  <c r="AZ373" i="7" s="1"/>
  <c r="BK376" i="1"/>
  <c r="AY373" i="7" s="1"/>
  <c r="BJ376" i="1"/>
  <c r="AX373" i="7" s="1"/>
  <c r="BI376" i="1"/>
  <c r="AW373" i="7" s="1"/>
  <c r="BH376" i="1"/>
  <c r="AV373" i="7" s="1"/>
  <c r="BG376" i="1"/>
  <c r="AU373" i="7" s="1"/>
  <c r="BF376" i="1"/>
  <c r="AT373" i="7" s="1"/>
  <c r="BE376" i="1"/>
  <c r="AS373" i="7" s="1"/>
  <c r="BD376" i="1"/>
  <c r="AR373" i="7" s="1"/>
  <c r="BC376" i="1"/>
  <c r="AQ373" i="7" s="1"/>
  <c r="BB376" i="1"/>
  <c r="AP373" i="7" s="1"/>
  <c r="BA376" i="1"/>
  <c r="AO373" i="7" s="1"/>
  <c r="AZ376" i="1"/>
  <c r="AN373" i="7" s="1"/>
  <c r="AY376" i="1"/>
  <c r="AM373" i="7" s="1"/>
  <c r="AX376" i="1"/>
  <c r="AL373" i="7" s="1"/>
  <c r="AW376" i="1"/>
  <c r="AK373" i="7" s="1"/>
  <c r="AV376" i="1"/>
  <c r="AJ373" i="7" s="1"/>
  <c r="AU376" i="1"/>
  <c r="AI373" i="7" s="1"/>
  <c r="AT376" i="1"/>
  <c r="AH373" i="7" s="1"/>
  <c r="AS376" i="1"/>
  <c r="AG373" i="7" s="1"/>
  <c r="AR376" i="1"/>
  <c r="AF373" i="7" s="1"/>
  <c r="AQ376" i="1"/>
  <c r="AE373" i="7" s="1"/>
  <c r="AP376" i="1"/>
  <c r="AD373" i="7" s="1"/>
  <c r="AO376" i="1"/>
  <c r="AC373" i="7" s="1"/>
  <c r="AN376" i="1"/>
  <c r="AB373" i="7" s="1"/>
  <c r="AM376" i="1"/>
  <c r="AA373" i="7" s="1"/>
  <c r="AL376" i="1"/>
  <c r="Z373" i="7" s="1"/>
  <c r="AK376" i="1"/>
  <c r="Y373" i="7" s="1"/>
  <c r="AJ376" i="1"/>
  <c r="X373" i="7" s="1"/>
  <c r="AI376" i="1"/>
  <c r="W373" i="7" s="1"/>
  <c r="AH376" i="1"/>
  <c r="V373" i="7" s="1"/>
  <c r="AG376" i="1"/>
  <c r="U373" i="7" s="1"/>
  <c r="AF376" i="1"/>
  <c r="T373" i="7" s="1"/>
  <c r="AE376" i="1"/>
  <c r="S373" i="7" s="1"/>
  <c r="AD376" i="1"/>
  <c r="R373" i="7" s="1"/>
  <c r="AC376" i="1"/>
  <c r="Q373" i="7" s="1"/>
  <c r="AB376" i="1"/>
  <c r="P373" i="7" s="1"/>
  <c r="AA376" i="1"/>
  <c r="O373" i="7" s="1"/>
  <c r="Z376" i="1"/>
  <c r="N373" i="7" s="1"/>
  <c r="Y376" i="1"/>
  <c r="M373" i="7" s="1"/>
  <c r="X376" i="1"/>
  <c r="L373" i="7" s="1"/>
  <c r="W376" i="1"/>
  <c r="K373" i="7" s="1"/>
  <c r="V376" i="1"/>
  <c r="J373" i="7" s="1"/>
  <c r="U376" i="1"/>
  <c r="I373" i="7" s="1"/>
  <c r="T376" i="1"/>
  <c r="H373" i="7" s="1"/>
  <c r="S376" i="1"/>
  <c r="G373" i="7" s="1"/>
  <c r="R376" i="1"/>
  <c r="F373" i="7" s="1"/>
  <c r="CO375" i="1"/>
  <c r="CC372" i="7" s="1"/>
  <c r="CN375" i="1"/>
  <c r="CB372" i="7" s="1"/>
  <c r="CM375" i="1"/>
  <c r="CA372" i="7" s="1"/>
  <c r="CL375" i="1"/>
  <c r="BZ372" i="7" s="1"/>
  <c r="CK375" i="1"/>
  <c r="BY372" i="7" s="1"/>
  <c r="CJ375" i="1"/>
  <c r="BX372" i="7" s="1"/>
  <c r="CI375" i="1"/>
  <c r="BW372" i="7" s="1"/>
  <c r="CA375" i="1"/>
  <c r="BO372" i="7" s="1"/>
  <c r="BZ375" i="1"/>
  <c r="BN372" i="7" s="1"/>
  <c r="BY375" i="1"/>
  <c r="BM372" i="7" s="1"/>
  <c r="BX375" i="1"/>
  <c r="BL372" i="7" s="1"/>
  <c r="BW375" i="1"/>
  <c r="BK372" i="7" s="1"/>
  <c r="BV375" i="1"/>
  <c r="BJ372" i="7" s="1"/>
  <c r="BU375" i="1"/>
  <c r="BI372" i="7" s="1"/>
  <c r="BT375" i="1"/>
  <c r="BH372" i="7" s="1"/>
  <c r="BS375" i="1"/>
  <c r="BG372" i="7" s="1"/>
  <c r="BR375" i="1"/>
  <c r="BF372" i="7" s="1"/>
  <c r="BQ375" i="1"/>
  <c r="BE372" i="7" s="1"/>
  <c r="BP375" i="1"/>
  <c r="BD372" i="7" s="1"/>
  <c r="BO375" i="1"/>
  <c r="BC372" i="7" s="1"/>
  <c r="BN375" i="1"/>
  <c r="BB372" i="7" s="1"/>
  <c r="BM375" i="1"/>
  <c r="BA372" i="7" s="1"/>
  <c r="BL375" i="1"/>
  <c r="AZ372" i="7" s="1"/>
  <c r="BK375" i="1"/>
  <c r="AY372" i="7" s="1"/>
  <c r="BJ375" i="1"/>
  <c r="AX372" i="7" s="1"/>
  <c r="BI375" i="1"/>
  <c r="AW372" i="7" s="1"/>
  <c r="BH375" i="1"/>
  <c r="AV372" i="7" s="1"/>
  <c r="BG375" i="1"/>
  <c r="AU372" i="7" s="1"/>
  <c r="BF375" i="1"/>
  <c r="AT372" i="7" s="1"/>
  <c r="BE375" i="1"/>
  <c r="AS372" i="7" s="1"/>
  <c r="BD375" i="1"/>
  <c r="AR372" i="7" s="1"/>
  <c r="BC375" i="1"/>
  <c r="AQ372" i="7" s="1"/>
  <c r="BB375" i="1"/>
  <c r="AP372" i="7" s="1"/>
  <c r="BA375" i="1"/>
  <c r="AO372" i="7" s="1"/>
  <c r="AZ375" i="1"/>
  <c r="AN372" i="7" s="1"/>
  <c r="AY375" i="1"/>
  <c r="AM372" i="7" s="1"/>
  <c r="AX375" i="1"/>
  <c r="AL372" i="7" s="1"/>
  <c r="AW375" i="1"/>
  <c r="AK372" i="7" s="1"/>
  <c r="AV375" i="1"/>
  <c r="AJ372" i="7" s="1"/>
  <c r="AU375" i="1"/>
  <c r="AI372" i="7" s="1"/>
  <c r="AT375" i="1"/>
  <c r="AH372" i="7" s="1"/>
  <c r="AS375" i="1"/>
  <c r="AG372" i="7" s="1"/>
  <c r="AR375" i="1"/>
  <c r="AF372" i="7" s="1"/>
  <c r="AQ375" i="1"/>
  <c r="AE372" i="7" s="1"/>
  <c r="AP375" i="1"/>
  <c r="AD372" i="7" s="1"/>
  <c r="AO375" i="1"/>
  <c r="AC372" i="7" s="1"/>
  <c r="AN375" i="1"/>
  <c r="AB372" i="7" s="1"/>
  <c r="AM375" i="1"/>
  <c r="AA372" i="7" s="1"/>
  <c r="AL375" i="1"/>
  <c r="Z372" i="7" s="1"/>
  <c r="AK375" i="1"/>
  <c r="Y372" i="7" s="1"/>
  <c r="AJ375" i="1"/>
  <c r="X372" i="7" s="1"/>
  <c r="AI375" i="1"/>
  <c r="W372" i="7" s="1"/>
  <c r="AH375" i="1"/>
  <c r="V372" i="7" s="1"/>
  <c r="AG375" i="1"/>
  <c r="U372" i="7" s="1"/>
  <c r="AF375" i="1"/>
  <c r="T372" i="7" s="1"/>
  <c r="AE375" i="1"/>
  <c r="S372" i="7" s="1"/>
  <c r="AD375" i="1"/>
  <c r="R372" i="7" s="1"/>
  <c r="AC375" i="1"/>
  <c r="Q372" i="7" s="1"/>
  <c r="AB375" i="1"/>
  <c r="P372" i="7" s="1"/>
  <c r="AA375" i="1"/>
  <c r="O372" i="7" s="1"/>
  <c r="Z375" i="1"/>
  <c r="N372" i="7" s="1"/>
  <c r="Y375" i="1"/>
  <c r="M372" i="7" s="1"/>
  <c r="X375" i="1"/>
  <c r="L372" i="7" s="1"/>
  <c r="W375" i="1"/>
  <c r="K372" i="7" s="1"/>
  <c r="V375" i="1"/>
  <c r="J372" i="7" s="1"/>
  <c r="U375" i="1"/>
  <c r="I372" i="7" s="1"/>
  <c r="T375" i="1"/>
  <c r="H372" i="7" s="1"/>
  <c r="S375" i="1"/>
  <c r="G372" i="7" s="1"/>
  <c r="R375" i="1"/>
  <c r="F372" i="7" s="1"/>
  <c r="O375" i="1"/>
  <c r="O376" i="1" s="1"/>
  <c r="O374" i="1"/>
  <c r="M374" i="1"/>
  <c r="M373" i="1"/>
  <c r="O372" i="1"/>
  <c r="M372" i="1"/>
  <c r="M371" i="1"/>
  <c r="O370" i="1"/>
  <c r="M370" i="1"/>
  <c r="M369" i="1"/>
  <c r="O368" i="1"/>
  <c r="CG365" i="1" s="1"/>
  <c r="BU362" i="7" s="1"/>
  <c r="M368" i="1"/>
  <c r="M367" i="1"/>
  <c r="CO366" i="1"/>
  <c r="CC363" i="7" s="1"/>
  <c r="CN366" i="1"/>
  <c r="CB363" i="7" s="1"/>
  <c r="CM366" i="1"/>
  <c r="CA363" i="7" s="1"/>
  <c r="CL366" i="1"/>
  <c r="BZ363" i="7" s="1"/>
  <c r="CK366" i="1"/>
  <c r="BY363" i="7" s="1"/>
  <c r="CJ366" i="1"/>
  <c r="BX363" i="7" s="1"/>
  <c r="CI366" i="1"/>
  <c r="BW363" i="7" s="1"/>
  <c r="CH366" i="1"/>
  <c r="BV363" i="7" s="1"/>
  <c r="CG366" i="1"/>
  <c r="BU363" i="7" s="1"/>
  <c r="CF366" i="1"/>
  <c r="BT363" i="7" s="1"/>
  <c r="CE366" i="1"/>
  <c r="BS363" i="7" s="1"/>
  <c r="CD366" i="1"/>
  <c r="BR363" i="7" s="1"/>
  <c r="CC366" i="1"/>
  <c r="BQ363" i="7" s="1"/>
  <c r="CB366" i="1"/>
  <c r="BP363" i="7" s="1"/>
  <c r="CA366" i="1"/>
  <c r="BO363" i="7" s="1"/>
  <c r="BZ366" i="1"/>
  <c r="BN363" i="7" s="1"/>
  <c r="BY366" i="1"/>
  <c r="BM363" i="7" s="1"/>
  <c r="BX366" i="1"/>
  <c r="BL363" i="7" s="1"/>
  <c r="BW366" i="1"/>
  <c r="BK363" i="7" s="1"/>
  <c r="BV366" i="1"/>
  <c r="BJ363" i="7" s="1"/>
  <c r="BU366" i="1"/>
  <c r="BI363" i="7" s="1"/>
  <c r="BT366" i="1"/>
  <c r="BH363" i="7" s="1"/>
  <c r="BS366" i="1"/>
  <c r="BG363" i="7" s="1"/>
  <c r="BR366" i="1"/>
  <c r="BF363" i="7" s="1"/>
  <c r="BQ366" i="1"/>
  <c r="BE363" i="7" s="1"/>
  <c r="BP366" i="1"/>
  <c r="BD363" i="7" s="1"/>
  <c r="BO366" i="1"/>
  <c r="BC363" i="7" s="1"/>
  <c r="BN366" i="1"/>
  <c r="BB363" i="7" s="1"/>
  <c r="BM366" i="1"/>
  <c r="BA363" i="7" s="1"/>
  <c r="BL366" i="1"/>
  <c r="AZ363" i="7" s="1"/>
  <c r="BK366" i="1"/>
  <c r="AY363" i="7" s="1"/>
  <c r="BJ366" i="1"/>
  <c r="AX363" i="7" s="1"/>
  <c r="BI366" i="1"/>
  <c r="AW363" i="7" s="1"/>
  <c r="BH366" i="1"/>
  <c r="AV363" i="7" s="1"/>
  <c r="BG366" i="1"/>
  <c r="AU363" i="7" s="1"/>
  <c r="BF366" i="1"/>
  <c r="AT363" i="7" s="1"/>
  <c r="BE366" i="1"/>
  <c r="AS363" i="7" s="1"/>
  <c r="BD366" i="1"/>
  <c r="AR363" i="7" s="1"/>
  <c r="BC366" i="1"/>
  <c r="AQ363" i="7" s="1"/>
  <c r="BB366" i="1"/>
  <c r="AP363" i="7" s="1"/>
  <c r="BA366" i="1"/>
  <c r="AO363" i="7" s="1"/>
  <c r="AZ366" i="1"/>
  <c r="AN363" i="7" s="1"/>
  <c r="AY366" i="1"/>
  <c r="AM363" i="7" s="1"/>
  <c r="AX366" i="1"/>
  <c r="AL363" i="7" s="1"/>
  <c r="AW366" i="1"/>
  <c r="AK363" i="7" s="1"/>
  <c r="AV366" i="1"/>
  <c r="AJ363" i="7" s="1"/>
  <c r="AU366" i="1"/>
  <c r="AI363" i="7" s="1"/>
  <c r="AT366" i="1"/>
  <c r="AH363" i="7" s="1"/>
  <c r="AS366" i="1"/>
  <c r="AG363" i="7" s="1"/>
  <c r="AR366" i="1"/>
  <c r="AF363" i="7" s="1"/>
  <c r="AQ366" i="1"/>
  <c r="AE363" i="7" s="1"/>
  <c r="AP366" i="1"/>
  <c r="AD363" i="7" s="1"/>
  <c r="AO366" i="1"/>
  <c r="AC363" i="7" s="1"/>
  <c r="AN366" i="1"/>
  <c r="AB363" i="7" s="1"/>
  <c r="AM366" i="1"/>
  <c r="AA363" i="7" s="1"/>
  <c r="AL366" i="1"/>
  <c r="Z363" i="7" s="1"/>
  <c r="AK366" i="1"/>
  <c r="Y363" i="7" s="1"/>
  <c r="AJ366" i="1"/>
  <c r="X363" i="7" s="1"/>
  <c r="AI366" i="1"/>
  <c r="W363" i="7" s="1"/>
  <c r="AH366" i="1"/>
  <c r="V363" i="7" s="1"/>
  <c r="AG366" i="1"/>
  <c r="U363" i="7" s="1"/>
  <c r="AF366" i="1"/>
  <c r="T363" i="7" s="1"/>
  <c r="AE366" i="1"/>
  <c r="S363" i="7" s="1"/>
  <c r="AD366" i="1"/>
  <c r="R363" i="7" s="1"/>
  <c r="AC366" i="1"/>
  <c r="Q363" i="7" s="1"/>
  <c r="AB366" i="1"/>
  <c r="P363" i="7" s="1"/>
  <c r="AA366" i="1"/>
  <c r="O363" i="7" s="1"/>
  <c r="Z366" i="1"/>
  <c r="N363" i="7" s="1"/>
  <c r="Y366" i="1"/>
  <c r="M363" i="7" s="1"/>
  <c r="X366" i="1"/>
  <c r="L363" i="7" s="1"/>
  <c r="W366" i="1"/>
  <c r="K363" i="7" s="1"/>
  <c r="V366" i="1"/>
  <c r="J363" i="7" s="1"/>
  <c r="U366" i="1"/>
  <c r="I363" i="7" s="1"/>
  <c r="T366" i="1"/>
  <c r="H363" i="7" s="1"/>
  <c r="S366" i="1"/>
  <c r="G363" i="7" s="1"/>
  <c r="R366" i="1"/>
  <c r="F363" i="7" s="1"/>
  <c r="CO365" i="1"/>
  <c r="CC362" i="7" s="1"/>
  <c r="CN365" i="1"/>
  <c r="CB362" i="7" s="1"/>
  <c r="CM365" i="1"/>
  <c r="CA362" i="7" s="1"/>
  <c r="CL365" i="1"/>
  <c r="BZ362" i="7" s="1"/>
  <c r="CK365" i="1"/>
  <c r="BY362" i="7" s="1"/>
  <c r="CJ365" i="1"/>
  <c r="BX362" i="7" s="1"/>
  <c r="BY365" i="1"/>
  <c r="BM362" i="7" s="1"/>
  <c r="BX365" i="1"/>
  <c r="BL362" i="7" s="1"/>
  <c r="BW365" i="1"/>
  <c r="BK362" i="7" s="1"/>
  <c r="BV365" i="1"/>
  <c r="BJ362" i="7" s="1"/>
  <c r="BU365" i="1"/>
  <c r="BI362" i="7" s="1"/>
  <c r="BT365" i="1"/>
  <c r="BH362" i="7" s="1"/>
  <c r="BS365" i="1"/>
  <c r="BG362" i="7" s="1"/>
  <c r="BR365" i="1"/>
  <c r="BF362" i="7" s="1"/>
  <c r="BQ365" i="1"/>
  <c r="BE362" i="7" s="1"/>
  <c r="BP365" i="1"/>
  <c r="BD362" i="7" s="1"/>
  <c r="BO365" i="1"/>
  <c r="BC362" i="7" s="1"/>
  <c r="BN365" i="1"/>
  <c r="BB362" i="7" s="1"/>
  <c r="BM365" i="1"/>
  <c r="BA362" i="7" s="1"/>
  <c r="BL365" i="1"/>
  <c r="AZ362" i="7" s="1"/>
  <c r="BK365" i="1"/>
  <c r="AY362" i="7" s="1"/>
  <c r="BJ365" i="1"/>
  <c r="AX362" i="7" s="1"/>
  <c r="BI365" i="1"/>
  <c r="AW362" i="7" s="1"/>
  <c r="BH365" i="1"/>
  <c r="AV362" i="7" s="1"/>
  <c r="BG365" i="1"/>
  <c r="AU362" i="7" s="1"/>
  <c r="BF365" i="1"/>
  <c r="AT362" i="7" s="1"/>
  <c r="BE365" i="1"/>
  <c r="AS362" i="7" s="1"/>
  <c r="BD365" i="1"/>
  <c r="AR362" i="7" s="1"/>
  <c r="BC365" i="1"/>
  <c r="AQ362" i="7" s="1"/>
  <c r="BB365" i="1"/>
  <c r="AP362" i="7" s="1"/>
  <c r="BA365" i="1"/>
  <c r="AO362" i="7" s="1"/>
  <c r="AZ365" i="1"/>
  <c r="AN362" i="7" s="1"/>
  <c r="AY365" i="1"/>
  <c r="AM362" i="7" s="1"/>
  <c r="AX365" i="1"/>
  <c r="AL362" i="7" s="1"/>
  <c r="AW365" i="1"/>
  <c r="AK362" i="7" s="1"/>
  <c r="AV365" i="1"/>
  <c r="AJ362" i="7" s="1"/>
  <c r="AU365" i="1"/>
  <c r="AI362" i="7" s="1"/>
  <c r="AT365" i="1"/>
  <c r="AH362" i="7" s="1"/>
  <c r="AS365" i="1"/>
  <c r="AG362" i="7" s="1"/>
  <c r="AR365" i="1"/>
  <c r="AF362" i="7" s="1"/>
  <c r="AQ365" i="1"/>
  <c r="AE362" i="7" s="1"/>
  <c r="AP365" i="1"/>
  <c r="AD362" i="7" s="1"/>
  <c r="AO365" i="1"/>
  <c r="AC362" i="7" s="1"/>
  <c r="AN365" i="1"/>
  <c r="AB362" i="7" s="1"/>
  <c r="AM365" i="1"/>
  <c r="AA362" i="7" s="1"/>
  <c r="AL365" i="1"/>
  <c r="Z362" i="7" s="1"/>
  <c r="AK365" i="1"/>
  <c r="Y362" i="7" s="1"/>
  <c r="AJ365" i="1"/>
  <c r="X362" i="7" s="1"/>
  <c r="AI365" i="1"/>
  <c r="W362" i="7" s="1"/>
  <c r="AH365" i="1"/>
  <c r="V362" i="7" s="1"/>
  <c r="AG365" i="1"/>
  <c r="U362" i="7" s="1"/>
  <c r="AF365" i="1"/>
  <c r="T362" i="7" s="1"/>
  <c r="AE365" i="1"/>
  <c r="S362" i="7" s="1"/>
  <c r="AD365" i="1"/>
  <c r="R362" i="7" s="1"/>
  <c r="AC365" i="1"/>
  <c r="Q362" i="7" s="1"/>
  <c r="AB365" i="1"/>
  <c r="P362" i="7" s="1"/>
  <c r="AA365" i="1"/>
  <c r="O362" i="7" s="1"/>
  <c r="Z365" i="1"/>
  <c r="N362" i="7" s="1"/>
  <c r="Y365" i="1"/>
  <c r="M362" i="7" s="1"/>
  <c r="X365" i="1"/>
  <c r="L362" i="7" s="1"/>
  <c r="W365" i="1"/>
  <c r="K362" i="7" s="1"/>
  <c r="V365" i="1"/>
  <c r="J362" i="7" s="1"/>
  <c r="U365" i="1"/>
  <c r="I362" i="7" s="1"/>
  <c r="T365" i="1"/>
  <c r="H362" i="7" s="1"/>
  <c r="S365" i="1"/>
  <c r="G362" i="7" s="1"/>
  <c r="R365" i="1"/>
  <c r="F362" i="7" s="1"/>
  <c r="O365" i="1"/>
  <c r="CO364" i="1"/>
  <c r="CC361" i="7" s="1"/>
  <c r="CN364" i="1"/>
  <c r="CB361" i="7" s="1"/>
  <c r="CM364" i="1"/>
  <c r="CA361" i="7" s="1"/>
  <c r="CL364" i="1"/>
  <c r="BZ361" i="7" s="1"/>
  <c r="CK364" i="1"/>
  <c r="BY361" i="7" s="1"/>
  <c r="CJ364" i="1"/>
  <c r="BX361" i="7" s="1"/>
  <c r="CI364" i="1"/>
  <c r="BW361" i="7" s="1"/>
  <c r="CH364" i="1"/>
  <c r="BV361" i="7" s="1"/>
  <c r="CG364" i="1"/>
  <c r="BU361" i="7" s="1"/>
  <c r="CF364" i="1"/>
  <c r="BT361" i="7" s="1"/>
  <c r="CE364" i="1"/>
  <c r="BS361" i="7" s="1"/>
  <c r="CD364" i="1"/>
  <c r="BR361" i="7" s="1"/>
  <c r="CC364" i="1"/>
  <c r="BQ361" i="7" s="1"/>
  <c r="CB364" i="1"/>
  <c r="BP361" i="7" s="1"/>
  <c r="CA364" i="1"/>
  <c r="BO361" i="7" s="1"/>
  <c r="BZ364" i="1"/>
  <c r="BN361" i="7" s="1"/>
  <c r="BY364" i="1"/>
  <c r="BM361" i="7" s="1"/>
  <c r="BX364" i="1"/>
  <c r="BL361" i="7" s="1"/>
  <c r="BW364" i="1"/>
  <c r="BK361" i="7" s="1"/>
  <c r="BV364" i="1"/>
  <c r="BJ361" i="7" s="1"/>
  <c r="BU364" i="1"/>
  <c r="BI361" i="7" s="1"/>
  <c r="BT364" i="1"/>
  <c r="BH361" i="7" s="1"/>
  <c r="BS364" i="1"/>
  <c r="BG361" i="7" s="1"/>
  <c r="BR364" i="1"/>
  <c r="BF361" i="7" s="1"/>
  <c r="BQ364" i="1"/>
  <c r="BE361" i="7" s="1"/>
  <c r="BP364" i="1"/>
  <c r="BD361" i="7" s="1"/>
  <c r="BO364" i="1"/>
  <c r="BC361" i="7" s="1"/>
  <c r="BN364" i="1"/>
  <c r="BB361" i="7" s="1"/>
  <c r="BM364" i="1"/>
  <c r="BA361" i="7" s="1"/>
  <c r="BL364" i="1"/>
  <c r="AZ361" i="7" s="1"/>
  <c r="BK364" i="1"/>
  <c r="AY361" i="7" s="1"/>
  <c r="BJ364" i="1"/>
  <c r="AX361" i="7" s="1"/>
  <c r="BI364" i="1"/>
  <c r="AW361" i="7" s="1"/>
  <c r="BH364" i="1"/>
  <c r="AV361" i="7" s="1"/>
  <c r="BG364" i="1"/>
  <c r="AU361" i="7" s="1"/>
  <c r="BF364" i="1"/>
  <c r="AT361" i="7" s="1"/>
  <c r="BE364" i="1"/>
  <c r="AS361" i="7" s="1"/>
  <c r="BD364" i="1"/>
  <c r="AR361" i="7" s="1"/>
  <c r="BC364" i="1"/>
  <c r="AQ361" i="7" s="1"/>
  <c r="BB364" i="1"/>
  <c r="AP361" i="7" s="1"/>
  <c r="BA364" i="1"/>
  <c r="AO361" i="7" s="1"/>
  <c r="AZ364" i="1"/>
  <c r="AN361" i="7" s="1"/>
  <c r="AY364" i="1"/>
  <c r="AM361" i="7" s="1"/>
  <c r="AX364" i="1"/>
  <c r="AL361" i="7" s="1"/>
  <c r="AW364" i="1"/>
  <c r="AK361" i="7" s="1"/>
  <c r="AV364" i="1"/>
  <c r="AJ361" i="7" s="1"/>
  <c r="AU364" i="1"/>
  <c r="AI361" i="7" s="1"/>
  <c r="AT364" i="1"/>
  <c r="AH361" i="7" s="1"/>
  <c r="AS364" i="1"/>
  <c r="AG361" i="7" s="1"/>
  <c r="AR364" i="1"/>
  <c r="AF361" i="7" s="1"/>
  <c r="AQ364" i="1"/>
  <c r="AE361" i="7" s="1"/>
  <c r="AP364" i="1"/>
  <c r="AD361" i="7" s="1"/>
  <c r="AO364" i="1"/>
  <c r="AC361" i="7" s="1"/>
  <c r="AN364" i="1"/>
  <c r="AB361" i="7" s="1"/>
  <c r="AM364" i="1"/>
  <c r="AA361" i="7" s="1"/>
  <c r="AL364" i="1"/>
  <c r="Z361" i="7" s="1"/>
  <c r="AK364" i="1"/>
  <c r="Y361" i="7" s="1"/>
  <c r="AJ364" i="1"/>
  <c r="X361" i="7" s="1"/>
  <c r="AI364" i="1"/>
  <c r="W361" i="7" s="1"/>
  <c r="AH364" i="1"/>
  <c r="V361" i="7" s="1"/>
  <c r="AG364" i="1"/>
  <c r="U361" i="7" s="1"/>
  <c r="AF364" i="1"/>
  <c r="T361" i="7" s="1"/>
  <c r="AE364" i="1"/>
  <c r="S361" i="7" s="1"/>
  <c r="AD364" i="1"/>
  <c r="R361" i="7" s="1"/>
  <c r="AC364" i="1"/>
  <c r="Q361" i="7" s="1"/>
  <c r="AB364" i="1"/>
  <c r="P361" i="7" s="1"/>
  <c r="AA364" i="1"/>
  <c r="O361" i="7" s="1"/>
  <c r="Z364" i="1"/>
  <c r="N361" i="7" s="1"/>
  <c r="Y364" i="1"/>
  <c r="M361" i="7" s="1"/>
  <c r="X364" i="1"/>
  <c r="L361" i="7" s="1"/>
  <c r="W364" i="1"/>
  <c r="K361" i="7" s="1"/>
  <c r="V364" i="1"/>
  <c r="J361" i="7" s="1"/>
  <c r="U364" i="1"/>
  <c r="I361" i="7" s="1"/>
  <c r="T364" i="1"/>
  <c r="H361" i="7" s="1"/>
  <c r="S364" i="1"/>
  <c r="G361" i="7" s="1"/>
  <c r="R364" i="1"/>
  <c r="F361" i="7" s="1"/>
  <c r="CO363" i="1"/>
  <c r="CC360" i="7" s="1"/>
  <c r="CN363" i="1"/>
  <c r="CB360" i="7" s="1"/>
  <c r="CM363" i="1"/>
  <c r="CA360" i="7" s="1"/>
  <c r="CL363" i="1"/>
  <c r="BZ360" i="7" s="1"/>
  <c r="BY363" i="1"/>
  <c r="BM360" i="7" s="1"/>
  <c r="BX363" i="1"/>
  <c r="BL360" i="7" s="1"/>
  <c r="BW363" i="1"/>
  <c r="BK360" i="7" s="1"/>
  <c r="BV363" i="1"/>
  <c r="BJ360" i="7" s="1"/>
  <c r="BU363" i="1"/>
  <c r="BI360" i="7" s="1"/>
  <c r="BT363" i="1"/>
  <c r="BH360" i="7" s="1"/>
  <c r="BS363" i="1"/>
  <c r="BG360" i="7" s="1"/>
  <c r="BR363" i="1"/>
  <c r="BF360" i="7" s="1"/>
  <c r="BQ363" i="1"/>
  <c r="BE360" i="7" s="1"/>
  <c r="BP363" i="1"/>
  <c r="BD360" i="7" s="1"/>
  <c r="BO363" i="1"/>
  <c r="BC360" i="7" s="1"/>
  <c r="BN363" i="1"/>
  <c r="BB360" i="7" s="1"/>
  <c r="BM363" i="1"/>
  <c r="BA360" i="7" s="1"/>
  <c r="BL363" i="1"/>
  <c r="AZ360" i="7" s="1"/>
  <c r="BK363" i="1"/>
  <c r="AY360" i="7" s="1"/>
  <c r="BJ363" i="1"/>
  <c r="AX360" i="7" s="1"/>
  <c r="BI363" i="1"/>
  <c r="AW360" i="7" s="1"/>
  <c r="BH363" i="1"/>
  <c r="AV360" i="7" s="1"/>
  <c r="BG363" i="1"/>
  <c r="AU360" i="7" s="1"/>
  <c r="BF363" i="1"/>
  <c r="AT360" i="7" s="1"/>
  <c r="BE363" i="1"/>
  <c r="AS360" i="7" s="1"/>
  <c r="BD363" i="1"/>
  <c r="AR360" i="7" s="1"/>
  <c r="BC363" i="1"/>
  <c r="AQ360" i="7" s="1"/>
  <c r="BB363" i="1"/>
  <c r="AP360" i="7" s="1"/>
  <c r="BA363" i="1"/>
  <c r="AO360" i="7" s="1"/>
  <c r="AZ363" i="1"/>
  <c r="AN360" i="7" s="1"/>
  <c r="AY363" i="1"/>
  <c r="AM360" i="7" s="1"/>
  <c r="AX363" i="1"/>
  <c r="AL360" i="7" s="1"/>
  <c r="AW363" i="1"/>
  <c r="AK360" i="7" s="1"/>
  <c r="AV363" i="1"/>
  <c r="AJ360" i="7" s="1"/>
  <c r="AU363" i="1"/>
  <c r="AI360" i="7" s="1"/>
  <c r="AT363" i="1"/>
  <c r="AH360" i="7" s="1"/>
  <c r="AS363" i="1"/>
  <c r="AG360" i="7" s="1"/>
  <c r="AR363" i="1"/>
  <c r="AF360" i="7" s="1"/>
  <c r="AQ363" i="1"/>
  <c r="AE360" i="7" s="1"/>
  <c r="AP363" i="1"/>
  <c r="AD360" i="7" s="1"/>
  <c r="AO363" i="1"/>
  <c r="AC360" i="7" s="1"/>
  <c r="AN363" i="1"/>
  <c r="AB360" i="7" s="1"/>
  <c r="AM363" i="1"/>
  <c r="AA360" i="7" s="1"/>
  <c r="AL363" i="1"/>
  <c r="Z360" i="7" s="1"/>
  <c r="AK363" i="1"/>
  <c r="Y360" i="7" s="1"/>
  <c r="AJ363" i="1"/>
  <c r="X360" i="7" s="1"/>
  <c r="AI363" i="1"/>
  <c r="W360" i="7" s="1"/>
  <c r="AH363" i="1"/>
  <c r="V360" i="7" s="1"/>
  <c r="AG363" i="1"/>
  <c r="U360" i="7" s="1"/>
  <c r="AF363" i="1"/>
  <c r="T360" i="7" s="1"/>
  <c r="AE363" i="1"/>
  <c r="S360" i="7" s="1"/>
  <c r="AD363" i="1"/>
  <c r="R360" i="7" s="1"/>
  <c r="AC363" i="1"/>
  <c r="Q360" i="7" s="1"/>
  <c r="AB363" i="1"/>
  <c r="P360" i="7" s="1"/>
  <c r="AA363" i="1"/>
  <c r="O360" i="7" s="1"/>
  <c r="Z363" i="1"/>
  <c r="N360" i="7" s="1"/>
  <c r="Y363" i="1"/>
  <c r="M360" i="7" s="1"/>
  <c r="X363" i="1"/>
  <c r="L360" i="7" s="1"/>
  <c r="W363" i="1"/>
  <c r="K360" i="7" s="1"/>
  <c r="V363" i="1"/>
  <c r="J360" i="7" s="1"/>
  <c r="U363" i="1"/>
  <c r="I360" i="7" s="1"/>
  <c r="T363" i="1"/>
  <c r="H360" i="7" s="1"/>
  <c r="S363" i="1"/>
  <c r="G360" i="7" s="1"/>
  <c r="R363" i="1"/>
  <c r="F360" i="7" s="1"/>
  <c r="O363" i="1"/>
  <c r="O364" i="1" s="1"/>
  <c r="O362" i="1"/>
  <c r="M362" i="1"/>
  <c r="M361" i="1"/>
  <c r="O360" i="1"/>
  <c r="BN355" i="1" s="1"/>
  <c r="BB352" i="7" s="1"/>
  <c r="M360" i="1"/>
  <c r="M359" i="1"/>
  <c r="O358" i="1"/>
  <c r="M358" i="1"/>
  <c r="M357" i="1"/>
  <c r="CO356" i="1"/>
  <c r="CC353" i="7" s="1"/>
  <c r="CN356" i="1"/>
  <c r="CB353" i="7" s="1"/>
  <c r="CM356" i="1"/>
  <c r="CA353" i="7" s="1"/>
  <c r="CL356" i="1"/>
  <c r="BZ353" i="7" s="1"/>
  <c r="CK356" i="1"/>
  <c r="BY353" i="7" s="1"/>
  <c r="CJ356" i="1"/>
  <c r="BX353" i="7" s="1"/>
  <c r="CI356" i="1"/>
  <c r="BW353" i="7" s="1"/>
  <c r="CH356" i="1"/>
  <c r="BV353" i="7" s="1"/>
  <c r="CG356" i="1"/>
  <c r="BU353" i="7" s="1"/>
  <c r="CF356" i="1"/>
  <c r="BT353" i="7" s="1"/>
  <c r="CE356" i="1"/>
  <c r="BS353" i="7" s="1"/>
  <c r="CD356" i="1"/>
  <c r="BR353" i="7" s="1"/>
  <c r="CC356" i="1"/>
  <c r="BQ353" i="7" s="1"/>
  <c r="CB356" i="1"/>
  <c r="BP353" i="7" s="1"/>
  <c r="CA356" i="1"/>
  <c r="BO353" i="7" s="1"/>
  <c r="BZ356" i="1"/>
  <c r="BN353" i="7" s="1"/>
  <c r="BY356" i="1"/>
  <c r="BM353" i="7" s="1"/>
  <c r="BX356" i="1"/>
  <c r="BL353" i="7" s="1"/>
  <c r="BW356" i="1"/>
  <c r="BK353" i="7" s="1"/>
  <c r="BV356" i="1"/>
  <c r="BJ353" i="7" s="1"/>
  <c r="BU356" i="1"/>
  <c r="BI353" i="7" s="1"/>
  <c r="BT356" i="1"/>
  <c r="BH353" i="7" s="1"/>
  <c r="BS356" i="1"/>
  <c r="BG353" i="7" s="1"/>
  <c r="BR356" i="1"/>
  <c r="BF353" i="7" s="1"/>
  <c r="BQ356" i="1"/>
  <c r="BE353" i="7" s="1"/>
  <c r="BP356" i="1"/>
  <c r="BD353" i="7" s="1"/>
  <c r="BO356" i="1"/>
  <c r="BC353" i="7" s="1"/>
  <c r="BN356" i="1"/>
  <c r="BB353" i="7" s="1"/>
  <c r="BM356" i="1"/>
  <c r="BA353" i="7" s="1"/>
  <c r="BL356" i="1"/>
  <c r="AZ353" i="7" s="1"/>
  <c r="BK356" i="1"/>
  <c r="AY353" i="7" s="1"/>
  <c r="BJ356" i="1"/>
  <c r="AX353" i="7" s="1"/>
  <c r="BI356" i="1"/>
  <c r="AW353" i="7" s="1"/>
  <c r="BH356" i="1"/>
  <c r="AV353" i="7" s="1"/>
  <c r="BG356" i="1"/>
  <c r="AU353" i="7" s="1"/>
  <c r="BF356" i="1"/>
  <c r="AT353" i="7" s="1"/>
  <c r="BE356" i="1"/>
  <c r="AS353" i="7" s="1"/>
  <c r="BD356" i="1"/>
  <c r="AR353" i="7" s="1"/>
  <c r="BC356" i="1"/>
  <c r="AQ353" i="7" s="1"/>
  <c r="BB356" i="1"/>
  <c r="AP353" i="7" s="1"/>
  <c r="BA356" i="1"/>
  <c r="AO353" i="7" s="1"/>
  <c r="AZ356" i="1"/>
  <c r="AN353" i="7" s="1"/>
  <c r="AY356" i="1"/>
  <c r="AM353" i="7" s="1"/>
  <c r="AX356" i="1"/>
  <c r="AL353" i="7" s="1"/>
  <c r="AW356" i="1"/>
  <c r="AK353" i="7" s="1"/>
  <c r="AV356" i="1"/>
  <c r="AJ353" i="7" s="1"/>
  <c r="AU356" i="1"/>
  <c r="AI353" i="7" s="1"/>
  <c r="AT356" i="1"/>
  <c r="AH353" i="7" s="1"/>
  <c r="AS356" i="1"/>
  <c r="AG353" i="7" s="1"/>
  <c r="AR356" i="1"/>
  <c r="AF353" i="7" s="1"/>
  <c r="AQ356" i="1"/>
  <c r="AE353" i="7" s="1"/>
  <c r="AP356" i="1"/>
  <c r="AD353" i="7" s="1"/>
  <c r="AO356" i="1"/>
  <c r="AC353" i="7" s="1"/>
  <c r="AN356" i="1"/>
  <c r="AB353" i="7" s="1"/>
  <c r="AM356" i="1"/>
  <c r="AA353" i="7" s="1"/>
  <c r="AL356" i="1"/>
  <c r="Z353" i="7" s="1"/>
  <c r="AK356" i="1"/>
  <c r="Y353" i="7" s="1"/>
  <c r="AJ356" i="1"/>
  <c r="X353" i="7" s="1"/>
  <c r="AI356" i="1"/>
  <c r="W353" i="7" s="1"/>
  <c r="AH356" i="1"/>
  <c r="V353" i="7" s="1"/>
  <c r="AG356" i="1"/>
  <c r="U353" i="7" s="1"/>
  <c r="AF356" i="1"/>
  <c r="T353" i="7" s="1"/>
  <c r="AE356" i="1"/>
  <c r="S353" i="7" s="1"/>
  <c r="AD356" i="1"/>
  <c r="R353" i="7" s="1"/>
  <c r="AC356" i="1"/>
  <c r="Q353" i="7" s="1"/>
  <c r="AB356" i="1"/>
  <c r="P353" i="7" s="1"/>
  <c r="AA356" i="1"/>
  <c r="O353" i="7" s="1"/>
  <c r="Z356" i="1"/>
  <c r="N353" i="7" s="1"/>
  <c r="Y356" i="1"/>
  <c r="M353" i="7" s="1"/>
  <c r="X356" i="1"/>
  <c r="L353" i="7" s="1"/>
  <c r="W356" i="1"/>
  <c r="K353" i="7" s="1"/>
  <c r="V356" i="1"/>
  <c r="J353" i="7" s="1"/>
  <c r="U356" i="1"/>
  <c r="I353" i="7" s="1"/>
  <c r="T356" i="1"/>
  <c r="H353" i="7" s="1"/>
  <c r="S356" i="1"/>
  <c r="G353" i="7" s="1"/>
  <c r="R356" i="1"/>
  <c r="F353" i="7" s="1"/>
  <c r="CO355" i="1"/>
  <c r="CC352" i="7" s="1"/>
  <c r="CN355" i="1"/>
  <c r="CB352" i="7" s="1"/>
  <c r="CM355" i="1"/>
  <c r="CA352" i="7" s="1"/>
  <c r="CL355" i="1"/>
  <c r="BZ352" i="7" s="1"/>
  <c r="CK355" i="1"/>
  <c r="BY352" i="7" s="1"/>
  <c r="CJ355" i="1"/>
  <c r="BX352" i="7" s="1"/>
  <c r="CI355" i="1"/>
  <c r="BW352" i="7" s="1"/>
  <c r="CH355" i="1"/>
  <c r="BV352" i="7" s="1"/>
  <c r="CG355" i="1"/>
  <c r="BU352" i="7" s="1"/>
  <c r="CF355" i="1"/>
  <c r="BT352" i="7" s="1"/>
  <c r="CE355" i="1"/>
  <c r="BS352" i="7" s="1"/>
  <c r="CD355" i="1"/>
  <c r="BR352" i="7" s="1"/>
  <c r="CC355" i="1"/>
  <c r="BQ352" i="7" s="1"/>
  <c r="CB355" i="1"/>
  <c r="BP352" i="7" s="1"/>
  <c r="CA355" i="1"/>
  <c r="BO352" i="7" s="1"/>
  <c r="BZ355" i="1"/>
  <c r="BN352" i="7" s="1"/>
  <c r="BY355" i="1"/>
  <c r="BM352" i="7" s="1"/>
  <c r="BX355" i="1"/>
  <c r="BL352" i="7" s="1"/>
  <c r="BW355" i="1"/>
  <c r="BK352" i="7" s="1"/>
  <c r="BV355" i="1"/>
  <c r="BJ352" i="7" s="1"/>
  <c r="BU355" i="1"/>
  <c r="BI352" i="7" s="1"/>
  <c r="BR355" i="1"/>
  <c r="BF352" i="7" s="1"/>
  <c r="BJ355" i="1"/>
  <c r="AX352" i="7" s="1"/>
  <c r="BI355" i="1"/>
  <c r="AW352" i="7" s="1"/>
  <c r="BH355" i="1"/>
  <c r="AV352" i="7" s="1"/>
  <c r="BG355" i="1"/>
  <c r="AU352" i="7" s="1"/>
  <c r="BF355" i="1"/>
  <c r="AT352" i="7" s="1"/>
  <c r="BE355" i="1"/>
  <c r="AS352" i="7" s="1"/>
  <c r="BD355" i="1"/>
  <c r="AR352" i="7" s="1"/>
  <c r="BC355" i="1"/>
  <c r="AQ352" i="7" s="1"/>
  <c r="BB355" i="1"/>
  <c r="AP352" i="7" s="1"/>
  <c r="BA355" i="1"/>
  <c r="AO352" i="7" s="1"/>
  <c r="AZ355" i="1"/>
  <c r="AN352" i="7" s="1"/>
  <c r="AY355" i="1"/>
  <c r="AM352" i="7" s="1"/>
  <c r="AX355" i="1"/>
  <c r="AL352" i="7" s="1"/>
  <c r="AW355" i="1"/>
  <c r="AK352" i="7" s="1"/>
  <c r="AV355" i="1"/>
  <c r="AJ352" i="7" s="1"/>
  <c r="AU355" i="1"/>
  <c r="AI352" i="7" s="1"/>
  <c r="AT355" i="1"/>
  <c r="AH352" i="7" s="1"/>
  <c r="AS355" i="1"/>
  <c r="AG352" i="7" s="1"/>
  <c r="AR355" i="1"/>
  <c r="AF352" i="7" s="1"/>
  <c r="AQ355" i="1"/>
  <c r="AE352" i="7" s="1"/>
  <c r="AP355" i="1"/>
  <c r="AD352" i="7" s="1"/>
  <c r="AO355" i="1"/>
  <c r="AC352" i="7" s="1"/>
  <c r="AN355" i="1"/>
  <c r="AB352" i="7" s="1"/>
  <c r="AM355" i="1"/>
  <c r="AA352" i="7" s="1"/>
  <c r="AL355" i="1"/>
  <c r="Z352" i="7" s="1"/>
  <c r="AK355" i="1"/>
  <c r="Y352" i="7" s="1"/>
  <c r="AJ355" i="1"/>
  <c r="X352" i="7" s="1"/>
  <c r="AI355" i="1"/>
  <c r="W352" i="7" s="1"/>
  <c r="AH355" i="1"/>
  <c r="V352" i="7" s="1"/>
  <c r="AG355" i="1"/>
  <c r="U352" i="7" s="1"/>
  <c r="AF355" i="1"/>
  <c r="T352" i="7" s="1"/>
  <c r="AE355" i="1"/>
  <c r="S352" i="7" s="1"/>
  <c r="AD355" i="1"/>
  <c r="R352" i="7" s="1"/>
  <c r="AC355" i="1"/>
  <c r="Q352" i="7" s="1"/>
  <c r="AB355" i="1"/>
  <c r="P352" i="7" s="1"/>
  <c r="AA355" i="1"/>
  <c r="O352" i="7" s="1"/>
  <c r="Z355" i="1"/>
  <c r="N352" i="7" s="1"/>
  <c r="Y355" i="1"/>
  <c r="M352" i="7" s="1"/>
  <c r="X355" i="1"/>
  <c r="L352" i="7" s="1"/>
  <c r="W355" i="1"/>
  <c r="K352" i="7" s="1"/>
  <c r="V355" i="1"/>
  <c r="J352" i="7" s="1"/>
  <c r="U355" i="1"/>
  <c r="I352" i="7" s="1"/>
  <c r="T355" i="1"/>
  <c r="H352" i="7" s="1"/>
  <c r="S355" i="1"/>
  <c r="G352" i="7" s="1"/>
  <c r="R355" i="1"/>
  <c r="F352" i="7" s="1"/>
  <c r="O355" i="1"/>
  <c r="O354" i="1"/>
  <c r="BL349" i="1" s="1"/>
  <c r="AZ346" i="7" s="1"/>
  <c r="M354" i="1"/>
  <c r="M353" i="1"/>
  <c r="O352" i="1"/>
  <c r="M352" i="1"/>
  <c r="M351" i="1"/>
  <c r="CO350" i="1"/>
  <c r="CC347" i="7" s="1"/>
  <c r="CN350" i="1"/>
  <c r="CB347" i="7" s="1"/>
  <c r="CM350" i="1"/>
  <c r="CA347" i="7" s="1"/>
  <c r="CL350" i="1"/>
  <c r="BZ347" i="7" s="1"/>
  <c r="CK350" i="1"/>
  <c r="BY347" i="7" s="1"/>
  <c r="CJ350" i="1"/>
  <c r="BX347" i="7" s="1"/>
  <c r="CI350" i="1"/>
  <c r="BW347" i="7" s="1"/>
  <c r="CH350" i="1"/>
  <c r="BV347" i="7" s="1"/>
  <c r="CG350" i="1"/>
  <c r="BU347" i="7" s="1"/>
  <c r="CF350" i="1"/>
  <c r="BT347" i="7" s="1"/>
  <c r="CE350" i="1"/>
  <c r="BS347" i="7" s="1"/>
  <c r="CD350" i="1"/>
  <c r="BR347" i="7" s="1"/>
  <c r="CC350" i="1"/>
  <c r="BQ347" i="7" s="1"/>
  <c r="CB350" i="1"/>
  <c r="BP347" i="7" s="1"/>
  <c r="CA350" i="1"/>
  <c r="BO347" i="7" s="1"/>
  <c r="BZ350" i="1"/>
  <c r="BN347" i="7" s="1"/>
  <c r="BY350" i="1"/>
  <c r="BM347" i="7" s="1"/>
  <c r="BX350" i="1"/>
  <c r="BL347" i="7" s="1"/>
  <c r="BW350" i="1"/>
  <c r="BK347" i="7" s="1"/>
  <c r="BV350" i="1"/>
  <c r="BJ347" i="7" s="1"/>
  <c r="BU350" i="1"/>
  <c r="BI347" i="7" s="1"/>
  <c r="BT350" i="1"/>
  <c r="BH347" i="7" s="1"/>
  <c r="BS350" i="1"/>
  <c r="BG347" i="7" s="1"/>
  <c r="BR350" i="1"/>
  <c r="BF347" i="7" s="1"/>
  <c r="BQ350" i="1"/>
  <c r="BE347" i="7" s="1"/>
  <c r="BP350" i="1"/>
  <c r="BD347" i="7" s="1"/>
  <c r="BO350" i="1"/>
  <c r="BC347" i="7" s="1"/>
  <c r="BN350" i="1"/>
  <c r="BB347" i="7" s="1"/>
  <c r="BM350" i="1"/>
  <c r="BA347" i="7" s="1"/>
  <c r="BL350" i="1"/>
  <c r="AZ347" i="7" s="1"/>
  <c r="BK350" i="1"/>
  <c r="AY347" i="7" s="1"/>
  <c r="BJ350" i="1"/>
  <c r="AX347" i="7" s="1"/>
  <c r="BI350" i="1"/>
  <c r="AW347" i="7" s="1"/>
  <c r="BH350" i="1"/>
  <c r="AV347" i="7" s="1"/>
  <c r="BG350" i="1"/>
  <c r="AU347" i="7" s="1"/>
  <c r="BF350" i="1"/>
  <c r="AT347" i="7" s="1"/>
  <c r="BE350" i="1"/>
  <c r="AS347" i="7" s="1"/>
  <c r="BD350" i="1"/>
  <c r="AR347" i="7" s="1"/>
  <c r="BC350" i="1"/>
  <c r="AQ347" i="7" s="1"/>
  <c r="BB350" i="1"/>
  <c r="AP347" i="7" s="1"/>
  <c r="BA350" i="1"/>
  <c r="AO347" i="7" s="1"/>
  <c r="AZ350" i="1"/>
  <c r="AN347" i="7" s="1"/>
  <c r="AY350" i="1"/>
  <c r="AM347" i="7" s="1"/>
  <c r="AX350" i="1"/>
  <c r="AL347" i="7" s="1"/>
  <c r="AW350" i="1"/>
  <c r="AK347" i="7" s="1"/>
  <c r="AV350" i="1"/>
  <c r="AJ347" i="7" s="1"/>
  <c r="AU350" i="1"/>
  <c r="AI347" i="7" s="1"/>
  <c r="AT350" i="1"/>
  <c r="AH347" i="7" s="1"/>
  <c r="AS350" i="1"/>
  <c r="AG347" i="7" s="1"/>
  <c r="AR350" i="1"/>
  <c r="AF347" i="7" s="1"/>
  <c r="AQ350" i="1"/>
  <c r="AE347" i="7" s="1"/>
  <c r="AP350" i="1"/>
  <c r="AD347" i="7" s="1"/>
  <c r="AO350" i="1"/>
  <c r="AC347" i="7" s="1"/>
  <c r="AN350" i="1"/>
  <c r="AB347" i="7" s="1"/>
  <c r="AM350" i="1"/>
  <c r="AA347" i="7" s="1"/>
  <c r="AL350" i="1"/>
  <c r="Z347" i="7" s="1"/>
  <c r="AK350" i="1"/>
  <c r="Y347" i="7" s="1"/>
  <c r="AJ350" i="1"/>
  <c r="X347" i="7" s="1"/>
  <c r="AI350" i="1"/>
  <c r="W347" i="7" s="1"/>
  <c r="AH350" i="1"/>
  <c r="V347" i="7" s="1"/>
  <c r="AG350" i="1"/>
  <c r="U347" i="7" s="1"/>
  <c r="AF350" i="1"/>
  <c r="T347" i="7" s="1"/>
  <c r="AE350" i="1"/>
  <c r="S347" i="7" s="1"/>
  <c r="AD350" i="1"/>
  <c r="R347" i="7" s="1"/>
  <c r="AC350" i="1"/>
  <c r="Q347" i="7" s="1"/>
  <c r="AB350" i="1"/>
  <c r="P347" i="7" s="1"/>
  <c r="AA350" i="1"/>
  <c r="O347" i="7" s="1"/>
  <c r="Z350" i="1"/>
  <c r="N347" i="7" s="1"/>
  <c r="Y350" i="1"/>
  <c r="M347" i="7" s="1"/>
  <c r="X350" i="1"/>
  <c r="L347" i="7" s="1"/>
  <c r="W350" i="1"/>
  <c r="K347" i="7" s="1"/>
  <c r="V350" i="1"/>
  <c r="J347" i="7" s="1"/>
  <c r="U350" i="1"/>
  <c r="I347" i="7" s="1"/>
  <c r="T350" i="1"/>
  <c r="H347" i="7" s="1"/>
  <c r="S350" i="1"/>
  <c r="G347" i="7" s="1"/>
  <c r="R350" i="1"/>
  <c r="F347" i="7" s="1"/>
  <c r="CO349" i="1"/>
  <c r="CC346" i="7" s="1"/>
  <c r="CN349" i="1"/>
  <c r="CB346" i="7" s="1"/>
  <c r="CM349" i="1"/>
  <c r="CA346" i="7" s="1"/>
  <c r="CL349" i="1"/>
  <c r="BZ346" i="7" s="1"/>
  <c r="CK349" i="1"/>
  <c r="BY346" i="7" s="1"/>
  <c r="CJ349" i="1"/>
  <c r="BX346" i="7" s="1"/>
  <c r="CI349" i="1"/>
  <c r="BW346" i="7" s="1"/>
  <c r="CH349" i="1"/>
  <c r="BV346" i="7" s="1"/>
  <c r="CG349" i="1"/>
  <c r="BU346" i="7" s="1"/>
  <c r="CF349" i="1"/>
  <c r="BT346" i="7" s="1"/>
  <c r="CE349" i="1"/>
  <c r="BS346" i="7" s="1"/>
  <c r="CD349" i="1"/>
  <c r="BR346" i="7" s="1"/>
  <c r="CC349" i="1"/>
  <c r="BQ346" i="7" s="1"/>
  <c r="CB349" i="1"/>
  <c r="BP346" i="7" s="1"/>
  <c r="CA349" i="1"/>
  <c r="BO346" i="7" s="1"/>
  <c r="BZ349" i="1"/>
  <c r="BN346" i="7" s="1"/>
  <c r="BY349" i="1"/>
  <c r="BM346" i="7" s="1"/>
  <c r="BX349" i="1"/>
  <c r="BL346" i="7" s="1"/>
  <c r="BW349" i="1"/>
  <c r="BK346" i="7" s="1"/>
  <c r="BV349" i="1"/>
  <c r="BJ346" i="7" s="1"/>
  <c r="BU349" i="1"/>
  <c r="BI346" i="7" s="1"/>
  <c r="BT349" i="1"/>
  <c r="BH346" i="7" s="1"/>
  <c r="BS349" i="1"/>
  <c r="BG346" i="7" s="1"/>
  <c r="BR349" i="1"/>
  <c r="BF346" i="7" s="1"/>
  <c r="BQ349" i="1"/>
  <c r="BE346" i="7" s="1"/>
  <c r="BN349" i="1"/>
  <c r="BB346" i="7" s="1"/>
  <c r="BG349" i="1"/>
  <c r="AU346" i="7" s="1"/>
  <c r="BF349" i="1"/>
  <c r="AT346" i="7" s="1"/>
  <c r="BE349" i="1"/>
  <c r="AS346" i="7" s="1"/>
  <c r="BD349" i="1"/>
  <c r="AR346" i="7" s="1"/>
  <c r="BC349" i="1"/>
  <c r="AQ346" i="7" s="1"/>
  <c r="BB349" i="1"/>
  <c r="AP346" i="7" s="1"/>
  <c r="BA349" i="1"/>
  <c r="AO346" i="7" s="1"/>
  <c r="AZ349" i="1"/>
  <c r="AN346" i="7" s="1"/>
  <c r="AY349" i="1"/>
  <c r="AM346" i="7" s="1"/>
  <c r="AX349" i="1"/>
  <c r="AL346" i="7" s="1"/>
  <c r="AW349" i="1"/>
  <c r="AK346" i="7" s="1"/>
  <c r="AV349" i="1"/>
  <c r="AJ346" i="7" s="1"/>
  <c r="AU349" i="1"/>
  <c r="AI346" i="7" s="1"/>
  <c r="AT349" i="1"/>
  <c r="AH346" i="7" s="1"/>
  <c r="AS349" i="1"/>
  <c r="AG346" i="7" s="1"/>
  <c r="AR349" i="1"/>
  <c r="AF346" i="7" s="1"/>
  <c r="AQ349" i="1"/>
  <c r="AE346" i="7" s="1"/>
  <c r="AP349" i="1"/>
  <c r="AD346" i="7" s="1"/>
  <c r="AO349" i="1"/>
  <c r="AC346" i="7" s="1"/>
  <c r="AN349" i="1"/>
  <c r="AB346" i="7" s="1"/>
  <c r="AM349" i="1"/>
  <c r="AA346" i="7" s="1"/>
  <c r="AL349" i="1"/>
  <c r="Z346" i="7" s="1"/>
  <c r="AK349" i="1"/>
  <c r="Y346" i="7" s="1"/>
  <c r="AJ349" i="1"/>
  <c r="X346" i="7" s="1"/>
  <c r="AI349" i="1"/>
  <c r="W346" i="7" s="1"/>
  <c r="AH349" i="1"/>
  <c r="V346" i="7" s="1"/>
  <c r="AG349" i="1"/>
  <c r="U346" i="7" s="1"/>
  <c r="AF349" i="1"/>
  <c r="T346" i="7" s="1"/>
  <c r="AE349" i="1"/>
  <c r="S346" i="7" s="1"/>
  <c r="AD349" i="1"/>
  <c r="R346" i="7" s="1"/>
  <c r="AC349" i="1"/>
  <c r="Q346" i="7" s="1"/>
  <c r="AB349" i="1"/>
  <c r="P346" i="7" s="1"/>
  <c r="AA349" i="1"/>
  <c r="O346" i="7" s="1"/>
  <c r="Z349" i="1"/>
  <c r="N346" i="7" s="1"/>
  <c r="Y349" i="1"/>
  <c r="M346" i="7" s="1"/>
  <c r="X349" i="1"/>
  <c r="L346" i="7" s="1"/>
  <c r="W349" i="1"/>
  <c r="K346" i="7" s="1"/>
  <c r="V349" i="1"/>
  <c r="J346" i="7" s="1"/>
  <c r="U349" i="1"/>
  <c r="I346" i="7" s="1"/>
  <c r="T349" i="1"/>
  <c r="H346" i="7" s="1"/>
  <c r="S349" i="1"/>
  <c r="G346" i="7" s="1"/>
  <c r="R349" i="1"/>
  <c r="F346" i="7" s="1"/>
  <c r="O349" i="1"/>
  <c r="O350" i="1" s="1"/>
  <c r="CO348" i="1"/>
  <c r="CC345" i="7" s="1"/>
  <c r="CN348" i="1"/>
  <c r="CB345" i="7" s="1"/>
  <c r="CM348" i="1"/>
  <c r="CA345" i="7" s="1"/>
  <c r="CL348" i="1"/>
  <c r="BZ345" i="7" s="1"/>
  <c r="CK348" i="1"/>
  <c r="BY345" i="7" s="1"/>
  <c r="CJ348" i="1"/>
  <c r="BX345" i="7" s="1"/>
  <c r="CI348" i="1"/>
  <c r="BW345" i="7" s="1"/>
  <c r="CH348" i="1"/>
  <c r="BV345" i="7" s="1"/>
  <c r="CG348" i="1"/>
  <c r="BU345" i="7" s="1"/>
  <c r="CF348" i="1"/>
  <c r="BT345" i="7" s="1"/>
  <c r="CE348" i="1"/>
  <c r="BS345" i="7" s="1"/>
  <c r="CD348" i="1"/>
  <c r="BR345" i="7" s="1"/>
  <c r="CC348" i="1"/>
  <c r="BQ345" i="7" s="1"/>
  <c r="CB348" i="1"/>
  <c r="BP345" i="7" s="1"/>
  <c r="CA348" i="1"/>
  <c r="BO345" i="7" s="1"/>
  <c r="BZ348" i="1"/>
  <c r="BN345" i="7" s="1"/>
  <c r="BY348" i="1"/>
  <c r="BM345" i="7" s="1"/>
  <c r="BX348" i="1"/>
  <c r="BL345" i="7" s="1"/>
  <c r="BW348" i="1"/>
  <c r="BK345" i="7" s="1"/>
  <c r="BV348" i="1"/>
  <c r="BJ345" i="7" s="1"/>
  <c r="BU348" i="1"/>
  <c r="BI345" i="7" s="1"/>
  <c r="BT348" i="1"/>
  <c r="BH345" i="7" s="1"/>
  <c r="BS348" i="1"/>
  <c r="BG345" i="7" s="1"/>
  <c r="BR348" i="1"/>
  <c r="BF345" i="7" s="1"/>
  <c r="BQ348" i="1"/>
  <c r="BE345" i="7" s="1"/>
  <c r="BP348" i="1"/>
  <c r="BD345" i="7" s="1"/>
  <c r="BO348" i="1"/>
  <c r="BC345" i="7" s="1"/>
  <c r="BN348" i="1"/>
  <c r="BB345" i="7" s="1"/>
  <c r="BM348" i="1"/>
  <c r="BA345" i="7" s="1"/>
  <c r="BL348" i="1"/>
  <c r="AZ345" i="7" s="1"/>
  <c r="BK348" i="1"/>
  <c r="AY345" i="7" s="1"/>
  <c r="BJ348" i="1"/>
  <c r="AX345" i="7" s="1"/>
  <c r="BI348" i="1"/>
  <c r="AW345" i="7" s="1"/>
  <c r="BH348" i="1"/>
  <c r="AV345" i="7" s="1"/>
  <c r="BG348" i="1"/>
  <c r="AU345" i="7" s="1"/>
  <c r="BF348" i="1"/>
  <c r="AT345" i="7" s="1"/>
  <c r="BE348" i="1"/>
  <c r="AS345" i="7" s="1"/>
  <c r="BD348" i="1"/>
  <c r="AR345" i="7" s="1"/>
  <c r="BC348" i="1"/>
  <c r="AQ345" i="7" s="1"/>
  <c r="BB348" i="1"/>
  <c r="AP345" i="7" s="1"/>
  <c r="BA348" i="1"/>
  <c r="AO345" i="7" s="1"/>
  <c r="AZ348" i="1"/>
  <c r="AN345" i="7" s="1"/>
  <c r="AY348" i="1"/>
  <c r="AM345" i="7" s="1"/>
  <c r="AX348" i="1"/>
  <c r="AL345" i="7" s="1"/>
  <c r="AW348" i="1"/>
  <c r="AK345" i="7" s="1"/>
  <c r="AV348" i="1"/>
  <c r="AJ345" i="7" s="1"/>
  <c r="AU348" i="1"/>
  <c r="AI345" i="7" s="1"/>
  <c r="AT348" i="1"/>
  <c r="AH345" i="7" s="1"/>
  <c r="AS348" i="1"/>
  <c r="AG345" i="7" s="1"/>
  <c r="AR348" i="1"/>
  <c r="AF345" i="7" s="1"/>
  <c r="AQ348" i="1"/>
  <c r="AE345" i="7" s="1"/>
  <c r="AP348" i="1"/>
  <c r="AD345" i="7" s="1"/>
  <c r="AO348" i="1"/>
  <c r="AC345" i="7" s="1"/>
  <c r="AN348" i="1"/>
  <c r="AB345" i="7" s="1"/>
  <c r="AM348" i="1"/>
  <c r="AA345" i="7" s="1"/>
  <c r="AL348" i="1"/>
  <c r="Z345" i="7" s="1"/>
  <c r="AK348" i="1"/>
  <c r="Y345" i="7" s="1"/>
  <c r="AJ348" i="1"/>
  <c r="X345" i="7" s="1"/>
  <c r="AI348" i="1"/>
  <c r="W345" i="7" s="1"/>
  <c r="AH348" i="1"/>
  <c r="V345" i="7" s="1"/>
  <c r="AG348" i="1"/>
  <c r="U345" i="7" s="1"/>
  <c r="AF348" i="1"/>
  <c r="T345" i="7" s="1"/>
  <c r="AE348" i="1"/>
  <c r="S345" i="7" s="1"/>
  <c r="AD348" i="1"/>
  <c r="R345" i="7" s="1"/>
  <c r="AC348" i="1"/>
  <c r="Q345" i="7" s="1"/>
  <c r="AB348" i="1"/>
  <c r="P345" i="7" s="1"/>
  <c r="AA348" i="1"/>
  <c r="O345" i="7" s="1"/>
  <c r="Z348" i="1"/>
  <c r="N345" i="7" s="1"/>
  <c r="Y348" i="1"/>
  <c r="M345" i="7" s="1"/>
  <c r="X348" i="1"/>
  <c r="L345" i="7" s="1"/>
  <c r="W348" i="1"/>
  <c r="K345" i="7" s="1"/>
  <c r="V348" i="1"/>
  <c r="J345" i="7" s="1"/>
  <c r="U348" i="1"/>
  <c r="I345" i="7" s="1"/>
  <c r="T348" i="1"/>
  <c r="H345" i="7" s="1"/>
  <c r="S348" i="1"/>
  <c r="G345" i="7" s="1"/>
  <c r="R348" i="1"/>
  <c r="F345" i="7" s="1"/>
  <c r="CO347" i="1"/>
  <c r="CC344" i="7" s="1"/>
  <c r="CN347" i="1"/>
  <c r="CB344" i="7" s="1"/>
  <c r="CM347" i="1"/>
  <c r="CA344" i="7" s="1"/>
  <c r="CL347" i="1"/>
  <c r="BZ344" i="7" s="1"/>
  <c r="CK347" i="1"/>
  <c r="BY344" i="7" s="1"/>
  <c r="CJ347" i="1"/>
  <c r="BX344" i="7" s="1"/>
  <c r="CI347" i="1"/>
  <c r="BW344" i="7" s="1"/>
  <c r="CH347" i="1"/>
  <c r="BV344" i="7" s="1"/>
  <c r="CG347" i="1"/>
  <c r="BU344" i="7" s="1"/>
  <c r="CF347" i="1"/>
  <c r="BT344" i="7" s="1"/>
  <c r="CE347" i="1"/>
  <c r="BS344" i="7" s="1"/>
  <c r="CD347" i="1"/>
  <c r="BR344" i="7" s="1"/>
  <c r="CC347" i="1"/>
  <c r="BQ344" i="7" s="1"/>
  <c r="CB347" i="1"/>
  <c r="BP344" i="7" s="1"/>
  <c r="CA347" i="1"/>
  <c r="BO344" i="7" s="1"/>
  <c r="BZ347" i="1"/>
  <c r="BN344" i="7" s="1"/>
  <c r="BY347" i="1"/>
  <c r="BM344" i="7" s="1"/>
  <c r="BX347" i="1"/>
  <c r="BL344" i="7" s="1"/>
  <c r="BW347" i="1"/>
  <c r="BK344" i="7" s="1"/>
  <c r="BV347" i="1"/>
  <c r="BJ344" i="7" s="1"/>
  <c r="BU347" i="1"/>
  <c r="BI344" i="7" s="1"/>
  <c r="BG347" i="1"/>
  <c r="AU344" i="7" s="1"/>
  <c r="BF347" i="1"/>
  <c r="AT344" i="7" s="1"/>
  <c r="BE347" i="1"/>
  <c r="AS344" i="7" s="1"/>
  <c r="BD347" i="1"/>
  <c r="AR344" i="7" s="1"/>
  <c r="BC347" i="1"/>
  <c r="AQ344" i="7" s="1"/>
  <c r="BB347" i="1"/>
  <c r="AP344" i="7" s="1"/>
  <c r="BA347" i="1"/>
  <c r="AO344" i="7" s="1"/>
  <c r="AZ347" i="1"/>
  <c r="AN344" i="7" s="1"/>
  <c r="AY347" i="1"/>
  <c r="AM344" i="7" s="1"/>
  <c r="AX347" i="1"/>
  <c r="AL344" i="7" s="1"/>
  <c r="AW347" i="1"/>
  <c r="AK344" i="7" s="1"/>
  <c r="AV347" i="1"/>
  <c r="AJ344" i="7" s="1"/>
  <c r="AU347" i="1"/>
  <c r="AI344" i="7" s="1"/>
  <c r="AT347" i="1"/>
  <c r="AH344" i="7" s="1"/>
  <c r="AS347" i="1"/>
  <c r="AG344" i="7" s="1"/>
  <c r="AR347" i="1"/>
  <c r="AF344" i="7" s="1"/>
  <c r="AQ347" i="1"/>
  <c r="AE344" i="7" s="1"/>
  <c r="AP347" i="1"/>
  <c r="AD344" i="7" s="1"/>
  <c r="AO347" i="1"/>
  <c r="AC344" i="7" s="1"/>
  <c r="AN347" i="1"/>
  <c r="AB344" i="7" s="1"/>
  <c r="AM347" i="1"/>
  <c r="AA344" i="7" s="1"/>
  <c r="AL347" i="1"/>
  <c r="Z344" i="7" s="1"/>
  <c r="AK347" i="1"/>
  <c r="Y344" i="7" s="1"/>
  <c r="AJ347" i="1"/>
  <c r="X344" i="7" s="1"/>
  <c r="AI347" i="1"/>
  <c r="W344" i="7" s="1"/>
  <c r="AH347" i="1"/>
  <c r="V344" i="7" s="1"/>
  <c r="AG347" i="1"/>
  <c r="U344" i="7" s="1"/>
  <c r="AF347" i="1"/>
  <c r="T344" i="7" s="1"/>
  <c r="AE347" i="1"/>
  <c r="S344" i="7" s="1"/>
  <c r="AD347" i="1"/>
  <c r="R344" i="7" s="1"/>
  <c r="AC347" i="1"/>
  <c r="Q344" i="7" s="1"/>
  <c r="AB347" i="1"/>
  <c r="P344" i="7" s="1"/>
  <c r="AA347" i="1"/>
  <c r="O344" i="7" s="1"/>
  <c r="Z347" i="1"/>
  <c r="N344" i="7" s="1"/>
  <c r="Y347" i="1"/>
  <c r="M344" i="7" s="1"/>
  <c r="X347" i="1"/>
  <c r="L344" i="7" s="1"/>
  <c r="W347" i="1"/>
  <c r="K344" i="7" s="1"/>
  <c r="V347" i="1"/>
  <c r="J344" i="7" s="1"/>
  <c r="U347" i="1"/>
  <c r="I344" i="7" s="1"/>
  <c r="T347" i="1"/>
  <c r="H344" i="7" s="1"/>
  <c r="S347" i="1"/>
  <c r="G344" i="7" s="1"/>
  <c r="R347" i="1"/>
  <c r="F344" i="7" s="1"/>
  <c r="O347" i="1"/>
  <c r="O348" i="1" s="1"/>
  <c r="O346" i="1"/>
  <c r="M346" i="1"/>
  <c r="M345" i="1"/>
  <c r="O344" i="1"/>
  <c r="CH339" i="1" s="1"/>
  <c r="BV336" i="7" s="1"/>
  <c r="M344" i="1"/>
  <c r="M343" i="1"/>
  <c r="O342" i="1"/>
  <c r="BY339" i="1" s="1"/>
  <c r="BM336" i="7" s="1"/>
  <c r="M342" i="1"/>
  <c r="M341" i="1"/>
  <c r="CO340" i="1"/>
  <c r="CC337" i="7" s="1"/>
  <c r="CN340" i="1"/>
  <c r="CB337" i="7" s="1"/>
  <c r="CM340" i="1"/>
  <c r="CA337" i="7" s="1"/>
  <c r="CL340" i="1"/>
  <c r="BZ337" i="7" s="1"/>
  <c r="CK340" i="1"/>
  <c r="BY337" i="7" s="1"/>
  <c r="CJ340" i="1"/>
  <c r="BX337" i="7" s="1"/>
  <c r="CI340" i="1"/>
  <c r="BW337" i="7" s="1"/>
  <c r="CH340" i="1"/>
  <c r="BV337" i="7" s="1"/>
  <c r="CG340" i="1"/>
  <c r="BU337" i="7" s="1"/>
  <c r="CF340" i="1"/>
  <c r="BT337" i="7" s="1"/>
  <c r="CE340" i="1"/>
  <c r="BS337" i="7" s="1"/>
  <c r="CD340" i="1"/>
  <c r="BR337" i="7" s="1"/>
  <c r="CC340" i="1"/>
  <c r="BQ337" i="7" s="1"/>
  <c r="CB340" i="1"/>
  <c r="BP337" i="7" s="1"/>
  <c r="CA340" i="1"/>
  <c r="BO337" i="7" s="1"/>
  <c r="BZ340" i="1"/>
  <c r="BN337" i="7" s="1"/>
  <c r="BY340" i="1"/>
  <c r="BM337" i="7" s="1"/>
  <c r="BX340" i="1"/>
  <c r="BL337" i="7" s="1"/>
  <c r="BW340" i="1"/>
  <c r="BK337" i="7" s="1"/>
  <c r="BV340" i="1"/>
  <c r="BJ337" i="7" s="1"/>
  <c r="BU340" i="1"/>
  <c r="BI337" i="7" s="1"/>
  <c r="BT340" i="1"/>
  <c r="BH337" i="7" s="1"/>
  <c r="BS340" i="1"/>
  <c r="BG337" i="7" s="1"/>
  <c r="BR340" i="1"/>
  <c r="BF337" i="7" s="1"/>
  <c r="BQ340" i="1"/>
  <c r="BE337" i="7" s="1"/>
  <c r="BP340" i="1"/>
  <c r="BD337" i="7" s="1"/>
  <c r="BO340" i="1"/>
  <c r="BC337" i="7" s="1"/>
  <c r="BN340" i="1"/>
  <c r="BB337" i="7" s="1"/>
  <c r="BM340" i="1"/>
  <c r="BA337" i="7" s="1"/>
  <c r="BL340" i="1"/>
  <c r="AZ337" i="7" s="1"/>
  <c r="BK340" i="1"/>
  <c r="AY337" i="7" s="1"/>
  <c r="BJ340" i="1"/>
  <c r="AX337" i="7" s="1"/>
  <c r="BI340" i="1"/>
  <c r="AW337" i="7" s="1"/>
  <c r="BH340" i="1"/>
  <c r="AV337" i="7" s="1"/>
  <c r="BG340" i="1"/>
  <c r="AU337" i="7" s="1"/>
  <c r="BF340" i="1"/>
  <c r="AT337" i="7" s="1"/>
  <c r="BE340" i="1"/>
  <c r="AS337" i="7" s="1"/>
  <c r="BD340" i="1"/>
  <c r="AR337" i="7" s="1"/>
  <c r="BC340" i="1"/>
  <c r="AQ337" i="7" s="1"/>
  <c r="BB340" i="1"/>
  <c r="AP337" i="7" s="1"/>
  <c r="BA340" i="1"/>
  <c r="AO337" i="7" s="1"/>
  <c r="AZ340" i="1"/>
  <c r="AN337" i="7" s="1"/>
  <c r="AY340" i="1"/>
  <c r="AM337" i="7" s="1"/>
  <c r="AX340" i="1"/>
  <c r="AL337" i="7" s="1"/>
  <c r="AW340" i="1"/>
  <c r="AK337" i="7" s="1"/>
  <c r="AV340" i="1"/>
  <c r="AJ337" i="7" s="1"/>
  <c r="AU340" i="1"/>
  <c r="AI337" i="7" s="1"/>
  <c r="AT340" i="1"/>
  <c r="AH337" i="7" s="1"/>
  <c r="AS340" i="1"/>
  <c r="AG337" i="7" s="1"/>
  <c r="AR340" i="1"/>
  <c r="AF337" i="7" s="1"/>
  <c r="AQ340" i="1"/>
  <c r="AE337" i="7" s="1"/>
  <c r="AP340" i="1"/>
  <c r="AD337" i="7" s="1"/>
  <c r="AO340" i="1"/>
  <c r="AC337" i="7" s="1"/>
  <c r="AN340" i="1"/>
  <c r="AB337" i="7" s="1"/>
  <c r="AM340" i="1"/>
  <c r="AA337" i="7" s="1"/>
  <c r="AL340" i="1"/>
  <c r="Z337" i="7" s="1"/>
  <c r="AK340" i="1"/>
  <c r="Y337" i="7" s="1"/>
  <c r="AJ340" i="1"/>
  <c r="X337" i="7" s="1"/>
  <c r="AI340" i="1"/>
  <c r="W337" i="7" s="1"/>
  <c r="AH340" i="1"/>
  <c r="V337" i="7" s="1"/>
  <c r="AG340" i="1"/>
  <c r="U337" i="7" s="1"/>
  <c r="AF340" i="1"/>
  <c r="T337" i="7" s="1"/>
  <c r="AE340" i="1"/>
  <c r="S337" i="7" s="1"/>
  <c r="AD340" i="1"/>
  <c r="R337" i="7" s="1"/>
  <c r="AC340" i="1"/>
  <c r="Q337" i="7" s="1"/>
  <c r="AB340" i="1"/>
  <c r="P337" i="7" s="1"/>
  <c r="AA340" i="1"/>
  <c r="O337" i="7" s="1"/>
  <c r="Z340" i="1"/>
  <c r="N337" i="7" s="1"/>
  <c r="Y340" i="1"/>
  <c r="M337" i="7" s="1"/>
  <c r="X340" i="1"/>
  <c r="L337" i="7" s="1"/>
  <c r="W340" i="1"/>
  <c r="K337" i="7" s="1"/>
  <c r="V340" i="1"/>
  <c r="J337" i="7" s="1"/>
  <c r="U340" i="1"/>
  <c r="I337" i="7" s="1"/>
  <c r="T340" i="1"/>
  <c r="H337" i="7" s="1"/>
  <c r="S340" i="1"/>
  <c r="G337" i="7" s="1"/>
  <c r="R340" i="1"/>
  <c r="F337" i="7" s="1"/>
  <c r="CO339" i="1"/>
  <c r="CC336" i="7" s="1"/>
  <c r="CN339" i="1"/>
  <c r="CB336" i="7" s="1"/>
  <c r="CM339" i="1"/>
  <c r="CA336" i="7" s="1"/>
  <c r="CL339" i="1"/>
  <c r="BZ336" i="7" s="1"/>
  <c r="CK339" i="1"/>
  <c r="BY336" i="7" s="1"/>
  <c r="CG339" i="1"/>
  <c r="BU336" i="7" s="1"/>
  <c r="CC339" i="1"/>
  <c r="BQ336" i="7" s="1"/>
  <c r="BW339" i="1"/>
  <c r="BK336" i="7" s="1"/>
  <c r="BV339" i="1"/>
  <c r="BJ336" i="7" s="1"/>
  <c r="BU339" i="1"/>
  <c r="BI336" i="7" s="1"/>
  <c r="BT339" i="1"/>
  <c r="BH336" i="7" s="1"/>
  <c r="BS339" i="1"/>
  <c r="BG336" i="7" s="1"/>
  <c r="BR339" i="1"/>
  <c r="BF336" i="7" s="1"/>
  <c r="BQ339" i="1"/>
  <c r="BE336" i="7" s="1"/>
  <c r="BP339" i="1"/>
  <c r="BD336" i="7" s="1"/>
  <c r="BO339" i="1"/>
  <c r="BC336" i="7" s="1"/>
  <c r="BN339" i="1"/>
  <c r="BB336" i="7" s="1"/>
  <c r="BM339" i="1"/>
  <c r="BA336" i="7" s="1"/>
  <c r="BL339" i="1"/>
  <c r="AZ336" i="7" s="1"/>
  <c r="BK339" i="1"/>
  <c r="AY336" i="7" s="1"/>
  <c r="BJ339" i="1"/>
  <c r="AX336" i="7" s="1"/>
  <c r="BI339" i="1"/>
  <c r="AW336" i="7" s="1"/>
  <c r="BH339" i="1"/>
  <c r="AV336" i="7" s="1"/>
  <c r="BG339" i="1"/>
  <c r="AU336" i="7" s="1"/>
  <c r="BF339" i="1"/>
  <c r="AT336" i="7" s="1"/>
  <c r="BE339" i="1"/>
  <c r="AS336" i="7" s="1"/>
  <c r="BD339" i="1"/>
  <c r="AR336" i="7" s="1"/>
  <c r="BC339" i="1"/>
  <c r="AQ336" i="7" s="1"/>
  <c r="BB339" i="1"/>
  <c r="AP336" i="7" s="1"/>
  <c r="BA339" i="1"/>
  <c r="AO336" i="7" s="1"/>
  <c r="AZ339" i="1"/>
  <c r="AN336" i="7" s="1"/>
  <c r="AY339" i="1"/>
  <c r="AM336" i="7" s="1"/>
  <c r="AX339" i="1"/>
  <c r="AL336" i="7" s="1"/>
  <c r="AW339" i="1"/>
  <c r="AK336" i="7" s="1"/>
  <c r="AV339" i="1"/>
  <c r="AJ336" i="7" s="1"/>
  <c r="AU339" i="1"/>
  <c r="AI336" i="7" s="1"/>
  <c r="AT339" i="1"/>
  <c r="AH336" i="7" s="1"/>
  <c r="AS339" i="1"/>
  <c r="AG336" i="7" s="1"/>
  <c r="AR339" i="1"/>
  <c r="AF336" i="7" s="1"/>
  <c r="AQ339" i="1"/>
  <c r="AE336" i="7" s="1"/>
  <c r="AP339" i="1"/>
  <c r="AD336" i="7" s="1"/>
  <c r="AO339" i="1"/>
  <c r="AC336" i="7" s="1"/>
  <c r="AN339" i="1"/>
  <c r="AB336" i="7" s="1"/>
  <c r="AM339" i="1"/>
  <c r="AA336" i="7" s="1"/>
  <c r="AL339" i="1"/>
  <c r="Z336" i="7" s="1"/>
  <c r="AK339" i="1"/>
  <c r="Y336" i="7" s="1"/>
  <c r="AJ339" i="1"/>
  <c r="X336" i="7" s="1"/>
  <c r="AI339" i="1"/>
  <c r="W336" i="7" s="1"/>
  <c r="AH339" i="1"/>
  <c r="V336" i="7" s="1"/>
  <c r="AG339" i="1"/>
  <c r="U336" i="7" s="1"/>
  <c r="AF339" i="1"/>
  <c r="T336" i="7" s="1"/>
  <c r="AE339" i="1"/>
  <c r="S336" i="7" s="1"/>
  <c r="AD339" i="1"/>
  <c r="R336" i="7" s="1"/>
  <c r="AC339" i="1"/>
  <c r="Q336" i="7" s="1"/>
  <c r="AB339" i="1"/>
  <c r="P336" i="7" s="1"/>
  <c r="AA339" i="1"/>
  <c r="O336" i="7" s="1"/>
  <c r="Z339" i="1"/>
  <c r="N336" i="7" s="1"/>
  <c r="Y339" i="1"/>
  <c r="M336" i="7" s="1"/>
  <c r="X339" i="1"/>
  <c r="L336" i="7" s="1"/>
  <c r="W339" i="1"/>
  <c r="K336" i="7" s="1"/>
  <c r="V339" i="1"/>
  <c r="J336" i="7" s="1"/>
  <c r="U339" i="1"/>
  <c r="I336" i="7" s="1"/>
  <c r="T339" i="1"/>
  <c r="H336" i="7" s="1"/>
  <c r="S339" i="1"/>
  <c r="G336" i="7" s="1"/>
  <c r="R339" i="1"/>
  <c r="F336" i="7" s="1"/>
  <c r="O339" i="1"/>
  <c r="O340" i="1" s="1"/>
  <c r="O338" i="1"/>
  <c r="CC335" i="1" s="1"/>
  <c r="M338" i="1"/>
  <c r="M337" i="1"/>
  <c r="CO336" i="1"/>
  <c r="CC333" i="7" s="1"/>
  <c r="CN336" i="1"/>
  <c r="CB333" i="7" s="1"/>
  <c r="CM336" i="1"/>
  <c r="CA333" i="7" s="1"/>
  <c r="CL336" i="1"/>
  <c r="BZ333" i="7" s="1"/>
  <c r="CK336" i="1"/>
  <c r="BY333" i="7" s="1"/>
  <c r="CJ336" i="1"/>
  <c r="BX333" i="7" s="1"/>
  <c r="CI336" i="1"/>
  <c r="BW333" i="7" s="1"/>
  <c r="CH336" i="1"/>
  <c r="BV333" i="7" s="1"/>
  <c r="CG336" i="1"/>
  <c r="BU333" i="7" s="1"/>
  <c r="CF336" i="1"/>
  <c r="BT333" i="7" s="1"/>
  <c r="CE336" i="1"/>
  <c r="BS333" i="7" s="1"/>
  <c r="CD336" i="1"/>
  <c r="BR333" i="7" s="1"/>
  <c r="CC336" i="1"/>
  <c r="BQ333" i="7" s="1"/>
  <c r="CB336" i="1"/>
  <c r="BP333" i="7" s="1"/>
  <c r="CA336" i="1"/>
  <c r="BO333" i="7" s="1"/>
  <c r="BZ336" i="1"/>
  <c r="BN333" i="7" s="1"/>
  <c r="BY336" i="1"/>
  <c r="BM333" i="7" s="1"/>
  <c r="BX336" i="1"/>
  <c r="BL333" i="7" s="1"/>
  <c r="BW336" i="1"/>
  <c r="BK333" i="7" s="1"/>
  <c r="BV336" i="1"/>
  <c r="BJ333" i="7" s="1"/>
  <c r="BU336" i="1"/>
  <c r="BI333" i="7" s="1"/>
  <c r="BT336" i="1"/>
  <c r="BH333" i="7" s="1"/>
  <c r="BS336" i="1"/>
  <c r="BG333" i="7" s="1"/>
  <c r="BR336" i="1"/>
  <c r="BF333" i="7" s="1"/>
  <c r="BQ336" i="1"/>
  <c r="BE333" i="7" s="1"/>
  <c r="BP336" i="1"/>
  <c r="BD333" i="7" s="1"/>
  <c r="BO336" i="1"/>
  <c r="BC333" i="7" s="1"/>
  <c r="BN336" i="1"/>
  <c r="BB333" i="7" s="1"/>
  <c r="BM336" i="1"/>
  <c r="BA333" i="7" s="1"/>
  <c r="BL336" i="1"/>
  <c r="AZ333" i="7" s="1"/>
  <c r="BK336" i="1"/>
  <c r="AY333" i="7" s="1"/>
  <c r="BJ336" i="1"/>
  <c r="AX333" i="7" s="1"/>
  <c r="BI336" i="1"/>
  <c r="AW333" i="7" s="1"/>
  <c r="BH336" i="1"/>
  <c r="AV333" i="7" s="1"/>
  <c r="BG336" i="1"/>
  <c r="AU333" i="7" s="1"/>
  <c r="BF336" i="1"/>
  <c r="AT333" i="7" s="1"/>
  <c r="BE336" i="1"/>
  <c r="AS333" i="7" s="1"/>
  <c r="BD336" i="1"/>
  <c r="AR333" i="7" s="1"/>
  <c r="BC336" i="1"/>
  <c r="AQ333" i="7" s="1"/>
  <c r="BB336" i="1"/>
  <c r="AP333" i="7" s="1"/>
  <c r="BA336" i="1"/>
  <c r="AO333" i="7" s="1"/>
  <c r="AZ336" i="1"/>
  <c r="AN333" i="7" s="1"/>
  <c r="AY336" i="1"/>
  <c r="AM333" i="7" s="1"/>
  <c r="AX336" i="1"/>
  <c r="AL333" i="7" s="1"/>
  <c r="AW336" i="1"/>
  <c r="AK333" i="7" s="1"/>
  <c r="AV336" i="1"/>
  <c r="AJ333" i="7" s="1"/>
  <c r="AU336" i="1"/>
  <c r="AI333" i="7" s="1"/>
  <c r="AT336" i="1"/>
  <c r="AH333" i="7" s="1"/>
  <c r="AS336" i="1"/>
  <c r="AG333" i="7" s="1"/>
  <c r="AR336" i="1"/>
  <c r="AF333" i="7" s="1"/>
  <c r="AQ336" i="1"/>
  <c r="AE333" i="7" s="1"/>
  <c r="AP336" i="1"/>
  <c r="AD333" i="7" s="1"/>
  <c r="AO336" i="1"/>
  <c r="AC333" i="7" s="1"/>
  <c r="AN336" i="1"/>
  <c r="AB333" i="7" s="1"/>
  <c r="AM336" i="1"/>
  <c r="AA333" i="7" s="1"/>
  <c r="AL336" i="1"/>
  <c r="Z333" i="7" s="1"/>
  <c r="AK336" i="1"/>
  <c r="Y333" i="7" s="1"/>
  <c r="AJ336" i="1"/>
  <c r="X333" i="7" s="1"/>
  <c r="AI336" i="1"/>
  <c r="W333" i="7" s="1"/>
  <c r="AH336" i="1"/>
  <c r="V333" i="7" s="1"/>
  <c r="AG336" i="1"/>
  <c r="U333" i="7" s="1"/>
  <c r="AF336" i="1"/>
  <c r="T333" i="7" s="1"/>
  <c r="AE336" i="1"/>
  <c r="S333" i="7" s="1"/>
  <c r="AD336" i="1"/>
  <c r="R333" i="7" s="1"/>
  <c r="AC336" i="1"/>
  <c r="Q333" i="7" s="1"/>
  <c r="AB336" i="1"/>
  <c r="P333" i="7" s="1"/>
  <c r="AA336" i="1"/>
  <c r="O333" i="7" s="1"/>
  <c r="Z336" i="1"/>
  <c r="N333" i="7" s="1"/>
  <c r="Y336" i="1"/>
  <c r="M333" i="7" s="1"/>
  <c r="X336" i="1"/>
  <c r="L333" i="7" s="1"/>
  <c r="W336" i="1"/>
  <c r="K333" i="7" s="1"/>
  <c r="V336" i="1"/>
  <c r="J333" i="7" s="1"/>
  <c r="U336" i="1"/>
  <c r="I333" i="7" s="1"/>
  <c r="T336" i="1"/>
  <c r="H333" i="7" s="1"/>
  <c r="S336" i="1"/>
  <c r="G333" i="7" s="1"/>
  <c r="R336" i="1"/>
  <c r="F333" i="7" s="1"/>
  <c r="CO335" i="1"/>
  <c r="CC332" i="7" s="1"/>
  <c r="CN335" i="1"/>
  <c r="CB332" i="7" s="1"/>
  <c r="CM335" i="1"/>
  <c r="CA332" i="7" s="1"/>
  <c r="CL335" i="1"/>
  <c r="BZ332" i="7" s="1"/>
  <c r="CK335" i="1"/>
  <c r="BY332" i="7" s="1"/>
  <c r="CJ335" i="1"/>
  <c r="BX332" i="7" s="1"/>
  <c r="CI335" i="1"/>
  <c r="BW332" i="7" s="1"/>
  <c r="CH335" i="1"/>
  <c r="BV332" i="7" s="1"/>
  <c r="CG335" i="1"/>
  <c r="BU332" i="7" s="1"/>
  <c r="CF335" i="1"/>
  <c r="BT332" i="7" s="1"/>
  <c r="CD335" i="1"/>
  <c r="BR332" i="7" s="1"/>
  <c r="CB335" i="1"/>
  <c r="BP332" i="7" s="1"/>
  <c r="CA335" i="1"/>
  <c r="BO332" i="7" s="1"/>
  <c r="BZ335" i="1"/>
  <c r="BN332" i="7" s="1"/>
  <c r="BY335" i="1"/>
  <c r="BM332" i="7" s="1"/>
  <c r="BX335" i="1"/>
  <c r="BL332" i="7" s="1"/>
  <c r="BW335" i="1"/>
  <c r="BK332" i="7" s="1"/>
  <c r="BV335" i="1"/>
  <c r="BJ332" i="7" s="1"/>
  <c r="BU335" i="1"/>
  <c r="BI332" i="7" s="1"/>
  <c r="BT335" i="1"/>
  <c r="BH332" i="7" s="1"/>
  <c r="BS335" i="1"/>
  <c r="BG332" i="7" s="1"/>
  <c r="BR335" i="1"/>
  <c r="BF332" i="7" s="1"/>
  <c r="BQ335" i="1"/>
  <c r="BE332" i="7" s="1"/>
  <c r="BP335" i="1"/>
  <c r="BD332" i="7" s="1"/>
  <c r="BO335" i="1"/>
  <c r="BC332" i="7" s="1"/>
  <c r="BN335" i="1"/>
  <c r="BB332" i="7" s="1"/>
  <c r="BM335" i="1"/>
  <c r="BA332" i="7" s="1"/>
  <c r="BL335" i="1"/>
  <c r="AZ332" i="7" s="1"/>
  <c r="BK335" i="1"/>
  <c r="AY332" i="7" s="1"/>
  <c r="BJ335" i="1"/>
  <c r="AX332" i="7" s="1"/>
  <c r="BI335" i="1"/>
  <c r="AW332" i="7" s="1"/>
  <c r="BH335" i="1"/>
  <c r="AV332" i="7" s="1"/>
  <c r="BG335" i="1"/>
  <c r="AU332" i="7" s="1"/>
  <c r="BF335" i="1"/>
  <c r="AT332" i="7" s="1"/>
  <c r="BE335" i="1"/>
  <c r="AS332" i="7" s="1"/>
  <c r="BD335" i="1"/>
  <c r="AR332" i="7" s="1"/>
  <c r="BC335" i="1"/>
  <c r="AQ332" i="7" s="1"/>
  <c r="BB335" i="1"/>
  <c r="AP332" i="7" s="1"/>
  <c r="BA335" i="1"/>
  <c r="AO332" i="7" s="1"/>
  <c r="AZ335" i="1"/>
  <c r="AN332" i="7" s="1"/>
  <c r="AY335" i="1"/>
  <c r="AM332" i="7" s="1"/>
  <c r="AX335" i="1"/>
  <c r="AL332" i="7" s="1"/>
  <c r="AW335" i="1"/>
  <c r="AK332" i="7" s="1"/>
  <c r="AV335" i="1"/>
  <c r="AJ332" i="7" s="1"/>
  <c r="AU335" i="1"/>
  <c r="AI332" i="7" s="1"/>
  <c r="AT335" i="1"/>
  <c r="AH332" i="7" s="1"/>
  <c r="AS335" i="1"/>
  <c r="AG332" i="7" s="1"/>
  <c r="AR335" i="1"/>
  <c r="AF332" i="7" s="1"/>
  <c r="AQ335" i="1"/>
  <c r="AE332" i="7" s="1"/>
  <c r="AP335" i="1"/>
  <c r="AD332" i="7" s="1"/>
  <c r="AO335" i="1"/>
  <c r="AC332" i="7" s="1"/>
  <c r="AN335" i="1"/>
  <c r="AB332" i="7" s="1"/>
  <c r="AM335" i="1"/>
  <c r="AA332" i="7" s="1"/>
  <c r="AL335" i="1"/>
  <c r="Z332" i="7" s="1"/>
  <c r="AK335" i="1"/>
  <c r="Y332" i="7" s="1"/>
  <c r="AJ335" i="1"/>
  <c r="X332" i="7" s="1"/>
  <c r="AI335" i="1"/>
  <c r="W332" i="7" s="1"/>
  <c r="AH335" i="1"/>
  <c r="V332" i="7" s="1"/>
  <c r="AG335" i="1"/>
  <c r="U332" i="7" s="1"/>
  <c r="AF335" i="1"/>
  <c r="T332" i="7" s="1"/>
  <c r="AE335" i="1"/>
  <c r="S332" i="7" s="1"/>
  <c r="AD335" i="1"/>
  <c r="R332" i="7" s="1"/>
  <c r="AC335" i="1"/>
  <c r="Q332" i="7" s="1"/>
  <c r="AB335" i="1"/>
  <c r="P332" i="7" s="1"/>
  <c r="AA335" i="1"/>
  <c r="O332" i="7" s="1"/>
  <c r="Z335" i="1"/>
  <c r="N332" i="7" s="1"/>
  <c r="Y335" i="1"/>
  <c r="M332" i="7" s="1"/>
  <c r="X335" i="1"/>
  <c r="L332" i="7" s="1"/>
  <c r="W335" i="1"/>
  <c r="K332" i="7" s="1"/>
  <c r="V335" i="1"/>
  <c r="J332" i="7" s="1"/>
  <c r="U335" i="1"/>
  <c r="I332" i="7" s="1"/>
  <c r="T335" i="1"/>
  <c r="H332" i="7" s="1"/>
  <c r="S335" i="1"/>
  <c r="G332" i="7" s="1"/>
  <c r="R335" i="1"/>
  <c r="F332" i="7" s="1"/>
  <c r="O335" i="1"/>
  <c r="O336" i="1" s="1"/>
  <c r="O334" i="1"/>
  <c r="M334" i="1"/>
  <c r="M333" i="1"/>
  <c r="O332" i="1"/>
  <c r="CH327" i="1" s="1"/>
  <c r="BV324" i="7" s="1"/>
  <c r="M332" i="1"/>
  <c r="M331" i="1"/>
  <c r="O330" i="1"/>
  <c r="M330" i="1"/>
  <c r="M329" i="1"/>
  <c r="CO328" i="1"/>
  <c r="CC325" i="7" s="1"/>
  <c r="CN328" i="1"/>
  <c r="CB325" i="7" s="1"/>
  <c r="CM328" i="1"/>
  <c r="CA325" i="7" s="1"/>
  <c r="CL328" i="1"/>
  <c r="BZ325" i="7" s="1"/>
  <c r="CK328" i="1"/>
  <c r="BY325" i="7" s="1"/>
  <c r="CJ328" i="1"/>
  <c r="BX325" i="7" s="1"/>
  <c r="CI328" i="1"/>
  <c r="BW325" i="7" s="1"/>
  <c r="CH328" i="1"/>
  <c r="BV325" i="7" s="1"/>
  <c r="CG328" i="1"/>
  <c r="BU325" i="7" s="1"/>
  <c r="CF328" i="1"/>
  <c r="BT325" i="7" s="1"/>
  <c r="CE328" i="1"/>
  <c r="BS325" i="7" s="1"/>
  <c r="CD328" i="1"/>
  <c r="BR325" i="7" s="1"/>
  <c r="CC328" i="1"/>
  <c r="BQ325" i="7" s="1"/>
  <c r="CB328" i="1"/>
  <c r="BP325" i="7" s="1"/>
  <c r="CA328" i="1"/>
  <c r="BO325" i="7" s="1"/>
  <c r="BZ328" i="1"/>
  <c r="BN325" i="7" s="1"/>
  <c r="BY328" i="1"/>
  <c r="BM325" i="7" s="1"/>
  <c r="BX328" i="1"/>
  <c r="BL325" i="7" s="1"/>
  <c r="BW328" i="1"/>
  <c r="BK325" i="7" s="1"/>
  <c r="BV328" i="1"/>
  <c r="BJ325" i="7" s="1"/>
  <c r="BU328" i="1"/>
  <c r="BI325" i="7" s="1"/>
  <c r="BT328" i="1"/>
  <c r="BH325" i="7" s="1"/>
  <c r="BS328" i="1"/>
  <c r="BG325" i="7" s="1"/>
  <c r="BR328" i="1"/>
  <c r="BF325" i="7" s="1"/>
  <c r="BQ328" i="1"/>
  <c r="BE325" i="7" s="1"/>
  <c r="BP328" i="1"/>
  <c r="BD325" i="7" s="1"/>
  <c r="BO328" i="1"/>
  <c r="BC325" i="7" s="1"/>
  <c r="BN328" i="1"/>
  <c r="BB325" i="7" s="1"/>
  <c r="BM328" i="1"/>
  <c r="BA325" i="7" s="1"/>
  <c r="BL328" i="1"/>
  <c r="AZ325" i="7" s="1"/>
  <c r="BK328" i="1"/>
  <c r="AY325" i="7" s="1"/>
  <c r="BJ328" i="1"/>
  <c r="AX325" i="7" s="1"/>
  <c r="BI328" i="1"/>
  <c r="AW325" i="7" s="1"/>
  <c r="BH328" i="1"/>
  <c r="AV325" i="7" s="1"/>
  <c r="BG328" i="1"/>
  <c r="AU325" i="7" s="1"/>
  <c r="BF328" i="1"/>
  <c r="AT325" i="7" s="1"/>
  <c r="BE328" i="1"/>
  <c r="AS325" i="7" s="1"/>
  <c r="BD328" i="1"/>
  <c r="AR325" i="7" s="1"/>
  <c r="BC328" i="1"/>
  <c r="AQ325" i="7" s="1"/>
  <c r="BB328" i="1"/>
  <c r="AP325" i="7" s="1"/>
  <c r="BA328" i="1"/>
  <c r="AO325" i="7" s="1"/>
  <c r="AZ328" i="1"/>
  <c r="AN325" i="7" s="1"/>
  <c r="AY328" i="1"/>
  <c r="AM325" i="7" s="1"/>
  <c r="AX328" i="1"/>
  <c r="AL325" i="7" s="1"/>
  <c r="AW328" i="1"/>
  <c r="AK325" i="7" s="1"/>
  <c r="AV328" i="1"/>
  <c r="AJ325" i="7" s="1"/>
  <c r="AU328" i="1"/>
  <c r="AI325" i="7" s="1"/>
  <c r="AT328" i="1"/>
  <c r="AH325" i="7" s="1"/>
  <c r="AS328" i="1"/>
  <c r="AG325" i="7" s="1"/>
  <c r="AR328" i="1"/>
  <c r="AF325" i="7" s="1"/>
  <c r="AQ328" i="1"/>
  <c r="AE325" i="7" s="1"/>
  <c r="AP328" i="1"/>
  <c r="AD325" i="7" s="1"/>
  <c r="AO328" i="1"/>
  <c r="AC325" i="7" s="1"/>
  <c r="AN328" i="1"/>
  <c r="AB325" i="7" s="1"/>
  <c r="AM328" i="1"/>
  <c r="AA325" i="7" s="1"/>
  <c r="AL328" i="1"/>
  <c r="Z325" i="7" s="1"/>
  <c r="AK328" i="1"/>
  <c r="Y325" i="7" s="1"/>
  <c r="AJ328" i="1"/>
  <c r="X325" i="7" s="1"/>
  <c r="AI328" i="1"/>
  <c r="W325" i="7" s="1"/>
  <c r="AH328" i="1"/>
  <c r="V325" i="7" s="1"/>
  <c r="AG328" i="1"/>
  <c r="U325" i="7" s="1"/>
  <c r="AF328" i="1"/>
  <c r="T325" i="7" s="1"/>
  <c r="AE328" i="1"/>
  <c r="S325" i="7" s="1"/>
  <c r="AD328" i="1"/>
  <c r="R325" i="7" s="1"/>
  <c r="AC328" i="1"/>
  <c r="Q325" i="7" s="1"/>
  <c r="AB328" i="1"/>
  <c r="P325" i="7" s="1"/>
  <c r="AA328" i="1"/>
  <c r="O325" i="7" s="1"/>
  <c r="Z328" i="1"/>
  <c r="N325" i="7" s="1"/>
  <c r="Y328" i="1"/>
  <c r="M325" i="7" s="1"/>
  <c r="X328" i="1"/>
  <c r="L325" i="7" s="1"/>
  <c r="W328" i="1"/>
  <c r="K325" i="7" s="1"/>
  <c r="V328" i="1"/>
  <c r="J325" i="7" s="1"/>
  <c r="U328" i="1"/>
  <c r="I325" i="7" s="1"/>
  <c r="T328" i="1"/>
  <c r="H325" i="7" s="1"/>
  <c r="S328" i="1"/>
  <c r="G325" i="7" s="1"/>
  <c r="R328" i="1"/>
  <c r="F325" i="7" s="1"/>
  <c r="CO327" i="1"/>
  <c r="CC324" i="7" s="1"/>
  <c r="CN327" i="1"/>
  <c r="CB324" i="7" s="1"/>
  <c r="CM327" i="1"/>
  <c r="CA324" i="7" s="1"/>
  <c r="CL327" i="1"/>
  <c r="BZ324" i="7" s="1"/>
  <c r="CK327" i="1"/>
  <c r="BY324" i="7" s="1"/>
  <c r="CF327" i="1"/>
  <c r="BT324" i="7" s="1"/>
  <c r="CE327" i="1"/>
  <c r="BS324" i="7" s="1"/>
  <c r="CD327" i="1"/>
  <c r="BR324" i="7" s="1"/>
  <c r="CC327" i="1"/>
  <c r="BQ324" i="7" s="1"/>
  <c r="BY327" i="1"/>
  <c r="BM324" i="7" s="1"/>
  <c r="BX327" i="1"/>
  <c r="BL324" i="7" s="1"/>
  <c r="BW327" i="1"/>
  <c r="BK324" i="7" s="1"/>
  <c r="BV327" i="1"/>
  <c r="BJ324" i="7" s="1"/>
  <c r="BU327" i="1"/>
  <c r="BI324" i="7" s="1"/>
  <c r="BT327" i="1"/>
  <c r="BH324" i="7" s="1"/>
  <c r="BS327" i="1"/>
  <c r="BG324" i="7" s="1"/>
  <c r="BR327" i="1"/>
  <c r="BF324" i="7" s="1"/>
  <c r="BQ327" i="1"/>
  <c r="BE324" i="7" s="1"/>
  <c r="BP327" i="1"/>
  <c r="BD324" i="7" s="1"/>
  <c r="BO327" i="1"/>
  <c r="BC324" i="7" s="1"/>
  <c r="BN327" i="1"/>
  <c r="BB324" i="7" s="1"/>
  <c r="BM327" i="1"/>
  <c r="BA324" i="7" s="1"/>
  <c r="BL327" i="1"/>
  <c r="AZ324" i="7" s="1"/>
  <c r="BK327" i="1"/>
  <c r="AY324" i="7" s="1"/>
  <c r="BJ327" i="1"/>
  <c r="AX324" i="7" s="1"/>
  <c r="BI327" i="1"/>
  <c r="AW324" i="7" s="1"/>
  <c r="BH327" i="1"/>
  <c r="AV324" i="7" s="1"/>
  <c r="BG327" i="1"/>
  <c r="AU324" i="7" s="1"/>
  <c r="BF327" i="1"/>
  <c r="AT324" i="7" s="1"/>
  <c r="BE327" i="1"/>
  <c r="AS324" i="7" s="1"/>
  <c r="BD327" i="1"/>
  <c r="AR324" i="7" s="1"/>
  <c r="BC327" i="1"/>
  <c r="AQ324" i="7" s="1"/>
  <c r="BB327" i="1"/>
  <c r="AP324" i="7" s="1"/>
  <c r="BA327" i="1"/>
  <c r="AO324" i="7" s="1"/>
  <c r="AZ327" i="1"/>
  <c r="AN324" i="7" s="1"/>
  <c r="AY327" i="1"/>
  <c r="AM324" i="7" s="1"/>
  <c r="AX327" i="1"/>
  <c r="AL324" i="7" s="1"/>
  <c r="AW327" i="1"/>
  <c r="AK324" i="7" s="1"/>
  <c r="AV327" i="1"/>
  <c r="AJ324" i="7" s="1"/>
  <c r="AU327" i="1"/>
  <c r="AI324" i="7" s="1"/>
  <c r="AT327" i="1"/>
  <c r="AH324" i="7" s="1"/>
  <c r="AS327" i="1"/>
  <c r="AG324" i="7" s="1"/>
  <c r="AR327" i="1"/>
  <c r="AF324" i="7" s="1"/>
  <c r="AQ327" i="1"/>
  <c r="AE324" i="7" s="1"/>
  <c r="AP327" i="1"/>
  <c r="AD324" i="7" s="1"/>
  <c r="AO327" i="1"/>
  <c r="AC324" i="7" s="1"/>
  <c r="AN327" i="1"/>
  <c r="AB324" i="7" s="1"/>
  <c r="AM327" i="1"/>
  <c r="AA324" i="7" s="1"/>
  <c r="AL327" i="1"/>
  <c r="Z324" i="7" s="1"/>
  <c r="AK327" i="1"/>
  <c r="Y324" i="7" s="1"/>
  <c r="AJ327" i="1"/>
  <c r="X324" i="7" s="1"/>
  <c r="AI327" i="1"/>
  <c r="W324" i="7" s="1"/>
  <c r="AH327" i="1"/>
  <c r="V324" i="7" s="1"/>
  <c r="AG327" i="1"/>
  <c r="U324" i="7" s="1"/>
  <c r="AF327" i="1"/>
  <c r="T324" i="7" s="1"/>
  <c r="AE327" i="1"/>
  <c r="S324" i="7" s="1"/>
  <c r="AD327" i="1"/>
  <c r="R324" i="7" s="1"/>
  <c r="AC327" i="1"/>
  <c r="Q324" i="7" s="1"/>
  <c r="AB327" i="1"/>
  <c r="P324" i="7" s="1"/>
  <c r="AA327" i="1"/>
  <c r="O324" i="7" s="1"/>
  <c r="Z327" i="1"/>
  <c r="N324" i="7" s="1"/>
  <c r="Y327" i="1"/>
  <c r="M324" i="7" s="1"/>
  <c r="X327" i="1"/>
  <c r="L324" i="7" s="1"/>
  <c r="W327" i="1"/>
  <c r="K324" i="7" s="1"/>
  <c r="V327" i="1"/>
  <c r="J324" i="7" s="1"/>
  <c r="U327" i="1"/>
  <c r="I324" i="7" s="1"/>
  <c r="T327" i="1"/>
  <c r="H324" i="7" s="1"/>
  <c r="S327" i="1"/>
  <c r="G324" i="7" s="1"/>
  <c r="R327" i="1"/>
  <c r="F324" i="7" s="1"/>
  <c r="O327" i="1"/>
  <c r="O328" i="1" s="1"/>
  <c r="O326" i="1"/>
  <c r="M326" i="1"/>
  <c r="M325" i="1"/>
  <c r="O324" i="1"/>
  <c r="CA321" i="1" s="1"/>
  <c r="BO318" i="7" s="1"/>
  <c r="M324" i="1"/>
  <c r="M323" i="1"/>
  <c r="CO322" i="1"/>
  <c r="CC319" i="7" s="1"/>
  <c r="CN322" i="1"/>
  <c r="CB319" i="7" s="1"/>
  <c r="CM322" i="1"/>
  <c r="CA319" i="7" s="1"/>
  <c r="CL322" i="1"/>
  <c r="BZ319" i="7" s="1"/>
  <c r="CK322" i="1"/>
  <c r="BY319" i="7" s="1"/>
  <c r="CJ322" i="1"/>
  <c r="BX319" i="7" s="1"/>
  <c r="CI322" i="1"/>
  <c r="BW319" i="7" s="1"/>
  <c r="CH322" i="1"/>
  <c r="BV319" i="7" s="1"/>
  <c r="CG322" i="1"/>
  <c r="BU319" i="7" s="1"/>
  <c r="CF322" i="1"/>
  <c r="BT319" i="7" s="1"/>
  <c r="CE322" i="1"/>
  <c r="BS319" i="7" s="1"/>
  <c r="CD322" i="1"/>
  <c r="BR319" i="7" s="1"/>
  <c r="CC322" i="1"/>
  <c r="BQ319" i="7" s="1"/>
  <c r="CB322" i="1"/>
  <c r="BP319" i="7" s="1"/>
  <c r="CA322" i="1"/>
  <c r="BO319" i="7" s="1"/>
  <c r="BZ322" i="1"/>
  <c r="BN319" i="7" s="1"/>
  <c r="BY322" i="1"/>
  <c r="BM319" i="7" s="1"/>
  <c r="BX322" i="1"/>
  <c r="BL319" i="7" s="1"/>
  <c r="BW322" i="1"/>
  <c r="BK319" i="7" s="1"/>
  <c r="BV322" i="1"/>
  <c r="BJ319" i="7" s="1"/>
  <c r="BU322" i="1"/>
  <c r="BI319" i="7" s="1"/>
  <c r="BT322" i="1"/>
  <c r="BH319" i="7" s="1"/>
  <c r="BS322" i="1"/>
  <c r="BG319" i="7" s="1"/>
  <c r="BR322" i="1"/>
  <c r="BF319" i="7" s="1"/>
  <c r="BQ322" i="1"/>
  <c r="BE319" i="7" s="1"/>
  <c r="BP322" i="1"/>
  <c r="BD319" i="7" s="1"/>
  <c r="BO322" i="1"/>
  <c r="BC319" i="7" s="1"/>
  <c r="BN322" i="1"/>
  <c r="BB319" i="7" s="1"/>
  <c r="BM322" i="1"/>
  <c r="BA319" i="7" s="1"/>
  <c r="BL322" i="1"/>
  <c r="AZ319" i="7" s="1"/>
  <c r="BK322" i="1"/>
  <c r="AY319" i="7" s="1"/>
  <c r="BJ322" i="1"/>
  <c r="AX319" i="7" s="1"/>
  <c r="BI322" i="1"/>
  <c r="AW319" i="7" s="1"/>
  <c r="BH322" i="1"/>
  <c r="AV319" i="7" s="1"/>
  <c r="BG322" i="1"/>
  <c r="AU319" i="7" s="1"/>
  <c r="BF322" i="1"/>
  <c r="AT319" i="7" s="1"/>
  <c r="BE322" i="1"/>
  <c r="AS319" i="7" s="1"/>
  <c r="BD322" i="1"/>
  <c r="AR319" i="7" s="1"/>
  <c r="BC322" i="1"/>
  <c r="AQ319" i="7" s="1"/>
  <c r="BB322" i="1"/>
  <c r="AP319" i="7" s="1"/>
  <c r="BA322" i="1"/>
  <c r="AO319" i="7" s="1"/>
  <c r="AZ322" i="1"/>
  <c r="AN319" i="7" s="1"/>
  <c r="AY322" i="1"/>
  <c r="AM319" i="7" s="1"/>
  <c r="AX322" i="1"/>
  <c r="AL319" i="7" s="1"/>
  <c r="AW322" i="1"/>
  <c r="AK319" i="7" s="1"/>
  <c r="AV322" i="1"/>
  <c r="AJ319" i="7" s="1"/>
  <c r="AU322" i="1"/>
  <c r="AI319" i="7" s="1"/>
  <c r="AT322" i="1"/>
  <c r="AH319" i="7" s="1"/>
  <c r="AS322" i="1"/>
  <c r="AG319" i="7" s="1"/>
  <c r="AR322" i="1"/>
  <c r="AF319" i="7" s="1"/>
  <c r="AQ322" i="1"/>
  <c r="AE319" i="7" s="1"/>
  <c r="AP322" i="1"/>
  <c r="AD319" i="7" s="1"/>
  <c r="AO322" i="1"/>
  <c r="AC319" i="7" s="1"/>
  <c r="AN322" i="1"/>
  <c r="AB319" i="7" s="1"/>
  <c r="AM322" i="1"/>
  <c r="AA319" i="7" s="1"/>
  <c r="AL322" i="1"/>
  <c r="Z319" i="7" s="1"/>
  <c r="AK322" i="1"/>
  <c r="Y319" i="7" s="1"/>
  <c r="AJ322" i="1"/>
  <c r="X319" i="7" s="1"/>
  <c r="AI322" i="1"/>
  <c r="W319" i="7" s="1"/>
  <c r="AH322" i="1"/>
  <c r="V319" i="7" s="1"/>
  <c r="AG322" i="1"/>
  <c r="U319" i="7" s="1"/>
  <c r="AF322" i="1"/>
  <c r="T319" i="7" s="1"/>
  <c r="AE322" i="1"/>
  <c r="S319" i="7" s="1"/>
  <c r="AD322" i="1"/>
  <c r="R319" i="7" s="1"/>
  <c r="AC322" i="1"/>
  <c r="Q319" i="7" s="1"/>
  <c r="AB322" i="1"/>
  <c r="P319" i="7" s="1"/>
  <c r="AA322" i="1"/>
  <c r="O319" i="7" s="1"/>
  <c r="Z322" i="1"/>
  <c r="N319" i="7" s="1"/>
  <c r="Y322" i="1"/>
  <c r="M319" i="7" s="1"/>
  <c r="X322" i="1"/>
  <c r="L319" i="7" s="1"/>
  <c r="W322" i="1"/>
  <c r="K319" i="7" s="1"/>
  <c r="V322" i="1"/>
  <c r="J319" i="7" s="1"/>
  <c r="U322" i="1"/>
  <c r="I319" i="7" s="1"/>
  <c r="T322" i="1"/>
  <c r="H319" i="7" s="1"/>
  <c r="S322" i="1"/>
  <c r="G319" i="7" s="1"/>
  <c r="R322" i="1"/>
  <c r="F319" i="7" s="1"/>
  <c r="CO321" i="1"/>
  <c r="CC318" i="7" s="1"/>
  <c r="CN321" i="1"/>
  <c r="CB318" i="7" s="1"/>
  <c r="CM321" i="1"/>
  <c r="CA318" i="7" s="1"/>
  <c r="CL321" i="1"/>
  <c r="BZ318" i="7" s="1"/>
  <c r="CK321" i="1"/>
  <c r="BY318" i="7" s="1"/>
  <c r="CJ321" i="1"/>
  <c r="BX318" i="7" s="1"/>
  <c r="CI321" i="1"/>
  <c r="BW318" i="7" s="1"/>
  <c r="CH321" i="1"/>
  <c r="BV318" i="7" s="1"/>
  <c r="CG321" i="1"/>
  <c r="BU318" i="7" s="1"/>
  <c r="CF321" i="1"/>
  <c r="BT318" i="7" s="1"/>
  <c r="CE321" i="1"/>
  <c r="BS318" i="7" s="1"/>
  <c r="CD321" i="1"/>
  <c r="BR318" i="7" s="1"/>
  <c r="CC321" i="1"/>
  <c r="BQ318" i="7" s="1"/>
  <c r="CB321" i="1"/>
  <c r="BP318" i="7" s="1"/>
  <c r="BW321" i="1"/>
  <c r="BK318" i="7" s="1"/>
  <c r="BV321" i="1"/>
  <c r="BJ318" i="7" s="1"/>
  <c r="BU321" i="1"/>
  <c r="BI318" i="7" s="1"/>
  <c r="BT321" i="1"/>
  <c r="BH318" i="7" s="1"/>
  <c r="BS321" i="1"/>
  <c r="BG318" i="7" s="1"/>
  <c r="BR321" i="1"/>
  <c r="BF318" i="7" s="1"/>
  <c r="BQ321" i="1"/>
  <c r="BE318" i="7" s="1"/>
  <c r="BP321" i="1"/>
  <c r="BD318" i="7" s="1"/>
  <c r="BO321" i="1"/>
  <c r="BC318" i="7" s="1"/>
  <c r="BN321" i="1"/>
  <c r="BB318" i="7" s="1"/>
  <c r="BM321" i="1"/>
  <c r="BA318" i="7" s="1"/>
  <c r="BL321" i="1"/>
  <c r="AZ318" i="7" s="1"/>
  <c r="BK321" i="1"/>
  <c r="AY318" i="7" s="1"/>
  <c r="BJ321" i="1"/>
  <c r="AX318" i="7" s="1"/>
  <c r="BI321" i="1"/>
  <c r="AW318" i="7" s="1"/>
  <c r="BH321" i="1"/>
  <c r="AV318" i="7" s="1"/>
  <c r="BG321" i="1"/>
  <c r="AU318" i="7" s="1"/>
  <c r="BF321" i="1"/>
  <c r="AT318" i="7" s="1"/>
  <c r="BE321" i="1"/>
  <c r="AS318" i="7" s="1"/>
  <c r="BD321" i="1"/>
  <c r="AR318" i="7" s="1"/>
  <c r="BC321" i="1"/>
  <c r="AQ318" i="7" s="1"/>
  <c r="BB321" i="1"/>
  <c r="AP318" i="7" s="1"/>
  <c r="BA321" i="1"/>
  <c r="AO318" i="7" s="1"/>
  <c r="AZ321" i="1"/>
  <c r="AN318" i="7" s="1"/>
  <c r="AY321" i="1"/>
  <c r="AM318" i="7" s="1"/>
  <c r="AX321" i="1"/>
  <c r="AL318" i="7" s="1"/>
  <c r="AW321" i="1"/>
  <c r="AK318" i="7" s="1"/>
  <c r="AV321" i="1"/>
  <c r="AJ318" i="7" s="1"/>
  <c r="AU321" i="1"/>
  <c r="AI318" i="7" s="1"/>
  <c r="AT321" i="1"/>
  <c r="AH318" i="7" s="1"/>
  <c r="AS321" i="1"/>
  <c r="AG318" i="7" s="1"/>
  <c r="AR321" i="1"/>
  <c r="AF318" i="7" s="1"/>
  <c r="AQ321" i="1"/>
  <c r="AE318" i="7" s="1"/>
  <c r="AP321" i="1"/>
  <c r="AD318" i="7" s="1"/>
  <c r="AO321" i="1"/>
  <c r="AC318" i="7" s="1"/>
  <c r="AN321" i="1"/>
  <c r="AB318" i="7" s="1"/>
  <c r="AM321" i="1"/>
  <c r="AA318" i="7" s="1"/>
  <c r="AL321" i="1"/>
  <c r="Z318" i="7" s="1"/>
  <c r="AK321" i="1"/>
  <c r="Y318" i="7" s="1"/>
  <c r="AJ321" i="1"/>
  <c r="X318" i="7" s="1"/>
  <c r="AI321" i="1"/>
  <c r="W318" i="7" s="1"/>
  <c r="AH321" i="1"/>
  <c r="V318" i="7" s="1"/>
  <c r="AG321" i="1"/>
  <c r="U318" i="7" s="1"/>
  <c r="AF321" i="1"/>
  <c r="T318" i="7" s="1"/>
  <c r="AE321" i="1"/>
  <c r="S318" i="7" s="1"/>
  <c r="AD321" i="1"/>
  <c r="R318" i="7" s="1"/>
  <c r="AC321" i="1"/>
  <c r="Q318" i="7" s="1"/>
  <c r="AB321" i="1"/>
  <c r="P318" i="7" s="1"/>
  <c r="AA321" i="1"/>
  <c r="O318" i="7" s="1"/>
  <c r="Z321" i="1"/>
  <c r="N318" i="7" s="1"/>
  <c r="Y321" i="1"/>
  <c r="M318" i="7" s="1"/>
  <c r="X321" i="1"/>
  <c r="L318" i="7" s="1"/>
  <c r="W321" i="1"/>
  <c r="K318" i="7" s="1"/>
  <c r="V321" i="1"/>
  <c r="J318" i="7" s="1"/>
  <c r="U321" i="1"/>
  <c r="I318" i="7" s="1"/>
  <c r="T321" i="1"/>
  <c r="H318" i="7" s="1"/>
  <c r="S321" i="1"/>
  <c r="G318" i="7" s="1"/>
  <c r="R321" i="1"/>
  <c r="F318" i="7" s="1"/>
  <c r="O321" i="1"/>
  <c r="O322" i="1" s="1"/>
  <c r="O320" i="1"/>
  <c r="M320" i="1"/>
  <c r="M319" i="1"/>
  <c r="O318" i="1"/>
  <c r="M318" i="1"/>
  <c r="M317" i="1"/>
  <c r="CO316" i="1"/>
  <c r="CC313" i="7" s="1"/>
  <c r="CN316" i="1"/>
  <c r="CB313" i="7" s="1"/>
  <c r="CM316" i="1"/>
  <c r="CA313" i="7" s="1"/>
  <c r="CL316" i="1"/>
  <c r="BZ313" i="7" s="1"/>
  <c r="CK316" i="1"/>
  <c r="BY313" i="7" s="1"/>
  <c r="CJ316" i="1"/>
  <c r="BX313" i="7" s="1"/>
  <c r="CI316" i="1"/>
  <c r="BW313" i="7" s="1"/>
  <c r="CH316" i="1"/>
  <c r="BV313" i="7" s="1"/>
  <c r="CG316" i="1"/>
  <c r="BU313" i="7" s="1"/>
  <c r="CF316" i="1"/>
  <c r="BT313" i="7" s="1"/>
  <c r="CE316" i="1"/>
  <c r="BS313" i="7" s="1"/>
  <c r="CD316" i="1"/>
  <c r="BR313" i="7" s="1"/>
  <c r="CC316" i="1"/>
  <c r="BQ313" i="7" s="1"/>
  <c r="CB316" i="1"/>
  <c r="BP313" i="7" s="1"/>
  <c r="CA316" i="1"/>
  <c r="BO313" i="7" s="1"/>
  <c r="BZ316" i="1"/>
  <c r="BN313" i="7" s="1"/>
  <c r="BY316" i="1"/>
  <c r="BM313" i="7" s="1"/>
  <c r="BX316" i="1"/>
  <c r="BL313" i="7" s="1"/>
  <c r="BW316" i="1"/>
  <c r="BK313" i="7" s="1"/>
  <c r="BV316" i="1"/>
  <c r="BJ313" i="7" s="1"/>
  <c r="BU316" i="1"/>
  <c r="BI313" i="7" s="1"/>
  <c r="BT316" i="1"/>
  <c r="BH313" i="7" s="1"/>
  <c r="BS316" i="1"/>
  <c r="BG313" i="7" s="1"/>
  <c r="BR316" i="1"/>
  <c r="BF313" i="7" s="1"/>
  <c r="BQ316" i="1"/>
  <c r="BE313" i="7" s="1"/>
  <c r="BP316" i="1"/>
  <c r="BD313" i="7" s="1"/>
  <c r="BO316" i="1"/>
  <c r="BC313" i="7" s="1"/>
  <c r="BN316" i="1"/>
  <c r="BB313" i="7" s="1"/>
  <c r="BM316" i="1"/>
  <c r="BA313" i="7" s="1"/>
  <c r="BL316" i="1"/>
  <c r="AZ313" i="7" s="1"/>
  <c r="BK316" i="1"/>
  <c r="AY313" i="7" s="1"/>
  <c r="BJ316" i="1"/>
  <c r="AX313" i="7" s="1"/>
  <c r="BI316" i="1"/>
  <c r="AW313" i="7" s="1"/>
  <c r="BH316" i="1"/>
  <c r="AV313" i="7" s="1"/>
  <c r="BG316" i="1"/>
  <c r="AU313" i="7" s="1"/>
  <c r="BF316" i="1"/>
  <c r="AT313" i="7" s="1"/>
  <c r="BE316" i="1"/>
  <c r="AS313" i="7" s="1"/>
  <c r="BD316" i="1"/>
  <c r="AR313" i="7" s="1"/>
  <c r="BC316" i="1"/>
  <c r="AQ313" i="7" s="1"/>
  <c r="BB316" i="1"/>
  <c r="AP313" i="7" s="1"/>
  <c r="BA316" i="1"/>
  <c r="AO313" i="7" s="1"/>
  <c r="AZ316" i="1"/>
  <c r="AN313" i="7" s="1"/>
  <c r="AY316" i="1"/>
  <c r="AM313" i="7" s="1"/>
  <c r="AX316" i="1"/>
  <c r="AL313" i="7" s="1"/>
  <c r="AW316" i="1"/>
  <c r="AK313" i="7" s="1"/>
  <c r="AV316" i="1"/>
  <c r="AJ313" i="7" s="1"/>
  <c r="AU316" i="1"/>
  <c r="AI313" i="7" s="1"/>
  <c r="AT316" i="1"/>
  <c r="AH313" i="7" s="1"/>
  <c r="AS316" i="1"/>
  <c r="AG313" i="7" s="1"/>
  <c r="AR316" i="1"/>
  <c r="AF313" i="7" s="1"/>
  <c r="AQ316" i="1"/>
  <c r="AE313" i="7" s="1"/>
  <c r="AP316" i="1"/>
  <c r="AD313" i="7" s="1"/>
  <c r="AO316" i="1"/>
  <c r="AC313" i="7" s="1"/>
  <c r="AN316" i="1"/>
  <c r="AB313" i="7" s="1"/>
  <c r="AM316" i="1"/>
  <c r="AA313" i="7" s="1"/>
  <c r="AL316" i="1"/>
  <c r="Z313" i="7" s="1"/>
  <c r="AK316" i="1"/>
  <c r="Y313" i="7" s="1"/>
  <c r="AJ316" i="1"/>
  <c r="X313" i="7" s="1"/>
  <c r="AI316" i="1"/>
  <c r="W313" i="7" s="1"/>
  <c r="AH316" i="1"/>
  <c r="V313" i="7" s="1"/>
  <c r="AG316" i="1"/>
  <c r="U313" i="7" s="1"/>
  <c r="AF316" i="1"/>
  <c r="T313" i="7" s="1"/>
  <c r="AE316" i="1"/>
  <c r="S313" i="7" s="1"/>
  <c r="AD316" i="1"/>
  <c r="R313" i="7" s="1"/>
  <c r="AC316" i="1"/>
  <c r="Q313" i="7" s="1"/>
  <c r="AB316" i="1"/>
  <c r="P313" i="7" s="1"/>
  <c r="AA316" i="1"/>
  <c r="O313" i="7" s="1"/>
  <c r="Z316" i="1"/>
  <c r="N313" i="7" s="1"/>
  <c r="Y316" i="1"/>
  <c r="M313" i="7" s="1"/>
  <c r="X316" i="1"/>
  <c r="L313" i="7" s="1"/>
  <c r="W316" i="1"/>
  <c r="K313" i="7" s="1"/>
  <c r="V316" i="1"/>
  <c r="J313" i="7" s="1"/>
  <c r="U316" i="1"/>
  <c r="I313" i="7" s="1"/>
  <c r="T316" i="1"/>
  <c r="H313" i="7" s="1"/>
  <c r="S316" i="1"/>
  <c r="G313" i="7" s="1"/>
  <c r="R316" i="1"/>
  <c r="F313" i="7" s="1"/>
  <c r="CO315" i="1"/>
  <c r="CC312" i="7" s="1"/>
  <c r="CN315" i="1"/>
  <c r="CB312" i="7" s="1"/>
  <c r="CM315" i="1"/>
  <c r="CA312" i="7" s="1"/>
  <c r="CL315" i="1"/>
  <c r="BZ312" i="7" s="1"/>
  <c r="CK315" i="1"/>
  <c r="BY312" i="7" s="1"/>
  <c r="CJ315" i="1"/>
  <c r="BX312" i="7" s="1"/>
  <c r="CI315" i="1"/>
  <c r="BW312" i="7" s="1"/>
  <c r="CH315" i="1"/>
  <c r="BV312" i="7" s="1"/>
  <c r="CG315" i="1"/>
  <c r="BU312" i="7" s="1"/>
  <c r="CF315" i="1"/>
  <c r="BT312" i="7" s="1"/>
  <c r="CE315" i="1"/>
  <c r="BS312" i="7" s="1"/>
  <c r="CD315" i="1"/>
  <c r="BR312" i="7" s="1"/>
  <c r="CC315" i="1"/>
  <c r="BQ312" i="7" s="1"/>
  <c r="CB315" i="1"/>
  <c r="BP312" i="7" s="1"/>
  <c r="CA315" i="1"/>
  <c r="BO312" i="7" s="1"/>
  <c r="BZ315" i="1"/>
  <c r="BN312" i="7" s="1"/>
  <c r="BY315" i="1"/>
  <c r="BM312" i="7" s="1"/>
  <c r="BU315" i="1"/>
  <c r="BI312" i="7" s="1"/>
  <c r="BT315" i="1"/>
  <c r="BH312" i="7" s="1"/>
  <c r="BS315" i="1"/>
  <c r="BG312" i="7" s="1"/>
  <c r="BR315" i="1"/>
  <c r="BF312" i="7" s="1"/>
  <c r="BQ315" i="1"/>
  <c r="BE312" i="7" s="1"/>
  <c r="BP315" i="1"/>
  <c r="BD312" i="7" s="1"/>
  <c r="BO315" i="1"/>
  <c r="BC312" i="7" s="1"/>
  <c r="BN315" i="1"/>
  <c r="BB312" i="7" s="1"/>
  <c r="BM315" i="1"/>
  <c r="BA312" i="7" s="1"/>
  <c r="BL315" i="1"/>
  <c r="AZ312" i="7" s="1"/>
  <c r="BK315" i="1"/>
  <c r="AY312" i="7" s="1"/>
  <c r="BJ315" i="1"/>
  <c r="AX312" i="7" s="1"/>
  <c r="BI315" i="1"/>
  <c r="AW312" i="7" s="1"/>
  <c r="BH315" i="1"/>
  <c r="AV312" i="7" s="1"/>
  <c r="BG315" i="1"/>
  <c r="AU312" i="7" s="1"/>
  <c r="BF315" i="1"/>
  <c r="AT312" i="7" s="1"/>
  <c r="BE315" i="1"/>
  <c r="AS312" i="7" s="1"/>
  <c r="BD315" i="1"/>
  <c r="AR312" i="7" s="1"/>
  <c r="BC315" i="1"/>
  <c r="AQ312" i="7" s="1"/>
  <c r="BB315" i="1"/>
  <c r="AP312" i="7" s="1"/>
  <c r="BA315" i="1"/>
  <c r="AO312" i="7" s="1"/>
  <c r="AZ315" i="1"/>
  <c r="AN312" i="7" s="1"/>
  <c r="AY315" i="1"/>
  <c r="AM312" i="7" s="1"/>
  <c r="AX315" i="1"/>
  <c r="AL312" i="7" s="1"/>
  <c r="AW315" i="1"/>
  <c r="AK312" i="7" s="1"/>
  <c r="AV315" i="1"/>
  <c r="AJ312" i="7" s="1"/>
  <c r="AU315" i="1"/>
  <c r="AI312" i="7" s="1"/>
  <c r="AT315" i="1"/>
  <c r="AH312" i="7" s="1"/>
  <c r="AS315" i="1"/>
  <c r="AG312" i="7" s="1"/>
  <c r="AR315" i="1"/>
  <c r="AF312" i="7" s="1"/>
  <c r="AQ315" i="1"/>
  <c r="AE312" i="7" s="1"/>
  <c r="AP315" i="1"/>
  <c r="AD312" i="7" s="1"/>
  <c r="AO315" i="1"/>
  <c r="AC312" i="7" s="1"/>
  <c r="AN315" i="1"/>
  <c r="AB312" i="7" s="1"/>
  <c r="AM315" i="1"/>
  <c r="AA312" i="7" s="1"/>
  <c r="AL315" i="1"/>
  <c r="Z312" i="7" s="1"/>
  <c r="AK315" i="1"/>
  <c r="Y312" i="7" s="1"/>
  <c r="AJ315" i="1"/>
  <c r="X312" i="7" s="1"/>
  <c r="AI315" i="1"/>
  <c r="W312" i="7" s="1"/>
  <c r="AH315" i="1"/>
  <c r="V312" i="7" s="1"/>
  <c r="AG315" i="1"/>
  <c r="U312" i="7" s="1"/>
  <c r="AF315" i="1"/>
  <c r="T312" i="7" s="1"/>
  <c r="AE315" i="1"/>
  <c r="S312" i="7" s="1"/>
  <c r="AD315" i="1"/>
  <c r="R312" i="7" s="1"/>
  <c r="AC315" i="1"/>
  <c r="Q312" i="7" s="1"/>
  <c r="AB315" i="1"/>
  <c r="P312" i="7" s="1"/>
  <c r="AA315" i="1"/>
  <c r="O312" i="7" s="1"/>
  <c r="Z315" i="1"/>
  <c r="N312" i="7" s="1"/>
  <c r="Y315" i="1"/>
  <c r="M312" i="7" s="1"/>
  <c r="X315" i="1"/>
  <c r="L312" i="7" s="1"/>
  <c r="W315" i="1"/>
  <c r="K312" i="7" s="1"/>
  <c r="V315" i="1"/>
  <c r="J312" i="7" s="1"/>
  <c r="U315" i="1"/>
  <c r="I312" i="7" s="1"/>
  <c r="T315" i="1"/>
  <c r="H312" i="7" s="1"/>
  <c r="S315" i="1"/>
  <c r="G312" i="7" s="1"/>
  <c r="R315" i="1"/>
  <c r="F312" i="7" s="1"/>
  <c r="O315" i="1"/>
  <c r="CO314" i="1"/>
  <c r="CC311" i="7" s="1"/>
  <c r="CN314" i="1"/>
  <c r="CB311" i="7" s="1"/>
  <c r="CM314" i="1"/>
  <c r="CA311" i="7" s="1"/>
  <c r="CL314" i="1"/>
  <c r="BZ311" i="7" s="1"/>
  <c r="CK314" i="1"/>
  <c r="BY311" i="7" s="1"/>
  <c r="CJ314" i="1"/>
  <c r="BX311" i="7" s="1"/>
  <c r="CI314" i="1"/>
  <c r="BW311" i="7" s="1"/>
  <c r="CH314" i="1"/>
  <c r="BV311" i="7" s="1"/>
  <c r="CG314" i="1"/>
  <c r="BU311" i="7" s="1"/>
  <c r="CF314" i="1"/>
  <c r="BT311" i="7" s="1"/>
  <c r="CE314" i="1"/>
  <c r="BS311" i="7" s="1"/>
  <c r="CD314" i="1"/>
  <c r="BR311" i="7" s="1"/>
  <c r="CC314" i="1"/>
  <c r="BQ311" i="7" s="1"/>
  <c r="CB314" i="1"/>
  <c r="BP311" i="7" s="1"/>
  <c r="CA314" i="1"/>
  <c r="BO311" i="7" s="1"/>
  <c r="BZ314" i="1"/>
  <c r="BN311" i="7" s="1"/>
  <c r="BY314" i="1"/>
  <c r="BM311" i="7" s="1"/>
  <c r="BX314" i="1"/>
  <c r="BL311" i="7" s="1"/>
  <c r="BW314" i="1"/>
  <c r="BK311" i="7" s="1"/>
  <c r="BV314" i="1"/>
  <c r="BJ311" i="7" s="1"/>
  <c r="BU314" i="1"/>
  <c r="BI311" i="7" s="1"/>
  <c r="BT314" i="1"/>
  <c r="BH311" i="7" s="1"/>
  <c r="BS314" i="1"/>
  <c r="BG311" i="7" s="1"/>
  <c r="BR314" i="1"/>
  <c r="BF311" i="7" s="1"/>
  <c r="BQ314" i="1"/>
  <c r="BE311" i="7" s="1"/>
  <c r="BP314" i="1"/>
  <c r="BD311" i="7" s="1"/>
  <c r="BO314" i="1"/>
  <c r="BC311" i="7" s="1"/>
  <c r="BN314" i="1"/>
  <c r="BB311" i="7" s="1"/>
  <c r="BM314" i="1"/>
  <c r="BA311" i="7" s="1"/>
  <c r="BL314" i="1"/>
  <c r="AZ311" i="7" s="1"/>
  <c r="BK314" i="1"/>
  <c r="AY311" i="7" s="1"/>
  <c r="BJ314" i="1"/>
  <c r="AX311" i="7" s="1"/>
  <c r="BI314" i="1"/>
  <c r="AW311" i="7" s="1"/>
  <c r="BH314" i="1"/>
  <c r="AV311" i="7" s="1"/>
  <c r="BG314" i="1"/>
  <c r="AU311" i="7" s="1"/>
  <c r="BF314" i="1"/>
  <c r="AT311" i="7" s="1"/>
  <c r="BE314" i="1"/>
  <c r="AS311" i="7" s="1"/>
  <c r="BD314" i="1"/>
  <c r="AR311" i="7" s="1"/>
  <c r="BC314" i="1"/>
  <c r="AQ311" i="7" s="1"/>
  <c r="BB314" i="1"/>
  <c r="AP311" i="7" s="1"/>
  <c r="BA314" i="1"/>
  <c r="AO311" i="7" s="1"/>
  <c r="AZ314" i="1"/>
  <c r="AN311" i="7" s="1"/>
  <c r="AY314" i="1"/>
  <c r="AM311" i="7" s="1"/>
  <c r="AX314" i="1"/>
  <c r="AL311" i="7" s="1"/>
  <c r="AW314" i="1"/>
  <c r="AK311" i="7" s="1"/>
  <c r="AV314" i="1"/>
  <c r="AJ311" i="7" s="1"/>
  <c r="AU314" i="1"/>
  <c r="AI311" i="7" s="1"/>
  <c r="AT314" i="1"/>
  <c r="AH311" i="7" s="1"/>
  <c r="AS314" i="1"/>
  <c r="AG311" i="7" s="1"/>
  <c r="AR314" i="1"/>
  <c r="AF311" i="7" s="1"/>
  <c r="AQ314" i="1"/>
  <c r="AE311" i="7" s="1"/>
  <c r="AP314" i="1"/>
  <c r="AD311" i="7" s="1"/>
  <c r="AO314" i="1"/>
  <c r="AC311" i="7" s="1"/>
  <c r="AN314" i="1"/>
  <c r="AB311" i="7" s="1"/>
  <c r="AM314" i="1"/>
  <c r="AA311" i="7" s="1"/>
  <c r="AL314" i="1"/>
  <c r="Z311" i="7" s="1"/>
  <c r="AK314" i="1"/>
  <c r="Y311" i="7" s="1"/>
  <c r="AJ314" i="1"/>
  <c r="X311" i="7" s="1"/>
  <c r="AI314" i="1"/>
  <c r="W311" i="7" s="1"/>
  <c r="AH314" i="1"/>
  <c r="V311" i="7" s="1"/>
  <c r="AG314" i="1"/>
  <c r="U311" i="7" s="1"/>
  <c r="AF314" i="1"/>
  <c r="T311" i="7" s="1"/>
  <c r="AE314" i="1"/>
  <c r="S311" i="7" s="1"/>
  <c r="AD314" i="1"/>
  <c r="R311" i="7" s="1"/>
  <c r="AC314" i="1"/>
  <c r="Q311" i="7" s="1"/>
  <c r="AB314" i="1"/>
  <c r="P311" i="7" s="1"/>
  <c r="AA314" i="1"/>
  <c r="O311" i="7" s="1"/>
  <c r="Z314" i="1"/>
  <c r="N311" i="7" s="1"/>
  <c r="Y314" i="1"/>
  <c r="M311" i="7" s="1"/>
  <c r="X314" i="1"/>
  <c r="L311" i="7" s="1"/>
  <c r="W314" i="1"/>
  <c r="K311" i="7" s="1"/>
  <c r="V314" i="1"/>
  <c r="J311" i="7" s="1"/>
  <c r="U314" i="1"/>
  <c r="I311" i="7" s="1"/>
  <c r="T314" i="1"/>
  <c r="H311" i="7" s="1"/>
  <c r="S314" i="1"/>
  <c r="G311" i="7" s="1"/>
  <c r="R314" i="1"/>
  <c r="F311" i="7" s="1"/>
  <c r="CO313" i="1"/>
  <c r="CC310" i="7" s="1"/>
  <c r="CN313" i="1"/>
  <c r="CB310" i="7" s="1"/>
  <c r="CM313" i="1"/>
  <c r="CA310" i="7" s="1"/>
  <c r="CL313" i="1"/>
  <c r="BZ310" i="7" s="1"/>
  <c r="CK313" i="1"/>
  <c r="BY310" i="7" s="1"/>
  <c r="BU313" i="1"/>
  <c r="BI310" i="7" s="1"/>
  <c r="BT313" i="1"/>
  <c r="BH310" i="7" s="1"/>
  <c r="BS313" i="1"/>
  <c r="BG310" i="7" s="1"/>
  <c r="BR313" i="1"/>
  <c r="BF310" i="7" s="1"/>
  <c r="BQ313" i="1"/>
  <c r="BE310" i="7" s="1"/>
  <c r="BP313" i="1"/>
  <c r="BD310" i="7" s="1"/>
  <c r="BO313" i="1"/>
  <c r="BC310" i="7" s="1"/>
  <c r="BN313" i="1"/>
  <c r="BB310" i="7" s="1"/>
  <c r="BM313" i="1"/>
  <c r="BA310" i="7" s="1"/>
  <c r="BL313" i="1"/>
  <c r="AZ310" i="7" s="1"/>
  <c r="BK313" i="1"/>
  <c r="AY310" i="7" s="1"/>
  <c r="BJ313" i="1"/>
  <c r="AX310" i="7" s="1"/>
  <c r="BI313" i="1"/>
  <c r="AW310" i="7" s="1"/>
  <c r="BH313" i="1"/>
  <c r="AV310" i="7" s="1"/>
  <c r="BG313" i="1"/>
  <c r="AU310" i="7" s="1"/>
  <c r="BF313" i="1"/>
  <c r="AT310" i="7" s="1"/>
  <c r="BE313" i="1"/>
  <c r="AS310" i="7" s="1"/>
  <c r="BD313" i="1"/>
  <c r="AR310" i="7" s="1"/>
  <c r="BC313" i="1"/>
  <c r="AQ310" i="7" s="1"/>
  <c r="BB313" i="1"/>
  <c r="AP310" i="7" s="1"/>
  <c r="BA313" i="1"/>
  <c r="AO310" i="7" s="1"/>
  <c r="AZ313" i="1"/>
  <c r="AN310" i="7" s="1"/>
  <c r="AY313" i="1"/>
  <c r="AM310" i="7" s="1"/>
  <c r="AX313" i="1"/>
  <c r="AL310" i="7" s="1"/>
  <c r="AW313" i="1"/>
  <c r="AK310" i="7" s="1"/>
  <c r="AV313" i="1"/>
  <c r="AJ310" i="7" s="1"/>
  <c r="AU313" i="1"/>
  <c r="AI310" i="7" s="1"/>
  <c r="AT313" i="1"/>
  <c r="AH310" i="7" s="1"/>
  <c r="AS313" i="1"/>
  <c r="AG310" i="7" s="1"/>
  <c r="AR313" i="1"/>
  <c r="AF310" i="7" s="1"/>
  <c r="AQ313" i="1"/>
  <c r="AE310" i="7" s="1"/>
  <c r="AP313" i="1"/>
  <c r="AD310" i="7" s="1"/>
  <c r="AO313" i="1"/>
  <c r="AC310" i="7" s="1"/>
  <c r="AN313" i="1"/>
  <c r="AB310" i="7" s="1"/>
  <c r="AM313" i="1"/>
  <c r="AA310" i="7" s="1"/>
  <c r="AL313" i="1"/>
  <c r="Z310" i="7" s="1"/>
  <c r="AK313" i="1"/>
  <c r="Y310" i="7" s="1"/>
  <c r="AJ313" i="1"/>
  <c r="X310" i="7" s="1"/>
  <c r="AI313" i="1"/>
  <c r="W310" i="7" s="1"/>
  <c r="AH313" i="1"/>
  <c r="V310" i="7" s="1"/>
  <c r="AG313" i="1"/>
  <c r="U310" i="7" s="1"/>
  <c r="AF313" i="1"/>
  <c r="T310" i="7" s="1"/>
  <c r="AE313" i="1"/>
  <c r="S310" i="7" s="1"/>
  <c r="AD313" i="1"/>
  <c r="R310" i="7" s="1"/>
  <c r="AC313" i="1"/>
  <c r="Q310" i="7" s="1"/>
  <c r="AB313" i="1"/>
  <c r="P310" i="7" s="1"/>
  <c r="AA313" i="1"/>
  <c r="O310" i="7" s="1"/>
  <c r="Z313" i="1"/>
  <c r="N310" i="7" s="1"/>
  <c r="Y313" i="1"/>
  <c r="M310" i="7" s="1"/>
  <c r="X313" i="1"/>
  <c r="L310" i="7" s="1"/>
  <c r="W313" i="1"/>
  <c r="K310" i="7" s="1"/>
  <c r="V313" i="1"/>
  <c r="J310" i="7" s="1"/>
  <c r="U313" i="1"/>
  <c r="I310" i="7" s="1"/>
  <c r="T313" i="1"/>
  <c r="H310" i="7" s="1"/>
  <c r="S313" i="1"/>
  <c r="G310" i="7" s="1"/>
  <c r="R313" i="1"/>
  <c r="F310" i="7" s="1"/>
  <c r="O313" i="1"/>
  <c r="O314" i="1" s="1"/>
  <c r="O312" i="1"/>
  <c r="M312" i="1"/>
  <c r="M311" i="1"/>
  <c r="O310" i="1"/>
  <c r="BV305" i="1" s="1"/>
  <c r="BJ302" i="7" s="1"/>
  <c r="M310" i="1"/>
  <c r="M309" i="1"/>
  <c r="O308" i="1"/>
  <c r="M308" i="1"/>
  <c r="M307" i="1"/>
  <c r="CO306" i="1"/>
  <c r="CC303" i="7" s="1"/>
  <c r="CN306" i="1"/>
  <c r="CB303" i="7" s="1"/>
  <c r="CM306" i="1"/>
  <c r="CA303" i="7" s="1"/>
  <c r="CL306" i="1"/>
  <c r="BZ303" i="7" s="1"/>
  <c r="CK306" i="1"/>
  <c r="BY303" i="7" s="1"/>
  <c r="CJ306" i="1"/>
  <c r="BX303" i="7" s="1"/>
  <c r="CI306" i="1"/>
  <c r="BW303" i="7" s="1"/>
  <c r="CH306" i="1"/>
  <c r="BV303" i="7" s="1"/>
  <c r="CG306" i="1"/>
  <c r="BU303" i="7" s="1"/>
  <c r="CF306" i="1"/>
  <c r="BT303" i="7" s="1"/>
  <c r="CE306" i="1"/>
  <c r="BS303" i="7" s="1"/>
  <c r="CD306" i="1"/>
  <c r="BR303" i="7" s="1"/>
  <c r="CC306" i="1"/>
  <c r="BQ303" i="7" s="1"/>
  <c r="CB306" i="1"/>
  <c r="BP303" i="7" s="1"/>
  <c r="CA306" i="1"/>
  <c r="BO303" i="7" s="1"/>
  <c r="BZ306" i="1"/>
  <c r="BN303" i="7" s="1"/>
  <c r="BY306" i="1"/>
  <c r="BM303" i="7" s="1"/>
  <c r="BX306" i="1"/>
  <c r="BL303" i="7" s="1"/>
  <c r="BW306" i="1"/>
  <c r="BK303" i="7" s="1"/>
  <c r="BV306" i="1"/>
  <c r="BJ303" i="7" s="1"/>
  <c r="BU306" i="1"/>
  <c r="BI303" i="7" s="1"/>
  <c r="BT306" i="1"/>
  <c r="BH303" i="7" s="1"/>
  <c r="BS306" i="1"/>
  <c r="BG303" i="7" s="1"/>
  <c r="BR306" i="1"/>
  <c r="BF303" i="7" s="1"/>
  <c r="BQ306" i="1"/>
  <c r="BE303" i="7" s="1"/>
  <c r="BP306" i="1"/>
  <c r="BD303" i="7" s="1"/>
  <c r="BO306" i="1"/>
  <c r="BC303" i="7" s="1"/>
  <c r="BN306" i="1"/>
  <c r="BB303" i="7" s="1"/>
  <c r="BM306" i="1"/>
  <c r="BA303" i="7" s="1"/>
  <c r="BL306" i="1"/>
  <c r="AZ303" i="7" s="1"/>
  <c r="BK306" i="1"/>
  <c r="AY303" i="7" s="1"/>
  <c r="BJ306" i="1"/>
  <c r="AX303" i="7" s="1"/>
  <c r="BI306" i="1"/>
  <c r="AW303" i="7" s="1"/>
  <c r="BH306" i="1"/>
  <c r="AV303" i="7" s="1"/>
  <c r="BG306" i="1"/>
  <c r="AU303" i="7" s="1"/>
  <c r="BF306" i="1"/>
  <c r="AT303" i="7" s="1"/>
  <c r="BE306" i="1"/>
  <c r="AS303" i="7" s="1"/>
  <c r="BD306" i="1"/>
  <c r="AR303" i="7" s="1"/>
  <c r="BC306" i="1"/>
  <c r="AQ303" i="7" s="1"/>
  <c r="BB306" i="1"/>
  <c r="AP303" i="7" s="1"/>
  <c r="BA306" i="1"/>
  <c r="AO303" i="7" s="1"/>
  <c r="AZ306" i="1"/>
  <c r="AN303" i="7" s="1"/>
  <c r="AY306" i="1"/>
  <c r="AM303" i="7" s="1"/>
  <c r="AX306" i="1"/>
  <c r="AL303" i="7" s="1"/>
  <c r="AW306" i="1"/>
  <c r="AK303" i="7" s="1"/>
  <c r="AV306" i="1"/>
  <c r="AJ303" i="7" s="1"/>
  <c r="AU306" i="1"/>
  <c r="AI303" i="7" s="1"/>
  <c r="AT306" i="1"/>
  <c r="AH303" i="7" s="1"/>
  <c r="AS306" i="1"/>
  <c r="AG303" i="7" s="1"/>
  <c r="AR306" i="1"/>
  <c r="AF303" i="7" s="1"/>
  <c r="AQ306" i="1"/>
  <c r="AE303" i="7" s="1"/>
  <c r="AP306" i="1"/>
  <c r="AD303" i="7" s="1"/>
  <c r="AO306" i="1"/>
  <c r="AC303" i="7" s="1"/>
  <c r="AN306" i="1"/>
  <c r="AB303" i="7" s="1"/>
  <c r="AM306" i="1"/>
  <c r="AA303" i="7" s="1"/>
  <c r="AL306" i="1"/>
  <c r="Z303" i="7" s="1"/>
  <c r="AK306" i="1"/>
  <c r="Y303" i="7" s="1"/>
  <c r="AJ306" i="1"/>
  <c r="X303" i="7" s="1"/>
  <c r="AI306" i="1"/>
  <c r="W303" i="7" s="1"/>
  <c r="AH306" i="1"/>
  <c r="V303" i="7" s="1"/>
  <c r="AG306" i="1"/>
  <c r="U303" i="7" s="1"/>
  <c r="AF306" i="1"/>
  <c r="T303" i="7" s="1"/>
  <c r="AE306" i="1"/>
  <c r="S303" i="7" s="1"/>
  <c r="AD306" i="1"/>
  <c r="R303" i="7" s="1"/>
  <c r="AC306" i="1"/>
  <c r="Q303" i="7" s="1"/>
  <c r="AB306" i="1"/>
  <c r="P303" i="7" s="1"/>
  <c r="AA306" i="1"/>
  <c r="O303" i="7" s="1"/>
  <c r="Z306" i="1"/>
  <c r="N303" i="7" s="1"/>
  <c r="Y306" i="1"/>
  <c r="M303" i="7" s="1"/>
  <c r="X306" i="1"/>
  <c r="L303" i="7" s="1"/>
  <c r="W306" i="1"/>
  <c r="K303" i="7" s="1"/>
  <c r="V306" i="1"/>
  <c r="J303" i="7" s="1"/>
  <c r="U306" i="1"/>
  <c r="I303" i="7" s="1"/>
  <c r="T306" i="1"/>
  <c r="H303" i="7" s="1"/>
  <c r="S306" i="1"/>
  <c r="G303" i="7" s="1"/>
  <c r="R306" i="1"/>
  <c r="F303" i="7" s="1"/>
  <c r="CO305" i="1"/>
  <c r="CC302" i="7" s="1"/>
  <c r="CN305" i="1"/>
  <c r="CB302" i="7" s="1"/>
  <c r="CM305" i="1"/>
  <c r="CA302" i="7" s="1"/>
  <c r="CL305" i="1"/>
  <c r="BZ302" i="7" s="1"/>
  <c r="CK305" i="1"/>
  <c r="BY302" i="7" s="1"/>
  <c r="CJ305" i="1"/>
  <c r="BX302" i="7" s="1"/>
  <c r="CI305" i="1"/>
  <c r="BW302" i="7" s="1"/>
  <c r="BZ305" i="1"/>
  <c r="BN302" i="7" s="1"/>
  <c r="BR305" i="1"/>
  <c r="BF302" i="7" s="1"/>
  <c r="BQ305" i="1"/>
  <c r="BE302" i="7" s="1"/>
  <c r="BP305" i="1"/>
  <c r="BD302" i="7" s="1"/>
  <c r="BO305" i="1"/>
  <c r="BC302" i="7" s="1"/>
  <c r="BN305" i="1"/>
  <c r="BB302" i="7" s="1"/>
  <c r="BM305" i="1"/>
  <c r="BA302" i="7" s="1"/>
  <c r="BL305" i="1"/>
  <c r="AZ302" i="7" s="1"/>
  <c r="BK305" i="1"/>
  <c r="AY302" i="7" s="1"/>
  <c r="BJ305" i="1"/>
  <c r="AX302" i="7" s="1"/>
  <c r="BI305" i="1"/>
  <c r="AW302" i="7" s="1"/>
  <c r="BH305" i="1"/>
  <c r="AV302" i="7" s="1"/>
  <c r="BG305" i="1"/>
  <c r="AU302" i="7" s="1"/>
  <c r="BF305" i="1"/>
  <c r="AT302" i="7" s="1"/>
  <c r="BE305" i="1"/>
  <c r="AS302" i="7" s="1"/>
  <c r="BD305" i="1"/>
  <c r="AR302" i="7" s="1"/>
  <c r="BC305" i="1"/>
  <c r="AQ302" i="7" s="1"/>
  <c r="BB305" i="1"/>
  <c r="AP302" i="7" s="1"/>
  <c r="BA305" i="1"/>
  <c r="AO302" i="7" s="1"/>
  <c r="AZ305" i="1"/>
  <c r="AN302" i="7" s="1"/>
  <c r="AY305" i="1"/>
  <c r="AM302" i="7" s="1"/>
  <c r="AX305" i="1"/>
  <c r="AL302" i="7" s="1"/>
  <c r="AW305" i="1"/>
  <c r="AK302" i="7" s="1"/>
  <c r="AV305" i="1"/>
  <c r="AJ302" i="7" s="1"/>
  <c r="AU305" i="1"/>
  <c r="AI302" i="7" s="1"/>
  <c r="AT305" i="1"/>
  <c r="AH302" i="7" s="1"/>
  <c r="AS305" i="1"/>
  <c r="AG302" i="7" s="1"/>
  <c r="AR305" i="1"/>
  <c r="AF302" i="7" s="1"/>
  <c r="AQ305" i="1"/>
  <c r="AE302" i="7" s="1"/>
  <c r="AP305" i="1"/>
  <c r="AD302" i="7" s="1"/>
  <c r="AO305" i="1"/>
  <c r="AC302" i="7" s="1"/>
  <c r="AN305" i="1"/>
  <c r="AB302" i="7" s="1"/>
  <c r="AM305" i="1"/>
  <c r="AA302" i="7" s="1"/>
  <c r="AL305" i="1"/>
  <c r="Z302" i="7" s="1"/>
  <c r="AK305" i="1"/>
  <c r="Y302" i="7" s="1"/>
  <c r="AJ305" i="1"/>
  <c r="X302" i="7" s="1"/>
  <c r="AI305" i="1"/>
  <c r="W302" i="7" s="1"/>
  <c r="AH305" i="1"/>
  <c r="V302" i="7" s="1"/>
  <c r="AG305" i="1"/>
  <c r="U302" i="7" s="1"/>
  <c r="AF305" i="1"/>
  <c r="T302" i="7" s="1"/>
  <c r="AE305" i="1"/>
  <c r="S302" i="7" s="1"/>
  <c r="AD305" i="1"/>
  <c r="R302" i="7" s="1"/>
  <c r="AC305" i="1"/>
  <c r="Q302" i="7" s="1"/>
  <c r="AB305" i="1"/>
  <c r="P302" i="7" s="1"/>
  <c r="AA305" i="1"/>
  <c r="O302" i="7" s="1"/>
  <c r="Z305" i="1"/>
  <c r="N302" i="7" s="1"/>
  <c r="Y305" i="1"/>
  <c r="M302" i="7" s="1"/>
  <c r="X305" i="1"/>
  <c r="L302" i="7" s="1"/>
  <c r="W305" i="1"/>
  <c r="K302" i="7" s="1"/>
  <c r="V305" i="1"/>
  <c r="J302" i="7" s="1"/>
  <c r="U305" i="1"/>
  <c r="I302" i="7" s="1"/>
  <c r="T305" i="1"/>
  <c r="H302" i="7" s="1"/>
  <c r="S305" i="1"/>
  <c r="G302" i="7" s="1"/>
  <c r="R305" i="1"/>
  <c r="F302" i="7" s="1"/>
  <c r="O305" i="1"/>
  <c r="O304" i="1"/>
  <c r="CA301" i="1" s="1"/>
  <c r="BO298" i="7" s="1"/>
  <c r="M304" i="1"/>
  <c r="M303" i="1"/>
  <c r="CO302" i="1"/>
  <c r="CC299" i="7" s="1"/>
  <c r="CN302" i="1"/>
  <c r="CB299" i="7" s="1"/>
  <c r="CM302" i="1"/>
  <c r="CA299" i="7" s="1"/>
  <c r="CL302" i="1"/>
  <c r="BZ299" i="7" s="1"/>
  <c r="CK302" i="1"/>
  <c r="BY299" i="7" s="1"/>
  <c r="CJ302" i="1"/>
  <c r="BX299" i="7" s="1"/>
  <c r="CI302" i="1"/>
  <c r="BW299" i="7" s="1"/>
  <c r="CH302" i="1"/>
  <c r="BV299" i="7" s="1"/>
  <c r="CG302" i="1"/>
  <c r="BU299" i="7" s="1"/>
  <c r="CF302" i="1"/>
  <c r="BT299" i="7" s="1"/>
  <c r="CE302" i="1"/>
  <c r="BS299" i="7" s="1"/>
  <c r="CD302" i="1"/>
  <c r="BR299" i="7" s="1"/>
  <c r="CC302" i="1"/>
  <c r="BQ299" i="7" s="1"/>
  <c r="CB302" i="1"/>
  <c r="BP299" i="7" s="1"/>
  <c r="CA302" i="1"/>
  <c r="BO299" i="7" s="1"/>
  <c r="BZ302" i="1"/>
  <c r="BN299" i="7" s="1"/>
  <c r="BY302" i="1"/>
  <c r="BM299" i="7" s="1"/>
  <c r="BX302" i="1"/>
  <c r="BL299" i="7" s="1"/>
  <c r="BW302" i="1"/>
  <c r="BK299" i="7" s="1"/>
  <c r="BV302" i="1"/>
  <c r="BJ299" i="7" s="1"/>
  <c r="BU302" i="1"/>
  <c r="BI299" i="7" s="1"/>
  <c r="BT302" i="1"/>
  <c r="BH299" i="7" s="1"/>
  <c r="BS302" i="1"/>
  <c r="BG299" i="7" s="1"/>
  <c r="BR302" i="1"/>
  <c r="BF299" i="7" s="1"/>
  <c r="BQ302" i="1"/>
  <c r="BE299" i="7" s="1"/>
  <c r="BP302" i="1"/>
  <c r="BD299" i="7" s="1"/>
  <c r="BO302" i="1"/>
  <c r="BC299" i="7" s="1"/>
  <c r="BN302" i="1"/>
  <c r="BB299" i="7" s="1"/>
  <c r="BM302" i="1"/>
  <c r="BA299" i="7" s="1"/>
  <c r="BL302" i="1"/>
  <c r="AZ299" i="7" s="1"/>
  <c r="BK302" i="1"/>
  <c r="AY299" i="7" s="1"/>
  <c r="BJ302" i="1"/>
  <c r="AX299" i="7" s="1"/>
  <c r="BI302" i="1"/>
  <c r="AW299" i="7" s="1"/>
  <c r="BH302" i="1"/>
  <c r="AV299" i="7" s="1"/>
  <c r="BG302" i="1"/>
  <c r="AU299" i="7" s="1"/>
  <c r="BF302" i="1"/>
  <c r="AT299" i="7" s="1"/>
  <c r="BE302" i="1"/>
  <c r="AS299" i="7" s="1"/>
  <c r="BD302" i="1"/>
  <c r="AR299" i="7" s="1"/>
  <c r="BC302" i="1"/>
  <c r="AQ299" i="7" s="1"/>
  <c r="BB302" i="1"/>
  <c r="AP299" i="7" s="1"/>
  <c r="BA302" i="1"/>
  <c r="AO299" i="7" s="1"/>
  <c r="AZ302" i="1"/>
  <c r="AN299" i="7" s="1"/>
  <c r="AY302" i="1"/>
  <c r="AM299" i="7" s="1"/>
  <c r="AX302" i="1"/>
  <c r="AL299" i="7" s="1"/>
  <c r="AW302" i="1"/>
  <c r="AK299" i="7" s="1"/>
  <c r="AV302" i="1"/>
  <c r="AJ299" i="7" s="1"/>
  <c r="AU302" i="1"/>
  <c r="AI299" i="7" s="1"/>
  <c r="AT302" i="1"/>
  <c r="AH299" i="7" s="1"/>
  <c r="AS302" i="1"/>
  <c r="AG299" i="7" s="1"/>
  <c r="AR302" i="1"/>
  <c r="AF299" i="7" s="1"/>
  <c r="AQ302" i="1"/>
  <c r="AE299" i="7" s="1"/>
  <c r="AP302" i="1"/>
  <c r="AD299" i="7" s="1"/>
  <c r="AO302" i="1"/>
  <c r="AC299" i="7" s="1"/>
  <c r="AN302" i="1"/>
  <c r="AB299" i="7" s="1"/>
  <c r="AM302" i="1"/>
  <c r="AA299" i="7" s="1"/>
  <c r="AL302" i="1"/>
  <c r="Z299" i="7" s="1"/>
  <c r="AK302" i="1"/>
  <c r="Y299" i="7" s="1"/>
  <c r="AJ302" i="1"/>
  <c r="X299" i="7" s="1"/>
  <c r="AI302" i="1"/>
  <c r="W299" i="7" s="1"/>
  <c r="AH302" i="1"/>
  <c r="V299" i="7" s="1"/>
  <c r="AG302" i="1"/>
  <c r="U299" i="7" s="1"/>
  <c r="AF302" i="1"/>
  <c r="T299" i="7" s="1"/>
  <c r="AE302" i="1"/>
  <c r="S299" i="7" s="1"/>
  <c r="AD302" i="1"/>
  <c r="R299" i="7" s="1"/>
  <c r="AC302" i="1"/>
  <c r="Q299" i="7" s="1"/>
  <c r="AB302" i="1"/>
  <c r="P299" i="7" s="1"/>
  <c r="AA302" i="1"/>
  <c r="O299" i="7" s="1"/>
  <c r="Z302" i="1"/>
  <c r="N299" i="7" s="1"/>
  <c r="Y302" i="1"/>
  <c r="M299" i="7" s="1"/>
  <c r="X302" i="1"/>
  <c r="L299" i="7" s="1"/>
  <c r="W302" i="1"/>
  <c r="K299" i="7" s="1"/>
  <c r="V302" i="1"/>
  <c r="J299" i="7" s="1"/>
  <c r="U302" i="1"/>
  <c r="I299" i="7" s="1"/>
  <c r="T302" i="1"/>
  <c r="H299" i="7" s="1"/>
  <c r="S302" i="1"/>
  <c r="G299" i="7" s="1"/>
  <c r="R302" i="1"/>
  <c r="F299" i="7" s="1"/>
  <c r="CO301" i="1"/>
  <c r="CC298" i="7" s="1"/>
  <c r="CN301" i="1"/>
  <c r="CB298" i="7" s="1"/>
  <c r="CM301" i="1"/>
  <c r="CA298" i="7" s="1"/>
  <c r="CL301" i="1"/>
  <c r="BZ298" i="7" s="1"/>
  <c r="CK301" i="1"/>
  <c r="BY298" i="7" s="1"/>
  <c r="CJ301" i="1"/>
  <c r="BX298" i="7" s="1"/>
  <c r="CI301" i="1"/>
  <c r="BW298" i="7" s="1"/>
  <c r="CH301" i="1"/>
  <c r="BV298" i="7" s="1"/>
  <c r="CG301" i="1"/>
  <c r="BU298" i="7" s="1"/>
  <c r="CF301" i="1"/>
  <c r="BT298" i="7" s="1"/>
  <c r="CE301" i="1"/>
  <c r="BS298" i="7" s="1"/>
  <c r="CD301" i="1"/>
  <c r="BR298" i="7" s="1"/>
  <c r="CB301" i="1"/>
  <c r="BP298" i="7" s="1"/>
  <c r="BX301" i="1"/>
  <c r="BL298" i="7" s="1"/>
  <c r="BW301" i="1"/>
  <c r="BK298" i="7" s="1"/>
  <c r="BV301" i="1"/>
  <c r="BJ298" i="7" s="1"/>
  <c r="BU301" i="1"/>
  <c r="BI298" i="7" s="1"/>
  <c r="BT301" i="1"/>
  <c r="BH298" i="7" s="1"/>
  <c r="BS301" i="1"/>
  <c r="BG298" i="7" s="1"/>
  <c r="BR301" i="1"/>
  <c r="BF298" i="7" s="1"/>
  <c r="BQ301" i="1"/>
  <c r="BE298" i="7" s="1"/>
  <c r="BP301" i="1"/>
  <c r="BD298" i="7" s="1"/>
  <c r="BO301" i="1"/>
  <c r="BC298" i="7" s="1"/>
  <c r="BN301" i="1"/>
  <c r="BB298" i="7" s="1"/>
  <c r="BM301" i="1"/>
  <c r="BA298" i="7" s="1"/>
  <c r="BL301" i="1"/>
  <c r="AZ298" i="7" s="1"/>
  <c r="BK301" i="1"/>
  <c r="AY298" i="7" s="1"/>
  <c r="BJ301" i="1"/>
  <c r="AX298" i="7" s="1"/>
  <c r="BI301" i="1"/>
  <c r="AW298" i="7" s="1"/>
  <c r="BH301" i="1"/>
  <c r="AV298" i="7" s="1"/>
  <c r="BG301" i="1"/>
  <c r="AU298" i="7" s="1"/>
  <c r="BF301" i="1"/>
  <c r="AT298" i="7" s="1"/>
  <c r="BE301" i="1"/>
  <c r="AS298" i="7" s="1"/>
  <c r="BD301" i="1"/>
  <c r="AR298" i="7" s="1"/>
  <c r="BC301" i="1"/>
  <c r="AQ298" i="7" s="1"/>
  <c r="BB301" i="1"/>
  <c r="AP298" i="7" s="1"/>
  <c r="BA301" i="1"/>
  <c r="AO298" i="7" s="1"/>
  <c r="AZ301" i="1"/>
  <c r="AN298" i="7" s="1"/>
  <c r="AY301" i="1"/>
  <c r="AM298" i="7" s="1"/>
  <c r="AX301" i="1"/>
  <c r="AL298" i="7" s="1"/>
  <c r="AW301" i="1"/>
  <c r="AK298" i="7" s="1"/>
  <c r="AV301" i="1"/>
  <c r="AJ298" i="7" s="1"/>
  <c r="AU301" i="1"/>
  <c r="AI298" i="7" s="1"/>
  <c r="AT301" i="1"/>
  <c r="AH298" i="7" s="1"/>
  <c r="AS301" i="1"/>
  <c r="AG298" i="7" s="1"/>
  <c r="AR301" i="1"/>
  <c r="AF298" i="7" s="1"/>
  <c r="AQ301" i="1"/>
  <c r="AE298" i="7" s="1"/>
  <c r="AP301" i="1"/>
  <c r="AD298" i="7" s="1"/>
  <c r="AO301" i="1"/>
  <c r="AC298" i="7" s="1"/>
  <c r="AN301" i="1"/>
  <c r="AB298" i="7" s="1"/>
  <c r="AM301" i="1"/>
  <c r="AA298" i="7" s="1"/>
  <c r="AL301" i="1"/>
  <c r="Z298" i="7" s="1"/>
  <c r="AK301" i="1"/>
  <c r="Y298" i="7" s="1"/>
  <c r="AJ301" i="1"/>
  <c r="X298" i="7" s="1"/>
  <c r="AI301" i="1"/>
  <c r="W298" i="7" s="1"/>
  <c r="AH301" i="1"/>
  <c r="V298" i="7" s="1"/>
  <c r="AG301" i="1"/>
  <c r="U298" i="7" s="1"/>
  <c r="AF301" i="1"/>
  <c r="T298" i="7" s="1"/>
  <c r="AE301" i="1"/>
  <c r="S298" i="7" s="1"/>
  <c r="AD301" i="1"/>
  <c r="R298" i="7" s="1"/>
  <c r="AC301" i="1"/>
  <c r="Q298" i="7" s="1"/>
  <c r="AB301" i="1"/>
  <c r="P298" i="7" s="1"/>
  <c r="AA301" i="1"/>
  <c r="O298" i="7" s="1"/>
  <c r="Z301" i="1"/>
  <c r="N298" i="7" s="1"/>
  <c r="Y301" i="1"/>
  <c r="M298" i="7" s="1"/>
  <c r="X301" i="1"/>
  <c r="L298" i="7" s="1"/>
  <c r="W301" i="1"/>
  <c r="K298" i="7" s="1"/>
  <c r="V301" i="1"/>
  <c r="J298" i="7" s="1"/>
  <c r="U301" i="1"/>
  <c r="I298" i="7" s="1"/>
  <c r="T301" i="1"/>
  <c r="H298" i="7" s="1"/>
  <c r="S301" i="1"/>
  <c r="G298" i="7" s="1"/>
  <c r="R301" i="1"/>
  <c r="F298" i="7" s="1"/>
  <c r="O301" i="1"/>
  <c r="O302" i="1" s="1"/>
  <c r="O300" i="1"/>
  <c r="M300" i="1"/>
  <c r="M299" i="1"/>
  <c r="O298" i="1"/>
  <c r="M298" i="1"/>
  <c r="M297" i="1"/>
  <c r="O296" i="1"/>
  <c r="M296" i="1"/>
  <c r="M295" i="1"/>
  <c r="O294" i="1"/>
  <c r="BY291" i="1" s="1"/>
  <c r="BM288" i="7" s="1"/>
  <c r="M294" i="1"/>
  <c r="M293" i="1"/>
  <c r="CO292" i="1"/>
  <c r="CC289" i="7" s="1"/>
  <c r="CN292" i="1"/>
  <c r="CB289" i="7" s="1"/>
  <c r="CM292" i="1"/>
  <c r="CA289" i="7" s="1"/>
  <c r="CL292" i="1"/>
  <c r="BZ289" i="7" s="1"/>
  <c r="CK292" i="1"/>
  <c r="BY289" i="7" s="1"/>
  <c r="CJ292" i="1"/>
  <c r="BX289" i="7" s="1"/>
  <c r="CI292" i="1"/>
  <c r="BW289" i="7" s="1"/>
  <c r="CH292" i="1"/>
  <c r="BV289" i="7" s="1"/>
  <c r="CG292" i="1"/>
  <c r="BU289" i="7" s="1"/>
  <c r="CF292" i="1"/>
  <c r="BT289" i="7" s="1"/>
  <c r="CE292" i="1"/>
  <c r="BS289" i="7" s="1"/>
  <c r="CD292" i="1"/>
  <c r="BR289" i="7" s="1"/>
  <c r="CC292" i="1"/>
  <c r="BQ289" i="7" s="1"/>
  <c r="CB292" i="1"/>
  <c r="BP289" i="7" s="1"/>
  <c r="CA292" i="1"/>
  <c r="BO289" i="7" s="1"/>
  <c r="BZ292" i="1"/>
  <c r="BN289" i="7" s="1"/>
  <c r="BY292" i="1"/>
  <c r="BM289" i="7" s="1"/>
  <c r="BX292" i="1"/>
  <c r="BL289" i="7" s="1"/>
  <c r="BW292" i="1"/>
  <c r="BK289" i="7" s="1"/>
  <c r="BV292" i="1"/>
  <c r="BJ289" i="7" s="1"/>
  <c r="BU292" i="1"/>
  <c r="BI289" i="7" s="1"/>
  <c r="BT292" i="1"/>
  <c r="BH289" i="7" s="1"/>
  <c r="BS292" i="1"/>
  <c r="BG289" i="7" s="1"/>
  <c r="BR292" i="1"/>
  <c r="BF289" i="7" s="1"/>
  <c r="BQ292" i="1"/>
  <c r="BE289" i="7" s="1"/>
  <c r="BP292" i="1"/>
  <c r="BD289" i="7" s="1"/>
  <c r="BO292" i="1"/>
  <c r="BC289" i="7" s="1"/>
  <c r="BN292" i="1"/>
  <c r="BB289" i="7" s="1"/>
  <c r="BM292" i="1"/>
  <c r="BA289" i="7" s="1"/>
  <c r="BL292" i="1"/>
  <c r="AZ289" i="7" s="1"/>
  <c r="BK292" i="1"/>
  <c r="AY289" i="7" s="1"/>
  <c r="BJ292" i="1"/>
  <c r="AX289" i="7" s="1"/>
  <c r="BI292" i="1"/>
  <c r="AW289" i="7" s="1"/>
  <c r="BH292" i="1"/>
  <c r="AV289" i="7" s="1"/>
  <c r="BG292" i="1"/>
  <c r="AU289" i="7" s="1"/>
  <c r="BF292" i="1"/>
  <c r="AT289" i="7" s="1"/>
  <c r="BE292" i="1"/>
  <c r="AS289" i="7" s="1"/>
  <c r="BD292" i="1"/>
  <c r="AR289" i="7" s="1"/>
  <c r="BC292" i="1"/>
  <c r="AQ289" i="7" s="1"/>
  <c r="BB292" i="1"/>
  <c r="AP289" i="7" s="1"/>
  <c r="BA292" i="1"/>
  <c r="AO289" i="7" s="1"/>
  <c r="AZ292" i="1"/>
  <c r="AN289" i="7" s="1"/>
  <c r="AY292" i="1"/>
  <c r="AM289" i="7" s="1"/>
  <c r="AX292" i="1"/>
  <c r="AL289" i="7" s="1"/>
  <c r="AW292" i="1"/>
  <c r="AK289" i="7" s="1"/>
  <c r="AV292" i="1"/>
  <c r="AJ289" i="7" s="1"/>
  <c r="AU292" i="1"/>
  <c r="AI289" i="7" s="1"/>
  <c r="AT292" i="1"/>
  <c r="AH289" i="7" s="1"/>
  <c r="AS292" i="1"/>
  <c r="AG289" i="7" s="1"/>
  <c r="AR292" i="1"/>
  <c r="AF289" i="7" s="1"/>
  <c r="AQ292" i="1"/>
  <c r="AE289" i="7" s="1"/>
  <c r="AP292" i="1"/>
  <c r="AD289" i="7" s="1"/>
  <c r="AO292" i="1"/>
  <c r="AC289" i="7" s="1"/>
  <c r="AN292" i="1"/>
  <c r="AB289" i="7" s="1"/>
  <c r="AM292" i="1"/>
  <c r="AA289" i="7" s="1"/>
  <c r="AL292" i="1"/>
  <c r="Z289" i="7" s="1"/>
  <c r="AK292" i="1"/>
  <c r="Y289" i="7" s="1"/>
  <c r="AJ292" i="1"/>
  <c r="X289" i="7" s="1"/>
  <c r="AI292" i="1"/>
  <c r="W289" i="7" s="1"/>
  <c r="AH292" i="1"/>
  <c r="V289" i="7" s="1"/>
  <c r="AG292" i="1"/>
  <c r="U289" i="7" s="1"/>
  <c r="AF292" i="1"/>
  <c r="T289" i="7" s="1"/>
  <c r="AE292" i="1"/>
  <c r="S289" i="7" s="1"/>
  <c r="AD292" i="1"/>
  <c r="R289" i="7" s="1"/>
  <c r="AC292" i="1"/>
  <c r="Q289" i="7" s="1"/>
  <c r="AB292" i="1"/>
  <c r="P289" i="7" s="1"/>
  <c r="AA292" i="1"/>
  <c r="O289" i="7" s="1"/>
  <c r="Z292" i="1"/>
  <c r="N289" i="7" s="1"/>
  <c r="Y292" i="1"/>
  <c r="M289" i="7" s="1"/>
  <c r="X292" i="1"/>
  <c r="L289" i="7" s="1"/>
  <c r="W292" i="1"/>
  <c r="K289" i="7" s="1"/>
  <c r="V292" i="1"/>
  <c r="J289" i="7" s="1"/>
  <c r="U292" i="1"/>
  <c r="I289" i="7" s="1"/>
  <c r="T292" i="1"/>
  <c r="H289" i="7" s="1"/>
  <c r="S292" i="1"/>
  <c r="G289" i="7" s="1"/>
  <c r="R292" i="1"/>
  <c r="F289" i="7" s="1"/>
  <c r="CO291" i="1"/>
  <c r="CC288" i="7" s="1"/>
  <c r="CN291" i="1"/>
  <c r="CB288" i="7" s="1"/>
  <c r="CM291" i="1"/>
  <c r="CA288" i="7" s="1"/>
  <c r="CL291" i="1"/>
  <c r="BZ288" i="7" s="1"/>
  <c r="CK291" i="1"/>
  <c r="BY288" i="7" s="1"/>
  <c r="CH291" i="1"/>
  <c r="BV288" i="7" s="1"/>
  <c r="CG291" i="1"/>
  <c r="BU288" i="7" s="1"/>
  <c r="CC291" i="1"/>
  <c r="BQ288" i="7" s="1"/>
  <c r="CB291" i="1"/>
  <c r="BP288" i="7" s="1"/>
  <c r="CA291" i="1"/>
  <c r="BO288" i="7" s="1"/>
  <c r="BZ291" i="1"/>
  <c r="BN288" i="7" s="1"/>
  <c r="BU291" i="1"/>
  <c r="BI288" i="7" s="1"/>
  <c r="BT291" i="1"/>
  <c r="BH288" i="7" s="1"/>
  <c r="BS291" i="1"/>
  <c r="BG288" i="7" s="1"/>
  <c r="BR291" i="1"/>
  <c r="BF288" i="7" s="1"/>
  <c r="BQ291" i="1"/>
  <c r="BE288" i="7" s="1"/>
  <c r="BP291" i="1"/>
  <c r="BD288" i="7" s="1"/>
  <c r="BO291" i="1"/>
  <c r="BC288" i="7" s="1"/>
  <c r="BN291" i="1"/>
  <c r="BB288" i="7" s="1"/>
  <c r="BM291" i="1"/>
  <c r="BA288" i="7" s="1"/>
  <c r="BL291" i="1"/>
  <c r="AZ288" i="7" s="1"/>
  <c r="BK291" i="1"/>
  <c r="AY288" i="7" s="1"/>
  <c r="BJ291" i="1"/>
  <c r="AX288" i="7" s="1"/>
  <c r="BI291" i="1"/>
  <c r="AW288" i="7" s="1"/>
  <c r="BH291" i="1"/>
  <c r="AV288" i="7" s="1"/>
  <c r="BG291" i="1"/>
  <c r="AU288" i="7" s="1"/>
  <c r="BF291" i="1"/>
  <c r="AT288" i="7" s="1"/>
  <c r="BE291" i="1"/>
  <c r="AS288" i="7" s="1"/>
  <c r="BD291" i="1"/>
  <c r="AR288" i="7" s="1"/>
  <c r="BC291" i="1"/>
  <c r="AQ288" i="7" s="1"/>
  <c r="BB291" i="1"/>
  <c r="AP288" i="7" s="1"/>
  <c r="BA291" i="1"/>
  <c r="AO288" i="7" s="1"/>
  <c r="AZ291" i="1"/>
  <c r="AN288" i="7" s="1"/>
  <c r="AY291" i="1"/>
  <c r="AM288" i="7" s="1"/>
  <c r="AX291" i="1"/>
  <c r="AL288" i="7" s="1"/>
  <c r="AW291" i="1"/>
  <c r="AK288" i="7" s="1"/>
  <c r="AV291" i="1"/>
  <c r="AJ288" i="7" s="1"/>
  <c r="AU291" i="1"/>
  <c r="AI288" i="7" s="1"/>
  <c r="AT291" i="1"/>
  <c r="AH288" i="7" s="1"/>
  <c r="AS291" i="1"/>
  <c r="AG288" i="7" s="1"/>
  <c r="AR291" i="1"/>
  <c r="AF288" i="7" s="1"/>
  <c r="AQ291" i="1"/>
  <c r="AE288" i="7" s="1"/>
  <c r="AP291" i="1"/>
  <c r="AD288" i="7" s="1"/>
  <c r="AO291" i="1"/>
  <c r="AC288" i="7" s="1"/>
  <c r="AN291" i="1"/>
  <c r="AB288" i="7" s="1"/>
  <c r="AM291" i="1"/>
  <c r="AA288" i="7" s="1"/>
  <c r="AL291" i="1"/>
  <c r="Z288" i="7" s="1"/>
  <c r="AK291" i="1"/>
  <c r="Y288" i="7" s="1"/>
  <c r="AJ291" i="1"/>
  <c r="X288" i="7" s="1"/>
  <c r="AI291" i="1"/>
  <c r="W288" i="7" s="1"/>
  <c r="AH291" i="1"/>
  <c r="V288" i="7" s="1"/>
  <c r="AG291" i="1"/>
  <c r="U288" i="7" s="1"/>
  <c r="AF291" i="1"/>
  <c r="T288" i="7" s="1"/>
  <c r="AE291" i="1"/>
  <c r="S288" i="7" s="1"/>
  <c r="AD291" i="1"/>
  <c r="R288" i="7" s="1"/>
  <c r="AC291" i="1"/>
  <c r="Q288" i="7" s="1"/>
  <c r="AB291" i="1"/>
  <c r="P288" i="7" s="1"/>
  <c r="AA291" i="1"/>
  <c r="O288" i="7" s="1"/>
  <c r="Z291" i="1"/>
  <c r="N288" i="7" s="1"/>
  <c r="Y291" i="1"/>
  <c r="M288" i="7" s="1"/>
  <c r="X291" i="1"/>
  <c r="L288" i="7" s="1"/>
  <c r="W291" i="1"/>
  <c r="K288" i="7" s="1"/>
  <c r="V291" i="1"/>
  <c r="J288" i="7" s="1"/>
  <c r="U291" i="1"/>
  <c r="I288" i="7" s="1"/>
  <c r="T291" i="1"/>
  <c r="H288" i="7" s="1"/>
  <c r="S291" i="1"/>
  <c r="G288" i="7" s="1"/>
  <c r="R291" i="1"/>
  <c r="F288" i="7" s="1"/>
  <c r="O291" i="1"/>
  <c r="O292" i="1" s="1"/>
  <c r="O290" i="1"/>
  <c r="M290" i="1"/>
  <c r="M289" i="1"/>
  <c r="O288" i="1"/>
  <c r="BU285" i="1" s="1"/>
  <c r="BI282" i="7" s="1"/>
  <c r="M288" i="1"/>
  <c r="M287" i="1"/>
  <c r="CO286" i="1"/>
  <c r="CC283" i="7" s="1"/>
  <c r="CN286" i="1"/>
  <c r="CB283" i="7" s="1"/>
  <c r="CM286" i="1"/>
  <c r="CA283" i="7" s="1"/>
  <c r="CL286" i="1"/>
  <c r="BZ283" i="7" s="1"/>
  <c r="CK286" i="1"/>
  <c r="BY283" i="7" s="1"/>
  <c r="CJ286" i="1"/>
  <c r="BX283" i="7" s="1"/>
  <c r="CI286" i="1"/>
  <c r="BW283" i="7" s="1"/>
  <c r="CH286" i="1"/>
  <c r="BV283" i="7" s="1"/>
  <c r="CG286" i="1"/>
  <c r="BU283" i="7" s="1"/>
  <c r="CF286" i="1"/>
  <c r="BT283" i="7" s="1"/>
  <c r="CE286" i="1"/>
  <c r="BS283" i="7" s="1"/>
  <c r="CD286" i="1"/>
  <c r="BR283" i="7" s="1"/>
  <c r="CC286" i="1"/>
  <c r="BQ283" i="7" s="1"/>
  <c r="CB286" i="1"/>
  <c r="BP283" i="7" s="1"/>
  <c r="CA286" i="1"/>
  <c r="BO283" i="7" s="1"/>
  <c r="BZ286" i="1"/>
  <c r="BN283" i="7" s="1"/>
  <c r="BY286" i="1"/>
  <c r="BM283" i="7" s="1"/>
  <c r="BX286" i="1"/>
  <c r="BL283" i="7" s="1"/>
  <c r="BW286" i="1"/>
  <c r="BK283" i="7" s="1"/>
  <c r="BV286" i="1"/>
  <c r="BJ283" i="7" s="1"/>
  <c r="BU286" i="1"/>
  <c r="BI283" i="7" s="1"/>
  <c r="BT286" i="1"/>
  <c r="BH283" i="7" s="1"/>
  <c r="BS286" i="1"/>
  <c r="BG283" i="7" s="1"/>
  <c r="BR286" i="1"/>
  <c r="BF283" i="7" s="1"/>
  <c r="BQ286" i="1"/>
  <c r="BE283" i="7" s="1"/>
  <c r="BP286" i="1"/>
  <c r="BD283" i="7" s="1"/>
  <c r="BO286" i="1"/>
  <c r="BC283" i="7" s="1"/>
  <c r="BN286" i="1"/>
  <c r="BB283" i="7" s="1"/>
  <c r="BM286" i="1"/>
  <c r="BA283" i="7" s="1"/>
  <c r="BL286" i="1"/>
  <c r="AZ283" i="7" s="1"/>
  <c r="BK286" i="1"/>
  <c r="AY283" i="7" s="1"/>
  <c r="BJ286" i="1"/>
  <c r="AX283" i="7" s="1"/>
  <c r="BI286" i="1"/>
  <c r="AW283" i="7" s="1"/>
  <c r="BH286" i="1"/>
  <c r="AV283" i="7" s="1"/>
  <c r="BG286" i="1"/>
  <c r="AU283" i="7" s="1"/>
  <c r="BF286" i="1"/>
  <c r="AT283" i="7" s="1"/>
  <c r="BE286" i="1"/>
  <c r="AS283" i="7" s="1"/>
  <c r="BD286" i="1"/>
  <c r="AR283" i="7" s="1"/>
  <c r="BC286" i="1"/>
  <c r="AQ283" i="7" s="1"/>
  <c r="BB286" i="1"/>
  <c r="AP283" i="7" s="1"/>
  <c r="BA286" i="1"/>
  <c r="AO283" i="7" s="1"/>
  <c r="AZ286" i="1"/>
  <c r="AN283" i="7" s="1"/>
  <c r="AY286" i="1"/>
  <c r="AM283" i="7" s="1"/>
  <c r="AX286" i="1"/>
  <c r="AL283" i="7" s="1"/>
  <c r="AW286" i="1"/>
  <c r="AK283" i="7" s="1"/>
  <c r="AV286" i="1"/>
  <c r="AJ283" i="7" s="1"/>
  <c r="AU286" i="1"/>
  <c r="AI283" i="7" s="1"/>
  <c r="AT286" i="1"/>
  <c r="AH283" i="7" s="1"/>
  <c r="AS286" i="1"/>
  <c r="AG283" i="7" s="1"/>
  <c r="AR286" i="1"/>
  <c r="AF283" i="7" s="1"/>
  <c r="AQ286" i="1"/>
  <c r="AE283" i="7" s="1"/>
  <c r="AP286" i="1"/>
  <c r="AD283" i="7" s="1"/>
  <c r="AO286" i="1"/>
  <c r="AC283" i="7" s="1"/>
  <c r="AN286" i="1"/>
  <c r="AB283" i="7" s="1"/>
  <c r="AM286" i="1"/>
  <c r="AA283" i="7" s="1"/>
  <c r="AL286" i="1"/>
  <c r="Z283" i="7" s="1"/>
  <c r="AK286" i="1"/>
  <c r="Y283" i="7" s="1"/>
  <c r="AJ286" i="1"/>
  <c r="X283" i="7" s="1"/>
  <c r="AI286" i="1"/>
  <c r="W283" i="7" s="1"/>
  <c r="AH286" i="1"/>
  <c r="V283" i="7" s="1"/>
  <c r="AG286" i="1"/>
  <c r="U283" i="7" s="1"/>
  <c r="AF286" i="1"/>
  <c r="T283" i="7" s="1"/>
  <c r="AE286" i="1"/>
  <c r="S283" i="7" s="1"/>
  <c r="AD286" i="1"/>
  <c r="R283" i="7" s="1"/>
  <c r="AC286" i="1"/>
  <c r="Q283" i="7" s="1"/>
  <c r="AB286" i="1"/>
  <c r="P283" i="7" s="1"/>
  <c r="AA286" i="1"/>
  <c r="O283" i="7" s="1"/>
  <c r="Z286" i="1"/>
  <c r="N283" i="7" s="1"/>
  <c r="Y286" i="1"/>
  <c r="M283" i="7" s="1"/>
  <c r="X286" i="1"/>
  <c r="L283" i="7" s="1"/>
  <c r="W286" i="1"/>
  <c r="K283" i="7" s="1"/>
  <c r="V286" i="1"/>
  <c r="J283" i="7" s="1"/>
  <c r="U286" i="1"/>
  <c r="I283" i="7" s="1"/>
  <c r="T286" i="1"/>
  <c r="H283" i="7" s="1"/>
  <c r="S286" i="1"/>
  <c r="G283" i="7" s="1"/>
  <c r="R286" i="1"/>
  <c r="F283" i="7" s="1"/>
  <c r="CO285" i="1"/>
  <c r="CC282" i="7" s="1"/>
  <c r="CN285" i="1"/>
  <c r="CB282" i="7" s="1"/>
  <c r="CM285" i="1"/>
  <c r="CA282" i="7" s="1"/>
  <c r="CL285" i="1"/>
  <c r="BZ282" i="7" s="1"/>
  <c r="CK285" i="1"/>
  <c r="BY282" i="7" s="1"/>
  <c r="CJ285" i="1"/>
  <c r="BX282" i="7" s="1"/>
  <c r="CI285" i="1"/>
  <c r="BW282" i="7" s="1"/>
  <c r="CH285" i="1"/>
  <c r="BV282" i="7" s="1"/>
  <c r="CG285" i="1"/>
  <c r="BU282" i="7" s="1"/>
  <c r="CF285" i="1"/>
  <c r="BT282" i="7" s="1"/>
  <c r="CE285" i="1"/>
  <c r="BS282" i="7" s="1"/>
  <c r="CD285" i="1"/>
  <c r="BR282" i="7" s="1"/>
  <c r="CC285" i="1"/>
  <c r="BQ282" i="7" s="1"/>
  <c r="CA285" i="1"/>
  <c r="BO282" i="7" s="1"/>
  <c r="BZ285" i="1"/>
  <c r="BN282" i="7" s="1"/>
  <c r="BY285" i="1"/>
  <c r="BM282" i="7" s="1"/>
  <c r="BX285" i="1"/>
  <c r="BL282" i="7" s="1"/>
  <c r="BW285" i="1"/>
  <c r="BK282" i="7" s="1"/>
  <c r="BR285" i="1"/>
  <c r="BF282" i="7" s="1"/>
  <c r="BQ285" i="1"/>
  <c r="BE282" i="7" s="1"/>
  <c r="BP285" i="1"/>
  <c r="BD282" i="7" s="1"/>
  <c r="BO285" i="1"/>
  <c r="BC282" i="7" s="1"/>
  <c r="BN285" i="1"/>
  <c r="BB282" i="7" s="1"/>
  <c r="BM285" i="1"/>
  <c r="BA282" i="7" s="1"/>
  <c r="BL285" i="1"/>
  <c r="AZ282" i="7" s="1"/>
  <c r="BK285" i="1"/>
  <c r="AY282" i="7" s="1"/>
  <c r="BJ285" i="1"/>
  <c r="AX282" i="7" s="1"/>
  <c r="BI285" i="1"/>
  <c r="AW282" i="7" s="1"/>
  <c r="BH285" i="1"/>
  <c r="AV282" i="7" s="1"/>
  <c r="BG285" i="1"/>
  <c r="AU282" i="7" s="1"/>
  <c r="BF285" i="1"/>
  <c r="AT282" i="7" s="1"/>
  <c r="BE285" i="1"/>
  <c r="AS282" i="7" s="1"/>
  <c r="BD285" i="1"/>
  <c r="AR282" i="7" s="1"/>
  <c r="BC285" i="1"/>
  <c r="AQ282" i="7" s="1"/>
  <c r="BB285" i="1"/>
  <c r="AP282" i="7" s="1"/>
  <c r="BA285" i="1"/>
  <c r="AO282" i="7" s="1"/>
  <c r="AZ285" i="1"/>
  <c r="AN282" i="7" s="1"/>
  <c r="AY285" i="1"/>
  <c r="AM282" i="7" s="1"/>
  <c r="AX285" i="1"/>
  <c r="AL282" i="7" s="1"/>
  <c r="AW285" i="1"/>
  <c r="AK282" i="7" s="1"/>
  <c r="AV285" i="1"/>
  <c r="AJ282" i="7" s="1"/>
  <c r="AU285" i="1"/>
  <c r="AI282" i="7" s="1"/>
  <c r="AT285" i="1"/>
  <c r="AH282" i="7" s="1"/>
  <c r="AS285" i="1"/>
  <c r="AG282" i="7" s="1"/>
  <c r="AR285" i="1"/>
  <c r="AF282" i="7" s="1"/>
  <c r="AQ285" i="1"/>
  <c r="AE282" i="7" s="1"/>
  <c r="AP285" i="1"/>
  <c r="AD282" i="7" s="1"/>
  <c r="AO285" i="1"/>
  <c r="AC282" i="7" s="1"/>
  <c r="AN285" i="1"/>
  <c r="AB282" i="7" s="1"/>
  <c r="AM285" i="1"/>
  <c r="AA282" i="7" s="1"/>
  <c r="AL285" i="1"/>
  <c r="Z282" i="7" s="1"/>
  <c r="AK285" i="1"/>
  <c r="Y282" i="7" s="1"/>
  <c r="AJ285" i="1"/>
  <c r="X282" i="7" s="1"/>
  <c r="AI285" i="1"/>
  <c r="W282" i="7" s="1"/>
  <c r="AH285" i="1"/>
  <c r="V282" i="7" s="1"/>
  <c r="AG285" i="1"/>
  <c r="U282" i="7" s="1"/>
  <c r="AF285" i="1"/>
  <c r="T282" i="7" s="1"/>
  <c r="AE285" i="1"/>
  <c r="S282" i="7" s="1"/>
  <c r="AD285" i="1"/>
  <c r="R282" i="7" s="1"/>
  <c r="AC285" i="1"/>
  <c r="Q282" i="7" s="1"/>
  <c r="AB285" i="1"/>
  <c r="P282" i="7" s="1"/>
  <c r="AA285" i="1"/>
  <c r="O282" i="7" s="1"/>
  <c r="Z285" i="1"/>
  <c r="N282" i="7" s="1"/>
  <c r="Y285" i="1"/>
  <c r="M282" i="7" s="1"/>
  <c r="X285" i="1"/>
  <c r="L282" i="7" s="1"/>
  <c r="W285" i="1"/>
  <c r="K282" i="7" s="1"/>
  <c r="V285" i="1"/>
  <c r="J282" i="7" s="1"/>
  <c r="U285" i="1"/>
  <c r="I282" i="7" s="1"/>
  <c r="T285" i="1"/>
  <c r="H282" i="7" s="1"/>
  <c r="S285" i="1"/>
  <c r="G282" i="7" s="1"/>
  <c r="R285" i="1"/>
  <c r="F282" i="7" s="1"/>
  <c r="O285" i="1"/>
  <c r="O286" i="1" s="1"/>
  <c r="O284" i="1"/>
  <c r="M284" i="1"/>
  <c r="M283" i="1"/>
  <c r="O282" i="1"/>
  <c r="M282" i="1"/>
  <c r="M281" i="1"/>
  <c r="O280" i="1"/>
  <c r="BY277" i="1" s="1"/>
  <c r="BM274" i="7" s="1"/>
  <c r="M280" i="1"/>
  <c r="M279" i="1"/>
  <c r="CO278" i="1"/>
  <c r="CC275" i="7" s="1"/>
  <c r="CN278" i="1"/>
  <c r="CB275" i="7" s="1"/>
  <c r="CM278" i="1"/>
  <c r="CA275" i="7" s="1"/>
  <c r="CL278" i="1"/>
  <c r="BZ275" i="7" s="1"/>
  <c r="CK278" i="1"/>
  <c r="BY275" i="7" s="1"/>
  <c r="CJ278" i="1"/>
  <c r="BX275" i="7" s="1"/>
  <c r="CI278" i="1"/>
  <c r="BW275" i="7" s="1"/>
  <c r="CH278" i="1"/>
  <c r="BV275" i="7" s="1"/>
  <c r="CG278" i="1"/>
  <c r="BU275" i="7" s="1"/>
  <c r="CF278" i="1"/>
  <c r="BT275" i="7" s="1"/>
  <c r="CE278" i="1"/>
  <c r="BS275" i="7" s="1"/>
  <c r="CD278" i="1"/>
  <c r="BR275" i="7" s="1"/>
  <c r="CC278" i="1"/>
  <c r="BQ275" i="7" s="1"/>
  <c r="CB278" i="1"/>
  <c r="BP275" i="7" s="1"/>
  <c r="CA278" i="1"/>
  <c r="BO275" i="7" s="1"/>
  <c r="BZ278" i="1"/>
  <c r="BN275" i="7" s="1"/>
  <c r="BY278" i="1"/>
  <c r="BM275" i="7" s="1"/>
  <c r="BX278" i="1"/>
  <c r="BL275" i="7" s="1"/>
  <c r="BW278" i="1"/>
  <c r="BK275" i="7" s="1"/>
  <c r="BV278" i="1"/>
  <c r="BJ275" i="7" s="1"/>
  <c r="BU278" i="1"/>
  <c r="BI275" i="7" s="1"/>
  <c r="BT278" i="1"/>
  <c r="BH275" i="7" s="1"/>
  <c r="BS278" i="1"/>
  <c r="BG275" i="7" s="1"/>
  <c r="BR278" i="1"/>
  <c r="BF275" i="7" s="1"/>
  <c r="BQ278" i="1"/>
  <c r="BE275" i="7" s="1"/>
  <c r="BP278" i="1"/>
  <c r="BD275" i="7" s="1"/>
  <c r="BO278" i="1"/>
  <c r="BC275" i="7" s="1"/>
  <c r="BN278" i="1"/>
  <c r="BB275" i="7" s="1"/>
  <c r="BM278" i="1"/>
  <c r="BA275" i="7" s="1"/>
  <c r="BL278" i="1"/>
  <c r="AZ275" i="7" s="1"/>
  <c r="BK278" i="1"/>
  <c r="AY275" i="7" s="1"/>
  <c r="BJ278" i="1"/>
  <c r="AX275" i="7" s="1"/>
  <c r="BI278" i="1"/>
  <c r="AW275" i="7" s="1"/>
  <c r="BH278" i="1"/>
  <c r="AV275" i="7" s="1"/>
  <c r="BG278" i="1"/>
  <c r="AU275" i="7" s="1"/>
  <c r="BF278" i="1"/>
  <c r="AT275" i="7" s="1"/>
  <c r="BE278" i="1"/>
  <c r="AS275" i="7" s="1"/>
  <c r="BD278" i="1"/>
  <c r="AR275" i="7" s="1"/>
  <c r="BC278" i="1"/>
  <c r="AQ275" i="7" s="1"/>
  <c r="BB278" i="1"/>
  <c r="AP275" i="7" s="1"/>
  <c r="BA278" i="1"/>
  <c r="AO275" i="7" s="1"/>
  <c r="AZ278" i="1"/>
  <c r="AN275" i="7" s="1"/>
  <c r="AY278" i="1"/>
  <c r="AM275" i="7" s="1"/>
  <c r="AX278" i="1"/>
  <c r="AL275" i="7" s="1"/>
  <c r="AW278" i="1"/>
  <c r="AK275" i="7" s="1"/>
  <c r="AV278" i="1"/>
  <c r="AJ275" i="7" s="1"/>
  <c r="AU278" i="1"/>
  <c r="AI275" i="7" s="1"/>
  <c r="AT278" i="1"/>
  <c r="AH275" i="7" s="1"/>
  <c r="AS278" i="1"/>
  <c r="AG275" i="7" s="1"/>
  <c r="AR278" i="1"/>
  <c r="AF275" i="7" s="1"/>
  <c r="AQ278" i="1"/>
  <c r="AE275" i="7" s="1"/>
  <c r="AP278" i="1"/>
  <c r="AD275" i="7" s="1"/>
  <c r="AO278" i="1"/>
  <c r="AC275" i="7" s="1"/>
  <c r="AN278" i="1"/>
  <c r="AB275" i="7" s="1"/>
  <c r="AM278" i="1"/>
  <c r="AA275" i="7" s="1"/>
  <c r="AL278" i="1"/>
  <c r="Z275" i="7" s="1"/>
  <c r="AK278" i="1"/>
  <c r="Y275" i="7" s="1"/>
  <c r="AJ278" i="1"/>
  <c r="X275" i="7" s="1"/>
  <c r="AI278" i="1"/>
  <c r="W275" i="7" s="1"/>
  <c r="AH278" i="1"/>
  <c r="V275" i="7" s="1"/>
  <c r="AG278" i="1"/>
  <c r="U275" i="7" s="1"/>
  <c r="AF278" i="1"/>
  <c r="T275" i="7" s="1"/>
  <c r="AE278" i="1"/>
  <c r="S275" i="7" s="1"/>
  <c r="AD278" i="1"/>
  <c r="R275" i="7" s="1"/>
  <c r="AC278" i="1"/>
  <c r="Q275" i="7" s="1"/>
  <c r="AB278" i="1"/>
  <c r="P275" i="7" s="1"/>
  <c r="AA278" i="1"/>
  <c r="O275" i="7" s="1"/>
  <c r="Z278" i="1"/>
  <c r="N275" i="7" s="1"/>
  <c r="Y278" i="1"/>
  <c r="M275" i="7" s="1"/>
  <c r="X278" i="1"/>
  <c r="L275" i="7" s="1"/>
  <c r="W278" i="1"/>
  <c r="K275" i="7" s="1"/>
  <c r="V278" i="1"/>
  <c r="J275" i="7" s="1"/>
  <c r="U278" i="1"/>
  <c r="I275" i="7" s="1"/>
  <c r="T278" i="1"/>
  <c r="H275" i="7" s="1"/>
  <c r="S278" i="1"/>
  <c r="G275" i="7" s="1"/>
  <c r="R278" i="1"/>
  <c r="F275" i="7" s="1"/>
  <c r="CO277" i="1"/>
  <c r="CC274" i="7" s="1"/>
  <c r="CN277" i="1"/>
  <c r="CB274" i="7" s="1"/>
  <c r="CM277" i="1"/>
  <c r="CA274" i="7" s="1"/>
  <c r="CL277" i="1"/>
  <c r="BZ274" i="7" s="1"/>
  <c r="CK277" i="1"/>
  <c r="BY274" i="7" s="1"/>
  <c r="CJ277" i="1"/>
  <c r="BX274" i="7" s="1"/>
  <c r="CI277" i="1"/>
  <c r="BW274" i="7" s="1"/>
  <c r="CH277" i="1"/>
  <c r="BV274" i="7" s="1"/>
  <c r="CG277" i="1"/>
  <c r="BU274" i="7" s="1"/>
  <c r="CF277" i="1"/>
  <c r="BT274" i="7" s="1"/>
  <c r="CE277" i="1"/>
  <c r="BS274" i="7" s="1"/>
  <c r="CD277" i="1"/>
  <c r="BR274" i="7" s="1"/>
  <c r="CC277" i="1"/>
  <c r="BQ274" i="7" s="1"/>
  <c r="CB277" i="1"/>
  <c r="BP274" i="7" s="1"/>
  <c r="BO277" i="1"/>
  <c r="BC274" i="7" s="1"/>
  <c r="BN277" i="1"/>
  <c r="BB274" i="7" s="1"/>
  <c r="BM277" i="1"/>
  <c r="BA274" i="7" s="1"/>
  <c r="BL277" i="1"/>
  <c r="AZ274" i="7" s="1"/>
  <c r="BK277" i="1"/>
  <c r="AY274" i="7" s="1"/>
  <c r="BJ277" i="1"/>
  <c r="AX274" i="7" s="1"/>
  <c r="BI277" i="1"/>
  <c r="AW274" i="7" s="1"/>
  <c r="BH277" i="1"/>
  <c r="AV274" i="7" s="1"/>
  <c r="BG277" i="1"/>
  <c r="AU274" i="7" s="1"/>
  <c r="BF277" i="1"/>
  <c r="AT274" i="7" s="1"/>
  <c r="BE277" i="1"/>
  <c r="AS274" i="7" s="1"/>
  <c r="BD277" i="1"/>
  <c r="AR274" i="7" s="1"/>
  <c r="BC277" i="1"/>
  <c r="AQ274" i="7" s="1"/>
  <c r="BB277" i="1"/>
  <c r="AP274" i="7" s="1"/>
  <c r="BA277" i="1"/>
  <c r="AO274" i="7" s="1"/>
  <c r="AZ277" i="1"/>
  <c r="AN274" i="7" s="1"/>
  <c r="AY277" i="1"/>
  <c r="AM274" i="7" s="1"/>
  <c r="AX277" i="1"/>
  <c r="AL274" i="7" s="1"/>
  <c r="AW277" i="1"/>
  <c r="AK274" i="7" s="1"/>
  <c r="AV277" i="1"/>
  <c r="AJ274" i="7" s="1"/>
  <c r="AU277" i="1"/>
  <c r="AI274" i="7" s="1"/>
  <c r="AT277" i="1"/>
  <c r="AH274" i="7" s="1"/>
  <c r="AS277" i="1"/>
  <c r="AG274" i="7" s="1"/>
  <c r="AR277" i="1"/>
  <c r="AF274" i="7" s="1"/>
  <c r="AQ277" i="1"/>
  <c r="AE274" i="7" s="1"/>
  <c r="AP277" i="1"/>
  <c r="AD274" i="7" s="1"/>
  <c r="AO277" i="1"/>
  <c r="AC274" i="7" s="1"/>
  <c r="AN277" i="1"/>
  <c r="AB274" i="7" s="1"/>
  <c r="AM277" i="1"/>
  <c r="AA274" i="7" s="1"/>
  <c r="AL277" i="1"/>
  <c r="Z274" i="7" s="1"/>
  <c r="AK277" i="1"/>
  <c r="Y274" i="7" s="1"/>
  <c r="AJ277" i="1"/>
  <c r="X274" i="7" s="1"/>
  <c r="AI277" i="1"/>
  <c r="W274" i="7" s="1"/>
  <c r="AH277" i="1"/>
  <c r="V274" i="7" s="1"/>
  <c r="AG277" i="1"/>
  <c r="U274" i="7" s="1"/>
  <c r="AF277" i="1"/>
  <c r="T274" i="7" s="1"/>
  <c r="AE277" i="1"/>
  <c r="S274" i="7" s="1"/>
  <c r="AD277" i="1"/>
  <c r="R274" i="7" s="1"/>
  <c r="AC277" i="1"/>
  <c r="Q274" i="7" s="1"/>
  <c r="AB277" i="1"/>
  <c r="P274" i="7" s="1"/>
  <c r="AA277" i="1"/>
  <c r="O274" i="7" s="1"/>
  <c r="Z277" i="1"/>
  <c r="N274" i="7" s="1"/>
  <c r="Y277" i="1"/>
  <c r="M274" i="7" s="1"/>
  <c r="X277" i="1"/>
  <c r="L274" i="7" s="1"/>
  <c r="W277" i="1"/>
  <c r="K274" i="7" s="1"/>
  <c r="V277" i="1"/>
  <c r="J274" i="7" s="1"/>
  <c r="U277" i="1"/>
  <c r="I274" i="7" s="1"/>
  <c r="T277" i="1"/>
  <c r="H274" i="7" s="1"/>
  <c r="S277" i="1"/>
  <c r="G274" i="7" s="1"/>
  <c r="R277" i="1"/>
  <c r="F274" i="7" s="1"/>
  <c r="O277" i="1"/>
  <c r="O278" i="1" s="1"/>
  <c r="CO276" i="1"/>
  <c r="CC273" i="7" s="1"/>
  <c r="CN276" i="1"/>
  <c r="CB273" i="7" s="1"/>
  <c r="CM276" i="1"/>
  <c r="CA273" i="7" s="1"/>
  <c r="CL276" i="1"/>
  <c r="BZ273" i="7" s="1"/>
  <c r="CK276" i="1"/>
  <c r="BY273" i="7" s="1"/>
  <c r="CJ276" i="1"/>
  <c r="BX273" i="7" s="1"/>
  <c r="CI276" i="1"/>
  <c r="BW273" i="7" s="1"/>
  <c r="CH276" i="1"/>
  <c r="BV273" i="7" s="1"/>
  <c r="CG276" i="1"/>
  <c r="BU273" i="7" s="1"/>
  <c r="CF276" i="1"/>
  <c r="BT273" i="7" s="1"/>
  <c r="CE276" i="1"/>
  <c r="BS273" i="7" s="1"/>
  <c r="CD276" i="1"/>
  <c r="BR273" i="7" s="1"/>
  <c r="CC276" i="1"/>
  <c r="BQ273" i="7" s="1"/>
  <c r="CB276" i="1"/>
  <c r="BP273" i="7" s="1"/>
  <c r="CA276" i="1"/>
  <c r="BO273" i="7" s="1"/>
  <c r="BZ276" i="1"/>
  <c r="BN273" i="7" s="1"/>
  <c r="BY276" i="1"/>
  <c r="BM273" i="7" s="1"/>
  <c r="BX276" i="1"/>
  <c r="BL273" i="7" s="1"/>
  <c r="BW276" i="1"/>
  <c r="BK273" i="7" s="1"/>
  <c r="BV276" i="1"/>
  <c r="BJ273" i="7" s="1"/>
  <c r="BU276" i="1"/>
  <c r="BI273" i="7" s="1"/>
  <c r="BT276" i="1"/>
  <c r="BH273" i="7" s="1"/>
  <c r="BS276" i="1"/>
  <c r="BG273" i="7" s="1"/>
  <c r="BR276" i="1"/>
  <c r="BF273" i="7" s="1"/>
  <c r="BQ276" i="1"/>
  <c r="BE273" i="7" s="1"/>
  <c r="BP276" i="1"/>
  <c r="BD273" i="7" s="1"/>
  <c r="BO276" i="1"/>
  <c r="BC273" i="7" s="1"/>
  <c r="BN276" i="1"/>
  <c r="BB273" i="7" s="1"/>
  <c r="BM276" i="1"/>
  <c r="BA273" i="7" s="1"/>
  <c r="BL276" i="1"/>
  <c r="AZ273" i="7" s="1"/>
  <c r="BK276" i="1"/>
  <c r="AY273" i="7" s="1"/>
  <c r="BJ276" i="1"/>
  <c r="AX273" i="7" s="1"/>
  <c r="BI276" i="1"/>
  <c r="AW273" i="7" s="1"/>
  <c r="BH276" i="1"/>
  <c r="AV273" i="7" s="1"/>
  <c r="BG276" i="1"/>
  <c r="AU273" i="7" s="1"/>
  <c r="BF276" i="1"/>
  <c r="AT273" i="7" s="1"/>
  <c r="BE276" i="1"/>
  <c r="AS273" i="7" s="1"/>
  <c r="BD276" i="1"/>
  <c r="AR273" i="7" s="1"/>
  <c r="BC276" i="1"/>
  <c r="AQ273" i="7" s="1"/>
  <c r="BB276" i="1"/>
  <c r="AP273" i="7" s="1"/>
  <c r="BA276" i="1"/>
  <c r="AO273" i="7" s="1"/>
  <c r="AZ276" i="1"/>
  <c r="AN273" i="7" s="1"/>
  <c r="AY276" i="1"/>
  <c r="AM273" i="7" s="1"/>
  <c r="AX276" i="1"/>
  <c r="AL273" i="7" s="1"/>
  <c r="AW276" i="1"/>
  <c r="AK273" i="7" s="1"/>
  <c r="AV276" i="1"/>
  <c r="AJ273" i="7" s="1"/>
  <c r="AU276" i="1"/>
  <c r="AI273" i="7" s="1"/>
  <c r="AT276" i="1"/>
  <c r="AH273" i="7" s="1"/>
  <c r="AS276" i="1"/>
  <c r="AG273" i="7" s="1"/>
  <c r="AR276" i="1"/>
  <c r="AF273" i="7" s="1"/>
  <c r="AQ276" i="1"/>
  <c r="AE273" i="7" s="1"/>
  <c r="AP276" i="1"/>
  <c r="AD273" i="7" s="1"/>
  <c r="AO276" i="1"/>
  <c r="AC273" i="7" s="1"/>
  <c r="AN276" i="1"/>
  <c r="AB273" i="7" s="1"/>
  <c r="AM276" i="1"/>
  <c r="AA273" i="7" s="1"/>
  <c r="AL276" i="1"/>
  <c r="Z273" i="7" s="1"/>
  <c r="AK276" i="1"/>
  <c r="Y273" i="7" s="1"/>
  <c r="AJ276" i="1"/>
  <c r="X273" i="7" s="1"/>
  <c r="AI276" i="1"/>
  <c r="W273" i="7" s="1"/>
  <c r="AH276" i="1"/>
  <c r="V273" i="7" s="1"/>
  <c r="AG276" i="1"/>
  <c r="U273" i="7" s="1"/>
  <c r="AF276" i="1"/>
  <c r="T273" i="7" s="1"/>
  <c r="AE276" i="1"/>
  <c r="S273" i="7" s="1"/>
  <c r="AD276" i="1"/>
  <c r="R273" i="7" s="1"/>
  <c r="AC276" i="1"/>
  <c r="Q273" i="7" s="1"/>
  <c r="AB276" i="1"/>
  <c r="P273" i="7" s="1"/>
  <c r="AA276" i="1"/>
  <c r="O273" i="7" s="1"/>
  <c r="Z276" i="1"/>
  <c r="N273" i="7" s="1"/>
  <c r="Y276" i="1"/>
  <c r="M273" i="7" s="1"/>
  <c r="X276" i="1"/>
  <c r="L273" i="7" s="1"/>
  <c r="W276" i="1"/>
  <c r="K273" i="7" s="1"/>
  <c r="V276" i="1"/>
  <c r="J273" i="7" s="1"/>
  <c r="U276" i="1"/>
  <c r="I273" i="7" s="1"/>
  <c r="T276" i="1"/>
  <c r="H273" i="7" s="1"/>
  <c r="S276" i="1"/>
  <c r="G273" i="7" s="1"/>
  <c r="R276" i="1"/>
  <c r="F273" i="7" s="1"/>
  <c r="CO275" i="1"/>
  <c r="CC272" i="7" s="1"/>
  <c r="CN275" i="1"/>
  <c r="CB272" i="7" s="1"/>
  <c r="CM275" i="1"/>
  <c r="CA272" i="7" s="1"/>
  <c r="CL275" i="1"/>
  <c r="BZ272" i="7" s="1"/>
  <c r="BO275" i="1"/>
  <c r="BC272" i="7" s="1"/>
  <c r="BN275" i="1"/>
  <c r="BB272" i="7" s="1"/>
  <c r="BM275" i="1"/>
  <c r="BA272" i="7" s="1"/>
  <c r="BL275" i="1"/>
  <c r="AZ272" i="7" s="1"/>
  <c r="BK275" i="1"/>
  <c r="AY272" i="7" s="1"/>
  <c r="BJ275" i="1"/>
  <c r="AX272" i="7" s="1"/>
  <c r="BI275" i="1"/>
  <c r="AW272" i="7" s="1"/>
  <c r="BH275" i="1"/>
  <c r="AV272" i="7" s="1"/>
  <c r="BG275" i="1"/>
  <c r="AU272" i="7" s="1"/>
  <c r="BF275" i="1"/>
  <c r="AT272" i="7" s="1"/>
  <c r="BE275" i="1"/>
  <c r="AS272" i="7" s="1"/>
  <c r="BD275" i="1"/>
  <c r="AR272" i="7" s="1"/>
  <c r="BC275" i="1"/>
  <c r="AQ272" i="7" s="1"/>
  <c r="BB275" i="1"/>
  <c r="AP272" i="7" s="1"/>
  <c r="BA275" i="1"/>
  <c r="AO272" i="7" s="1"/>
  <c r="AZ275" i="1"/>
  <c r="AN272" i="7" s="1"/>
  <c r="AY275" i="1"/>
  <c r="AM272" i="7" s="1"/>
  <c r="AX275" i="1"/>
  <c r="AL272" i="7" s="1"/>
  <c r="AW275" i="1"/>
  <c r="AK272" i="7" s="1"/>
  <c r="AV275" i="1"/>
  <c r="AJ272" i="7" s="1"/>
  <c r="AU275" i="1"/>
  <c r="AI272" i="7" s="1"/>
  <c r="AT275" i="1"/>
  <c r="AH272" i="7" s="1"/>
  <c r="AS275" i="1"/>
  <c r="AG272" i="7" s="1"/>
  <c r="AR275" i="1"/>
  <c r="AF272" i="7" s="1"/>
  <c r="AQ275" i="1"/>
  <c r="AE272" i="7" s="1"/>
  <c r="AP275" i="1"/>
  <c r="AD272" i="7" s="1"/>
  <c r="AO275" i="1"/>
  <c r="AC272" i="7" s="1"/>
  <c r="AN275" i="1"/>
  <c r="AB272" i="7" s="1"/>
  <c r="AM275" i="1"/>
  <c r="AA272" i="7" s="1"/>
  <c r="AL275" i="1"/>
  <c r="Z272" i="7" s="1"/>
  <c r="AK275" i="1"/>
  <c r="Y272" i="7" s="1"/>
  <c r="AJ275" i="1"/>
  <c r="X272" i="7" s="1"/>
  <c r="AI275" i="1"/>
  <c r="W272" i="7" s="1"/>
  <c r="AH275" i="1"/>
  <c r="V272" i="7" s="1"/>
  <c r="AG275" i="1"/>
  <c r="U272" i="7" s="1"/>
  <c r="AF275" i="1"/>
  <c r="T272" i="7" s="1"/>
  <c r="AE275" i="1"/>
  <c r="S272" i="7" s="1"/>
  <c r="AD275" i="1"/>
  <c r="R272" i="7" s="1"/>
  <c r="AC275" i="1"/>
  <c r="Q272" i="7" s="1"/>
  <c r="AB275" i="1"/>
  <c r="P272" i="7" s="1"/>
  <c r="AA275" i="1"/>
  <c r="O272" i="7" s="1"/>
  <c r="Z275" i="1"/>
  <c r="N272" i="7" s="1"/>
  <c r="Y275" i="1"/>
  <c r="M272" i="7" s="1"/>
  <c r="X275" i="1"/>
  <c r="L272" i="7" s="1"/>
  <c r="W275" i="1"/>
  <c r="K272" i="7" s="1"/>
  <c r="V275" i="1"/>
  <c r="J272" i="7" s="1"/>
  <c r="U275" i="1"/>
  <c r="I272" i="7" s="1"/>
  <c r="T275" i="1"/>
  <c r="H272" i="7" s="1"/>
  <c r="S275" i="1"/>
  <c r="G272" i="7" s="1"/>
  <c r="R275" i="1"/>
  <c r="F272" i="7" s="1"/>
  <c r="O275" i="1"/>
  <c r="O276" i="1" s="1"/>
  <c r="O274" i="1"/>
  <c r="M274" i="1"/>
  <c r="M273" i="1"/>
  <c r="O272" i="1"/>
  <c r="BV269" i="1" s="1"/>
  <c r="BJ266" i="7" s="1"/>
  <c r="M272" i="1"/>
  <c r="M271" i="1"/>
  <c r="CO270" i="1"/>
  <c r="CC267" i="7" s="1"/>
  <c r="CN270" i="1"/>
  <c r="CB267" i="7" s="1"/>
  <c r="CM270" i="1"/>
  <c r="CA267" i="7" s="1"/>
  <c r="CL270" i="1"/>
  <c r="BZ267" i="7" s="1"/>
  <c r="CK270" i="1"/>
  <c r="BY267" i="7" s="1"/>
  <c r="CJ270" i="1"/>
  <c r="BX267" i="7" s="1"/>
  <c r="CI270" i="1"/>
  <c r="BW267" i="7" s="1"/>
  <c r="CH270" i="1"/>
  <c r="BV267" i="7" s="1"/>
  <c r="CG270" i="1"/>
  <c r="BU267" i="7" s="1"/>
  <c r="CF270" i="1"/>
  <c r="BT267" i="7" s="1"/>
  <c r="CE270" i="1"/>
  <c r="BS267" i="7" s="1"/>
  <c r="CD270" i="1"/>
  <c r="BR267" i="7" s="1"/>
  <c r="CC270" i="1"/>
  <c r="BQ267" i="7" s="1"/>
  <c r="CB270" i="1"/>
  <c r="BP267" i="7" s="1"/>
  <c r="CA270" i="1"/>
  <c r="BO267" i="7" s="1"/>
  <c r="BZ270" i="1"/>
  <c r="BN267" i="7" s="1"/>
  <c r="BY270" i="1"/>
  <c r="BM267" i="7" s="1"/>
  <c r="BX270" i="1"/>
  <c r="BL267" i="7" s="1"/>
  <c r="BW270" i="1"/>
  <c r="BK267" i="7" s="1"/>
  <c r="BV270" i="1"/>
  <c r="BJ267" i="7" s="1"/>
  <c r="BU270" i="1"/>
  <c r="BI267" i="7" s="1"/>
  <c r="BT270" i="1"/>
  <c r="BH267" i="7" s="1"/>
  <c r="BS270" i="1"/>
  <c r="BG267" i="7" s="1"/>
  <c r="BR270" i="1"/>
  <c r="BF267" i="7" s="1"/>
  <c r="BQ270" i="1"/>
  <c r="BE267" i="7" s="1"/>
  <c r="BP270" i="1"/>
  <c r="BD267" i="7" s="1"/>
  <c r="BO270" i="1"/>
  <c r="BC267" i="7" s="1"/>
  <c r="BN270" i="1"/>
  <c r="BB267" i="7" s="1"/>
  <c r="BM270" i="1"/>
  <c r="BA267" i="7" s="1"/>
  <c r="BL270" i="1"/>
  <c r="AZ267" i="7" s="1"/>
  <c r="BK270" i="1"/>
  <c r="AY267" i="7" s="1"/>
  <c r="BJ270" i="1"/>
  <c r="AX267" i="7" s="1"/>
  <c r="BI270" i="1"/>
  <c r="AW267" i="7" s="1"/>
  <c r="BH270" i="1"/>
  <c r="AV267" i="7" s="1"/>
  <c r="BG270" i="1"/>
  <c r="AU267" i="7" s="1"/>
  <c r="BF270" i="1"/>
  <c r="AT267" i="7" s="1"/>
  <c r="BE270" i="1"/>
  <c r="AS267" i="7" s="1"/>
  <c r="BD270" i="1"/>
  <c r="AR267" i="7" s="1"/>
  <c r="BC270" i="1"/>
  <c r="AQ267" i="7" s="1"/>
  <c r="BB270" i="1"/>
  <c r="AP267" i="7" s="1"/>
  <c r="BA270" i="1"/>
  <c r="AO267" i="7" s="1"/>
  <c r="AZ270" i="1"/>
  <c r="AN267" i="7" s="1"/>
  <c r="AY270" i="1"/>
  <c r="AM267" i="7" s="1"/>
  <c r="AX270" i="1"/>
  <c r="AL267" i="7" s="1"/>
  <c r="AW270" i="1"/>
  <c r="AK267" i="7" s="1"/>
  <c r="AV270" i="1"/>
  <c r="AJ267" i="7" s="1"/>
  <c r="AU270" i="1"/>
  <c r="AI267" i="7" s="1"/>
  <c r="AT270" i="1"/>
  <c r="AH267" i="7" s="1"/>
  <c r="AS270" i="1"/>
  <c r="AG267" i="7" s="1"/>
  <c r="AR270" i="1"/>
  <c r="AF267" i="7" s="1"/>
  <c r="AQ270" i="1"/>
  <c r="AE267" i="7" s="1"/>
  <c r="AP270" i="1"/>
  <c r="AD267" i="7" s="1"/>
  <c r="AO270" i="1"/>
  <c r="AC267" i="7" s="1"/>
  <c r="AN270" i="1"/>
  <c r="AB267" i="7" s="1"/>
  <c r="AM270" i="1"/>
  <c r="AA267" i="7" s="1"/>
  <c r="AL270" i="1"/>
  <c r="Z267" i="7" s="1"/>
  <c r="AK270" i="1"/>
  <c r="Y267" i="7" s="1"/>
  <c r="AJ270" i="1"/>
  <c r="X267" i="7" s="1"/>
  <c r="AI270" i="1"/>
  <c r="W267" i="7" s="1"/>
  <c r="AH270" i="1"/>
  <c r="V267" i="7" s="1"/>
  <c r="AG270" i="1"/>
  <c r="U267" i="7" s="1"/>
  <c r="AF270" i="1"/>
  <c r="T267" i="7" s="1"/>
  <c r="AE270" i="1"/>
  <c r="S267" i="7" s="1"/>
  <c r="AD270" i="1"/>
  <c r="R267" i="7" s="1"/>
  <c r="AC270" i="1"/>
  <c r="Q267" i="7" s="1"/>
  <c r="AB270" i="1"/>
  <c r="P267" i="7" s="1"/>
  <c r="AA270" i="1"/>
  <c r="O267" i="7" s="1"/>
  <c r="Z270" i="1"/>
  <c r="N267" i="7" s="1"/>
  <c r="Y270" i="1"/>
  <c r="M267" i="7" s="1"/>
  <c r="X270" i="1"/>
  <c r="L267" i="7" s="1"/>
  <c r="W270" i="1"/>
  <c r="K267" i="7" s="1"/>
  <c r="V270" i="1"/>
  <c r="J267" i="7" s="1"/>
  <c r="U270" i="1"/>
  <c r="I267" i="7" s="1"/>
  <c r="T270" i="1"/>
  <c r="H267" i="7" s="1"/>
  <c r="S270" i="1"/>
  <c r="G267" i="7" s="1"/>
  <c r="R270" i="1"/>
  <c r="F267" i="7" s="1"/>
  <c r="M270" i="1"/>
  <c r="CO269" i="1"/>
  <c r="CC266" i="7" s="1"/>
  <c r="CN269" i="1"/>
  <c r="CB266" i="7" s="1"/>
  <c r="CM269" i="1"/>
  <c r="CA266" i="7" s="1"/>
  <c r="CL269" i="1"/>
  <c r="BZ266" i="7" s="1"/>
  <c r="CK269" i="1"/>
  <c r="BY266" i="7" s="1"/>
  <c r="CJ269" i="1"/>
  <c r="BX266" i="7" s="1"/>
  <c r="CI269" i="1"/>
  <c r="BW266" i="7" s="1"/>
  <c r="CH269" i="1"/>
  <c r="BV266" i="7" s="1"/>
  <c r="CD269" i="1"/>
  <c r="BR266" i="7" s="1"/>
  <c r="BZ269" i="1"/>
  <c r="BN266" i="7" s="1"/>
  <c r="BR269" i="1"/>
  <c r="BF266" i="7" s="1"/>
  <c r="BO269" i="1"/>
  <c r="BC266" i="7" s="1"/>
  <c r="BN269" i="1"/>
  <c r="BB266" i="7" s="1"/>
  <c r="BM269" i="1"/>
  <c r="BA266" i="7" s="1"/>
  <c r="BL269" i="1"/>
  <c r="AZ266" i="7" s="1"/>
  <c r="BK269" i="1"/>
  <c r="AY266" i="7" s="1"/>
  <c r="BJ269" i="1"/>
  <c r="AX266" i="7" s="1"/>
  <c r="BI269" i="1"/>
  <c r="AW266" i="7" s="1"/>
  <c r="BH269" i="1"/>
  <c r="AV266" i="7" s="1"/>
  <c r="BG269" i="1"/>
  <c r="AU266" i="7" s="1"/>
  <c r="BF269" i="1"/>
  <c r="AT266" i="7" s="1"/>
  <c r="BE269" i="1"/>
  <c r="AS266" i="7" s="1"/>
  <c r="BD269" i="1"/>
  <c r="AR266" i="7" s="1"/>
  <c r="BC269" i="1"/>
  <c r="AQ266" i="7" s="1"/>
  <c r="BB269" i="1"/>
  <c r="AP266" i="7" s="1"/>
  <c r="BA269" i="1"/>
  <c r="AO266" i="7" s="1"/>
  <c r="AZ269" i="1"/>
  <c r="AN266" i="7" s="1"/>
  <c r="AY269" i="1"/>
  <c r="AM266" i="7" s="1"/>
  <c r="AX269" i="1"/>
  <c r="AL266" i="7" s="1"/>
  <c r="AW269" i="1"/>
  <c r="AK266" i="7" s="1"/>
  <c r="AV269" i="1"/>
  <c r="AJ266" i="7" s="1"/>
  <c r="AU269" i="1"/>
  <c r="AI266" i="7" s="1"/>
  <c r="AT269" i="1"/>
  <c r="AH266" i="7" s="1"/>
  <c r="AS269" i="1"/>
  <c r="AG266" i="7" s="1"/>
  <c r="AR269" i="1"/>
  <c r="AF266" i="7" s="1"/>
  <c r="AQ269" i="1"/>
  <c r="AE266" i="7" s="1"/>
  <c r="AP269" i="1"/>
  <c r="AD266" i="7" s="1"/>
  <c r="AO269" i="1"/>
  <c r="AC266" i="7" s="1"/>
  <c r="AN269" i="1"/>
  <c r="AB266" i="7" s="1"/>
  <c r="AM269" i="1"/>
  <c r="AA266" i="7" s="1"/>
  <c r="AL269" i="1"/>
  <c r="Z266" i="7" s="1"/>
  <c r="AK269" i="1"/>
  <c r="Y266" i="7" s="1"/>
  <c r="AJ269" i="1"/>
  <c r="X266" i="7" s="1"/>
  <c r="AI269" i="1"/>
  <c r="W266" i="7" s="1"/>
  <c r="AH269" i="1"/>
  <c r="V266" i="7" s="1"/>
  <c r="AG269" i="1"/>
  <c r="U266" i="7" s="1"/>
  <c r="AF269" i="1"/>
  <c r="T266" i="7" s="1"/>
  <c r="AE269" i="1"/>
  <c r="S266" i="7" s="1"/>
  <c r="AD269" i="1"/>
  <c r="R266" i="7" s="1"/>
  <c r="AC269" i="1"/>
  <c r="Q266" i="7" s="1"/>
  <c r="AB269" i="1"/>
  <c r="P266" i="7" s="1"/>
  <c r="AA269" i="1"/>
  <c r="O266" i="7" s="1"/>
  <c r="Z269" i="1"/>
  <c r="N266" i="7" s="1"/>
  <c r="Y269" i="1"/>
  <c r="M266" i="7" s="1"/>
  <c r="X269" i="1"/>
  <c r="L266" i="7" s="1"/>
  <c r="W269" i="1"/>
  <c r="K266" i="7" s="1"/>
  <c r="V269" i="1"/>
  <c r="J266" i="7" s="1"/>
  <c r="U269" i="1"/>
  <c r="I266" i="7" s="1"/>
  <c r="T269" i="1"/>
  <c r="H266" i="7" s="1"/>
  <c r="S269" i="1"/>
  <c r="G266" i="7" s="1"/>
  <c r="R269" i="1"/>
  <c r="F266" i="7" s="1"/>
  <c r="O269" i="1"/>
  <c r="O268" i="1"/>
  <c r="BW265" i="1" s="1"/>
  <c r="BK262" i="7" s="1"/>
  <c r="M268" i="1"/>
  <c r="M267" i="1"/>
  <c r="CO266" i="1"/>
  <c r="CC263" i="7" s="1"/>
  <c r="CN266" i="1"/>
  <c r="CB263" i="7" s="1"/>
  <c r="CM266" i="1"/>
  <c r="CA263" i="7" s="1"/>
  <c r="CL266" i="1"/>
  <c r="BZ263" i="7" s="1"/>
  <c r="CK266" i="1"/>
  <c r="BY263" i="7" s="1"/>
  <c r="CJ266" i="1"/>
  <c r="BX263" i="7" s="1"/>
  <c r="CI266" i="1"/>
  <c r="BW263" i="7" s="1"/>
  <c r="CH266" i="1"/>
  <c r="BV263" i="7" s="1"/>
  <c r="CG266" i="1"/>
  <c r="BU263" i="7" s="1"/>
  <c r="CF266" i="1"/>
  <c r="BT263" i="7" s="1"/>
  <c r="CE266" i="1"/>
  <c r="BS263" i="7" s="1"/>
  <c r="CD266" i="1"/>
  <c r="BR263" i="7" s="1"/>
  <c r="CC266" i="1"/>
  <c r="BQ263" i="7" s="1"/>
  <c r="CB266" i="1"/>
  <c r="BP263" i="7" s="1"/>
  <c r="CA266" i="1"/>
  <c r="BO263" i="7" s="1"/>
  <c r="BZ266" i="1"/>
  <c r="BN263" i="7" s="1"/>
  <c r="BY266" i="1"/>
  <c r="BM263" i="7" s="1"/>
  <c r="BX266" i="1"/>
  <c r="BL263" i="7" s="1"/>
  <c r="BW266" i="1"/>
  <c r="BK263" i="7" s="1"/>
  <c r="BV266" i="1"/>
  <c r="BJ263" i="7" s="1"/>
  <c r="BU266" i="1"/>
  <c r="BI263" i="7" s="1"/>
  <c r="BT266" i="1"/>
  <c r="BH263" i="7" s="1"/>
  <c r="BS266" i="1"/>
  <c r="BG263" i="7" s="1"/>
  <c r="BR266" i="1"/>
  <c r="BF263" i="7" s="1"/>
  <c r="BQ266" i="1"/>
  <c r="BE263" i="7" s="1"/>
  <c r="BP266" i="1"/>
  <c r="BD263" i="7" s="1"/>
  <c r="BO266" i="1"/>
  <c r="BC263" i="7" s="1"/>
  <c r="BN266" i="1"/>
  <c r="BB263" i="7" s="1"/>
  <c r="BM266" i="1"/>
  <c r="BA263" i="7" s="1"/>
  <c r="BL266" i="1"/>
  <c r="AZ263" i="7" s="1"/>
  <c r="BK266" i="1"/>
  <c r="AY263" i="7" s="1"/>
  <c r="BJ266" i="1"/>
  <c r="AX263" i="7" s="1"/>
  <c r="BI266" i="1"/>
  <c r="AW263" i="7" s="1"/>
  <c r="BH266" i="1"/>
  <c r="AV263" i="7" s="1"/>
  <c r="BG266" i="1"/>
  <c r="AU263" i="7" s="1"/>
  <c r="BF266" i="1"/>
  <c r="AT263" i="7" s="1"/>
  <c r="BE266" i="1"/>
  <c r="AS263" i="7" s="1"/>
  <c r="BD266" i="1"/>
  <c r="AR263" i="7" s="1"/>
  <c r="BC266" i="1"/>
  <c r="AQ263" i="7" s="1"/>
  <c r="BB266" i="1"/>
  <c r="AP263" i="7" s="1"/>
  <c r="BA266" i="1"/>
  <c r="AO263" i="7" s="1"/>
  <c r="AZ266" i="1"/>
  <c r="AN263" i="7" s="1"/>
  <c r="AY266" i="1"/>
  <c r="AM263" i="7" s="1"/>
  <c r="AX266" i="1"/>
  <c r="AL263" i="7" s="1"/>
  <c r="AW266" i="1"/>
  <c r="AK263" i="7" s="1"/>
  <c r="AV266" i="1"/>
  <c r="AJ263" i="7" s="1"/>
  <c r="AU266" i="1"/>
  <c r="AI263" i="7" s="1"/>
  <c r="AT266" i="1"/>
  <c r="AH263" i="7" s="1"/>
  <c r="AS266" i="1"/>
  <c r="AG263" i="7" s="1"/>
  <c r="AR266" i="1"/>
  <c r="AF263" i="7" s="1"/>
  <c r="AQ266" i="1"/>
  <c r="AE263" i="7" s="1"/>
  <c r="AP266" i="1"/>
  <c r="AD263" i="7" s="1"/>
  <c r="AO266" i="1"/>
  <c r="AC263" i="7" s="1"/>
  <c r="AN266" i="1"/>
  <c r="AB263" i="7" s="1"/>
  <c r="AM266" i="1"/>
  <c r="AA263" i="7" s="1"/>
  <c r="AL266" i="1"/>
  <c r="Z263" i="7" s="1"/>
  <c r="AK266" i="1"/>
  <c r="Y263" i="7" s="1"/>
  <c r="AJ266" i="1"/>
  <c r="X263" i="7" s="1"/>
  <c r="AI266" i="1"/>
  <c r="W263" i="7" s="1"/>
  <c r="AH266" i="1"/>
  <c r="V263" i="7" s="1"/>
  <c r="AG266" i="1"/>
  <c r="U263" i="7" s="1"/>
  <c r="AF266" i="1"/>
  <c r="T263" i="7" s="1"/>
  <c r="AE266" i="1"/>
  <c r="S263" i="7" s="1"/>
  <c r="AD266" i="1"/>
  <c r="R263" i="7" s="1"/>
  <c r="AC266" i="1"/>
  <c r="Q263" i="7" s="1"/>
  <c r="AB266" i="1"/>
  <c r="P263" i="7" s="1"/>
  <c r="AA266" i="1"/>
  <c r="O263" i="7" s="1"/>
  <c r="Z266" i="1"/>
  <c r="N263" i="7" s="1"/>
  <c r="Y266" i="1"/>
  <c r="M263" i="7" s="1"/>
  <c r="X266" i="1"/>
  <c r="L263" i="7" s="1"/>
  <c r="W266" i="1"/>
  <c r="K263" i="7" s="1"/>
  <c r="V266" i="1"/>
  <c r="J263" i="7" s="1"/>
  <c r="U266" i="1"/>
  <c r="I263" i="7" s="1"/>
  <c r="T266" i="1"/>
  <c r="H263" i="7" s="1"/>
  <c r="S266" i="1"/>
  <c r="G263" i="7" s="1"/>
  <c r="R266" i="1"/>
  <c r="F263" i="7" s="1"/>
  <c r="CO265" i="1"/>
  <c r="CC262" i="7" s="1"/>
  <c r="CN265" i="1"/>
  <c r="CB262" i="7" s="1"/>
  <c r="CM265" i="1"/>
  <c r="CA262" i="7" s="1"/>
  <c r="CL265" i="1"/>
  <c r="BZ262" i="7" s="1"/>
  <c r="CK265" i="1"/>
  <c r="BY262" i="7" s="1"/>
  <c r="CJ265" i="1"/>
  <c r="BX262" i="7" s="1"/>
  <c r="CI265" i="1"/>
  <c r="BW262" i="7" s="1"/>
  <c r="CH265" i="1"/>
  <c r="BV262" i="7" s="1"/>
  <c r="CG265" i="1"/>
  <c r="BU262" i="7" s="1"/>
  <c r="CF265" i="1"/>
  <c r="BT262" i="7" s="1"/>
  <c r="CE265" i="1"/>
  <c r="BS262" i="7" s="1"/>
  <c r="CD265" i="1"/>
  <c r="BR262" i="7" s="1"/>
  <c r="CC265" i="1"/>
  <c r="BQ262" i="7" s="1"/>
  <c r="CB265" i="1"/>
  <c r="BP262" i="7" s="1"/>
  <c r="CA265" i="1"/>
  <c r="BO262" i="7" s="1"/>
  <c r="BZ265" i="1"/>
  <c r="BN262" i="7" s="1"/>
  <c r="BY265" i="1"/>
  <c r="BM262" i="7" s="1"/>
  <c r="BX265" i="1"/>
  <c r="BL262" i="7" s="1"/>
  <c r="BT265" i="1"/>
  <c r="BH262" i="7" s="1"/>
  <c r="BR265" i="1"/>
  <c r="BF262" i="7" s="1"/>
  <c r="BQ265" i="1"/>
  <c r="BE262" i="7" s="1"/>
  <c r="BP265" i="1"/>
  <c r="BD262" i="7" s="1"/>
  <c r="BO265" i="1"/>
  <c r="BC262" i="7" s="1"/>
  <c r="BN265" i="1"/>
  <c r="BB262" i="7" s="1"/>
  <c r="BM265" i="1"/>
  <c r="BA262" i="7" s="1"/>
  <c r="BL265" i="1"/>
  <c r="AZ262" i="7" s="1"/>
  <c r="BK265" i="1"/>
  <c r="AY262" i="7" s="1"/>
  <c r="BJ265" i="1"/>
  <c r="AX262" i="7" s="1"/>
  <c r="BI265" i="1"/>
  <c r="AW262" i="7" s="1"/>
  <c r="BH265" i="1"/>
  <c r="AV262" i="7" s="1"/>
  <c r="BG265" i="1"/>
  <c r="AU262" i="7" s="1"/>
  <c r="BF265" i="1"/>
  <c r="AT262" i="7" s="1"/>
  <c r="BE265" i="1"/>
  <c r="AS262" i="7" s="1"/>
  <c r="BD265" i="1"/>
  <c r="AR262" i="7" s="1"/>
  <c r="BC265" i="1"/>
  <c r="AQ262" i="7" s="1"/>
  <c r="BB265" i="1"/>
  <c r="AP262" i="7" s="1"/>
  <c r="BA265" i="1"/>
  <c r="AO262" i="7" s="1"/>
  <c r="AZ265" i="1"/>
  <c r="AN262" i="7" s="1"/>
  <c r="AY265" i="1"/>
  <c r="AM262" i="7" s="1"/>
  <c r="AX265" i="1"/>
  <c r="AL262" i="7" s="1"/>
  <c r="AW265" i="1"/>
  <c r="AK262" i="7" s="1"/>
  <c r="AV265" i="1"/>
  <c r="AJ262" i="7" s="1"/>
  <c r="AU265" i="1"/>
  <c r="AI262" i="7" s="1"/>
  <c r="AT265" i="1"/>
  <c r="AH262" i="7" s="1"/>
  <c r="AS265" i="1"/>
  <c r="AG262" i="7" s="1"/>
  <c r="AR265" i="1"/>
  <c r="AF262" i="7" s="1"/>
  <c r="AQ265" i="1"/>
  <c r="AE262" i="7" s="1"/>
  <c r="AP265" i="1"/>
  <c r="AD262" i="7" s="1"/>
  <c r="AO265" i="1"/>
  <c r="AC262" i="7" s="1"/>
  <c r="AN265" i="1"/>
  <c r="AB262" i="7" s="1"/>
  <c r="AM265" i="1"/>
  <c r="AA262" i="7" s="1"/>
  <c r="AL265" i="1"/>
  <c r="Z262" i="7" s="1"/>
  <c r="AK265" i="1"/>
  <c r="Y262" i="7" s="1"/>
  <c r="AJ265" i="1"/>
  <c r="X262" i="7" s="1"/>
  <c r="AI265" i="1"/>
  <c r="W262" i="7" s="1"/>
  <c r="AH265" i="1"/>
  <c r="V262" i="7" s="1"/>
  <c r="AG265" i="1"/>
  <c r="U262" i="7" s="1"/>
  <c r="AF265" i="1"/>
  <c r="T262" i="7" s="1"/>
  <c r="AE265" i="1"/>
  <c r="S262" i="7" s="1"/>
  <c r="AD265" i="1"/>
  <c r="R262" i="7" s="1"/>
  <c r="AC265" i="1"/>
  <c r="Q262" i="7" s="1"/>
  <c r="AB265" i="1"/>
  <c r="P262" i="7" s="1"/>
  <c r="AA265" i="1"/>
  <c r="O262" i="7" s="1"/>
  <c r="Z265" i="1"/>
  <c r="N262" i="7" s="1"/>
  <c r="Y265" i="1"/>
  <c r="M262" i="7" s="1"/>
  <c r="X265" i="1"/>
  <c r="L262" i="7" s="1"/>
  <c r="W265" i="1"/>
  <c r="K262" i="7" s="1"/>
  <c r="V265" i="1"/>
  <c r="J262" i="7" s="1"/>
  <c r="U265" i="1"/>
  <c r="I262" i="7" s="1"/>
  <c r="T265" i="1"/>
  <c r="H262" i="7" s="1"/>
  <c r="S265" i="1"/>
  <c r="G262" i="7" s="1"/>
  <c r="R265" i="1"/>
  <c r="F262" i="7" s="1"/>
  <c r="O265" i="1"/>
  <c r="O266" i="1" s="1"/>
  <c r="O264" i="1"/>
  <c r="M264" i="1"/>
  <c r="M263" i="1"/>
  <c r="O262" i="1"/>
  <c r="M262" i="1"/>
  <c r="M261" i="1"/>
  <c r="O260" i="1"/>
  <c r="M260" i="1"/>
  <c r="M259" i="1"/>
  <c r="O258" i="1"/>
  <c r="CG255" i="1" s="1"/>
  <c r="BU252" i="7" s="1"/>
  <c r="M258" i="1"/>
  <c r="M257" i="1"/>
  <c r="CO256" i="1"/>
  <c r="CC253" i="7" s="1"/>
  <c r="CN256" i="1"/>
  <c r="CB253" i="7" s="1"/>
  <c r="CM256" i="1"/>
  <c r="CA253" i="7" s="1"/>
  <c r="CL256" i="1"/>
  <c r="BZ253" i="7" s="1"/>
  <c r="CK256" i="1"/>
  <c r="BY253" i="7" s="1"/>
  <c r="CJ256" i="1"/>
  <c r="BX253" i="7" s="1"/>
  <c r="CI256" i="1"/>
  <c r="BW253" i="7" s="1"/>
  <c r="CH256" i="1"/>
  <c r="BV253" i="7" s="1"/>
  <c r="CG256" i="1"/>
  <c r="BU253" i="7" s="1"/>
  <c r="CF256" i="1"/>
  <c r="BT253" i="7" s="1"/>
  <c r="CE256" i="1"/>
  <c r="BS253" i="7" s="1"/>
  <c r="CD256" i="1"/>
  <c r="BR253" i="7" s="1"/>
  <c r="CC256" i="1"/>
  <c r="BQ253" i="7" s="1"/>
  <c r="CB256" i="1"/>
  <c r="BP253" i="7" s="1"/>
  <c r="CA256" i="1"/>
  <c r="BO253" i="7" s="1"/>
  <c r="BZ256" i="1"/>
  <c r="BN253" i="7" s="1"/>
  <c r="BY256" i="1"/>
  <c r="BM253" i="7" s="1"/>
  <c r="BX256" i="1"/>
  <c r="BL253" i="7" s="1"/>
  <c r="BW256" i="1"/>
  <c r="BK253" i="7" s="1"/>
  <c r="BV256" i="1"/>
  <c r="BJ253" i="7" s="1"/>
  <c r="BU256" i="1"/>
  <c r="BI253" i="7" s="1"/>
  <c r="BT256" i="1"/>
  <c r="BH253" i="7" s="1"/>
  <c r="BS256" i="1"/>
  <c r="BG253" i="7" s="1"/>
  <c r="BR256" i="1"/>
  <c r="BF253" i="7" s="1"/>
  <c r="BQ256" i="1"/>
  <c r="BE253" i="7" s="1"/>
  <c r="BP256" i="1"/>
  <c r="BD253" i="7" s="1"/>
  <c r="BO256" i="1"/>
  <c r="BC253" i="7" s="1"/>
  <c r="BN256" i="1"/>
  <c r="BB253" i="7" s="1"/>
  <c r="BM256" i="1"/>
  <c r="BA253" i="7" s="1"/>
  <c r="BL256" i="1"/>
  <c r="AZ253" i="7" s="1"/>
  <c r="BK256" i="1"/>
  <c r="AY253" i="7" s="1"/>
  <c r="BJ256" i="1"/>
  <c r="AX253" i="7" s="1"/>
  <c r="BI256" i="1"/>
  <c r="AW253" i="7" s="1"/>
  <c r="BH256" i="1"/>
  <c r="AV253" i="7" s="1"/>
  <c r="BG256" i="1"/>
  <c r="AU253" i="7" s="1"/>
  <c r="BF256" i="1"/>
  <c r="AT253" i="7" s="1"/>
  <c r="BE256" i="1"/>
  <c r="AS253" i="7" s="1"/>
  <c r="BD256" i="1"/>
  <c r="AR253" i="7" s="1"/>
  <c r="BC256" i="1"/>
  <c r="AQ253" i="7" s="1"/>
  <c r="BB256" i="1"/>
  <c r="AP253" i="7" s="1"/>
  <c r="BA256" i="1"/>
  <c r="AO253" i="7" s="1"/>
  <c r="AZ256" i="1"/>
  <c r="AN253" i="7" s="1"/>
  <c r="AY256" i="1"/>
  <c r="AM253" i="7" s="1"/>
  <c r="AX256" i="1"/>
  <c r="AL253" i="7" s="1"/>
  <c r="AW256" i="1"/>
  <c r="AK253" i="7" s="1"/>
  <c r="AV256" i="1"/>
  <c r="AJ253" i="7" s="1"/>
  <c r="AU256" i="1"/>
  <c r="AI253" i="7" s="1"/>
  <c r="AT256" i="1"/>
  <c r="AH253" i="7" s="1"/>
  <c r="AS256" i="1"/>
  <c r="AG253" i="7" s="1"/>
  <c r="AR256" i="1"/>
  <c r="AF253" i="7" s="1"/>
  <c r="AQ256" i="1"/>
  <c r="AE253" i="7" s="1"/>
  <c r="AP256" i="1"/>
  <c r="AD253" i="7" s="1"/>
  <c r="AO256" i="1"/>
  <c r="AC253" i="7" s="1"/>
  <c r="AN256" i="1"/>
  <c r="AB253" i="7" s="1"/>
  <c r="AM256" i="1"/>
  <c r="AA253" i="7" s="1"/>
  <c r="AL256" i="1"/>
  <c r="Z253" i="7" s="1"/>
  <c r="AK256" i="1"/>
  <c r="Y253" i="7" s="1"/>
  <c r="AJ256" i="1"/>
  <c r="X253" i="7" s="1"/>
  <c r="AI256" i="1"/>
  <c r="W253" i="7" s="1"/>
  <c r="AH256" i="1"/>
  <c r="V253" i="7" s="1"/>
  <c r="AG256" i="1"/>
  <c r="U253" i="7" s="1"/>
  <c r="AF256" i="1"/>
  <c r="T253" i="7" s="1"/>
  <c r="AE256" i="1"/>
  <c r="S253" i="7" s="1"/>
  <c r="AD256" i="1"/>
  <c r="R253" i="7" s="1"/>
  <c r="AC256" i="1"/>
  <c r="Q253" i="7" s="1"/>
  <c r="AB256" i="1"/>
  <c r="P253" i="7" s="1"/>
  <c r="AA256" i="1"/>
  <c r="O253" i="7" s="1"/>
  <c r="Z256" i="1"/>
  <c r="N253" i="7" s="1"/>
  <c r="Y256" i="1"/>
  <c r="M253" i="7" s="1"/>
  <c r="X256" i="1"/>
  <c r="L253" i="7" s="1"/>
  <c r="W256" i="1"/>
  <c r="K253" i="7" s="1"/>
  <c r="V256" i="1"/>
  <c r="J253" i="7" s="1"/>
  <c r="U256" i="1"/>
  <c r="I253" i="7" s="1"/>
  <c r="T256" i="1"/>
  <c r="H253" i="7" s="1"/>
  <c r="S256" i="1"/>
  <c r="G253" i="7" s="1"/>
  <c r="R256" i="1"/>
  <c r="F253" i="7" s="1"/>
  <c r="CO255" i="1"/>
  <c r="CC252" i="7" s="1"/>
  <c r="CN255" i="1"/>
  <c r="CB252" i="7" s="1"/>
  <c r="CM255" i="1"/>
  <c r="CA252" i="7" s="1"/>
  <c r="CL255" i="1"/>
  <c r="BZ252" i="7" s="1"/>
  <c r="CK255" i="1"/>
  <c r="BY252" i="7" s="1"/>
  <c r="CJ255" i="1"/>
  <c r="BX252" i="7" s="1"/>
  <c r="CI255" i="1"/>
  <c r="BW252" i="7" s="1"/>
  <c r="CD255" i="1"/>
  <c r="BR252" i="7" s="1"/>
  <c r="CC255" i="1"/>
  <c r="BQ252" i="7" s="1"/>
  <c r="BY255" i="1"/>
  <c r="BM252" i="7" s="1"/>
  <c r="BX255" i="1"/>
  <c r="BL252" i="7" s="1"/>
  <c r="BW255" i="1"/>
  <c r="BK252" i="7" s="1"/>
  <c r="BV255" i="1"/>
  <c r="BJ252" i="7" s="1"/>
  <c r="BU255" i="1"/>
  <c r="BI252" i="7" s="1"/>
  <c r="BT255" i="1"/>
  <c r="BH252" i="7" s="1"/>
  <c r="BQ255" i="1"/>
  <c r="BE252" i="7" s="1"/>
  <c r="BO255" i="1"/>
  <c r="BC252" i="7" s="1"/>
  <c r="BN255" i="1"/>
  <c r="BB252" i="7" s="1"/>
  <c r="BM255" i="1"/>
  <c r="BA252" i="7" s="1"/>
  <c r="BL255" i="1"/>
  <c r="AZ252" i="7" s="1"/>
  <c r="BK255" i="1"/>
  <c r="AY252" i="7" s="1"/>
  <c r="BJ255" i="1"/>
  <c r="AX252" i="7" s="1"/>
  <c r="BI255" i="1"/>
  <c r="AW252" i="7" s="1"/>
  <c r="BH255" i="1"/>
  <c r="AV252" i="7" s="1"/>
  <c r="BG255" i="1"/>
  <c r="AU252" i="7" s="1"/>
  <c r="BF255" i="1"/>
  <c r="AT252" i="7" s="1"/>
  <c r="BE255" i="1"/>
  <c r="AS252" i="7" s="1"/>
  <c r="BD255" i="1"/>
  <c r="AR252" i="7" s="1"/>
  <c r="BC255" i="1"/>
  <c r="AQ252" i="7" s="1"/>
  <c r="BB255" i="1"/>
  <c r="AP252" i="7" s="1"/>
  <c r="BA255" i="1"/>
  <c r="AO252" i="7" s="1"/>
  <c r="AZ255" i="1"/>
  <c r="AN252" i="7" s="1"/>
  <c r="AY255" i="1"/>
  <c r="AM252" i="7" s="1"/>
  <c r="AX255" i="1"/>
  <c r="AL252" i="7" s="1"/>
  <c r="AW255" i="1"/>
  <c r="AK252" i="7" s="1"/>
  <c r="AV255" i="1"/>
  <c r="AJ252" i="7" s="1"/>
  <c r="AU255" i="1"/>
  <c r="AI252" i="7" s="1"/>
  <c r="AT255" i="1"/>
  <c r="AH252" i="7" s="1"/>
  <c r="AS255" i="1"/>
  <c r="AG252" i="7" s="1"/>
  <c r="AR255" i="1"/>
  <c r="AF252" i="7" s="1"/>
  <c r="AQ255" i="1"/>
  <c r="AE252" i="7" s="1"/>
  <c r="AP255" i="1"/>
  <c r="AD252" i="7" s="1"/>
  <c r="AO255" i="1"/>
  <c r="AC252" i="7" s="1"/>
  <c r="AN255" i="1"/>
  <c r="AB252" i="7" s="1"/>
  <c r="AM255" i="1"/>
  <c r="AA252" i="7" s="1"/>
  <c r="AL255" i="1"/>
  <c r="Z252" i="7" s="1"/>
  <c r="AK255" i="1"/>
  <c r="Y252" i="7" s="1"/>
  <c r="AJ255" i="1"/>
  <c r="X252" i="7" s="1"/>
  <c r="AI255" i="1"/>
  <c r="W252" i="7" s="1"/>
  <c r="AH255" i="1"/>
  <c r="V252" i="7" s="1"/>
  <c r="AG255" i="1"/>
  <c r="U252" i="7" s="1"/>
  <c r="AF255" i="1"/>
  <c r="T252" i="7" s="1"/>
  <c r="AE255" i="1"/>
  <c r="S252" i="7" s="1"/>
  <c r="AD255" i="1"/>
  <c r="R252" i="7" s="1"/>
  <c r="AC255" i="1"/>
  <c r="Q252" i="7" s="1"/>
  <c r="AB255" i="1"/>
  <c r="P252" i="7" s="1"/>
  <c r="AA255" i="1"/>
  <c r="O252" i="7" s="1"/>
  <c r="Z255" i="1"/>
  <c r="N252" i="7" s="1"/>
  <c r="Y255" i="1"/>
  <c r="M252" i="7" s="1"/>
  <c r="X255" i="1"/>
  <c r="L252" i="7" s="1"/>
  <c r="W255" i="1"/>
  <c r="K252" i="7" s="1"/>
  <c r="V255" i="1"/>
  <c r="J252" i="7" s="1"/>
  <c r="U255" i="1"/>
  <c r="I252" i="7" s="1"/>
  <c r="T255" i="1"/>
  <c r="H252" i="7" s="1"/>
  <c r="S255" i="1"/>
  <c r="G252" i="7" s="1"/>
  <c r="R255" i="1"/>
  <c r="F252" i="7" s="1"/>
  <c r="O255" i="1"/>
  <c r="O256" i="1" s="1"/>
  <c r="O254" i="1"/>
  <c r="BX249" i="1" s="1"/>
  <c r="BL246" i="7" s="1"/>
  <c r="M254" i="1"/>
  <c r="M253" i="1"/>
  <c r="O252" i="1"/>
  <c r="M252" i="1"/>
  <c r="M251" i="1"/>
  <c r="CO250" i="1"/>
  <c r="CC247" i="7" s="1"/>
  <c r="CN250" i="1"/>
  <c r="CB247" i="7" s="1"/>
  <c r="CM250" i="1"/>
  <c r="CA247" i="7" s="1"/>
  <c r="CL250" i="1"/>
  <c r="BZ247" i="7" s="1"/>
  <c r="CK250" i="1"/>
  <c r="BY247" i="7" s="1"/>
  <c r="CJ250" i="1"/>
  <c r="BX247" i="7" s="1"/>
  <c r="CI250" i="1"/>
  <c r="BW247" i="7" s="1"/>
  <c r="CH250" i="1"/>
  <c r="BV247" i="7" s="1"/>
  <c r="CG250" i="1"/>
  <c r="BU247" i="7" s="1"/>
  <c r="CF250" i="1"/>
  <c r="BT247" i="7" s="1"/>
  <c r="CE250" i="1"/>
  <c r="BS247" i="7" s="1"/>
  <c r="CD250" i="1"/>
  <c r="BR247" i="7" s="1"/>
  <c r="CC250" i="1"/>
  <c r="BQ247" i="7" s="1"/>
  <c r="CB250" i="1"/>
  <c r="BP247" i="7" s="1"/>
  <c r="CA250" i="1"/>
  <c r="BO247" i="7" s="1"/>
  <c r="BZ250" i="1"/>
  <c r="BN247" i="7" s="1"/>
  <c r="BY250" i="1"/>
  <c r="BM247" i="7" s="1"/>
  <c r="BX250" i="1"/>
  <c r="BL247" i="7" s="1"/>
  <c r="BW250" i="1"/>
  <c r="BK247" i="7" s="1"/>
  <c r="BV250" i="1"/>
  <c r="BJ247" i="7" s="1"/>
  <c r="BU250" i="1"/>
  <c r="BI247" i="7" s="1"/>
  <c r="BT250" i="1"/>
  <c r="BH247" i="7" s="1"/>
  <c r="BS250" i="1"/>
  <c r="BG247" i="7" s="1"/>
  <c r="BR250" i="1"/>
  <c r="BF247" i="7" s="1"/>
  <c r="BQ250" i="1"/>
  <c r="BE247" i="7" s="1"/>
  <c r="BP250" i="1"/>
  <c r="BD247" i="7" s="1"/>
  <c r="BO250" i="1"/>
  <c r="BC247" i="7" s="1"/>
  <c r="BN250" i="1"/>
  <c r="BB247" i="7" s="1"/>
  <c r="BM250" i="1"/>
  <c r="BA247" i="7" s="1"/>
  <c r="BL250" i="1"/>
  <c r="AZ247" i="7" s="1"/>
  <c r="BK250" i="1"/>
  <c r="AY247" i="7" s="1"/>
  <c r="BJ250" i="1"/>
  <c r="AX247" i="7" s="1"/>
  <c r="BI250" i="1"/>
  <c r="AW247" i="7" s="1"/>
  <c r="BH250" i="1"/>
  <c r="AV247" i="7" s="1"/>
  <c r="BG250" i="1"/>
  <c r="AU247" i="7" s="1"/>
  <c r="BF250" i="1"/>
  <c r="AT247" i="7" s="1"/>
  <c r="BE250" i="1"/>
  <c r="AS247" i="7" s="1"/>
  <c r="BD250" i="1"/>
  <c r="AR247" i="7" s="1"/>
  <c r="BC250" i="1"/>
  <c r="AQ247" i="7" s="1"/>
  <c r="BB250" i="1"/>
  <c r="AP247" i="7" s="1"/>
  <c r="BA250" i="1"/>
  <c r="AO247" i="7" s="1"/>
  <c r="AZ250" i="1"/>
  <c r="AN247" i="7" s="1"/>
  <c r="AY250" i="1"/>
  <c r="AM247" i="7" s="1"/>
  <c r="AX250" i="1"/>
  <c r="AL247" i="7" s="1"/>
  <c r="AW250" i="1"/>
  <c r="AK247" i="7" s="1"/>
  <c r="AV250" i="1"/>
  <c r="AJ247" i="7" s="1"/>
  <c r="AU250" i="1"/>
  <c r="AI247" i="7" s="1"/>
  <c r="AT250" i="1"/>
  <c r="AH247" i="7" s="1"/>
  <c r="AS250" i="1"/>
  <c r="AG247" i="7" s="1"/>
  <c r="AR250" i="1"/>
  <c r="AF247" i="7" s="1"/>
  <c r="AQ250" i="1"/>
  <c r="AE247" i="7" s="1"/>
  <c r="AP250" i="1"/>
  <c r="AD247" i="7" s="1"/>
  <c r="AO250" i="1"/>
  <c r="AC247" i="7" s="1"/>
  <c r="AN250" i="1"/>
  <c r="AB247" i="7" s="1"/>
  <c r="AM250" i="1"/>
  <c r="AA247" i="7" s="1"/>
  <c r="AL250" i="1"/>
  <c r="Z247" i="7" s="1"/>
  <c r="AK250" i="1"/>
  <c r="Y247" i="7" s="1"/>
  <c r="AJ250" i="1"/>
  <c r="X247" i="7" s="1"/>
  <c r="AI250" i="1"/>
  <c r="W247" i="7" s="1"/>
  <c r="AH250" i="1"/>
  <c r="V247" i="7" s="1"/>
  <c r="AG250" i="1"/>
  <c r="U247" i="7" s="1"/>
  <c r="AF250" i="1"/>
  <c r="T247" i="7" s="1"/>
  <c r="AE250" i="1"/>
  <c r="S247" i="7" s="1"/>
  <c r="AD250" i="1"/>
  <c r="R247" i="7" s="1"/>
  <c r="AC250" i="1"/>
  <c r="Q247" i="7" s="1"/>
  <c r="AB250" i="1"/>
  <c r="P247" i="7" s="1"/>
  <c r="AA250" i="1"/>
  <c r="O247" i="7" s="1"/>
  <c r="Z250" i="1"/>
  <c r="N247" i="7" s="1"/>
  <c r="Y250" i="1"/>
  <c r="M247" i="7" s="1"/>
  <c r="X250" i="1"/>
  <c r="L247" i="7" s="1"/>
  <c r="W250" i="1"/>
  <c r="K247" i="7" s="1"/>
  <c r="V250" i="1"/>
  <c r="J247" i="7" s="1"/>
  <c r="U250" i="1"/>
  <c r="I247" i="7" s="1"/>
  <c r="T250" i="1"/>
  <c r="H247" i="7" s="1"/>
  <c r="S250" i="1"/>
  <c r="G247" i="7" s="1"/>
  <c r="R250" i="1"/>
  <c r="F247" i="7" s="1"/>
  <c r="CO249" i="1"/>
  <c r="CC246" i="7" s="1"/>
  <c r="CN249" i="1"/>
  <c r="CB246" i="7" s="1"/>
  <c r="CM249" i="1"/>
  <c r="CA246" i="7" s="1"/>
  <c r="CL249" i="1"/>
  <c r="BZ246" i="7" s="1"/>
  <c r="CK249" i="1"/>
  <c r="BY246" i="7" s="1"/>
  <c r="CJ249" i="1"/>
  <c r="BX246" i="7" s="1"/>
  <c r="CI249" i="1"/>
  <c r="BW246" i="7" s="1"/>
  <c r="CH249" i="1"/>
  <c r="BV246" i="7" s="1"/>
  <c r="CG249" i="1"/>
  <c r="BU246" i="7" s="1"/>
  <c r="CF249" i="1"/>
  <c r="BT246" i="7" s="1"/>
  <c r="CE249" i="1"/>
  <c r="BS246" i="7" s="1"/>
  <c r="CD249" i="1"/>
  <c r="BR246" i="7" s="1"/>
  <c r="CC249" i="1"/>
  <c r="BQ246" i="7" s="1"/>
  <c r="CB249" i="1"/>
  <c r="BP246" i="7" s="1"/>
  <c r="CA249" i="1"/>
  <c r="BO246" i="7" s="1"/>
  <c r="BZ249" i="1"/>
  <c r="BN246" i="7" s="1"/>
  <c r="BW249" i="1"/>
  <c r="BK246" i="7" s="1"/>
  <c r="BV249" i="1"/>
  <c r="BJ246" i="7" s="1"/>
  <c r="BU249" i="1"/>
  <c r="BI246" i="7" s="1"/>
  <c r="BT249" i="1"/>
  <c r="BH246" i="7" s="1"/>
  <c r="BS249" i="1"/>
  <c r="BG246" i="7" s="1"/>
  <c r="BR249" i="1"/>
  <c r="BF246" i="7" s="1"/>
  <c r="BQ249" i="1"/>
  <c r="BE246" i="7" s="1"/>
  <c r="BM249" i="1"/>
  <c r="BA246" i="7" s="1"/>
  <c r="BL249" i="1"/>
  <c r="AZ246" i="7" s="1"/>
  <c r="BK249" i="1"/>
  <c r="AY246" i="7" s="1"/>
  <c r="BJ249" i="1"/>
  <c r="AX246" i="7" s="1"/>
  <c r="BI249" i="1"/>
  <c r="AW246" i="7" s="1"/>
  <c r="BH249" i="1"/>
  <c r="AV246" i="7" s="1"/>
  <c r="BG249" i="1"/>
  <c r="AU246" i="7" s="1"/>
  <c r="BF249" i="1"/>
  <c r="AT246" i="7" s="1"/>
  <c r="BE249" i="1"/>
  <c r="AS246" i="7" s="1"/>
  <c r="BD249" i="1"/>
  <c r="AR246" i="7" s="1"/>
  <c r="BC249" i="1"/>
  <c r="AQ246" i="7" s="1"/>
  <c r="BB249" i="1"/>
  <c r="AP246" i="7" s="1"/>
  <c r="BA249" i="1"/>
  <c r="AO246" i="7" s="1"/>
  <c r="AZ249" i="1"/>
  <c r="AN246" i="7" s="1"/>
  <c r="AY249" i="1"/>
  <c r="AM246" i="7" s="1"/>
  <c r="AX249" i="1"/>
  <c r="AL246" i="7" s="1"/>
  <c r="AW249" i="1"/>
  <c r="AK246" i="7" s="1"/>
  <c r="AV249" i="1"/>
  <c r="AJ246" i="7" s="1"/>
  <c r="AU249" i="1"/>
  <c r="AI246" i="7" s="1"/>
  <c r="AT249" i="1"/>
  <c r="AH246" i="7" s="1"/>
  <c r="AS249" i="1"/>
  <c r="AG246" i="7" s="1"/>
  <c r="AR249" i="1"/>
  <c r="AF246" i="7" s="1"/>
  <c r="AQ249" i="1"/>
  <c r="AE246" i="7" s="1"/>
  <c r="AP249" i="1"/>
  <c r="AD246" i="7" s="1"/>
  <c r="AO249" i="1"/>
  <c r="AC246" i="7" s="1"/>
  <c r="AN249" i="1"/>
  <c r="AB246" i="7" s="1"/>
  <c r="AM249" i="1"/>
  <c r="AA246" i="7" s="1"/>
  <c r="AL249" i="1"/>
  <c r="Z246" i="7" s="1"/>
  <c r="AK249" i="1"/>
  <c r="Y246" i="7" s="1"/>
  <c r="AJ249" i="1"/>
  <c r="X246" i="7" s="1"/>
  <c r="AI249" i="1"/>
  <c r="W246" i="7" s="1"/>
  <c r="AH249" i="1"/>
  <c r="V246" i="7" s="1"/>
  <c r="AG249" i="1"/>
  <c r="U246" i="7" s="1"/>
  <c r="AF249" i="1"/>
  <c r="T246" i="7" s="1"/>
  <c r="AE249" i="1"/>
  <c r="S246" i="7" s="1"/>
  <c r="AD249" i="1"/>
  <c r="R246" i="7" s="1"/>
  <c r="AC249" i="1"/>
  <c r="Q246" i="7" s="1"/>
  <c r="AB249" i="1"/>
  <c r="P246" i="7" s="1"/>
  <c r="AA249" i="1"/>
  <c r="O246" i="7" s="1"/>
  <c r="Z249" i="1"/>
  <c r="N246" i="7" s="1"/>
  <c r="Y249" i="1"/>
  <c r="M246" i="7" s="1"/>
  <c r="X249" i="1"/>
  <c r="L246" i="7" s="1"/>
  <c r="W249" i="1"/>
  <c r="K246" i="7" s="1"/>
  <c r="V249" i="1"/>
  <c r="J246" i="7" s="1"/>
  <c r="U249" i="1"/>
  <c r="I246" i="7" s="1"/>
  <c r="T249" i="1"/>
  <c r="H246" i="7" s="1"/>
  <c r="S249" i="1"/>
  <c r="G246" i="7" s="1"/>
  <c r="R249" i="1"/>
  <c r="F246" i="7" s="1"/>
  <c r="O249" i="1"/>
  <c r="O250" i="1" s="1"/>
  <c r="O248" i="1"/>
  <c r="M248" i="1"/>
  <c r="M247" i="1"/>
  <c r="O246" i="1"/>
  <c r="BP241" i="1" s="1"/>
  <c r="BD238" i="7" s="1"/>
  <c r="M246" i="1"/>
  <c r="M245" i="1"/>
  <c r="O244" i="1"/>
  <c r="M244" i="1"/>
  <c r="M243" i="1"/>
  <c r="CO242" i="1"/>
  <c r="CC239" i="7" s="1"/>
  <c r="CN242" i="1"/>
  <c r="CB239" i="7" s="1"/>
  <c r="CM242" i="1"/>
  <c r="CA239" i="7" s="1"/>
  <c r="CL242" i="1"/>
  <c r="BZ239" i="7" s="1"/>
  <c r="CK242" i="1"/>
  <c r="BY239" i="7" s="1"/>
  <c r="CJ242" i="1"/>
  <c r="BX239" i="7" s="1"/>
  <c r="CI242" i="1"/>
  <c r="BW239" i="7" s="1"/>
  <c r="CH242" i="1"/>
  <c r="BV239" i="7" s="1"/>
  <c r="CG242" i="1"/>
  <c r="BU239" i="7" s="1"/>
  <c r="CF242" i="1"/>
  <c r="BT239" i="7" s="1"/>
  <c r="CE242" i="1"/>
  <c r="BS239" i="7" s="1"/>
  <c r="CD242" i="1"/>
  <c r="BR239" i="7" s="1"/>
  <c r="CC242" i="1"/>
  <c r="BQ239" i="7" s="1"/>
  <c r="CB242" i="1"/>
  <c r="BP239" i="7" s="1"/>
  <c r="CA242" i="1"/>
  <c r="BO239" i="7" s="1"/>
  <c r="BZ242" i="1"/>
  <c r="BN239" i="7" s="1"/>
  <c r="BY242" i="1"/>
  <c r="BM239" i="7" s="1"/>
  <c r="BX242" i="1"/>
  <c r="BL239" i="7" s="1"/>
  <c r="BW242" i="1"/>
  <c r="BK239" i="7" s="1"/>
  <c r="BV242" i="1"/>
  <c r="BJ239" i="7" s="1"/>
  <c r="BU242" i="1"/>
  <c r="BI239" i="7" s="1"/>
  <c r="BT242" i="1"/>
  <c r="BH239" i="7" s="1"/>
  <c r="BS242" i="1"/>
  <c r="BG239" i="7" s="1"/>
  <c r="BR242" i="1"/>
  <c r="BF239" i="7" s="1"/>
  <c r="BQ242" i="1"/>
  <c r="BE239" i="7" s="1"/>
  <c r="BP242" i="1"/>
  <c r="BD239" i="7" s="1"/>
  <c r="BO242" i="1"/>
  <c r="BC239" i="7" s="1"/>
  <c r="BN242" i="1"/>
  <c r="BB239" i="7" s="1"/>
  <c r="BM242" i="1"/>
  <c r="BA239" i="7" s="1"/>
  <c r="BL242" i="1"/>
  <c r="AZ239" i="7" s="1"/>
  <c r="BK242" i="1"/>
  <c r="AY239" i="7" s="1"/>
  <c r="BJ242" i="1"/>
  <c r="AX239" i="7" s="1"/>
  <c r="BI242" i="1"/>
  <c r="AW239" i="7" s="1"/>
  <c r="BH242" i="1"/>
  <c r="AV239" i="7" s="1"/>
  <c r="BG242" i="1"/>
  <c r="AU239" i="7" s="1"/>
  <c r="BF242" i="1"/>
  <c r="AT239" i="7" s="1"/>
  <c r="BE242" i="1"/>
  <c r="AS239" i="7" s="1"/>
  <c r="BD242" i="1"/>
  <c r="AR239" i="7" s="1"/>
  <c r="BC242" i="1"/>
  <c r="AQ239" i="7" s="1"/>
  <c r="BB242" i="1"/>
  <c r="AP239" i="7" s="1"/>
  <c r="BA242" i="1"/>
  <c r="AO239" i="7" s="1"/>
  <c r="AZ242" i="1"/>
  <c r="AN239" i="7" s="1"/>
  <c r="AY242" i="1"/>
  <c r="AM239" i="7" s="1"/>
  <c r="AX242" i="1"/>
  <c r="AL239" i="7" s="1"/>
  <c r="AW242" i="1"/>
  <c r="AK239" i="7" s="1"/>
  <c r="AV242" i="1"/>
  <c r="AJ239" i="7" s="1"/>
  <c r="AU242" i="1"/>
  <c r="AI239" i="7" s="1"/>
  <c r="AT242" i="1"/>
  <c r="AH239" i="7" s="1"/>
  <c r="AS242" i="1"/>
  <c r="AG239" i="7" s="1"/>
  <c r="AR242" i="1"/>
  <c r="AF239" i="7" s="1"/>
  <c r="AQ242" i="1"/>
  <c r="AE239" i="7" s="1"/>
  <c r="AP242" i="1"/>
  <c r="AD239" i="7" s="1"/>
  <c r="AO242" i="1"/>
  <c r="AC239" i="7" s="1"/>
  <c r="AN242" i="1"/>
  <c r="AB239" i="7" s="1"/>
  <c r="AM242" i="1"/>
  <c r="AA239" i="7" s="1"/>
  <c r="AL242" i="1"/>
  <c r="Z239" i="7" s="1"/>
  <c r="AK242" i="1"/>
  <c r="Y239" i="7" s="1"/>
  <c r="AJ242" i="1"/>
  <c r="X239" i="7" s="1"/>
  <c r="AI242" i="1"/>
  <c r="W239" i="7" s="1"/>
  <c r="AH242" i="1"/>
  <c r="V239" i="7" s="1"/>
  <c r="AG242" i="1"/>
  <c r="U239" i="7" s="1"/>
  <c r="AF242" i="1"/>
  <c r="T239" i="7" s="1"/>
  <c r="AE242" i="1"/>
  <c r="S239" i="7" s="1"/>
  <c r="AD242" i="1"/>
  <c r="R239" i="7" s="1"/>
  <c r="AC242" i="1"/>
  <c r="Q239" i="7" s="1"/>
  <c r="AB242" i="1"/>
  <c r="P239" i="7" s="1"/>
  <c r="AA242" i="1"/>
  <c r="O239" i="7" s="1"/>
  <c r="Z242" i="1"/>
  <c r="N239" i="7" s="1"/>
  <c r="Y242" i="1"/>
  <c r="M239" i="7" s="1"/>
  <c r="X242" i="1"/>
  <c r="L239" i="7" s="1"/>
  <c r="W242" i="1"/>
  <c r="K239" i="7" s="1"/>
  <c r="V242" i="1"/>
  <c r="J239" i="7" s="1"/>
  <c r="U242" i="1"/>
  <c r="I239" i="7" s="1"/>
  <c r="T242" i="1"/>
  <c r="H239" i="7" s="1"/>
  <c r="S242" i="1"/>
  <c r="G239" i="7" s="1"/>
  <c r="R242" i="1"/>
  <c r="F239" i="7" s="1"/>
  <c r="CO241" i="1"/>
  <c r="CC238" i="7" s="1"/>
  <c r="CN241" i="1"/>
  <c r="CB238" i="7" s="1"/>
  <c r="CM241" i="1"/>
  <c r="CA238" i="7" s="1"/>
  <c r="CL241" i="1"/>
  <c r="BZ238" i="7" s="1"/>
  <c r="CK241" i="1"/>
  <c r="BY238" i="7" s="1"/>
  <c r="CJ241" i="1"/>
  <c r="BX238" i="7" s="1"/>
  <c r="CI241" i="1"/>
  <c r="BW238" i="7" s="1"/>
  <c r="CH241" i="1"/>
  <c r="BV238" i="7" s="1"/>
  <c r="CG241" i="1"/>
  <c r="BU238" i="7" s="1"/>
  <c r="CF241" i="1"/>
  <c r="BT238" i="7" s="1"/>
  <c r="CE241" i="1"/>
  <c r="BS238" i="7" s="1"/>
  <c r="CD241" i="1"/>
  <c r="BR238" i="7" s="1"/>
  <c r="CC241" i="1"/>
  <c r="BQ238" i="7" s="1"/>
  <c r="CB241" i="1"/>
  <c r="BP238" i="7" s="1"/>
  <c r="CA241" i="1"/>
  <c r="BO238" i="7" s="1"/>
  <c r="BZ241" i="1"/>
  <c r="BN238" i="7" s="1"/>
  <c r="BY241" i="1"/>
  <c r="BM238" i="7" s="1"/>
  <c r="BX241" i="1"/>
  <c r="BL238" i="7" s="1"/>
  <c r="BT241" i="1"/>
  <c r="BH238" i="7" s="1"/>
  <c r="BO241" i="1"/>
  <c r="BC238" i="7" s="1"/>
  <c r="BN241" i="1"/>
  <c r="BB238" i="7" s="1"/>
  <c r="BL241" i="1"/>
  <c r="AZ238" i="7" s="1"/>
  <c r="BI241" i="1"/>
  <c r="AW238" i="7" s="1"/>
  <c r="BH241" i="1"/>
  <c r="AV238" i="7" s="1"/>
  <c r="BG241" i="1"/>
  <c r="AU238" i="7" s="1"/>
  <c r="BF241" i="1"/>
  <c r="AT238" i="7" s="1"/>
  <c r="BE241" i="1"/>
  <c r="AS238" i="7" s="1"/>
  <c r="BD241" i="1"/>
  <c r="AR238" i="7" s="1"/>
  <c r="BC241" i="1"/>
  <c r="AQ238" i="7" s="1"/>
  <c r="BB241" i="1"/>
  <c r="AP238" i="7" s="1"/>
  <c r="BA241" i="1"/>
  <c r="AO238" i="7" s="1"/>
  <c r="AZ241" i="1"/>
  <c r="AN238" i="7" s="1"/>
  <c r="AY241" i="1"/>
  <c r="AM238" i="7" s="1"/>
  <c r="AX241" i="1"/>
  <c r="AL238" i="7" s="1"/>
  <c r="AW241" i="1"/>
  <c r="AK238" i="7" s="1"/>
  <c r="AV241" i="1"/>
  <c r="AJ238" i="7" s="1"/>
  <c r="AU241" i="1"/>
  <c r="AI238" i="7" s="1"/>
  <c r="AT241" i="1"/>
  <c r="AH238" i="7" s="1"/>
  <c r="AS241" i="1"/>
  <c r="AG238" i="7" s="1"/>
  <c r="AR241" i="1"/>
  <c r="AF238" i="7" s="1"/>
  <c r="AQ241" i="1"/>
  <c r="AE238" i="7" s="1"/>
  <c r="AP241" i="1"/>
  <c r="AD238" i="7" s="1"/>
  <c r="AO241" i="1"/>
  <c r="AC238" i="7" s="1"/>
  <c r="AN241" i="1"/>
  <c r="AB238" i="7" s="1"/>
  <c r="AM241" i="1"/>
  <c r="AA238" i="7" s="1"/>
  <c r="AL241" i="1"/>
  <c r="Z238" i="7" s="1"/>
  <c r="AK241" i="1"/>
  <c r="Y238" i="7" s="1"/>
  <c r="AJ241" i="1"/>
  <c r="X238" i="7" s="1"/>
  <c r="AI241" i="1"/>
  <c r="W238" i="7" s="1"/>
  <c r="AH241" i="1"/>
  <c r="V238" i="7" s="1"/>
  <c r="AG241" i="1"/>
  <c r="U238" i="7" s="1"/>
  <c r="AF241" i="1"/>
  <c r="T238" i="7" s="1"/>
  <c r="AE241" i="1"/>
  <c r="S238" i="7" s="1"/>
  <c r="AD241" i="1"/>
  <c r="R238" i="7" s="1"/>
  <c r="AC241" i="1"/>
  <c r="Q238" i="7" s="1"/>
  <c r="AB241" i="1"/>
  <c r="P238" i="7" s="1"/>
  <c r="AA241" i="1"/>
  <c r="O238" i="7" s="1"/>
  <c r="Z241" i="1"/>
  <c r="N238" i="7" s="1"/>
  <c r="Y241" i="1"/>
  <c r="M238" i="7" s="1"/>
  <c r="X241" i="1"/>
  <c r="L238" i="7" s="1"/>
  <c r="W241" i="1"/>
  <c r="K238" i="7" s="1"/>
  <c r="V241" i="1"/>
  <c r="J238" i="7" s="1"/>
  <c r="U241" i="1"/>
  <c r="I238" i="7" s="1"/>
  <c r="T241" i="1"/>
  <c r="H238" i="7" s="1"/>
  <c r="S241" i="1"/>
  <c r="G238" i="7" s="1"/>
  <c r="R241" i="1"/>
  <c r="F238" i="7" s="1"/>
  <c r="O241" i="1"/>
  <c r="O242" i="1" s="1"/>
  <c r="CO240" i="1"/>
  <c r="CC237" i="7" s="1"/>
  <c r="CN240" i="1"/>
  <c r="CB237" i="7" s="1"/>
  <c r="CM240" i="1"/>
  <c r="CA237" i="7" s="1"/>
  <c r="CL240" i="1"/>
  <c r="BZ237" i="7" s="1"/>
  <c r="CK240" i="1"/>
  <c r="BY237" i="7" s="1"/>
  <c r="CJ240" i="1"/>
  <c r="BX237" i="7" s="1"/>
  <c r="CI240" i="1"/>
  <c r="BW237" i="7" s="1"/>
  <c r="CH240" i="1"/>
  <c r="BV237" i="7" s="1"/>
  <c r="CG240" i="1"/>
  <c r="BU237" i="7" s="1"/>
  <c r="CF240" i="1"/>
  <c r="BT237" i="7" s="1"/>
  <c r="CE240" i="1"/>
  <c r="BS237" i="7" s="1"/>
  <c r="CD240" i="1"/>
  <c r="BR237" i="7" s="1"/>
  <c r="CC240" i="1"/>
  <c r="BQ237" i="7" s="1"/>
  <c r="CB240" i="1"/>
  <c r="BP237" i="7" s="1"/>
  <c r="CA240" i="1"/>
  <c r="BO237" i="7" s="1"/>
  <c r="BZ240" i="1"/>
  <c r="BN237" i="7" s="1"/>
  <c r="BY240" i="1"/>
  <c r="BM237" i="7" s="1"/>
  <c r="BX240" i="1"/>
  <c r="BL237" i="7" s="1"/>
  <c r="BW240" i="1"/>
  <c r="BK237" i="7" s="1"/>
  <c r="BV240" i="1"/>
  <c r="BJ237" i="7" s="1"/>
  <c r="BU240" i="1"/>
  <c r="BI237" i="7" s="1"/>
  <c r="BT240" i="1"/>
  <c r="BH237" i="7" s="1"/>
  <c r="BS240" i="1"/>
  <c r="BG237" i="7" s="1"/>
  <c r="BR240" i="1"/>
  <c r="BF237" i="7" s="1"/>
  <c r="BQ240" i="1"/>
  <c r="BE237" i="7" s="1"/>
  <c r="BP240" i="1"/>
  <c r="BD237" i="7" s="1"/>
  <c r="BO240" i="1"/>
  <c r="BC237" i="7" s="1"/>
  <c r="BN240" i="1"/>
  <c r="BB237" i="7" s="1"/>
  <c r="BM240" i="1"/>
  <c r="BA237" i="7" s="1"/>
  <c r="BL240" i="1"/>
  <c r="AZ237" i="7" s="1"/>
  <c r="BK240" i="1"/>
  <c r="AY237" i="7" s="1"/>
  <c r="BJ240" i="1"/>
  <c r="AX237" i="7" s="1"/>
  <c r="BI240" i="1"/>
  <c r="AW237" i="7" s="1"/>
  <c r="BH240" i="1"/>
  <c r="AV237" i="7" s="1"/>
  <c r="BG240" i="1"/>
  <c r="AU237" i="7" s="1"/>
  <c r="BF240" i="1"/>
  <c r="AT237" i="7" s="1"/>
  <c r="BE240" i="1"/>
  <c r="AS237" i="7" s="1"/>
  <c r="BD240" i="1"/>
  <c r="AR237" i="7" s="1"/>
  <c r="BC240" i="1"/>
  <c r="AQ237" i="7" s="1"/>
  <c r="BB240" i="1"/>
  <c r="AP237" i="7" s="1"/>
  <c r="BA240" i="1"/>
  <c r="AO237" i="7" s="1"/>
  <c r="AZ240" i="1"/>
  <c r="AN237" i="7" s="1"/>
  <c r="AY240" i="1"/>
  <c r="AM237" i="7" s="1"/>
  <c r="AX240" i="1"/>
  <c r="AL237" i="7" s="1"/>
  <c r="AW240" i="1"/>
  <c r="AK237" i="7" s="1"/>
  <c r="AV240" i="1"/>
  <c r="AJ237" i="7" s="1"/>
  <c r="AU240" i="1"/>
  <c r="AI237" i="7" s="1"/>
  <c r="AT240" i="1"/>
  <c r="AH237" i="7" s="1"/>
  <c r="AS240" i="1"/>
  <c r="AG237" i="7" s="1"/>
  <c r="AR240" i="1"/>
  <c r="AF237" i="7" s="1"/>
  <c r="AQ240" i="1"/>
  <c r="AE237" i="7" s="1"/>
  <c r="AP240" i="1"/>
  <c r="AD237" i="7" s="1"/>
  <c r="AO240" i="1"/>
  <c r="AC237" i="7" s="1"/>
  <c r="AN240" i="1"/>
  <c r="AB237" i="7" s="1"/>
  <c r="AM240" i="1"/>
  <c r="AA237" i="7" s="1"/>
  <c r="AL240" i="1"/>
  <c r="Z237" i="7" s="1"/>
  <c r="AK240" i="1"/>
  <c r="Y237" i="7" s="1"/>
  <c r="AJ240" i="1"/>
  <c r="X237" i="7" s="1"/>
  <c r="AI240" i="1"/>
  <c r="W237" i="7" s="1"/>
  <c r="AH240" i="1"/>
  <c r="V237" i="7" s="1"/>
  <c r="AG240" i="1"/>
  <c r="U237" i="7" s="1"/>
  <c r="AF240" i="1"/>
  <c r="T237" i="7" s="1"/>
  <c r="AE240" i="1"/>
  <c r="S237" i="7" s="1"/>
  <c r="AD240" i="1"/>
  <c r="R237" i="7" s="1"/>
  <c r="AC240" i="1"/>
  <c r="Q237" i="7" s="1"/>
  <c r="AB240" i="1"/>
  <c r="P237" i="7" s="1"/>
  <c r="AA240" i="1"/>
  <c r="O237" i="7" s="1"/>
  <c r="Z240" i="1"/>
  <c r="N237" i="7" s="1"/>
  <c r="Y240" i="1"/>
  <c r="M237" i="7" s="1"/>
  <c r="X240" i="1"/>
  <c r="L237" i="7" s="1"/>
  <c r="W240" i="1"/>
  <c r="K237" i="7" s="1"/>
  <c r="V240" i="1"/>
  <c r="J237" i="7" s="1"/>
  <c r="U240" i="1"/>
  <c r="I237" i="7" s="1"/>
  <c r="T240" i="1"/>
  <c r="H237" i="7" s="1"/>
  <c r="S240" i="1"/>
  <c r="G237" i="7" s="1"/>
  <c r="R240" i="1"/>
  <c r="F237" i="7" s="1"/>
  <c r="CO239" i="1"/>
  <c r="CC236" i="7" s="1"/>
  <c r="CN239" i="1"/>
  <c r="CB236" i="7" s="1"/>
  <c r="CM239" i="1"/>
  <c r="CA236" i="7" s="1"/>
  <c r="CL239" i="1"/>
  <c r="BZ236" i="7" s="1"/>
  <c r="CK239" i="1"/>
  <c r="BY236" i="7" s="1"/>
  <c r="CJ239" i="1"/>
  <c r="BX236" i="7" s="1"/>
  <c r="CI239" i="1"/>
  <c r="BW236" i="7" s="1"/>
  <c r="BI239" i="1"/>
  <c r="AW236" i="7" s="1"/>
  <c r="BH239" i="1"/>
  <c r="AV236" i="7" s="1"/>
  <c r="BG239" i="1"/>
  <c r="AU236" i="7" s="1"/>
  <c r="BF239" i="1"/>
  <c r="AT236" i="7" s="1"/>
  <c r="BE239" i="1"/>
  <c r="AS236" i="7" s="1"/>
  <c r="BD239" i="1"/>
  <c r="AR236" i="7" s="1"/>
  <c r="BC239" i="1"/>
  <c r="AQ236" i="7" s="1"/>
  <c r="BB239" i="1"/>
  <c r="AP236" i="7" s="1"/>
  <c r="BA239" i="1"/>
  <c r="AO236" i="7" s="1"/>
  <c r="AZ239" i="1"/>
  <c r="AN236" i="7" s="1"/>
  <c r="AY239" i="1"/>
  <c r="AM236" i="7" s="1"/>
  <c r="AX239" i="1"/>
  <c r="AL236" i="7" s="1"/>
  <c r="AW239" i="1"/>
  <c r="AK236" i="7" s="1"/>
  <c r="AV239" i="1"/>
  <c r="AJ236" i="7" s="1"/>
  <c r="AU239" i="1"/>
  <c r="AI236" i="7" s="1"/>
  <c r="AT239" i="1"/>
  <c r="AH236" i="7" s="1"/>
  <c r="AS239" i="1"/>
  <c r="AG236" i="7" s="1"/>
  <c r="AR239" i="1"/>
  <c r="AF236" i="7" s="1"/>
  <c r="AQ239" i="1"/>
  <c r="AE236" i="7" s="1"/>
  <c r="AP239" i="1"/>
  <c r="AD236" i="7" s="1"/>
  <c r="AO239" i="1"/>
  <c r="AC236" i="7" s="1"/>
  <c r="AN239" i="1"/>
  <c r="AB236" i="7" s="1"/>
  <c r="AM239" i="1"/>
  <c r="AA236" i="7" s="1"/>
  <c r="AL239" i="1"/>
  <c r="Z236" i="7" s="1"/>
  <c r="AK239" i="1"/>
  <c r="Y236" i="7" s="1"/>
  <c r="AJ239" i="1"/>
  <c r="X236" i="7" s="1"/>
  <c r="AI239" i="1"/>
  <c r="W236" i="7" s="1"/>
  <c r="AH239" i="1"/>
  <c r="V236" i="7" s="1"/>
  <c r="AG239" i="1"/>
  <c r="U236" i="7" s="1"/>
  <c r="AF239" i="1"/>
  <c r="T236" i="7" s="1"/>
  <c r="AE239" i="1"/>
  <c r="S236" i="7" s="1"/>
  <c r="AD239" i="1"/>
  <c r="R236" i="7" s="1"/>
  <c r="AC239" i="1"/>
  <c r="Q236" i="7" s="1"/>
  <c r="AB239" i="1"/>
  <c r="P236" i="7" s="1"/>
  <c r="AA239" i="1"/>
  <c r="O236" i="7" s="1"/>
  <c r="Z239" i="1"/>
  <c r="N236" i="7" s="1"/>
  <c r="Y239" i="1"/>
  <c r="M236" i="7" s="1"/>
  <c r="X239" i="1"/>
  <c r="L236" i="7" s="1"/>
  <c r="W239" i="1"/>
  <c r="K236" i="7" s="1"/>
  <c r="V239" i="1"/>
  <c r="J236" i="7" s="1"/>
  <c r="U239" i="1"/>
  <c r="I236" i="7" s="1"/>
  <c r="T239" i="1"/>
  <c r="H236" i="7" s="1"/>
  <c r="S239" i="1"/>
  <c r="G236" i="7" s="1"/>
  <c r="R239" i="1"/>
  <c r="F236" i="7" s="1"/>
  <c r="O239" i="1"/>
  <c r="O240" i="1" s="1"/>
  <c r="O238" i="1"/>
  <c r="M238" i="1"/>
  <c r="M237" i="1"/>
  <c r="O236" i="1"/>
  <c r="BW233" i="1" s="1"/>
  <c r="BK230" i="7" s="1"/>
  <c r="M236" i="1"/>
  <c r="M235" i="1"/>
  <c r="CO234" i="1"/>
  <c r="CC231" i="7" s="1"/>
  <c r="CN234" i="1"/>
  <c r="CB231" i="7" s="1"/>
  <c r="CM234" i="1"/>
  <c r="CA231" i="7" s="1"/>
  <c r="CL234" i="1"/>
  <c r="BZ231" i="7" s="1"/>
  <c r="CK234" i="1"/>
  <c r="BY231" i="7" s="1"/>
  <c r="CJ234" i="1"/>
  <c r="BX231" i="7" s="1"/>
  <c r="CI234" i="1"/>
  <c r="BW231" i="7" s="1"/>
  <c r="CH234" i="1"/>
  <c r="BV231" i="7" s="1"/>
  <c r="CG234" i="1"/>
  <c r="BU231" i="7" s="1"/>
  <c r="CF234" i="1"/>
  <c r="BT231" i="7" s="1"/>
  <c r="CE234" i="1"/>
  <c r="BS231" i="7" s="1"/>
  <c r="CD234" i="1"/>
  <c r="BR231" i="7" s="1"/>
  <c r="CC234" i="1"/>
  <c r="BQ231" i="7" s="1"/>
  <c r="CB234" i="1"/>
  <c r="BP231" i="7" s="1"/>
  <c r="CA234" i="1"/>
  <c r="BO231" i="7" s="1"/>
  <c r="BZ234" i="1"/>
  <c r="BN231" i="7" s="1"/>
  <c r="BY234" i="1"/>
  <c r="BM231" i="7" s="1"/>
  <c r="BX234" i="1"/>
  <c r="BL231" i="7" s="1"/>
  <c r="BW234" i="1"/>
  <c r="BK231" i="7" s="1"/>
  <c r="BV234" i="1"/>
  <c r="BJ231" i="7" s="1"/>
  <c r="BU234" i="1"/>
  <c r="BI231" i="7" s="1"/>
  <c r="BT234" i="1"/>
  <c r="BH231" i="7" s="1"/>
  <c r="BS234" i="1"/>
  <c r="BG231" i="7" s="1"/>
  <c r="BR234" i="1"/>
  <c r="BF231" i="7" s="1"/>
  <c r="BQ234" i="1"/>
  <c r="BE231" i="7" s="1"/>
  <c r="BP234" i="1"/>
  <c r="BD231" i="7" s="1"/>
  <c r="BO234" i="1"/>
  <c r="BC231" i="7" s="1"/>
  <c r="BN234" i="1"/>
  <c r="BB231" i="7" s="1"/>
  <c r="BM234" i="1"/>
  <c r="BA231" i="7" s="1"/>
  <c r="BL234" i="1"/>
  <c r="AZ231" i="7" s="1"/>
  <c r="BK234" i="1"/>
  <c r="AY231" i="7" s="1"/>
  <c r="BJ234" i="1"/>
  <c r="AX231" i="7" s="1"/>
  <c r="BI234" i="1"/>
  <c r="AW231" i="7" s="1"/>
  <c r="BH234" i="1"/>
  <c r="AV231" i="7" s="1"/>
  <c r="BG234" i="1"/>
  <c r="AU231" i="7" s="1"/>
  <c r="BF234" i="1"/>
  <c r="AT231" i="7" s="1"/>
  <c r="BE234" i="1"/>
  <c r="AS231" i="7" s="1"/>
  <c r="BD234" i="1"/>
  <c r="AR231" i="7" s="1"/>
  <c r="BC234" i="1"/>
  <c r="AQ231" i="7" s="1"/>
  <c r="BB234" i="1"/>
  <c r="AP231" i="7" s="1"/>
  <c r="BA234" i="1"/>
  <c r="AO231" i="7" s="1"/>
  <c r="AZ234" i="1"/>
  <c r="AN231" i="7" s="1"/>
  <c r="AY234" i="1"/>
  <c r="AM231" i="7" s="1"/>
  <c r="AX234" i="1"/>
  <c r="AL231" i="7" s="1"/>
  <c r="AW234" i="1"/>
  <c r="AK231" i="7" s="1"/>
  <c r="AV234" i="1"/>
  <c r="AJ231" i="7" s="1"/>
  <c r="AU234" i="1"/>
  <c r="AI231" i="7" s="1"/>
  <c r="AT234" i="1"/>
  <c r="AH231" i="7" s="1"/>
  <c r="AS234" i="1"/>
  <c r="AG231" i="7" s="1"/>
  <c r="AR234" i="1"/>
  <c r="AF231" i="7" s="1"/>
  <c r="AQ234" i="1"/>
  <c r="AE231" i="7" s="1"/>
  <c r="AP234" i="1"/>
  <c r="AD231" i="7" s="1"/>
  <c r="AO234" i="1"/>
  <c r="AC231" i="7" s="1"/>
  <c r="AN234" i="1"/>
  <c r="AB231" i="7" s="1"/>
  <c r="AM234" i="1"/>
  <c r="AA231" i="7" s="1"/>
  <c r="AL234" i="1"/>
  <c r="Z231" i="7" s="1"/>
  <c r="AK234" i="1"/>
  <c r="Y231" i="7" s="1"/>
  <c r="AJ234" i="1"/>
  <c r="X231" i="7" s="1"/>
  <c r="AI234" i="1"/>
  <c r="W231" i="7" s="1"/>
  <c r="AH234" i="1"/>
  <c r="V231" i="7" s="1"/>
  <c r="AG234" i="1"/>
  <c r="U231" i="7" s="1"/>
  <c r="AF234" i="1"/>
  <c r="T231" i="7" s="1"/>
  <c r="AE234" i="1"/>
  <c r="S231" i="7" s="1"/>
  <c r="AD234" i="1"/>
  <c r="R231" i="7" s="1"/>
  <c r="AC234" i="1"/>
  <c r="Q231" i="7" s="1"/>
  <c r="AB234" i="1"/>
  <c r="P231" i="7" s="1"/>
  <c r="AA234" i="1"/>
  <c r="O231" i="7" s="1"/>
  <c r="Z234" i="1"/>
  <c r="N231" i="7" s="1"/>
  <c r="Y234" i="1"/>
  <c r="M231" i="7" s="1"/>
  <c r="X234" i="1"/>
  <c r="L231" i="7" s="1"/>
  <c r="W234" i="1"/>
  <c r="K231" i="7" s="1"/>
  <c r="V234" i="1"/>
  <c r="J231" i="7" s="1"/>
  <c r="U234" i="1"/>
  <c r="I231" i="7" s="1"/>
  <c r="T234" i="1"/>
  <c r="H231" i="7" s="1"/>
  <c r="S234" i="1"/>
  <c r="G231" i="7" s="1"/>
  <c r="R234" i="1"/>
  <c r="F231" i="7" s="1"/>
  <c r="E231" i="7" s="1"/>
  <c r="CO233" i="1"/>
  <c r="CC230" i="7" s="1"/>
  <c r="CN233" i="1"/>
  <c r="CB230" i="7" s="1"/>
  <c r="CM233" i="1"/>
  <c r="CA230" i="7" s="1"/>
  <c r="CL233" i="1"/>
  <c r="BZ230" i="7" s="1"/>
  <c r="CK233" i="1"/>
  <c r="BY230" i="7" s="1"/>
  <c r="CJ233" i="1"/>
  <c r="BX230" i="7" s="1"/>
  <c r="CI233" i="1"/>
  <c r="BW230" i="7" s="1"/>
  <c r="CH233" i="1"/>
  <c r="BV230" i="7" s="1"/>
  <c r="CG233" i="1"/>
  <c r="BU230" i="7" s="1"/>
  <c r="CF233" i="1"/>
  <c r="BT230" i="7" s="1"/>
  <c r="CE233" i="1"/>
  <c r="BS230" i="7" s="1"/>
  <c r="CD233" i="1"/>
  <c r="BR230" i="7" s="1"/>
  <c r="CC233" i="1"/>
  <c r="BQ230" i="7" s="1"/>
  <c r="CB233" i="1"/>
  <c r="BP230" i="7" s="1"/>
  <c r="CA233" i="1"/>
  <c r="BO230" i="7" s="1"/>
  <c r="BZ233" i="1"/>
  <c r="BN230" i="7" s="1"/>
  <c r="BX233" i="1"/>
  <c r="BL230" i="7" s="1"/>
  <c r="BV233" i="1"/>
  <c r="BJ230" i="7" s="1"/>
  <c r="BR233" i="1"/>
  <c r="BF230" i="7" s="1"/>
  <c r="BP233" i="1"/>
  <c r="BD230" i="7" s="1"/>
  <c r="BN233" i="1"/>
  <c r="BB230" i="7" s="1"/>
  <c r="BJ233" i="1"/>
  <c r="AX230" i="7" s="1"/>
  <c r="BI233" i="1"/>
  <c r="AW230" i="7" s="1"/>
  <c r="BH233" i="1"/>
  <c r="AV230" i="7" s="1"/>
  <c r="BG233" i="1"/>
  <c r="AU230" i="7" s="1"/>
  <c r="BF233" i="1"/>
  <c r="AT230" i="7" s="1"/>
  <c r="BE233" i="1"/>
  <c r="AS230" i="7" s="1"/>
  <c r="BD233" i="1"/>
  <c r="AR230" i="7" s="1"/>
  <c r="BC233" i="1"/>
  <c r="AQ230" i="7" s="1"/>
  <c r="BB233" i="1"/>
  <c r="AP230" i="7" s="1"/>
  <c r="BA233" i="1"/>
  <c r="AO230" i="7" s="1"/>
  <c r="AZ233" i="1"/>
  <c r="AN230" i="7" s="1"/>
  <c r="AY233" i="1"/>
  <c r="AM230" i="7" s="1"/>
  <c r="AX233" i="1"/>
  <c r="AL230" i="7" s="1"/>
  <c r="AW233" i="1"/>
  <c r="AK230" i="7" s="1"/>
  <c r="AV233" i="1"/>
  <c r="AJ230" i="7" s="1"/>
  <c r="AU233" i="1"/>
  <c r="AI230" i="7" s="1"/>
  <c r="AT233" i="1"/>
  <c r="AH230" i="7" s="1"/>
  <c r="AS233" i="1"/>
  <c r="AG230" i="7" s="1"/>
  <c r="AR233" i="1"/>
  <c r="AF230" i="7" s="1"/>
  <c r="AQ233" i="1"/>
  <c r="AE230" i="7" s="1"/>
  <c r="AP233" i="1"/>
  <c r="AD230" i="7" s="1"/>
  <c r="AO233" i="1"/>
  <c r="AC230" i="7" s="1"/>
  <c r="AN233" i="1"/>
  <c r="AB230" i="7" s="1"/>
  <c r="AM233" i="1"/>
  <c r="AA230" i="7" s="1"/>
  <c r="AL233" i="1"/>
  <c r="Z230" i="7" s="1"/>
  <c r="AK233" i="1"/>
  <c r="Y230" i="7" s="1"/>
  <c r="AJ233" i="1"/>
  <c r="X230" i="7" s="1"/>
  <c r="AI233" i="1"/>
  <c r="W230" i="7" s="1"/>
  <c r="AH233" i="1"/>
  <c r="V230" i="7" s="1"/>
  <c r="AG233" i="1"/>
  <c r="U230" i="7" s="1"/>
  <c r="AF233" i="1"/>
  <c r="T230" i="7" s="1"/>
  <c r="AE233" i="1"/>
  <c r="S230" i="7" s="1"/>
  <c r="AD233" i="1"/>
  <c r="R230" i="7" s="1"/>
  <c r="AC233" i="1"/>
  <c r="Q230" i="7" s="1"/>
  <c r="AB233" i="1"/>
  <c r="P230" i="7" s="1"/>
  <c r="AA233" i="1"/>
  <c r="O230" i="7" s="1"/>
  <c r="Z233" i="1"/>
  <c r="N230" i="7" s="1"/>
  <c r="Y233" i="1"/>
  <c r="M230" i="7" s="1"/>
  <c r="X233" i="1"/>
  <c r="L230" i="7" s="1"/>
  <c r="W233" i="1"/>
  <c r="K230" i="7" s="1"/>
  <c r="V233" i="1"/>
  <c r="J230" i="7" s="1"/>
  <c r="U233" i="1"/>
  <c r="I230" i="7" s="1"/>
  <c r="T233" i="1"/>
  <c r="H230" i="7" s="1"/>
  <c r="S233" i="1"/>
  <c r="G230" i="7" s="1"/>
  <c r="R233" i="1"/>
  <c r="F230" i="7" s="1"/>
  <c r="O233" i="1"/>
  <c r="O232" i="1"/>
  <c r="BX229" i="1" s="1"/>
  <c r="BL226" i="7" s="1"/>
  <c r="M232" i="1"/>
  <c r="M231" i="1"/>
  <c r="CO230" i="1"/>
  <c r="CC227" i="7" s="1"/>
  <c r="CN230" i="1"/>
  <c r="CB227" i="7" s="1"/>
  <c r="CM230" i="1"/>
  <c r="CA227" i="7" s="1"/>
  <c r="CL230" i="1"/>
  <c r="BZ227" i="7" s="1"/>
  <c r="CK230" i="1"/>
  <c r="BY227" i="7" s="1"/>
  <c r="CJ230" i="1"/>
  <c r="BX227" i="7" s="1"/>
  <c r="CI230" i="1"/>
  <c r="BW227" i="7" s="1"/>
  <c r="CH230" i="1"/>
  <c r="BV227" i="7" s="1"/>
  <c r="CG230" i="1"/>
  <c r="BU227" i="7" s="1"/>
  <c r="CF230" i="1"/>
  <c r="BT227" i="7" s="1"/>
  <c r="CE230" i="1"/>
  <c r="BS227" i="7" s="1"/>
  <c r="CD230" i="1"/>
  <c r="BR227" i="7" s="1"/>
  <c r="CC230" i="1"/>
  <c r="BQ227" i="7" s="1"/>
  <c r="CB230" i="1"/>
  <c r="BP227" i="7" s="1"/>
  <c r="CA230" i="1"/>
  <c r="BO227" i="7" s="1"/>
  <c r="BZ230" i="1"/>
  <c r="BN227" i="7" s="1"/>
  <c r="BY230" i="1"/>
  <c r="BM227" i="7" s="1"/>
  <c r="BX230" i="1"/>
  <c r="BL227" i="7" s="1"/>
  <c r="BW230" i="1"/>
  <c r="BK227" i="7" s="1"/>
  <c r="BV230" i="1"/>
  <c r="BJ227" i="7" s="1"/>
  <c r="BU230" i="1"/>
  <c r="BI227" i="7" s="1"/>
  <c r="BT230" i="1"/>
  <c r="BH227" i="7" s="1"/>
  <c r="BS230" i="1"/>
  <c r="BG227" i="7" s="1"/>
  <c r="BR230" i="1"/>
  <c r="BF227" i="7" s="1"/>
  <c r="BQ230" i="1"/>
  <c r="BE227" i="7" s="1"/>
  <c r="BP230" i="1"/>
  <c r="BD227" i="7" s="1"/>
  <c r="BO230" i="1"/>
  <c r="BC227" i="7" s="1"/>
  <c r="BN230" i="1"/>
  <c r="BB227" i="7" s="1"/>
  <c r="BM230" i="1"/>
  <c r="BA227" i="7" s="1"/>
  <c r="BL230" i="1"/>
  <c r="AZ227" i="7" s="1"/>
  <c r="BK230" i="1"/>
  <c r="AY227" i="7" s="1"/>
  <c r="BJ230" i="1"/>
  <c r="AX227" i="7" s="1"/>
  <c r="BI230" i="1"/>
  <c r="AW227" i="7" s="1"/>
  <c r="BH230" i="1"/>
  <c r="AV227" i="7" s="1"/>
  <c r="BG230" i="1"/>
  <c r="AU227" i="7" s="1"/>
  <c r="BF230" i="1"/>
  <c r="AT227" i="7" s="1"/>
  <c r="BE230" i="1"/>
  <c r="AS227" i="7" s="1"/>
  <c r="BD230" i="1"/>
  <c r="AR227" i="7" s="1"/>
  <c r="BC230" i="1"/>
  <c r="AQ227" i="7" s="1"/>
  <c r="BB230" i="1"/>
  <c r="AP227" i="7" s="1"/>
  <c r="BA230" i="1"/>
  <c r="AO227" i="7" s="1"/>
  <c r="AZ230" i="1"/>
  <c r="AN227" i="7" s="1"/>
  <c r="AY230" i="1"/>
  <c r="AM227" i="7" s="1"/>
  <c r="AX230" i="1"/>
  <c r="AL227" i="7" s="1"/>
  <c r="AW230" i="1"/>
  <c r="AK227" i="7" s="1"/>
  <c r="AV230" i="1"/>
  <c r="AJ227" i="7" s="1"/>
  <c r="AU230" i="1"/>
  <c r="AI227" i="7" s="1"/>
  <c r="AT230" i="1"/>
  <c r="AH227" i="7" s="1"/>
  <c r="AS230" i="1"/>
  <c r="AG227" i="7" s="1"/>
  <c r="AR230" i="1"/>
  <c r="AF227" i="7" s="1"/>
  <c r="AQ230" i="1"/>
  <c r="AE227" i="7" s="1"/>
  <c r="AP230" i="1"/>
  <c r="AD227" i="7" s="1"/>
  <c r="AO230" i="1"/>
  <c r="AC227" i="7" s="1"/>
  <c r="AN230" i="1"/>
  <c r="AB227" i="7" s="1"/>
  <c r="AM230" i="1"/>
  <c r="AA227" i="7" s="1"/>
  <c r="AL230" i="1"/>
  <c r="Z227" i="7" s="1"/>
  <c r="AK230" i="1"/>
  <c r="Y227" i="7" s="1"/>
  <c r="AJ230" i="1"/>
  <c r="X227" i="7" s="1"/>
  <c r="AI230" i="1"/>
  <c r="W227" i="7" s="1"/>
  <c r="AH230" i="1"/>
  <c r="V227" i="7" s="1"/>
  <c r="AG230" i="1"/>
  <c r="U227" i="7" s="1"/>
  <c r="AF230" i="1"/>
  <c r="T227" i="7" s="1"/>
  <c r="AE230" i="1"/>
  <c r="S227" i="7" s="1"/>
  <c r="AD230" i="1"/>
  <c r="R227" i="7" s="1"/>
  <c r="AC230" i="1"/>
  <c r="Q227" i="7" s="1"/>
  <c r="AB230" i="1"/>
  <c r="P227" i="7" s="1"/>
  <c r="AA230" i="1"/>
  <c r="O227" i="7" s="1"/>
  <c r="Z230" i="1"/>
  <c r="N227" i="7" s="1"/>
  <c r="Y230" i="1"/>
  <c r="M227" i="7" s="1"/>
  <c r="X230" i="1"/>
  <c r="L227" i="7" s="1"/>
  <c r="W230" i="1"/>
  <c r="K227" i="7" s="1"/>
  <c r="V230" i="1"/>
  <c r="J227" i="7" s="1"/>
  <c r="U230" i="1"/>
  <c r="I227" i="7" s="1"/>
  <c r="T230" i="1"/>
  <c r="H227" i="7" s="1"/>
  <c r="S230" i="1"/>
  <c r="G227" i="7" s="1"/>
  <c r="R230" i="1"/>
  <c r="F227" i="7" s="1"/>
  <c r="CO229" i="1"/>
  <c r="CC226" i="7" s="1"/>
  <c r="CN229" i="1"/>
  <c r="CB226" i="7" s="1"/>
  <c r="CM229" i="1"/>
  <c r="CA226" i="7" s="1"/>
  <c r="CL229" i="1"/>
  <c r="BZ226" i="7" s="1"/>
  <c r="CK229" i="1"/>
  <c r="BY226" i="7" s="1"/>
  <c r="CJ229" i="1"/>
  <c r="BX226" i="7" s="1"/>
  <c r="CI229" i="1"/>
  <c r="BW226" i="7" s="1"/>
  <c r="CH229" i="1"/>
  <c r="BV226" i="7" s="1"/>
  <c r="CG229" i="1"/>
  <c r="BU226" i="7" s="1"/>
  <c r="CF229" i="1"/>
  <c r="BT226" i="7" s="1"/>
  <c r="CE229" i="1"/>
  <c r="BS226" i="7" s="1"/>
  <c r="CD229" i="1"/>
  <c r="BR226" i="7" s="1"/>
  <c r="CC229" i="1"/>
  <c r="BQ226" i="7" s="1"/>
  <c r="CB229" i="1"/>
  <c r="BP226" i="7" s="1"/>
  <c r="CA229" i="1"/>
  <c r="BO226" i="7" s="1"/>
  <c r="BZ229" i="1"/>
  <c r="BN226" i="7" s="1"/>
  <c r="BY229" i="1"/>
  <c r="BM226" i="7" s="1"/>
  <c r="BW229" i="1"/>
  <c r="BK226" i="7" s="1"/>
  <c r="BV229" i="1"/>
  <c r="BJ226" i="7" s="1"/>
  <c r="BU229" i="1"/>
  <c r="BI226" i="7" s="1"/>
  <c r="BT229" i="1"/>
  <c r="BH226" i="7" s="1"/>
  <c r="BS229" i="1"/>
  <c r="BG226" i="7" s="1"/>
  <c r="BR229" i="1"/>
  <c r="BF226" i="7" s="1"/>
  <c r="BQ229" i="1"/>
  <c r="BE226" i="7" s="1"/>
  <c r="BP229" i="1"/>
  <c r="BD226" i="7" s="1"/>
  <c r="BO229" i="1"/>
  <c r="BC226" i="7" s="1"/>
  <c r="BN229" i="1"/>
  <c r="BB226" i="7" s="1"/>
  <c r="BM229" i="1"/>
  <c r="BA226" i="7" s="1"/>
  <c r="BL229" i="1"/>
  <c r="AZ226" i="7" s="1"/>
  <c r="BK229" i="1"/>
  <c r="AY226" i="7" s="1"/>
  <c r="BJ229" i="1"/>
  <c r="AX226" i="7" s="1"/>
  <c r="BI229" i="1"/>
  <c r="AW226" i="7" s="1"/>
  <c r="BH229" i="1"/>
  <c r="AV226" i="7" s="1"/>
  <c r="BG229" i="1"/>
  <c r="AU226" i="7" s="1"/>
  <c r="BF229" i="1"/>
  <c r="AT226" i="7" s="1"/>
  <c r="BE229" i="1"/>
  <c r="AS226" i="7" s="1"/>
  <c r="BD229" i="1"/>
  <c r="AR226" i="7" s="1"/>
  <c r="BC229" i="1"/>
  <c r="AQ226" i="7" s="1"/>
  <c r="BB229" i="1"/>
  <c r="AP226" i="7" s="1"/>
  <c r="BA229" i="1"/>
  <c r="AO226" i="7" s="1"/>
  <c r="AZ229" i="1"/>
  <c r="AN226" i="7" s="1"/>
  <c r="AY229" i="1"/>
  <c r="AM226" i="7" s="1"/>
  <c r="AX229" i="1"/>
  <c r="AL226" i="7" s="1"/>
  <c r="AW229" i="1"/>
  <c r="AK226" i="7" s="1"/>
  <c r="AV229" i="1"/>
  <c r="AJ226" i="7" s="1"/>
  <c r="AU229" i="1"/>
  <c r="AI226" i="7" s="1"/>
  <c r="AT229" i="1"/>
  <c r="AH226" i="7" s="1"/>
  <c r="AS229" i="1"/>
  <c r="AG226" i="7" s="1"/>
  <c r="AR229" i="1"/>
  <c r="AF226" i="7" s="1"/>
  <c r="AQ229" i="1"/>
  <c r="AE226" i="7" s="1"/>
  <c r="AP229" i="1"/>
  <c r="AD226" i="7" s="1"/>
  <c r="AO229" i="1"/>
  <c r="AC226" i="7" s="1"/>
  <c r="AN229" i="1"/>
  <c r="AB226" i="7" s="1"/>
  <c r="AM229" i="1"/>
  <c r="AA226" i="7" s="1"/>
  <c r="AL229" i="1"/>
  <c r="Z226" i="7" s="1"/>
  <c r="AK229" i="1"/>
  <c r="Y226" i="7" s="1"/>
  <c r="AJ229" i="1"/>
  <c r="X226" i="7" s="1"/>
  <c r="AI229" i="1"/>
  <c r="W226" i="7" s="1"/>
  <c r="AH229" i="1"/>
  <c r="V226" i="7" s="1"/>
  <c r="AG229" i="1"/>
  <c r="U226" i="7" s="1"/>
  <c r="AF229" i="1"/>
  <c r="T226" i="7" s="1"/>
  <c r="AE229" i="1"/>
  <c r="S226" i="7" s="1"/>
  <c r="AD229" i="1"/>
  <c r="R226" i="7" s="1"/>
  <c r="AC229" i="1"/>
  <c r="Q226" i="7" s="1"/>
  <c r="AB229" i="1"/>
  <c r="P226" i="7" s="1"/>
  <c r="AA229" i="1"/>
  <c r="O226" i="7" s="1"/>
  <c r="Z229" i="1"/>
  <c r="N226" i="7" s="1"/>
  <c r="Y229" i="1"/>
  <c r="M226" i="7" s="1"/>
  <c r="X229" i="1"/>
  <c r="L226" i="7" s="1"/>
  <c r="W229" i="1"/>
  <c r="K226" i="7" s="1"/>
  <c r="V229" i="1"/>
  <c r="J226" i="7" s="1"/>
  <c r="U229" i="1"/>
  <c r="I226" i="7" s="1"/>
  <c r="T229" i="1"/>
  <c r="H226" i="7" s="1"/>
  <c r="S229" i="1"/>
  <c r="G226" i="7" s="1"/>
  <c r="R229" i="1"/>
  <c r="F226" i="7" s="1"/>
  <c r="O229" i="1"/>
  <c r="O230" i="1" s="1"/>
  <c r="O228" i="1"/>
  <c r="M228" i="1"/>
  <c r="M227" i="1"/>
  <c r="O226" i="1"/>
  <c r="M226" i="1"/>
  <c r="M225" i="1"/>
  <c r="CO224" i="1"/>
  <c r="CC221" i="7" s="1"/>
  <c r="CN224" i="1"/>
  <c r="CB221" i="7" s="1"/>
  <c r="CM224" i="1"/>
  <c r="CA221" i="7" s="1"/>
  <c r="CL224" i="1"/>
  <c r="BZ221" i="7" s="1"/>
  <c r="CK224" i="1"/>
  <c r="BY221" i="7" s="1"/>
  <c r="CJ224" i="1"/>
  <c r="BX221" i="7" s="1"/>
  <c r="CI224" i="1"/>
  <c r="BW221" i="7" s="1"/>
  <c r="CH224" i="1"/>
  <c r="BV221" i="7" s="1"/>
  <c r="CG224" i="1"/>
  <c r="BU221" i="7" s="1"/>
  <c r="CF224" i="1"/>
  <c r="BT221" i="7" s="1"/>
  <c r="CE224" i="1"/>
  <c r="BS221" i="7" s="1"/>
  <c r="CD224" i="1"/>
  <c r="BR221" i="7" s="1"/>
  <c r="CC224" i="1"/>
  <c r="BQ221" i="7" s="1"/>
  <c r="CB224" i="1"/>
  <c r="BP221" i="7" s="1"/>
  <c r="CA224" i="1"/>
  <c r="BO221" i="7" s="1"/>
  <c r="BZ224" i="1"/>
  <c r="BN221" i="7" s="1"/>
  <c r="BY224" i="1"/>
  <c r="BM221" i="7" s="1"/>
  <c r="BX224" i="1"/>
  <c r="BL221" i="7" s="1"/>
  <c r="BW224" i="1"/>
  <c r="BK221" i="7" s="1"/>
  <c r="BV224" i="1"/>
  <c r="BJ221" i="7" s="1"/>
  <c r="BU224" i="1"/>
  <c r="BI221" i="7" s="1"/>
  <c r="BT224" i="1"/>
  <c r="BH221" i="7" s="1"/>
  <c r="BS224" i="1"/>
  <c r="BG221" i="7" s="1"/>
  <c r="BR224" i="1"/>
  <c r="BF221" i="7" s="1"/>
  <c r="BQ224" i="1"/>
  <c r="BE221" i="7" s="1"/>
  <c r="BP224" i="1"/>
  <c r="BD221" i="7" s="1"/>
  <c r="BO224" i="1"/>
  <c r="BC221" i="7" s="1"/>
  <c r="BN224" i="1"/>
  <c r="BB221" i="7" s="1"/>
  <c r="BM224" i="1"/>
  <c r="BA221" i="7" s="1"/>
  <c r="BL224" i="1"/>
  <c r="AZ221" i="7" s="1"/>
  <c r="BK224" i="1"/>
  <c r="AY221" i="7" s="1"/>
  <c r="BJ224" i="1"/>
  <c r="AX221" i="7" s="1"/>
  <c r="BI224" i="1"/>
  <c r="AW221" i="7" s="1"/>
  <c r="BH224" i="1"/>
  <c r="AV221" i="7" s="1"/>
  <c r="BG224" i="1"/>
  <c r="AU221" i="7" s="1"/>
  <c r="BF224" i="1"/>
  <c r="AT221" i="7" s="1"/>
  <c r="BE224" i="1"/>
  <c r="AS221" i="7" s="1"/>
  <c r="BD224" i="1"/>
  <c r="AR221" i="7" s="1"/>
  <c r="BC224" i="1"/>
  <c r="AQ221" i="7" s="1"/>
  <c r="BB224" i="1"/>
  <c r="AP221" i="7" s="1"/>
  <c r="BA224" i="1"/>
  <c r="AO221" i="7" s="1"/>
  <c r="AZ224" i="1"/>
  <c r="AN221" i="7" s="1"/>
  <c r="AY224" i="1"/>
  <c r="AM221" i="7" s="1"/>
  <c r="AX224" i="1"/>
  <c r="AL221" i="7" s="1"/>
  <c r="AW224" i="1"/>
  <c r="AK221" i="7" s="1"/>
  <c r="AV224" i="1"/>
  <c r="AJ221" i="7" s="1"/>
  <c r="AU224" i="1"/>
  <c r="AI221" i="7" s="1"/>
  <c r="AT224" i="1"/>
  <c r="AH221" i="7" s="1"/>
  <c r="AS224" i="1"/>
  <c r="AG221" i="7" s="1"/>
  <c r="AR224" i="1"/>
  <c r="AF221" i="7" s="1"/>
  <c r="AQ224" i="1"/>
  <c r="AE221" i="7" s="1"/>
  <c r="AP224" i="1"/>
  <c r="AD221" i="7" s="1"/>
  <c r="AO224" i="1"/>
  <c r="AC221" i="7" s="1"/>
  <c r="AN224" i="1"/>
  <c r="AB221" i="7" s="1"/>
  <c r="AM224" i="1"/>
  <c r="AA221" i="7" s="1"/>
  <c r="AL224" i="1"/>
  <c r="Z221" i="7" s="1"/>
  <c r="AK224" i="1"/>
  <c r="Y221" i="7" s="1"/>
  <c r="AJ224" i="1"/>
  <c r="X221" i="7" s="1"/>
  <c r="AI224" i="1"/>
  <c r="W221" i="7" s="1"/>
  <c r="AH224" i="1"/>
  <c r="V221" i="7" s="1"/>
  <c r="AG224" i="1"/>
  <c r="U221" i="7" s="1"/>
  <c r="AF224" i="1"/>
  <c r="T221" i="7" s="1"/>
  <c r="AE224" i="1"/>
  <c r="S221" i="7" s="1"/>
  <c r="AD224" i="1"/>
  <c r="R221" i="7" s="1"/>
  <c r="AC224" i="1"/>
  <c r="Q221" i="7" s="1"/>
  <c r="AB224" i="1"/>
  <c r="P221" i="7" s="1"/>
  <c r="AA224" i="1"/>
  <c r="O221" i="7" s="1"/>
  <c r="Z224" i="1"/>
  <c r="N221" i="7" s="1"/>
  <c r="Y224" i="1"/>
  <c r="M221" i="7" s="1"/>
  <c r="X224" i="1"/>
  <c r="L221" i="7" s="1"/>
  <c r="W224" i="1"/>
  <c r="K221" i="7" s="1"/>
  <c r="V224" i="1"/>
  <c r="J221" i="7" s="1"/>
  <c r="U224" i="1"/>
  <c r="I221" i="7" s="1"/>
  <c r="T224" i="1"/>
  <c r="H221" i="7" s="1"/>
  <c r="S224" i="1"/>
  <c r="G221" i="7" s="1"/>
  <c r="R224" i="1"/>
  <c r="F221" i="7" s="1"/>
  <c r="CO223" i="1"/>
  <c r="CC220" i="7" s="1"/>
  <c r="CN223" i="1"/>
  <c r="CB220" i="7" s="1"/>
  <c r="CM223" i="1"/>
  <c r="CA220" i="7" s="1"/>
  <c r="CL223" i="1"/>
  <c r="BZ220" i="7" s="1"/>
  <c r="CK223" i="1"/>
  <c r="BY220" i="7" s="1"/>
  <c r="CJ223" i="1"/>
  <c r="BX220" i="7" s="1"/>
  <c r="CI223" i="1"/>
  <c r="BW220" i="7" s="1"/>
  <c r="CG223" i="1"/>
  <c r="BU220" i="7" s="1"/>
  <c r="CE223" i="1"/>
  <c r="BS220" i="7" s="1"/>
  <c r="CD223" i="1"/>
  <c r="BR220" i="7" s="1"/>
  <c r="CC223" i="1"/>
  <c r="BQ220" i="7" s="1"/>
  <c r="CB223" i="1"/>
  <c r="BP220" i="7" s="1"/>
  <c r="CA223" i="1"/>
  <c r="BO220" i="7" s="1"/>
  <c r="BZ223" i="1"/>
  <c r="BN220" i="7" s="1"/>
  <c r="BY223" i="1"/>
  <c r="BM220" i="7" s="1"/>
  <c r="BU223" i="1"/>
  <c r="BI220" i="7" s="1"/>
  <c r="BT223" i="1"/>
  <c r="BH220" i="7" s="1"/>
  <c r="BS223" i="1"/>
  <c r="BG220" i="7" s="1"/>
  <c r="BR223" i="1"/>
  <c r="BF220" i="7" s="1"/>
  <c r="BQ223" i="1"/>
  <c r="BE220" i="7" s="1"/>
  <c r="BP223" i="1"/>
  <c r="BD220" i="7" s="1"/>
  <c r="BO223" i="1"/>
  <c r="BC220" i="7" s="1"/>
  <c r="BN223" i="1"/>
  <c r="BB220" i="7" s="1"/>
  <c r="BM223" i="1"/>
  <c r="BA220" i="7" s="1"/>
  <c r="BL223" i="1"/>
  <c r="AZ220" i="7" s="1"/>
  <c r="BK223" i="1"/>
  <c r="AY220" i="7" s="1"/>
  <c r="BJ223" i="1"/>
  <c r="AX220" i="7" s="1"/>
  <c r="BI223" i="1"/>
  <c r="AW220" i="7" s="1"/>
  <c r="BH223" i="1"/>
  <c r="AV220" i="7" s="1"/>
  <c r="BG223" i="1"/>
  <c r="AU220" i="7" s="1"/>
  <c r="BF223" i="1"/>
  <c r="AT220" i="7" s="1"/>
  <c r="BE223" i="1"/>
  <c r="AS220" i="7" s="1"/>
  <c r="BD223" i="1"/>
  <c r="AR220" i="7" s="1"/>
  <c r="BC223" i="1"/>
  <c r="AQ220" i="7" s="1"/>
  <c r="BB223" i="1"/>
  <c r="AP220" i="7" s="1"/>
  <c r="BA223" i="1"/>
  <c r="AO220" i="7" s="1"/>
  <c r="AZ223" i="1"/>
  <c r="AN220" i="7" s="1"/>
  <c r="AY223" i="1"/>
  <c r="AM220" i="7" s="1"/>
  <c r="AX223" i="1"/>
  <c r="AL220" i="7" s="1"/>
  <c r="AW223" i="1"/>
  <c r="AK220" i="7" s="1"/>
  <c r="AV223" i="1"/>
  <c r="AJ220" i="7" s="1"/>
  <c r="AU223" i="1"/>
  <c r="AI220" i="7" s="1"/>
  <c r="AT223" i="1"/>
  <c r="AH220" i="7" s="1"/>
  <c r="AS223" i="1"/>
  <c r="AG220" i="7" s="1"/>
  <c r="AR223" i="1"/>
  <c r="AF220" i="7" s="1"/>
  <c r="AQ223" i="1"/>
  <c r="AE220" i="7" s="1"/>
  <c r="AP223" i="1"/>
  <c r="AD220" i="7" s="1"/>
  <c r="AO223" i="1"/>
  <c r="AC220" i="7" s="1"/>
  <c r="AN223" i="1"/>
  <c r="AB220" i="7" s="1"/>
  <c r="AM223" i="1"/>
  <c r="AA220" i="7" s="1"/>
  <c r="AL223" i="1"/>
  <c r="Z220" i="7" s="1"/>
  <c r="AK223" i="1"/>
  <c r="Y220" i="7" s="1"/>
  <c r="AJ223" i="1"/>
  <c r="X220" i="7" s="1"/>
  <c r="AI223" i="1"/>
  <c r="W220" i="7" s="1"/>
  <c r="AH223" i="1"/>
  <c r="V220" i="7" s="1"/>
  <c r="AG223" i="1"/>
  <c r="U220" i="7" s="1"/>
  <c r="AF223" i="1"/>
  <c r="T220" i="7" s="1"/>
  <c r="AE223" i="1"/>
  <c r="S220" i="7" s="1"/>
  <c r="AD223" i="1"/>
  <c r="R220" i="7" s="1"/>
  <c r="AC223" i="1"/>
  <c r="Q220" i="7" s="1"/>
  <c r="AB223" i="1"/>
  <c r="P220" i="7" s="1"/>
  <c r="AA223" i="1"/>
  <c r="O220" i="7" s="1"/>
  <c r="Z223" i="1"/>
  <c r="N220" i="7" s="1"/>
  <c r="Y223" i="1"/>
  <c r="M220" i="7" s="1"/>
  <c r="X223" i="1"/>
  <c r="L220" i="7" s="1"/>
  <c r="W223" i="1"/>
  <c r="K220" i="7" s="1"/>
  <c r="V223" i="1"/>
  <c r="J220" i="7" s="1"/>
  <c r="U223" i="1"/>
  <c r="I220" i="7" s="1"/>
  <c r="T223" i="1"/>
  <c r="H220" i="7" s="1"/>
  <c r="S223" i="1"/>
  <c r="G220" i="7" s="1"/>
  <c r="R223" i="1"/>
  <c r="F220" i="7" s="1"/>
  <c r="O223" i="1"/>
  <c r="O222" i="1"/>
  <c r="M222" i="1"/>
  <c r="M221" i="1"/>
  <c r="O220" i="1"/>
  <c r="BZ215" i="1" s="1"/>
  <c r="BN212" i="7" s="1"/>
  <c r="M220" i="1"/>
  <c r="M219" i="1"/>
  <c r="O218" i="1"/>
  <c r="M218" i="1"/>
  <c r="M217" i="1"/>
  <c r="CO216" i="1"/>
  <c r="CC213" i="7" s="1"/>
  <c r="CN216" i="1"/>
  <c r="CB213" i="7" s="1"/>
  <c r="CM216" i="1"/>
  <c r="CA213" i="7" s="1"/>
  <c r="CL216" i="1"/>
  <c r="BZ213" i="7" s="1"/>
  <c r="CK216" i="1"/>
  <c r="BY213" i="7" s="1"/>
  <c r="CJ216" i="1"/>
  <c r="BX213" i="7" s="1"/>
  <c r="CI216" i="1"/>
  <c r="BW213" i="7" s="1"/>
  <c r="CH216" i="1"/>
  <c r="BV213" i="7" s="1"/>
  <c r="CG216" i="1"/>
  <c r="BU213" i="7" s="1"/>
  <c r="CF216" i="1"/>
  <c r="BT213" i="7" s="1"/>
  <c r="CE216" i="1"/>
  <c r="BS213" i="7" s="1"/>
  <c r="CD216" i="1"/>
  <c r="BR213" i="7" s="1"/>
  <c r="CC216" i="1"/>
  <c r="BQ213" i="7" s="1"/>
  <c r="CB216" i="1"/>
  <c r="BP213" i="7" s="1"/>
  <c r="CA216" i="1"/>
  <c r="BO213" i="7" s="1"/>
  <c r="BZ216" i="1"/>
  <c r="BN213" i="7" s="1"/>
  <c r="BY216" i="1"/>
  <c r="BM213" i="7" s="1"/>
  <c r="BX216" i="1"/>
  <c r="BL213" i="7" s="1"/>
  <c r="BW216" i="1"/>
  <c r="BK213" i="7" s="1"/>
  <c r="BV216" i="1"/>
  <c r="BJ213" i="7" s="1"/>
  <c r="BU216" i="1"/>
  <c r="BI213" i="7" s="1"/>
  <c r="BT216" i="1"/>
  <c r="BH213" i="7" s="1"/>
  <c r="BS216" i="1"/>
  <c r="BG213" i="7" s="1"/>
  <c r="BR216" i="1"/>
  <c r="BF213" i="7" s="1"/>
  <c r="BQ216" i="1"/>
  <c r="BE213" i="7" s="1"/>
  <c r="BP216" i="1"/>
  <c r="BD213" i="7" s="1"/>
  <c r="BO216" i="1"/>
  <c r="BC213" i="7" s="1"/>
  <c r="BN216" i="1"/>
  <c r="BB213" i="7" s="1"/>
  <c r="BM216" i="1"/>
  <c r="BA213" i="7" s="1"/>
  <c r="BL216" i="1"/>
  <c r="AZ213" i="7" s="1"/>
  <c r="BK216" i="1"/>
  <c r="AY213" i="7" s="1"/>
  <c r="BJ216" i="1"/>
  <c r="AX213" i="7" s="1"/>
  <c r="BI216" i="1"/>
  <c r="AW213" i="7" s="1"/>
  <c r="BH216" i="1"/>
  <c r="AV213" i="7" s="1"/>
  <c r="BG216" i="1"/>
  <c r="AU213" i="7" s="1"/>
  <c r="BF216" i="1"/>
  <c r="AT213" i="7" s="1"/>
  <c r="BE216" i="1"/>
  <c r="AS213" i="7" s="1"/>
  <c r="BD216" i="1"/>
  <c r="AR213" i="7" s="1"/>
  <c r="BC216" i="1"/>
  <c r="AQ213" i="7" s="1"/>
  <c r="BB216" i="1"/>
  <c r="AP213" i="7" s="1"/>
  <c r="BA216" i="1"/>
  <c r="AO213" i="7" s="1"/>
  <c r="AZ216" i="1"/>
  <c r="AN213" i="7" s="1"/>
  <c r="AY216" i="1"/>
  <c r="AM213" i="7" s="1"/>
  <c r="AX216" i="1"/>
  <c r="AL213" i="7" s="1"/>
  <c r="AW216" i="1"/>
  <c r="AK213" i="7" s="1"/>
  <c r="AV216" i="1"/>
  <c r="AJ213" i="7" s="1"/>
  <c r="AU216" i="1"/>
  <c r="AI213" i="7" s="1"/>
  <c r="AT216" i="1"/>
  <c r="AH213" i="7" s="1"/>
  <c r="AS216" i="1"/>
  <c r="AG213" i="7" s="1"/>
  <c r="AR216" i="1"/>
  <c r="AF213" i="7" s="1"/>
  <c r="AQ216" i="1"/>
  <c r="AE213" i="7" s="1"/>
  <c r="AP216" i="1"/>
  <c r="AD213" i="7" s="1"/>
  <c r="AO216" i="1"/>
  <c r="AC213" i="7" s="1"/>
  <c r="AN216" i="1"/>
  <c r="AB213" i="7" s="1"/>
  <c r="AM216" i="1"/>
  <c r="AA213" i="7" s="1"/>
  <c r="AL216" i="1"/>
  <c r="Z213" i="7" s="1"/>
  <c r="AK216" i="1"/>
  <c r="Y213" i="7" s="1"/>
  <c r="AJ216" i="1"/>
  <c r="X213" i="7" s="1"/>
  <c r="AI216" i="1"/>
  <c r="W213" i="7" s="1"/>
  <c r="AH216" i="1"/>
  <c r="V213" i="7" s="1"/>
  <c r="AG216" i="1"/>
  <c r="U213" i="7" s="1"/>
  <c r="AF216" i="1"/>
  <c r="T213" i="7" s="1"/>
  <c r="AE216" i="1"/>
  <c r="S213" i="7" s="1"/>
  <c r="AD216" i="1"/>
  <c r="R213" i="7" s="1"/>
  <c r="AC216" i="1"/>
  <c r="Q213" i="7" s="1"/>
  <c r="AB216" i="1"/>
  <c r="P213" i="7" s="1"/>
  <c r="AA216" i="1"/>
  <c r="O213" i="7" s="1"/>
  <c r="Z216" i="1"/>
  <c r="N213" i="7" s="1"/>
  <c r="Y216" i="1"/>
  <c r="M213" i="7" s="1"/>
  <c r="X216" i="1"/>
  <c r="L213" i="7" s="1"/>
  <c r="W216" i="1"/>
  <c r="K213" i="7" s="1"/>
  <c r="V216" i="1"/>
  <c r="J213" i="7" s="1"/>
  <c r="U216" i="1"/>
  <c r="I213" i="7" s="1"/>
  <c r="T216" i="1"/>
  <c r="H213" i="7" s="1"/>
  <c r="S216" i="1"/>
  <c r="G213" i="7" s="1"/>
  <c r="R216" i="1"/>
  <c r="F213" i="7" s="1"/>
  <c r="CO215" i="1"/>
  <c r="CC212" i="7" s="1"/>
  <c r="CN215" i="1"/>
  <c r="CB212" i="7" s="1"/>
  <c r="CM215" i="1"/>
  <c r="CA212" i="7" s="1"/>
  <c r="CL215" i="1"/>
  <c r="BZ212" i="7" s="1"/>
  <c r="CK215" i="1"/>
  <c r="BY212" i="7" s="1"/>
  <c r="CJ215" i="1"/>
  <c r="BX212" i="7" s="1"/>
  <c r="CI215" i="1"/>
  <c r="BW212" i="7" s="1"/>
  <c r="CH215" i="1"/>
  <c r="BV212" i="7" s="1"/>
  <c r="CG215" i="1"/>
  <c r="BU212" i="7" s="1"/>
  <c r="CF215" i="1"/>
  <c r="BT212" i="7" s="1"/>
  <c r="CE215" i="1"/>
  <c r="BS212" i="7" s="1"/>
  <c r="CD215" i="1"/>
  <c r="BR212" i="7" s="1"/>
  <c r="CC215" i="1"/>
  <c r="BQ212" i="7" s="1"/>
  <c r="BX215" i="1"/>
  <c r="BL212" i="7" s="1"/>
  <c r="BW215" i="1"/>
  <c r="BK212" i="7" s="1"/>
  <c r="BV215" i="1"/>
  <c r="BJ212" i="7" s="1"/>
  <c r="BS215" i="1"/>
  <c r="BG212" i="7" s="1"/>
  <c r="BR215" i="1"/>
  <c r="BF212" i="7" s="1"/>
  <c r="BQ215" i="1"/>
  <c r="BE212" i="7" s="1"/>
  <c r="BP215" i="1"/>
  <c r="BD212" i="7" s="1"/>
  <c r="BO215" i="1"/>
  <c r="BC212" i="7" s="1"/>
  <c r="BN215" i="1"/>
  <c r="BB212" i="7" s="1"/>
  <c r="BM215" i="1"/>
  <c r="BA212" i="7" s="1"/>
  <c r="BL215" i="1"/>
  <c r="AZ212" i="7" s="1"/>
  <c r="BK215" i="1"/>
  <c r="AY212" i="7" s="1"/>
  <c r="BF215" i="1"/>
  <c r="AT212" i="7" s="1"/>
  <c r="BE215" i="1"/>
  <c r="AS212" i="7" s="1"/>
  <c r="BD215" i="1"/>
  <c r="AR212" i="7" s="1"/>
  <c r="BC215" i="1"/>
  <c r="AQ212" i="7" s="1"/>
  <c r="BB215" i="1"/>
  <c r="AP212" i="7" s="1"/>
  <c r="BA215" i="1"/>
  <c r="AO212" i="7" s="1"/>
  <c r="AZ215" i="1"/>
  <c r="AN212" i="7" s="1"/>
  <c r="AY215" i="1"/>
  <c r="AM212" i="7" s="1"/>
  <c r="AX215" i="1"/>
  <c r="AL212" i="7" s="1"/>
  <c r="AW215" i="1"/>
  <c r="AK212" i="7" s="1"/>
  <c r="AV215" i="1"/>
  <c r="AJ212" i="7" s="1"/>
  <c r="AU215" i="1"/>
  <c r="AI212" i="7" s="1"/>
  <c r="AT215" i="1"/>
  <c r="AH212" i="7" s="1"/>
  <c r="AS215" i="1"/>
  <c r="AG212" i="7" s="1"/>
  <c r="AR215" i="1"/>
  <c r="AF212" i="7" s="1"/>
  <c r="AQ215" i="1"/>
  <c r="AE212" i="7" s="1"/>
  <c r="AP215" i="1"/>
  <c r="AD212" i="7" s="1"/>
  <c r="AO215" i="1"/>
  <c r="AC212" i="7" s="1"/>
  <c r="AN215" i="1"/>
  <c r="AB212" i="7" s="1"/>
  <c r="AM215" i="1"/>
  <c r="AA212" i="7" s="1"/>
  <c r="AL215" i="1"/>
  <c r="Z212" i="7" s="1"/>
  <c r="AK215" i="1"/>
  <c r="Y212" i="7" s="1"/>
  <c r="AJ215" i="1"/>
  <c r="X212" i="7" s="1"/>
  <c r="AI215" i="1"/>
  <c r="W212" i="7" s="1"/>
  <c r="AH215" i="1"/>
  <c r="V212" i="7" s="1"/>
  <c r="AG215" i="1"/>
  <c r="U212" i="7" s="1"/>
  <c r="AF215" i="1"/>
  <c r="T212" i="7" s="1"/>
  <c r="AE215" i="1"/>
  <c r="S212" i="7" s="1"/>
  <c r="AD215" i="1"/>
  <c r="R212" i="7" s="1"/>
  <c r="AC215" i="1"/>
  <c r="Q212" i="7" s="1"/>
  <c r="AB215" i="1"/>
  <c r="P212" i="7" s="1"/>
  <c r="AA215" i="1"/>
  <c r="O212" i="7" s="1"/>
  <c r="Z215" i="1"/>
  <c r="N212" i="7" s="1"/>
  <c r="Y215" i="1"/>
  <c r="M212" i="7" s="1"/>
  <c r="X215" i="1"/>
  <c r="L212" i="7" s="1"/>
  <c r="W215" i="1"/>
  <c r="K212" i="7" s="1"/>
  <c r="V215" i="1"/>
  <c r="J212" i="7" s="1"/>
  <c r="U215" i="1"/>
  <c r="I212" i="7" s="1"/>
  <c r="T215" i="1"/>
  <c r="H212" i="7" s="1"/>
  <c r="S215" i="1"/>
  <c r="G212" i="7" s="1"/>
  <c r="R215" i="1"/>
  <c r="F212" i="7" s="1"/>
  <c r="O215" i="1"/>
  <c r="O216" i="1" s="1"/>
  <c r="O214" i="1"/>
  <c r="M214" i="1"/>
  <c r="M213" i="1"/>
  <c r="O212" i="1"/>
  <c r="BR207" i="1" s="1"/>
  <c r="BF204" i="7" s="1"/>
  <c r="M212" i="1"/>
  <c r="M211" i="1"/>
  <c r="O210" i="1"/>
  <c r="M210" i="1"/>
  <c r="M209" i="1"/>
  <c r="CO208" i="1"/>
  <c r="CC205" i="7" s="1"/>
  <c r="CN208" i="1"/>
  <c r="CB205" i="7" s="1"/>
  <c r="CM208" i="1"/>
  <c r="CA205" i="7" s="1"/>
  <c r="CL208" i="1"/>
  <c r="BZ205" i="7" s="1"/>
  <c r="CK208" i="1"/>
  <c r="BY205" i="7" s="1"/>
  <c r="CJ208" i="1"/>
  <c r="BX205" i="7" s="1"/>
  <c r="CI208" i="1"/>
  <c r="BW205" i="7" s="1"/>
  <c r="CH208" i="1"/>
  <c r="BV205" i="7" s="1"/>
  <c r="CG208" i="1"/>
  <c r="BU205" i="7" s="1"/>
  <c r="CF208" i="1"/>
  <c r="BT205" i="7" s="1"/>
  <c r="CE208" i="1"/>
  <c r="BS205" i="7" s="1"/>
  <c r="CD208" i="1"/>
  <c r="BR205" i="7" s="1"/>
  <c r="CC208" i="1"/>
  <c r="BQ205" i="7" s="1"/>
  <c r="CB208" i="1"/>
  <c r="BP205" i="7" s="1"/>
  <c r="CA208" i="1"/>
  <c r="BO205" i="7" s="1"/>
  <c r="BZ208" i="1"/>
  <c r="BN205" i="7" s="1"/>
  <c r="BY208" i="1"/>
  <c r="BM205" i="7" s="1"/>
  <c r="BX208" i="1"/>
  <c r="BL205" i="7" s="1"/>
  <c r="BW208" i="1"/>
  <c r="BK205" i="7" s="1"/>
  <c r="BV208" i="1"/>
  <c r="BJ205" i="7" s="1"/>
  <c r="BU208" i="1"/>
  <c r="BI205" i="7" s="1"/>
  <c r="BT208" i="1"/>
  <c r="BH205" i="7" s="1"/>
  <c r="BS208" i="1"/>
  <c r="BG205" i="7" s="1"/>
  <c r="BR208" i="1"/>
  <c r="BF205" i="7" s="1"/>
  <c r="BQ208" i="1"/>
  <c r="BE205" i="7" s="1"/>
  <c r="BP208" i="1"/>
  <c r="BD205" i="7" s="1"/>
  <c r="BO208" i="1"/>
  <c r="BC205" i="7" s="1"/>
  <c r="BN208" i="1"/>
  <c r="BB205" i="7" s="1"/>
  <c r="BM208" i="1"/>
  <c r="BA205" i="7" s="1"/>
  <c r="BL208" i="1"/>
  <c r="AZ205" i="7" s="1"/>
  <c r="BK208" i="1"/>
  <c r="AY205" i="7" s="1"/>
  <c r="BJ208" i="1"/>
  <c r="AX205" i="7" s="1"/>
  <c r="BI208" i="1"/>
  <c r="AW205" i="7" s="1"/>
  <c r="BH208" i="1"/>
  <c r="AV205" i="7" s="1"/>
  <c r="BG208" i="1"/>
  <c r="AU205" i="7" s="1"/>
  <c r="BF208" i="1"/>
  <c r="AT205" i="7" s="1"/>
  <c r="BE208" i="1"/>
  <c r="AS205" i="7" s="1"/>
  <c r="BD208" i="1"/>
  <c r="AR205" i="7" s="1"/>
  <c r="BC208" i="1"/>
  <c r="AQ205" i="7" s="1"/>
  <c r="BB208" i="1"/>
  <c r="AP205" i="7" s="1"/>
  <c r="BA208" i="1"/>
  <c r="AO205" i="7" s="1"/>
  <c r="AZ208" i="1"/>
  <c r="AN205" i="7" s="1"/>
  <c r="AY208" i="1"/>
  <c r="AM205" i="7" s="1"/>
  <c r="AX208" i="1"/>
  <c r="AL205" i="7" s="1"/>
  <c r="AW208" i="1"/>
  <c r="AK205" i="7" s="1"/>
  <c r="AV208" i="1"/>
  <c r="AJ205" i="7" s="1"/>
  <c r="AU208" i="1"/>
  <c r="AI205" i="7" s="1"/>
  <c r="AT208" i="1"/>
  <c r="AH205" i="7" s="1"/>
  <c r="AS208" i="1"/>
  <c r="AG205" i="7" s="1"/>
  <c r="AR208" i="1"/>
  <c r="AF205" i="7" s="1"/>
  <c r="AQ208" i="1"/>
  <c r="AE205" i="7" s="1"/>
  <c r="AP208" i="1"/>
  <c r="AD205" i="7" s="1"/>
  <c r="AO208" i="1"/>
  <c r="AC205" i="7" s="1"/>
  <c r="AN208" i="1"/>
  <c r="AB205" i="7" s="1"/>
  <c r="AM208" i="1"/>
  <c r="AA205" i="7" s="1"/>
  <c r="AL208" i="1"/>
  <c r="Z205" i="7" s="1"/>
  <c r="AK208" i="1"/>
  <c r="Y205" i="7" s="1"/>
  <c r="AJ208" i="1"/>
  <c r="X205" i="7" s="1"/>
  <c r="AI208" i="1"/>
  <c r="W205" i="7" s="1"/>
  <c r="AH208" i="1"/>
  <c r="V205" i="7" s="1"/>
  <c r="AG208" i="1"/>
  <c r="U205" i="7" s="1"/>
  <c r="AF208" i="1"/>
  <c r="T205" i="7" s="1"/>
  <c r="AE208" i="1"/>
  <c r="S205" i="7" s="1"/>
  <c r="AD208" i="1"/>
  <c r="R205" i="7" s="1"/>
  <c r="AC208" i="1"/>
  <c r="Q205" i="7" s="1"/>
  <c r="AB208" i="1"/>
  <c r="P205" i="7" s="1"/>
  <c r="AA208" i="1"/>
  <c r="O205" i="7" s="1"/>
  <c r="Z208" i="1"/>
  <c r="N205" i="7" s="1"/>
  <c r="Y208" i="1"/>
  <c r="M205" i="7" s="1"/>
  <c r="X208" i="1"/>
  <c r="L205" i="7" s="1"/>
  <c r="W208" i="1"/>
  <c r="K205" i="7" s="1"/>
  <c r="V208" i="1"/>
  <c r="J205" i="7" s="1"/>
  <c r="U208" i="1"/>
  <c r="I205" i="7" s="1"/>
  <c r="T208" i="1"/>
  <c r="H205" i="7" s="1"/>
  <c r="S208" i="1"/>
  <c r="G205" i="7" s="1"/>
  <c r="R208" i="1"/>
  <c r="F205" i="7" s="1"/>
  <c r="CO207" i="1"/>
  <c r="CC204" i="7" s="1"/>
  <c r="CN207" i="1"/>
  <c r="CB204" i="7" s="1"/>
  <c r="CM207" i="1"/>
  <c r="CA204" i="7" s="1"/>
  <c r="CL207" i="1"/>
  <c r="BZ204" i="7" s="1"/>
  <c r="CK207" i="1"/>
  <c r="BY204" i="7" s="1"/>
  <c r="CJ207" i="1"/>
  <c r="BX204" i="7" s="1"/>
  <c r="CI207" i="1"/>
  <c r="BW204" i="7" s="1"/>
  <c r="CH207" i="1"/>
  <c r="BV204" i="7" s="1"/>
  <c r="CG207" i="1"/>
  <c r="BU204" i="7" s="1"/>
  <c r="CF207" i="1"/>
  <c r="BT204" i="7" s="1"/>
  <c r="CE207" i="1"/>
  <c r="BS204" i="7" s="1"/>
  <c r="CD207" i="1"/>
  <c r="BR204" i="7" s="1"/>
  <c r="CC207" i="1"/>
  <c r="BQ204" i="7" s="1"/>
  <c r="CB207" i="1"/>
  <c r="BP204" i="7" s="1"/>
  <c r="CA207" i="1"/>
  <c r="BO204" i="7" s="1"/>
  <c r="BZ207" i="1"/>
  <c r="BN204" i="7" s="1"/>
  <c r="BY207" i="1"/>
  <c r="BM204" i="7" s="1"/>
  <c r="BX207" i="1"/>
  <c r="BL204" i="7" s="1"/>
  <c r="BW207" i="1"/>
  <c r="BK204" i="7" s="1"/>
  <c r="BV207" i="1"/>
  <c r="BJ204" i="7" s="1"/>
  <c r="BU207" i="1"/>
  <c r="BI204" i="7" s="1"/>
  <c r="BT207" i="1"/>
  <c r="BH204" i="7" s="1"/>
  <c r="BM207" i="1"/>
  <c r="BA204" i="7" s="1"/>
  <c r="BK207" i="1"/>
  <c r="AY204" i="7" s="1"/>
  <c r="BJ207" i="1"/>
  <c r="AX204" i="7" s="1"/>
  <c r="BI207" i="1"/>
  <c r="AW204" i="7" s="1"/>
  <c r="BH207" i="1"/>
  <c r="AV204" i="7" s="1"/>
  <c r="BC207" i="1"/>
  <c r="AQ204" i="7" s="1"/>
  <c r="BB207" i="1"/>
  <c r="AP204" i="7" s="1"/>
  <c r="BA207" i="1"/>
  <c r="AO204" i="7" s="1"/>
  <c r="AZ207" i="1"/>
  <c r="AN204" i="7" s="1"/>
  <c r="AY207" i="1"/>
  <c r="AM204" i="7" s="1"/>
  <c r="AX207" i="1"/>
  <c r="AL204" i="7" s="1"/>
  <c r="AW207" i="1"/>
  <c r="AK204" i="7" s="1"/>
  <c r="AV207" i="1"/>
  <c r="AJ204" i="7" s="1"/>
  <c r="AU207" i="1"/>
  <c r="AI204" i="7" s="1"/>
  <c r="AT207" i="1"/>
  <c r="AH204" i="7" s="1"/>
  <c r="AS207" i="1"/>
  <c r="AG204" i="7" s="1"/>
  <c r="AR207" i="1"/>
  <c r="AF204" i="7" s="1"/>
  <c r="AQ207" i="1"/>
  <c r="AE204" i="7" s="1"/>
  <c r="AP207" i="1"/>
  <c r="AD204" i="7" s="1"/>
  <c r="AO207" i="1"/>
  <c r="AC204" i="7" s="1"/>
  <c r="AN207" i="1"/>
  <c r="AB204" i="7" s="1"/>
  <c r="AM207" i="1"/>
  <c r="AA204" i="7" s="1"/>
  <c r="AL207" i="1"/>
  <c r="Z204" i="7" s="1"/>
  <c r="AK207" i="1"/>
  <c r="Y204" i="7" s="1"/>
  <c r="AJ207" i="1"/>
  <c r="X204" i="7" s="1"/>
  <c r="AI207" i="1"/>
  <c r="W204" i="7" s="1"/>
  <c r="AH207" i="1"/>
  <c r="V204" i="7" s="1"/>
  <c r="AG207" i="1"/>
  <c r="U204" i="7" s="1"/>
  <c r="AF207" i="1"/>
  <c r="T204" i="7" s="1"/>
  <c r="AE207" i="1"/>
  <c r="S204" i="7" s="1"/>
  <c r="AD207" i="1"/>
  <c r="R204" i="7" s="1"/>
  <c r="AC207" i="1"/>
  <c r="Q204" i="7" s="1"/>
  <c r="AB207" i="1"/>
  <c r="P204" i="7" s="1"/>
  <c r="AA207" i="1"/>
  <c r="O204" i="7" s="1"/>
  <c r="Z207" i="1"/>
  <c r="N204" i="7" s="1"/>
  <c r="Y207" i="1"/>
  <c r="M204" i="7" s="1"/>
  <c r="X207" i="1"/>
  <c r="L204" i="7" s="1"/>
  <c r="W207" i="1"/>
  <c r="K204" i="7" s="1"/>
  <c r="V207" i="1"/>
  <c r="J204" i="7" s="1"/>
  <c r="U207" i="1"/>
  <c r="I204" i="7" s="1"/>
  <c r="T207" i="1"/>
  <c r="H204" i="7" s="1"/>
  <c r="S207" i="1"/>
  <c r="G204" i="7" s="1"/>
  <c r="R207" i="1"/>
  <c r="F204" i="7" s="1"/>
  <c r="O207" i="1"/>
  <c r="O208" i="1" s="1"/>
  <c r="CO206" i="1"/>
  <c r="CC203" i="7" s="1"/>
  <c r="CN206" i="1"/>
  <c r="CB203" i="7" s="1"/>
  <c r="CM206" i="1"/>
  <c r="CA203" i="7" s="1"/>
  <c r="CL206" i="1"/>
  <c r="BZ203" i="7" s="1"/>
  <c r="CK206" i="1"/>
  <c r="BY203" i="7" s="1"/>
  <c r="CJ206" i="1"/>
  <c r="BX203" i="7" s="1"/>
  <c r="CI206" i="1"/>
  <c r="BW203" i="7" s="1"/>
  <c r="CH206" i="1"/>
  <c r="BV203" i="7" s="1"/>
  <c r="CG206" i="1"/>
  <c r="BU203" i="7" s="1"/>
  <c r="CF206" i="1"/>
  <c r="BT203" i="7" s="1"/>
  <c r="CE206" i="1"/>
  <c r="BS203" i="7" s="1"/>
  <c r="CD206" i="1"/>
  <c r="BR203" i="7" s="1"/>
  <c r="CC206" i="1"/>
  <c r="BQ203" i="7" s="1"/>
  <c r="CB206" i="1"/>
  <c r="BP203" i="7" s="1"/>
  <c r="CA206" i="1"/>
  <c r="BO203" i="7" s="1"/>
  <c r="BZ206" i="1"/>
  <c r="BN203" i="7" s="1"/>
  <c r="BY206" i="1"/>
  <c r="BM203" i="7" s="1"/>
  <c r="BX206" i="1"/>
  <c r="BL203" i="7" s="1"/>
  <c r="BW206" i="1"/>
  <c r="BK203" i="7" s="1"/>
  <c r="BV206" i="1"/>
  <c r="BJ203" i="7" s="1"/>
  <c r="BU206" i="1"/>
  <c r="BI203" i="7" s="1"/>
  <c r="BT206" i="1"/>
  <c r="BH203" i="7" s="1"/>
  <c r="BS206" i="1"/>
  <c r="BG203" i="7" s="1"/>
  <c r="BR206" i="1"/>
  <c r="BF203" i="7" s="1"/>
  <c r="BQ206" i="1"/>
  <c r="BE203" i="7" s="1"/>
  <c r="BP206" i="1"/>
  <c r="BD203" i="7" s="1"/>
  <c r="BO206" i="1"/>
  <c r="BC203" i="7" s="1"/>
  <c r="BN206" i="1"/>
  <c r="BB203" i="7" s="1"/>
  <c r="BM206" i="1"/>
  <c r="BA203" i="7" s="1"/>
  <c r="BL206" i="1"/>
  <c r="AZ203" i="7" s="1"/>
  <c r="BK206" i="1"/>
  <c r="AY203" i="7" s="1"/>
  <c r="BJ206" i="1"/>
  <c r="AX203" i="7" s="1"/>
  <c r="BI206" i="1"/>
  <c r="AW203" i="7" s="1"/>
  <c r="BH206" i="1"/>
  <c r="AV203" i="7" s="1"/>
  <c r="BG206" i="1"/>
  <c r="AU203" i="7" s="1"/>
  <c r="BF206" i="1"/>
  <c r="AT203" i="7" s="1"/>
  <c r="BE206" i="1"/>
  <c r="AS203" i="7" s="1"/>
  <c r="BD206" i="1"/>
  <c r="AR203" i="7" s="1"/>
  <c r="BC206" i="1"/>
  <c r="AQ203" i="7" s="1"/>
  <c r="BB206" i="1"/>
  <c r="AP203" i="7" s="1"/>
  <c r="BA206" i="1"/>
  <c r="AO203" i="7" s="1"/>
  <c r="AZ206" i="1"/>
  <c r="AN203" i="7" s="1"/>
  <c r="AY206" i="1"/>
  <c r="AM203" i="7" s="1"/>
  <c r="AX206" i="1"/>
  <c r="AL203" i="7" s="1"/>
  <c r="AW206" i="1"/>
  <c r="AK203" i="7" s="1"/>
  <c r="AV206" i="1"/>
  <c r="AJ203" i="7" s="1"/>
  <c r="AU206" i="1"/>
  <c r="AI203" i="7" s="1"/>
  <c r="AT206" i="1"/>
  <c r="AH203" i="7" s="1"/>
  <c r="AS206" i="1"/>
  <c r="AG203" i="7" s="1"/>
  <c r="AR206" i="1"/>
  <c r="AF203" i="7" s="1"/>
  <c r="AQ206" i="1"/>
  <c r="AE203" i="7" s="1"/>
  <c r="AP206" i="1"/>
  <c r="AD203" i="7" s="1"/>
  <c r="AO206" i="1"/>
  <c r="AC203" i="7" s="1"/>
  <c r="AN206" i="1"/>
  <c r="AB203" i="7" s="1"/>
  <c r="AM206" i="1"/>
  <c r="AA203" i="7" s="1"/>
  <c r="AL206" i="1"/>
  <c r="Z203" i="7" s="1"/>
  <c r="AK206" i="1"/>
  <c r="Y203" i="7" s="1"/>
  <c r="AJ206" i="1"/>
  <c r="X203" i="7" s="1"/>
  <c r="AI206" i="1"/>
  <c r="W203" i="7" s="1"/>
  <c r="AH206" i="1"/>
  <c r="V203" i="7" s="1"/>
  <c r="AG206" i="1"/>
  <c r="U203" i="7" s="1"/>
  <c r="AF206" i="1"/>
  <c r="T203" i="7" s="1"/>
  <c r="AE206" i="1"/>
  <c r="S203" i="7" s="1"/>
  <c r="AD206" i="1"/>
  <c r="R203" i="7" s="1"/>
  <c r="AC206" i="1"/>
  <c r="Q203" i="7" s="1"/>
  <c r="AB206" i="1"/>
  <c r="P203" i="7" s="1"/>
  <c r="AA206" i="1"/>
  <c r="O203" i="7" s="1"/>
  <c r="Z206" i="1"/>
  <c r="N203" i="7" s="1"/>
  <c r="Y206" i="1"/>
  <c r="M203" i="7" s="1"/>
  <c r="X206" i="1"/>
  <c r="L203" i="7" s="1"/>
  <c r="W206" i="1"/>
  <c r="K203" i="7" s="1"/>
  <c r="V206" i="1"/>
  <c r="J203" i="7" s="1"/>
  <c r="U206" i="1"/>
  <c r="I203" i="7" s="1"/>
  <c r="T206" i="1"/>
  <c r="H203" i="7" s="1"/>
  <c r="S206" i="1"/>
  <c r="G203" i="7" s="1"/>
  <c r="R206" i="1"/>
  <c r="F203" i="7" s="1"/>
  <c r="O206" i="1"/>
  <c r="CO205" i="1"/>
  <c r="CC202" i="7" s="1"/>
  <c r="CN205" i="1"/>
  <c r="CB202" i="7" s="1"/>
  <c r="CM205" i="1"/>
  <c r="CA202" i="7" s="1"/>
  <c r="CL205" i="1"/>
  <c r="BZ202" i="7" s="1"/>
  <c r="CK205" i="1"/>
  <c r="BY202" i="7" s="1"/>
  <c r="CJ205" i="1"/>
  <c r="BX202" i="7" s="1"/>
  <c r="CI205" i="1"/>
  <c r="BW202" i="7" s="1"/>
  <c r="CE205" i="1"/>
  <c r="BS202" i="7" s="1"/>
  <c r="CD205" i="1"/>
  <c r="BR202" i="7" s="1"/>
  <c r="CC205" i="1"/>
  <c r="BQ202" i="7" s="1"/>
  <c r="BC205" i="1"/>
  <c r="AQ202" i="7" s="1"/>
  <c r="BB205" i="1"/>
  <c r="AP202" i="7" s="1"/>
  <c r="BA205" i="1"/>
  <c r="AO202" i="7" s="1"/>
  <c r="AZ205" i="1"/>
  <c r="AN202" i="7" s="1"/>
  <c r="AY205" i="1"/>
  <c r="AM202" i="7" s="1"/>
  <c r="AX205" i="1"/>
  <c r="AL202" i="7" s="1"/>
  <c r="AW205" i="1"/>
  <c r="AK202" i="7" s="1"/>
  <c r="AV205" i="1"/>
  <c r="AJ202" i="7" s="1"/>
  <c r="AU205" i="1"/>
  <c r="AI202" i="7" s="1"/>
  <c r="AT205" i="1"/>
  <c r="AH202" i="7" s="1"/>
  <c r="AS205" i="1"/>
  <c r="AG202" i="7" s="1"/>
  <c r="AR205" i="1"/>
  <c r="AF202" i="7" s="1"/>
  <c r="AQ205" i="1"/>
  <c r="AE202" i="7" s="1"/>
  <c r="AP205" i="1"/>
  <c r="AD202" i="7" s="1"/>
  <c r="AO205" i="1"/>
  <c r="AC202" i="7" s="1"/>
  <c r="AN205" i="1"/>
  <c r="AB202" i="7" s="1"/>
  <c r="AM205" i="1"/>
  <c r="AA202" i="7" s="1"/>
  <c r="AL205" i="1"/>
  <c r="Z202" i="7" s="1"/>
  <c r="AK205" i="1"/>
  <c r="Y202" i="7" s="1"/>
  <c r="AJ205" i="1"/>
  <c r="X202" i="7" s="1"/>
  <c r="AI205" i="1"/>
  <c r="W202" i="7" s="1"/>
  <c r="AH205" i="1"/>
  <c r="V202" i="7" s="1"/>
  <c r="AG205" i="1"/>
  <c r="U202" i="7" s="1"/>
  <c r="AF205" i="1"/>
  <c r="T202" i="7" s="1"/>
  <c r="AE205" i="1"/>
  <c r="S202" i="7" s="1"/>
  <c r="AD205" i="1"/>
  <c r="R202" i="7" s="1"/>
  <c r="AC205" i="1"/>
  <c r="Q202" i="7" s="1"/>
  <c r="AB205" i="1"/>
  <c r="P202" i="7" s="1"/>
  <c r="AA205" i="1"/>
  <c r="O202" i="7" s="1"/>
  <c r="Z205" i="1"/>
  <c r="N202" i="7" s="1"/>
  <c r="Y205" i="1"/>
  <c r="M202" i="7" s="1"/>
  <c r="X205" i="1"/>
  <c r="L202" i="7" s="1"/>
  <c r="W205" i="1"/>
  <c r="K202" i="7" s="1"/>
  <c r="V205" i="1"/>
  <c r="J202" i="7" s="1"/>
  <c r="U205" i="1"/>
  <c r="I202" i="7" s="1"/>
  <c r="T205" i="1"/>
  <c r="H202" i="7" s="1"/>
  <c r="S205" i="1"/>
  <c r="G202" i="7" s="1"/>
  <c r="R205" i="1"/>
  <c r="F202" i="7" s="1"/>
  <c r="O205" i="1"/>
  <c r="O204" i="1"/>
  <c r="BS195" i="1" s="1"/>
  <c r="BG192" i="7" s="1"/>
  <c r="M204" i="1"/>
  <c r="M203" i="1"/>
  <c r="O202" i="1"/>
  <c r="M202" i="1"/>
  <c r="M201" i="1"/>
  <c r="O200" i="1"/>
  <c r="M200" i="1"/>
  <c r="M199" i="1"/>
  <c r="O198" i="1"/>
  <c r="M198" i="1"/>
  <c r="M197" i="1"/>
  <c r="CO196" i="1"/>
  <c r="CC193" i="7" s="1"/>
  <c r="CN196" i="1"/>
  <c r="CB193" i="7" s="1"/>
  <c r="CM196" i="1"/>
  <c r="CA193" i="7" s="1"/>
  <c r="CL196" i="1"/>
  <c r="BZ193" i="7" s="1"/>
  <c r="CK196" i="1"/>
  <c r="BY193" i="7" s="1"/>
  <c r="CJ196" i="1"/>
  <c r="BX193" i="7" s="1"/>
  <c r="CI196" i="1"/>
  <c r="BW193" i="7" s="1"/>
  <c r="CH196" i="1"/>
  <c r="BV193" i="7" s="1"/>
  <c r="CG196" i="1"/>
  <c r="BU193" i="7" s="1"/>
  <c r="CF196" i="1"/>
  <c r="BT193" i="7" s="1"/>
  <c r="CE196" i="1"/>
  <c r="BS193" i="7" s="1"/>
  <c r="CD196" i="1"/>
  <c r="BR193" i="7" s="1"/>
  <c r="CC196" i="1"/>
  <c r="BQ193" i="7" s="1"/>
  <c r="CB196" i="1"/>
  <c r="BP193" i="7" s="1"/>
  <c r="CA196" i="1"/>
  <c r="BO193" i="7" s="1"/>
  <c r="BZ196" i="1"/>
  <c r="BN193" i="7" s="1"/>
  <c r="BY196" i="1"/>
  <c r="BM193" i="7" s="1"/>
  <c r="BX196" i="1"/>
  <c r="BL193" i="7" s="1"/>
  <c r="BW196" i="1"/>
  <c r="BK193" i="7" s="1"/>
  <c r="BV196" i="1"/>
  <c r="BJ193" i="7" s="1"/>
  <c r="BU196" i="1"/>
  <c r="BI193" i="7" s="1"/>
  <c r="BT196" i="1"/>
  <c r="BH193" i="7" s="1"/>
  <c r="BS196" i="1"/>
  <c r="BG193" i="7" s="1"/>
  <c r="BR196" i="1"/>
  <c r="BF193" i="7" s="1"/>
  <c r="BQ196" i="1"/>
  <c r="BE193" i="7" s="1"/>
  <c r="BP196" i="1"/>
  <c r="BD193" i="7" s="1"/>
  <c r="BO196" i="1"/>
  <c r="BC193" i="7" s="1"/>
  <c r="BN196" i="1"/>
  <c r="BB193" i="7" s="1"/>
  <c r="BM196" i="1"/>
  <c r="BA193" i="7" s="1"/>
  <c r="BL196" i="1"/>
  <c r="AZ193" i="7" s="1"/>
  <c r="BK196" i="1"/>
  <c r="AY193" i="7" s="1"/>
  <c r="BJ196" i="1"/>
  <c r="AX193" i="7" s="1"/>
  <c r="BI196" i="1"/>
  <c r="AW193" i="7" s="1"/>
  <c r="BH196" i="1"/>
  <c r="AV193" i="7" s="1"/>
  <c r="BG196" i="1"/>
  <c r="AU193" i="7" s="1"/>
  <c r="BF196" i="1"/>
  <c r="AT193" i="7" s="1"/>
  <c r="BE196" i="1"/>
  <c r="AS193" i="7" s="1"/>
  <c r="BD196" i="1"/>
  <c r="AR193" i="7" s="1"/>
  <c r="BC196" i="1"/>
  <c r="AQ193" i="7" s="1"/>
  <c r="BB196" i="1"/>
  <c r="AP193" i="7" s="1"/>
  <c r="BA196" i="1"/>
  <c r="AO193" i="7" s="1"/>
  <c r="AZ196" i="1"/>
  <c r="AN193" i="7" s="1"/>
  <c r="AY196" i="1"/>
  <c r="AM193" i="7" s="1"/>
  <c r="AX196" i="1"/>
  <c r="AL193" i="7" s="1"/>
  <c r="AW196" i="1"/>
  <c r="AK193" i="7" s="1"/>
  <c r="AV196" i="1"/>
  <c r="AJ193" i="7" s="1"/>
  <c r="AU196" i="1"/>
  <c r="AI193" i="7" s="1"/>
  <c r="AT196" i="1"/>
  <c r="AH193" i="7" s="1"/>
  <c r="AS196" i="1"/>
  <c r="AG193" i="7" s="1"/>
  <c r="AR196" i="1"/>
  <c r="AF193" i="7" s="1"/>
  <c r="AQ196" i="1"/>
  <c r="AE193" i="7" s="1"/>
  <c r="AP196" i="1"/>
  <c r="AD193" i="7" s="1"/>
  <c r="AO196" i="1"/>
  <c r="AC193" i="7" s="1"/>
  <c r="AN196" i="1"/>
  <c r="AB193" i="7" s="1"/>
  <c r="AM196" i="1"/>
  <c r="AA193" i="7" s="1"/>
  <c r="AL196" i="1"/>
  <c r="Z193" i="7" s="1"/>
  <c r="AK196" i="1"/>
  <c r="Y193" i="7" s="1"/>
  <c r="AJ196" i="1"/>
  <c r="X193" i="7" s="1"/>
  <c r="AI196" i="1"/>
  <c r="W193" i="7" s="1"/>
  <c r="AH196" i="1"/>
  <c r="V193" i="7" s="1"/>
  <c r="AG196" i="1"/>
  <c r="U193" i="7" s="1"/>
  <c r="AF196" i="1"/>
  <c r="T193" i="7" s="1"/>
  <c r="AE196" i="1"/>
  <c r="S193" i="7" s="1"/>
  <c r="AD196" i="1"/>
  <c r="R193" i="7" s="1"/>
  <c r="AC196" i="1"/>
  <c r="Q193" i="7" s="1"/>
  <c r="AB196" i="1"/>
  <c r="P193" i="7" s="1"/>
  <c r="AA196" i="1"/>
  <c r="O193" i="7" s="1"/>
  <c r="Z196" i="1"/>
  <c r="N193" i="7" s="1"/>
  <c r="Y196" i="1"/>
  <c r="M193" i="7" s="1"/>
  <c r="X196" i="1"/>
  <c r="L193" i="7" s="1"/>
  <c r="W196" i="1"/>
  <c r="K193" i="7" s="1"/>
  <c r="V196" i="1"/>
  <c r="J193" i="7" s="1"/>
  <c r="U196" i="1"/>
  <c r="I193" i="7" s="1"/>
  <c r="T196" i="1"/>
  <c r="H193" i="7" s="1"/>
  <c r="S196" i="1"/>
  <c r="G193" i="7" s="1"/>
  <c r="R196" i="1"/>
  <c r="F193" i="7" s="1"/>
  <c r="O196" i="1"/>
  <c r="CO195" i="1"/>
  <c r="CC192" i="7" s="1"/>
  <c r="CN195" i="1"/>
  <c r="CB192" i="7" s="1"/>
  <c r="CM195" i="1"/>
  <c r="CA192" i="7" s="1"/>
  <c r="CL195" i="1"/>
  <c r="BZ192" i="7" s="1"/>
  <c r="CK195" i="1"/>
  <c r="BY192" i="7" s="1"/>
  <c r="CJ195" i="1"/>
  <c r="BX192" i="7" s="1"/>
  <c r="CI195" i="1"/>
  <c r="BW192" i="7" s="1"/>
  <c r="CH195" i="1"/>
  <c r="BV192" i="7" s="1"/>
  <c r="BH195" i="1"/>
  <c r="AV192" i="7" s="1"/>
  <c r="BG195" i="1"/>
  <c r="AU192" i="7" s="1"/>
  <c r="BF195" i="1"/>
  <c r="AT192" i="7" s="1"/>
  <c r="BE195" i="1"/>
  <c r="AS192" i="7" s="1"/>
  <c r="BD195" i="1"/>
  <c r="AR192" i="7" s="1"/>
  <c r="BC195" i="1"/>
  <c r="AQ192" i="7" s="1"/>
  <c r="BB195" i="1"/>
  <c r="AP192" i="7" s="1"/>
  <c r="BA195" i="1"/>
  <c r="AO192" i="7" s="1"/>
  <c r="AZ195" i="1"/>
  <c r="AN192" i="7" s="1"/>
  <c r="AY195" i="1"/>
  <c r="AM192" i="7" s="1"/>
  <c r="AX195" i="1"/>
  <c r="AL192" i="7" s="1"/>
  <c r="AW195" i="1"/>
  <c r="AK192" i="7" s="1"/>
  <c r="AV195" i="1"/>
  <c r="AJ192" i="7" s="1"/>
  <c r="AU195" i="1"/>
  <c r="AI192" i="7" s="1"/>
  <c r="AT195" i="1"/>
  <c r="AH192" i="7" s="1"/>
  <c r="AS195" i="1"/>
  <c r="AG192" i="7" s="1"/>
  <c r="AR195" i="1"/>
  <c r="AF192" i="7" s="1"/>
  <c r="AQ195" i="1"/>
  <c r="AE192" i="7" s="1"/>
  <c r="AP195" i="1"/>
  <c r="AD192" i="7" s="1"/>
  <c r="AO195" i="1"/>
  <c r="AC192" i="7" s="1"/>
  <c r="AN195" i="1"/>
  <c r="AB192" i="7" s="1"/>
  <c r="AM195" i="1"/>
  <c r="AA192" i="7" s="1"/>
  <c r="AL195" i="1"/>
  <c r="Z192" i="7" s="1"/>
  <c r="AK195" i="1"/>
  <c r="Y192" i="7" s="1"/>
  <c r="AJ195" i="1"/>
  <c r="X192" i="7" s="1"/>
  <c r="AI195" i="1"/>
  <c r="W192" i="7" s="1"/>
  <c r="AH195" i="1"/>
  <c r="V192" i="7" s="1"/>
  <c r="AG195" i="1"/>
  <c r="U192" i="7" s="1"/>
  <c r="AF195" i="1"/>
  <c r="T192" i="7" s="1"/>
  <c r="AE195" i="1"/>
  <c r="S192" i="7" s="1"/>
  <c r="AD195" i="1"/>
  <c r="R192" i="7" s="1"/>
  <c r="AC195" i="1"/>
  <c r="Q192" i="7" s="1"/>
  <c r="AB195" i="1"/>
  <c r="P192" i="7" s="1"/>
  <c r="AA195" i="1"/>
  <c r="O192" i="7" s="1"/>
  <c r="Z195" i="1"/>
  <c r="N192" i="7" s="1"/>
  <c r="Y195" i="1"/>
  <c r="M192" i="7" s="1"/>
  <c r="X195" i="1"/>
  <c r="L192" i="7" s="1"/>
  <c r="W195" i="1"/>
  <c r="K192" i="7" s="1"/>
  <c r="V195" i="1"/>
  <c r="J192" i="7" s="1"/>
  <c r="U195" i="1"/>
  <c r="I192" i="7" s="1"/>
  <c r="T195" i="1"/>
  <c r="H192" i="7" s="1"/>
  <c r="S195" i="1"/>
  <c r="G192" i="7" s="1"/>
  <c r="R195" i="1"/>
  <c r="F192" i="7" s="1"/>
  <c r="O195" i="1"/>
  <c r="O194" i="1"/>
  <c r="BU191" i="1" s="1"/>
  <c r="BI188" i="7" s="1"/>
  <c r="M194" i="1"/>
  <c r="M193" i="1"/>
  <c r="CO192" i="1"/>
  <c r="CC189" i="7" s="1"/>
  <c r="CN192" i="1"/>
  <c r="CB189" i="7" s="1"/>
  <c r="CM192" i="1"/>
  <c r="CA189" i="7" s="1"/>
  <c r="CL192" i="1"/>
  <c r="BZ189" i="7" s="1"/>
  <c r="CK192" i="1"/>
  <c r="BY189" i="7" s="1"/>
  <c r="CJ192" i="1"/>
  <c r="BX189" i="7" s="1"/>
  <c r="CI192" i="1"/>
  <c r="BW189" i="7" s="1"/>
  <c r="CH192" i="1"/>
  <c r="BV189" i="7" s="1"/>
  <c r="CG192" i="1"/>
  <c r="BU189" i="7" s="1"/>
  <c r="CF192" i="1"/>
  <c r="BT189" i="7" s="1"/>
  <c r="CE192" i="1"/>
  <c r="BS189" i="7" s="1"/>
  <c r="CD192" i="1"/>
  <c r="BR189" i="7" s="1"/>
  <c r="CC192" i="1"/>
  <c r="BQ189" i="7" s="1"/>
  <c r="CB192" i="1"/>
  <c r="BP189" i="7" s="1"/>
  <c r="CA192" i="1"/>
  <c r="BO189" i="7" s="1"/>
  <c r="BZ192" i="1"/>
  <c r="BN189" i="7" s="1"/>
  <c r="BY192" i="1"/>
  <c r="BM189" i="7" s="1"/>
  <c r="BX192" i="1"/>
  <c r="BL189" i="7" s="1"/>
  <c r="BW192" i="1"/>
  <c r="BK189" i="7" s="1"/>
  <c r="BV192" i="1"/>
  <c r="BJ189" i="7" s="1"/>
  <c r="BU192" i="1"/>
  <c r="BI189" i="7" s="1"/>
  <c r="BT192" i="1"/>
  <c r="BH189" i="7" s="1"/>
  <c r="BS192" i="1"/>
  <c r="BG189" i="7" s="1"/>
  <c r="BR192" i="1"/>
  <c r="BF189" i="7" s="1"/>
  <c r="BQ192" i="1"/>
  <c r="BE189" i="7" s="1"/>
  <c r="BP192" i="1"/>
  <c r="BD189" i="7" s="1"/>
  <c r="BO192" i="1"/>
  <c r="BC189" i="7" s="1"/>
  <c r="BN192" i="1"/>
  <c r="BB189" i="7" s="1"/>
  <c r="BM192" i="1"/>
  <c r="BA189" i="7" s="1"/>
  <c r="BL192" i="1"/>
  <c r="AZ189" i="7" s="1"/>
  <c r="BK192" i="1"/>
  <c r="AY189" i="7" s="1"/>
  <c r="BJ192" i="1"/>
  <c r="AX189" i="7" s="1"/>
  <c r="BI192" i="1"/>
  <c r="AW189" i="7" s="1"/>
  <c r="BH192" i="1"/>
  <c r="AV189" i="7" s="1"/>
  <c r="BG192" i="1"/>
  <c r="AU189" i="7" s="1"/>
  <c r="BF192" i="1"/>
  <c r="AT189" i="7" s="1"/>
  <c r="BE192" i="1"/>
  <c r="AS189" i="7" s="1"/>
  <c r="BD192" i="1"/>
  <c r="AR189" i="7" s="1"/>
  <c r="BC192" i="1"/>
  <c r="AQ189" i="7" s="1"/>
  <c r="BB192" i="1"/>
  <c r="AP189" i="7" s="1"/>
  <c r="BA192" i="1"/>
  <c r="AO189" i="7" s="1"/>
  <c r="AZ192" i="1"/>
  <c r="AN189" i="7" s="1"/>
  <c r="AY192" i="1"/>
  <c r="AM189" i="7" s="1"/>
  <c r="AX192" i="1"/>
  <c r="AL189" i="7" s="1"/>
  <c r="AW192" i="1"/>
  <c r="AK189" i="7" s="1"/>
  <c r="AV192" i="1"/>
  <c r="AJ189" i="7" s="1"/>
  <c r="AU192" i="1"/>
  <c r="AI189" i="7" s="1"/>
  <c r="AT192" i="1"/>
  <c r="AH189" i="7" s="1"/>
  <c r="AS192" i="1"/>
  <c r="AG189" i="7" s="1"/>
  <c r="AR192" i="1"/>
  <c r="AF189" i="7" s="1"/>
  <c r="AQ192" i="1"/>
  <c r="AE189" i="7" s="1"/>
  <c r="AP192" i="1"/>
  <c r="AD189" i="7" s="1"/>
  <c r="AO192" i="1"/>
  <c r="AC189" i="7" s="1"/>
  <c r="AN192" i="1"/>
  <c r="AB189" i="7" s="1"/>
  <c r="AM192" i="1"/>
  <c r="AA189" i="7" s="1"/>
  <c r="AL192" i="1"/>
  <c r="Z189" i="7" s="1"/>
  <c r="AK192" i="1"/>
  <c r="Y189" i="7" s="1"/>
  <c r="AJ192" i="1"/>
  <c r="X189" i="7" s="1"/>
  <c r="AI192" i="1"/>
  <c r="W189" i="7" s="1"/>
  <c r="AH192" i="1"/>
  <c r="V189" i="7" s="1"/>
  <c r="AG192" i="1"/>
  <c r="U189" i="7" s="1"/>
  <c r="AF192" i="1"/>
  <c r="T189" i="7" s="1"/>
  <c r="AE192" i="1"/>
  <c r="S189" i="7" s="1"/>
  <c r="AD192" i="1"/>
  <c r="R189" i="7" s="1"/>
  <c r="AC192" i="1"/>
  <c r="Q189" i="7" s="1"/>
  <c r="AB192" i="1"/>
  <c r="P189" i="7" s="1"/>
  <c r="AA192" i="1"/>
  <c r="O189" i="7" s="1"/>
  <c r="Z192" i="1"/>
  <c r="N189" i="7" s="1"/>
  <c r="Y192" i="1"/>
  <c r="M189" i="7" s="1"/>
  <c r="X192" i="1"/>
  <c r="L189" i="7" s="1"/>
  <c r="W192" i="1"/>
  <c r="K189" i="7" s="1"/>
  <c r="V192" i="1"/>
  <c r="J189" i="7" s="1"/>
  <c r="U192" i="1"/>
  <c r="I189" i="7" s="1"/>
  <c r="T192" i="1"/>
  <c r="H189" i="7" s="1"/>
  <c r="S192" i="1"/>
  <c r="G189" i="7" s="1"/>
  <c r="R192" i="1"/>
  <c r="F189" i="7" s="1"/>
  <c r="CO191" i="1"/>
  <c r="CC188" i="7" s="1"/>
  <c r="CN191" i="1"/>
  <c r="CB188" i="7" s="1"/>
  <c r="CM191" i="1"/>
  <c r="CA188" i="7" s="1"/>
  <c r="CL191" i="1"/>
  <c r="BZ188" i="7" s="1"/>
  <c r="CK191" i="1"/>
  <c r="BY188" i="7" s="1"/>
  <c r="CJ191" i="1"/>
  <c r="BX188" i="7" s="1"/>
  <c r="CI191" i="1"/>
  <c r="BW188" i="7" s="1"/>
  <c r="CH191" i="1"/>
  <c r="BV188" i="7" s="1"/>
  <c r="CG191" i="1"/>
  <c r="BU188" i="7" s="1"/>
  <c r="CF191" i="1"/>
  <c r="BT188" i="7" s="1"/>
  <c r="CE191" i="1"/>
  <c r="BS188" i="7" s="1"/>
  <c r="CD191" i="1"/>
  <c r="BR188" i="7" s="1"/>
  <c r="CC191" i="1"/>
  <c r="BQ188" i="7" s="1"/>
  <c r="CB191" i="1"/>
  <c r="BP188" i="7" s="1"/>
  <c r="CA191" i="1"/>
  <c r="BO188" i="7" s="1"/>
  <c r="BZ191" i="1"/>
  <c r="BN188" i="7" s="1"/>
  <c r="BY191" i="1"/>
  <c r="BM188" i="7" s="1"/>
  <c r="BX191" i="1"/>
  <c r="BL188" i="7" s="1"/>
  <c r="BW191" i="1"/>
  <c r="BK188" i="7" s="1"/>
  <c r="BV191" i="1"/>
  <c r="BJ188" i="7" s="1"/>
  <c r="BR191" i="1"/>
  <c r="BF188" i="7" s="1"/>
  <c r="BQ191" i="1"/>
  <c r="BE188" i="7" s="1"/>
  <c r="BP191" i="1"/>
  <c r="BD188" i="7" s="1"/>
  <c r="BO191" i="1"/>
  <c r="BC188" i="7" s="1"/>
  <c r="BN191" i="1"/>
  <c r="BB188" i="7" s="1"/>
  <c r="BM191" i="1"/>
  <c r="BA188" i="7" s="1"/>
  <c r="BL191" i="1"/>
  <c r="AZ188" i="7" s="1"/>
  <c r="BK191" i="1"/>
  <c r="AY188" i="7" s="1"/>
  <c r="BJ191" i="1"/>
  <c r="AX188" i="7" s="1"/>
  <c r="BI191" i="1"/>
  <c r="AW188" i="7" s="1"/>
  <c r="BH191" i="1"/>
  <c r="AV188" i="7" s="1"/>
  <c r="BG191" i="1"/>
  <c r="AU188" i="7" s="1"/>
  <c r="BF191" i="1"/>
  <c r="AT188" i="7" s="1"/>
  <c r="BE191" i="1"/>
  <c r="AS188" i="7" s="1"/>
  <c r="BD191" i="1"/>
  <c r="AR188" i="7" s="1"/>
  <c r="BC191" i="1"/>
  <c r="AQ188" i="7" s="1"/>
  <c r="BB191" i="1"/>
  <c r="AP188" i="7" s="1"/>
  <c r="BA191" i="1"/>
  <c r="AO188" i="7" s="1"/>
  <c r="AZ191" i="1"/>
  <c r="AN188" i="7" s="1"/>
  <c r="AY191" i="1"/>
  <c r="AM188" i="7" s="1"/>
  <c r="AX191" i="1"/>
  <c r="AL188" i="7" s="1"/>
  <c r="AW191" i="1"/>
  <c r="AK188" i="7" s="1"/>
  <c r="AV191" i="1"/>
  <c r="AJ188" i="7" s="1"/>
  <c r="AU191" i="1"/>
  <c r="AI188" i="7" s="1"/>
  <c r="AT191" i="1"/>
  <c r="AH188" i="7" s="1"/>
  <c r="AS191" i="1"/>
  <c r="AG188" i="7" s="1"/>
  <c r="AR191" i="1"/>
  <c r="AF188" i="7" s="1"/>
  <c r="AQ191" i="1"/>
  <c r="AE188" i="7" s="1"/>
  <c r="AP191" i="1"/>
  <c r="AD188" i="7" s="1"/>
  <c r="AO191" i="1"/>
  <c r="AC188" i="7" s="1"/>
  <c r="AN191" i="1"/>
  <c r="AB188" i="7" s="1"/>
  <c r="AM191" i="1"/>
  <c r="AA188" i="7" s="1"/>
  <c r="AL191" i="1"/>
  <c r="Z188" i="7" s="1"/>
  <c r="AK191" i="1"/>
  <c r="Y188" i="7" s="1"/>
  <c r="AJ191" i="1"/>
  <c r="X188" i="7" s="1"/>
  <c r="AI191" i="1"/>
  <c r="W188" i="7" s="1"/>
  <c r="AH191" i="1"/>
  <c r="V188" i="7" s="1"/>
  <c r="AG191" i="1"/>
  <c r="U188" i="7" s="1"/>
  <c r="AF191" i="1"/>
  <c r="T188" i="7" s="1"/>
  <c r="AE191" i="1"/>
  <c r="S188" i="7" s="1"/>
  <c r="AD191" i="1"/>
  <c r="R188" i="7" s="1"/>
  <c r="AC191" i="1"/>
  <c r="Q188" i="7" s="1"/>
  <c r="AB191" i="1"/>
  <c r="P188" i="7" s="1"/>
  <c r="AA191" i="1"/>
  <c r="O188" i="7" s="1"/>
  <c r="Z191" i="1"/>
  <c r="N188" i="7" s="1"/>
  <c r="Y191" i="1"/>
  <c r="M188" i="7" s="1"/>
  <c r="X191" i="1"/>
  <c r="L188" i="7" s="1"/>
  <c r="W191" i="1"/>
  <c r="K188" i="7" s="1"/>
  <c r="V191" i="1"/>
  <c r="J188" i="7" s="1"/>
  <c r="U191" i="1"/>
  <c r="I188" i="7" s="1"/>
  <c r="T191" i="1"/>
  <c r="H188" i="7" s="1"/>
  <c r="S191" i="1"/>
  <c r="G188" i="7" s="1"/>
  <c r="R191" i="1"/>
  <c r="F188" i="7" s="1"/>
  <c r="O191" i="1"/>
  <c r="O192" i="1" s="1"/>
  <c r="O190" i="1"/>
  <c r="M190" i="1"/>
  <c r="M189" i="1"/>
  <c r="O188" i="1"/>
  <c r="M188" i="1"/>
  <c r="M187" i="1"/>
  <c r="O186" i="1"/>
  <c r="M186" i="1"/>
  <c r="M185" i="1"/>
  <c r="O184" i="1"/>
  <c r="M184" i="1"/>
  <c r="M183" i="1"/>
  <c r="CO182" i="1"/>
  <c r="CC179" i="7" s="1"/>
  <c r="CN182" i="1"/>
  <c r="CB179" i="7" s="1"/>
  <c r="CM182" i="1"/>
  <c r="CA179" i="7" s="1"/>
  <c r="CL182" i="1"/>
  <c r="BZ179" i="7" s="1"/>
  <c r="CK182" i="1"/>
  <c r="BY179" i="7" s="1"/>
  <c r="CJ182" i="1"/>
  <c r="BX179" i="7" s="1"/>
  <c r="CI182" i="1"/>
  <c r="BW179" i="7" s="1"/>
  <c r="CH182" i="1"/>
  <c r="BV179" i="7" s="1"/>
  <c r="CG182" i="1"/>
  <c r="BU179" i="7" s="1"/>
  <c r="CF182" i="1"/>
  <c r="BT179" i="7" s="1"/>
  <c r="CE182" i="1"/>
  <c r="BS179" i="7" s="1"/>
  <c r="CD182" i="1"/>
  <c r="BR179" i="7" s="1"/>
  <c r="CC182" i="1"/>
  <c r="BQ179" i="7" s="1"/>
  <c r="CB182" i="1"/>
  <c r="BP179" i="7" s="1"/>
  <c r="CA182" i="1"/>
  <c r="BO179" i="7" s="1"/>
  <c r="BZ182" i="1"/>
  <c r="BN179" i="7" s="1"/>
  <c r="BY182" i="1"/>
  <c r="BM179" i="7" s="1"/>
  <c r="BX182" i="1"/>
  <c r="BL179" i="7" s="1"/>
  <c r="BW182" i="1"/>
  <c r="BK179" i="7" s="1"/>
  <c r="BV182" i="1"/>
  <c r="BJ179" i="7" s="1"/>
  <c r="BU182" i="1"/>
  <c r="BI179" i="7" s="1"/>
  <c r="BT182" i="1"/>
  <c r="BH179" i="7" s="1"/>
  <c r="BS182" i="1"/>
  <c r="BG179" i="7" s="1"/>
  <c r="BR182" i="1"/>
  <c r="BF179" i="7" s="1"/>
  <c r="BQ182" i="1"/>
  <c r="BE179" i="7" s="1"/>
  <c r="BP182" i="1"/>
  <c r="BD179" i="7" s="1"/>
  <c r="BO182" i="1"/>
  <c r="BC179" i="7" s="1"/>
  <c r="BN182" i="1"/>
  <c r="BB179" i="7" s="1"/>
  <c r="BM182" i="1"/>
  <c r="BA179" i="7" s="1"/>
  <c r="BL182" i="1"/>
  <c r="AZ179" i="7" s="1"/>
  <c r="BK182" i="1"/>
  <c r="AY179" i="7" s="1"/>
  <c r="BJ182" i="1"/>
  <c r="AX179" i="7" s="1"/>
  <c r="BI182" i="1"/>
  <c r="AW179" i="7" s="1"/>
  <c r="BH182" i="1"/>
  <c r="AV179" i="7" s="1"/>
  <c r="BG182" i="1"/>
  <c r="AU179" i="7" s="1"/>
  <c r="BF182" i="1"/>
  <c r="AT179" i="7" s="1"/>
  <c r="BE182" i="1"/>
  <c r="AS179" i="7" s="1"/>
  <c r="BD182" i="1"/>
  <c r="AR179" i="7" s="1"/>
  <c r="BC182" i="1"/>
  <c r="AQ179" i="7" s="1"/>
  <c r="BB182" i="1"/>
  <c r="AP179" i="7" s="1"/>
  <c r="BA182" i="1"/>
  <c r="AO179" i="7" s="1"/>
  <c r="AZ182" i="1"/>
  <c r="AN179" i="7" s="1"/>
  <c r="AY182" i="1"/>
  <c r="AM179" i="7" s="1"/>
  <c r="AX182" i="1"/>
  <c r="AL179" i="7" s="1"/>
  <c r="AW182" i="1"/>
  <c r="AK179" i="7" s="1"/>
  <c r="AV182" i="1"/>
  <c r="AJ179" i="7" s="1"/>
  <c r="AU182" i="1"/>
  <c r="AI179" i="7" s="1"/>
  <c r="AT182" i="1"/>
  <c r="AH179" i="7" s="1"/>
  <c r="AS182" i="1"/>
  <c r="AG179" i="7" s="1"/>
  <c r="AR182" i="1"/>
  <c r="AF179" i="7" s="1"/>
  <c r="AQ182" i="1"/>
  <c r="AE179" i="7" s="1"/>
  <c r="AP182" i="1"/>
  <c r="AD179" i="7" s="1"/>
  <c r="AO182" i="1"/>
  <c r="AC179" i="7" s="1"/>
  <c r="AN182" i="1"/>
  <c r="AB179" i="7" s="1"/>
  <c r="AM182" i="1"/>
  <c r="AA179" i="7" s="1"/>
  <c r="AL182" i="1"/>
  <c r="Z179" i="7" s="1"/>
  <c r="AK182" i="1"/>
  <c r="Y179" i="7" s="1"/>
  <c r="AJ182" i="1"/>
  <c r="X179" i="7" s="1"/>
  <c r="AI182" i="1"/>
  <c r="W179" i="7" s="1"/>
  <c r="AH182" i="1"/>
  <c r="V179" i="7" s="1"/>
  <c r="AG182" i="1"/>
  <c r="U179" i="7" s="1"/>
  <c r="AF182" i="1"/>
  <c r="T179" i="7" s="1"/>
  <c r="AE182" i="1"/>
  <c r="S179" i="7" s="1"/>
  <c r="AD182" i="1"/>
  <c r="R179" i="7" s="1"/>
  <c r="AC182" i="1"/>
  <c r="Q179" i="7" s="1"/>
  <c r="AB182" i="1"/>
  <c r="P179" i="7" s="1"/>
  <c r="AA182" i="1"/>
  <c r="O179" i="7" s="1"/>
  <c r="Z182" i="1"/>
  <c r="N179" i="7" s="1"/>
  <c r="Y182" i="1"/>
  <c r="M179" i="7" s="1"/>
  <c r="X182" i="1"/>
  <c r="L179" i="7" s="1"/>
  <c r="W182" i="1"/>
  <c r="K179" i="7" s="1"/>
  <c r="V182" i="1"/>
  <c r="J179" i="7" s="1"/>
  <c r="U182" i="1"/>
  <c r="I179" i="7" s="1"/>
  <c r="T182" i="1"/>
  <c r="H179" i="7" s="1"/>
  <c r="S182" i="1"/>
  <c r="G179" i="7" s="1"/>
  <c r="R182" i="1"/>
  <c r="F179" i="7" s="1"/>
  <c r="CO181" i="1"/>
  <c r="CC178" i="7" s="1"/>
  <c r="CN181" i="1"/>
  <c r="CB178" i="7" s="1"/>
  <c r="CM181" i="1"/>
  <c r="CA178" i="7" s="1"/>
  <c r="CL181" i="1"/>
  <c r="BZ178" i="7" s="1"/>
  <c r="CK181" i="1"/>
  <c r="BY178" i="7" s="1"/>
  <c r="CJ181" i="1"/>
  <c r="BX178" i="7" s="1"/>
  <c r="CF181" i="1"/>
  <c r="BT178" i="7" s="1"/>
  <c r="CE181" i="1"/>
  <c r="BS178" i="7" s="1"/>
  <c r="BY181" i="1"/>
  <c r="BM178" i="7" s="1"/>
  <c r="BX181" i="1"/>
  <c r="BL178" i="7" s="1"/>
  <c r="BW181" i="1"/>
  <c r="BK178" i="7" s="1"/>
  <c r="BV181" i="1"/>
  <c r="BJ178" i="7" s="1"/>
  <c r="BU181" i="1"/>
  <c r="BI178" i="7" s="1"/>
  <c r="BR181" i="1"/>
  <c r="BF178" i="7" s="1"/>
  <c r="BN181" i="1"/>
  <c r="BB178" i="7" s="1"/>
  <c r="BM181" i="1"/>
  <c r="BA178" i="7" s="1"/>
  <c r="BL181" i="1"/>
  <c r="AZ178" i="7" s="1"/>
  <c r="BK181" i="1"/>
  <c r="AY178" i="7" s="1"/>
  <c r="BJ181" i="1"/>
  <c r="AX178" i="7" s="1"/>
  <c r="BI181" i="1"/>
  <c r="AW178" i="7" s="1"/>
  <c r="BH181" i="1"/>
  <c r="AV178" i="7" s="1"/>
  <c r="BG181" i="1"/>
  <c r="AU178" i="7" s="1"/>
  <c r="BF181" i="1"/>
  <c r="AT178" i="7" s="1"/>
  <c r="BE181" i="1"/>
  <c r="AS178" i="7" s="1"/>
  <c r="BD181" i="1"/>
  <c r="AR178" i="7" s="1"/>
  <c r="BC181" i="1"/>
  <c r="AQ178" i="7" s="1"/>
  <c r="BB181" i="1"/>
  <c r="AP178" i="7" s="1"/>
  <c r="BA181" i="1"/>
  <c r="AO178" i="7" s="1"/>
  <c r="AZ181" i="1"/>
  <c r="AN178" i="7" s="1"/>
  <c r="AY181" i="1"/>
  <c r="AM178" i="7" s="1"/>
  <c r="AX181" i="1"/>
  <c r="AL178" i="7" s="1"/>
  <c r="AW181" i="1"/>
  <c r="AK178" i="7" s="1"/>
  <c r="AV181" i="1"/>
  <c r="AJ178" i="7" s="1"/>
  <c r="AU181" i="1"/>
  <c r="AI178" i="7" s="1"/>
  <c r="AT181" i="1"/>
  <c r="AH178" i="7" s="1"/>
  <c r="AS181" i="1"/>
  <c r="AG178" i="7" s="1"/>
  <c r="AR181" i="1"/>
  <c r="AF178" i="7" s="1"/>
  <c r="AQ181" i="1"/>
  <c r="AE178" i="7" s="1"/>
  <c r="AP181" i="1"/>
  <c r="AD178" i="7" s="1"/>
  <c r="AO181" i="1"/>
  <c r="AC178" i="7" s="1"/>
  <c r="AN181" i="1"/>
  <c r="AB178" i="7" s="1"/>
  <c r="AM181" i="1"/>
  <c r="AA178" i="7" s="1"/>
  <c r="AL181" i="1"/>
  <c r="Z178" i="7" s="1"/>
  <c r="AK181" i="1"/>
  <c r="Y178" i="7" s="1"/>
  <c r="AJ181" i="1"/>
  <c r="X178" i="7" s="1"/>
  <c r="AI181" i="1"/>
  <c r="W178" i="7" s="1"/>
  <c r="AH181" i="1"/>
  <c r="V178" i="7" s="1"/>
  <c r="AG181" i="1"/>
  <c r="U178" i="7" s="1"/>
  <c r="AF181" i="1"/>
  <c r="T178" i="7" s="1"/>
  <c r="AE181" i="1"/>
  <c r="S178" i="7" s="1"/>
  <c r="AD181" i="1"/>
  <c r="R178" i="7" s="1"/>
  <c r="AC181" i="1"/>
  <c r="Q178" i="7" s="1"/>
  <c r="AB181" i="1"/>
  <c r="P178" i="7" s="1"/>
  <c r="AA181" i="1"/>
  <c r="O178" i="7" s="1"/>
  <c r="Z181" i="1"/>
  <c r="N178" i="7" s="1"/>
  <c r="Y181" i="1"/>
  <c r="M178" i="7" s="1"/>
  <c r="X181" i="1"/>
  <c r="L178" i="7" s="1"/>
  <c r="W181" i="1"/>
  <c r="K178" i="7" s="1"/>
  <c r="V181" i="1"/>
  <c r="J178" i="7" s="1"/>
  <c r="U181" i="1"/>
  <c r="I178" i="7" s="1"/>
  <c r="T181" i="1"/>
  <c r="H178" i="7" s="1"/>
  <c r="S181" i="1"/>
  <c r="G178" i="7" s="1"/>
  <c r="R181" i="1"/>
  <c r="F178" i="7" s="1"/>
  <c r="O181" i="1"/>
  <c r="O182" i="1" s="1"/>
  <c r="O180" i="1"/>
  <c r="M180" i="1"/>
  <c r="M179" i="1"/>
  <c r="O178" i="1"/>
  <c r="BR173" i="1" s="1"/>
  <c r="BF170" i="7" s="1"/>
  <c r="M178" i="1"/>
  <c r="M177" i="1"/>
  <c r="O176" i="1"/>
  <c r="M176" i="1"/>
  <c r="M175" i="1"/>
  <c r="CO174" i="1"/>
  <c r="CC171" i="7" s="1"/>
  <c r="CN174" i="1"/>
  <c r="CB171" i="7" s="1"/>
  <c r="CM174" i="1"/>
  <c r="CA171" i="7" s="1"/>
  <c r="CL174" i="1"/>
  <c r="BZ171" i="7" s="1"/>
  <c r="CK174" i="1"/>
  <c r="BY171" i="7" s="1"/>
  <c r="CJ174" i="1"/>
  <c r="BX171" i="7" s="1"/>
  <c r="CI174" i="1"/>
  <c r="BW171" i="7" s="1"/>
  <c r="CH174" i="1"/>
  <c r="BV171" i="7" s="1"/>
  <c r="CG174" i="1"/>
  <c r="BU171" i="7" s="1"/>
  <c r="CF174" i="1"/>
  <c r="BT171" i="7" s="1"/>
  <c r="CE174" i="1"/>
  <c r="BS171" i="7" s="1"/>
  <c r="CD174" i="1"/>
  <c r="BR171" i="7" s="1"/>
  <c r="CC174" i="1"/>
  <c r="BQ171" i="7" s="1"/>
  <c r="CB174" i="1"/>
  <c r="BP171" i="7" s="1"/>
  <c r="CA174" i="1"/>
  <c r="BO171" i="7" s="1"/>
  <c r="BZ174" i="1"/>
  <c r="BN171" i="7" s="1"/>
  <c r="BY174" i="1"/>
  <c r="BM171" i="7" s="1"/>
  <c r="BX174" i="1"/>
  <c r="BL171" i="7" s="1"/>
  <c r="BW174" i="1"/>
  <c r="BK171" i="7" s="1"/>
  <c r="BV174" i="1"/>
  <c r="BJ171" i="7" s="1"/>
  <c r="BU174" i="1"/>
  <c r="BI171" i="7" s="1"/>
  <c r="BT174" i="1"/>
  <c r="BH171" i="7" s="1"/>
  <c r="BS174" i="1"/>
  <c r="BG171" i="7" s="1"/>
  <c r="BR174" i="1"/>
  <c r="BF171" i="7" s="1"/>
  <c r="BQ174" i="1"/>
  <c r="BE171" i="7" s="1"/>
  <c r="BP174" i="1"/>
  <c r="BD171" i="7" s="1"/>
  <c r="BO174" i="1"/>
  <c r="BC171" i="7" s="1"/>
  <c r="BN174" i="1"/>
  <c r="BB171" i="7" s="1"/>
  <c r="BM174" i="1"/>
  <c r="BA171" i="7" s="1"/>
  <c r="BL174" i="1"/>
  <c r="AZ171" i="7" s="1"/>
  <c r="BK174" i="1"/>
  <c r="AY171" i="7" s="1"/>
  <c r="BJ174" i="1"/>
  <c r="AX171" i="7" s="1"/>
  <c r="BI174" i="1"/>
  <c r="AW171" i="7" s="1"/>
  <c r="BH174" i="1"/>
  <c r="AV171" i="7" s="1"/>
  <c r="BG174" i="1"/>
  <c r="AU171" i="7" s="1"/>
  <c r="BF174" i="1"/>
  <c r="AT171" i="7" s="1"/>
  <c r="BE174" i="1"/>
  <c r="AS171" i="7" s="1"/>
  <c r="BD174" i="1"/>
  <c r="AR171" i="7" s="1"/>
  <c r="BC174" i="1"/>
  <c r="AQ171" i="7" s="1"/>
  <c r="BB174" i="1"/>
  <c r="AP171" i="7" s="1"/>
  <c r="BA174" i="1"/>
  <c r="AO171" i="7" s="1"/>
  <c r="AZ174" i="1"/>
  <c r="AN171" i="7" s="1"/>
  <c r="AY174" i="1"/>
  <c r="AM171" i="7" s="1"/>
  <c r="AX174" i="1"/>
  <c r="AL171" i="7" s="1"/>
  <c r="AW174" i="1"/>
  <c r="AK171" i="7" s="1"/>
  <c r="AV174" i="1"/>
  <c r="AJ171" i="7" s="1"/>
  <c r="AU174" i="1"/>
  <c r="AI171" i="7" s="1"/>
  <c r="AT174" i="1"/>
  <c r="AH171" i="7" s="1"/>
  <c r="AS174" i="1"/>
  <c r="AG171" i="7" s="1"/>
  <c r="AR174" i="1"/>
  <c r="AF171" i="7" s="1"/>
  <c r="AQ174" i="1"/>
  <c r="AE171" i="7" s="1"/>
  <c r="AP174" i="1"/>
  <c r="AD171" i="7" s="1"/>
  <c r="AO174" i="1"/>
  <c r="AC171" i="7" s="1"/>
  <c r="AN174" i="1"/>
  <c r="AB171" i="7" s="1"/>
  <c r="AM174" i="1"/>
  <c r="AA171" i="7" s="1"/>
  <c r="AL174" i="1"/>
  <c r="Z171" i="7" s="1"/>
  <c r="AK174" i="1"/>
  <c r="Y171" i="7" s="1"/>
  <c r="AJ174" i="1"/>
  <c r="X171" i="7" s="1"/>
  <c r="AI174" i="1"/>
  <c r="W171" i="7" s="1"/>
  <c r="AH174" i="1"/>
  <c r="V171" i="7" s="1"/>
  <c r="AG174" i="1"/>
  <c r="U171" i="7" s="1"/>
  <c r="AF174" i="1"/>
  <c r="T171" i="7" s="1"/>
  <c r="AE174" i="1"/>
  <c r="S171" i="7" s="1"/>
  <c r="AD174" i="1"/>
  <c r="R171" i="7" s="1"/>
  <c r="AC174" i="1"/>
  <c r="Q171" i="7" s="1"/>
  <c r="AB174" i="1"/>
  <c r="P171" i="7" s="1"/>
  <c r="AA174" i="1"/>
  <c r="O171" i="7" s="1"/>
  <c r="Z174" i="1"/>
  <c r="N171" i="7" s="1"/>
  <c r="Y174" i="1"/>
  <c r="M171" i="7" s="1"/>
  <c r="X174" i="1"/>
  <c r="L171" i="7" s="1"/>
  <c r="W174" i="1"/>
  <c r="K171" i="7" s="1"/>
  <c r="V174" i="1"/>
  <c r="J171" i="7" s="1"/>
  <c r="U174" i="1"/>
  <c r="I171" i="7" s="1"/>
  <c r="T174" i="1"/>
  <c r="H171" i="7" s="1"/>
  <c r="S174" i="1"/>
  <c r="G171" i="7" s="1"/>
  <c r="R174" i="1"/>
  <c r="F171" i="7" s="1"/>
  <c r="O174" i="1"/>
  <c r="CO173" i="1"/>
  <c r="CC170" i="7" s="1"/>
  <c r="CN173" i="1"/>
  <c r="CB170" i="7" s="1"/>
  <c r="CM173" i="1"/>
  <c r="CA170" i="7" s="1"/>
  <c r="CL173" i="1"/>
  <c r="BZ170" i="7" s="1"/>
  <c r="CK173" i="1"/>
  <c r="BY170" i="7" s="1"/>
  <c r="CJ173" i="1"/>
  <c r="BX170" i="7" s="1"/>
  <c r="CI173" i="1"/>
  <c r="BW170" i="7" s="1"/>
  <c r="CH173" i="1"/>
  <c r="BV170" i="7" s="1"/>
  <c r="CG173" i="1"/>
  <c r="BU170" i="7" s="1"/>
  <c r="CF173" i="1"/>
  <c r="BT170" i="7" s="1"/>
  <c r="CE173" i="1"/>
  <c r="BS170" i="7" s="1"/>
  <c r="CD173" i="1"/>
  <c r="BR170" i="7" s="1"/>
  <c r="CC173" i="1"/>
  <c r="BQ170" i="7" s="1"/>
  <c r="CB173" i="1"/>
  <c r="BP170" i="7" s="1"/>
  <c r="CA173" i="1"/>
  <c r="BO170" i="7" s="1"/>
  <c r="BZ173" i="1"/>
  <c r="BN170" i="7" s="1"/>
  <c r="BY173" i="1"/>
  <c r="BM170" i="7" s="1"/>
  <c r="BX173" i="1"/>
  <c r="BL170" i="7" s="1"/>
  <c r="BW173" i="1"/>
  <c r="BK170" i="7" s="1"/>
  <c r="BV173" i="1"/>
  <c r="BJ170" i="7" s="1"/>
  <c r="BU173" i="1"/>
  <c r="BI170" i="7" s="1"/>
  <c r="BT173" i="1"/>
  <c r="BH170" i="7" s="1"/>
  <c r="BS173" i="1"/>
  <c r="BG170" i="7" s="1"/>
  <c r="BQ173" i="1"/>
  <c r="BE170" i="7" s="1"/>
  <c r="BO173" i="1"/>
  <c r="BC170" i="7" s="1"/>
  <c r="BN173" i="1"/>
  <c r="BB170" i="7" s="1"/>
  <c r="BM173" i="1"/>
  <c r="BA170" i="7" s="1"/>
  <c r="BL173" i="1"/>
  <c r="AZ170" i="7" s="1"/>
  <c r="BK173" i="1"/>
  <c r="AY170" i="7" s="1"/>
  <c r="BJ173" i="1"/>
  <c r="AX170" i="7" s="1"/>
  <c r="BI173" i="1"/>
  <c r="AW170" i="7" s="1"/>
  <c r="BH173" i="1"/>
  <c r="AV170" i="7" s="1"/>
  <c r="BG173" i="1"/>
  <c r="AU170" i="7" s="1"/>
  <c r="BF173" i="1"/>
  <c r="AT170" i="7" s="1"/>
  <c r="BE173" i="1"/>
  <c r="AS170" i="7" s="1"/>
  <c r="BC173" i="1"/>
  <c r="AQ170" i="7" s="1"/>
  <c r="BA173" i="1"/>
  <c r="AO170" i="7" s="1"/>
  <c r="AZ173" i="1"/>
  <c r="AN170" i="7" s="1"/>
  <c r="AY173" i="1"/>
  <c r="AM170" i="7" s="1"/>
  <c r="AX173" i="1"/>
  <c r="AL170" i="7" s="1"/>
  <c r="AW173" i="1"/>
  <c r="AK170" i="7" s="1"/>
  <c r="AV173" i="1"/>
  <c r="AJ170" i="7" s="1"/>
  <c r="AU173" i="1"/>
  <c r="AI170" i="7" s="1"/>
  <c r="AT173" i="1"/>
  <c r="AH170" i="7" s="1"/>
  <c r="AS173" i="1"/>
  <c r="AG170" i="7" s="1"/>
  <c r="AR173" i="1"/>
  <c r="AF170" i="7" s="1"/>
  <c r="AQ173" i="1"/>
  <c r="AE170" i="7" s="1"/>
  <c r="AP173" i="1"/>
  <c r="AD170" i="7" s="1"/>
  <c r="AO173" i="1"/>
  <c r="AC170" i="7" s="1"/>
  <c r="AN173" i="1"/>
  <c r="AB170" i="7" s="1"/>
  <c r="AM173" i="1"/>
  <c r="AA170" i="7" s="1"/>
  <c r="AL173" i="1"/>
  <c r="Z170" i="7" s="1"/>
  <c r="AK173" i="1"/>
  <c r="Y170" i="7" s="1"/>
  <c r="AJ173" i="1"/>
  <c r="X170" i="7" s="1"/>
  <c r="AI173" i="1"/>
  <c r="W170" i="7" s="1"/>
  <c r="AH173" i="1"/>
  <c r="V170" i="7" s="1"/>
  <c r="AG173" i="1"/>
  <c r="U170" i="7" s="1"/>
  <c r="AF173" i="1"/>
  <c r="T170" i="7" s="1"/>
  <c r="AE173" i="1"/>
  <c r="S170" i="7" s="1"/>
  <c r="AD173" i="1"/>
  <c r="R170" i="7" s="1"/>
  <c r="AC173" i="1"/>
  <c r="Q170" i="7" s="1"/>
  <c r="AB173" i="1"/>
  <c r="P170" i="7" s="1"/>
  <c r="AA173" i="1"/>
  <c r="O170" i="7" s="1"/>
  <c r="Z173" i="1"/>
  <c r="N170" i="7" s="1"/>
  <c r="Y173" i="1"/>
  <c r="M170" i="7" s="1"/>
  <c r="X173" i="1"/>
  <c r="L170" i="7" s="1"/>
  <c r="W173" i="1"/>
  <c r="K170" i="7" s="1"/>
  <c r="V173" i="1"/>
  <c r="J170" i="7" s="1"/>
  <c r="U173" i="1"/>
  <c r="I170" i="7" s="1"/>
  <c r="T173" i="1"/>
  <c r="H170" i="7" s="1"/>
  <c r="S173" i="1"/>
  <c r="G170" i="7" s="1"/>
  <c r="R173" i="1"/>
  <c r="F170" i="7" s="1"/>
  <c r="O173" i="1"/>
  <c r="O172" i="1"/>
  <c r="M172" i="1"/>
  <c r="M171" i="1"/>
  <c r="O170" i="1"/>
  <c r="M170" i="1"/>
  <c r="M169" i="1"/>
  <c r="O168" i="1"/>
  <c r="M168" i="1"/>
  <c r="M167" i="1"/>
  <c r="CO166" i="1"/>
  <c r="CC163" i="7" s="1"/>
  <c r="CN166" i="1"/>
  <c r="CB163" i="7" s="1"/>
  <c r="CM166" i="1"/>
  <c r="CA163" i="7" s="1"/>
  <c r="CL166" i="1"/>
  <c r="BZ163" i="7" s="1"/>
  <c r="CK166" i="1"/>
  <c r="BY163" i="7" s="1"/>
  <c r="CJ166" i="1"/>
  <c r="BX163" i="7" s="1"/>
  <c r="CI166" i="1"/>
  <c r="BW163" i="7" s="1"/>
  <c r="CH166" i="1"/>
  <c r="BV163" i="7" s="1"/>
  <c r="CG166" i="1"/>
  <c r="BU163" i="7" s="1"/>
  <c r="CF166" i="1"/>
  <c r="BT163" i="7" s="1"/>
  <c r="CE166" i="1"/>
  <c r="BS163" i="7" s="1"/>
  <c r="CD166" i="1"/>
  <c r="BR163" i="7" s="1"/>
  <c r="CC166" i="1"/>
  <c r="BQ163" i="7" s="1"/>
  <c r="CB166" i="1"/>
  <c r="BP163" i="7" s="1"/>
  <c r="CA166" i="1"/>
  <c r="BO163" i="7" s="1"/>
  <c r="BZ166" i="1"/>
  <c r="BN163" i="7" s="1"/>
  <c r="BY166" i="1"/>
  <c r="BM163" i="7" s="1"/>
  <c r="BX166" i="1"/>
  <c r="BL163" i="7" s="1"/>
  <c r="BW166" i="1"/>
  <c r="BK163" i="7" s="1"/>
  <c r="BV166" i="1"/>
  <c r="BJ163" i="7" s="1"/>
  <c r="BU166" i="1"/>
  <c r="BI163" i="7" s="1"/>
  <c r="BT166" i="1"/>
  <c r="BH163" i="7" s="1"/>
  <c r="BS166" i="1"/>
  <c r="BG163" i="7" s="1"/>
  <c r="BR166" i="1"/>
  <c r="BF163" i="7" s="1"/>
  <c r="BQ166" i="1"/>
  <c r="BE163" i="7" s="1"/>
  <c r="BP166" i="1"/>
  <c r="BD163" i="7" s="1"/>
  <c r="BO166" i="1"/>
  <c r="BC163" i="7" s="1"/>
  <c r="BN166" i="1"/>
  <c r="BB163" i="7" s="1"/>
  <c r="BM166" i="1"/>
  <c r="BA163" i="7" s="1"/>
  <c r="BL166" i="1"/>
  <c r="AZ163" i="7" s="1"/>
  <c r="BK166" i="1"/>
  <c r="AY163" i="7" s="1"/>
  <c r="BJ166" i="1"/>
  <c r="AX163" i="7" s="1"/>
  <c r="BI166" i="1"/>
  <c r="AW163" i="7" s="1"/>
  <c r="BH166" i="1"/>
  <c r="AV163" i="7" s="1"/>
  <c r="BG166" i="1"/>
  <c r="AU163" i="7" s="1"/>
  <c r="BF166" i="1"/>
  <c r="AT163" i="7" s="1"/>
  <c r="BE166" i="1"/>
  <c r="AS163" i="7" s="1"/>
  <c r="BD166" i="1"/>
  <c r="AR163" i="7" s="1"/>
  <c r="BC166" i="1"/>
  <c r="AQ163" i="7" s="1"/>
  <c r="BB166" i="1"/>
  <c r="AP163" i="7" s="1"/>
  <c r="BA166" i="1"/>
  <c r="AO163" i="7" s="1"/>
  <c r="AZ166" i="1"/>
  <c r="AN163" i="7" s="1"/>
  <c r="AY166" i="1"/>
  <c r="AM163" i="7" s="1"/>
  <c r="AX166" i="1"/>
  <c r="AL163" i="7" s="1"/>
  <c r="AW166" i="1"/>
  <c r="AK163" i="7" s="1"/>
  <c r="AV166" i="1"/>
  <c r="AJ163" i="7" s="1"/>
  <c r="AU166" i="1"/>
  <c r="AI163" i="7" s="1"/>
  <c r="AT166" i="1"/>
  <c r="AH163" i="7" s="1"/>
  <c r="AS166" i="1"/>
  <c r="AG163" i="7" s="1"/>
  <c r="AR166" i="1"/>
  <c r="AF163" i="7" s="1"/>
  <c r="AQ166" i="1"/>
  <c r="AE163" i="7" s="1"/>
  <c r="AP166" i="1"/>
  <c r="AD163" i="7" s="1"/>
  <c r="AO166" i="1"/>
  <c r="AC163" i="7" s="1"/>
  <c r="AN166" i="1"/>
  <c r="AB163" i="7" s="1"/>
  <c r="AM166" i="1"/>
  <c r="AA163" i="7" s="1"/>
  <c r="AL166" i="1"/>
  <c r="Z163" i="7" s="1"/>
  <c r="AK166" i="1"/>
  <c r="Y163" i="7" s="1"/>
  <c r="AJ166" i="1"/>
  <c r="X163" i="7" s="1"/>
  <c r="AI166" i="1"/>
  <c r="W163" i="7" s="1"/>
  <c r="AH166" i="1"/>
  <c r="V163" i="7" s="1"/>
  <c r="AG166" i="1"/>
  <c r="U163" i="7" s="1"/>
  <c r="AF166" i="1"/>
  <c r="T163" i="7" s="1"/>
  <c r="AE166" i="1"/>
  <c r="S163" i="7" s="1"/>
  <c r="AD166" i="1"/>
  <c r="R163" i="7" s="1"/>
  <c r="AC166" i="1"/>
  <c r="Q163" i="7" s="1"/>
  <c r="AB166" i="1"/>
  <c r="P163" i="7" s="1"/>
  <c r="AA166" i="1"/>
  <c r="O163" i="7" s="1"/>
  <c r="Z166" i="1"/>
  <c r="N163" i="7" s="1"/>
  <c r="Y166" i="1"/>
  <c r="M163" i="7" s="1"/>
  <c r="X166" i="1"/>
  <c r="L163" i="7" s="1"/>
  <c r="W166" i="1"/>
  <c r="K163" i="7" s="1"/>
  <c r="V166" i="1"/>
  <c r="J163" i="7" s="1"/>
  <c r="U166" i="1"/>
  <c r="I163" i="7" s="1"/>
  <c r="T166" i="1"/>
  <c r="H163" i="7" s="1"/>
  <c r="S166" i="1"/>
  <c r="G163" i="7" s="1"/>
  <c r="R166" i="1"/>
  <c r="F163" i="7" s="1"/>
  <c r="CO165" i="1"/>
  <c r="CC162" i="7" s="1"/>
  <c r="CN165" i="1"/>
  <c r="CB162" i="7" s="1"/>
  <c r="CM165" i="1"/>
  <c r="CA162" i="7" s="1"/>
  <c r="CL165" i="1"/>
  <c r="BZ162" i="7" s="1"/>
  <c r="CK165" i="1"/>
  <c r="BY162" i="7" s="1"/>
  <c r="CJ165" i="1"/>
  <c r="BX162" i="7" s="1"/>
  <c r="CI165" i="1"/>
  <c r="BW162" i="7" s="1"/>
  <c r="CH165" i="1"/>
  <c r="BV162" i="7" s="1"/>
  <c r="CG165" i="1"/>
  <c r="BU162" i="7" s="1"/>
  <c r="CF165" i="1"/>
  <c r="BT162" i="7" s="1"/>
  <c r="CE165" i="1"/>
  <c r="BS162" i="7" s="1"/>
  <c r="CD165" i="1"/>
  <c r="BR162" i="7" s="1"/>
  <c r="CC165" i="1"/>
  <c r="BQ162" i="7" s="1"/>
  <c r="CB165" i="1"/>
  <c r="BP162" i="7" s="1"/>
  <c r="CA165" i="1"/>
  <c r="BO162" i="7" s="1"/>
  <c r="BZ165" i="1"/>
  <c r="BN162" i="7" s="1"/>
  <c r="BY165" i="1"/>
  <c r="BM162" i="7" s="1"/>
  <c r="BX165" i="1"/>
  <c r="BL162" i="7" s="1"/>
  <c r="BW165" i="1"/>
  <c r="BK162" i="7" s="1"/>
  <c r="BV165" i="1"/>
  <c r="BJ162" i="7" s="1"/>
  <c r="BU165" i="1"/>
  <c r="BI162" i="7" s="1"/>
  <c r="BT165" i="1"/>
  <c r="BH162" i="7" s="1"/>
  <c r="BS165" i="1"/>
  <c r="BG162" i="7" s="1"/>
  <c r="BR165" i="1"/>
  <c r="BF162" i="7" s="1"/>
  <c r="BQ165" i="1"/>
  <c r="BE162" i="7" s="1"/>
  <c r="BP165" i="1"/>
  <c r="BD162" i="7" s="1"/>
  <c r="BG165" i="1"/>
  <c r="AU162" i="7" s="1"/>
  <c r="BF165" i="1"/>
  <c r="AT162" i="7" s="1"/>
  <c r="BE165" i="1"/>
  <c r="AS162" i="7" s="1"/>
  <c r="BD165" i="1"/>
  <c r="AR162" i="7" s="1"/>
  <c r="BC165" i="1"/>
  <c r="AQ162" i="7" s="1"/>
  <c r="BB165" i="1"/>
  <c r="AP162" i="7" s="1"/>
  <c r="AW165" i="1"/>
  <c r="AK162" i="7" s="1"/>
  <c r="AV165" i="1"/>
  <c r="AJ162" i="7" s="1"/>
  <c r="AU165" i="1"/>
  <c r="AI162" i="7" s="1"/>
  <c r="AT165" i="1"/>
  <c r="AH162" i="7" s="1"/>
  <c r="AS165" i="1"/>
  <c r="AG162" i="7" s="1"/>
  <c r="AR165" i="1"/>
  <c r="AF162" i="7" s="1"/>
  <c r="AQ165" i="1"/>
  <c r="AE162" i="7" s="1"/>
  <c r="AP165" i="1"/>
  <c r="AD162" i="7" s="1"/>
  <c r="AO165" i="1"/>
  <c r="AC162" i="7" s="1"/>
  <c r="AN165" i="1"/>
  <c r="AB162" i="7" s="1"/>
  <c r="AM165" i="1"/>
  <c r="AA162" i="7" s="1"/>
  <c r="AL165" i="1"/>
  <c r="Z162" i="7" s="1"/>
  <c r="AK165" i="1"/>
  <c r="Y162" i="7" s="1"/>
  <c r="AJ165" i="1"/>
  <c r="X162" i="7" s="1"/>
  <c r="AI165" i="1"/>
  <c r="W162" i="7" s="1"/>
  <c r="AH165" i="1"/>
  <c r="V162" i="7" s="1"/>
  <c r="AG165" i="1"/>
  <c r="U162" i="7" s="1"/>
  <c r="AF165" i="1"/>
  <c r="T162" i="7" s="1"/>
  <c r="AE165" i="1"/>
  <c r="S162" i="7" s="1"/>
  <c r="AD165" i="1"/>
  <c r="R162" i="7" s="1"/>
  <c r="AC165" i="1"/>
  <c r="Q162" i="7" s="1"/>
  <c r="AB165" i="1"/>
  <c r="P162" i="7" s="1"/>
  <c r="AA165" i="1"/>
  <c r="O162" i="7" s="1"/>
  <c r="Z165" i="1"/>
  <c r="N162" i="7" s="1"/>
  <c r="Y165" i="1"/>
  <c r="M162" i="7" s="1"/>
  <c r="X165" i="1"/>
  <c r="L162" i="7" s="1"/>
  <c r="W165" i="1"/>
  <c r="K162" i="7" s="1"/>
  <c r="V165" i="1"/>
  <c r="J162" i="7" s="1"/>
  <c r="U165" i="1"/>
  <c r="I162" i="7" s="1"/>
  <c r="T165" i="1"/>
  <c r="H162" i="7" s="1"/>
  <c r="S165" i="1"/>
  <c r="G162" i="7" s="1"/>
  <c r="R165" i="1"/>
  <c r="F162" i="7" s="1"/>
  <c r="O165" i="1"/>
  <c r="CO164" i="1"/>
  <c r="CC161" i="7" s="1"/>
  <c r="CN164" i="1"/>
  <c r="CB161" i="7" s="1"/>
  <c r="CM164" i="1"/>
  <c r="CA161" i="7" s="1"/>
  <c r="CL164" i="1"/>
  <c r="BZ161" i="7" s="1"/>
  <c r="CK164" i="1"/>
  <c r="BY161" i="7" s="1"/>
  <c r="CJ164" i="1"/>
  <c r="BX161" i="7" s="1"/>
  <c r="CI164" i="1"/>
  <c r="BW161" i="7" s="1"/>
  <c r="CH164" i="1"/>
  <c r="BV161" i="7" s="1"/>
  <c r="CG164" i="1"/>
  <c r="BU161" i="7" s="1"/>
  <c r="CF164" i="1"/>
  <c r="BT161" i="7" s="1"/>
  <c r="CE164" i="1"/>
  <c r="BS161" i="7" s="1"/>
  <c r="CD164" i="1"/>
  <c r="BR161" i="7" s="1"/>
  <c r="CC164" i="1"/>
  <c r="BQ161" i="7" s="1"/>
  <c r="CB164" i="1"/>
  <c r="BP161" i="7" s="1"/>
  <c r="CA164" i="1"/>
  <c r="BO161" i="7" s="1"/>
  <c r="BZ164" i="1"/>
  <c r="BN161" i="7" s="1"/>
  <c r="BY164" i="1"/>
  <c r="BM161" i="7" s="1"/>
  <c r="BX164" i="1"/>
  <c r="BL161" i="7" s="1"/>
  <c r="BW164" i="1"/>
  <c r="BK161" i="7" s="1"/>
  <c r="BV164" i="1"/>
  <c r="BJ161" i="7" s="1"/>
  <c r="BU164" i="1"/>
  <c r="BI161" i="7" s="1"/>
  <c r="BT164" i="1"/>
  <c r="BH161" i="7" s="1"/>
  <c r="BS164" i="1"/>
  <c r="BG161" i="7" s="1"/>
  <c r="BR164" i="1"/>
  <c r="BF161" i="7" s="1"/>
  <c r="BQ164" i="1"/>
  <c r="BE161" i="7" s="1"/>
  <c r="BP164" i="1"/>
  <c r="BD161" i="7" s="1"/>
  <c r="BO164" i="1"/>
  <c r="BC161" i="7" s="1"/>
  <c r="BN164" i="1"/>
  <c r="BB161" i="7" s="1"/>
  <c r="BM164" i="1"/>
  <c r="BA161" i="7" s="1"/>
  <c r="BL164" i="1"/>
  <c r="AZ161" i="7" s="1"/>
  <c r="BK164" i="1"/>
  <c r="AY161" i="7" s="1"/>
  <c r="BJ164" i="1"/>
  <c r="AX161" i="7" s="1"/>
  <c r="BI164" i="1"/>
  <c r="AW161" i="7" s="1"/>
  <c r="BH164" i="1"/>
  <c r="AV161" i="7" s="1"/>
  <c r="BG164" i="1"/>
  <c r="AU161" i="7" s="1"/>
  <c r="BF164" i="1"/>
  <c r="AT161" i="7" s="1"/>
  <c r="BE164" i="1"/>
  <c r="AS161" i="7" s="1"/>
  <c r="BD164" i="1"/>
  <c r="AR161" i="7" s="1"/>
  <c r="BC164" i="1"/>
  <c r="AQ161" i="7" s="1"/>
  <c r="BB164" i="1"/>
  <c r="AP161" i="7" s="1"/>
  <c r="BA164" i="1"/>
  <c r="AO161" i="7" s="1"/>
  <c r="AZ164" i="1"/>
  <c r="AN161" i="7" s="1"/>
  <c r="AY164" i="1"/>
  <c r="AM161" i="7" s="1"/>
  <c r="AX164" i="1"/>
  <c r="AL161" i="7" s="1"/>
  <c r="AW164" i="1"/>
  <c r="AK161" i="7" s="1"/>
  <c r="AV164" i="1"/>
  <c r="AJ161" i="7" s="1"/>
  <c r="AU164" i="1"/>
  <c r="AI161" i="7" s="1"/>
  <c r="AT164" i="1"/>
  <c r="AH161" i="7" s="1"/>
  <c r="AS164" i="1"/>
  <c r="AG161" i="7" s="1"/>
  <c r="AR164" i="1"/>
  <c r="AF161" i="7" s="1"/>
  <c r="AQ164" i="1"/>
  <c r="AE161" i="7" s="1"/>
  <c r="AP164" i="1"/>
  <c r="AD161" i="7" s="1"/>
  <c r="AO164" i="1"/>
  <c r="AC161" i="7" s="1"/>
  <c r="AN164" i="1"/>
  <c r="AB161" i="7" s="1"/>
  <c r="AM164" i="1"/>
  <c r="AA161" i="7" s="1"/>
  <c r="AL164" i="1"/>
  <c r="Z161" i="7" s="1"/>
  <c r="AK164" i="1"/>
  <c r="Y161" i="7" s="1"/>
  <c r="AJ164" i="1"/>
  <c r="X161" i="7" s="1"/>
  <c r="AI164" i="1"/>
  <c r="W161" i="7" s="1"/>
  <c r="AH164" i="1"/>
  <c r="V161" i="7" s="1"/>
  <c r="AG164" i="1"/>
  <c r="U161" i="7" s="1"/>
  <c r="AF164" i="1"/>
  <c r="T161" i="7" s="1"/>
  <c r="AE164" i="1"/>
  <c r="S161" i="7" s="1"/>
  <c r="AD164" i="1"/>
  <c r="R161" i="7" s="1"/>
  <c r="AC164" i="1"/>
  <c r="Q161" i="7" s="1"/>
  <c r="AB164" i="1"/>
  <c r="P161" i="7" s="1"/>
  <c r="AA164" i="1"/>
  <c r="O161" i="7" s="1"/>
  <c r="Z164" i="1"/>
  <c r="N161" i="7" s="1"/>
  <c r="Y164" i="1"/>
  <c r="M161" i="7" s="1"/>
  <c r="X164" i="1"/>
  <c r="L161" i="7" s="1"/>
  <c r="W164" i="1"/>
  <c r="K161" i="7" s="1"/>
  <c r="V164" i="1"/>
  <c r="J161" i="7" s="1"/>
  <c r="U164" i="1"/>
  <c r="I161" i="7" s="1"/>
  <c r="T164" i="1"/>
  <c r="H161" i="7" s="1"/>
  <c r="S164" i="1"/>
  <c r="G161" i="7" s="1"/>
  <c r="R164" i="1"/>
  <c r="F161" i="7" s="1"/>
  <c r="CO163" i="1"/>
  <c r="CC160" i="7" s="1"/>
  <c r="CN163" i="1"/>
  <c r="CB160" i="7" s="1"/>
  <c r="CM163" i="1"/>
  <c r="CA160" i="7" s="1"/>
  <c r="CL163" i="1"/>
  <c r="BZ160" i="7" s="1"/>
  <c r="CK163" i="1"/>
  <c r="BY160" i="7" s="1"/>
  <c r="CJ163" i="1"/>
  <c r="BX160" i="7" s="1"/>
  <c r="BG163" i="1"/>
  <c r="AU160" i="7" s="1"/>
  <c r="BF163" i="1"/>
  <c r="AT160" i="7" s="1"/>
  <c r="BE163" i="1"/>
  <c r="AS160" i="7" s="1"/>
  <c r="AW163" i="1"/>
  <c r="AK160" i="7" s="1"/>
  <c r="AV163" i="1"/>
  <c r="AJ160" i="7" s="1"/>
  <c r="AU163" i="1"/>
  <c r="AI160" i="7" s="1"/>
  <c r="AT163" i="1"/>
  <c r="AH160" i="7" s="1"/>
  <c r="AS163" i="1"/>
  <c r="AG160" i="7" s="1"/>
  <c r="AR163" i="1"/>
  <c r="AF160" i="7" s="1"/>
  <c r="AQ163" i="1"/>
  <c r="AE160" i="7" s="1"/>
  <c r="AP163" i="1"/>
  <c r="AD160" i="7" s="1"/>
  <c r="AO163" i="1"/>
  <c r="AC160" i="7" s="1"/>
  <c r="AN163" i="1"/>
  <c r="AB160" i="7" s="1"/>
  <c r="AM163" i="1"/>
  <c r="AA160" i="7" s="1"/>
  <c r="AL163" i="1"/>
  <c r="Z160" i="7" s="1"/>
  <c r="AK163" i="1"/>
  <c r="Y160" i="7" s="1"/>
  <c r="AJ163" i="1"/>
  <c r="X160" i="7" s="1"/>
  <c r="AI163" i="1"/>
  <c r="W160" i="7" s="1"/>
  <c r="AH163" i="1"/>
  <c r="V160" i="7" s="1"/>
  <c r="AG163" i="1"/>
  <c r="U160" i="7" s="1"/>
  <c r="AF163" i="1"/>
  <c r="T160" i="7" s="1"/>
  <c r="AE163" i="1"/>
  <c r="S160" i="7" s="1"/>
  <c r="AD163" i="1"/>
  <c r="R160" i="7" s="1"/>
  <c r="AC163" i="1"/>
  <c r="Q160" i="7" s="1"/>
  <c r="AB163" i="1"/>
  <c r="P160" i="7" s="1"/>
  <c r="AA163" i="1"/>
  <c r="O160" i="7" s="1"/>
  <c r="Z163" i="1"/>
  <c r="N160" i="7" s="1"/>
  <c r="Y163" i="1"/>
  <c r="M160" i="7" s="1"/>
  <c r="X163" i="1"/>
  <c r="L160" i="7" s="1"/>
  <c r="W163" i="1"/>
  <c r="K160" i="7" s="1"/>
  <c r="V163" i="1"/>
  <c r="J160" i="7" s="1"/>
  <c r="U163" i="1"/>
  <c r="I160" i="7" s="1"/>
  <c r="T163" i="1"/>
  <c r="H160" i="7" s="1"/>
  <c r="S163" i="1"/>
  <c r="G160" i="7" s="1"/>
  <c r="R163" i="1"/>
  <c r="F160" i="7" s="1"/>
  <c r="O163" i="1"/>
  <c r="O162" i="1"/>
  <c r="M162" i="1"/>
  <c r="M161" i="1"/>
  <c r="O160" i="1"/>
  <c r="M160" i="1"/>
  <c r="M159" i="1"/>
  <c r="O158" i="1"/>
  <c r="M158" i="1"/>
  <c r="M157" i="1"/>
  <c r="O156" i="1"/>
  <c r="M156" i="1"/>
  <c r="M155" i="1"/>
  <c r="CO154" i="1"/>
  <c r="CC151" i="7" s="1"/>
  <c r="CN154" i="1"/>
  <c r="CB151" i="7" s="1"/>
  <c r="CM154" i="1"/>
  <c r="CA151" i="7" s="1"/>
  <c r="CL154" i="1"/>
  <c r="BZ151" i="7" s="1"/>
  <c r="CK154" i="1"/>
  <c r="BY151" i="7" s="1"/>
  <c r="CJ154" i="1"/>
  <c r="BX151" i="7" s="1"/>
  <c r="CI154" i="1"/>
  <c r="BW151" i="7" s="1"/>
  <c r="CH154" i="1"/>
  <c r="BV151" i="7" s="1"/>
  <c r="CG154" i="1"/>
  <c r="BU151" i="7" s="1"/>
  <c r="CF154" i="1"/>
  <c r="BT151" i="7" s="1"/>
  <c r="CE154" i="1"/>
  <c r="BS151" i="7" s="1"/>
  <c r="CD154" i="1"/>
  <c r="BR151" i="7" s="1"/>
  <c r="CC154" i="1"/>
  <c r="BQ151" i="7" s="1"/>
  <c r="CB154" i="1"/>
  <c r="BP151" i="7" s="1"/>
  <c r="CA154" i="1"/>
  <c r="BO151" i="7" s="1"/>
  <c r="BZ154" i="1"/>
  <c r="BN151" i="7" s="1"/>
  <c r="BY154" i="1"/>
  <c r="BM151" i="7" s="1"/>
  <c r="BX154" i="1"/>
  <c r="BL151" i="7" s="1"/>
  <c r="BW154" i="1"/>
  <c r="BK151" i="7" s="1"/>
  <c r="BV154" i="1"/>
  <c r="BJ151" i="7" s="1"/>
  <c r="BU154" i="1"/>
  <c r="BI151" i="7" s="1"/>
  <c r="BT154" i="1"/>
  <c r="BH151" i="7" s="1"/>
  <c r="BS154" i="1"/>
  <c r="BG151" i="7" s="1"/>
  <c r="BR154" i="1"/>
  <c r="BF151" i="7" s="1"/>
  <c r="BQ154" i="1"/>
  <c r="BE151" i="7" s="1"/>
  <c r="BP154" i="1"/>
  <c r="BD151" i="7" s="1"/>
  <c r="BO154" i="1"/>
  <c r="BC151" i="7" s="1"/>
  <c r="BN154" i="1"/>
  <c r="BB151" i="7" s="1"/>
  <c r="BM154" i="1"/>
  <c r="BA151" i="7" s="1"/>
  <c r="BL154" i="1"/>
  <c r="AZ151" i="7" s="1"/>
  <c r="BK154" i="1"/>
  <c r="AY151" i="7" s="1"/>
  <c r="BJ154" i="1"/>
  <c r="AX151" i="7" s="1"/>
  <c r="BI154" i="1"/>
  <c r="AW151" i="7" s="1"/>
  <c r="BH154" i="1"/>
  <c r="AV151" i="7" s="1"/>
  <c r="BG154" i="1"/>
  <c r="AU151" i="7" s="1"/>
  <c r="BF154" i="1"/>
  <c r="AT151" i="7" s="1"/>
  <c r="BE154" i="1"/>
  <c r="AS151" i="7" s="1"/>
  <c r="BD154" i="1"/>
  <c r="AR151" i="7" s="1"/>
  <c r="BC154" i="1"/>
  <c r="AQ151" i="7" s="1"/>
  <c r="BB154" i="1"/>
  <c r="AP151" i="7" s="1"/>
  <c r="BA154" i="1"/>
  <c r="AO151" i="7" s="1"/>
  <c r="AZ154" i="1"/>
  <c r="AN151" i="7" s="1"/>
  <c r="AY154" i="1"/>
  <c r="AM151" i="7" s="1"/>
  <c r="AX154" i="1"/>
  <c r="AL151" i="7" s="1"/>
  <c r="AW154" i="1"/>
  <c r="AK151" i="7" s="1"/>
  <c r="AV154" i="1"/>
  <c r="AJ151" i="7" s="1"/>
  <c r="AU154" i="1"/>
  <c r="AI151" i="7" s="1"/>
  <c r="AT154" i="1"/>
  <c r="AH151" i="7" s="1"/>
  <c r="AS154" i="1"/>
  <c r="AG151" i="7" s="1"/>
  <c r="AR154" i="1"/>
  <c r="AF151" i="7" s="1"/>
  <c r="AQ154" i="1"/>
  <c r="AE151" i="7" s="1"/>
  <c r="AP154" i="1"/>
  <c r="AD151" i="7" s="1"/>
  <c r="AO154" i="1"/>
  <c r="AC151" i="7" s="1"/>
  <c r="AN154" i="1"/>
  <c r="AB151" i="7" s="1"/>
  <c r="AM154" i="1"/>
  <c r="AA151" i="7" s="1"/>
  <c r="AL154" i="1"/>
  <c r="Z151" i="7" s="1"/>
  <c r="AK154" i="1"/>
  <c r="Y151" i="7" s="1"/>
  <c r="AJ154" i="1"/>
  <c r="X151" i="7" s="1"/>
  <c r="AI154" i="1"/>
  <c r="W151" i="7" s="1"/>
  <c r="AH154" i="1"/>
  <c r="V151" i="7" s="1"/>
  <c r="AG154" i="1"/>
  <c r="U151" i="7" s="1"/>
  <c r="AF154" i="1"/>
  <c r="T151" i="7" s="1"/>
  <c r="AE154" i="1"/>
  <c r="S151" i="7" s="1"/>
  <c r="AD154" i="1"/>
  <c r="R151" i="7" s="1"/>
  <c r="AC154" i="1"/>
  <c r="Q151" i="7" s="1"/>
  <c r="AB154" i="1"/>
  <c r="P151" i="7" s="1"/>
  <c r="AA154" i="1"/>
  <c r="O151" i="7" s="1"/>
  <c r="Z154" i="1"/>
  <c r="N151" i="7" s="1"/>
  <c r="Y154" i="1"/>
  <c r="M151" i="7" s="1"/>
  <c r="X154" i="1"/>
  <c r="L151" i="7" s="1"/>
  <c r="W154" i="1"/>
  <c r="K151" i="7" s="1"/>
  <c r="V154" i="1"/>
  <c r="J151" i="7" s="1"/>
  <c r="U154" i="1"/>
  <c r="I151" i="7" s="1"/>
  <c r="T154" i="1"/>
  <c r="H151" i="7" s="1"/>
  <c r="S154" i="1"/>
  <c r="G151" i="7" s="1"/>
  <c r="R154" i="1"/>
  <c r="F151" i="7" s="1"/>
  <c r="E151" i="7" s="1"/>
  <c r="CO153" i="1"/>
  <c r="CC150" i="7" s="1"/>
  <c r="CN153" i="1"/>
  <c r="CB150" i="7" s="1"/>
  <c r="CM153" i="1"/>
  <c r="CA150" i="7" s="1"/>
  <c r="CL153" i="1"/>
  <c r="BZ150" i="7" s="1"/>
  <c r="CK153" i="1"/>
  <c r="BY150" i="7" s="1"/>
  <c r="CJ153" i="1"/>
  <c r="BX150" i="7" s="1"/>
  <c r="CI153" i="1"/>
  <c r="BW150" i="7" s="1"/>
  <c r="CH153" i="1"/>
  <c r="BV150" i="7" s="1"/>
  <c r="CG153" i="1"/>
  <c r="BU150" i="7" s="1"/>
  <c r="CF153" i="1"/>
  <c r="BT150" i="7" s="1"/>
  <c r="CE153" i="1"/>
  <c r="BS150" i="7" s="1"/>
  <c r="CD153" i="1"/>
  <c r="BR150" i="7" s="1"/>
  <c r="CC153" i="1"/>
  <c r="BQ150" i="7" s="1"/>
  <c r="CB153" i="1"/>
  <c r="BP150" i="7" s="1"/>
  <c r="CA153" i="1"/>
  <c r="BO150" i="7" s="1"/>
  <c r="BZ153" i="1"/>
  <c r="BN150" i="7" s="1"/>
  <c r="BY153" i="1"/>
  <c r="BM150" i="7" s="1"/>
  <c r="BX153" i="1"/>
  <c r="BL150" i="7" s="1"/>
  <c r="BW153" i="1"/>
  <c r="BK150" i="7" s="1"/>
  <c r="BV153" i="1"/>
  <c r="BJ150" i="7" s="1"/>
  <c r="BU153" i="1"/>
  <c r="BI150" i="7" s="1"/>
  <c r="BT153" i="1"/>
  <c r="BH150" i="7" s="1"/>
  <c r="BS153" i="1"/>
  <c r="BG150" i="7" s="1"/>
  <c r="BR153" i="1"/>
  <c r="BF150" i="7" s="1"/>
  <c r="AW153" i="1"/>
  <c r="AK150" i="7" s="1"/>
  <c r="AV153" i="1"/>
  <c r="AJ150" i="7" s="1"/>
  <c r="AU153" i="1"/>
  <c r="AI150" i="7" s="1"/>
  <c r="AT153" i="1"/>
  <c r="AH150" i="7" s="1"/>
  <c r="AS153" i="1"/>
  <c r="AG150" i="7" s="1"/>
  <c r="AR153" i="1"/>
  <c r="AF150" i="7" s="1"/>
  <c r="AQ153" i="1"/>
  <c r="AE150" i="7" s="1"/>
  <c r="AP153" i="1"/>
  <c r="AD150" i="7" s="1"/>
  <c r="AO153" i="1"/>
  <c r="AC150" i="7" s="1"/>
  <c r="AN153" i="1"/>
  <c r="AB150" i="7" s="1"/>
  <c r="AM153" i="1"/>
  <c r="AA150" i="7" s="1"/>
  <c r="AL153" i="1"/>
  <c r="Z150" i="7" s="1"/>
  <c r="AK153" i="1"/>
  <c r="Y150" i="7" s="1"/>
  <c r="AJ153" i="1"/>
  <c r="X150" i="7" s="1"/>
  <c r="AI153" i="1"/>
  <c r="W150" i="7" s="1"/>
  <c r="AH153" i="1"/>
  <c r="V150" i="7" s="1"/>
  <c r="AG153" i="1"/>
  <c r="U150" i="7" s="1"/>
  <c r="AF153" i="1"/>
  <c r="T150" i="7" s="1"/>
  <c r="AE153" i="1"/>
  <c r="S150" i="7" s="1"/>
  <c r="AD153" i="1"/>
  <c r="R150" i="7" s="1"/>
  <c r="AC153" i="1"/>
  <c r="Q150" i="7" s="1"/>
  <c r="AB153" i="1"/>
  <c r="P150" i="7" s="1"/>
  <c r="AA153" i="1"/>
  <c r="O150" i="7" s="1"/>
  <c r="Z153" i="1"/>
  <c r="N150" i="7" s="1"/>
  <c r="Y153" i="1"/>
  <c r="M150" i="7" s="1"/>
  <c r="X153" i="1"/>
  <c r="L150" i="7" s="1"/>
  <c r="W153" i="1"/>
  <c r="K150" i="7" s="1"/>
  <c r="V153" i="1"/>
  <c r="J150" i="7" s="1"/>
  <c r="U153" i="1"/>
  <c r="I150" i="7" s="1"/>
  <c r="T153" i="1"/>
  <c r="H150" i="7" s="1"/>
  <c r="S153" i="1"/>
  <c r="G150" i="7" s="1"/>
  <c r="R153" i="1"/>
  <c r="F150" i="7" s="1"/>
  <c r="O153" i="1"/>
  <c r="CO152" i="1"/>
  <c r="CC149" i="7" s="1"/>
  <c r="CN152" i="1"/>
  <c r="CB149" i="7" s="1"/>
  <c r="CM152" i="1"/>
  <c r="CA149" i="7" s="1"/>
  <c r="CL152" i="1"/>
  <c r="BZ149" i="7" s="1"/>
  <c r="CK152" i="1"/>
  <c r="BY149" i="7" s="1"/>
  <c r="CJ152" i="1"/>
  <c r="BX149" i="7" s="1"/>
  <c r="CI152" i="1"/>
  <c r="BW149" i="7" s="1"/>
  <c r="CH152" i="1"/>
  <c r="BV149" i="7" s="1"/>
  <c r="CG152" i="1"/>
  <c r="BU149" i="7" s="1"/>
  <c r="CF152" i="1"/>
  <c r="BT149" i="7" s="1"/>
  <c r="CE152" i="1"/>
  <c r="BS149" i="7" s="1"/>
  <c r="CD152" i="1"/>
  <c r="BR149" i="7" s="1"/>
  <c r="CC152" i="1"/>
  <c r="BQ149" i="7" s="1"/>
  <c r="CB152" i="1"/>
  <c r="BP149" i="7" s="1"/>
  <c r="CA152" i="1"/>
  <c r="BO149" i="7" s="1"/>
  <c r="BZ152" i="1"/>
  <c r="BN149" i="7" s="1"/>
  <c r="BY152" i="1"/>
  <c r="BM149" i="7" s="1"/>
  <c r="BX152" i="1"/>
  <c r="BL149" i="7" s="1"/>
  <c r="BW152" i="1"/>
  <c r="BK149" i="7" s="1"/>
  <c r="BV152" i="1"/>
  <c r="BJ149" i="7" s="1"/>
  <c r="BU152" i="1"/>
  <c r="BI149" i="7" s="1"/>
  <c r="BT152" i="1"/>
  <c r="BH149" i="7" s="1"/>
  <c r="BS152" i="1"/>
  <c r="BG149" i="7" s="1"/>
  <c r="BR152" i="1"/>
  <c r="BF149" i="7" s="1"/>
  <c r="BQ152" i="1"/>
  <c r="BE149" i="7" s="1"/>
  <c r="BP152" i="1"/>
  <c r="BD149" i="7" s="1"/>
  <c r="BO152" i="1"/>
  <c r="BC149" i="7" s="1"/>
  <c r="BN152" i="1"/>
  <c r="BB149" i="7" s="1"/>
  <c r="BM152" i="1"/>
  <c r="BA149" i="7" s="1"/>
  <c r="BL152" i="1"/>
  <c r="AZ149" i="7" s="1"/>
  <c r="BK152" i="1"/>
  <c r="AY149" i="7" s="1"/>
  <c r="BJ152" i="1"/>
  <c r="AX149" i="7" s="1"/>
  <c r="BI152" i="1"/>
  <c r="AW149" i="7" s="1"/>
  <c r="BH152" i="1"/>
  <c r="AV149" i="7" s="1"/>
  <c r="BG152" i="1"/>
  <c r="AU149" i="7" s="1"/>
  <c r="BF152" i="1"/>
  <c r="AT149" i="7" s="1"/>
  <c r="BE152" i="1"/>
  <c r="AS149" i="7" s="1"/>
  <c r="BD152" i="1"/>
  <c r="AR149" i="7" s="1"/>
  <c r="BC152" i="1"/>
  <c r="AQ149" i="7" s="1"/>
  <c r="BB152" i="1"/>
  <c r="AP149" i="7" s="1"/>
  <c r="BA152" i="1"/>
  <c r="AO149" i="7" s="1"/>
  <c r="AZ152" i="1"/>
  <c r="AN149" i="7" s="1"/>
  <c r="AY152" i="1"/>
  <c r="AM149" i="7" s="1"/>
  <c r="AX152" i="1"/>
  <c r="AL149" i="7" s="1"/>
  <c r="AW152" i="1"/>
  <c r="AK149" i="7" s="1"/>
  <c r="AV152" i="1"/>
  <c r="AJ149" i="7" s="1"/>
  <c r="AU152" i="1"/>
  <c r="AI149" i="7" s="1"/>
  <c r="AT152" i="1"/>
  <c r="AH149" i="7" s="1"/>
  <c r="AS152" i="1"/>
  <c r="AG149" i="7" s="1"/>
  <c r="AR152" i="1"/>
  <c r="AF149" i="7" s="1"/>
  <c r="AQ152" i="1"/>
  <c r="AE149" i="7" s="1"/>
  <c r="AP152" i="1"/>
  <c r="AD149" i="7" s="1"/>
  <c r="AO152" i="1"/>
  <c r="AC149" i="7" s="1"/>
  <c r="AN152" i="1"/>
  <c r="AB149" i="7" s="1"/>
  <c r="AM152" i="1"/>
  <c r="AA149" i="7" s="1"/>
  <c r="AL152" i="1"/>
  <c r="Z149" i="7" s="1"/>
  <c r="AK152" i="1"/>
  <c r="Y149" i="7" s="1"/>
  <c r="AJ152" i="1"/>
  <c r="X149" i="7" s="1"/>
  <c r="AI152" i="1"/>
  <c r="W149" i="7" s="1"/>
  <c r="AH152" i="1"/>
  <c r="V149" i="7" s="1"/>
  <c r="AG152" i="1"/>
  <c r="U149" i="7" s="1"/>
  <c r="AF152" i="1"/>
  <c r="T149" i="7" s="1"/>
  <c r="AE152" i="1"/>
  <c r="S149" i="7" s="1"/>
  <c r="AD152" i="1"/>
  <c r="R149" i="7" s="1"/>
  <c r="AC152" i="1"/>
  <c r="Q149" i="7" s="1"/>
  <c r="AB152" i="1"/>
  <c r="P149" i="7" s="1"/>
  <c r="AA152" i="1"/>
  <c r="O149" i="7" s="1"/>
  <c r="Z152" i="1"/>
  <c r="N149" i="7" s="1"/>
  <c r="Y152" i="1"/>
  <c r="M149" i="7" s="1"/>
  <c r="X152" i="1"/>
  <c r="L149" i="7" s="1"/>
  <c r="W152" i="1"/>
  <c r="K149" i="7" s="1"/>
  <c r="V152" i="1"/>
  <c r="J149" i="7" s="1"/>
  <c r="U152" i="1"/>
  <c r="I149" i="7" s="1"/>
  <c r="T152" i="1"/>
  <c r="H149" i="7" s="1"/>
  <c r="S152" i="1"/>
  <c r="G149" i="7" s="1"/>
  <c r="R152" i="1"/>
  <c r="F149" i="7" s="1"/>
  <c r="CO151" i="1"/>
  <c r="CC148" i="7" s="1"/>
  <c r="CN151" i="1"/>
  <c r="CB148" i="7" s="1"/>
  <c r="CM151" i="1"/>
  <c r="CA148" i="7" s="1"/>
  <c r="CL151" i="1"/>
  <c r="BZ148" i="7" s="1"/>
  <c r="CK151" i="1"/>
  <c r="BY148" i="7" s="1"/>
  <c r="CJ151" i="1"/>
  <c r="BX148" i="7" s="1"/>
  <c r="CI151" i="1"/>
  <c r="BW148" i="7" s="1"/>
  <c r="CH151" i="1"/>
  <c r="BV148" i="7" s="1"/>
  <c r="CG151" i="1"/>
  <c r="BU148" i="7" s="1"/>
  <c r="CF151" i="1"/>
  <c r="BT148" i="7" s="1"/>
  <c r="CE151" i="1"/>
  <c r="BS148" i="7" s="1"/>
  <c r="CD151" i="1"/>
  <c r="BR148" i="7" s="1"/>
  <c r="CC151" i="1"/>
  <c r="BQ148" i="7" s="1"/>
  <c r="CB151" i="1"/>
  <c r="BP148" i="7" s="1"/>
  <c r="CA151" i="1"/>
  <c r="BO148" i="7" s="1"/>
  <c r="BZ151" i="1"/>
  <c r="BN148" i="7" s="1"/>
  <c r="BY151" i="1"/>
  <c r="BM148" i="7" s="1"/>
  <c r="BX151" i="1"/>
  <c r="BL148" i="7" s="1"/>
  <c r="BW151" i="1"/>
  <c r="BK148" i="7" s="1"/>
  <c r="BV151" i="1"/>
  <c r="BJ148" i="7" s="1"/>
  <c r="BU151" i="1"/>
  <c r="BI148" i="7" s="1"/>
  <c r="BT151" i="1"/>
  <c r="BH148" i="7" s="1"/>
  <c r="BS151" i="1"/>
  <c r="BG148" i="7" s="1"/>
  <c r="BR151" i="1"/>
  <c r="BF148" i="7" s="1"/>
  <c r="AW151" i="1"/>
  <c r="AK148" i="7" s="1"/>
  <c r="AV151" i="1"/>
  <c r="AJ148" i="7" s="1"/>
  <c r="AU151" i="1"/>
  <c r="AI148" i="7" s="1"/>
  <c r="AT151" i="1"/>
  <c r="AH148" i="7" s="1"/>
  <c r="AS151" i="1"/>
  <c r="AG148" i="7" s="1"/>
  <c r="AR151" i="1"/>
  <c r="AF148" i="7" s="1"/>
  <c r="AQ151" i="1"/>
  <c r="AE148" i="7" s="1"/>
  <c r="AP151" i="1"/>
  <c r="AD148" i="7" s="1"/>
  <c r="AO151" i="1"/>
  <c r="AC148" i="7" s="1"/>
  <c r="AN151" i="1"/>
  <c r="AB148" i="7" s="1"/>
  <c r="AM151" i="1"/>
  <c r="AA148" i="7" s="1"/>
  <c r="AL151" i="1"/>
  <c r="Z148" i="7" s="1"/>
  <c r="AK151" i="1"/>
  <c r="Y148" i="7" s="1"/>
  <c r="AJ151" i="1"/>
  <c r="X148" i="7" s="1"/>
  <c r="AI151" i="1"/>
  <c r="W148" i="7" s="1"/>
  <c r="AH151" i="1"/>
  <c r="V148" i="7" s="1"/>
  <c r="AG151" i="1"/>
  <c r="U148" i="7" s="1"/>
  <c r="AF151" i="1"/>
  <c r="T148" i="7" s="1"/>
  <c r="AE151" i="1"/>
  <c r="S148" i="7" s="1"/>
  <c r="AD151" i="1"/>
  <c r="R148" i="7" s="1"/>
  <c r="AC151" i="1"/>
  <c r="Q148" i="7" s="1"/>
  <c r="AB151" i="1"/>
  <c r="P148" i="7" s="1"/>
  <c r="AA151" i="1"/>
  <c r="O148" i="7" s="1"/>
  <c r="Z151" i="1"/>
  <c r="N148" i="7" s="1"/>
  <c r="Y151" i="1"/>
  <c r="M148" i="7" s="1"/>
  <c r="X151" i="1"/>
  <c r="L148" i="7" s="1"/>
  <c r="W151" i="1"/>
  <c r="K148" i="7" s="1"/>
  <c r="V151" i="1"/>
  <c r="J148" i="7" s="1"/>
  <c r="U151" i="1"/>
  <c r="I148" i="7" s="1"/>
  <c r="T151" i="1"/>
  <c r="H148" i="7" s="1"/>
  <c r="S151" i="1"/>
  <c r="G148" i="7" s="1"/>
  <c r="R151" i="1"/>
  <c r="F148" i="7" s="1"/>
  <c r="O151" i="1"/>
  <c r="CO150" i="1"/>
  <c r="CC147" i="7" s="1"/>
  <c r="CN150" i="1"/>
  <c r="CB147" i="7" s="1"/>
  <c r="CM150" i="1"/>
  <c r="CA147" i="7" s="1"/>
  <c r="CL150" i="1"/>
  <c r="BZ147" i="7" s="1"/>
  <c r="CK150" i="1"/>
  <c r="BY147" i="7" s="1"/>
  <c r="CJ150" i="1"/>
  <c r="BX147" i="7" s="1"/>
  <c r="CI150" i="1"/>
  <c r="BW147" i="7" s="1"/>
  <c r="CH150" i="1"/>
  <c r="BV147" i="7" s="1"/>
  <c r="CG150" i="1"/>
  <c r="BU147" i="7" s="1"/>
  <c r="CF150" i="1"/>
  <c r="BT147" i="7" s="1"/>
  <c r="CE150" i="1"/>
  <c r="BS147" i="7" s="1"/>
  <c r="CD150" i="1"/>
  <c r="BR147" i="7" s="1"/>
  <c r="CC150" i="1"/>
  <c r="BQ147" i="7" s="1"/>
  <c r="CB150" i="1"/>
  <c r="BP147" i="7" s="1"/>
  <c r="CA150" i="1"/>
  <c r="BO147" i="7" s="1"/>
  <c r="BZ150" i="1"/>
  <c r="BN147" i="7" s="1"/>
  <c r="BY150" i="1"/>
  <c r="BM147" i="7" s="1"/>
  <c r="BX150" i="1"/>
  <c r="BL147" i="7" s="1"/>
  <c r="BW150" i="1"/>
  <c r="BK147" i="7" s="1"/>
  <c r="BV150" i="1"/>
  <c r="BJ147" i="7" s="1"/>
  <c r="BU150" i="1"/>
  <c r="BI147" i="7" s="1"/>
  <c r="BT150" i="1"/>
  <c r="BH147" i="7" s="1"/>
  <c r="BS150" i="1"/>
  <c r="BG147" i="7" s="1"/>
  <c r="BR150" i="1"/>
  <c r="BF147" i="7" s="1"/>
  <c r="BQ150" i="1"/>
  <c r="BE147" i="7" s="1"/>
  <c r="BP150" i="1"/>
  <c r="BD147" i="7" s="1"/>
  <c r="BO150" i="1"/>
  <c r="BC147" i="7" s="1"/>
  <c r="BN150" i="1"/>
  <c r="BB147" i="7" s="1"/>
  <c r="BM150" i="1"/>
  <c r="BA147" i="7" s="1"/>
  <c r="BL150" i="1"/>
  <c r="AZ147" i="7" s="1"/>
  <c r="BK150" i="1"/>
  <c r="AY147" i="7" s="1"/>
  <c r="BJ150" i="1"/>
  <c r="AX147" i="7" s="1"/>
  <c r="BI150" i="1"/>
  <c r="AW147" i="7" s="1"/>
  <c r="BH150" i="1"/>
  <c r="AV147" i="7" s="1"/>
  <c r="BG150" i="1"/>
  <c r="AU147" i="7" s="1"/>
  <c r="BF150" i="1"/>
  <c r="AT147" i="7" s="1"/>
  <c r="BE150" i="1"/>
  <c r="AS147" i="7" s="1"/>
  <c r="BD150" i="1"/>
  <c r="AR147" i="7" s="1"/>
  <c r="BC150" i="1"/>
  <c r="AQ147" i="7" s="1"/>
  <c r="BB150" i="1"/>
  <c r="AP147" i="7" s="1"/>
  <c r="BA150" i="1"/>
  <c r="AO147" i="7" s="1"/>
  <c r="AZ150" i="1"/>
  <c r="AN147" i="7" s="1"/>
  <c r="AY150" i="1"/>
  <c r="AM147" i="7" s="1"/>
  <c r="AX150" i="1"/>
  <c r="AL147" i="7" s="1"/>
  <c r="AW150" i="1"/>
  <c r="AK147" i="7" s="1"/>
  <c r="AV150" i="1"/>
  <c r="AJ147" i="7" s="1"/>
  <c r="AU150" i="1"/>
  <c r="AI147" i="7" s="1"/>
  <c r="AT150" i="1"/>
  <c r="AH147" i="7" s="1"/>
  <c r="AS150" i="1"/>
  <c r="AG147" i="7" s="1"/>
  <c r="AR150" i="1"/>
  <c r="AF147" i="7" s="1"/>
  <c r="AQ150" i="1"/>
  <c r="AE147" i="7" s="1"/>
  <c r="AP150" i="1"/>
  <c r="AD147" i="7" s="1"/>
  <c r="AO150" i="1"/>
  <c r="AC147" i="7" s="1"/>
  <c r="AN150" i="1"/>
  <c r="AB147" i="7" s="1"/>
  <c r="AM150" i="1"/>
  <c r="AA147" i="7" s="1"/>
  <c r="AL150" i="1"/>
  <c r="Z147" i="7" s="1"/>
  <c r="AK150" i="1"/>
  <c r="Y147" i="7" s="1"/>
  <c r="AJ150" i="1"/>
  <c r="X147" i="7" s="1"/>
  <c r="AI150" i="1"/>
  <c r="W147" i="7" s="1"/>
  <c r="AH150" i="1"/>
  <c r="V147" i="7" s="1"/>
  <c r="AG150" i="1"/>
  <c r="U147" i="7" s="1"/>
  <c r="AF150" i="1"/>
  <c r="T147" i="7" s="1"/>
  <c r="AE150" i="1"/>
  <c r="S147" i="7" s="1"/>
  <c r="AD150" i="1"/>
  <c r="R147" i="7" s="1"/>
  <c r="AC150" i="1"/>
  <c r="Q147" i="7" s="1"/>
  <c r="AB150" i="1"/>
  <c r="P147" i="7" s="1"/>
  <c r="AA150" i="1"/>
  <c r="O147" i="7" s="1"/>
  <c r="Z150" i="1"/>
  <c r="N147" i="7" s="1"/>
  <c r="Y150" i="1"/>
  <c r="M147" i="7" s="1"/>
  <c r="X150" i="1"/>
  <c r="L147" i="7" s="1"/>
  <c r="W150" i="1"/>
  <c r="K147" i="7" s="1"/>
  <c r="V150" i="1"/>
  <c r="J147" i="7" s="1"/>
  <c r="U150" i="1"/>
  <c r="I147" i="7" s="1"/>
  <c r="T150" i="1"/>
  <c r="H147" i="7" s="1"/>
  <c r="S150" i="1"/>
  <c r="G147" i="7" s="1"/>
  <c r="R150" i="1"/>
  <c r="F147" i="7" s="1"/>
  <c r="CO149" i="1"/>
  <c r="CC146" i="7" s="1"/>
  <c r="CN149" i="1"/>
  <c r="CB146" i="7" s="1"/>
  <c r="CM149" i="1"/>
  <c r="CA146" i="7" s="1"/>
  <c r="CL149" i="1"/>
  <c r="BZ146" i="7" s="1"/>
  <c r="AW149" i="1"/>
  <c r="AK146" i="7" s="1"/>
  <c r="AV149" i="1"/>
  <c r="AJ146" i="7" s="1"/>
  <c r="AU149" i="1"/>
  <c r="AI146" i="7" s="1"/>
  <c r="AT149" i="1"/>
  <c r="AH146" i="7" s="1"/>
  <c r="AS149" i="1"/>
  <c r="AG146" i="7" s="1"/>
  <c r="AR149" i="1"/>
  <c r="AF146" i="7" s="1"/>
  <c r="AQ149" i="1"/>
  <c r="AE146" i="7" s="1"/>
  <c r="AP149" i="1"/>
  <c r="AD146" i="7" s="1"/>
  <c r="AO149" i="1"/>
  <c r="AC146" i="7" s="1"/>
  <c r="AN149" i="1"/>
  <c r="AB146" i="7" s="1"/>
  <c r="AM149" i="1"/>
  <c r="AA146" i="7" s="1"/>
  <c r="AL149" i="1"/>
  <c r="Z146" i="7" s="1"/>
  <c r="AK149" i="1"/>
  <c r="Y146" i="7" s="1"/>
  <c r="AJ149" i="1"/>
  <c r="X146" i="7" s="1"/>
  <c r="AI149" i="1"/>
  <c r="W146" i="7" s="1"/>
  <c r="AH149" i="1"/>
  <c r="V146" i="7" s="1"/>
  <c r="AG149" i="1"/>
  <c r="U146" i="7" s="1"/>
  <c r="AF149" i="1"/>
  <c r="T146" i="7" s="1"/>
  <c r="AE149" i="1"/>
  <c r="S146" i="7" s="1"/>
  <c r="AD149" i="1"/>
  <c r="R146" i="7" s="1"/>
  <c r="AC149" i="1"/>
  <c r="Q146" i="7" s="1"/>
  <c r="AB149" i="1"/>
  <c r="P146" i="7" s="1"/>
  <c r="AA149" i="1"/>
  <c r="O146" i="7" s="1"/>
  <c r="Z149" i="1"/>
  <c r="N146" i="7" s="1"/>
  <c r="Y149" i="1"/>
  <c r="M146" i="7" s="1"/>
  <c r="X149" i="1"/>
  <c r="L146" i="7" s="1"/>
  <c r="W149" i="1"/>
  <c r="K146" i="7" s="1"/>
  <c r="V149" i="1"/>
  <c r="J146" i="7" s="1"/>
  <c r="U149" i="1"/>
  <c r="I146" i="7" s="1"/>
  <c r="T149" i="1"/>
  <c r="H146" i="7" s="1"/>
  <c r="S149" i="1"/>
  <c r="G146" i="7" s="1"/>
  <c r="R149" i="1"/>
  <c r="F146" i="7" s="1"/>
  <c r="O149" i="1"/>
  <c r="O148" i="1"/>
  <c r="M148" i="1"/>
  <c r="M147" i="1"/>
  <c r="O146" i="1"/>
  <c r="M146" i="1"/>
  <c r="M145" i="1"/>
  <c r="O144" i="1"/>
  <c r="M144" i="1"/>
  <c r="M143" i="1"/>
  <c r="O142" i="1"/>
  <c r="M142" i="1"/>
  <c r="M141" i="1"/>
  <c r="O140" i="1"/>
  <c r="M140" i="1"/>
  <c r="M139" i="1"/>
  <c r="O138" i="1"/>
  <c r="BR135" i="1" s="1"/>
  <c r="BF132" i="7" s="1"/>
  <c r="M138" i="1"/>
  <c r="M137" i="1"/>
  <c r="CO136" i="1"/>
  <c r="CC133" i="7" s="1"/>
  <c r="CN136" i="1"/>
  <c r="CB133" i="7" s="1"/>
  <c r="CM136" i="1"/>
  <c r="CA133" i="7" s="1"/>
  <c r="CL136" i="1"/>
  <c r="BZ133" i="7" s="1"/>
  <c r="CK136" i="1"/>
  <c r="BY133" i="7" s="1"/>
  <c r="CJ136" i="1"/>
  <c r="BX133" i="7" s="1"/>
  <c r="CI136" i="1"/>
  <c r="BW133" i="7" s="1"/>
  <c r="CH136" i="1"/>
  <c r="BV133" i="7" s="1"/>
  <c r="CG136" i="1"/>
  <c r="BU133" i="7" s="1"/>
  <c r="CF136" i="1"/>
  <c r="BT133" i="7" s="1"/>
  <c r="CE136" i="1"/>
  <c r="BS133" i="7" s="1"/>
  <c r="CD136" i="1"/>
  <c r="BR133" i="7" s="1"/>
  <c r="CC136" i="1"/>
  <c r="BQ133" i="7" s="1"/>
  <c r="CB136" i="1"/>
  <c r="BP133" i="7" s="1"/>
  <c r="CA136" i="1"/>
  <c r="BO133" i="7" s="1"/>
  <c r="BZ136" i="1"/>
  <c r="BN133" i="7" s="1"/>
  <c r="BY136" i="1"/>
  <c r="BM133" i="7" s="1"/>
  <c r="BX136" i="1"/>
  <c r="BL133" i="7" s="1"/>
  <c r="BW136" i="1"/>
  <c r="BK133" i="7" s="1"/>
  <c r="BV136" i="1"/>
  <c r="BJ133" i="7" s="1"/>
  <c r="BU136" i="1"/>
  <c r="BI133" i="7" s="1"/>
  <c r="BT136" i="1"/>
  <c r="BH133" i="7" s="1"/>
  <c r="BS136" i="1"/>
  <c r="BG133" i="7" s="1"/>
  <c r="BR136" i="1"/>
  <c r="BF133" i="7" s="1"/>
  <c r="BQ136" i="1"/>
  <c r="BE133" i="7" s="1"/>
  <c r="BP136" i="1"/>
  <c r="BD133" i="7" s="1"/>
  <c r="BO136" i="1"/>
  <c r="BC133" i="7" s="1"/>
  <c r="BN136" i="1"/>
  <c r="BB133" i="7" s="1"/>
  <c r="BM136" i="1"/>
  <c r="BA133" i="7" s="1"/>
  <c r="BL136" i="1"/>
  <c r="AZ133" i="7" s="1"/>
  <c r="BK136" i="1"/>
  <c r="AY133" i="7" s="1"/>
  <c r="BJ136" i="1"/>
  <c r="AX133" i="7" s="1"/>
  <c r="BI136" i="1"/>
  <c r="AW133" i="7" s="1"/>
  <c r="BH136" i="1"/>
  <c r="AV133" i="7" s="1"/>
  <c r="BG136" i="1"/>
  <c r="AU133" i="7" s="1"/>
  <c r="BF136" i="1"/>
  <c r="AT133" i="7" s="1"/>
  <c r="BE136" i="1"/>
  <c r="AS133" i="7" s="1"/>
  <c r="BD136" i="1"/>
  <c r="AR133" i="7" s="1"/>
  <c r="BC136" i="1"/>
  <c r="AQ133" i="7" s="1"/>
  <c r="BB136" i="1"/>
  <c r="AP133" i="7" s="1"/>
  <c r="BA136" i="1"/>
  <c r="AO133" i="7" s="1"/>
  <c r="AZ136" i="1"/>
  <c r="AN133" i="7" s="1"/>
  <c r="AY136" i="1"/>
  <c r="AM133" i="7" s="1"/>
  <c r="AX136" i="1"/>
  <c r="AL133" i="7" s="1"/>
  <c r="AW136" i="1"/>
  <c r="AK133" i="7" s="1"/>
  <c r="AV136" i="1"/>
  <c r="AJ133" i="7" s="1"/>
  <c r="AU136" i="1"/>
  <c r="AI133" i="7" s="1"/>
  <c r="AT136" i="1"/>
  <c r="AH133" i="7" s="1"/>
  <c r="AS136" i="1"/>
  <c r="AG133" i="7" s="1"/>
  <c r="AR136" i="1"/>
  <c r="AF133" i="7" s="1"/>
  <c r="AQ136" i="1"/>
  <c r="AE133" i="7" s="1"/>
  <c r="AP136" i="1"/>
  <c r="AD133" i="7" s="1"/>
  <c r="AO136" i="1"/>
  <c r="AC133" i="7" s="1"/>
  <c r="AN136" i="1"/>
  <c r="AB133" i="7" s="1"/>
  <c r="AM136" i="1"/>
  <c r="AA133" i="7" s="1"/>
  <c r="AL136" i="1"/>
  <c r="Z133" i="7" s="1"/>
  <c r="AK136" i="1"/>
  <c r="Y133" i="7" s="1"/>
  <c r="AJ136" i="1"/>
  <c r="X133" i="7" s="1"/>
  <c r="AI136" i="1"/>
  <c r="W133" i="7" s="1"/>
  <c r="AH136" i="1"/>
  <c r="V133" i="7" s="1"/>
  <c r="AG136" i="1"/>
  <c r="U133" i="7" s="1"/>
  <c r="AF136" i="1"/>
  <c r="T133" i="7" s="1"/>
  <c r="AE136" i="1"/>
  <c r="S133" i="7" s="1"/>
  <c r="AD136" i="1"/>
  <c r="R133" i="7" s="1"/>
  <c r="AC136" i="1"/>
  <c r="Q133" i="7" s="1"/>
  <c r="AB136" i="1"/>
  <c r="P133" i="7" s="1"/>
  <c r="AA136" i="1"/>
  <c r="O133" i="7" s="1"/>
  <c r="Z136" i="1"/>
  <c r="N133" i="7" s="1"/>
  <c r="Y136" i="1"/>
  <c r="M133" i="7" s="1"/>
  <c r="X136" i="1"/>
  <c r="L133" i="7" s="1"/>
  <c r="W136" i="1"/>
  <c r="K133" i="7" s="1"/>
  <c r="V136" i="1"/>
  <c r="J133" i="7" s="1"/>
  <c r="U136" i="1"/>
  <c r="I133" i="7" s="1"/>
  <c r="T136" i="1"/>
  <c r="H133" i="7" s="1"/>
  <c r="S136" i="1"/>
  <c r="G133" i="7" s="1"/>
  <c r="R136" i="1"/>
  <c r="F133" i="7" s="1"/>
  <c r="CO135" i="1"/>
  <c r="CC132" i="7" s="1"/>
  <c r="CN135" i="1"/>
  <c r="CB132" i="7" s="1"/>
  <c r="CM135" i="1"/>
  <c r="CA132" i="7" s="1"/>
  <c r="CL135" i="1"/>
  <c r="BZ132" i="7" s="1"/>
  <c r="CK135" i="1"/>
  <c r="BY132" i="7" s="1"/>
  <c r="CJ135" i="1"/>
  <c r="BX132" i="7" s="1"/>
  <c r="CI135" i="1"/>
  <c r="BW132" i="7" s="1"/>
  <c r="CH135" i="1"/>
  <c r="BV132" i="7" s="1"/>
  <c r="CG135" i="1"/>
  <c r="BU132" i="7" s="1"/>
  <c r="CF135" i="1"/>
  <c r="BT132" i="7" s="1"/>
  <c r="CE135" i="1"/>
  <c r="BS132" i="7" s="1"/>
  <c r="CD135" i="1"/>
  <c r="BR132" i="7" s="1"/>
  <c r="CC135" i="1"/>
  <c r="BQ132" i="7" s="1"/>
  <c r="CB135" i="1"/>
  <c r="BP132" i="7" s="1"/>
  <c r="CA135" i="1"/>
  <c r="BO132" i="7" s="1"/>
  <c r="BZ135" i="1"/>
  <c r="BN132" i="7" s="1"/>
  <c r="BY135" i="1"/>
  <c r="BM132" i="7" s="1"/>
  <c r="BX135" i="1"/>
  <c r="BL132" i="7" s="1"/>
  <c r="BW135" i="1"/>
  <c r="BK132" i="7" s="1"/>
  <c r="BV135" i="1"/>
  <c r="BJ132" i="7" s="1"/>
  <c r="BU135" i="1"/>
  <c r="BI132" i="7" s="1"/>
  <c r="BT135" i="1"/>
  <c r="BH132" i="7" s="1"/>
  <c r="BS135" i="1"/>
  <c r="BG132" i="7" s="1"/>
  <c r="BL135" i="1"/>
  <c r="AZ132" i="7" s="1"/>
  <c r="BK135" i="1"/>
  <c r="AY132" i="7" s="1"/>
  <c r="BJ135" i="1"/>
  <c r="AX132" i="7" s="1"/>
  <c r="BI135" i="1"/>
  <c r="AW132" i="7" s="1"/>
  <c r="BH135" i="1"/>
  <c r="AV132" i="7" s="1"/>
  <c r="BG135" i="1"/>
  <c r="AU132" i="7" s="1"/>
  <c r="BF135" i="1"/>
  <c r="AT132" i="7" s="1"/>
  <c r="BE135" i="1"/>
  <c r="AS132" i="7" s="1"/>
  <c r="BD135" i="1"/>
  <c r="AR132" i="7" s="1"/>
  <c r="BC135" i="1"/>
  <c r="AQ132" i="7" s="1"/>
  <c r="BB135" i="1"/>
  <c r="AP132" i="7" s="1"/>
  <c r="BA135" i="1"/>
  <c r="AO132" i="7" s="1"/>
  <c r="AZ135" i="1"/>
  <c r="AN132" i="7" s="1"/>
  <c r="AY135" i="1"/>
  <c r="AM132" i="7" s="1"/>
  <c r="AX135" i="1"/>
  <c r="AL132" i="7" s="1"/>
  <c r="AW135" i="1"/>
  <c r="AK132" i="7" s="1"/>
  <c r="AV135" i="1"/>
  <c r="AJ132" i="7" s="1"/>
  <c r="AU135" i="1"/>
  <c r="AI132" i="7" s="1"/>
  <c r="AT135" i="1"/>
  <c r="AH132" i="7" s="1"/>
  <c r="AS135" i="1"/>
  <c r="AG132" i="7" s="1"/>
  <c r="AR135" i="1"/>
  <c r="AF132" i="7" s="1"/>
  <c r="AQ135" i="1"/>
  <c r="AE132" i="7" s="1"/>
  <c r="AP135" i="1"/>
  <c r="AD132" i="7" s="1"/>
  <c r="AO135" i="1"/>
  <c r="AC132" i="7" s="1"/>
  <c r="AN135" i="1"/>
  <c r="AB132" i="7" s="1"/>
  <c r="AM135" i="1"/>
  <c r="AA132" i="7" s="1"/>
  <c r="AL135" i="1"/>
  <c r="Z132" i="7" s="1"/>
  <c r="AK135" i="1"/>
  <c r="Y132" i="7" s="1"/>
  <c r="AJ135" i="1"/>
  <c r="X132" i="7" s="1"/>
  <c r="AI135" i="1"/>
  <c r="W132" i="7" s="1"/>
  <c r="AH135" i="1"/>
  <c r="V132" i="7" s="1"/>
  <c r="AG135" i="1"/>
  <c r="U132" i="7" s="1"/>
  <c r="AF135" i="1"/>
  <c r="T132" i="7" s="1"/>
  <c r="AE135" i="1"/>
  <c r="S132" i="7" s="1"/>
  <c r="AD135" i="1"/>
  <c r="R132" i="7" s="1"/>
  <c r="AC135" i="1"/>
  <c r="Q132" i="7" s="1"/>
  <c r="AB135" i="1"/>
  <c r="P132" i="7" s="1"/>
  <c r="AA135" i="1"/>
  <c r="O132" i="7" s="1"/>
  <c r="Z135" i="1"/>
  <c r="N132" i="7" s="1"/>
  <c r="Y135" i="1"/>
  <c r="M132" i="7" s="1"/>
  <c r="X135" i="1"/>
  <c r="L132" i="7" s="1"/>
  <c r="W135" i="1"/>
  <c r="K132" i="7" s="1"/>
  <c r="V135" i="1"/>
  <c r="J132" i="7" s="1"/>
  <c r="U135" i="1"/>
  <c r="I132" i="7" s="1"/>
  <c r="T135" i="1"/>
  <c r="H132" i="7" s="1"/>
  <c r="S135" i="1"/>
  <c r="G132" i="7" s="1"/>
  <c r="R135" i="1"/>
  <c r="F132" i="7" s="1"/>
  <c r="O135" i="1"/>
  <c r="O136" i="1" s="1"/>
  <c r="O134" i="1"/>
  <c r="M134" i="1"/>
  <c r="M133" i="1"/>
  <c r="O132" i="1"/>
  <c r="M132" i="1"/>
  <c r="M131" i="1"/>
  <c r="O130" i="1"/>
  <c r="M130" i="1"/>
  <c r="M129" i="1"/>
  <c r="O128" i="1"/>
  <c r="M128" i="1"/>
  <c r="M127" i="1"/>
  <c r="O126" i="1"/>
  <c r="BE123" i="1" s="1"/>
  <c r="AS120" i="7" s="1"/>
  <c r="M126" i="1"/>
  <c r="M125" i="1"/>
  <c r="CO124" i="1"/>
  <c r="CC121" i="7" s="1"/>
  <c r="CN124" i="1"/>
  <c r="CB121" i="7" s="1"/>
  <c r="CM124" i="1"/>
  <c r="CA121" i="7" s="1"/>
  <c r="CL124" i="1"/>
  <c r="BZ121" i="7" s="1"/>
  <c r="CK124" i="1"/>
  <c r="BY121" i="7" s="1"/>
  <c r="CJ124" i="1"/>
  <c r="BX121" i="7" s="1"/>
  <c r="CI124" i="1"/>
  <c r="BW121" i="7" s="1"/>
  <c r="CH124" i="1"/>
  <c r="BV121" i="7" s="1"/>
  <c r="CG124" i="1"/>
  <c r="BU121" i="7" s="1"/>
  <c r="CF124" i="1"/>
  <c r="BT121" i="7" s="1"/>
  <c r="CE124" i="1"/>
  <c r="BS121" i="7" s="1"/>
  <c r="CD124" i="1"/>
  <c r="BR121" i="7" s="1"/>
  <c r="CC124" i="1"/>
  <c r="BQ121" i="7" s="1"/>
  <c r="CB124" i="1"/>
  <c r="BP121" i="7" s="1"/>
  <c r="CA124" i="1"/>
  <c r="BO121" i="7" s="1"/>
  <c r="BZ124" i="1"/>
  <c r="BN121" i="7" s="1"/>
  <c r="BY124" i="1"/>
  <c r="BM121" i="7" s="1"/>
  <c r="BX124" i="1"/>
  <c r="BL121" i="7" s="1"/>
  <c r="BW124" i="1"/>
  <c r="BK121" i="7" s="1"/>
  <c r="BV124" i="1"/>
  <c r="BJ121" i="7" s="1"/>
  <c r="BU124" i="1"/>
  <c r="BI121" i="7" s="1"/>
  <c r="BT124" i="1"/>
  <c r="BH121" i="7" s="1"/>
  <c r="BS124" i="1"/>
  <c r="BG121" i="7" s="1"/>
  <c r="BR124" i="1"/>
  <c r="BF121" i="7" s="1"/>
  <c r="BQ124" i="1"/>
  <c r="BE121" i="7" s="1"/>
  <c r="BP124" i="1"/>
  <c r="BD121" i="7" s="1"/>
  <c r="BO124" i="1"/>
  <c r="BC121" i="7" s="1"/>
  <c r="BN124" i="1"/>
  <c r="BB121" i="7" s="1"/>
  <c r="BM124" i="1"/>
  <c r="BA121" i="7" s="1"/>
  <c r="BL124" i="1"/>
  <c r="AZ121" i="7" s="1"/>
  <c r="BK124" i="1"/>
  <c r="AY121" i="7" s="1"/>
  <c r="BJ124" i="1"/>
  <c r="AX121" i="7" s="1"/>
  <c r="BI124" i="1"/>
  <c r="AW121" i="7" s="1"/>
  <c r="BH124" i="1"/>
  <c r="AV121" i="7" s="1"/>
  <c r="BG124" i="1"/>
  <c r="AU121" i="7" s="1"/>
  <c r="BF124" i="1"/>
  <c r="AT121" i="7" s="1"/>
  <c r="BE124" i="1"/>
  <c r="AS121" i="7" s="1"/>
  <c r="BD124" i="1"/>
  <c r="AR121" i="7" s="1"/>
  <c r="BC124" i="1"/>
  <c r="AQ121" i="7" s="1"/>
  <c r="BB124" i="1"/>
  <c r="AP121" i="7" s="1"/>
  <c r="BA124" i="1"/>
  <c r="AO121" i="7" s="1"/>
  <c r="AZ124" i="1"/>
  <c r="AN121" i="7" s="1"/>
  <c r="AY124" i="1"/>
  <c r="AM121" i="7" s="1"/>
  <c r="AX124" i="1"/>
  <c r="AL121" i="7" s="1"/>
  <c r="AW124" i="1"/>
  <c r="AK121" i="7" s="1"/>
  <c r="AV124" i="1"/>
  <c r="AJ121" i="7" s="1"/>
  <c r="AU124" i="1"/>
  <c r="AI121" i="7" s="1"/>
  <c r="AT124" i="1"/>
  <c r="AH121" i="7" s="1"/>
  <c r="AS124" i="1"/>
  <c r="AG121" i="7" s="1"/>
  <c r="AR124" i="1"/>
  <c r="AF121" i="7" s="1"/>
  <c r="AQ124" i="1"/>
  <c r="AE121" i="7" s="1"/>
  <c r="AP124" i="1"/>
  <c r="AD121" i="7" s="1"/>
  <c r="AO124" i="1"/>
  <c r="AC121" i="7" s="1"/>
  <c r="AN124" i="1"/>
  <c r="AB121" i="7" s="1"/>
  <c r="AM124" i="1"/>
  <c r="AA121" i="7" s="1"/>
  <c r="AL124" i="1"/>
  <c r="Z121" i="7" s="1"/>
  <c r="AK124" i="1"/>
  <c r="Y121" i="7" s="1"/>
  <c r="AJ124" i="1"/>
  <c r="X121" i="7" s="1"/>
  <c r="AI124" i="1"/>
  <c r="W121" i="7" s="1"/>
  <c r="AH124" i="1"/>
  <c r="V121" i="7" s="1"/>
  <c r="AG124" i="1"/>
  <c r="U121" i="7" s="1"/>
  <c r="AF124" i="1"/>
  <c r="T121" i="7" s="1"/>
  <c r="AE124" i="1"/>
  <c r="S121" i="7" s="1"/>
  <c r="AD124" i="1"/>
  <c r="R121" i="7" s="1"/>
  <c r="AC124" i="1"/>
  <c r="Q121" i="7" s="1"/>
  <c r="AB124" i="1"/>
  <c r="P121" i="7" s="1"/>
  <c r="AA124" i="1"/>
  <c r="O121" i="7" s="1"/>
  <c r="Z124" i="1"/>
  <c r="N121" i="7" s="1"/>
  <c r="Y124" i="1"/>
  <c r="M121" i="7" s="1"/>
  <c r="X124" i="1"/>
  <c r="L121" i="7" s="1"/>
  <c r="W124" i="1"/>
  <c r="K121" i="7" s="1"/>
  <c r="V124" i="1"/>
  <c r="J121" i="7" s="1"/>
  <c r="U124" i="1"/>
  <c r="I121" i="7" s="1"/>
  <c r="T124" i="1"/>
  <c r="H121" i="7" s="1"/>
  <c r="S124" i="1"/>
  <c r="G121" i="7" s="1"/>
  <c r="R124" i="1"/>
  <c r="F121" i="7" s="1"/>
  <c r="CO123" i="1"/>
  <c r="CC120" i="7" s="1"/>
  <c r="CN123" i="1"/>
  <c r="CB120" i="7" s="1"/>
  <c r="CM123" i="1"/>
  <c r="CA120" i="7" s="1"/>
  <c r="CL123" i="1"/>
  <c r="BZ120" i="7" s="1"/>
  <c r="CK123" i="1"/>
  <c r="BY120" i="7" s="1"/>
  <c r="CJ123" i="1"/>
  <c r="BX120" i="7" s="1"/>
  <c r="CI123" i="1"/>
  <c r="BW120" i="7" s="1"/>
  <c r="CH123" i="1"/>
  <c r="BV120" i="7" s="1"/>
  <c r="CG123" i="1"/>
  <c r="BU120" i="7" s="1"/>
  <c r="CF123" i="1"/>
  <c r="BT120" i="7" s="1"/>
  <c r="CE123" i="1"/>
  <c r="BS120" i="7" s="1"/>
  <c r="CD123" i="1"/>
  <c r="BR120" i="7" s="1"/>
  <c r="CC123" i="1"/>
  <c r="BQ120" i="7" s="1"/>
  <c r="CB123" i="1"/>
  <c r="BP120" i="7" s="1"/>
  <c r="CA123" i="1"/>
  <c r="BO120" i="7" s="1"/>
  <c r="BZ123" i="1"/>
  <c r="BN120" i="7" s="1"/>
  <c r="BY123" i="1"/>
  <c r="BM120" i="7" s="1"/>
  <c r="BX123" i="1"/>
  <c r="BL120" i="7" s="1"/>
  <c r="BW123" i="1"/>
  <c r="BK120" i="7" s="1"/>
  <c r="BV123" i="1"/>
  <c r="BJ120" i="7" s="1"/>
  <c r="BU123" i="1"/>
  <c r="BI120" i="7" s="1"/>
  <c r="BT123" i="1"/>
  <c r="BH120" i="7" s="1"/>
  <c r="BS123" i="1"/>
  <c r="BG120" i="7" s="1"/>
  <c r="BR123" i="1"/>
  <c r="BF120" i="7" s="1"/>
  <c r="BQ123" i="1"/>
  <c r="BE120" i="7" s="1"/>
  <c r="BP123" i="1"/>
  <c r="BD120" i="7" s="1"/>
  <c r="BO123" i="1"/>
  <c r="BC120" i="7" s="1"/>
  <c r="BN123" i="1"/>
  <c r="BB120" i="7" s="1"/>
  <c r="BA123" i="1"/>
  <c r="AO120" i="7" s="1"/>
  <c r="AZ123" i="1"/>
  <c r="AN120" i="7" s="1"/>
  <c r="AY123" i="1"/>
  <c r="AM120" i="7" s="1"/>
  <c r="AX123" i="1"/>
  <c r="AL120" i="7" s="1"/>
  <c r="AW123" i="1"/>
  <c r="AK120" i="7" s="1"/>
  <c r="AV123" i="1"/>
  <c r="AJ120" i="7" s="1"/>
  <c r="AU123" i="1"/>
  <c r="AI120" i="7" s="1"/>
  <c r="AT123" i="1"/>
  <c r="AH120" i="7" s="1"/>
  <c r="AS123" i="1"/>
  <c r="AG120" i="7" s="1"/>
  <c r="AR123" i="1"/>
  <c r="AF120" i="7" s="1"/>
  <c r="AQ123" i="1"/>
  <c r="AE120" i="7" s="1"/>
  <c r="AP123" i="1"/>
  <c r="AD120" i="7" s="1"/>
  <c r="AO123" i="1"/>
  <c r="AC120" i="7" s="1"/>
  <c r="AN123" i="1"/>
  <c r="AB120" i="7" s="1"/>
  <c r="AM123" i="1"/>
  <c r="AA120" i="7" s="1"/>
  <c r="AL123" i="1"/>
  <c r="Z120" i="7" s="1"/>
  <c r="AK123" i="1"/>
  <c r="Y120" i="7" s="1"/>
  <c r="AJ123" i="1"/>
  <c r="X120" i="7" s="1"/>
  <c r="AI123" i="1"/>
  <c r="W120" i="7" s="1"/>
  <c r="AH123" i="1"/>
  <c r="V120" i="7" s="1"/>
  <c r="AG123" i="1"/>
  <c r="U120" i="7" s="1"/>
  <c r="AF123" i="1"/>
  <c r="T120" i="7" s="1"/>
  <c r="AE123" i="1"/>
  <c r="S120" i="7" s="1"/>
  <c r="AD123" i="1"/>
  <c r="R120" i="7" s="1"/>
  <c r="AC123" i="1"/>
  <c r="Q120" i="7" s="1"/>
  <c r="AB123" i="1"/>
  <c r="P120" i="7" s="1"/>
  <c r="AA123" i="1"/>
  <c r="O120" i="7" s="1"/>
  <c r="Z123" i="1"/>
  <c r="N120" i="7" s="1"/>
  <c r="Y123" i="1"/>
  <c r="M120" i="7" s="1"/>
  <c r="X123" i="1"/>
  <c r="L120" i="7" s="1"/>
  <c r="W123" i="1"/>
  <c r="K120" i="7" s="1"/>
  <c r="V123" i="1"/>
  <c r="J120" i="7" s="1"/>
  <c r="U123" i="1"/>
  <c r="I120" i="7" s="1"/>
  <c r="T123" i="1"/>
  <c r="H120" i="7" s="1"/>
  <c r="S123" i="1"/>
  <c r="G120" i="7" s="1"/>
  <c r="R123" i="1"/>
  <c r="F120" i="7" s="1"/>
  <c r="O123" i="1"/>
  <c r="O122" i="1"/>
  <c r="M122" i="1"/>
  <c r="M121" i="1"/>
  <c r="O120" i="1"/>
  <c r="BV115" i="1" s="1"/>
  <c r="BJ112" i="7" s="1"/>
  <c r="M120" i="1"/>
  <c r="M119" i="1"/>
  <c r="O118" i="1"/>
  <c r="M118" i="1"/>
  <c r="M117" i="1"/>
  <c r="CO116" i="1"/>
  <c r="CC113" i="7" s="1"/>
  <c r="CN116" i="1"/>
  <c r="CB113" i="7" s="1"/>
  <c r="CM116" i="1"/>
  <c r="CA113" i="7" s="1"/>
  <c r="CL116" i="1"/>
  <c r="BZ113" i="7" s="1"/>
  <c r="CK116" i="1"/>
  <c r="BY113" i="7" s="1"/>
  <c r="CJ116" i="1"/>
  <c r="BX113" i="7" s="1"/>
  <c r="CI116" i="1"/>
  <c r="BW113" i="7" s="1"/>
  <c r="CH116" i="1"/>
  <c r="BV113" i="7" s="1"/>
  <c r="CG116" i="1"/>
  <c r="BU113" i="7" s="1"/>
  <c r="CF116" i="1"/>
  <c r="BT113" i="7" s="1"/>
  <c r="CE116" i="1"/>
  <c r="BS113" i="7" s="1"/>
  <c r="CD116" i="1"/>
  <c r="BR113" i="7" s="1"/>
  <c r="CC116" i="1"/>
  <c r="BQ113" i="7" s="1"/>
  <c r="CB116" i="1"/>
  <c r="BP113" i="7" s="1"/>
  <c r="CA116" i="1"/>
  <c r="BO113" i="7" s="1"/>
  <c r="BZ116" i="1"/>
  <c r="BN113" i="7" s="1"/>
  <c r="BY116" i="1"/>
  <c r="BM113" i="7" s="1"/>
  <c r="BX116" i="1"/>
  <c r="BL113" i="7" s="1"/>
  <c r="BW116" i="1"/>
  <c r="BK113" i="7" s="1"/>
  <c r="BV116" i="1"/>
  <c r="BJ113" i="7" s="1"/>
  <c r="BU116" i="1"/>
  <c r="BI113" i="7" s="1"/>
  <c r="BT116" i="1"/>
  <c r="BH113" i="7" s="1"/>
  <c r="BS116" i="1"/>
  <c r="BG113" i="7" s="1"/>
  <c r="BR116" i="1"/>
  <c r="BF113" i="7" s="1"/>
  <c r="BQ116" i="1"/>
  <c r="BE113" i="7" s="1"/>
  <c r="BP116" i="1"/>
  <c r="BD113" i="7" s="1"/>
  <c r="BO116" i="1"/>
  <c r="BC113" i="7" s="1"/>
  <c r="BN116" i="1"/>
  <c r="BB113" i="7" s="1"/>
  <c r="BM116" i="1"/>
  <c r="BA113" i="7" s="1"/>
  <c r="BL116" i="1"/>
  <c r="AZ113" i="7" s="1"/>
  <c r="BK116" i="1"/>
  <c r="AY113" i="7" s="1"/>
  <c r="BJ116" i="1"/>
  <c r="AX113" i="7" s="1"/>
  <c r="BI116" i="1"/>
  <c r="AW113" i="7" s="1"/>
  <c r="BH116" i="1"/>
  <c r="AV113" i="7" s="1"/>
  <c r="BG116" i="1"/>
  <c r="AU113" i="7" s="1"/>
  <c r="BF116" i="1"/>
  <c r="AT113" i="7" s="1"/>
  <c r="BE116" i="1"/>
  <c r="AS113" i="7" s="1"/>
  <c r="BD116" i="1"/>
  <c r="AR113" i="7" s="1"/>
  <c r="BC116" i="1"/>
  <c r="AQ113" i="7" s="1"/>
  <c r="BB116" i="1"/>
  <c r="AP113" i="7" s="1"/>
  <c r="BA116" i="1"/>
  <c r="AO113" i="7" s="1"/>
  <c r="AZ116" i="1"/>
  <c r="AN113" i="7" s="1"/>
  <c r="AY116" i="1"/>
  <c r="AM113" i="7" s="1"/>
  <c r="AX116" i="1"/>
  <c r="AL113" i="7" s="1"/>
  <c r="AW116" i="1"/>
  <c r="AK113" i="7" s="1"/>
  <c r="AV116" i="1"/>
  <c r="AJ113" i="7" s="1"/>
  <c r="AU116" i="1"/>
  <c r="AI113" i="7" s="1"/>
  <c r="AT116" i="1"/>
  <c r="AH113" i="7" s="1"/>
  <c r="AS116" i="1"/>
  <c r="AG113" i="7" s="1"/>
  <c r="AR116" i="1"/>
  <c r="AF113" i="7" s="1"/>
  <c r="AQ116" i="1"/>
  <c r="AE113" i="7" s="1"/>
  <c r="AP116" i="1"/>
  <c r="AD113" i="7" s="1"/>
  <c r="AO116" i="1"/>
  <c r="AC113" i="7" s="1"/>
  <c r="AN116" i="1"/>
  <c r="AB113" i="7" s="1"/>
  <c r="AM116" i="1"/>
  <c r="AA113" i="7" s="1"/>
  <c r="AL116" i="1"/>
  <c r="Z113" i="7" s="1"/>
  <c r="AK116" i="1"/>
  <c r="Y113" i="7" s="1"/>
  <c r="AJ116" i="1"/>
  <c r="X113" i="7" s="1"/>
  <c r="AI116" i="1"/>
  <c r="W113" i="7" s="1"/>
  <c r="AH116" i="1"/>
  <c r="V113" i="7" s="1"/>
  <c r="AG116" i="1"/>
  <c r="U113" i="7" s="1"/>
  <c r="AF116" i="1"/>
  <c r="T113" i="7" s="1"/>
  <c r="AE116" i="1"/>
  <c r="S113" i="7" s="1"/>
  <c r="AD116" i="1"/>
  <c r="R113" i="7" s="1"/>
  <c r="AC116" i="1"/>
  <c r="Q113" i="7" s="1"/>
  <c r="AB116" i="1"/>
  <c r="P113" i="7" s="1"/>
  <c r="AA116" i="1"/>
  <c r="O113" i="7" s="1"/>
  <c r="Z116" i="1"/>
  <c r="N113" i="7" s="1"/>
  <c r="Y116" i="1"/>
  <c r="M113" i="7" s="1"/>
  <c r="X116" i="1"/>
  <c r="L113" i="7" s="1"/>
  <c r="W116" i="1"/>
  <c r="K113" i="7" s="1"/>
  <c r="V116" i="1"/>
  <c r="J113" i="7" s="1"/>
  <c r="U116" i="1"/>
  <c r="I113" i="7" s="1"/>
  <c r="T116" i="1"/>
  <c r="H113" i="7" s="1"/>
  <c r="S116" i="1"/>
  <c r="G113" i="7" s="1"/>
  <c r="R116" i="1"/>
  <c r="F113" i="7" s="1"/>
  <c r="CO115" i="1"/>
  <c r="CC112" i="7" s="1"/>
  <c r="CN115" i="1"/>
  <c r="CB112" i="7" s="1"/>
  <c r="CM115" i="1"/>
  <c r="CA112" i="7" s="1"/>
  <c r="CL115" i="1"/>
  <c r="BZ112" i="7" s="1"/>
  <c r="CK115" i="1"/>
  <c r="BY112" i="7" s="1"/>
  <c r="CJ115" i="1"/>
  <c r="BX112" i="7" s="1"/>
  <c r="CI115" i="1"/>
  <c r="BW112" i="7" s="1"/>
  <c r="CH115" i="1"/>
  <c r="BV112" i="7" s="1"/>
  <c r="CG115" i="1"/>
  <c r="BU112" i="7" s="1"/>
  <c r="CF115" i="1"/>
  <c r="BT112" i="7" s="1"/>
  <c r="CE115" i="1"/>
  <c r="BS112" i="7" s="1"/>
  <c r="CD115" i="1"/>
  <c r="BR112" i="7" s="1"/>
  <c r="CC115" i="1"/>
  <c r="BQ112" i="7" s="1"/>
  <c r="CB115" i="1"/>
  <c r="BP112" i="7" s="1"/>
  <c r="CA115" i="1"/>
  <c r="BO112" i="7" s="1"/>
  <c r="BZ115" i="1"/>
  <c r="BN112" i="7" s="1"/>
  <c r="BY115" i="1"/>
  <c r="BM112" i="7" s="1"/>
  <c r="BX115" i="1"/>
  <c r="BL112" i="7" s="1"/>
  <c r="BW115" i="1"/>
  <c r="BK112" i="7" s="1"/>
  <c r="BR115" i="1"/>
  <c r="BF112" i="7" s="1"/>
  <c r="BQ115" i="1"/>
  <c r="BE112" i="7" s="1"/>
  <c r="BP115" i="1"/>
  <c r="BD112" i="7" s="1"/>
  <c r="BO115" i="1"/>
  <c r="BC112" i="7" s="1"/>
  <c r="BN115" i="1"/>
  <c r="BB112" i="7" s="1"/>
  <c r="BM115" i="1"/>
  <c r="BA112" i="7" s="1"/>
  <c r="BL115" i="1"/>
  <c r="AZ112" i="7" s="1"/>
  <c r="BK115" i="1"/>
  <c r="AY112" i="7" s="1"/>
  <c r="BJ115" i="1"/>
  <c r="AX112" i="7" s="1"/>
  <c r="BI115" i="1"/>
  <c r="AW112" i="7" s="1"/>
  <c r="BH115" i="1"/>
  <c r="AV112" i="7" s="1"/>
  <c r="BG115" i="1"/>
  <c r="AU112" i="7" s="1"/>
  <c r="BF115" i="1"/>
  <c r="AT112" i="7" s="1"/>
  <c r="BE115" i="1"/>
  <c r="AS112" i="7" s="1"/>
  <c r="BD115" i="1"/>
  <c r="AR112" i="7" s="1"/>
  <c r="BC115" i="1"/>
  <c r="AQ112" i="7" s="1"/>
  <c r="BB115" i="1"/>
  <c r="AP112" i="7" s="1"/>
  <c r="BA115" i="1"/>
  <c r="AO112" i="7" s="1"/>
  <c r="AZ115" i="1"/>
  <c r="AN112" i="7" s="1"/>
  <c r="AY115" i="1"/>
  <c r="AM112" i="7" s="1"/>
  <c r="AX115" i="1"/>
  <c r="AL112" i="7" s="1"/>
  <c r="AW115" i="1"/>
  <c r="AK112" i="7" s="1"/>
  <c r="AV115" i="1"/>
  <c r="AJ112" i="7" s="1"/>
  <c r="AU115" i="1"/>
  <c r="AI112" i="7" s="1"/>
  <c r="AT115" i="1"/>
  <c r="AH112" i="7" s="1"/>
  <c r="AS115" i="1"/>
  <c r="AG112" i="7" s="1"/>
  <c r="AR115" i="1"/>
  <c r="AF112" i="7" s="1"/>
  <c r="AQ115" i="1"/>
  <c r="AE112" i="7" s="1"/>
  <c r="AP115" i="1"/>
  <c r="AD112" i="7" s="1"/>
  <c r="AO115" i="1"/>
  <c r="AC112" i="7" s="1"/>
  <c r="AN115" i="1"/>
  <c r="AB112" i="7" s="1"/>
  <c r="AM115" i="1"/>
  <c r="AA112" i="7" s="1"/>
  <c r="AL115" i="1"/>
  <c r="Z112" i="7" s="1"/>
  <c r="AK115" i="1"/>
  <c r="Y112" i="7" s="1"/>
  <c r="AJ115" i="1"/>
  <c r="X112" i="7" s="1"/>
  <c r="AI115" i="1"/>
  <c r="W112" i="7" s="1"/>
  <c r="AH115" i="1"/>
  <c r="V112" i="7" s="1"/>
  <c r="AG115" i="1"/>
  <c r="U112" i="7" s="1"/>
  <c r="AF115" i="1"/>
  <c r="T112" i="7" s="1"/>
  <c r="AE115" i="1"/>
  <c r="S112" i="7" s="1"/>
  <c r="AD115" i="1"/>
  <c r="R112" i="7" s="1"/>
  <c r="AC115" i="1"/>
  <c r="Q112" i="7" s="1"/>
  <c r="AB115" i="1"/>
  <c r="P112" i="7" s="1"/>
  <c r="AA115" i="1"/>
  <c r="O112" i="7" s="1"/>
  <c r="Z115" i="1"/>
  <c r="N112" i="7" s="1"/>
  <c r="Y115" i="1"/>
  <c r="M112" i="7" s="1"/>
  <c r="X115" i="1"/>
  <c r="L112" i="7" s="1"/>
  <c r="W115" i="1"/>
  <c r="K112" i="7" s="1"/>
  <c r="V115" i="1"/>
  <c r="J112" i="7" s="1"/>
  <c r="U115" i="1"/>
  <c r="I112" i="7" s="1"/>
  <c r="T115" i="1"/>
  <c r="H112" i="7" s="1"/>
  <c r="S115" i="1"/>
  <c r="G112" i="7" s="1"/>
  <c r="R115" i="1"/>
  <c r="F112" i="7" s="1"/>
  <c r="O115" i="1"/>
  <c r="O116" i="1" s="1"/>
  <c r="O114" i="1"/>
  <c r="M114" i="1"/>
  <c r="M113" i="1"/>
  <c r="O112" i="1"/>
  <c r="M112" i="1"/>
  <c r="M111" i="1"/>
  <c r="O110" i="1"/>
  <c r="BQ107" i="1" s="1"/>
  <c r="BE104" i="7" s="1"/>
  <c r="M110" i="1"/>
  <c r="M109" i="1"/>
  <c r="CO108" i="1"/>
  <c r="CC105" i="7" s="1"/>
  <c r="CN108" i="1"/>
  <c r="CB105" i="7" s="1"/>
  <c r="CM108" i="1"/>
  <c r="CA105" i="7" s="1"/>
  <c r="CL108" i="1"/>
  <c r="BZ105" i="7" s="1"/>
  <c r="CK108" i="1"/>
  <c r="BY105" i="7" s="1"/>
  <c r="CJ108" i="1"/>
  <c r="BX105" i="7" s="1"/>
  <c r="CI108" i="1"/>
  <c r="BW105" i="7" s="1"/>
  <c r="CH108" i="1"/>
  <c r="BV105" i="7" s="1"/>
  <c r="CG108" i="1"/>
  <c r="BU105" i="7" s="1"/>
  <c r="CF108" i="1"/>
  <c r="BT105" i="7" s="1"/>
  <c r="CE108" i="1"/>
  <c r="BS105" i="7" s="1"/>
  <c r="CD108" i="1"/>
  <c r="BR105" i="7" s="1"/>
  <c r="CC108" i="1"/>
  <c r="BQ105" i="7" s="1"/>
  <c r="CB108" i="1"/>
  <c r="BP105" i="7" s="1"/>
  <c r="CA108" i="1"/>
  <c r="BO105" i="7" s="1"/>
  <c r="BZ108" i="1"/>
  <c r="BN105" i="7" s="1"/>
  <c r="BY108" i="1"/>
  <c r="BM105" i="7" s="1"/>
  <c r="BX108" i="1"/>
  <c r="BL105" i="7" s="1"/>
  <c r="BW108" i="1"/>
  <c r="BK105" i="7" s="1"/>
  <c r="BV108" i="1"/>
  <c r="BJ105" i="7" s="1"/>
  <c r="BU108" i="1"/>
  <c r="BI105" i="7" s="1"/>
  <c r="BT108" i="1"/>
  <c r="BH105" i="7" s="1"/>
  <c r="BS108" i="1"/>
  <c r="BG105" i="7" s="1"/>
  <c r="BR108" i="1"/>
  <c r="BF105" i="7" s="1"/>
  <c r="BQ108" i="1"/>
  <c r="BE105" i="7" s="1"/>
  <c r="BP108" i="1"/>
  <c r="BD105" i="7" s="1"/>
  <c r="BO108" i="1"/>
  <c r="BC105" i="7" s="1"/>
  <c r="BN108" i="1"/>
  <c r="BB105" i="7" s="1"/>
  <c r="BM108" i="1"/>
  <c r="BA105" i="7" s="1"/>
  <c r="BL108" i="1"/>
  <c r="AZ105" i="7" s="1"/>
  <c r="BK108" i="1"/>
  <c r="AY105" i="7" s="1"/>
  <c r="BJ108" i="1"/>
  <c r="AX105" i="7" s="1"/>
  <c r="BI108" i="1"/>
  <c r="AW105" i="7" s="1"/>
  <c r="BH108" i="1"/>
  <c r="AV105" i="7" s="1"/>
  <c r="BG108" i="1"/>
  <c r="AU105" i="7" s="1"/>
  <c r="BF108" i="1"/>
  <c r="AT105" i="7" s="1"/>
  <c r="BE108" i="1"/>
  <c r="AS105" i="7" s="1"/>
  <c r="BD108" i="1"/>
  <c r="AR105" i="7" s="1"/>
  <c r="BC108" i="1"/>
  <c r="AQ105" i="7" s="1"/>
  <c r="BB108" i="1"/>
  <c r="AP105" i="7" s="1"/>
  <c r="BA108" i="1"/>
  <c r="AO105" i="7" s="1"/>
  <c r="AZ108" i="1"/>
  <c r="AN105" i="7" s="1"/>
  <c r="AY108" i="1"/>
  <c r="AM105" i="7" s="1"/>
  <c r="AX108" i="1"/>
  <c r="AL105" i="7" s="1"/>
  <c r="AW108" i="1"/>
  <c r="AK105" i="7" s="1"/>
  <c r="AV108" i="1"/>
  <c r="AJ105" i="7" s="1"/>
  <c r="AU108" i="1"/>
  <c r="AI105" i="7" s="1"/>
  <c r="AT108" i="1"/>
  <c r="AH105" i="7" s="1"/>
  <c r="AS108" i="1"/>
  <c r="AG105" i="7" s="1"/>
  <c r="AR108" i="1"/>
  <c r="AF105" i="7" s="1"/>
  <c r="AQ108" i="1"/>
  <c r="AE105" i="7" s="1"/>
  <c r="AP108" i="1"/>
  <c r="AD105" i="7" s="1"/>
  <c r="AO108" i="1"/>
  <c r="AC105" i="7" s="1"/>
  <c r="AN108" i="1"/>
  <c r="AB105" i="7" s="1"/>
  <c r="AM108" i="1"/>
  <c r="AA105" i="7" s="1"/>
  <c r="AL108" i="1"/>
  <c r="Z105" i="7" s="1"/>
  <c r="AK108" i="1"/>
  <c r="Y105" i="7" s="1"/>
  <c r="AJ108" i="1"/>
  <c r="X105" i="7" s="1"/>
  <c r="AI108" i="1"/>
  <c r="W105" i="7" s="1"/>
  <c r="AH108" i="1"/>
  <c r="V105" i="7" s="1"/>
  <c r="AG108" i="1"/>
  <c r="U105" i="7" s="1"/>
  <c r="AF108" i="1"/>
  <c r="T105" i="7" s="1"/>
  <c r="AE108" i="1"/>
  <c r="S105" i="7" s="1"/>
  <c r="AD108" i="1"/>
  <c r="R105" i="7" s="1"/>
  <c r="AC108" i="1"/>
  <c r="Q105" i="7" s="1"/>
  <c r="AB108" i="1"/>
  <c r="P105" i="7" s="1"/>
  <c r="AA108" i="1"/>
  <c r="O105" i="7" s="1"/>
  <c r="Z108" i="1"/>
  <c r="N105" i="7" s="1"/>
  <c r="Y108" i="1"/>
  <c r="M105" i="7" s="1"/>
  <c r="X108" i="1"/>
  <c r="L105" i="7" s="1"/>
  <c r="W108" i="1"/>
  <c r="K105" i="7" s="1"/>
  <c r="V108" i="1"/>
  <c r="J105" i="7" s="1"/>
  <c r="U108" i="1"/>
  <c r="I105" i="7" s="1"/>
  <c r="T108" i="1"/>
  <c r="H105" i="7" s="1"/>
  <c r="S108" i="1"/>
  <c r="G105" i="7" s="1"/>
  <c r="R108" i="1"/>
  <c r="F105" i="7" s="1"/>
  <c r="CO107" i="1"/>
  <c r="CC104" i="7" s="1"/>
  <c r="CN107" i="1"/>
  <c r="CB104" i="7" s="1"/>
  <c r="CM107" i="1"/>
  <c r="CA104" i="7" s="1"/>
  <c r="CL107" i="1"/>
  <c r="BZ104" i="7" s="1"/>
  <c r="CK107" i="1"/>
  <c r="BY104" i="7" s="1"/>
  <c r="CJ107" i="1"/>
  <c r="BX104" i="7" s="1"/>
  <c r="CI107" i="1"/>
  <c r="BW104" i="7" s="1"/>
  <c r="CH107" i="1"/>
  <c r="BV104" i="7" s="1"/>
  <c r="CG107" i="1"/>
  <c r="BU104" i="7" s="1"/>
  <c r="CF107" i="1"/>
  <c r="BT104" i="7" s="1"/>
  <c r="CE107" i="1"/>
  <c r="BS104" i="7" s="1"/>
  <c r="CD107" i="1"/>
  <c r="BR104" i="7" s="1"/>
  <c r="CC107" i="1"/>
  <c r="BQ104" i="7" s="1"/>
  <c r="CB107" i="1"/>
  <c r="BP104" i="7" s="1"/>
  <c r="CA107" i="1"/>
  <c r="BO104" i="7" s="1"/>
  <c r="BZ107" i="1"/>
  <c r="BN104" i="7" s="1"/>
  <c r="BY107" i="1"/>
  <c r="BM104" i="7" s="1"/>
  <c r="BX107" i="1"/>
  <c r="BL104" i="7" s="1"/>
  <c r="BW107" i="1"/>
  <c r="BK104" i="7" s="1"/>
  <c r="BV107" i="1"/>
  <c r="BJ104" i="7" s="1"/>
  <c r="BU107" i="1"/>
  <c r="BI104" i="7" s="1"/>
  <c r="BT107" i="1"/>
  <c r="BH104" i="7" s="1"/>
  <c r="BS107" i="1"/>
  <c r="BG104" i="7" s="1"/>
  <c r="BN107" i="1"/>
  <c r="BB104" i="7" s="1"/>
  <c r="BM107" i="1"/>
  <c r="BA104" i="7" s="1"/>
  <c r="BL107" i="1"/>
  <c r="AZ104" i="7" s="1"/>
  <c r="BK107" i="1"/>
  <c r="AY104" i="7" s="1"/>
  <c r="BJ107" i="1"/>
  <c r="AX104" i="7" s="1"/>
  <c r="BI107" i="1"/>
  <c r="AW104" i="7" s="1"/>
  <c r="BH107" i="1"/>
  <c r="AV104" i="7" s="1"/>
  <c r="BG107" i="1"/>
  <c r="AU104" i="7" s="1"/>
  <c r="BF107" i="1"/>
  <c r="AT104" i="7" s="1"/>
  <c r="BE107" i="1"/>
  <c r="AS104" i="7" s="1"/>
  <c r="BD107" i="1"/>
  <c r="AR104" i="7" s="1"/>
  <c r="BC107" i="1"/>
  <c r="AQ104" i="7" s="1"/>
  <c r="BB107" i="1"/>
  <c r="AP104" i="7" s="1"/>
  <c r="BA107" i="1"/>
  <c r="AO104" i="7" s="1"/>
  <c r="AZ107" i="1"/>
  <c r="AN104" i="7" s="1"/>
  <c r="AY107" i="1"/>
  <c r="AM104" i="7" s="1"/>
  <c r="AX107" i="1"/>
  <c r="AL104" i="7" s="1"/>
  <c r="AW107" i="1"/>
  <c r="AK104" i="7" s="1"/>
  <c r="AV107" i="1"/>
  <c r="AJ104" i="7" s="1"/>
  <c r="AU107" i="1"/>
  <c r="AI104" i="7" s="1"/>
  <c r="AT107" i="1"/>
  <c r="AH104" i="7" s="1"/>
  <c r="AS107" i="1"/>
  <c r="AG104" i="7" s="1"/>
  <c r="AR107" i="1"/>
  <c r="AF104" i="7" s="1"/>
  <c r="AQ107" i="1"/>
  <c r="AE104" i="7" s="1"/>
  <c r="AP107" i="1"/>
  <c r="AD104" i="7" s="1"/>
  <c r="AO107" i="1"/>
  <c r="AC104" i="7" s="1"/>
  <c r="AN107" i="1"/>
  <c r="AB104" i="7" s="1"/>
  <c r="AM107" i="1"/>
  <c r="AA104" i="7" s="1"/>
  <c r="AL107" i="1"/>
  <c r="Z104" i="7" s="1"/>
  <c r="AK107" i="1"/>
  <c r="Y104" i="7" s="1"/>
  <c r="AJ107" i="1"/>
  <c r="X104" i="7" s="1"/>
  <c r="AI107" i="1"/>
  <c r="W104" i="7" s="1"/>
  <c r="AH107" i="1"/>
  <c r="V104" i="7" s="1"/>
  <c r="AG107" i="1"/>
  <c r="U104" i="7" s="1"/>
  <c r="AF107" i="1"/>
  <c r="T104" i="7" s="1"/>
  <c r="AE107" i="1"/>
  <c r="S104" i="7" s="1"/>
  <c r="AD107" i="1"/>
  <c r="R104" i="7" s="1"/>
  <c r="AC107" i="1"/>
  <c r="Q104" i="7" s="1"/>
  <c r="AB107" i="1"/>
  <c r="P104" i="7" s="1"/>
  <c r="AA107" i="1"/>
  <c r="O104" i="7" s="1"/>
  <c r="Z107" i="1"/>
  <c r="N104" i="7" s="1"/>
  <c r="Y107" i="1"/>
  <c r="M104" i="7" s="1"/>
  <c r="X107" i="1"/>
  <c r="L104" i="7" s="1"/>
  <c r="W107" i="1"/>
  <c r="K104" i="7" s="1"/>
  <c r="V107" i="1"/>
  <c r="J104" i="7" s="1"/>
  <c r="U107" i="1"/>
  <c r="I104" i="7" s="1"/>
  <c r="T107" i="1"/>
  <c r="H104" i="7" s="1"/>
  <c r="S107" i="1"/>
  <c r="G104" i="7" s="1"/>
  <c r="R107" i="1"/>
  <c r="F104" i="7" s="1"/>
  <c r="O107" i="1"/>
  <c r="O108" i="1" s="1"/>
  <c r="O106" i="1"/>
  <c r="M106" i="1"/>
  <c r="M105" i="1"/>
  <c r="O104" i="1"/>
  <c r="M104" i="1"/>
  <c r="M103" i="1"/>
  <c r="O102" i="1"/>
  <c r="M102" i="1"/>
  <c r="M101" i="1"/>
  <c r="O100" i="1"/>
  <c r="M100" i="1"/>
  <c r="M99" i="1"/>
  <c r="CO98" i="1"/>
  <c r="CC95" i="7" s="1"/>
  <c r="CN98" i="1"/>
  <c r="CB95" i="7" s="1"/>
  <c r="CM98" i="1"/>
  <c r="CA95" i="7" s="1"/>
  <c r="CL98" i="1"/>
  <c r="BZ95" i="7" s="1"/>
  <c r="CK98" i="1"/>
  <c r="BY95" i="7" s="1"/>
  <c r="CJ98" i="1"/>
  <c r="BX95" i="7" s="1"/>
  <c r="CI98" i="1"/>
  <c r="BW95" i="7" s="1"/>
  <c r="CH98" i="1"/>
  <c r="BV95" i="7" s="1"/>
  <c r="CG98" i="1"/>
  <c r="BU95" i="7" s="1"/>
  <c r="CF98" i="1"/>
  <c r="BT95" i="7" s="1"/>
  <c r="CE98" i="1"/>
  <c r="BS95" i="7" s="1"/>
  <c r="CD98" i="1"/>
  <c r="BR95" i="7" s="1"/>
  <c r="CC98" i="1"/>
  <c r="BQ95" i="7" s="1"/>
  <c r="CB98" i="1"/>
  <c r="BP95" i="7" s="1"/>
  <c r="CA98" i="1"/>
  <c r="BO95" i="7" s="1"/>
  <c r="BZ98" i="1"/>
  <c r="BN95" i="7" s="1"/>
  <c r="BY98" i="1"/>
  <c r="BM95" i="7" s="1"/>
  <c r="BX98" i="1"/>
  <c r="BL95" i="7" s="1"/>
  <c r="BW98" i="1"/>
  <c r="BK95" i="7" s="1"/>
  <c r="BV98" i="1"/>
  <c r="BJ95" i="7" s="1"/>
  <c r="BU98" i="1"/>
  <c r="BI95" i="7" s="1"/>
  <c r="BT98" i="1"/>
  <c r="BH95" i="7" s="1"/>
  <c r="BS98" i="1"/>
  <c r="BG95" i="7" s="1"/>
  <c r="BR98" i="1"/>
  <c r="BF95" i="7" s="1"/>
  <c r="BQ98" i="1"/>
  <c r="BE95" i="7" s="1"/>
  <c r="BP98" i="1"/>
  <c r="BD95" i="7" s="1"/>
  <c r="BO98" i="1"/>
  <c r="BC95" i="7" s="1"/>
  <c r="BN98" i="1"/>
  <c r="BB95" i="7" s="1"/>
  <c r="BM98" i="1"/>
  <c r="BA95" i="7" s="1"/>
  <c r="BL98" i="1"/>
  <c r="AZ95" i="7" s="1"/>
  <c r="BK98" i="1"/>
  <c r="AY95" i="7" s="1"/>
  <c r="BJ98" i="1"/>
  <c r="AX95" i="7" s="1"/>
  <c r="BI98" i="1"/>
  <c r="AW95" i="7" s="1"/>
  <c r="BH98" i="1"/>
  <c r="AV95" i="7" s="1"/>
  <c r="BG98" i="1"/>
  <c r="AU95" i="7" s="1"/>
  <c r="BF98" i="1"/>
  <c r="AT95" i="7" s="1"/>
  <c r="BE98" i="1"/>
  <c r="AS95" i="7" s="1"/>
  <c r="BD98" i="1"/>
  <c r="AR95" i="7" s="1"/>
  <c r="BC98" i="1"/>
  <c r="AQ95" i="7" s="1"/>
  <c r="BB98" i="1"/>
  <c r="AP95" i="7" s="1"/>
  <c r="BA98" i="1"/>
  <c r="AO95" i="7" s="1"/>
  <c r="AZ98" i="1"/>
  <c r="AN95" i="7" s="1"/>
  <c r="AY98" i="1"/>
  <c r="AM95" i="7" s="1"/>
  <c r="AX98" i="1"/>
  <c r="AL95" i="7" s="1"/>
  <c r="AW98" i="1"/>
  <c r="AK95" i="7" s="1"/>
  <c r="AV98" i="1"/>
  <c r="AJ95" i="7" s="1"/>
  <c r="AU98" i="1"/>
  <c r="AI95" i="7" s="1"/>
  <c r="AT98" i="1"/>
  <c r="AH95" i="7" s="1"/>
  <c r="AS98" i="1"/>
  <c r="AG95" i="7" s="1"/>
  <c r="AR98" i="1"/>
  <c r="AF95" i="7" s="1"/>
  <c r="AQ98" i="1"/>
  <c r="AE95" i="7" s="1"/>
  <c r="AP98" i="1"/>
  <c r="AD95" i="7" s="1"/>
  <c r="AO98" i="1"/>
  <c r="AC95" i="7" s="1"/>
  <c r="AN98" i="1"/>
  <c r="AB95" i="7" s="1"/>
  <c r="AM98" i="1"/>
  <c r="AA95" i="7" s="1"/>
  <c r="AL98" i="1"/>
  <c r="Z95" i="7" s="1"/>
  <c r="AK98" i="1"/>
  <c r="Y95" i="7" s="1"/>
  <c r="AJ98" i="1"/>
  <c r="X95" i="7" s="1"/>
  <c r="AI98" i="1"/>
  <c r="W95" i="7" s="1"/>
  <c r="AH98" i="1"/>
  <c r="V95" i="7" s="1"/>
  <c r="AG98" i="1"/>
  <c r="U95" i="7" s="1"/>
  <c r="AF98" i="1"/>
  <c r="T95" i="7" s="1"/>
  <c r="AE98" i="1"/>
  <c r="S95" i="7" s="1"/>
  <c r="AD98" i="1"/>
  <c r="R95" i="7" s="1"/>
  <c r="AC98" i="1"/>
  <c r="Q95" i="7" s="1"/>
  <c r="AB98" i="1"/>
  <c r="P95" i="7" s="1"/>
  <c r="AA98" i="1"/>
  <c r="O95" i="7" s="1"/>
  <c r="Z98" i="1"/>
  <c r="N95" i="7" s="1"/>
  <c r="Y98" i="1"/>
  <c r="M95" i="7" s="1"/>
  <c r="X98" i="1"/>
  <c r="L95" i="7" s="1"/>
  <c r="W98" i="1"/>
  <c r="K95" i="7" s="1"/>
  <c r="V98" i="1"/>
  <c r="J95" i="7" s="1"/>
  <c r="U98" i="1"/>
  <c r="I95" i="7" s="1"/>
  <c r="T98" i="1"/>
  <c r="H95" i="7" s="1"/>
  <c r="S98" i="1"/>
  <c r="G95" i="7" s="1"/>
  <c r="R98" i="1"/>
  <c r="F95" i="7" s="1"/>
  <c r="CO97" i="1"/>
  <c r="CC94" i="7" s="1"/>
  <c r="CN97" i="1"/>
  <c r="CB94" i="7" s="1"/>
  <c r="CM97" i="1"/>
  <c r="CA94" i="7" s="1"/>
  <c r="CL97" i="1"/>
  <c r="BZ94" i="7" s="1"/>
  <c r="CK97" i="1"/>
  <c r="BY94" i="7" s="1"/>
  <c r="CJ97" i="1"/>
  <c r="BX94" i="7" s="1"/>
  <c r="CI97" i="1"/>
  <c r="BW94" i="7" s="1"/>
  <c r="CH97" i="1"/>
  <c r="BV94" i="7" s="1"/>
  <c r="CG97" i="1"/>
  <c r="BU94" i="7" s="1"/>
  <c r="CF97" i="1"/>
  <c r="BT94" i="7" s="1"/>
  <c r="CE97" i="1"/>
  <c r="BS94" i="7" s="1"/>
  <c r="CD97" i="1"/>
  <c r="BR94" i="7" s="1"/>
  <c r="CC97" i="1"/>
  <c r="BQ94" i="7" s="1"/>
  <c r="CB97" i="1"/>
  <c r="BP94" i="7" s="1"/>
  <c r="CA97" i="1"/>
  <c r="BO94" i="7" s="1"/>
  <c r="BZ97" i="1"/>
  <c r="BN94" i="7" s="1"/>
  <c r="BY97" i="1"/>
  <c r="BM94" i="7" s="1"/>
  <c r="BX97" i="1"/>
  <c r="BL94" i="7" s="1"/>
  <c r="BW97" i="1"/>
  <c r="BK94" i="7" s="1"/>
  <c r="BV97" i="1"/>
  <c r="BJ94" i="7" s="1"/>
  <c r="BU97" i="1"/>
  <c r="BI94" i="7" s="1"/>
  <c r="BT97" i="1"/>
  <c r="BH94" i="7" s="1"/>
  <c r="BS97" i="1"/>
  <c r="BG94" i="7" s="1"/>
  <c r="BR97" i="1"/>
  <c r="BF94" i="7" s="1"/>
  <c r="BQ97" i="1"/>
  <c r="BE94" i="7" s="1"/>
  <c r="BP97" i="1"/>
  <c r="BD94" i="7" s="1"/>
  <c r="BG97" i="1"/>
  <c r="AU94" i="7" s="1"/>
  <c r="BB97" i="1"/>
  <c r="AP94" i="7" s="1"/>
  <c r="BA97" i="1"/>
  <c r="AO94" i="7" s="1"/>
  <c r="AZ97" i="1"/>
  <c r="AN94" i="7" s="1"/>
  <c r="AY97" i="1"/>
  <c r="AM94" i="7" s="1"/>
  <c r="AX97" i="1"/>
  <c r="AL94" i="7" s="1"/>
  <c r="AW97" i="1"/>
  <c r="AK94" i="7" s="1"/>
  <c r="AV97" i="1"/>
  <c r="AJ94" i="7" s="1"/>
  <c r="AU97" i="1"/>
  <c r="AI94" i="7" s="1"/>
  <c r="AT97" i="1"/>
  <c r="AH94" i="7" s="1"/>
  <c r="AS97" i="1"/>
  <c r="AG94" i="7" s="1"/>
  <c r="AR97" i="1"/>
  <c r="AF94" i="7" s="1"/>
  <c r="AQ97" i="1"/>
  <c r="AE94" i="7" s="1"/>
  <c r="AP97" i="1"/>
  <c r="AD94" i="7" s="1"/>
  <c r="AO97" i="1"/>
  <c r="AC94" i="7" s="1"/>
  <c r="AN97" i="1"/>
  <c r="AB94" i="7" s="1"/>
  <c r="AM97" i="1"/>
  <c r="AA94" i="7" s="1"/>
  <c r="AL97" i="1"/>
  <c r="Z94" i="7" s="1"/>
  <c r="AK97" i="1"/>
  <c r="Y94" i="7" s="1"/>
  <c r="AJ97" i="1"/>
  <c r="X94" i="7" s="1"/>
  <c r="AI97" i="1"/>
  <c r="W94" i="7" s="1"/>
  <c r="AH97" i="1"/>
  <c r="V94" i="7" s="1"/>
  <c r="AG97" i="1"/>
  <c r="U94" i="7" s="1"/>
  <c r="AF97" i="1"/>
  <c r="T94" i="7" s="1"/>
  <c r="AE97" i="1"/>
  <c r="S94" i="7" s="1"/>
  <c r="AD97" i="1"/>
  <c r="R94" i="7" s="1"/>
  <c r="AC97" i="1"/>
  <c r="Q94" i="7" s="1"/>
  <c r="AB97" i="1"/>
  <c r="P94" i="7" s="1"/>
  <c r="AA97" i="1"/>
  <c r="O94" i="7" s="1"/>
  <c r="Z97" i="1"/>
  <c r="N94" i="7" s="1"/>
  <c r="Y97" i="1"/>
  <c r="M94" i="7" s="1"/>
  <c r="X97" i="1"/>
  <c r="L94" i="7" s="1"/>
  <c r="W97" i="1"/>
  <c r="K94" i="7" s="1"/>
  <c r="V97" i="1"/>
  <c r="J94" i="7" s="1"/>
  <c r="U97" i="1"/>
  <c r="I94" i="7" s="1"/>
  <c r="T97" i="1"/>
  <c r="H94" i="7" s="1"/>
  <c r="S97" i="1"/>
  <c r="G94" i="7" s="1"/>
  <c r="R97" i="1"/>
  <c r="F94" i="7" s="1"/>
  <c r="O97" i="1"/>
  <c r="C94" i="7" s="1"/>
  <c r="O96" i="1"/>
  <c r="BN89" i="1" s="1"/>
  <c r="BB86" i="7" s="1"/>
  <c r="M96" i="1"/>
  <c r="M95" i="1"/>
  <c r="O94" i="1"/>
  <c r="M94" i="1"/>
  <c r="M93" i="1"/>
  <c r="O92" i="1"/>
  <c r="BL89" i="1" s="1"/>
  <c r="AZ86" i="7" s="1"/>
  <c r="M92" i="1"/>
  <c r="M91" i="1"/>
  <c r="CO90" i="1"/>
  <c r="CC87" i="7" s="1"/>
  <c r="CN90" i="1"/>
  <c r="CB87" i="7" s="1"/>
  <c r="CM90" i="1"/>
  <c r="CA87" i="7" s="1"/>
  <c r="CL90" i="1"/>
  <c r="BZ87" i="7" s="1"/>
  <c r="CK90" i="1"/>
  <c r="BY87" i="7" s="1"/>
  <c r="CJ90" i="1"/>
  <c r="BX87" i="7" s="1"/>
  <c r="CI90" i="1"/>
  <c r="BW87" i="7" s="1"/>
  <c r="CH90" i="1"/>
  <c r="BV87" i="7" s="1"/>
  <c r="CG90" i="1"/>
  <c r="BU87" i="7" s="1"/>
  <c r="CF90" i="1"/>
  <c r="BT87" i="7" s="1"/>
  <c r="CE90" i="1"/>
  <c r="BS87" i="7" s="1"/>
  <c r="CD90" i="1"/>
  <c r="BR87" i="7" s="1"/>
  <c r="CC90" i="1"/>
  <c r="BQ87" i="7" s="1"/>
  <c r="CB90" i="1"/>
  <c r="BP87" i="7" s="1"/>
  <c r="CA90" i="1"/>
  <c r="BO87" i="7" s="1"/>
  <c r="BZ90" i="1"/>
  <c r="BN87" i="7" s="1"/>
  <c r="BY90" i="1"/>
  <c r="BM87" i="7" s="1"/>
  <c r="BX90" i="1"/>
  <c r="BL87" i="7" s="1"/>
  <c r="BW90" i="1"/>
  <c r="BK87" i="7" s="1"/>
  <c r="BV90" i="1"/>
  <c r="BJ87" i="7" s="1"/>
  <c r="BU90" i="1"/>
  <c r="BI87" i="7" s="1"/>
  <c r="BT90" i="1"/>
  <c r="BH87" i="7" s="1"/>
  <c r="BS90" i="1"/>
  <c r="BG87" i="7" s="1"/>
  <c r="BR90" i="1"/>
  <c r="BF87" i="7" s="1"/>
  <c r="BQ90" i="1"/>
  <c r="BE87" i="7" s="1"/>
  <c r="BP90" i="1"/>
  <c r="BD87" i="7" s="1"/>
  <c r="BO90" i="1"/>
  <c r="BC87" i="7" s="1"/>
  <c r="BN90" i="1"/>
  <c r="BB87" i="7" s="1"/>
  <c r="BM90" i="1"/>
  <c r="BA87" i="7" s="1"/>
  <c r="BL90" i="1"/>
  <c r="AZ87" i="7" s="1"/>
  <c r="BK90" i="1"/>
  <c r="AY87" i="7" s="1"/>
  <c r="BJ90" i="1"/>
  <c r="AX87" i="7" s="1"/>
  <c r="BI90" i="1"/>
  <c r="AW87" i="7" s="1"/>
  <c r="BH90" i="1"/>
  <c r="AV87" i="7" s="1"/>
  <c r="BG90" i="1"/>
  <c r="AU87" i="7" s="1"/>
  <c r="BF90" i="1"/>
  <c r="AT87" i="7" s="1"/>
  <c r="BE90" i="1"/>
  <c r="AS87" i="7" s="1"/>
  <c r="BD90" i="1"/>
  <c r="AR87" i="7" s="1"/>
  <c r="BC90" i="1"/>
  <c r="AQ87" i="7" s="1"/>
  <c r="BB90" i="1"/>
  <c r="AP87" i="7" s="1"/>
  <c r="BA90" i="1"/>
  <c r="AO87" i="7" s="1"/>
  <c r="AZ90" i="1"/>
  <c r="AN87" i="7" s="1"/>
  <c r="AY90" i="1"/>
  <c r="AM87" i="7" s="1"/>
  <c r="AX90" i="1"/>
  <c r="AL87" i="7" s="1"/>
  <c r="AW90" i="1"/>
  <c r="AK87" i="7" s="1"/>
  <c r="AV90" i="1"/>
  <c r="AJ87" i="7" s="1"/>
  <c r="AU90" i="1"/>
  <c r="AI87" i="7" s="1"/>
  <c r="AT90" i="1"/>
  <c r="AH87" i="7" s="1"/>
  <c r="AS90" i="1"/>
  <c r="AG87" i="7" s="1"/>
  <c r="AR90" i="1"/>
  <c r="AF87" i="7" s="1"/>
  <c r="AQ90" i="1"/>
  <c r="AE87" i="7" s="1"/>
  <c r="AP90" i="1"/>
  <c r="AD87" i="7" s="1"/>
  <c r="AO90" i="1"/>
  <c r="AC87" i="7" s="1"/>
  <c r="AN90" i="1"/>
  <c r="AB87" i="7" s="1"/>
  <c r="AM90" i="1"/>
  <c r="AA87" i="7" s="1"/>
  <c r="AL90" i="1"/>
  <c r="Z87" i="7" s="1"/>
  <c r="AK90" i="1"/>
  <c r="Y87" i="7" s="1"/>
  <c r="AJ90" i="1"/>
  <c r="X87" i="7" s="1"/>
  <c r="AI90" i="1"/>
  <c r="W87" i="7" s="1"/>
  <c r="AH90" i="1"/>
  <c r="V87" i="7" s="1"/>
  <c r="AG90" i="1"/>
  <c r="U87" i="7" s="1"/>
  <c r="AF90" i="1"/>
  <c r="T87" i="7" s="1"/>
  <c r="AE90" i="1"/>
  <c r="S87" i="7" s="1"/>
  <c r="AD90" i="1"/>
  <c r="R87" i="7" s="1"/>
  <c r="AC90" i="1"/>
  <c r="Q87" i="7" s="1"/>
  <c r="AB90" i="1"/>
  <c r="P87" i="7" s="1"/>
  <c r="AA90" i="1"/>
  <c r="O87" i="7" s="1"/>
  <c r="Z90" i="1"/>
  <c r="N87" i="7" s="1"/>
  <c r="Y90" i="1"/>
  <c r="M87" i="7" s="1"/>
  <c r="X90" i="1"/>
  <c r="L87" i="7" s="1"/>
  <c r="W90" i="1"/>
  <c r="K87" i="7" s="1"/>
  <c r="V90" i="1"/>
  <c r="J87" i="7" s="1"/>
  <c r="U90" i="1"/>
  <c r="I87" i="7" s="1"/>
  <c r="T90" i="1"/>
  <c r="H87" i="7" s="1"/>
  <c r="S90" i="1"/>
  <c r="G87" i="7" s="1"/>
  <c r="R90" i="1"/>
  <c r="F87" i="7" s="1"/>
  <c r="CO89" i="1"/>
  <c r="CC86" i="7" s="1"/>
  <c r="CN89" i="1"/>
  <c r="CB86" i="7" s="1"/>
  <c r="CM89" i="1"/>
  <c r="CA86" i="7" s="1"/>
  <c r="CL89" i="1"/>
  <c r="BZ86" i="7" s="1"/>
  <c r="CK89" i="1"/>
  <c r="BY86" i="7" s="1"/>
  <c r="CJ89" i="1"/>
  <c r="BX86" i="7" s="1"/>
  <c r="CI89" i="1"/>
  <c r="BW86" i="7" s="1"/>
  <c r="CH89" i="1"/>
  <c r="BV86" i="7" s="1"/>
  <c r="CG89" i="1"/>
  <c r="BU86" i="7" s="1"/>
  <c r="CF89" i="1"/>
  <c r="BT86" i="7" s="1"/>
  <c r="CE89" i="1"/>
  <c r="BS86" i="7" s="1"/>
  <c r="CD89" i="1"/>
  <c r="BR86" i="7" s="1"/>
  <c r="CC89" i="1"/>
  <c r="BQ86" i="7" s="1"/>
  <c r="CB89" i="1"/>
  <c r="BP86" i="7" s="1"/>
  <c r="CA89" i="1"/>
  <c r="BO86" i="7" s="1"/>
  <c r="BZ89" i="1"/>
  <c r="BN86" i="7" s="1"/>
  <c r="BY89" i="1"/>
  <c r="BM86" i="7" s="1"/>
  <c r="BX89" i="1"/>
  <c r="BL86" i="7" s="1"/>
  <c r="BW89" i="1"/>
  <c r="BK86" i="7" s="1"/>
  <c r="BV89" i="1"/>
  <c r="BJ86" i="7" s="1"/>
  <c r="BU89" i="1"/>
  <c r="BI86" i="7" s="1"/>
  <c r="BT89" i="1"/>
  <c r="BH86" i="7" s="1"/>
  <c r="BS89" i="1"/>
  <c r="BG86" i="7" s="1"/>
  <c r="BR89" i="1"/>
  <c r="BF86" i="7" s="1"/>
  <c r="BQ89" i="1"/>
  <c r="BE86" i="7" s="1"/>
  <c r="BP89" i="1"/>
  <c r="BD86" i="7" s="1"/>
  <c r="BJ89" i="1"/>
  <c r="AX86" i="7" s="1"/>
  <c r="BI89" i="1"/>
  <c r="AW86" i="7" s="1"/>
  <c r="BH89" i="1"/>
  <c r="AV86" i="7" s="1"/>
  <c r="BG89" i="1"/>
  <c r="AU86" i="7" s="1"/>
  <c r="BF89" i="1"/>
  <c r="AT86" i="7" s="1"/>
  <c r="BE89" i="1"/>
  <c r="AS86" i="7" s="1"/>
  <c r="BD89" i="1"/>
  <c r="AR86" i="7" s="1"/>
  <c r="BC89" i="1"/>
  <c r="AQ86" i="7" s="1"/>
  <c r="BB89" i="1"/>
  <c r="AP86" i="7" s="1"/>
  <c r="BA89" i="1"/>
  <c r="AO86" i="7" s="1"/>
  <c r="AZ89" i="1"/>
  <c r="AN86" i="7" s="1"/>
  <c r="AY89" i="1"/>
  <c r="AM86" i="7" s="1"/>
  <c r="AX89" i="1"/>
  <c r="AL86" i="7" s="1"/>
  <c r="AW89" i="1"/>
  <c r="AK86" i="7" s="1"/>
  <c r="AV89" i="1"/>
  <c r="AJ86" i="7" s="1"/>
  <c r="AU89" i="1"/>
  <c r="AI86" i="7" s="1"/>
  <c r="AT89" i="1"/>
  <c r="AH86" i="7" s="1"/>
  <c r="AS89" i="1"/>
  <c r="AG86" i="7" s="1"/>
  <c r="AR89" i="1"/>
  <c r="AF86" i="7" s="1"/>
  <c r="AQ89" i="1"/>
  <c r="AE86" i="7" s="1"/>
  <c r="AP89" i="1"/>
  <c r="AD86" i="7" s="1"/>
  <c r="AO89" i="1"/>
  <c r="AC86" i="7" s="1"/>
  <c r="AN89" i="1"/>
  <c r="AB86" i="7" s="1"/>
  <c r="AM89" i="1"/>
  <c r="AA86" i="7" s="1"/>
  <c r="AL89" i="1"/>
  <c r="Z86" i="7" s="1"/>
  <c r="AK89" i="1"/>
  <c r="Y86" i="7" s="1"/>
  <c r="AJ89" i="1"/>
  <c r="X86" i="7" s="1"/>
  <c r="AI89" i="1"/>
  <c r="W86" i="7" s="1"/>
  <c r="AH89" i="1"/>
  <c r="V86" i="7" s="1"/>
  <c r="AG89" i="1"/>
  <c r="U86" i="7" s="1"/>
  <c r="AF89" i="1"/>
  <c r="T86" i="7" s="1"/>
  <c r="AE89" i="1"/>
  <c r="S86" i="7" s="1"/>
  <c r="AD89" i="1"/>
  <c r="R86" i="7" s="1"/>
  <c r="AC89" i="1"/>
  <c r="Q86" i="7" s="1"/>
  <c r="AB89" i="1"/>
  <c r="P86" i="7" s="1"/>
  <c r="AA89" i="1"/>
  <c r="O86" i="7" s="1"/>
  <c r="Z89" i="1"/>
  <c r="N86" i="7" s="1"/>
  <c r="Y89" i="1"/>
  <c r="M86" i="7" s="1"/>
  <c r="X89" i="1"/>
  <c r="L86" i="7" s="1"/>
  <c r="W89" i="1"/>
  <c r="K86" i="7" s="1"/>
  <c r="V89" i="1"/>
  <c r="J86" i="7" s="1"/>
  <c r="U89" i="1"/>
  <c r="I86" i="7" s="1"/>
  <c r="T89" i="1"/>
  <c r="H86" i="7" s="1"/>
  <c r="S89" i="1"/>
  <c r="G86" i="7" s="1"/>
  <c r="R89" i="1"/>
  <c r="F86" i="7" s="1"/>
  <c r="O89" i="1"/>
  <c r="C86" i="7" s="1"/>
  <c r="O88" i="1"/>
  <c r="M88" i="1"/>
  <c r="M87" i="1"/>
  <c r="O86" i="1"/>
  <c r="M86" i="1"/>
  <c r="M85" i="1"/>
  <c r="O84" i="1"/>
  <c r="M84" i="1"/>
  <c r="M83" i="1"/>
  <c r="CO82" i="1"/>
  <c r="CC79" i="7" s="1"/>
  <c r="CN82" i="1"/>
  <c r="CB79" i="7" s="1"/>
  <c r="CM82" i="1"/>
  <c r="CA79" i="7" s="1"/>
  <c r="CL82" i="1"/>
  <c r="BZ79" i="7" s="1"/>
  <c r="CK82" i="1"/>
  <c r="BY79" i="7" s="1"/>
  <c r="CJ82" i="1"/>
  <c r="BX79" i="7" s="1"/>
  <c r="CI82" i="1"/>
  <c r="BW79" i="7" s="1"/>
  <c r="CH82" i="1"/>
  <c r="BV79" i="7" s="1"/>
  <c r="CG82" i="1"/>
  <c r="BU79" i="7" s="1"/>
  <c r="CF82" i="1"/>
  <c r="BT79" i="7" s="1"/>
  <c r="CE82" i="1"/>
  <c r="BS79" i="7" s="1"/>
  <c r="CD82" i="1"/>
  <c r="BR79" i="7" s="1"/>
  <c r="CC82" i="1"/>
  <c r="BQ79" i="7" s="1"/>
  <c r="CB82" i="1"/>
  <c r="BP79" i="7" s="1"/>
  <c r="CA82" i="1"/>
  <c r="BO79" i="7" s="1"/>
  <c r="BZ82" i="1"/>
  <c r="BN79" i="7" s="1"/>
  <c r="BY82" i="1"/>
  <c r="BM79" i="7" s="1"/>
  <c r="BX82" i="1"/>
  <c r="BL79" i="7" s="1"/>
  <c r="BW82" i="1"/>
  <c r="BK79" i="7" s="1"/>
  <c r="BV82" i="1"/>
  <c r="BJ79" i="7" s="1"/>
  <c r="BU82" i="1"/>
  <c r="BI79" i="7" s="1"/>
  <c r="BT82" i="1"/>
  <c r="BH79" i="7" s="1"/>
  <c r="BS82" i="1"/>
  <c r="BG79" i="7" s="1"/>
  <c r="BR82" i="1"/>
  <c r="BF79" i="7" s="1"/>
  <c r="BQ82" i="1"/>
  <c r="BE79" i="7" s="1"/>
  <c r="BP82" i="1"/>
  <c r="BD79" i="7" s="1"/>
  <c r="BO82" i="1"/>
  <c r="BC79" i="7" s="1"/>
  <c r="BN82" i="1"/>
  <c r="BB79" i="7" s="1"/>
  <c r="BM82" i="1"/>
  <c r="BA79" i="7" s="1"/>
  <c r="BL82" i="1"/>
  <c r="AZ79" i="7" s="1"/>
  <c r="BK82" i="1"/>
  <c r="AY79" i="7" s="1"/>
  <c r="BJ82" i="1"/>
  <c r="AX79" i="7" s="1"/>
  <c r="BI82" i="1"/>
  <c r="AW79" i="7" s="1"/>
  <c r="BH82" i="1"/>
  <c r="AV79" i="7" s="1"/>
  <c r="BG82" i="1"/>
  <c r="AU79" i="7" s="1"/>
  <c r="BF82" i="1"/>
  <c r="AT79" i="7" s="1"/>
  <c r="BE82" i="1"/>
  <c r="AS79" i="7" s="1"/>
  <c r="BD82" i="1"/>
  <c r="AR79" i="7" s="1"/>
  <c r="BC82" i="1"/>
  <c r="AQ79" i="7" s="1"/>
  <c r="BB82" i="1"/>
  <c r="AP79" i="7" s="1"/>
  <c r="BA82" i="1"/>
  <c r="AO79" i="7" s="1"/>
  <c r="AZ82" i="1"/>
  <c r="AN79" i="7" s="1"/>
  <c r="AY82" i="1"/>
  <c r="AM79" i="7" s="1"/>
  <c r="AX82" i="1"/>
  <c r="AL79" i="7" s="1"/>
  <c r="AW82" i="1"/>
  <c r="AK79" i="7" s="1"/>
  <c r="AV82" i="1"/>
  <c r="AJ79" i="7" s="1"/>
  <c r="AU82" i="1"/>
  <c r="AI79" i="7" s="1"/>
  <c r="AT82" i="1"/>
  <c r="AH79" i="7" s="1"/>
  <c r="AS82" i="1"/>
  <c r="AG79" i="7" s="1"/>
  <c r="AR82" i="1"/>
  <c r="AF79" i="7" s="1"/>
  <c r="AQ82" i="1"/>
  <c r="AE79" i="7" s="1"/>
  <c r="AP82" i="1"/>
  <c r="AD79" i="7" s="1"/>
  <c r="AO82" i="1"/>
  <c r="AC79" i="7" s="1"/>
  <c r="AN82" i="1"/>
  <c r="AB79" i="7" s="1"/>
  <c r="AM82" i="1"/>
  <c r="AA79" i="7" s="1"/>
  <c r="AL82" i="1"/>
  <c r="Z79" i="7" s="1"/>
  <c r="AK82" i="1"/>
  <c r="Y79" i="7" s="1"/>
  <c r="AJ82" i="1"/>
  <c r="X79" i="7" s="1"/>
  <c r="AI82" i="1"/>
  <c r="W79" i="7" s="1"/>
  <c r="AH82" i="1"/>
  <c r="V79" i="7" s="1"/>
  <c r="AG82" i="1"/>
  <c r="U79" i="7" s="1"/>
  <c r="AF82" i="1"/>
  <c r="T79" i="7" s="1"/>
  <c r="AE82" i="1"/>
  <c r="S79" i="7" s="1"/>
  <c r="AD82" i="1"/>
  <c r="R79" i="7" s="1"/>
  <c r="AC82" i="1"/>
  <c r="Q79" i="7" s="1"/>
  <c r="AB82" i="1"/>
  <c r="P79" i="7" s="1"/>
  <c r="AA82" i="1"/>
  <c r="O79" i="7" s="1"/>
  <c r="Z82" i="1"/>
  <c r="N79" i="7" s="1"/>
  <c r="Y82" i="1"/>
  <c r="M79" i="7" s="1"/>
  <c r="X82" i="1"/>
  <c r="L79" i="7" s="1"/>
  <c r="W82" i="1"/>
  <c r="K79" i="7" s="1"/>
  <c r="V82" i="1"/>
  <c r="J79" i="7" s="1"/>
  <c r="U82" i="1"/>
  <c r="I79" i="7" s="1"/>
  <c r="T82" i="1"/>
  <c r="H79" i="7" s="1"/>
  <c r="S82" i="1"/>
  <c r="G79" i="7" s="1"/>
  <c r="R82" i="1"/>
  <c r="F79" i="7" s="1"/>
  <c r="CO81" i="1"/>
  <c r="CC78" i="7" s="1"/>
  <c r="CN81" i="1"/>
  <c r="CB78" i="7" s="1"/>
  <c r="CM81" i="1"/>
  <c r="CA78" i="7" s="1"/>
  <c r="CL81" i="1"/>
  <c r="BZ78" i="7" s="1"/>
  <c r="CK81" i="1"/>
  <c r="BY78" i="7" s="1"/>
  <c r="CJ81" i="1"/>
  <c r="BX78" i="7" s="1"/>
  <c r="CI81" i="1"/>
  <c r="BW78" i="7" s="1"/>
  <c r="CH81" i="1"/>
  <c r="BV78" i="7" s="1"/>
  <c r="CG81" i="1"/>
  <c r="BU78" i="7" s="1"/>
  <c r="CF81" i="1"/>
  <c r="BT78" i="7" s="1"/>
  <c r="CE81" i="1"/>
  <c r="BS78" i="7" s="1"/>
  <c r="CD81" i="1"/>
  <c r="BR78" i="7" s="1"/>
  <c r="CC81" i="1"/>
  <c r="BQ78" i="7" s="1"/>
  <c r="CB81" i="1"/>
  <c r="BP78" i="7" s="1"/>
  <c r="CA81" i="1"/>
  <c r="BO78" i="7" s="1"/>
  <c r="BZ81" i="1"/>
  <c r="BN78" i="7" s="1"/>
  <c r="BY81" i="1"/>
  <c r="BM78" i="7" s="1"/>
  <c r="BX81" i="1"/>
  <c r="BL78" i="7" s="1"/>
  <c r="BW81" i="1"/>
  <c r="BK78" i="7" s="1"/>
  <c r="BV81" i="1"/>
  <c r="BJ78" i="7" s="1"/>
  <c r="BU81" i="1"/>
  <c r="BI78" i="7" s="1"/>
  <c r="BT81" i="1"/>
  <c r="BH78" i="7" s="1"/>
  <c r="BS81" i="1"/>
  <c r="BG78" i="7" s="1"/>
  <c r="BR81" i="1"/>
  <c r="BF78" i="7" s="1"/>
  <c r="BQ81" i="1"/>
  <c r="BE78" i="7" s="1"/>
  <c r="BP81" i="1"/>
  <c r="BD78" i="7" s="1"/>
  <c r="BO81" i="1"/>
  <c r="BC78" i="7" s="1"/>
  <c r="BN81" i="1"/>
  <c r="BB78" i="7" s="1"/>
  <c r="BM81" i="1"/>
  <c r="BA78" i="7" s="1"/>
  <c r="BL81" i="1"/>
  <c r="AZ78" i="7" s="1"/>
  <c r="BF81" i="1"/>
  <c r="AT78" i="7" s="1"/>
  <c r="BE81" i="1"/>
  <c r="AS78" i="7" s="1"/>
  <c r="BD81" i="1"/>
  <c r="AR78" i="7" s="1"/>
  <c r="BC81" i="1"/>
  <c r="AQ78" i="7" s="1"/>
  <c r="BB81" i="1"/>
  <c r="AP78" i="7" s="1"/>
  <c r="BA81" i="1"/>
  <c r="AO78" i="7" s="1"/>
  <c r="AZ81" i="1"/>
  <c r="AN78" i="7" s="1"/>
  <c r="AY81" i="1"/>
  <c r="AM78" i="7" s="1"/>
  <c r="AX81" i="1"/>
  <c r="AL78" i="7" s="1"/>
  <c r="AW81" i="1"/>
  <c r="AK78" i="7" s="1"/>
  <c r="AV81" i="1"/>
  <c r="AJ78" i="7" s="1"/>
  <c r="AU81" i="1"/>
  <c r="AI78" i="7" s="1"/>
  <c r="AT81" i="1"/>
  <c r="AH78" i="7" s="1"/>
  <c r="AS81" i="1"/>
  <c r="AG78" i="7" s="1"/>
  <c r="AR81" i="1"/>
  <c r="AF78" i="7" s="1"/>
  <c r="AQ81" i="1"/>
  <c r="AE78" i="7" s="1"/>
  <c r="AP81" i="1"/>
  <c r="AD78" i="7" s="1"/>
  <c r="AO81" i="1"/>
  <c r="AC78" i="7" s="1"/>
  <c r="AN81" i="1"/>
  <c r="AB78" i="7" s="1"/>
  <c r="AM81" i="1"/>
  <c r="AA78" i="7" s="1"/>
  <c r="AL81" i="1"/>
  <c r="Z78" i="7" s="1"/>
  <c r="AK81" i="1"/>
  <c r="Y78" i="7" s="1"/>
  <c r="AJ81" i="1"/>
  <c r="X78" i="7" s="1"/>
  <c r="AI81" i="1"/>
  <c r="W78" i="7" s="1"/>
  <c r="AH81" i="1"/>
  <c r="V78" i="7" s="1"/>
  <c r="AG81" i="1"/>
  <c r="U78" i="7" s="1"/>
  <c r="AF81" i="1"/>
  <c r="T78" i="7" s="1"/>
  <c r="AE81" i="1"/>
  <c r="S78" i="7" s="1"/>
  <c r="AD81" i="1"/>
  <c r="R78" i="7" s="1"/>
  <c r="AC81" i="1"/>
  <c r="Q78" i="7" s="1"/>
  <c r="AB81" i="1"/>
  <c r="P78" i="7" s="1"/>
  <c r="AA81" i="1"/>
  <c r="O78" i="7" s="1"/>
  <c r="Z81" i="1"/>
  <c r="N78" i="7" s="1"/>
  <c r="Y81" i="1"/>
  <c r="M78" i="7" s="1"/>
  <c r="X81" i="1"/>
  <c r="L78" i="7" s="1"/>
  <c r="W81" i="1"/>
  <c r="K78" i="7" s="1"/>
  <c r="V81" i="1"/>
  <c r="J78" i="7" s="1"/>
  <c r="U81" i="1"/>
  <c r="I78" i="7" s="1"/>
  <c r="T81" i="1"/>
  <c r="H78" i="7" s="1"/>
  <c r="S81" i="1"/>
  <c r="G78" i="7" s="1"/>
  <c r="R81" i="1"/>
  <c r="F78" i="7" s="1"/>
  <c r="O81" i="1"/>
  <c r="C78" i="7" s="1"/>
  <c r="O80" i="1"/>
  <c r="BF73" i="1" s="1"/>
  <c r="AT70" i="7" s="1"/>
  <c r="M80" i="1"/>
  <c r="M79" i="1"/>
  <c r="O78" i="1"/>
  <c r="M78" i="1"/>
  <c r="M77" i="1"/>
  <c r="O76" i="1"/>
  <c r="M76" i="1"/>
  <c r="M75" i="1"/>
  <c r="CO74" i="1"/>
  <c r="CC71" i="7" s="1"/>
  <c r="CN74" i="1"/>
  <c r="CB71" i="7" s="1"/>
  <c r="CM74" i="1"/>
  <c r="CA71" i="7" s="1"/>
  <c r="CL74" i="1"/>
  <c r="BZ71" i="7" s="1"/>
  <c r="CK74" i="1"/>
  <c r="BY71" i="7" s="1"/>
  <c r="CJ74" i="1"/>
  <c r="BX71" i="7" s="1"/>
  <c r="CI74" i="1"/>
  <c r="BW71" i="7" s="1"/>
  <c r="CH74" i="1"/>
  <c r="BV71" i="7" s="1"/>
  <c r="CG74" i="1"/>
  <c r="BU71" i="7" s="1"/>
  <c r="CF74" i="1"/>
  <c r="BT71" i="7" s="1"/>
  <c r="CE74" i="1"/>
  <c r="BS71" i="7" s="1"/>
  <c r="CD74" i="1"/>
  <c r="BR71" i="7" s="1"/>
  <c r="CC74" i="1"/>
  <c r="BQ71" i="7" s="1"/>
  <c r="CB74" i="1"/>
  <c r="BP71" i="7" s="1"/>
  <c r="CA74" i="1"/>
  <c r="BO71" i="7" s="1"/>
  <c r="BZ74" i="1"/>
  <c r="BN71" i="7" s="1"/>
  <c r="BY74" i="1"/>
  <c r="BM71" i="7" s="1"/>
  <c r="BX74" i="1"/>
  <c r="BL71" i="7" s="1"/>
  <c r="BW74" i="1"/>
  <c r="BK71" i="7" s="1"/>
  <c r="BV74" i="1"/>
  <c r="BJ71" i="7" s="1"/>
  <c r="BU74" i="1"/>
  <c r="BI71" i="7" s="1"/>
  <c r="BT74" i="1"/>
  <c r="BH71" i="7" s="1"/>
  <c r="BS74" i="1"/>
  <c r="BG71" i="7" s="1"/>
  <c r="BR74" i="1"/>
  <c r="BF71" i="7" s="1"/>
  <c r="BQ74" i="1"/>
  <c r="BE71" i="7" s="1"/>
  <c r="BP74" i="1"/>
  <c r="BD71" i="7" s="1"/>
  <c r="BO74" i="1"/>
  <c r="BC71" i="7" s="1"/>
  <c r="BN74" i="1"/>
  <c r="BB71" i="7" s="1"/>
  <c r="BM74" i="1"/>
  <c r="BA71" i="7" s="1"/>
  <c r="BL74" i="1"/>
  <c r="AZ71" i="7" s="1"/>
  <c r="BK74" i="1"/>
  <c r="AY71" i="7" s="1"/>
  <c r="BJ74" i="1"/>
  <c r="AX71" i="7" s="1"/>
  <c r="BI74" i="1"/>
  <c r="AW71" i="7" s="1"/>
  <c r="BH74" i="1"/>
  <c r="AV71" i="7" s="1"/>
  <c r="BG74" i="1"/>
  <c r="AU71" i="7" s="1"/>
  <c r="BF74" i="1"/>
  <c r="AT71" i="7" s="1"/>
  <c r="BE74" i="1"/>
  <c r="AS71" i="7" s="1"/>
  <c r="BD74" i="1"/>
  <c r="AR71" i="7" s="1"/>
  <c r="BC74" i="1"/>
  <c r="AQ71" i="7" s="1"/>
  <c r="BB74" i="1"/>
  <c r="AP71" i="7" s="1"/>
  <c r="BA74" i="1"/>
  <c r="AO71" i="7" s="1"/>
  <c r="AZ74" i="1"/>
  <c r="AN71" i="7" s="1"/>
  <c r="AY74" i="1"/>
  <c r="AM71" i="7" s="1"/>
  <c r="AX74" i="1"/>
  <c r="AL71" i="7" s="1"/>
  <c r="AW74" i="1"/>
  <c r="AK71" i="7" s="1"/>
  <c r="AV74" i="1"/>
  <c r="AJ71" i="7" s="1"/>
  <c r="AU74" i="1"/>
  <c r="AI71" i="7" s="1"/>
  <c r="AT74" i="1"/>
  <c r="AH71" i="7" s="1"/>
  <c r="AS74" i="1"/>
  <c r="AG71" i="7" s="1"/>
  <c r="AR74" i="1"/>
  <c r="AF71" i="7" s="1"/>
  <c r="AQ74" i="1"/>
  <c r="AE71" i="7" s="1"/>
  <c r="AP74" i="1"/>
  <c r="AD71" i="7" s="1"/>
  <c r="AO74" i="1"/>
  <c r="AC71" i="7" s="1"/>
  <c r="AN74" i="1"/>
  <c r="AB71" i="7" s="1"/>
  <c r="AM74" i="1"/>
  <c r="AA71" i="7" s="1"/>
  <c r="AL74" i="1"/>
  <c r="Z71" i="7" s="1"/>
  <c r="AK74" i="1"/>
  <c r="Y71" i="7" s="1"/>
  <c r="AJ74" i="1"/>
  <c r="X71" i="7" s="1"/>
  <c r="AI74" i="1"/>
  <c r="W71" i="7" s="1"/>
  <c r="AH74" i="1"/>
  <c r="V71" i="7" s="1"/>
  <c r="AG74" i="1"/>
  <c r="U71" i="7" s="1"/>
  <c r="AF74" i="1"/>
  <c r="T71" i="7" s="1"/>
  <c r="AE74" i="1"/>
  <c r="S71" i="7" s="1"/>
  <c r="AD74" i="1"/>
  <c r="R71" i="7" s="1"/>
  <c r="AC74" i="1"/>
  <c r="Q71" i="7" s="1"/>
  <c r="AB74" i="1"/>
  <c r="P71" i="7" s="1"/>
  <c r="AA74" i="1"/>
  <c r="O71" i="7" s="1"/>
  <c r="Z74" i="1"/>
  <c r="N71" i="7" s="1"/>
  <c r="Y74" i="1"/>
  <c r="M71" i="7" s="1"/>
  <c r="X74" i="1"/>
  <c r="L71" i="7" s="1"/>
  <c r="W74" i="1"/>
  <c r="K71" i="7" s="1"/>
  <c r="V74" i="1"/>
  <c r="J71" i="7" s="1"/>
  <c r="U74" i="1"/>
  <c r="I71" i="7" s="1"/>
  <c r="T74" i="1"/>
  <c r="H71" i="7" s="1"/>
  <c r="S74" i="1"/>
  <c r="G71" i="7" s="1"/>
  <c r="R74" i="1"/>
  <c r="O74" i="1"/>
  <c r="CO73" i="1"/>
  <c r="CC70" i="7" s="1"/>
  <c r="CN73" i="1"/>
  <c r="CB70" i="7" s="1"/>
  <c r="CM73" i="1"/>
  <c r="CA70" i="7" s="1"/>
  <c r="CL73" i="1"/>
  <c r="BZ70" i="7" s="1"/>
  <c r="CK73" i="1"/>
  <c r="BY70" i="7" s="1"/>
  <c r="CJ73" i="1"/>
  <c r="BX70" i="7" s="1"/>
  <c r="CI73" i="1"/>
  <c r="BW70" i="7" s="1"/>
  <c r="CH73" i="1"/>
  <c r="BV70" i="7" s="1"/>
  <c r="CG73" i="1"/>
  <c r="BU70" i="7" s="1"/>
  <c r="CF73" i="1"/>
  <c r="BT70" i="7" s="1"/>
  <c r="CE73" i="1"/>
  <c r="BS70" i="7" s="1"/>
  <c r="CD73" i="1"/>
  <c r="BR70" i="7" s="1"/>
  <c r="CC73" i="1"/>
  <c r="BQ70" i="7" s="1"/>
  <c r="CB73" i="1"/>
  <c r="BP70" i="7" s="1"/>
  <c r="CA73" i="1"/>
  <c r="BO70" i="7" s="1"/>
  <c r="BZ73" i="1"/>
  <c r="BN70" i="7" s="1"/>
  <c r="BY73" i="1"/>
  <c r="BM70" i="7" s="1"/>
  <c r="BX73" i="1"/>
  <c r="BL70" i="7" s="1"/>
  <c r="BW73" i="1"/>
  <c r="BK70" i="7" s="1"/>
  <c r="BV73" i="1"/>
  <c r="BJ70" i="7" s="1"/>
  <c r="BU73" i="1"/>
  <c r="BI70" i="7" s="1"/>
  <c r="BT73" i="1"/>
  <c r="BH70" i="7" s="1"/>
  <c r="BS73" i="1"/>
  <c r="BG70" i="7" s="1"/>
  <c r="BR73" i="1"/>
  <c r="BF70" i="7" s="1"/>
  <c r="BQ73" i="1"/>
  <c r="BE70" i="7" s="1"/>
  <c r="BP73" i="1"/>
  <c r="BD70" i="7" s="1"/>
  <c r="BO73" i="1"/>
  <c r="BC70" i="7" s="1"/>
  <c r="BN73" i="1"/>
  <c r="BB70" i="7" s="1"/>
  <c r="BM73" i="1"/>
  <c r="BA70" i="7" s="1"/>
  <c r="BL73" i="1"/>
  <c r="AZ70" i="7" s="1"/>
  <c r="BK73" i="1"/>
  <c r="AY70" i="7" s="1"/>
  <c r="BJ73" i="1"/>
  <c r="AX70" i="7" s="1"/>
  <c r="BI73" i="1"/>
  <c r="AW70" i="7" s="1"/>
  <c r="BH73" i="1"/>
  <c r="AV70" i="7" s="1"/>
  <c r="BB73" i="1"/>
  <c r="AP70" i="7" s="1"/>
  <c r="BA73" i="1"/>
  <c r="AO70" i="7" s="1"/>
  <c r="AZ73" i="1"/>
  <c r="AN70" i="7" s="1"/>
  <c r="AY73" i="1"/>
  <c r="AM70" i="7" s="1"/>
  <c r="AX73" i="1"/>
  <c r="AL70" i="7" s="1"/>
  <c r="AW73" i="1"/>
  <c r="AK70" i="7" s="1"/>
  <c r="AV73" i="1"/>
  <c r="AJ70" i="7" s="1"/>
  <c r="AU73" i="1"/>
  <c r="AI70" i="7" s="1"/>
  <c r="AT73" i="1"/>
  <c r="AH70" i="7" s="1"/>
  <c r="AS73" i="1"/>
  <c r="AG70" i="7" s="1"/>
  <c r="AR73" i="1"/>
  <c r="AF70" i="7" s="1"/>
  <c r="AQ73" i="1"/>
  <c r="AE70" i="7" s="1"/>
  <c r="AP73" i="1"/>
  <c r="AD70" i="7" s="1"/>
  <c r="AO73" i="1"/>
  <c r="AC70" i="7" s="1"/>
  <c r="AN73" i="1"/>
  <c r="AB70" i="7" s="1"/>
  <c r="AM73" i="1"/>
  <c r="AA70" i="7" s="1"/>
  <c r="AL73" i="1"/>
  <c r="Z70" i="7" s="1"/>
  <c r="AK73" i="1"/>
  <c r="Y70" i="7" s="1"/>
  <c r="AJ73" i="1"/>
  <c r="X70" i="7" s="1"/>
  <c r="AI73" i="1"/>
  <c r="W70" i="7" s="1"/>
  <c r="AH73" i="1"/>
  <c r="V70" i="7" s="1"/>
  <c r="AG73" i="1"/>
  <c r="U70" i="7" s="1"/>
  <c r="AF73" i="1"/>
  <c r="T70" i="7" s="1"/>
  <c r="AE73" i="1"/>
  <c r="S70" i="7" s="1"/>
  <c r="AD73" i="1"/>
  <c r="R70" i="7" s="1"/>
  <c r="AC73" i="1"/>
  <c r="Q70" i="7" s="1"/>
  <c r="AB73" i="1"/>
  <c r="P70" i="7" s="1"/>
  <c r="AA73" i="1"/>
  <c r="O70" i="7" s="1"/>
  <c r="Z73" i="1"/>
  <c r="N70" i="7" s="1"/>
  <c r="Y73" i="1"/>
  <c r="M70" i="7" s="1"/>
  <c r="X73" i="1"/>
  <c r="L70" i="7" s="1"/>
  <c r="W73" i="1"/>
  <c r="K70" i="7" s="1"/>
  <c r="V73" i="1"/>
  <c r="J70" i="7" s="1"/>
  <c r="U73" i="1"/>
  <c r="I70" i="7" s="1"/>
  <c r="T73" i="1"/>
  <c r="H70" i="7" s="1"/>
  <c r="S73" i="1"/>
  <c r="G70" i="7" s="1"/>
  <c r="R73" i="1"/>
  <c r="F70" i="7" s="1"/>
  <c r="O73" i="1"/>
  <c r="C70" i="7" s="1"/>
  <c r="O72" i="1"/>
  <c r="M72" i="1"/>
  <c r="M71" i="1"/>
  <c r="O70" i="1"/>
  <c r="M70" i="1"/>
  <c r="M69" i="1"/>
  <c r="O68" i="1"/>
  <c r="M68" i="1"/>
  <c r="M67" i="1"/>
  <c r="O66" i="1"/>
  <c r="M66" i="1"/>
  <c r="M65" i="1"/>
  <c r="CO64" i="1"/>
  <c r="CC61" i="7" s="1"/>
  <c r="CN64" i="1"/>
  <c r="CB61" i="7" s="1"/>
  <c r="CM64" i="1"/>
  <c r="CA61" i="7" s="1"/>
  <c r="CL64" i="1"/>
  <c r="BZ61" i="7" s="1"/>
  <c r="CK64" i="1"/>
  <c r="BY61" i="7" s="1"/>
  <c r="CJ64" i="1"/>
  <c r="BX61" i="7" s="1"/>
  <c r="CI64" i="1"/>
  <c r="BW61" i="7" s="1"/>
  <c r="CH64" i="1"/>
  <c r="BV61" i="7" s="1"/>
  <c r="CG64" i="1"/>
  <c r="BU61" i="7" s="1"/>
  <c r="CF64" i="1"/>
  <c r="BT61" i="7" s="1"/>
  <c r="CE64" i="1"/>
  <c r="BS61" i="7" s="1"/>
  <c r="CD64" i="1"/>
  <c r="BR61" i="7" s="1"/>
  <c r="CC64" i="1"/>
  <c r="BQ61" i="7" s="1"/>
  <c r="CB64" i="1"/>
  <c r="BP61" i="7" s="1"/>
  <c r="CA64" i="1"/>
  <c r="BO61" i="7" s="1"/>
  <c r="BZ64" i="1"/>
  <c r="BN61" i="7" s="1"/>
  <c r="BY64" i="1"/>
  <c r="BM61" i="7" s="1"/>
  <c r="BX64" i="1"/>
  <c r="BL61" i="7" s="1"/>
  <c r="BW64" i="1"/>
  <c r="BK61" i="7" s="1"/>
  <c r="BV64" i="1"/>
  <c r="BJ61" i="7" s="1"/>
  <c r="BU64" i="1"/>
  <c r="BI61" i="7" s="1"/>
  <c r="BT64" i="1"/>
  <c r="BH61" i="7" s="1"/>
  <c r="BS64" i="1"/>
  <c r="BG61" i="7" s="1"/>
  <c r="BR64" i="1"/>
  <c r="BF61" i="7" s="1"/>
  <c r="BQ64" i="1"/>
  <c r="BE61" i="7" s="1"/>
  <c r="BP64" i="1"/>
  <c r="BD61" i="7" s="1"/>
  <c r="BO64" i="1"/>
  <c r="BC61" i="7" s="1"/>
  <c r="BN64" i="1"/>
  <c r="BB61" i="7" s="1"/>
  <c r="BM64" i="1"/>
  <c r="BA61" i="7" s="1"/>
  <c r="BL64" i="1"/>
  <c r="AZ61" i="7" s="1"/>
  <c r="BK64" i="1"/>
  <c r="AY61" i="7" s="1"/>
  <c r="BJ64" i="1"/>
  <c r="AX61" i="7" s="1"/>
  <c r="BI64" i="1"/>
  <c r="AW61" i="7" s="1"/>
  <c r="BH64" i="1"/>
  <c r="AV61" i="7" s="1"/>
  <c r="BG64" i="1"/>
  <c r="AU61" i="7" s="1"/>
  <c r="BF64" i="1"/>
  <c r="AT61" i="7" s="1"/>
  <c r="BE64" i="1"/>
  <c r="AS61" i="7" s="1"/>
  <c r="BD64" i="1"/>
  <c r="AR61" i="7" s="1"/>
  <c r="BC64" i="1"/>
  <c r="AQ61" i="7" s="1"/>
  <c r="BB64" i="1"/>
  <c r="AP61" i="7" s="1"/>
  <c r="BA64" i="1"/>
  <c r="AO61" i="7" s="1"/>
  <c r="AZ64" i="1"/>
  <c r="AN61" i="7" s="1"/>
  <c r="AY64" i="1"/>
  <c r="AM61" i="7" s="1"/>
  <c r="AX64" i="1"/>
  <c r="AL61" i="7" s="1"/>
  <c r="AW64" i="1"/>
  <c r="AK61" i="7" s="1"/>
  <c r="AV64" i="1"/>
  <c r="AJ61" i="7" s="1"/>
  <c r="AU64" i="1"/>
  <c r="AI61" i="7" s="1"/>
  <c r="AT64" i="1"/>
  <c r="AH61" i="7" s="1"/>
  <c r="AS64" i="1"/>
  <c r="AG61" i="7" s="1"/>
  <c r="AR64" i="1"/>
  <c r="AF61" i="7" s="1"/>
  <c r="AQ64" i="1"/>
  <c r="AE61" i="7" s="1"/>
  <c r="AP64" i="1"/>
  <c r="AD61" i="7" s="1"/>
  <c r="AO64" i="1"/>
  <c r="AC61" i="7" s="1"/>
  <c r="AN64" i="1"/>
  <c r="AB61" i="7" s="1"/>
  <c r="AM64" i="1"/>
  <c r="AA61" i="7" s="1"/>
  <c r="AL64" i="1"/>
  <c r="Z61" i="7" s="1"/>
  <c r="AK64" i="1"/>
  <c r="Y61" i="7" s="1"/>
  <c r="AJ64" i="1"/>
  <c r="X61" i="7" s="1"/>
  <c r="AI64" i="1"/>
  <c r="W61" i="7" s="1"/>
  <c r="AH64" i="1"/>
  <c r="V61" i="7" s="1"/>
  <c r="AG64" i="1"/>
  <c r="U61" i="7" s="1"/>
  <c r="AF64" i="1"/>
  <c r="T61" i="7" s="1"/>
  <c r="AE64" i="1"/>
  <c r="S61" i="7" s="1"/>
  <c r="AD64" i="1"/>
  <c r="R61" i="7" s="1"/>
  <c r="AC64" i="1"/>
  <c r="Q61" i="7" s="1"/>
  <c r="AB64" i="1"/>
  <c r="P61" i="7" s="1"/>
  <c r="AA64" i="1"/>
  <c r="O61" i="7" s="1"/>
  <c r="Z64" i="1"/>
  <c r="N61" i="7" s="1"/>
  <c r="Y64" i="1"/>
  <c r="M61" i="7" s="1"/>
  <c r="X64" i="1"/>
  <c r="L61" i="7" s="1"/>
  <c r="W64" i="1"/>
  <c r="K61" i="7" s="1"/>
  <c r="V64" i="1"/>
  <c r="J61" i="7" s="1"/>
  <c r="U64" i="1"/>
  <c r="I61" i="7" s="1"/>
  <c r="T64" i="1"/>
  <c r="H61" i="7" s="1"/>
  <c r="S64" i="1"/>
  <c r="G61" i="7" s="1"/>
  <c r="R64" i="1"/>
  <c r="F61" i="7" s="1"/>
  <c r="O64" i="1"/>
  <c r="CO63" i="1"/>
  <c r="CC60" i="7" s="1"/>
  <c r="CN63" i="1"/>
  <c r="CB60" i="7" s="1"/>
  <c r="CM63" i="1"/>
  <c r="CA60" i="7" s="1"/>
  <c r="CL63" i="1"/>
  <c r="BZ60" i="7" s="1"/>
  <c r="CK63" i="1"/>
  <c r="BY60" i="7" s="1"/>
  <c r="CJ63" i="1"/>
  <c r="BX60" i="7" s="1"/>
  <c r="CI63" i="1"/>
  <c r="BW60" i="7" s="1"/>
  <c r="CH63" i="1"/>
  <c r="BV60" i="7" s="1"/>
  <c r="CG63" i="1"/>
  <c r="BU60" i="7" s="1"/>
  <c r="CF63" i="1"/>
  <c r="BT60" i="7" s="1"/>
  <c r="CE63" i="1"/>
  <c r="BS60" i="7" s="1"/>
  <c r="CD63" i="1"/>
  <c r="BR60" i="7" s="1"/>
  <c r="CC63" i="1"/>
  <c r="BQ60" i="7" s="1"/>
  <c r="CB63" i="1"/>
  <c r="BP60" i="7" s="1"/>
  <c r="CA63" i="1"/>
  <c r="BO60" i="7" s="1"/>
  <c r="BZ63" i="1"/>
  <c r="BN60" i="7" s="1"/>
  <c r="BY63" i="1"/>
  <c r="BM60" i="7" s="1"/>
  <c r="BX63" i="1"/>
  <c r="BL60" i="7" s="1"/>
  <c r="BW63" i="1"/>
  <c r="BK60" i="7" s="1"/>
  <c r="BV63" i="1"/>
  <c r="BJ60" i="7" s="1"/>
  <c r="BU63" i="1"/>
  <c r="BI60" i="7" s="1"/>
  <c r="BT63" i="1"/>
  <c r="BH60" i="7" s="1"/>
  <c r="BS63" i="1"/>
  <c r="BG60" i="7" s="1"/>
  <c r="BR63" i="1"/>
  <c r="BF60" i="7" s="1"/>
  <c r="BQ63" i="1"/>
  <c r="BE60" i="7" s="1"/>
  <c r="BP63" i="1"/>
  <c r="BD60" i="7" s="1"/>
  <c r="BO63" i="1"/>
  <c r="BC60" i="7" s="1"/>
  <c r="BN63" i="1"/>
  <c r="BB60" i="7" s="1"/>
  <c r="BM63" i="1"/>
  <c r="BA60" i="7" s="1"/>
  <c r="BL63" i="1"/>
  <c r="AZ60" i="7" s="1"/>
  <c r="BK63" i="1"/>
  <c r="AY60" i="7" s="1"/>
  <c r="BJ63" i="1"/>
  <c r="AX60" i="7" s="1"/>
  <c r="BI63" i="1"/>
  <c r="AW60" i="7" s="1"/>
  <c r="BH63" i="1"/>
  <c r="AV60" i="7" s="1"/>
  <c r="AU63" i="1"/>
  <c r="AI60" i="7" s="1"/>
  <c r="AT63" i="1"/>
  <c r="AH60" i="7" s="1"/>
  <c r="AS63" i="1"/>
  <c r="AG60" i="7" s="1"/>
  <c r="AR63" i="1"/>
  <c r="AF60" i="7" s="1"/>
  <c r="AQ63" i="1"/>
  <c r="AE60" i="7" s="1"/>
  <c r="AP63" i="1"/>
  <c r="AD60" i="7" s="1"/>
  <c r="AO63" i="1"/>
  <c r="AC60" i="7" s="1"/>
  <c r="AN63" i="1"/>
  <c r="AB60" i="7" s="1"/>
  <c r="AM63" i="1"/>
  <c r="AA60" i="7" s="1"/>
  <c r="AL63" i="1"/>
  <c r="Z60" i="7" s="1"/>
  <c r="AK63" i="1"/>
  <c r="Y60" i="7" s="1"/>
  <c r="AJ63" i="1"/>
  <c r="X60" i="7" s="1"/>
  <c r="AI63" i="1"/>
  <c r="W60" i="7" s="1"/>
  <c r="AH63" i="1"/>
  <c r="V60" i="7" s="1"/>
  <c r="AG63" i="1"/>
  <c r="U60" i="7" s="1"/>
  <c r="AF63" i="1"/>
  <c r="T60" i="7" s="1"/>
  <c r="AE63" i="1"/>
  <c r="S60" i="7" s="1"/>
  <c r="AD63" i="1"/>
  <c r="R60" i="7" s="1"/>
  <c r="AC63" i="1"/>
  <c r="Q60" i="7" s="1"/>
  <c r="AB63" i="1"/>
  <c r="P60" i="7" s="1"/>
  <c r="AA63" i="1"/>
  <c r="O60" i="7" s="1"/>
  <c r="Z63" i="1"/>
  <c r="N60" i="7" s="1"/>
  <c r="Y63" i="1"/>
  <c r="M60" i="7" s="1"/>
  <c r="X63" i="1"/>
  <c r="L60" i="7" s="1"/>
  <c r="W63" i="1"/>
  <c r="K60" i="7" s="1"/>
  <c r="V63" i="1"/>
  <c r="J60" i="7" s="1"/>
  <c r="U63" i="1"/>
  <c r="I60" i="7" s="1"/>
  <c r="T63" i="1"/>
  <c r="H60" i="7" s="1"/>
  <c r="S63" i="1"/>
  <c r="G60" i="7" s="1"/>
  <c r="R63" i="1"/>
  <c r="F60" i="7" s="1"/>
  <c r="O63" i="1"/>
  <c r="O62" i="1"/>
  <c r="M62" i="1"/>
  <c r="M61" i="1"/>
  <c r="O60" i="1"/>
  <c r="M60" i="1"/>
  <c r="M59" i="1"/>
  <c r="O58" i="1"/>
  <c r="BF53" i="1" s="1"/>
  <c r="AT50" i="7" s="1"/>
  <c r="M58" i="1"/>
  <c r="M57" i="1"/>
  <c r="O56" i="1"/>
  <c r="M56" i="1"/>
  <c r="M55" i="1"/>
  <c r="CO54" i="1"/>
  <c r="CC51" i="7" s="1"/>
  <c r="CN54" i="1"/>
  <c r="CB51" i="7" s="1"/>
  <c r="CM54" i="1"/>
  <c r="CA51" i="7" s="1"/>
  <c r="CL54" i="1"/>
  <c r="BZ51" i="7" s="1"/>
  <c r="CK54" i="1"/>
  <c r="BY51" i="7" s="1"/>
  <c r="CJ54" i="1"/>
  <c r="BX51" i="7" s="1"/>
  <c r="CI54" i="1"/>
  <c r="BW51" i="7" s="1"/>
  <c r="CH54" i="1"/>
  <c r="BV51" i="7" s="1"/>
  <c r="CG54" i="1"/>
  <c r="BU51" i="7" s="1"/>
  <c r="CF54" i="1"/>
  <c r="BT51" i="7" s="1"/>
  <c r="CE54" i="1"/>
  <c r="BS51" i="7" s="1"/>
  <c r="CD54" i="1"/>
  <c r="BR51" i="7" s="1"/>
  <c r="CC54" i="1"/>
  <c r="BQ51" i="7" s="1"/>
  <c r="CB54" i="1"/>
  <c r="BP51" i="7" s="1"/>
  <c r="CA54" i="1"/>
  <c r="BO51" i="7" s="1"/>
  <c r="BZ54" i="1"/>
  <c r="BN51" i="7" s="1"/>
  <c r="BY54" i="1"/>
  <c r="BM51" i="7" s="1"/>
  <c r="BX54" i="1"/>
  <c r="BL51" i="7" s="1"/>
  <c r="BW54" i="1"/>
  <c r="BK51" i="7" s="1"/>
  <c r="BV54" i="1"/>
  <c r="BJ51" i="7" s="1"/>
  <c r="BU54" i="1"/>
  <c r="BI51" i="7" s="1"/>
  <c r="BT54" i="1"/>
  <c r="BH51" i="7" s="1"/>
  <c r="BS54" i="1"/>
  <c r="BG51" i="7" s="1"/>
  <c r="BR54" i="1"/>
  <c r="BF51" i="7" s="1"/>
  <c r="BQ54" i="1"/>
  <c r="BE51" i="7" s="1"/>
  <c r="BP54" i="1"/>
  <c r="BD51" i="7" s="1"/>
  <c r="BO54" i="1"/>
  <c r="BC51" i="7" s="1"/>
  <c r="BN54" i="1"/>
  <c r="BB51" i="7" s="1"/>
  <c r="BM54" i="1"/>
  <c r="BA51" i="7" s="1"/>
  <c r="BL54" i="1"/>
  <c r="AZ51" i="7" s="1"/>
  <c r="BK54" i="1"/>
  <c r="AY51" i="7" s="1"/>
  <c r="BJ54" i="1"/>
  <c r="AX51" i="7" s="1"/>
  <c r="BI54" i="1"/>
  <c r="AW51" i="7" s="1"/>
  <c r="BH54" i="1"/>
  <c r="AV51" i="7" s="1"/>
  <c r="BG54" i="1"/>
  <c r="AU51" i="7" s="1"/>
  <c r="BF54" i="1"/>
  <c r="AT51" i="7" s="1"/>
  <c r="BE54" i="1"/>
  <c r="AS51" i="7" s="1"/>
  <c r="BD54" i="1"/>
  <c r="AR51" i="7" s="1"/>
  <c r="BC54" i="1"/>
  <c r="AQ51" i="7" s="1"/>
  <c r="BB54" i="1"/>
  <c r="AP51" i="7" s="1"/>
  <c r="BA54" i="1"/>
  <c r="AO51" i="7" s="1"/>
  <c r="AZ54" i="1"/>
  <c r="AN51" i="7" s="1"/>
  <c r="AY54" i="1"/>
  <c r="AM51" i="7" s="1"/>
  <c r="AX54" i="1"/>
  <c r="AL51" i="7" s="1"/>
  <c r="AW54" i="1"/>
  <c r="AK51" i="7" s="1"/>
  <c r="AV54" i="1"/>
  <c r="AJ51" i="7" s="1"/>
  <c r="AU54" i="1"/>
  <c r="AI51" i="7" s="1"/>
  <c r="AT54" i="1"/>
  <c r="AH51" i="7" s="1"/>
  <c r="AS54" i="1"/>
  <c r="AG51" i="7" s="1"/>
  <c r="AR54" i="1"/>
  <c r="AF51" i="7" s="1"/>
  <c r="AQ54" i="1"/>
  <c r="AE51" i="7" s="1"/>
  <c r="AP54" i="1"/>
  <c r="AD51" i="7" s="1"/>
  <c r="AO54" i="1"/>
  <c r="AC51" i="7" s="1"/>
  <c r="AN54" i="1"/>
  <c r="AB51" i="7" s="1"/>
  <c r="AM54" i="1"/>
  <c r="AA51" i="7" s="1"/>
  <c r="AL54" i="1"/>
  <c r="Z51" i="7" s="1"/>
  <c r="AK54" i="1"/>
  <c r="Y51" i="7" s="1"/>
  <c r="AJ54" i="1"/>
  <c r="X51" i="7" s="1"/>
  <c r="AI54" i="1"/>
  <c r="W51" i="7" s="1"/>
  <c r="AH54" i="1"/>
  <c r="V51" i="7" s="1"/>
  <c r="AG54" i="1"/>
  <c r="U51" i="7" s="1"/>
  <c r="AF54" i="1"/>
  <c r="T51" i="7" s="1"/>
  <c r="AE54" i="1"/>
  <c r="S51" i="7" s="1"/>
  <c r="AD54" i="1"/>
  <c r="R51" i="7" s="1"/>
  <c r="AC54" i="1"/>
  <c r="Q51" i="7" s="1"/>
  <c r="AB54" i="1"/>
  <c r="P51" i="7" s="1"/>
  <c r="AA54" i="1"/>
  <c r="O51" i="7" s="1"/>
  <c r="Z54" i="1"/>
  <c r="N51" i="7" s="1"/>
  <c r="Y54" i="1"/>
  <c r="M51" i="7" s="1"/>
  <c r="X54" i="1"/>
  <c r="L51" i="7" s="1"/>
  <c r="W54" i="1"/>
  <c r="K51" i="7" s="1"/>
  <c r="V54" i="1"/>
  <c r="J51" i="7" s="1"/>
  <c r="U54" i="1"/>
  <c r="I51" i="7" s="1"/>
  <c r="T54" i="1"/>
  <c r="H51" i="7" s="1"/>
  <c r="S54" i="1"/>
  <c r="G51" i="7" s="1"/>
  <c r="R54" i="1"/>
  <c r="F51" i="7" s="1"/>
  <c r="O54" i="1"/>
  <c r="CO53" i="1"/>
  <c r="CC50" i="7" s="1"/>
  <c r="CN53" i="1"/>
  <c r="CB50" i="7" s="1"/>
  <c r="CM53" i="1"/>
  <c r="CA50" i="7" s="1"/>
  <c r="CL53" i="1"/>
  <c r="BZ50" i="7" s="1"/>
  <c r="CK53" i="1"/>
  <c r="BY50" i="7" s="1"/>
  <c r="CJ53" i="1"/>
  <c r="BX50" i="7" s="1"/>
  <c r="CI53" i="1"/>
  <c r="BW50" i="7" s="1"/>
  <c r="CH53" i="1"/>
  <c r="BV50" i="7" s="1"/>
  <c r="CG53" i="1"/>
  <c r="BU50" i="7" s="1"/>
  <c r="CF53" i="1"/>
  <c r="BT50" i="7" s="1"/>
  <c r="CE53" i="1"/>
  <c r="BS50" i="7" s="1"/>
  <c r="CD53" i="1"/>
  <c r="BR50" i="7" s="1"/>
  <c r="CC53" i="1"/>
  <c r="BQ50" i="7" s="1"/>
  <c r="CB53" i="1"/>
  <c r="BP50" i="7" s="1"/>
  <c r="CA53" i="1"/>
  <c r="BO50" i="7" s="1"/>
  <c r="BZ53" i="1"/>
  <c r="BN50" i="7" s="1"/>
  <c r="BY53" i="1"/>
  <c r="BM50" i="7" s="1"/>
  <c r="BX53" i="1"/>
  <c r="BL50" i="7" s="1"/>
  <c r="BW53" i="1"/>
  <c r="BK50" i="7" s="1"/>
  <c r="BV53" i="1"/>
  <c r="BJ50" i="7" s="1"/>
  <c r="BU53" i="1"/>
  <c r="BI50" i="7" s="1"/>
  <c r="BT53" i="1"/>
  <c r="BH50" i="7" s="1"/>
  <c r="BS53" i="1"/>
  <c r="BG50" i="7" s="1"/>
  <c r="BR53" i="1"/>
  <c r="BF50" i="7" s="1"/>
  <c r="BQ53" i="1"/>
  <c r="BE50" i="7" s="1"/>
  <c r="BP53" i="1"/>
  <c r="BD50" i="7" s="1"/>
  <c r="BO53" i="1"/>
  <c r="BC50" i="7" s="1"/>
  <c r="BN53" i="1"/>
  <c r="BB50" i="7" s="1"/>
  <c r="BM53" i="1"/>
  <c r="BA50" i="7" s="1"/>
  <c r="BL53" i="1"/>
  <c r="AZ50" i="7" s="1"/>
  <c r="BK53" i="1"/>
  <c r="AY50" i="7" s="1"/>
  <c r="BJ53" i="1"/>
  <c r="AX50" i="7" s="1"/>
  <c r="BI53" i="1"/>
  <c r="AW50" i="7" s="1"/>
  <c r="BH53" i="1"/>
  <c r="AV50" i="7" s="1"/>
  <c r="BG53" i="1"/>
  <c r="AU50" i="7" s="1"/>
  <c r="AY53" i="1"/>
  <c r="AM50" i="7" s="1"/>
  <c r="AX53" i="1"/>
  <c r="AL50" i="7" s="1"/>
  <c r="AW53" i="1"/>
  <c r="AK50" i="7" s="1"/>
  <c r="AV53" i="1"/>
  <c r="AJ50" i="7" s="1"/>
  <c r="AU53" i="1"/>
  <c r="AI50" i="7" s="1"/>
  <c r="AT53" i="1"/>
  <c r="AH50" i="7" s="1"/>
  <c r="AS53" i="1"/>
  <c r="AG50" i="7" s="1"/>
  <c r="AR53" i="1"/>
  <c r="AF50" i="7" s="1"/>
  <c r="AQ53" i="1"/>
  <c r="AE50" i="7" s="1"/>
  <c r="AP53" i="1"/>
  <c r="AD50" i="7" s="1"/>
  <c r="AO53" i="1"/>
  <c r="AC50" i="7" s="1"/>
  <c r="AN53" i="1"/>
  <c r="AB50" i="7" s="1"/>
  <c r="AM53" i="1"/>
  <c r="AA50" i="7" s="1"/>
  <c r="AL53" i="1"/>
  <c r="Z50" i="7" s="1"/>
  <c r="AK53" i="1"/>
  <c r="Y50" i="7" s="1"/>
  <c r="AJ53" i="1"/>
  <c r="X50" i="7" s="1"/>
  <c r="AI53" i="1"/>
  <c r="W50" i="7" s="1"/>
  <c r="AH53" i="1"/>
  <c r="V50" i="7" s="1"/>
  <c r="AG53" i="1"/>
  <c r="U50" i="7" s="1"/>
  <c r="AF53" i="1"/>
  <c r="T50" i="7" s="1"/>
  <c r="AE53" i="1"/>
  <c r="S50" i="7" s="1"/>
  <c r="AD53" i="1"/>
  <c r="R50" i="7" s="1"/>
  <c r="AC53" i="1"/>
  <c r="Q50" i="7" s="1"/>
  <c r="AB53" i="1"/>
  <c r="P50" i="7" s="1"/>
  <c r="AA53" i="1"/>
  <c r="O50" i="7" s="1"/>
  <c r="Z53" i="1"/>
  <c r="N50" i="7" s="1"/>
  <c r="Y53" i="1"/>
  <c r="M50" i="7" s="1"/>
  <c r="X53" i="1"/>
  <c r="L50" i="7" s="1"/>
  <c r="W53" i="1"/>
  <c r="K50" i="7" s="1"/>
  <c r="V53" i="1"/>
  <c r="J50" i="7" s="1"/>
  <c r="U53" i="1"/>
  <c r="I50" i="7" s="1"/>
  <c r="T53" i="1"/>
  <c r="H50" i="7" s="1"/>
  <c r="S53" i="1"/>
  <c r="G50" i="7" s="1"/>
  <c r="R53" i="1"/>
  <c r="F50" i="7" s="1"/>
  <c r="O53" i="1"/>
  <c r="C50" i="7" s="1"/>
  <c r="O52" i="1"/>
  <c r="AX43" i="1" s="1"/>
  <c r="AL40" i="7" s="1"/>
  <c r="M52" i="1"/>
  <c r="M51" i="1"/>
  <c r="O50" i="1"/>
  <c r="M50" i="1"/>
  <c r="M49" i="1"/>
  <c r="O48" i="1"/>
  <c r="M48" i="1"/>
  <c r="M47" i="1"/>
  <c r="O46" i="1"/>
  <c r="BF43" i="1" s="1"/>
  <c r="AT40" i="7" s="1"/>
  <c r="M46" i="1"/>
  <c r="M45" i="1"/>
  <c r="CO44" i="1"/>
  <c r="CC41" i="7" s="1"/>
  <c r="CN44" i="1"/>
  <c r="CB41" i="7" s="1"/>
  <c r="CM44" i="1"/>
  <c r="CA41" i="7" s="1"/>
  <c r="CL44" i="1"/>
  <c r="BZ41" i="7" s="1"/>
  <c r="CK44" i="1"/>
  <c r="BY41" i="7" s="1"/>
  <c r="CJ44" i="1"/>
  <c r="BX41" i="7" s="1"/>
  <c r="CI44" i="1"/>
  <c r="BW41" i="7" s="1"/>
  <c r="CH44" i="1"/>
  <c r="BV41" i="7" s="1"/>
  <c r="CG44" i="1"/>
  <c r="BU41" i="7" s="1"/>
  <c r="CF44" i="1"/>
  <c r="BT41" i="7" s="1"/>
  <c r="CE44" i="1"/>
  <c r="BS41" i="7" s="1"/>
  <c r="CD44" i="1"/>
  <c r="BR41" i="7" s="1"/>
  <c r="CC44" i="1"/>
  <c r="BQ41" i="7" s="1"/>
  <c r="CB44" i="1"/>
  <c r="BP41" i="7" s="1"/>
  <c r="CA44" i="1"/>
  <c r="BO41" i="7" s="1"/>
  <c r="BZ44" i="1"/>
  <c r="BN41" i="7" s="1"/>
  <c r="BY44" i="1"/>
  <c r="BM41" i="7" s="1"/>
  <c r="BX44" i="1"/>
  <c r="BL41" i="7" s="1"/>
  <c r="BW44" i="1"/>
  <c r="BK41" i="7" s="1"/>
  <c r="BV44" i="1"/>
  <c r="BJ41" i="7" s="1"/>
  <c r="BU44" i="1"/>
  <c r="BI41" i="7" s="1"/>
  <c r="BT44" i="1"/>
  <c r="BH41" i="7" s="1"/>
  <c r="BS44" i="1"/>
  <c r="BG41" i="7" s="1"/>
  <c r="BR44" i="1"/>
  <c r="BF41" i="7" s="1"/>
  <c r="BQ44" i="1"/>
  <c r="BE41" i="7" s="1"/>
  <c r="BP44" i="1"/>
  <c r="BD41" i="7" s="1"/>
  <c r="BO44" i="1"/>
  <c r="BC41" i="7" s="1"/>
  <c r="BN44" i="1"/>
  <c r="BB41" i="7" s="1"/>
  <c r="BM44" i="1"/>
  <c r="BA41" i="7" s="1"/>
  <c r="BL44" i="1"/>
  <c r="AZ41" i="7" s="1"/>
  <c r="BK44" i="1"/>
  <c r="AY41" i="7" s="1"/>
  <c r="BJ44" i="1"/>
  <c r="AX41" i="7" s="1"/>
  <c r="BI44" i="1"/>
  <c r="AW41" i="7" s="1"/>
  <c r="BH44" i="1"/>
  <c r="AV41" i="7" s="1"/>
  <c r="BG44" i="1"/>
  <c r="AU41" i="7" s="1"/>
  <c r="BF44" i="1"/>
  <c r="AT41" i="7" s="1"/>
  <c r="BE44" i="1"/>
  <c r="AS41" i="7" s="1"/>
  <c r="BD44" i="1"/>
  <c r="AR41" i="7" s="1"/>
  <c r="BC44" i="1"/>
  <c r="AQ41" i="7" s="1"/>
  <c r="BB44" i="1"/>
  <c r="AP41" i="7" s="1"/>
  <c r="BA44" i="1"/>
  <c r="AO41" i="7" s="1"/>
  <c r="AZ44" i="1"/>
  <c r="AN41" i="7" s="1"/>
  <c r="AY44" i="1"/>
  <c r="AM41" i="7" s="1"/>
  <c r="AX44" i="1"/>
  <c r="AL41" i="7" s="1"/>
  <c r="AW44" i="1"/>
  <c r="AK41" i="7" s="1"/>
  <c r="AV44" i="1"/>
  <c r="AJ41" i="7" s="1"/>
  <c r="AU44" i="1"/>
  <c r="AI41" i="7" s="1"/>
  <c r="AT44" i="1"/>
  <c r="AH41" i="7" s="1"/>
  <c r="AS44" i="1"/>
  <c r="AG41" i="7" s="1"/>
  <c r="AR44" i="1"/>
  <c r="AF41" i="7" s="1"/>
  <c r="AQ44" i="1"/>
  <c r="AE41" i="7" s="1"/>
  <c r="AP44" i="1"/>
  <c r="AD41" i="7" s="1"/>
  <c r="AO44" i="1"/>
  <c r="AC41" i="7" s="1"/>
  <c r="AN44" i="1"/>
  <c r="AB41" i="7" s="1"/>
  <c r="AM44" i="1"/>
  <c r="AA41" i="7" s="1"/>
  <c r="AL44" i="1"/>
  <c r="Z41" i="7" s="1"/>
  <c r="AK44" i="1"/>
  <c r="Y41" i="7" s="1"/>
  <c r="AJ44" i="1"/>
  <c r="X41" i="7" s="1"/>
  <c r="AI44" i="1"/>
  <c r="W41" i="7" s="1"/>
  <c r="AH44" i="1"/>
  <c r="V41" i="7" s="1"/>
  <c r="AG44" i="1"/>
  <c r="U41" i="7" s="1"/>
  <c r="AF44" i="1"/>
  <c r="T41" i="7" s="1"/>
  <c r="AE44" i="1"/>
  <c r="S41" i="7" s="1"/>
  <c r="AD44" i="1"/>
  <c r="R41" i="7" s="1"/>
  <c r="AC44" i="1"/>
  <c r="Q41" i="7" s="1"/>
  <c r="AB44" i="1"/>
  <c r="P41" i="7" s="1"/>
  <c r="AA44" i="1"/>
  <c r="O41" i="7" s="1"/>
  <c r="Z44" i="1"/>
  <c r="N41" i="7" s="1"/>
  <c r="Y44" i="1"/>
  <c r="M41" i="7" s="1"/>
  <c r="X44" i="1"/>
  <c r="L41" i="7" s="1"/>
  <c r="W44" i="1"/>
  <c r="K41" i="7" s="1"/>
  <c r="V44" i="1"/>
  <c r="J41" i="7" s="1"/>
  <c r="U44" i="1"/>
  <c r="I41" i="7" s="1"/>
  <c r="T44" i="1"/>
  <c r="H41" i="7" s="1"/>
  <c r="S44" i="1"/>
  <c r="G41" i="7" s="1"/>
  <c r="R44" i="1"/>
  <c r="F41" i="7" s="1"/>
  <c r="O44" i="1"/>
  <c r="CO43" i="1"/>
  <c r="CC40" i="7" s="1"/>
  <c r="CN43" i="1"/>
  <c r="CB40" i="7" s="1"/>
  <c r="CM43" i="1"/>
  <c r="CA40" i="7" s="1"/>
  <c r="CL43" i="1"/>
  <c r="BZ40" i="7" s="1"/>
  <c r="CK43" i="1"/>
  <c r="BY40" i="7" s="1"/>
  <c r="CJ43" i="1"/>
  <c r="BX40" i="7" s="1"/>
  <c r="CI43" i="1"/>
  <c r="BW40" i="7" s="1"/>
  <c r="CH43" i="1"/>
  <c r="BV40" i="7" s="1"/>
  <c r="CG43" i="1"/>
  <c r="BU40" i="7" s="1"/>
  <c r="CF43" i="1"/>
  <c r="BT40" i="7" s="1"/>
  <c r="CE43" i="1"/>
  <c r="BS40" i="7" s="1"/>
  <c r="CD43" i="1"/>
  <c r="BR40" i="7" s="1"/>
  <c r="CC43" i="1"/>
  <c r="BQ40" i="7" s="1"/>
  <c r="CB43" i="1"/>
  <c r="BP40" i="7" s="1"/>
  <c r="CA43" i="1"/>
  <c r="BO40" i="7" s="1"/>
  <c r="BZ43" i="1"/>
  <c r="BN40" i="7" s="1"/>
  <c r="BY43" i="1"/>
  <c r="BM40" i="7" s="1"/>
  <c r="BX43" i="1"/>
  <c r="BL40" i="7" s="1"/>
  <c r="BW43" i="1"/>
  <c r="BK40" i="7" s="1"/>
  <c r="BV43" i="1"/>
  <c r="BJ40" i="7" s="1"/>
  <c r="BU43" i="1"/>
  <c r="BI40" i="7" s="1"/>
  <c r="BT43" i="1"/>
  <c r="BH40" i="7" s="1"/>
  <c r="BS43" i="1"/>
  <c r="BG40" i="7" s="1"/>
  <c r="BR43" i="1"/>
  <c r="BF40" i="7" s="1"/>
  <c r="BQ43" i="1"/>
  <c r="BE40" i="7" s="1"/>
  <c r="BP43" i="1"/>
  <c r="BD40" i="7" s="1"/>
  <c r="BO43" i="1"/>
  <c r="BC40" i="7" s="1"/>
  <c r="BN43" i="1"/>
  <c r="BB40" i="7" s="1"/>
  <c r="BM43" i="1"/>
  <c r="BA40" i="7" s="1"/>
  <c r="BL43" i="1"/>
  <c r="AZ40" i="7" s="1"/>
  <c r="BK43" i="1"/>
  <c r="AY40" i="7" s="1"/>
  <c r="BJ43" i="1"/>
  <c r="AX40" i="7" s="1"/>
  <c r="BI43" i="1"/>
  <c r="AW40" i="7" s="1"/>
  <c r="BH43" i="1"/>
  <c r="AV40" i="7" s="1"/>
  <c r="BB43" i="1"/>
  <c r="AP40" i="7" s="1"/>
  <c r="AV43" i="1"/>
  <c r="AJ40" i="7" s="1"/>
  <c r="AU43" i="1"/>
  <c r="AI40" i="7" s="1"/>
  <c r="AT43" i="1"/>
  <c r="AH40" i="7" s="1"/>
  <c r="AS43" i="1"/>
  <c r="AG40" i="7" s="1"/>
  <c r="AR43" i="1"/>
  <c r="AF40" i="7" s="1"/>
  <c r="AQ43" i="1"/>
  <c r="AE40" i="7" s="1"/>
  <c r="AP43" i="1"/>
  <c r="AD40" i="7" s="1"/>
  <c r="AO43" i="1"/>
  <c r="AC40" i="7" s="1"/>
  <c r="AN43" i="1"/>
  <c r="AB40" i="7" s="1"/>
  <c r="AM43" i="1"/>
  <c r="AA40" i="7" s="1"/>
  <c r="AL43" i="1"/>
  <c r="Z40" i="7" s="1"/>
  <c r="AK43" i="1"/>
  <c r="Y40" i="7" s="1"/>
  <c r="AJ43" i="1"/>
  <c r="X40" i="7" s="1"/>
  <c r="AI43" i="1"/>
  <c r="W40" i="7" s="1"/>
  <c r="AH43" i="1"/>
  <c r="V40" i="7" s="1"/>
  <c r="AG43" i="1"/>
  <c r="U40" i="7" s="1"/>
  <c r="AF43" i="1"/>
  <c r="T40" i="7" s="1"/>
  <c r="AE43" i="1"/>
  <c r="S40" i="7" s="1"/>
  <c r="AD43" i="1"/>
  <c r="R40" i="7" s="1"/>
  <c r="AC43" i="1"/>
  <c r="Q40" i="7" s="1"/>
  <c r="AB43" i="1"/>
  <c r="P40" i="7" s="1"/>
  <c r="AA43" i="1"/>
  <c r="O40" i="7" s="1"/>
  <c r="Z43" i="1"/>
  <c r="N40" i="7" s="1"/>
  <c r="Y43" i="1"/>
  <c r="M40" i="7" s="1"/>
  <c r="X43" i="1"/>
  <c r="L40" i="7" s="1"/>
  <c r="W43" i="1"/>
  <c r="K40" i="7" s="1"/>
  <c r="V43" i="1"/>
  <c r="J40" i="7" s="1"/>
  <c r="U43" i="1"/>
  <c r="I40" i="7" s="1"/>
  <c r="T43" i="1"/>
  <c r="H40" i="7" s="1"/>
  <c r="S43" i="1"/>
  <c r="G40" i="7" s="1"/>
  <c r="R43" i="1"/>
  <c r="F40" i="7" s="1"/>
  <c r="O43" i="1"/>
  <c r="O42" i="1"/>
  <c r="AV39" i="1" s="1"/>
  <c r="AJ36" i="7" s="1"/>
  <c r="M42" i="1"/>
  <c r="M41" i="1"/>
  <c r="CO40" i="1"/>
  <c r="CC37" i="7" s="1"/>
  <c r="CN40" i="1"/>
  <c r="CB37" i="7" s="1"/>
  <c r="CM40" i="1"/>
  <c r="CA37" i="7" s="1"/>
  <c r="CL40" i="1"/>
  <c r="BZ37" i="7" s="1"/>
  <c r="CK40" i="1"/>
  <c r="BY37" i="7" s="1"/>
  <c r="CJ40" i="1"/>
  <c r="BX37" i="7" s="1"/>
  <c r="CI40" i="1"/>
  <c r="BW37" i="7" s="1"/>
  <c r="CH40" i="1"/>
  <c r="BV37" i="7" s="1"/>
  <c r="CG40" i="1"/>
  <c r="BU37" i="7" s="1"/>
  <c r="CF40" i="1"/>
  <c r="BT37" i="7" s="1"/>
  <c r="CE40" i="1"/>
  <c r="BS37" i="7" s="1"/>
  <c r="CD40" i="1"/>
  <c r="BR37" i="7" s="1"/>
  <c r="CC40" i="1"/>
  <c r="BQ37" i="7" s="1"/>
  <c r="CB40" i="1"/>
  <c r="BP37" i="7" s="1"/>
  <c r="CA40" i="1"/>
  <c r="BO37" i="7" s="1"/>
  <c r="BZ40" i="1"/>
  <c r="BN37" i="7" s="1"/>
  <c r="BY40" i="1"/>
  <c r="BM37" i="7" s="1"/>
  <c r="BX40" i="1"/>
  <c r="BL37" i="7" s="1"/>
  <c r="BW40" i="1"/>
  <c r="BK37" i="7" s="1"/>
  <c r="BV40" i="1"/>
  <c r="BJ37" i="7" s="1"/>
  <c r="BU40" i="1"/>
  <c r="BI37" i="7" s="1"/>
  <c r="BT40" i="1"/>
  <c r="BH37" i="7" s="1"/>
  <c r="BS40" i="1"/>
  <c r="BG37" i="7" s="1"/>
  <c r="BR40" i="1"/>
  <c r="BF37" i="7" s="1"/>
  <c r="BQ40" i="1"/>
  <c r="BE37" i="7" s="1"/>
  <c r="BP40" i="1"/>
  <c r="BD37" i="7" s="1"/>
  <c r="BO40" i="1"/>
  <c r="BC37" i="7" s="1"/>
  <c r="BN40" i="1"/>
  <c r="BB37" i="7" s="1"/>
  <c r="BM40" i="1"/>
  <c r="BA37" i="7" s="1"/>
  <c r="BL40" i="1"/>
  <c r="AZ37" i="7" s="1"/>
  <c r="BK40" i="1"/>
  <c r="AY37" i="7" s="1"/>
  <c r="BJ40" i="1"/>
  <c r="AX37" i="7" s="1"/>
  <c r="BI40" i="1"/>
  <c r="AW37" i="7" s="1"/>
  <c r="BH40" i="1"/>
  <c r="AV37" i="7" s="1"/>
  <c r="BG40" i="1"/>
  <c r="AU37" i="7" s="1"/>
  <c r="BF40" i="1"/>
  <c r="AT37" i="7" s="1"/>
  <c r="BE40" i="1"/>
  <c r="AS37" i="7" s="1"/>
  <c r="BD40" i="1"/>
  <c r="AR37" i="7" s="1"/>
  <c r="BC40" i="1"/>
  <c r="AQ37" i="7" s="1"/>
  <c r="BB40" i="1"/>
  <c r="AP37" i="7" s="1"/>
  <c r="BA40" i="1"/>
  <c r="AO37" i="7" s="1"/>
  <c r="AZ40" i="1"/>
  <c r="AN37" i="7" s="1"/>
  <c r="AY40" i="1"/>
  <c r="AM37" i="7" s="1"/>
  <c r="AX40" i="1"/>
  <c r="AL37" i="7" s="1"/>
  <c r="AW40" i="1"/>
  <c r="AK37" i="7" s="1"/>
  <c r="AV40" i="1"/>
  <c r="AJ37" i="7" s="1"/>
  <c r="AU40" i="1"/>
  <c r="AI37" i="7" s="1"/>
  <c r="AT40" i="1"/>
  <c r="AH37" i="7" s="1"/>
  <c r="AS40" i="1"/>
  <c r="AG37" i="7" s="1"/>
  <c r="AR40" i="1"/>
  <c r="AF37" i="7" s="1"/>
  <c r="AQ40" i="1"/>
  <c r="AE37" i="7" s="1"/>
  <c r="AP40" i="1"/>
  <c r="AD37" i="7" s="1"/>
  <c r="AO40" i="1"/>
  <c r="AC37" i="7" s="1"/>
  <c r="AN40" i="1"/>
  <c r="AB37" i="7" s="1"/>
  <c r="AM40" i="1"/>
  <c r="AA37" i="7" s="1"/>
  <c r="AL40" i="1"/>
  <c r="Z37" i="7" s="1"/>
  <c r="AK40" i="1"/>
  <c r="Y37" i="7" s="1"/>
  <c r="AJ40" i="1"/>
  <c r="X37" i="7" s="1"/>
  <c r="AI40" i="1"/>
  <c r="W37" i="7" s="1"/>
  <c r="AH40" i="1"/>
  <c r="V37" i="7" s="1"/>
  <c r="AG40" i="1"/>
  <c r="U37" i="7" s="1"/>
  <c r="AF40" i="1"/>
  <c r="T37" i="7" s="1"/>
  <c r="AE40" i="1"/>
  <c r="S37" i="7" s="1"/>
  <c r="AD40" i="1"/>
  <c r="R37" i="7" s="1"/>
  <c r="AC40" i="1"/>
  <c r="Q37" i="7" s="1"/>
  <c r="AB40" i="1"/>
  <c r="P37" i="7" s="1"/>
  <c r="AA40" i="1"/>
  <c r="O37" i="7" s="1"/>
  <c r="Z40" i="1"/>
  <c r="N37" i="7" s="1"/>
  <c r="Y40" i="1"/>
  <c r="M37" i="7" s="1"/>
  <c r="X40" i="1"/>
  <c r="L37" i="7" s="1"/>
  <c r="W40" i="1"/>
  <c r="K37" i="7" s="1"/>
  <c r="V40" i="1"/>
  <c r="J37" i="7" s="1"/>
  <c r="U40" i="1"/>
  <c r="I37" i="7" s="1"/>
  <c r="T40" i="1"/>
  <c r="H37" i="7" s="1"/>
  <c r="S40" i="1"/>
  <c r="G37" i="7" s="1"/>
  <c r="R40" i="1"/>
  <c r="F37" i="7" s="1"/>
  <c r="E37" i="7" s="1"/>
  <c r="CO39" i="1"/>
  <c r="CC36" i="7" s="1"/>
  <c r="CN39" i="1"/>
  <c r="CB36" i="7" s="1"/>
  <c r="CM39" i="1"/>
  <c r="CA36" i="7" s="1"/>
  <c r="CL39" i="1"/>
  <c r="BZ36" i="7" s="1"/>
  <c r="CK39" i="1"/>
  <c r="BY36" i="7" s="1"/>
  <c r="CJ39" i="1"/>
  <c r="BX36" i="7" s="1"/>
  <c r="CI39" i="1"/>
  <c r="BW36" i="7" s="1"/>
  <c r="CH39" i="1"/>
  <c r="BV36" i="7" s="1"/>
  <c r="CG39" i="1"/>
  <c r="BU36" i="7" s="1"/>
  <c r="CF39" i="1"/>
  <c r="BT36" i="7" s="1"/>
  <c r="CE39" i="1"/>
  <c r="BS36" i="7" s="1"/>
  <c r="CD39" i="1"/>
  <c r="BR36" i="7" s="1"/>
  <c r="CC39" i="1"/>
  <c r="BQ36" i="7" s="1"/>
  <c r="CB39" i="1"/>
  <c r="BP36" i="7" s="1"/>
  <c r="CA39" i="1"/>
  <c r="BO36" i="7" s="1"/>
  <c r="BZ39" i="1"/>
  <c r="BN36" i="7" s="1"/>
  <c r="BY39" i="1"/>
  <c r="BM36" i="7" s="1"/>
  <c r="BX39" i="1"/>
  <c r="BL36" i="7" s="1"/>
  <c r="BW39" i="1"/>
  <c r="BK36" i="7" s="1"/>
  <c r="BV39" i="1"/>
  <c r="BJ36" i="7" s="1"/>
  <c r="BU39" i="1"/>
  <c r="BI36" i="7" s="1"/>
  <c r="BT39" i="1"/>
  <c r="BH36" i="7" s="1"/>
  <c r="BS39" i="1"/>
  <c r="BG36" i="7" s="1"/>
  <c r="BR39" i="1"/>
  <c r="BF36" i="7" s="1"/>
  <c r="BQ39" i="1"/>
  <c r="BE36" i="7" s="1"/>
  <c r="BP39" i="1"/>
  <c r="BD36" i="7" s="1"/>
  <c r="BO39" i="1"/>
  <c r="BC36" i="7" s="1"/>
  <c r="BN39" i="1"/>
  <c r="BB36" i="7" s="1"/>
  <c r="BM39" i="1"/>
  <c r="BA36" i="7" s="1"/>
  <c r="BL39" i="1"/>
  <c r="AZ36" i="7" s="1"/>
  <c r="BK39" i="1"/>
  <c r="AY36" i="7" s="1"/>
  <c r="BJ39" i="1"/>
  <c r="AX36" i="7" s="1"/>
  <c r="BI39" i="1"/>
  <c r="AW36" i="7" s="1"/>
  <c r="BH39" i="1"/>
  <c r="AV36" i="7" s="1"/>
  <c r="BG39" i="1"/>
  <c r="AU36" i="7" s="1"/>
  <c r="BF39" i="1"/>
  <c r="AT36" i="7" s="1"/>
  <c r="BE39" i="1"/>
  <c r="AS36" i="7" s="1"/>
  <c r="BD39" i="1"/>
  <c r="AR36" i="7" s="1"/>
  <c r="BC39" i="1"/>
  <c r="AQ36" i="7" s="1"/>
  <c r="BB39" i="1"/>
  <c r="AP36" i="7" s="1"/>
  <c r="BA39" i="1"/>
  <c r="AO36" i="7" s="1"/>
  <c r="AZ39" i="1"/>
  <c r="AN36" i="7" s="1"/>
  <c r="AY39" i="1"/>
  <c r="AM36" i="7" s="1"/>
  <c r="AX39" i="1"/>
  <c r="AL36" i="7" s="1"/>
  <c r="AW39" i="1"/>
  <c r="AK36" i="7" s="1"/>
  <c r="AU39" i="1"/>
  <c r="AI36" i="7" s="1"/>
  <c r="AS39" i="1"/>
  <c r="AG36" i="7" s="1"/>
  <c r="AR39" i="1"/>
  <c r="AF36" i="7" s="1"/>
  <c r="AQ39" i="1"/>
  <c r="AE36" i="7" s="1"/>
  <c r="AP39" i="1"/>
  <c r="AD36" i="7" s="1"/>
  <c r="AO39" i="1"/>
  <c r="AC36" i="7" s="1"/>
  <c r="AN39" i="1"/>
  <c r="AB36" i="7" s="1"/>
  <c r="AM39" i="1"/>
  <c r="AA36" i="7" s="1"/>
  <c r="AL39" i="1"/>
  <c r="Z36" i="7" s="1"/>
  <c r="AK39" i="1"/>
  <c r="Y36" i="7" s="1"/>
  <c r="AJ39" i="1"/>
  <c r="X36" i="7" s="1"/>
  <c r="AI39" i="1"/>
  <c r="W36" i="7" s="1"/>
  <c r="AH39" i="1"/>
  <c r="V36" i="7" s="1"/>
  <c r="AG39" i="1"/>
  <c r="U36" i="7" s="1"/>
  <c r="AF39" i="1"/>
  <c r="T36" i="7" s="1"/>
  <c r="AE39" i="1"/>
  <c r="S36" i="7" s="1"/>
  <c r="AD39" i="1"/>
  <c r="R36" i="7" s="1"/>
  <c r="AC39" i="1"/>
  <c r="Q36" i="7" s="1"/>
  <c r="AB39" i="1"/>
  <c r="P36" i="7" s="1"/>
  <c r="AA39" i="1"/>
  <c r="O36" i="7" s="1"/>
  <c r="Z39" i="1"/>
  <c r="N36" i="7" s="1"/>
  <c r="Y39" i="1"/>
  <c r="M36" i="7" s="1"/>
  <c r="X39" i="1"/>
  <c r="L36" i="7" s="1"/>
  <c r="W39" i="1"/>
  <c r="K36" i="7" s="1"/>
  <c r="V39" i="1"/>
  <c r="J36" i="7" s="1"/>
  <c r="U39" i="1"/>
  <c r="I36" i="7" s="1"/>
  <c r="T39" i="1"/>
  <c r="H36" i="7" s="1"/>
  <c r="S39" i="1"/>
  <c r="G36" i="7" s="1"/>
  <c r="R39" i="1"/>
  <c r="F36" i="7" s="1"/>
  <c r="O39" i="1"/>
  <c r="CO38" i="1"/>
  <c r="CC35" i="7" s="1"/>
  <c r="CN38" i="1"/>
  <c r="CB35" i="7" s="1"/>
  <c r="CM38" i="1"/>
  <c r="CA35" i="7" s="1"/>
  <c r="CL38" i="1"/>
  <c r="BZ35" i="7" s="1"/>
  <c r="CK38" i="1"/>
  <c r="BY35" i="7" s="1"/>
  <c r="CJ38" i="1"/>
  <c r="BX35" i="7" s="1"/>
  <c r="CI38" i="1"/>
  <c r="BW35" i="7" s="1"/>
  <c r="CH38" i="1"/>
  <c r="BV35" i="7" s="1"/>
  <c r="CG38" i="1"/>
  <c r="BU35" i="7" s="1"/>
  <c r="CF38" i="1"/>
  <c r="BT35" i="7" s="1"/>
  <c r="CE38" i="1"/>
  <c r="BS35" i="7" s="1"/>
  <c r="CD38" i="1"/>
  <c r="BR35" i="7" s="1"/>
  <c r="CC38" i="1"/>
  <c r="BQ35" i="7" s="1"/>
  <c r="CB38" i="1"/>
  <c r="BP35" i="7" s="1"/>
  <c r="CA38" i="1"/>
  <c r="BO35" i="7" s="1"/>
  <c r="BZ38" i="1"/>
  <c r="BN35" i="7" s="1"/>
  <c r="BY38" i="1"/>
  <c r="BM35" i="7" s="1"/>
  <c r="BX38" i="1"/>
  <c r="BL35" i="7" s="1"/>
  <c r="BW38" i="1"/>
  <c r="BK35" i="7" s="1"/>
  <c r="BV38" i="1"/>
  <c r="BJ35" i="7" s="1"/>
  <c r="BU38" i="1"/>
  <c r="BI35" i="7" s="1"/>
  <c r="BT38" i="1"/>
  <c r="BH35" i="7" s="1"/>
  <c r="BS38" i="1"/>
  <c r="BG35" i="7" s="1"/>
  <c r="BR38" i="1"/>
  <c r="BF35" i="7" s="1"/>
  <c r="BQ38" i="1"/>
  <c r="BE35" i="7" s="1"/>
  <c r="BP38" i="1"/>
  <c r="BD35" i="7" s="1"/>
  <c r="BO38" i="1"/>
  <c r="BC35" i="7" s="1"/>
  <c r="BN38" i="1"/>
  <c r="BB35" i="7" s="1"/>
  <c r="BM38" i="1"/>
  <c r="BA35" i="7" s="1"/>
  <c r="BL38" i="1"/>
  <c r="AZ35" i="7" s="1"/>
  <c r="BK38" i="1"/>
  <c r="AY35" i="7" s="1"/>
  <c r="BJ38" i="1"/>
  <c r="AX35" i="7" s="1"/>
  <c r="BI38" i="1"/>
  <c r="AW35" i="7" s="1"/>
  <c r="BH38" i="1"/>
  <c r="AV35" i="7" s="1"/>
  <c r="BG38" i="1"/>
  <c r="AU35" i="7" s="1"/>
  <c r="BF38" i="1"/>
  <c r="AT35" i="7" s="1"/>
  <c r="BE38" i="1"/>
  <c r="AS35" i="7" s="1"/>
  <c r="BD38" i="1"/>
  <c r="AR35" i="7" s="1"/>
  <c r="BC38" i="1"/>
  <c r="AQ35" i="7" s="1"/>
  <c r="BB38" i="1"/>
  <c r="AP35" i="7" s="1"/>
  <c r="BA38" i="1"/>
  <c r="AO35" i="7" s="1"/>
  <c r="AZ38" i="1"/>
  <c r="AN35" i="7" s="1"/>
  <c r="AY38" i="1"/>
  <c r="AM35" i="7" s="1"/>
  <c r="AX38" i="1"/>
  <c r="AL35" i="7" s="1"/>
  <c r="AW38" i="1"/>
  <c r="AK35" i="7" s="1"/>
  <c r="AV38" i="1"/>
  <c r="AJ35" i="7" s="1"/>
  <c r="AU38" i="1"/>
  <c r="AI35" i="7" s="1"/>
  <c r="AT38" i="1"/>
  <c r="AH35" i="7" s="1"/>
  <c r="AS38" i="1"/>
  <c r="AG35" i="7" s="1"/>
  <c r="AR38" i="1"/>
  <c r="AF35" i="7" s="1"/>
  <c r="AQ38" i="1"/>
  <c r="AE35" i="7" s="1"/>
  <c r="AP38" i="1"/>
  <c r="AD35" i="7" s="1"/>
  <c r="AO38" i="1"/>
  <c r="AC35" i="7" s="1"/>
  <c r="AN38" i="1"/>
  <c r="AB35" i="7" s="1"/>
  <c r="AM38" i="1"/>
  <c r="AA35" i="7" s="1"/>
  <c r="AL38" i="1"/>
  <c r="Z35" i="7" s="1"/>
  <c r="AK38" i="1"/>
  <c r="Y35" i="7" s="1"/>
  <c r="AJ38" i="1"/>
  <c r="X35" i="7" s="1"/>
  <c r="AI38" i="1"/>
  <c r="W35" i="7" s="1"/>
  <c r="AH38" i="1"/>
  <c r="V35" i="7" s="1"/>
  <c r="AG38" i="1"/>
  <c r="U35" i="7" s="1"/>
  <c r="AF38" i="1"/>
  <c r="T35" i="7" s="1"/>
  <c r="AE38" i="1"/>
  <c r="S35" i="7" s="1"/>
  <c r="AD38" i="1"/>
  <c r="R35" i="7" s="1"/>
  <c r="AC38" i="1"/>
  <c r="Q35" i="7" s="1"/>
  <c r="AB38" i="1"/>
  <c r="P35" i="7" s="1"/>
  <c r="AA38" i="1"/>
  <c r="O35" i="7" s="1"/>
  <c r="Z38" i="1"/>
  <c r="N35" i="7" s="1"/>
  <c r="Y38" i="1"/>
  <c r="M35" i="7" s="1"/>
  <c r="X38" i="1"/>
  <c r="L35" i="7" s="1"/>
  <c r="W38" i="1"/>
  <c r="K35" i="7" s="1"/>
  <c r="V38" i="1"/>
  <c r="J35" i="7" s="1"/>
  <c r="U38" i="1"/>
  <c r="I35" i="7" s="1"/>
  <c r="T38" i="1"/>
  <c r="H35" i="7" s="1"/>
  <c r="S38" i="1"/>
  <c r="G35" i="7" s="1"/>
  <c r="R38" i="1"/>
  <c r="F35" i="7" s="1"/>
  <c r="CO37" i="1"/>
  <c r="CC34" i="7" s="1"/>
  <c r="CN37" i="1"/>
  <c r="CB34" i="7" s="1"/>
  <c r="CM37" i="1"/>
  <c r="CA34" i="7" s="1"/>
  <c r="CL37" i="1"/>
  <c r="BZ34" i="7" s="1"/>
  <c r="CK37" i="1"/>
  <c r="BY34" i="7" s="1"/>
  <c r="CJ37" i="1"/>
  <c r="BX34" i="7" s="1"/>
  <c r="CI37" i="1"/>
  <c r="BW34" i="7" s="1"/>
  <c r="CH37" i="1"/>
  <c r="BV34" i="7" s="1"/>
  <c r="CG37" i="1"/>
  <c r="BU34" i="7" s="1"/>
  <c r="CF37" i="1"/>
  <c r="BT34" i="7" s="1"/>
  <c r="CE37" i="1"/>
  <c r="BS34" i="7" s="1"/>
  <c r="CD37" i="1"/>
  <c r="BR34" i="7" s="1"/>
  <c r="CC37" i="1"/>
  <c r="BQ34" i="7" s="1"/>
  <c r="CB37" i="1"/>
  <c r="BP34" i="7" s="1"/>
  <c r="CA37" i="1"/>
  <c r="BO34" i="7" s="1"/>
  <c r="BZ37" i="1"/>
  <c r="BN34" i="7" s="1"/>
  <c r="BY37" i="1"/>
  <c r="BM34" i="7" s="1"/>
  <c r="BX37" i="1"/>
  <c r="BL34" i="7" s="1"/>
  <c r="BW37" i="1"/>
  <c r="BK34" i="7" s="1"/>
  <c r="AR37" i="1"/>
  <c r="AF34" i="7" s="1"/>
  <c r="AQ37" i="1"/>
  <c r="AE34" i="7" s="1"/>
  <c r="AP37" i="1"/>
  <c r="AD34" i="7" s="1"/>
  <c r="AO37" i="1"/>
  <c r="AC34" i="7" s="1"/>
  <c r="AN37" i="1"/>
  <c r="AB34" i="7" s="1"/>
  <c r="AM37" i="1"/>
  <c r="AA34" i="7" s="1"/>
  <c r="AL37" i="1"/>
  <c r="Z34" i="7" s="1"/>
  <c r="AK37" i="1"/>
  <c r="Y34" i="7" s="1"/>
  <c r="AJ37" i="1"/>
  <c r="X34" i="7" s="1"/>
  <c r="AI37" i="1"/>
  <c r="W34" i="7" s="1"/>
  <c r="AH37" i="1"/>
  <c r="V34" i="7" s="1"/>
  <c r="AG37" i="1"/>
  <c r="U34" i="7" s="1"/>
  <c r="AF37" i="1"/>
  <c r="T34" i="7" s="1"/>
  <c r="AE37" i="1"/>
  <c r="S34" i="7" s="1"/>
  <c r="AD37" i="1"/>
  <c r="R34" i="7" s="1"/>
  <c r="AC37" i="1"/>
  <c r="Q34" i="7" s="1"/>
  <c r="AB37" i="1"/>
  <c r="P34" i="7" s="1"/>
  <c r="AA37" i="1"/>
  <c r="O34" i="7" s="1"/>
  <c r="Z37" i="1"/>
  <c r="N34" i="7" s="1"/>
  <c r="Y37" i="1"/>
  <c r="M34" i="7" s="1"/>
  <c r="X37" i="1"/>
  <c r="L34" i="7" s="1"/>
  <c r="W37" i="1"/>
  <c r="K34" i="7" s="1"/>
  <c r="V37" i="1"/>
  <c r="J34" i="7" s="1"/>
  <c r="U37" i="1"/>
  <c r="I34" i="7" s="1"/>
  <c r="T37" i="1"/>
  <c r="H34" i="7" s="1"/>
  <c r="S37" i="1"/>
  <c r="G34" i="7" s="1"/>
  <c r="R37" i="1"/>
  <c r="F34" i="7" s="1"/>
  <c r="O37" i="1"/>
  <c r="C34" i="7" s="1"/>
  <c r="O36" i="1"/>
  <c r="M36" i="1"/>
  <c r="M35" i="1"/>
  <c r="O34" i="1"/>
  <c r="M34" i="1"/>
  <c r="M33" i="1"/>
  <c r="O32" i="1"/>
  <c r="AU27" i="1" s="1"/>
  <c r="AI24" i="7" s="1"/>
  <c r="M32" i="1"/>
  <c r="M31" i="1"/>
  <c r="O30" i="1"/>
  <c r="M30" i="1"/>
  <c r="M29" i="1"/>
  <c r="CO28" i="1"/>
  <c r="CC25" i="7" s="1"/>
  <c r="CN28" i="1"/>
  <c r="CB25" i="7" s="1"/>
  <c r="CM28" i="1"/>
  <c r="CA25" i="7" s="1"/>
  <c r="CL28" i="1"/>
  <c r="BZ25" i="7" s="1"/>
  <c r="CK28" i="1"/>
  <c r="BY25" i="7" s="1"/>
  <c r="CJ28" i="1"/>
  <c r="BX25" i="7" s="1"/>
  <c r="CI28" i="1"/>
  <c r="BW25" i="7" s="1"/>
  <c r="CH28" i="1"/>
  <c r="BV25" i="7" s="1"/>
  <c r="CG28" i="1"/>
  <c r="BU25" i="7" s="1"/>
  <c r="CF28" i="1"/>
  <c r="BT25" i="7" s="1"/>
  <c r="CE28" i="1"/>
  <c r="BS25" i="7" s="1"/>
  <c r="CD28" i="1"/>
  <c r="BR25" i="7" s="1"/>
  <c r="CC28" i="1"/>
  <c r="BQ25" i="7" s="1"/>
  <c r="CB28" i="1"/>
  <c r="BP25" i="7" s="1"/>
  <c r="CA28" i="1"/>
  <c r="BO25" i="7" s="1"/>
  <c r="BZ28" i="1"/>
  <c r="BN25" i="7" s="1"/>
  <c r="BY28" i="1"/>
  <c r="BM25" i="7" s="1"/>
  <c r="BX28" i="1"/>
  <c r="BL25" i="7" s="1"/>
  <c r="BW28" i="1"/>
  <c r="BK25" i="7" s="1"/>
  <c r="BV28" i="1"/>
  <c r="BJ25" i="7" s="1"/>
  <c r="BU28" i="1"/>
  <c r="BI25" i="7" s="1"/>
  <c r="BT28" i="1"/>
  <c r="BH25" i="7" s="1"/>
  <c r="BS28" i="1"/>
  <c r="BG25" i="7" s="1"/>
  <c r="BR28" i="1"/>
  <c r="BF25" i="7" s="1"/>
  <c r="BQ28" i="1"/>
  <c r="BE25" i="7" s="1"/>
  <c r="BP28" i="1"/>
  <c r="BD25" i="7" s="1"/>
  <c r="BO28" i="1"/>
  <c r="BC25" i="7" s="1"/>
  <c r="BN28" i="1"/>
  <c r="BB25" i="7" s="1"/>
  <c r="BM28" i="1"/>
  <c r="BA25" i="7" s="1"/>
  <c r="BL28" i="1"/>
  <c r="AZ25" i="7" s="1"/>
  <c r="BK28" i="1"/>
  <c r="AY25" i="7" s="1"/>
  <c r="BJ28" i="1"/>
  <c r="AX25" i="7" s="1"/>
  <c r="BI28" i="1"/>
  <c r="AW25" i="7" s="1"/>
  <c r="BH28" i="1"/>
  <c r="AV25" i="7" s="1"/>
  <c r="BG28" i="1"/>
  <c r="AU25" i="7" s="1"/>
  <c r="BF28" i="1"/>
  <c r="AT25" i="7" s="1"/>
  <c r="BE28" i="1"/>
  <c r="AS25" i="7" s="1"/>
  <c r="BD28" i="1"/>
  <c r="AR25" i="7" s="1"/>
  <c r="BC28" i="1"/>
  <c r="AQ25" i="7" s="1"/>
  <c r="BB28" i="1"/>
  <c r="AP25" i="7" s="1"/>
  <c r="BA28" i="1"/>
  <c r="AO25" i="7" s="1"/>
  <c r="AZ28" i="1"/>
  <c r="AN25" i="7" s="1"/>
  <c r="AY28" i="1"/>
  <c r="AM25" i="7" s="1"/>
  <c r="AX28" i="1"/>
  <c r="AL25" i="7" s="1"/>
  <c r="AW28" i="1"/>
  <c r="AK25" i="7" s="1"/>
  <c r="AV28" i="1"/>
  <c r="AJ25" i="7" s="1"/>
  <c r="AU28" i="1"/>
  <c r="AI25" i="7" s="1"/>
  <c r="AT28" i="1"/>
  <c r="AH25" i="7" s="1"/>
  <c r="AS28" i="1"/>
  <c r="AG25" i="7" s="1"/>
  <c r="AR28" i="1"/>
  <c r="AF25" i="7" s="1"/>
  <c r="AQ28" i="1"/>
  <c r="AE25" i="7" s="1"/>
  <c r="AP28" i="1"/>
  <c r="AD25" i="7" s="1"/>
  <c r="AO28" i="1"/>
  <c r="AC25" i="7" s="1"/>
  <c r="AN28" i="1"/>
  <c r="AB25" i="7" s="1"/>
  <c r="AM28" i="1"/>
  <c r="AA25" i="7" s="1"/>
  <c r="AL28" i="1"/>
  <c r="Z25" i="7" s="1"/>
  <c r="AK28" i="1"/>
  <c r="Y25" i="7" s="1"/>
  <c r="AJ28" i="1"/>
  <c r="X25" i="7" s="1"/>
  <c r="AI28" i="1"/>
  <c r="W25" i="7" s="1"/>
  <c r="AH28" i="1"/>
  <c r="V25" i="7" s="1"/>
  <c r="AG28" i="1"/>
  <c r="U25" i="7" s="1"/>
  <c r="AF28" i="1"/>
  <c r="T25" i="7" s="1"/>
  <c r="AE28" i="1"/>
  <c r="S25" i="7" s="1"/>
  <c r="AD28" i="1"/>
  <c r="R25" i="7" s="1"/>
  <c r="AC28" i="1"/>
  <c r="Q25" i="7" s="1"/>
  <c r="AB28" i="1"/>
  <c r="P25" i="7" s="1"/>
  <c r="AA28" i="1"/>
  <c r="O25" i="7" s="1"/>
  <c r="Z28" i="1"/>
  <c r="N25" i="7" s="1"/>
  <c r="Y28" i="1"/>
  <c r="M25" i="7" s="1"/>
  <c r="X28" i="1"/>
  <c r="L25" i="7" s="1"/>
  <c r="W28" i="1"/>
  <c r="K25" i="7" s="1"/>
  <c r="V28" i="1"/>
  <c r="J25" i="7" s="1"/>
  <c r="U28" i="1"/>
  <c r="I25" i="7" s="1"/>
  <c r="T28" i="1"/>
  <c r="H25" i="7" s="1"/>
  <c r="S28" i="1"/>
  <c r="G25" i="7" s="1"/>
  <c r="R28" i="1"/>
  <c r="F25" i="7" s="1"/>
  <c r="CO27" i="1"/>
  <c r="CC24" i="7" s="1"/>
  <c r="CN27" i="1"/>
  <c r="CB24" i="7" s="1"/>
  <c r="CM27" i="1"/>
  <c r="CA24" i="7" s="1"/>
  <c r="CL27" i="1"/>
  <c r="BZ24" i="7" s="1"/>
  <c r="CK27" i="1"/>
  <c r="BY24" i="7" s="1"/>
  <c r="CJ27" i="1"/>
  <c r="BX24" i="7" s="1"/>
  <c r="CI27" i="1"/>
  <c r="BW24" i="7" s="1"/>
  <c r="CH27" i="1"/>
  <c r="BV24" i="7" s="1"/>
  <c r="CG27" i="1"/>
  <c r="BU24" i="7" s="1"/>
  <c r="CF27" i="1"/>
  <c r="BT24" i="7" s="1"/>
  <c r="CE27" i="1"/>
  <c r="BS24" i="7" s="1"/>
  <c r="CD27" i="1"/>
  <c r="BR24" i="7" s="1"/>
  <c r="CC27" i="1"/>
  <c r="BQ24" i="7" s="1"/>
  <c r="CB27" i="1"/>
  <c r="BP24" i="7" s="1"/>
  <c r="CA27" i="1"/>
  <c r="BO24" i="7" s="1"/>
  <c r="BZ27" i="1"/>
  <c r="BN24" i="7" s="1"/>
  <c r="BY27" i="1"/>
  <c r="BM24" i="7" s="1"/>
  <c r="BX27" i="1"/>
  <c r="BL24" i="7" s="1"/>
  <c r="BW27" i="1"/>
  <c r="BK24" i="7" s="1"/>
  <c r="BV27" i="1"/>
  <c r="BJ24" i="7" s="1"/>
  <c r="BU27" i="1"/>
  <c r="BI24" i="7" s="1"/>
  <c r="BT27" i="1"/>
  <c r="BH24" i="7" s="1"/>
  <c r="BS27" i="1"/>
  <c r="BG24" i="7" s="1"/>
  <c r="BR27" i="1"/>
  <c r="BF24" i="7" s="1"/>
  <c r="BQ27" i="1"/>
  <c r="BE24" i="7" s="1"/>
  <c r="BP27" i="1"/>
  <c r="BD24" i="7" s="1"/>
  <c r="BO27" i="1"/>
  <c r="BC24" i="7" s="1"/>
  <c r="BN27" i="1"/>
  <c r="BB24" i="7" s="1"/>
  <c r="BM27" i="1"/>
  <c r="BA24" i="7" s="1"/>
  <c r="BL27" i="1"/>
  <c r="AZ24" i="7" s="1"/>
  <c r="BK27" i="1"/>
  <c r="AY24" i="7" s="1"/>
  <c r="BJ27" i="1"/>
  <c r="AX24" i="7" s="1"/>
  <c r="BI27" i="1"/>
  <c r="AW24" i="7" s="1"/>
  <c r="BH27" i="1"/>
  <c r="AV24" i="7" s="1"/>
  <c r="BG27" i="1"/>
  <c r="AU24" i="7" s="1"/>
  <c r="BF27" i="1"/>
  <c r="AT24" i="7" s="1"/>
  <c r="BE27" i="1"/>
  <c r="AS24" i="7" s="1"/>
  <c r="BD27" i="1"/>
  <c r="AR24" i="7" s="1"/>
  <c r="BC27" i="1"/>
  <c r="AQ24" i="7" s="1"/>
  <c r="BB27" i="1"/>
  <c r="AP24" i="7" s="1"/>
  <c r="BA27" i="1"/>
  <c r="AO24" i="7" s="1"/>
  <c r="AZ27" i="1"/>
  <c r="AN24" i="7" s="1"/>
  <c r="AY27" i="1"/>
  <c r="AM24" i="7" s="1"/>
  <c r="AP27" i="1"/>
  <c r="AD24" i="7" s="1"/>
  <c r="AO27" i="1"/>
  <c r="AC24" i="7" s="1"/>
  <c r="AN27" i="1"/>
  <c r="AB24" i="7" s="1"/>
  <c r="AM27" i="1"/>
  <c r="AA24" i="7" s="1"/>
  <c r="AL27" i="1"/>
  <c r="Z24" i="7" s="1"/>
  <c r="AK27" i="1"/>
  <c r="Y24" i="7" s="1"/>
  <c r="AJ27" i="1"/>
  <c r="X24" i="7" s="1"/>
  <c r="AI27" i="1"/>
  <c r="W24" i="7" s="1"/>
  <c r="AH27" i="1"/>
  <c r="V24" i="7" s="1"/>
  <c r="AG27" i="1"/>
  <c r="U24" i="7" s="1"/>
  <c r="AF27" i="1"/>
  <c r="T24" i="7" s="1"/>
  <c r="AE27" i="1"/>
  <c r="S24" i="7" s="1"/>
  <c r="AD27" i="1"/>
  <c r="R24" i="7" s="1"/>
  <c r="AC27" i="1"/>
  <c r="Q24" i="7" s="1"/>
  <c r="AB27" i="1"/>
  <c r="P24" i="7" s="1"/>
  <c r="AA27" i="1"/>
  <c r="O24" i="7" s="1"/>
  <c r="Z27" i="1"/>
  <c r="N24" i="7" s="1"/>
  <c r="Y27" i="1"/>
  <c r="M24" i="7" s="1"/>
  <c r="X27" i="1"/>
  <c r="L24" i="7" s="1"/>
  <c r="W27" i="1"/>
  <c r="K24" i="7" s="1"/>
  <c r="V27" i="1"/>
  <c r="J24" i="7" s="1"/>
  <c r="U27" i="1"/>
  <c r="I24" i="7" s="1"/>
  <c r="T27" i="1"/>
  <c r="H24" i="7" s="1"/>
  <c r="S27" i="1"/>
  <c r="G24" i="7" s="1"/>
  <c r="R27" i="1"/>
  <c r="F24" i="7" s="1"/>
  <c r="O27" i="1"/>
  <c r="O26" i="1"/>
  <c r="M26" i="1"/>
  <c r="M25" i="1"/>
  <c r="O24" i="1"/>
  <c r="M24" i="1"/>
  <c r="M23" i="1"/>
  <c r="O22" i="1"/>
  <c r="M22" i="1"/>
  <c r="M21" i="1"/>
  <c r="O20" i="1"/>
  <c r="M20" i="1"/>
  <c r="M19" i="1"/>
  <c r="O18" i="1"/>
  <c r="M18" i="1"/>
  <c r="M17" i="1"/>
  <c r="O16" i="1"/>
  <c r="AI13" i="1" s="1"/>
  <c r="W10" i="7" s="1"/>
  <c r="M16" i="1"/>
  <c r="M15" i="1"/>
  <c r="CO14" i="1"/>
  <c r="CC11" i="7" s="1"/>
  <c r="CN14" i="1"/>
  <c r="CB11" i="7" s="1"/>
  <c r="CM14" i="1"/>
  <c r="CA11" i="7" s="1"/>
  <c r="CL14" i="1"/>
  <c r="BZ11" i="7" s="1"/>
  <c r="CK14" i="1"/>
  <c r="BY11" i="7" s="1"/>
  <c r="CJ14" i="1"/>
  <c r="BX11" i="7" s="1"/>
  <c r="CI14" i="1"/>
  <c r="BW11" i="7" s="1"/>
  <c r="CH14" i="1"/>
  <c r="BV11" i="7" s="1"/>
  <c r="CG14" i="1"/>
  <c r="BU11" i="7" s="1"/>
  <c r="CF14" i="1"/>
  <c r="BT11" i="7" s="1"/>
  <c r="CE14" i="1"/>
  <c r="BS11" i="7" s="1"/>
  <c r="CD14" i="1"/>
  <c r="BR11" i="7" s="1"/>
  <c r="CC14" i="1"/>
  <c r="BQ11" i="7" s="1"/>
  <c r="CB14" i="1"/>
  <c r="BP11" i="7" s="1"/>
  <c r="CA14" i="1"/>
  <c r="BO11" i="7" s="1"/>
  <c r="BZ14" i="1"/>
  <c r="BN11" i="7" s="1"/>
  <c r="BY14" i="1"/>
  <c r="BM11" i="7" s="1"/>
  <c r="BX14" i="1"/>
  <c r="BL11" i="7" s="1"/>
  <c r="BW14" i="1"/>
  <c r="BK11" i="7" s="1"/>
  <c r="BV14" i="1"/>
  <c r="BJ11" i="7" s="1"/>
  <c r="BU14" i="1"/>
  <c r="BI11" i="7" s="1"/>
  <c r="BT14" i="1"/>
  <c r="BH11" i="7" s="1"/>
  <c r="BS14" i="1"/>
  <c r="BG11" i="7" s="1"/>
  <c r="BR14" i="1"/>
  <c r="BF11" i="7" s="1"/>
  <c r="BQ14" i="1"/>
  <c r="BE11" i="7" s="1"/>
  <c r="BP14" i="1"/>
  <c r="BD11" i="7" s="1"/>
  <c r="BO14" i="1"/>
  <c r="BC11" i="7" s="1"/>
  <c r="BN14" i="1"/>
  <c r="BB11" i="7" s="1"/>
  <c r="BM14" i="1"/>
  <c r="BA11" i="7" s="1"/>
  <c r="BL14" i="1"/>
  <c r="AZ11" i="7" s="1"/>
  <c r="BK14" i="1"/>
  <c r="AY11" i="7" s="1"/>
  <c r="BJ14" i="1"/>
  <c r="AX11" i="7" s="1"/>
  <c r="BI14" i="1"/>
  <c r="AW11" i="7" s="1"/>
  <c r="BH14" i="1"/>
  <c r="AV11" i="7" s="1"/>
  <c r="BG14" i="1"/>
  <c r="AU11" i="7" s="1"/>
  <c r="BF14" i="1"/>
  <c r="AT11" i="7" s="1"/>
  <c r="BE14" i="1"/>
  <c r="AS11" i="7" s="1"/>
  <c r="BD14" i="1"/>
  <c r="AR11" i="7" s="1"/>
  <c r="BC14" i="1"/>
  <c r="AQ11" i="7" s="1"/>
  <c r="BB14" i="1"/>
  <c r="AP11" i="7" s="1"/>
  <c r="BA14" i="1"/>
  <c r="AO11" i="7" s="1"/>
  <c r="AZ14" i="1"/>
  <c r="AN11" i="7" s="1"/>
  <c r="AY14" i="1"/>
  <c r="AM11" i="7" s="1"/>
  <c r="AX14" i="1"/>
  <c r="AL11" i="7" s="1"/>
  <c r="AW14" i="1"/>
  <c r="AK11" i="7" s="1"/>
  <c r="AV14" i="1"/>
  <c r="AJ11" i="7" s="1"/>
  <c r="AU14" i="1"/>
  <c r="AI11" i="7" s="1"/>
  <c r="AT14" i="1"/>
  <c r="AH11" i="7" s="1"/>
  <c r="AS14" i="1"/>
  <c r="AG11" i="7" s="1"/>
  <c r="AR14" i="1"/>
  <c r="AF11" i="7" s="1"/>
  <c r="AQ14" i="1"/>
  <c r="AE11" i="7" s="1"/>
  <c r="AP14" i="1"/>
  <c r="AD11" i="7" s="1"/>
  <c r="AO14" i="1"/>
  <c r="AC11" i="7" s="1"/>
  <c r="AN14" i="1"/>
  <c r="AB11" i="7" s="1"/>
  <c r="AM14" i="1"/>
  <c r="AA11" i="7" s="1"/>
  <c r="AL14" i="1"/>
  <c r="Z11" i="7" s="1"/>
  <c r="AK14" i="1"/>
  <c r="Y11" i="7" s="1"/>
  <c r="AJ14" i="1"/>
  <c r="X11" i="7" s="1"/>
  <c r="AI14" i="1"/>
  <c r="W11" i="7" s="1"/>
  <c r="AH14" i="1"/>
  <c r="V11" i="7" s="1"/>
  <c r="AG14" i="1"/>
  <c r="U11" i="7" s="1"/>
  <c r="AF14" i="1"/>
  <c r="T11" i="7" s="1"/>
  <c r="AE14" i="1"/>
  <c r="S11" i="7" s="1"/>
  <c r="AD14" i="1"/>
  <c r="R11" i="7" s="1"/>
  <c r="AC14" i="1"/>
  <c r="Q11" i="7" s="1"/>
  <c r="AB14" i="1"/>
  <c r="P11" i="7" s="1"/>
  <c r="AA14" i="1"/>
  <c r="O11" i="7" s="1"/>
  <c r="Z14" i="1"/>
  <c r="N11" i="7" s="1"/>
  <c r="Y14" i="1"/>
  <c r="M11" i="7" s="1"/>
  <c r="X14" i="1"/>
  <c r="L11" i="7" s="1"/>
  <c r="W14" i="1"/>
  <c r="K11" i="7" s="1"/>
  <c r="V14" i="1"/>
  <c r="J11" i="7" s="1"/>
  <c r="U14" i="1"/>
  <c r="I11" i="7" s="1"/>
  <c r="T14" i="1"/>
  <c r="H11" i="7" s="1"/>
  <c r="S14" i="1"/>
  <c r="G11" i="7" s="1"/>
  <c r="R14" i="1"/>
  <c r="F11" i="7" s="1"/>
  <c r="O14" i="1"/>
  <c r="CO13" i="1"/>
  <c r="CC10" i="7" s="1"/>
  <c r="CN13" i="1"/>
  <c r="CB10" i="7" s="1"/>
  <c r="CM13" i="1"/>
  <c r="CA10" i="7" s="1"/>
  <c r="CL13" i="1"/>
  <c r="BZ10" i="7" s="1"/>
  <c r="CK13" i="1"/>
  <c r="BY10" i="7" s="1"/>
  <c r="CJ13" i="1"/>
  <c r="BX10" i="7" s="1"/>
  <c r="CI13" i="1"/>
  <c r="BW10" i="7" s="1"/>
  <c r="CH13" i="1"/>
  <c r="BV10" i="7" s="1"/>
  <c r="CG13" i="1"/>
  <c r="BU10" i="7" s="1"/>
  <c r="CF13" i="1"/>
  <c r="BT10" i="7" s="1"/>
  <c r="CE13" i="1"/>
  <c r="BS10" i="7" s="1"/>
  <c r="CD13" i="1"/>
  <c r="BR10" i="7" s="1"/>
  <c r="CC13" i="1"/>
  <c r="BQ10" i="7" s="1"/>
  <c r="CB13" i="1"/>
  <c r="BP10" i="7" s="1"/>
  <c r="CA13" i="1"/>
  <c r="BO10" i="7" s="1"/>
  <c r="BZ13" i="1"/>
  <c r="BN10" i="7" s="1"/>
  <c r="BY13" i="1"/>
  <c r="BM10" i="7" s="1"/>
  <c r="BX13" i="1"/>
  <c r="BL10" i="7" s="1"/>
  <c r="BW13" i="1"/>
  <c r="BK10" i="7" s="1"/>
  <c r="BV13" i="1"/>
  <c r="BJ10" i="7" s="1"/>
  <c r="BU13" i="1"/>
  <c r="BI10" i="7" s="1"/>
  <c r="BT13" i="1"/>
  <c r="BH10" i="7" s="1"/>
  <c r="BS13" i="1"/>
  <c r="BG10" i="7" s="1"/>
  <c r="BR13" i="1"/>
  <c r="BF10" i="7" s="1"/>
  <c r="BQ13" i="1"/>
  <c r="BE10" i="7" s="1"/>
  <c r="BP13" i="1"/>
  <c r="BD10" i="7" s="1"/>
  <c r="BO13" i="1"/>
  <c r="BC10" i="7" s="1"/>
  <c r="BN13" i="1"/>
  <c r="BB10" i="7" s="1"/>
  <c r="BM13" i="1"/>
  <c r="BA10" i="7" s="1"/>
  <c r="BL13" i="1"/>
  <c r="AZ10" i="7" s="1"/>
  <c r="BK13" i="1"/>
  <c r="AY10" i="7" s="1"/>
  <c r="BJ13" i="1"/>
  <c r="AX10" i="7" s="1"/>
  <c r="BI13" i="1"/>
  <c r="AW10" i="7" s="1"/>
  <c r="BH13" i="1"/>
  <c r="AV10" i="7" s="1"/>
  <c r="BG13" i="1"/>
  <c r="AU10" i="7" s="1"/>
  <c r="BF13" i="1"/>
  <c r="AT10" i="7" s="1"/>
  <c r="BE13" i="1"/>
  <c r="AS10" i="7" s="1"/>
  <c r="BD13" i="1"/>
  <c r="AR10" i="7" s="1"/>
  <c r="BC13" i="1"/>
  <c r="AQ10" i="7" s="1"/>
  <c r="BB13" i="1"/>
  <c r="AP10" i="7" s="1"/>
  <c r="BA13" i="1"/>
  <c r="AO10" i="7" s="1"/>
  <c r="AZ13" i="1"/>
  <c r="AN10" i="7" s="1"/>
  <c r="AY13" i="1"/>
  <c r="AM10" i="7" s="1"/>
  <c r="AX13" i="1"/>
  <c r="AL10" i="7" s="1"/>
  <c r="AW13" i="1"/>
  <c r="AK10" i="7" s="1"/>
  <c r="AV13" i="1"/>
  <c r="AJ10" i="7" s="1"/>
  <c r="AM13" i="1"/>
  <c r="AA10" i="7" s="1"/>
  <c r="AE13" i="1"/>
  <c r="S10" i="7" s="1"/>
  <c r="AC13" i="1"/>
  <c r="Q10" i="7" s="1"/>
  <c r="AB13" i="1"/>
  <c r="P10" i="7" s="1"/>
  <c r="AA13" i="1"/>
  <c r="O10" i="7" s="1"/>
  <c r="Z13" i="1"/>
  <c r="N10" i="7" s="1"/>
  <c r="Y13" i="1"/>
  <c r="M10" i="7" s="1"/>
  <c r="X13" i="1"/>
  <c r="L10" i="7" s="1"/>
  <c r="W13" i="1"/>
  <c r="K10" i="7" s="1"/>
  <c r="V13" i="1"/>
  <c r="J10" i="7" s="1"/>
  <c r="U13" i="1"/>
  <c r="I10" i="7" s="1"/>
  <c r="T13" i="1"/>
  <c r="H10" i="7" s="1"/>
  <c r="S13" i="1"/>
  <c r="G10" i="7" s="1"/>
  <c r="R13" i="1"/>
  <c r="F10" i="7" s="1"/>
  <c r="O13" i="1"/>
  <c r="C11" i="7" s="1"/>
  <c r="O12" i="1"/>
  <c r="AC9" i="1" s="1"/>
  <c r="Q6" i="7" s="1"/>
  <c r="M12" i="1"/>
  <c r="M11" i="1"/>
  <c r="CO10" i="1"/>
  <c r="CC7" i="7" s="1"/>
  <c r="CN10" i="1"/>
  <c r="CB7" i="7" s="1"/>
  <c r="CM10" i="1"/>
  <c r="CA7" i="7" s="1"/>
  <c r="CL10" i="1"/>
  <c r="BZ7" i="7" s="1"/>
  <c r="CK10" i="1"/>
  <c r="BY7" i="7" s="1"/>
  <c r="CJ10" i="1"/>
  <c r="BX7" i="7" s="1"/>
  <c r="CI10" i="1"/>
  <c r="BW7" i="7" s="1"/>
  <c r="CH10" i="1"/>
  <c r="BV7" i="7" s="1"/>
  <c r="CG10" i="1"/>
  <c r="BU7" i="7" s="1"/>
  <c r="CF10" i="1"/>
  <c r="BT7" i="7" s="1"/>
  <c r="CE10" i="1"/>
  <c r="BS7" i="7" s="1"/>
  <c r="CD10" i="1"/>
  <c r="BR7" i="7" s="1"/>
  <c r="CC10" i="1"/>
  <c r="BQ7" i="7" s="1"/>
  <c r="CB10" i="1"/>
  <c r="BP7" i="7" s="1"/>
  <c r="CA10" i="1"/>
  <c r="BO7" i="7" s="1"/>
  <c r="BZ10" i="1"/>
  <c r="BN7" i="7" s="1"/>
  <c r="BY10" i="1"/>
  <c r="BM7" i="7" s="1"/>
  <c r="BX10" i="1"/>
  <c r="BL7" i="7" s="1"/>
  <c r="BW10" i="1"/>
  <c r="BK7" i="7" s="1"/>
  <c r="BV10" i="1"/>
  <c r="BJ7" i="7" s="1"/>
  <c r="BU10" i="1"/>
  <c r="BI7" i="7" s="1"/>
  <c r="BT10" i="1"/>
  <c r="BH7" i="7" s="1"/>
  <c r="BS10" i="1"/>
  <c r="BG7" i="7" s="1"/>
  <c r="BR10" i="1"/>
  <c r="BF7" i="7" s="1"/>
  <c r="BQ10" i="1"/>
  <c r="BE7" i="7" s="1"/>
  <c r="BP10" i="1"/>
  <c r="BD7" i="7" s="1"/>
  <c r="BO10" i="1"/>
  <c r="BC7" i="7" s="1"/>
  <c r="BN10" i="1"/>
  <c r="BB7" i="7" s="1"/>
  <c r="BM10" i="1"/>
  <c r="BA7" i="7" s="1"/>
  <c r="BL10" i="1"/>
  <c r="AZ7" i="7" s="1"/>
  <c r="BK10" i="1"/>
  <c r="AY7" i="7" s="1"/>
  <c r="BJ10" i="1"/>
  <c r="AX7" i="7" s="1"/>
  <c r="BI10" i="1"/>
  <c r="AW7" i="7" s="1"/>
  <c r="BH10" i="1"/>
  <c r="AV7" i="7" s="1"/>
  <c r="BG10" i="1"/>
  <c r="AU7" i="7" s="1"/>
  <c r="BF10" i="1"/>
  <c r="AT7" i="7" s="1"/>
  <c r="BE10" i="1"/>
  <c r="AS7" i="7" s="1"/>
  <c r="BD10" i="1"/>
  <c r="AR7" i="7" s="1"/>
  <c r="BC10" i="1"/>
  <c r="AQ7" i="7" s="1"/>
  <c r="BB10" i="1"/>
  <c r="AP7" i="7" s="1"/>
  <c r="BA10" i="1"/>
  <c r="AO7" i="7" s="1"/>
  <c r="AZ10" i="1"/>
  <c r="AN7" i="7" s="1"/>
  <c r="AY10" i="1"/>
  <c r="AM7" i="7" s="1"/>
  <c r="AX10" i="1"/>
  <c r="AL7" i="7" s="1"/>
  <c r="AW10" i="1"/>
  <c r="AK7" i="7" s="1"/>
  <c r="AV10" i="1"/>
  <c r="AJ7" i="7" s="1"/>
  <c r="AU10" i="1"/>
  <c r="AI7" i="7" s="1"/>
  <c r="AT10" i="1"/>
  <c r="AH7" i="7" s="1"/>
  <c r="AS10" i="1"/>
  <c r="AG7" i="7" s="1"/>
  <c r="AR10" i="1"/>
  <c r="AF7" i="7" s="1"/>
  <c r="AQ10" i="1"/>
  <c r="AE7" i="7" s="1"/>
  <c r="AP10" i="1"/>
  <c r="AD7" i="7" s="1"/>
  <c r="AO10" i="1"/>
  <c r="AC7" i="7" s="1"/>
  <c r="AN10" i="1"/>
  <c r="AB7" i="7" s="1"/>
  <c r="AM10" i="1"/>
  <c r="AA7" i="7" s="1"/>
  <c r="AL10" i="1"/>
  <c r="Z7" i="7" s="1"/>
  <c r="AK10" i="1"/>
  <c r="Y7" i="7" s="1"/>
  <c r="AJ10" i="1"/>
  <c r="X7" i="7" s="1"/>
  <c r="AI10" i="1"/>
  <c r="W7" i="7" s="1"/>
  <c r="AH10" i="1"/>
  <c r="V7" i="7" s="1"/>
  <c r="AG10" i="1"/>
  <c r="U7" i="7" s="1"/>
  <c r="AF10" i="1"/>
  <c r="T7" i="7" s="1"/>
  <c r="AE10" i="1"/>
  <c r="S7" i="7" s="1"/>
  <c r="AD10" i="1"/>
  <c r="R7" i="7" s="1"/>
  <c r="AC10" i="1"/>
  <c r="Q7" i="7" s="1"/>
  <c r="AB10" i="1"/>
  <c r="P7" i="7" s="1"/>
  <c r="AA10" i="1"/>
  <c r="O7" i="7" s="1"/>
  <c r="Z10" i="1"/>
  <c r="N7" i="7" s="1"/>
  <c r="Y10" i="1"/>
  <c r="M7" i="7" s="1"/>
  <c r="X10" i="1"/>
  <c r="L7" i="7" s="1"/>
  <c r="W10" i="1"/>
  <c r="K7" i="7" s="1"/>
  <c r="V10" i="1"/>
  <c r="J7" i="7" s="1"/>
  <c r="U10" i="1"/>
  <c r="I7" i="7" s="1"/>
  <c r="T10" i="1"/>
  <c r="H7" i="7" s="1"/>
  <c r="S10" i="1"/>
  <c r="G7" i="7" s="1"/>
  <c r="R10" i="1"/>
  <c r="F7" i="7" s="1"/>
  <c r="CO9" i="1"/>
  <c r="CC6" i="7" s="1"/>
  <c r="CN9" i="1"/>
  <c r="CB6" i="7" s="1"/>
  <c r="CM9" i="1"/>
  <c r="CA6" i="7" s="1"/>
  <c r="CL9" i="1"/>
  <c r="BZ6" i="7" s="1"/>
  <c r="CK9" i="1"/>
  <c r="BY6" i="7" s="1"/>
  <c r="CJ9" i="1"/>
  <c r="BX6" i="7" s="1"/>
  <c r="CI9" i="1"/>
  <c r="BW6" i="7" s="1"/>
  <c r="CH9" i="1"/>
  <c r="BV6" i="7" s="1"/>
  <c r="CG9" i="1"/>
  <c r="BU6" i="7" s="1"/>
  <c r="CF9" i="1"/>
  <c r="BT6" i="7" s="1"/>
  <c r="CE9" i="1"/>
  <c r="BS6" i="7" s="1"/>
  <c r="CD9" i="1"/>
  <c r="BR6" i="7" s="1"/>
  <c r="CC9" i="1"/>
  <c r="BQ6" i="7" s="1"/>
  <c r="CB9" i="1"/>
  <c r="BP6" i="7" s="1"/>
  <c r="CA9" i="1"/>
  <c r="BO6" i="7" s="1"/>
  <c r="BZ9" i="1"/>
  <c r="BN6" i="7" s="1"/>
  <c r="BY9" i="1"/>
  <c r="BM6" i="7" s="1"/>
  <c r="BX9" i="1"/>
  <c r="BL6" i="7" s="1"/>
  <c r="BW9" i="1"/>
  <c r="BK6" i="7" s="1"/>
  <c r="BV9" i="1"/>
  <c r="BJ6" i="7" s="1"/>
  <c r="BU9" i="1"/>
  <c r="BI6" i="7" s="1"/>
  <c r="BT9" i="1"/>
  <c r="BH6" i="7" s="1"/>
  <c r="BS9" i="1"/>
  <c r="BG6" i="7" s="1"/>
  <c r="BR9" i="1"/>
  <c r="BF6" i="7" s="1"/>
  <c r="BQ9" i="1"/>
  <c r="BE6" i="7" s="1"/>
  <c r="BP9" i="1"/>
  <c r="BD6" i="7" s="1"/>
  <c r="BO9" i="1"/>
  <c r="BC6" i="7" s="1"/>
  <c r="BN9" i="1"/>
  <c r="BB6" i="7" s="1"/>
  <c r="BM9" i="1"/>
  <c r="BA6" i="7" s="1"/>
  <c r="BL9" i="1"/>
  <c r="AZ6" i="7" s="1"/>
  <c r="BK9" i="1"/>
  <c r="AY6" i="7" s="1"/>
  <c r="BJ9" i="1"/>
  <c r="AX6" i="7" s="1"/>
  <c r="BI9" i="1"/>
  <c r="AW6" i="7" s="1"/>
  <c r="BH9" i="1"/>
  <c r="AV6" i="7" s="1"/>
  <c r="BG9" i="1"/>
  <c r="AU6" i="7" s="1"/>
  <c r="BF9" i="1"/>
  <c r="AT6" i="7" s="1"/>
  <c r="BE9" i="1"/>
  <c r="AS6" i="7" s="1"/>
  <c r="BD9" i="1"/>
  <c r="AR6" i="7" s="1"/>
  <c r="BC9" i="1"/>
  <c r="AQ6" i="7" s="1"/>
  <c r="BB9" i="1"/>
  <c r="AP6" i="7" s="1"/>
  <c r="BA9" i="1"/>
  <c r="AO6" i="7" s="1"/>
  <c r="AZ9" i="1"/>
  <c r="AN6" i="7" s="1"/>
  <c r="AY9" i="1"/>
  <c r="AM6" i="7" s="1"/>
  <c r="AX9" i="1"/>
  <c r="AL6" i="7" s="1"/>
  <c r="AW9" i="1"/>
  <c r="AK6" i="7" s="1"/>
  <c r="AV9" i="1"/>
  <c r="AJ6" i="7" s="1"/>
  <c r="AU9" i="1"/>
  <c r="AI6" i="7" s="1"/>
  <c r="AT9" i="1"/>
  <c r="AH6" i="7" s="1"/>
  <c r="AS9" i="1"/>
  <c r="AG6" i="7" s="1"/>
  <c r="AR9" i="1"/>
  <c r="AF6" i="7" s="1"/>
  <c r="AQ9" i="1"/>
  <c r="AE6" i="7" s="1"/>
  <c r="AP9" i="1"/>
  <c r="AD6" i="7" s="1"/>
  <c r="AO9" i="1"/>
  <c r="AC6" i="7" s="1"/>
  <c r="AN9" i="1"/>
  <c r="AB6" i="7" s="1"/>
  <c r="AM9" i="1"/>
  <c r="AA6" i="7" s="1"/>
  <c r="AL9" i="1"/>
  <c r="Z6" i="7" s="1"/>
  <c r="AK9" i="1"/>
  <c r="Y6" i="7" s="1"/>
  <c r="AJ9" i="1"/>
  <c r="X6" i="7" s="1"/>
  <c r="AI9" i="1"/>
  <c r="W6" i="7" s="1"/>
  <c r="AH9" i="1"/>
  <c r="V6" i="7" s="1"/>
  <c r="AG9" i="1"/>
  <c r="U6" i="7" s="1"/>
  <c r="AF9" i="1"/>
  <c r="T6" i="7" s="1"/>
  <c r="AD9" i="1"/>
  <c r="R6" i="7" s="1"/>
  <c r="V9" i="1"/>
  <c r="J6" i="7" s="1"/>
  <c r="U9" i="1"/>
  <c r="I6" i="7" s="1"/>
  <c r="T9" i="1"/>
  <c r="H6" i="7" s="1"/>
  <c r="S9" i="1"/>
  <c r="G6" i="7" s="1"/>
  <c r="R9" i="1"/>
  <c r="F6" i="7" s="1"/>
  <c r="O9" i="1"/>
  <c r="C7" i="7" s="1"/>
  <c r="CO8" i="1"/>
  <c r="CC5" i="7" s="1"/>
  <c r="CN8" i="1"/>
  <c r="CB5" i="7" s="1"/>
  <c r="CM8" i="1"/>
  <c r="CA5" i="7" s="1"/>
  <c r="CL8" i="1"/>
  <c r="BZ5" i="7" s="1"/>
  <c r="CK8" i="1"/>
  <c r="BY5" i="7" s="1"/>
  <c r="CJ8" i="1"/>
  <c r="BX5" i="7" s="1"/>
  <c r="CI8" i="1"/>
  <c r="BW5" i="7" s="1"/>
  <c r="CH8" i="1"/>
  <c r="BV5" i="7" s="1"/>
  <c r="CG8" i="1"/>
  <c r="BU5" i="7" s="1"/>
  <c r="CF8" i="1"/>
  <c r="BT5" i="7" s="1"/>
  <c r="CE8" i="1"/>
  <c r="BS5" i="7" s="1"/>
  <c r="CD8" i="1"/>
  <c r="BR5" i="7" s="1"/>
  <c r="CC8" i="1"/>
  <c r="BQ5" i="7" s="1"/>
  <c r="CB8" i="1"/>
  <c r="BP5" i="7" s="1"/>
  <c r="CA8" i="1"/>
  <c r="BO5" i="7" s="1"/>
  <c r="BZ8" i="1"/>
  <c r="BN5" i="7" s="1"/>
  <c r="BY8" i="1"/>
  <c r="BM5" i="7" s="1"/>
  <c r="BX8" i="1"/>
  <c r="BL5" i="7" s="1"/>
  <c r="BW8" i="1"/>
  <c r="BK5" i="7" s="1"/>
  <c r="BV8" i="1"/>
  <c r="BJ5" i="7" s="1"/>
  <c r="BU8" i="1"/>
  <c r="BI5" i="7" s="1"/>
  <c r="BT8" i="1"/>
  <c r="BH5" i="7" s="1"/>
  <c r="BS8" i="1"/>
  <c r="BG5" i="7" s="1"/>
  <c r="BR8" i="1"/>
  <c r="BF5" i="7" s="1"/>
  <c r="BQ8" i="1"/>
  <c r="BE5" i="7" s="1"/>
  <c r="BP8" i="1"/>
  <c r="BD5" i="7" s="1"/>
  <c r="BO8" i="1"/>
  <c r="BC5" i="7" s="1"/>
  <c r="BN8" i="1"/>
  <c r="BB5" i="7" s="1"/>
  <c r="BM8" i="1"/>
  <c r="BA5" i="7" s="1"/>
  <c r="BL8" i="1"/>
  <c r="AZ5" i="7" s="1"/>
  <c r="BK8" i="1"/>
  <c r="AY5" i="7" s="1"/>
  <c r="BJ8" i="1"/>
  <c r="AX5" i="7" s="1"/>
  <c r="BI8" i="1"/>
  <c r="AW5" i="7" s="1"/>
  <c r="BH8" i="1"/>
  <c r="AV5" i="7" s="1"/>
  <c r="BG8" i="1"/>
  <c r="AU5" i="7" s="1"/>
  <c r="BF8" i="1"/>
  <c r="AT5" i="7" s="1"/>
  <c r="BE8" i="1"/>
  <c r="AS5" i="7" s="1"/>
  <c r="BD8" i="1"/>
  <c r="AR5" i="7" s="1"/>
  <c r="BC8" i="1"/>
  <c r="AQ5" i="7" s="1"/>
  <c r="BB8" i="1"/>
  <c r="AP5" i="7" s="1"/>
  <c r="BA8" i="1"/>
  <c r="AO5" i="7" s="1"/>
  <c r="AZ8" i="1"/>
  <c r="AN5" i="7" s="1"/>
  <c r="AY8" i="1"/>
  <c r="AM5" i="7" s="1"/>
  <c r="AX8" i="1"/>
  <c r="AL5" i="7" s="1"/>
  <c r="AW8" i="1"/>
  <c r="AK5" i="7" s="1"/>
  <c r="AV8" i="1"/>
  <c r="AJ5" i="7" s="1"/>
  <c r="AU8" i="1"/>
  <c r="AI5" i="7" s="1"/>
  <c r="AT8" i="1"/>
  <c r="AH5" i="7" s="1"/>
  <c r="AS8" i="1"/>
  <c r="AG5" i="7" s="1"/>
  <c r="AR8" i="1"/>
  <c r="AF5" i="7" s="1"/>
  <c r="AQ8" i="1"/>
  <c r="AE5" i="7" s="1"/>
  <c r="AP8" i="1"/>
  <c r="AD5" i="7" s="1"/>
  <c r="AO8" i="1"/>
  <c r="AC5" i="7" s="1"/>
  <c r="AN8" i="1"/>
  <c r="AB5" i="7" s="1"/>
  <c r="AM8" i="1"/>
  <c r="AA5" i="7" s="1"/>
  <c r="AL8" i="1"/>
  <c r="Z5" i="7" s="1"/>
  <c r="AK8" i="1"/>
  <c r="Y5" i="7" s="1"/>
  <c r="AJ8" i="1"/>
  <c r="X5" i="7" s="1"/>
  <c r="AI8" i="1"/>
  <c r="W5" i="7" s="1"/>
  <c r="AH8" i="1"/>
  <c r="V5" i="7" s="1"/>
  <c r="AG8" i="1"/>
  <c r="U5" i="7" s="1"/>
  <c r="AF8" i="1"/>
  <c r="T5" i="7" s="1"/>
  <c r="AE8" i="1"/>
  <c r="S5" i="7" s="1"/>
  <c r="AD8" i="1"/>
  <c r="R5" i="7" s="1"/>
  <c r="AC8" i="1"/>
  <c r="Q5" i="7" s="1"/>
  <c r="AB8" i="1"/>
  <c r="P5" i="7" s="1"/>
  <c r="AA8" i="1"/>
  <c r="O5" i="7" s="1"/>
  <c r="Z8" i="1"/>
  <c r="N5" i="7" s="1"/>
  <c r="Y8" i="1"/>
  <c r="M5" i="7" s="1"/>
  <c r="X8" i="1"/>
  <c r="L5" i="7" s="1"/>
  <c r="W8" i="1"/>
  <c r="K5" i="7" s="1"/>
  <c r="V8" i="1"/>
  <c r="J5" i="7" s="1"/>
  <c r="U8" i="1"/>
  <c r="I5" i="7" s="1"/>
  <c r="T8" i="1"/>
  <c r="H5" i="7" s="1"/>
  <c r="S8" i="1"/>
  <c r="G5" i="7" s="1"/>
  <c r="R8" i="1"/>
  <c r="F5" i="7" s="1"/>
  <c r="O8" i="1"/>
  <c r="CO7" i="1"/>
  <c r="CC4" i="7" s="1"/>
  <c r="CN7" i="1"/>
  <c r="CB4" i="7" s="1"/>
  <c r="CM7" i="1"/>
  <c r="CA4" i="7" s="1"/>
  <c r="CL7" i="1"/>
  <c r="BZ4" i="7" s="1"/>
  <c r="CK7" i="1"/>
  <c r="BY4" i="7" s="1"/>
  <c r="CJ7" i="1"/>
  <c r="BX4" i="7" s="1"/>
  <c r="CI7" i="1"/>
  <c r="BW4" i="7" s="1"/>
  <c r="CH7" i="1"/>
  <c r="BV4" i="7" s="1"/>
  <c r="CG7" i="1"/>
  <c r="BU4" i="7" s="1"/>
  <c r="CF7" i="1"/>
  <c r="BT4" i="7" s="1"/>
  <c r="CE7" i="1"/>
  <c r="BS4" i="7" s="1"/>
  <c r="CD7" i="1"/>
  <c r="BR4" i="7" s="1"/>
  <c r="CC7" i="1"/>
  <c r="BQ4" i="7" s="1"/>
  <c r="CB7" i="1"/>
  <c r="BP4" i="7" s="1"/>
  <c r="CA7" i="1"/>
  <c r="BO4" i="7" s="1"/>
  <c r="BZ7" i="1"/>
  <c r="BN4" i="7" s="1"/>
  <c r="BY7" i="1"/>
  <c r="BM4" i="7" s="1"/>
  <c r="BX7" i="1"/>
  <c r="BL4" i="7" s="1"/>
  <c r="BW7" i="1"/>
  <c r="BK4" i="7" s="1"/>
  <c r="BV7" i="1"/>
  <c r="BJ4" i="7" s="1"/>
  <c r="BU7" i="1"/>
  <c r="BI4" i="7" s="1"/>
  <c r="BT7" i="1"/>
  <c r="BH4" i="7" s="1"/>
  <c r="BS7" i="1"/>
  <c r="BG4" i="7" s="1"/>
  <c r="BR7" i="1"/>
  <c r="BF4" i="7" s="1"/>
  <c r="BQ7" i="1"/>
  <c r="BE4" i="7" s="1"/>
  <c r="BP7" i="1"/>
  <c r="BD4" i="7" s="1"/>
  <c r="BO7" i="1"/>
  <c r="BC4" i="7" s="1"/>
  <c r="BN7" i="1"/>
  <c r="BB4" i="7" s="1"/>
  <c r="BM7" i="1"/>
  <c r="BA4" i="7" s="1"/>
  <c r="BL7" i="1"/>
  <c r="AZ4" i="7" s="1"/>
  <c r="BK7" i="1"/>
  <c r="AY4" i="7" s="1"/>
  <c r="BJ7" i="1"/>
  <c r="AX4" i="7" s="1"/>
  <c r="BI7" i="1"/>
  <c r="AW4" i="7" s="1"/>
  <c r="BH7" i="1"/>
  <c r="AV4" i="7" s="1"/>
  <c r="BG7" i="1"/>
  <c r="AU4" i="7" s="1"/>
  <c r="BF7" i="1"/>
  <c r="AT4" i="7" s="1"/>
  <c r="BE7" i="1"/>
  <c r="AS4" i="7" s="1"/>
  <c r="BD7" i="1"/>
  <c r="AR4" i="7" s="1"/>
  <c r="BC7" i="1"/>
  <c r="AQ4" i="7" s="1"/>
  <c r="BB7" i="1"/>
  <c r="AP4" i="7" s="1"/>
  <c r="BA7" i="1"/>
  <c r="AO4" i="7" s="1"/>
  <c r="AZ7" i="1"/>
  <c r="AN4" i="7" s="1"/>
  <c r="AY7" i="1"/>
  <c r="AM4" i="7" s="1"/>
  <c r="V7" i="1"/>
  <c r="J4" i="7" s="1"/>
  <c r="U7" i="1"/>
  <c r="I4" i="7" s="1"/>
  <c r="T7" i="1"/>
  <c r="H4" i="7" s="1"/>
  <c r="S7" i="1"/>
  <c r="G4" i="7" s="1"/>
  <c r="R7" i="1"/>
  <c r="O7" i="1"/>
  <c r="CO6" i="1"/>
  <c r="CO518" i="1" s="1"/>
  <c r="CN6" i="1"/>
  <c r="CN518" i="1" s="1"/>
  <c r="CM6" i="1"/>
  <c r="CA3" i="7" s="1"/>
  <c r="CL6" i="1"/>
  <c r="BZ3" i="7" s="1"/>
  <c r="CK6" i="1"/>
  <c r="CK518" i="1" s="1"/>
  <c r="CJ6" i="1"/>
  <c r="CJ518" i="1" s="1"/>
  <c r="CI6" i="1"/>
  <c r="BW3" i="7" s="1"/>
  <c r="CH6" i="1"/>
  <c r="BV3" i="7" s="1"/>
  <c r="CG6" i="1"/>
  <c r="CG518" i="1" s="1"/>
  <c r="CF6" i="1"/>
  <c r="CF518" i="1" s="1"/>
  <c r="CE6" i="1"/>
  <c r="BS3" i="7" s="1"/>
  <c r="CD6" i="1"/>
  <c r="BR3" i="7" s="1"/>
  <c r="CC6" i="1"/>
  <c r="CC518" i="1" s="1"/>
  <c r="CB6" i="1"/>
  <c r="CB518" i="1" s="1"/>
  <c r="CA6" i="1"/>
  <c r="BO3" i="7" s="1"/>
  <c r="BZ6" i="1"/>
  <c r="BN3" i="7" s="1"/>
  <c r="BY6" i="1"/>
  <c r="BY518" i="1" s="1"/>
  <c r="BX6" i="1"/>
  <c r="BX518" i="1" s="1"/>
  <c r="BW6" i="1"/>
  <c r="BK3" i="7" s="1"/>
  <c r="BV6" i="1"/>
  <c r="BJ3" i="7" s="1"/>
  <c r="BU6" i="1"/>
  <c r="BU518" i="1" s="1"/>
  <c r="BT6" i="1"/>
  <c r="BT518" i="1" s="1"/>
  <c r="BS6" i="1"/>
  <c r="BG3" i="7" s="1"/>
  <c r="BR6" i="1"/>
  <c r="BF3" i="7" s="1"/>
  <c r="BQ6" i="1"/>
  <c r="BQ518" i="1" s="1"/>
  <c r="BP6" i="1"/>
  <c r="BP518" i="1" s="1"/>
  <c r="BO6" i="1"/>
  <c r="BC3" i="7" s="1"/>
  <c r="BN6" i="1"/>
  <c r="BB3" i="7" s="1"/>
  <c r="BM6" i="1"/>
  <c r="BM518" i="1" s="1"/>
  <c r="BL6" i="1"/>
  <c r="BL518" i="1" s="1"/>
  <c r="BK6" i="1"/>
  <c r="AY3" i="7" s="1"/>
  <c r="BJ6" i="1"/>
  <c r="AX3" i="7" s="1"/>
  <c r="BI6" i="1"/>
  <c r="BI518" i="1" s="1"/>
  <c r="BH6" i="1"/>
  <c r="BH518" i="1" s="1"/>
  <c r="BG6" i="1"/>
  <c r="AU3" i="7" s="1"/>
  <c r="BF6" i="1"/>
  <c r="AT3" i="7" s="1"/>
  <c r="BE6" i="1"/>
  <c r="BE518" i="1" s="1"/>
  <c r="BD6" i="1"/>
  <c r="BD518" i="1" s="1"/>
  <c r="BC6" i="1"/>
  <c r="AQ3" i="7" s="1"/>
  <c r="BB6" i="1"/>
  <c r="AP3" i="7" s="1"/>
  <c r="BA6" i="1"/>
  <c r="BA518" i="1" s="1"/>
  <c r="AZ6" i="1"/>
  <c r="AZ518" i="1" s="1"/>
  <c r="AY6" i="1"/>
  <c r="AM3" i="7" s="1"/>
  <c r="AX6" i="1"/>
  <c r="AL3" i="7" s="1"/>
  <c r="AW6" i="1"/>
  <c r="AW518" i="1" s="1"/>
  <c r="AV6" i="1"/>
  <c r="AV518" i="1" s="1"/>
  <c r="AU6" i="1"/>
  <c r="AI3" i="7" s="1"/>
  <c r="AT6" i="1"/>
  <c r="AH3" i="7" s="1"/>
  <c r="AS6" i="1"/>
  <c r="AS518" i="1" s="1"/>
  <c r="AR6" i="1"/>
  <c r="AR518" i="1" s="1"/>
  <c r="AQ6" i="1"/>
  <c r="AE3" i="7" s="1"/>
  <c r="AP6" i="1"/>
  <c r="AD3" i="7" s="1"/>
  <c r="AO6" i="1"/>
  <c r="AO518" i="1" s="1"/>
  <c r="AN6" i="1"/>
  <c r="AN518" i="1" s="1"/>
  <c r="AM6" i="1"/>
  <c r="AA3" i="7" s="1"/>
  <c r="AL6" i="1"/>
  <c r="Z3" i="7" s="1"/>
  <c r="AK6" i="1"/>
  <c r="AK518" i="1" s="1"/>
  <c r="AJ6" i="1"/>
  <c r="AJ518" i="1" s="1"/>
  <c r="AI6" i="1"/>
  <c r="W3" i="7" s="1"/>
  <c r="AH6" i="1"/>
  <c r="V3" i="7" s="1"/>
  <c r="AG6" i="1"/>
  <c r="AG518" i="1" s="1"/>
  <c r="AF6" i="1"/>
  <c r="AF518" i="1" s="1"/>
  <c r="AE6" i="1"/>
  <c r="S3" i="7" s="1"/>
  <c r="AD6" i="1"/>
  <c r="R3" i="7" s="1"/>
  <c r="AC6" i="1"/>
  <c r="AC518" i="1" s="1"/>
  <c r="AB6" i="1"/>
  <c r="AB518" i="1" s="1"/>
  <c r="AA6" i="1"/>
  <c r="O3" i="7" s="1"/>
  <c r="Z6" i="1"/>
  <c r="N3" i="7" s="1"/>
  <c r="Y6" i="1"/>
  <c r="Y518" i="1" s="1"/>
  <c r="X6" i="1"/>
  <c r="X518" i="1" s="1"/>
  <c r="W6" i="1"/>
  <c r="K3" i="7" s="1"/>
  <c r="V6" i="1"/>
  <c r="J3" i="7" s="1"/>
  <c r="U6" i="1"/>
  <c r="U518" i="1" s="1"/>
  <c r="T6" i="1"/>
  <c r="T518" i="1" s="1"/>
  <c r="S6" i="1"/>
  <c r="G3" i="7" s="1"/>
  <c r="R6" i="1"/>
  <c r="F3" i="7" s="1"/>
  <c r="CO5" i="1"/>
  <c r="CN5" i="1"/>
  <c r="CN516" i="1" s="1"/>
  <c r="CM5" i="1"/>
  <c r="CA2" i="7" s="1"/>
  <c r="CL5" i="1"/>
  <c r="BZ2" i="7" s="1"/>
  <c r="V5" i="1"/>
  <c r="J2" i="7" s="1"/>
  <c r="U5" i="1"/>
  <c r="I2" i="7" s="1"/>
  <c r="T5" i="1"/>
  <c r="H2" i="7" s="1"/>
  <c r="S5" i="1"/>
  <c r="G2" i="7" s="1"/>
  <c r="R5" i="1"/>
  <c r="F2" i="7" s="1"/>
  <c r="O5" i="1"/>
  <c r="C3" i="7" s="1"/>
  <c r="BN153" i="1" l="1"/>
  <c r="BB150" i="7" s="1"/>
  <c r="BP153" i="1"/>
  <c r="BD150" i="7" s="1"/>
  <c r="AZ153" i="1"/>
  <c r="AN150" i="7" s="1"/>
  <c r="BL153" i="1"/>
  <c r="AZ150" i="7" s="1"/>
  <c r="CD181" i="1"/>
  <c r="BR178" i="7" s="1"/>
  <c r="CH181" i="1"/>
  <c r="BV178" i="7" s="1"/>
  <c r="BZ181" i="1"/>
  <c r="BN178" i="7" s="1"/>
  <c r="BW195" i="1"/>
  <c r="BK192" i="7" s="1"/>
  <c r="E5" i="7"/>
  <c r="AV27" i="1"/>
  <c r="AJ24" i="7" s="1"/>
  <c r="AW27" i="1"/>
  <c r="AK24" i="7" s="1"/>
  <c r="M136" i="1"/>
  <c r="BO165" i="1"/>
  <c r="BC162" i="7" s="1"/>
  <c r="BL165" i="1"/>
  <c r="AZ162" i="7" s="1"/>
  <c r="AZ165" i="1"/>
  <c r="AN162" i="7" s="1"/>
  <c r="BH165" i="1"/>
  <c r="AV162" i="7" s="1"/>
  <c r="CG195" i="1"/>
  <c r="BU192" i="7" s="1"/>
  <c r="CE195" i="1"/>
  <c r="BS192" i="7" s="1"/>
  <c r="BO195" i="1"/>
  <c r="BC192" i="7" s="1"/>
  <c r="CA195" i="1"/>
  <c r="BO192" i="7" s="1"/>
  <c r="BK195" i="1"/>
  <c r="AY192" i="7" s="1"/>
  <c r="F71" i="7"/>
  <c r="M74" i="1"/>
  <c r="AQ13" i="1"/>
  <c r="AE10" i="7" s="1"/>
  <c r="AS13" i="1"/>
  <c r="AG10" i="7" s="1"/>
  <c r="BB63" i="1"/>
  <c r="AP60" i="7" s="1"/>
  <c r="AX63" i="1"/>
  <c r="AL60" i="7" s="1"/>
  <c r="BC97" i="1"/>
  <c r="AQ94" i="7" s="1"/>
  <c r="BO97" i="1"/>
  <c r="BC94" i="7" s="1"/>
  <c r="BK97" i="1"/>
  <c r="AY94" i="7" s="1"/>
  <c r="BO107" i="1"/>
  <c r="BC104" i="7" s="1"/>
  <c r="BM123" i="1"/>
  <c r="BA120" i="7" s="1"/>
  <c r="BI123" i="1"/>
  <c r="AW120" i="7" s="1"/>
  <c r="BH153" i="1"/>
  <c r="AV150" i="7" s="1"/>
  <c r="BQ135" i="1"/>
  <c r="BE132" i="7" s="1"/>
  <c r="BN135" i="1"/>
  <c r="BB132" i="7" s="1"/>
  <c r="Z9" i="1"/>
  <c r="N6" i="7" s="1"/>
  <c r="O10" i="1"/>
  <c r="AU13" i="1"/>
  <c r="AI10" i="7" s="1"/>
  <c r="AS27" i="1"/>
  <c r="AG24" i="7" s="1"/>
  <c r="BB53" i="1"/>
  <c r="AP50" i="7" s="1"/>
  <c r="BF63" i="1"/>
  <c r="AT60" i="7" s="1"/>
  <c r="BH81" i="1"/>
  <c r="AV78" i="7" s="1"/>
  <c r="BI81" i="1"/>
  <c r="AW78" i="7" s="1"/>
  <c r="BD153" i="1"/>
  <c r="AR150" i="7" s="1"/>
  <c r="BV499" i="1"/>
  <c r="BJ496" i="7" s="1"/>
  <c r="BZ499" i="1"/>
  <c r="BN496" i="7" s="1"/>
  <c r="G507" i="7"/>
  <c r="M510" i="1"/>
  <c r="AT13" i="1"/>
  <c r="AH10" i="7" s="1"/>
  <c r="E25" i="7"/>
  <c r="E36" i="7"/>
  <c r="AT39" i="1"/>
  <c r="AH36" i="7" s="1"/>
  <c r="E41" i="7"/>
  <c r="M54" i="1"/>
  <c r="BE53" i="1"/>
  <c r="AS50" i="7" s="1"/>
  <c r="E61" i="7"/>
  <c r="O98" i="1"/>
  <c r="BM97" i="1"/>
  <c r="BA94" i="7" s="1"/>
  <c r="M116" i="1"/>
  <c r="BU115" i="1"/>
  <c r="BI112" i="7" s="1"/>
  <c r="BK123" i="1"/>
  <c r="AY120" i="7" s="1"/>
  <c r="E147" i="7"/>
  <c r="M182" i="1"/>
  <c r="CG181" i="1"/>
  <c r="BU178" i="7" s="1"/>
  <c r="M192" i="1"/>
  <c r="BO207" i="1"/>
  <c r="BC204" i="7" s="1"/>
  <c r="M216" i="1"/>
  <c r="BY215" i="1"/>
  <c r="BM212" i="7" s="1"/>
  <c r="CF223" i="1"/>
  <c r="BT220" i="7" s="1"/>
  <c r="BL233" i="1"/>
  <c r="AZ230" i="7" s="1"/>
  <c r="BT233" i="1"/>
  <c r="BH230" i="7" s="1"/>
  <c r="BU241" i="1"/>
  <c r="BI238" i="7" s="1"/>
  <c r="BO249" i="1"/>
  <c r="BC246" i="7" s="1"/>
  <c r="BY249" i="1"/>
  <c r="BM246" i="7" s="1"/>
  <c r="BU265" i="1"/>
  <c r="BI262" i="7" s="1"/>
  <c r="BP277" i="1"/>
  <c r="BD274" i="7" s="1"/>
  <c r="BS285" i="1"/>
  <c r="BG282" i="7" s="1"/>
  <c r="BY301" i="1"/>
  <c r="BM298" i="7" s="1"/>
  <c r="E298" i="7" s="1"/>
  <c r="CC301" i="1"/>
  <c r="BQ298" i="7" s="1"/>
  <c r="CD305" i="1"/>
  <c r="BR302" i="7" s="1"/>
  <c r="CE305" i="1"/>
  <c r="BS302" i="7" s="1"/>
  <c r="BV315" i="1"/>
  <c r="BJ312" i="7" s="1"/>
  <c r="E312" i="7" s="1"/>
  <c r="BY321" i="1"/>
  <c r="BM318" i="7" s="1"/>
  <c r="CG327" i="1"/>
  <c r="BU324" i="7" s="1"/>
  <c r="BH349" i="1"/>
  <c r="AV346" i="7" s="1"/>
  <c r="BP349" i="1"/>
  <c r="BD346" i="7" s="1"/>
  <c r="BM349" i="1"/>
  <c r="BA346" i="7" s="1"/>
  <c r="BS355" i="1"/>
  <c r="BG352" i="7" s="1"/>
  <c r="CC375" i="1"/>
  <c r="BQ372" i="7" s="1"/>
  <c r="CK381" i="1"/>
  <c r="BY378" i="7" s="1"/>
  <c r="M390" i="1"/>
  <c r="BZ393" i="1"/>
  <c r="BN390" i="7" s="1"/>
  <c r="M394" i="1"/>
  <c r="E397" i="7"/>
  <c r="CB401" i="1"/>
  <c r="BP398" i="7" s="1"/>
  <c r="CK431" i="1"/>
  <c r="BY428" i="7" s="1"/>
  <c r="O442" i="1"/>
  <c r="CG439" i="1" s="1"/>
  <c r="BU436" i="7" s="1"/>
  <c r="BS465" i="1"/>
  <c r="BG462" i="7" s="1"/>
  <c r="E462" i="7" s="1"/>
  <c r="CH469" i="1"/>
  <c r="BV466" i="7" s="1"/>
  <c r="CA473" i="1"/>
  <c r="BO470" i="7" s="1"/>
  <c r="BT509" i="1"/>
  <c r="BH506" i="7" s="1"/>
  <c r="CB509" i="1"/>
  <c r="BP506" i="7" s="1"/>
  <c r="CJ509" i="1"/>
  <c r="BX506" i="7" s="1"/>
  <c r="CI509" i="1"/>
  <c r="BW506" i="7" s="1"/>
  <c r="CE509" i="1"/>
  <c r="BS506" i="7" s="1"/>
  <c r="CA509" i="1"/>
  <c r="BO506" i="7" s="1"/>
  <c r="BW509" i="1"/>
  <c r="BK506" i="7" s="1"/>
  <c r="BS509" i="1"/>
  <c r="BG506" i="7" s="1"/>
  <c r="CH509" i="1"/>
  <c r="BV506" i="7" s="1"/>
  <c r="CD509" i="1"/>
  <c r="BR506" i="7" s="1"/>
  <c r="BZ509" i="1"/>
  <c r="BN506" i="7" s="1"/>
  <c r="BV509" i="1"/>
  <c r="BJ506" i="7" s="1"/>
  <c r="BR509" i="1"/>
  <c r="BF506" i="7" s="1"/>
  <c r="E14" i="7"/>
  <c r="E135" i="7"/>
  <c r="E166" i="7"/>
  <c r="E366" i="7"/>
  <c r="BE73" i="1"/>
  <c r="AS70" i="7" s="1"/>
  <c r="BO89" i="1"/>
  <c r="BC86" i="7" s="1"/>
  <c r="BL123" i="1"/>
  <c r="AZ120" i="7" s="1"/>
  <c r="E149" i="7"/>
  <c r="BO153" i="1"/>
  <c r="BC150" i="7" s="1"/>
  <c r="E161" i="7"/>
  <c r="E163" i="7"/>
  <c r="BN165" i="1"/>
  <c r="BB162" i="7" s="1"/>
  <c r="CD195" i="1"/>
  <c r="BR192" i="7" s="1"/>
  <c r="BE207" i="1"/>
  <c r="AS204" i="7" s="1"/>
  <c r="BQ207" i="1"/>
  <c r="BE204" i="7" s="1"/>
  <c r="BJ215" i="1"/>
  <c r="AX212" i="7" s="1"/>
  <c r="M240" i="1"/>
  <c r="CH255" i="1"/>
  <c r="BV252" i="7" s="1"/>
  <c r="BV265" i="1"/>
  <c r="BJ262" i="7" s="1"/>
  <c r="E273" i="7"/>
  <c r="BT277" i="1"/>
  <c r="BH274" i="7" s="1"/>
  <c r="E275" i="7"/>
  <c r="BZ277" i="1"/>
  <c r="BN274" i="7" s="1"/>
  <c r="CD291" i="1"/>
  <c r="BR288" i="7" s="1"/>
  <c r="BZ301" i="1"/>
  <c r="BN298" i="7" s="1"/>
  <c r="CH305" i="1"/>
  <c r="BV302" i="7" s="1"/>
  <c r="M306" i="1"/>
  <c r="E345" i="7"/>
  <c r="BJ349" i="1"/>
  <c r="AX346" i="7" s="1"/>
  <c r="M356" i="1"/>
  <c r="CC365" i="1"/>
  <c r="BQ362" i="7" s="1"/>
  <c r="M392" i="1"/>
  <c r="E399" i="7"/>
  <c r="BZ401" i="1"/>
  <c r="BN398" i="7" s="1"/>
  <c r="BX415" i="1"/>
  <c r="BL412" i="7" s="1"/>
  <c r="E413" i="7"/>
  <c r="CE441" i="1"/>
  <c r="BS438" i="7" s="1"/>
  <c r="E438" i="7" s="1"/>
  <c r="BV449" i="1"/>
  <c r="BJ446" i="7" s="1"/>
  <c r="CE489" i="1"/>
  <c r="BS486" i="7" s="1"/>
  <c r="BV489" i="1"/>
  <c r="BJ486" i="7" s="1"/>
  <c r="BF489" i="1"/>
  <c r="AT486" i="7" s="1"/>
  <c r="CH489" i="1"/>
  <c r="BV486" i="7" s="1"/>
  <c r="BR489" i="1"/>
  <c r="BF486" i="7" s="1"/>
  <c r="BU509" i="1"/>
  <c r="BI506" i="7" s="1"/>
  <c r="CC509" i="1"/>
  <c r="BQ506" i="7" s="1"/>
  <c r="E186" i="7"/>
  <c r="E214" i="7"/>
  <c r="E408" i="7"/>
  <c r="BE43" i="1"/>
  <c r="AS40" i="7" s="1"/>
  <c r="M64" i="1"/>
  <c r="BE63" i="1"/>
  <c r="AS60" i="7" s="1"/>
  <c r="BK81" i="1"/>
  <c r="AY78" i="7" s="1"/>
  <c r="BN97" i="1"/>
  <c r="BB94" i="7" s="1"/>
  <c r="BR107" i="1"/>
  <c r="BF104" i="7" s="1"/>
  <c r="BG207" i="1"/>
  <c r="AU204" i="7" s="1"/>
  <c r="BS207" i="1"/>
  <c r="BG204" i="7" s="1"/>
  <c r="E239" i="7"/>
  <c r="BV241" i="1"/>
  <c r="BJ238" i="7" s="1"/>
  <c r="BS265" i="1"/>
  <c r="BG262" i="7" s="1"/>
  <c r="CE269" i="1"/>
  <c r="BS266" i="7" s="1"/>
  <c r="BX277" i="1"/>
  <c r="BL274" i="7" s="1"/>
  <c r="CB285" i="1"/>
  <c r="BP282" i="7" s="1"/>
  <c r="BX321" i="1"/>
  <c r="BL318" i="7" s="1"/>
  <c r="E333" i="7"/>
  <c r="E347" i="7"/>
  <c r="CH365" i="1"/>
  <c r="BV362" i="7" s="1"/>
  <c r="CH375" i="1"/>
  <c r="BV372" i="7" s="1"/>
  <c r="CG381" i="1"/>
  <c r="BU378" i="7" s="1"/>
  <c r="BZ415" i="1"/>
  <c r="BN412" i="7" s="1"/>
  <c r="CD419" i="1"/>
  <c r="BR416" i="7" s="1"/>
  <c r="E429" i="7"/>
  <c r="CH431" i="1"/>
  <c r="BV428" i="7" s="1"/>
  <c r="E443" i="7"/>
  <c r="BU449" i="1"/>
  <c r="BI446" i="7" s="1"/>
  <c r="CD469" i="1"/>
  <c r="BR466" i="7" s="1"/>
  <c r="BY473" i="1"/>
  <c r="BM470" i="7" s="1"/>
  <c r="CI477" i="1"/>
  <c r="BW474" i="7" s="1"/>
  <c r="M488" i="1"/>
  <c r="BZ489" i="1"/>
  <c r="BN486" i="7" s="1"/>
  <c r="CH499" i="1"/>
  <c r="BV496" i="7" s="1"/>
  <c r="M500" i="1"/>
  <c r="BX509" i="1"/>
  <c r="BL506" i="7" s="1"/>
  <c r="E19" i="7"/>
  <c r="E21" i="7"/>
  <c r="E27" i="7"/>
  <c r="E101" i="7"/>
  <c r="E125" i="7"/>
  <c r="E142" i="7"/>
  <c r="E281" i="7"/>
  <c r="E381" i="7"/>
  <c r="E448" i="7"/>
  <c r="M490" i="1"/>
  <c r="E506" i="7"/>
  <c r="E13" i="7"/>
  <c r="E20" i="7"/>
  <c r="E23" i="7"/>
  <c r="E30" i="7"/>
  <c r="E39" i="7"/>
  <c r="E46" i="7"/>
  <c r="E59" i="7"/>
  <c r="E66" i="7"/>
  <c r="E74" i="7"/>
  <c r="E90" i="7"/>
  <c r="E102" i="7"/>
  <c r="E116" i="7"/>
  <c r="E124" i="7"/>
  <c r="E126" i="7"/>
  <c r="E128" i="7"/>
  <c r="E136" i="7"/>
  <c r="E138" i="7"/>
  <c r="E139" i="7"/>
  <c r="E143" i="7"/>
  <c r="E145" i="7"/>
  <c r="E152" i="7"/>
  <c r="E167" i="7"/>
  <c r="E172" i="7"/>
  <c r="E173" i="7"/>
  <c r="E185" i="7"/>
  <c r="E200" i="7"/>
  <c r="E201" i="7"/>
  <c r="E211" i="7"/>
  <c r="E219" i="7"/>
  <c r="E255" i="7"/>
  <c r="E257" i="7"/>
  <c r="E271" i="7"/>
  <c r="E279" i="7"/>
  <c r="E280" i="7"/>
  <c r="E287" i="7"/>
  <c r="E290" i="7"/>
  <c r="E306" i="7"/>
  <c r="E315" i="7"/>
  <c r="E317" i="7"/>
  <c r="E340" i="7"/>
  <c r="E374" i="7"/>
  <c r="E382" i="7"/>
  <c r="E395" i="7"/>
  <c r="E405" i="7"/>
  <c r="E415" i="7"/>
  <c r="E426" i="7"/>
  <c r="E431" i="7"/>
  <c r="E432" i="7"/>
  <c r="E433" i="7"/>
  <c r="E445" i="7"/>
  <c r="E453" i="7"/>
  <c r="E455" i="7"/>
  <c r="E472" i="7"/>
  <c r="E482" i="7"/>
  <c r="E495" i="7"/>
  <c r="E501" i="7"/>
  <c r="E503" i="7"/>
  <c r="E508" i="7"/>
  <c r="CG499" i="1"/>
  <c r="BU496" i="7" s="1"/>
  <c r="E29" i="7"/>
  <c r="E38" i="7"/>
  <c r="E45" i="7"/>
  <c r="E53" i="7"/>
  <c r="E58" i="7"/>
  <c r="E65" i="7"/>
  <c r="E73" i="7"/>
  <c r="E81" i="7"/>
  <c r="E89" i="7"/>
  <c r="E99" i="7"/>
  <c r="E107" i="7"/>
  <c r="E115" i="7"/>
  <c r="E123" i="7"/>
  <c r="E141" i="7"/>
  <c r="E154" i="7"/>
  <c r="E156" i="7"/>
  <c r="E164" i="7"/>
  <c r="E165" i="7"/>
  <c r="E176" i="7"/>
  <c r="E177" i="7"/>
  <c r="E184" i="7"/>
  <c r="E195" i="7"/>
  <c r="E208" i="7"/>
  <c r="E209" i="7"/>
  <c r="E222" i="7"/>
  <c r="E224" i="7"/>
  <c r="E229" i="7"/>
  <c r="E232" i="7"/>
  <c r="E241" i="7"/>
  <c r="E243" i="7"/>
  <c r="E249" i="7"/>
  <c r="E251" i="7"/>
  <c r="E254" i="7"/>
  <c r="E259" i="7"/>
  <c r="E261" i="7"/>
  <c r="E270" i="7"/>
  <c r="E294" i="7"/>
  <c r="E304" i="7"/>
  <c r="E320" i="7"/>
  <c r="E328" i="7"/>
  <c r="E339" i="7"/>
  <c r="E341" i="7"/>
  <c r="E355" i="7"/>
  <c r="E370" i="7"/>
  <c r="E380" i="7"/>
  <c r="E403" i="7"/>
  <c r="E414" i="7"/>
  <c r="E419" i="7"/>
  <c r="E420" i="7"/>
  <c r="E435" i="7"/>
  <c r="E441" i="7"/>
  <c r="E450" i="7"/>
  <c r="E457" i="7"/>
  <c r="E459" i="7"/>
  <c r="E469" i="7"/>
  <c r="E477" i="7"/>
  <c r="E492" i="7"/>
  <c r="E33" i="7"/>
  <c r="E43" i="7"/>
  <c r="E49" i="7"/>
  <c r="E57" i="7"/>
  <c r="E63" i="7"/>
  <c r="E69" i="7"/>
  <c r="E77" i="7"/>
  <c r="E85" i="7"/>
  <c r="E93" i="7"/>
  <c r="E96" i="7"/>
  <c r="E97" i="7"/>
  <c r="E103" i="7"/>
  <c r="E111" i="7"/>
  <c r="E119" i="7"/>
  <c r="E127" i="7"/>
  <c r="E129" i="7"/>
  <c r="E130" i="7"/>
  <c r="E137" i="7"/>
  <c r="E144" i="7"/>
  <c r="E168" i="7"/>
  <c r="E169" i="7"/>
  <c r="E183" i="7"/>
  <c r="E191" i="7"/>
  <c r="E199" i="7"/>
  <c r="E216" i="7"/>
  <c r="E234" i="7"/>
  <c r="E245" i="7"/>
  <c r="E258" i="7"/>
  <c r="E268" i="7"/>
  <c r="E278" i="7"/>
  <c r="E286" i="7"/>
  <c r="E291" i="7"/>
  <c r="E292" i="7"/>
  <c r="E300" i="7"/>
  <c r="E308" i="7"/>
  <c r="E321" i="7"/>
  <c r="E327" i="7"/>
  <c r="E329" i="7"/>
  <c r="E335" i="7"/>
  <c r="E343" i="7"/>
  <c r="E350" i="7"/>
  <c r="E351" i="7"/>
  <c r="E359" i="7"/>
  <c r="E375" i="7"/>
  <c r="E376" i="7"/>
  <c r="E384" i="7"/>
  <c r="E393" i="7"/>
  <c r="E402" i="7"/>
  <c r="E430" i="7"/>
  <c r="E434" i="7"/>
  <c r="E454" i="7"/>
  <c r="E465" i="7"/>
  <c r="E468" i="7"/>
  <c r="E479" i="7"/>
  <c r="E481" i="7"/>
  <c r="E490" i="7"/>
  <c r="E7" i="7"/>
  <c r="E11" i="7"/>
  <c r="CC413" i="1"/>
  <c r="BQ410" i="7" s="1"/>
  <c r="BY413" i="1"/>
  <c r="BM410" i="7" s="1"/>
  <c r="BX413" i="1"/>
  <c r="BL410" i="7" s="1"/>
  <c r="CD413" i="1"/>
  <c r="BR410" i="7" s="1"/>
  <c r="CG463" i="1"/>
  <c r="BU460" i="7" s="1"/>
  <c r="BW463" i="1"/>
  <c r="BK460" i="7" s="1"/>
  <c r="BQ332" i="7"/>
  <c r="CC399" i="1"/>
  <c r="BQ396" i="7" s="1"/>
  <c r="CF399" i="1"/>
  <c r="BT396" i="7" s="1"/>
  <c r="CB399" i="1"/>
  <c r="BP396" i="7" s="1"/>
  <c r="CE399" i="1"/>
  <c r="BS396" i="7" s="1"/>
  <c r="CD399" i="1"/>
  <c r="BR396" i="7" s="1"/>
  <c r="BZ399" i="1"/>
  <c r="BN396" i="7" s="1"/>
  <c r="CK425" i="1"/>
  <c r="BY422" i="7" s="1"/>
  <c r="CE425" i="1"/>
  <c r="BS422" i="7" s="1"/>
  <c r="M10" i="1"/>
  <c r="C24" i="7"/>
  <c r="C25" i="7"/>
  <c r="M44" i="1"/>
  <c r="E87" i="7"/>
  <c r="C120" i="7"/>
  <c r="C121" i="7"/>
  <c r="C221" i="7"/>
  <c r="C220" i="7"/>
  <c r="BJ241" i="1"/>
  <c r="BR241" i="1"/>
  <c r="BF238" i="7" s="1"/>
  <c r="M242" i="1"/>
  <c r="C246" i="7"/>
  <c r="C247" i="7"/>
  <c r="BS255" i="1"/>
  <c r="BG252" i="7" s="1"/>
  <c r="CA255" i="1"/>
  <c r="BO252" i="7" s="1"/>
  <c r="CE255" i="1"/>
  <c r="BS252" i="7" s="1"/>
  <c r="E252" i="7" s="1"/>
  <c r="BP269" i="1"/>
  <c r="BD266" i="7" s="1"/>
  <c r="BT269" i="1"/>
  <c r="BH266" i="7" s="1"/>
  <c r="BX269" i="1"/>
  <c r="BL266" i="7" s="1"/>
  <c r="CB269" i="1"/>
  <c r="BP266" i="7" s="1"/>
  <c r="CF269" i="1"/>
  <c r="BT266" i="7" s="1"/>
  <c r="E267" i="7"/>
  <c r="M276" i="1"/>
  <c r="BR277" i="1"/>
  <c r="BF274" i="7" s="1"/>
  <c r="BV277" i="1"/>
  <c r="BJ274" i="7" s="1"/>
  <c r="M278" i="1"/>
  <c r="C282" i="7"/>
  <c r="C283" i="7"/>
  <c r="BW291" i="1"/>
  <c r="BK288" i="7" s="1"/>
  <c r="CE291" i="1"/>
  <c r="BS288" i="7" s="1"/>
  <c r="CI291" i="1"/>
  <c r="BW288" i="7" s="1"/>
  <c r="BT305" i="1"/>
  <c r="BH302" i="7" s="1"/>
  <c r="BX305" i="1"/>
  <c r="BL302" i="7" s="1"/>
  <c r="CB305" i="1"/>
  <c r="BP302" i="7" s="1"/>
  <c r="CF305" i="1"/>
  <c r="BT302" i="7" s="1"/>
  <c r="E303" i="7"/>
  <c r="BW315" i="1"/>
  <c r="BK312" i="7" s="1"/>
  <c r="O316" i="1"/>
  <c r="C318" i="7"/>
  <c r="C319" i="7"/>
  <c r="CA327" i="1"/>
  <c r="BO324" i="7" s="1"/>
  <c r="CI327" i="1"/>
  <c r="BW324" i="7" s="1"/>
  <c r="M336" i="1"/>
  <c r="CA339" i="1"/>
  <c r="BO336" i="7" s="1"/>
  <c r="CE339" i="1"/>
  <c r="BS336" i="7" s="1"/>
  <c r="CI339" i="1"/>
  <c r="BW336" i="7" s="1"/>
  <c r="M348" i="1"/>
  <c r="M350" i="1"/>
  <c r="BL355" i="1"/>
  <c r="AZ352" i="7" s="1"/>
  <c r="BP355" i="1"/>
  <c r="BD352" i="7" s="1"/>
  <c r="BT355" i="1"/>
  <c r="BH352" i="7" s="1"/>
  <c r="E353" i="7"/>
  <c r="CA365" i="1"/>
  <c r="BO362" i="7" s="1"/>
  <c r="CE365" i="1"/>
  <c r="BS362" i="7" s="1"/>
  <c r="CI365" i="1"/>
  <c r="BW362" i="7" s="1"/>
  <c r="O366" i="1"/>
  <c r="CJ363" i="1" s="1"/>
  <c r="BX360" i="7" s="1"/>
  <c r="CE375" i="1"/>
  <c r="BS372" i="7" s="1"/>
  <c r="C378" i="7"/>
  <c r="C379" i="7"/>
  <c r="E387" i="7"/>
  <c r="E389" i="7"/>
  <c r="BX393" i="1"/>
  <c r="BL390" i="7" s="1"/>
  <c r="E391" i="7"/>
  <c r="M400" i="1"/>
  <c r="M402" i="1"/>
  <c r="C406" i="7"/>
  <c r="C407" i="7"/>
  <c r="M414" i="1"/>
  <c r="M416" i="1"/>
  <c r="CA419" i="1"/>
  <c r="BO416" i="7" s="1"/>
  <c r="CE419" i="1"/>
  <c r="BS416" i="7" s="1"/>
  <c r="E416" i="7" s="1"/>
  <c r="C422" i="7"/>
  <c r="C423" i="7"/>
  <c r="CC425" i="1"/>
  <c r="BQ422" i="7" s="1"/>
  <c r="C425" i="7"/>
  <c r="C424" i="7"/>
  <c r="M432" i="1"/>
  <c r="C436" i="7"/>
  <c r="C437" i="7"/>
  <c r="C438" i="7"/>
  <c r="C439" i="7"/>
  <c r="M446" i="1"/>
  <c r="BG449" i="1"/>
  <c r="AU446" i="7" s="1"/>
  <c r="BK449" i="1"/>
  <c r="AY446" i="7" s="1"/>
  <c r="BO449" i="1"/>
  <c r="BC446" i="7" s="1"/>
  <c r="BS449" i="1"/>
  <c r="BG446" i="7" s="1"/>
  <c r="BW449" i="1"/>
  <c r="BK446" i="7" s="1"/>
  <c r="C460" i="7"/>
  <c r="C461" i="7"/>
  <c r="BU463" i="1"/>
  <c r="BI460" i="7" s="1"/>
  <c r="BY463" i="1"/>
  <c r="BM460" i="7" s="1"/>
  <c r="C462" i="7"/>
  <c r="C463" i="7"/>
  <c r="M470" i="1"/>
  <c r="BT477" i="1"/>
  <c r="BH474" i="7" s="1"/>
  <c r="BX477" i="1"/>
  <c r="BL474" i="7" s="1"/>
  <c r="CB477" i="1"/>
  <c r="BP474" i="7" s="1"/>
  <c r="CF477" i="1"/>
  <c r="BT474" i="7" s="1"/>
  <c r="E475" i="7"/>
  <c r="E485" i="7"/>
  <c r="BH489" i="1"/>
  <c r="AV486" i="7" s="1"/>
  <c r="BL489" i="1"/>
  <c r="AZ486" i="7" s="1"/>
  <c r="BP489" i="1"/>
  <c r="BD486" i="7" s="1"/>
  <c r="BT489" i="1"/>
  <c r="BH486" i="7" s="1"/>
  <c r="BX489" i="1"/>
  <c r="BL486" i="7" s="1"/>
  <c r="CB489" i="1"/>
  <c r="BP486" i="7" s="1"/>
  <c r="CF489" i="1"/>
  <c r="BT486" i="7" s="1"/>
  <c r="E487" i="7"/>
  <c r="E497" i="7"/>
  <c r="E507" i="7"/>
  <c r="T516" i="1"/>
  <c r="W518" i="1"/>
  <c r="AE518" i="1"/>
  <c r="AM518" i="1"/>
  <c r="AU518" i="1"/>
  <c r="BC518" i="1"/>
  <c r="BK518" i="1"/>
  <c r="BS518" i="1"/>
  <c r="CA518" i="1"/>
  <c r="CI518" i="1"/>
  <c r="CB2" i="7"/>
  <c r="H3" i="7"/>
  <c r="P3" i="7"/>
  <c r="X3" i="7"/>
  <c r="AF3" i="7"/>
  <c r="AN3" i="7"/>
  <c r="AV3" i="7"/>
  <c r="BD3" i="7"/>
  <c r="BL3" i="7"/>
  <c r="BT3" i="7"/>
  <c r="CB3" i="7"/>
  <c r="F4" i="7"/>
  <c r="C10" i="7"/>
  <c r="C71" i="7"/>
  <c r="M8" i="1"/>
  <c r="C36" i="7"/>
  <c r="C37" i="7"/>
  <c r="O6" i="1"/>
  <c r="W9" i="1"/>
  <c r="K6" i="7" s="1"/>
  <c r="AA9" i="1"/>
  <c r="O6" i="7" s="1"/>
  <c r="AE9" i="1"/>
  <c r="S6" i="7" s="1"/>
  <c r="AF13" i="1"/>
  <c r="T10" i="7" s="1"/>
  <c r="AJ13" i="1"/>
  <c r="X10" i="7" s="1"/>
  <c r="AN13" i="1"/>
  <c r="AB10" i="7" s="1"/>
  <c r="AR13" i="1"/>
  <c r="AF10" i="7" s="1"/>
  <c r="AT27" i="1"/>
  <c r="AH24" i="7" s="1"/>
  <c r="AX27" i="1"/>
  <c r="AL24" i="7" s="1"/>
  <c r="M28" i="1"/>
  <c r="M38" i="1"/>
  <c r="M40" i="1"/>
  <c r="AY43" i="1"/>
  <c r="AM40" i="7" s="1"/>
  <c r="BC43" i="1"/>
  <c r="AQ40" i="7" s="1"/>
  <c r="BG43" i="1"/>
  <c r="AU40" i="7" s="1"/>
  <c r="BC53" i="1"/>
  <c r="AQ50" i="7" s="1"/>
  <c r="AY63" i="1"/>
  <c r="AM60" i="7" s="1"/>
  <c r="BC63" i="1"/>
  <c r="AQ60" i="7" s="1"/>
  <c r="BG63" i="1"/>
  <c r="AU60" i="7" s="1"/>
  <c r="BC73" i="1"/>
  <c r="AQ70" i="7" s="1"/>
  <c r="E70" i="7" s="1"/>
  <c r="BG73" i="1"/>
  <c r="AU70" i="7" s="1"/>
  <c r="BJ81" i="1"/>
  <c r="AX78" i="7" s="1"/>
  <c r="M82" i="1"/>
  <c r="BM89" i="1"/>
  <c r="BA86" i="7" s="1"/>
  <c r="BD97" i="1"/>
  <c r="AR94" i="7" s="1"/>
  <c r="BH97" i="1"/>
  <c r="AV94" i="7" s="1"/>
  <c r="BL97" i="1"/>
  <c r="AZ94" i="7" s="1"/>
  <c r="E95" i="7"/>
  <c r="BP107" i="1"/>
  <c r="BD104" i="7" s="1"/>
  <c r="E105" i="7"/>
  <c r="BS115" i="1"/>
  <c r="BG112" i="7" s="1"/>
  <c r="BB123" i="1"/>
  <c r="AP120" i="7" s="1"/>
  <c r="BF123" i="1"/>
  <c r="AT120" i="7" s="1"/>
  <c r="BJ123" i="1"/>
  <c r="AX120" i="7" s="1"/>
  <c r="M124" i="1"/>
  <c r="BO135" i="1"/>
  <c r="BC132" i="7" s="1"/>
  <c r="C146" i="7"/>
  <c r="C147" i="7"/>
  <c r="C148" i="7"/>
  <c r="C149" i="7"/>
  <c r="C150" i="7"/>
  <c r="C151" i="7"/>
  <c r="BA153" i="1"/>
  <c r="AO150" i="7" s="1"/>
  <c r="BE153" i="1"/>
  <c r="AS150" i="7" s="1"/>
  <c r="BI153" i="1"/>
  <c r="AW150" i="7" s="1"/>
  <c r="BM153" i="1"/>
  <c r="BA150" i="7" s="1"/>
  <c r="BQ153" i="1"/>
  <c r="BE150" i="7" s="1"/>
  <c r="C160" i="7"/>
  <c r="C161" i="7"/>
  <c r="C162" i="7"/>
  <c r="C163" i="7"/>
  <c r="BA165" i="1"/>
  <c r="AO162" i="7" s="1"/>
  <c r="BI165" i="1"/>
  <c r="AW162" i="7" s="1"/>
  <c r="BM165" i="1"/>
  <c r="BA162" i="7" s="1"/>
  <c r="BD173" i="1"/>
  <c r="AR170" i="7" s="1"/>
  <c r="BP173" i="1"/>
  <c r="BD170" i="7" s="1"/>
  <c r="E171" i="7"/>
  <c r="BO181" i="1"/>
  <c r="BC178" i="7" s="1"/>
  <c r="BS181" i="1"/>
  <c r="BG178" i="7" s="1"/>
  <c r="CA181" i="1"/>
  <c r="BO178" i="7" s="1"/>
  <c r="CI181" i="1"/>
  <c r="BW178" i="7" s="1"/>
  <c r="BS191" i="1"/>
  <c r="BG188" i="7" s="1"/>
  <c r="BL195" i="1"/>
  <c r="AZ192" i="7" s="1"/>
  <c r="BP195" i="1"/>
  <c r="BD192" i="7" s="1"/>
  <c r="BT195" i="1"/>
  <c r="BH192" i="7" s="1"/>
  <c r="BX195" i="1"/>
  <c r="BL192" i="7" s="1"/>
  <c r="CB195" i="1"/>
  <c r="BP192" i="7" s="1"/>
  <c r="CF195" i="1"/>
  <c r="BT192" i="7" s="1"/>
  <c r="E193" i="7"/>
  <c r="E203" i="7"/>
  <c r="BD207" i="1"/>
  <c r="AR204" i="7" s="1"/>
  <c r="BL207" i="1"/>
  <c r="AZ204" i="7" s="1"/>
  <c r="BP207" i="1"/>
  <c r="BD204" i="7" s="1"/>
  <c r="E205" i="7"/>
  <c r="BG215" i="1"/>
  <c r="AU212" i="7" s="1"/>
  <c r="CA215" i="1"/>
  <c r="BO212" i="7" s="1"/>
  <c r="BV223" i="1"/>
  <c r="BJ220" i="7" s="1"/>
  <c r="CH223" i="1"/>
  <c r="BV220" i="7" s="1"/>
  <c r="M224" i="1"/>
  <c r="M229" i="1"/>
  <c r="E227" i="7"/>
  <c r="C230" i="7"/>
  <c r="C231" i="7"/>
  <c r="BM233" i="1"/>
  <c r="BA230" i="7" s="1"/>
  <c r="BQ233" i="1"/>
  <c r="BE230" i="7" s="1"/>
  <c r="BU233" i="1"/>
  <c r="BI230" i="7" s="1"/>
  <c r="BY233" i="1"/>
  <c r="BM230" i="7" s="1"/>
  <c r="BK241" i="1"/>
  <c r="AY238" i="7" s="1"/>
  <c r="BS241" i="1"/>
  <c r="BG238" i="7" s="1"/>
  <c r="BW241" i="1"/>
  <c r="BK238" i="7" s="1"/>
  <c r="BN249" i="1"/>
  <c r="BB246" i="7" s="1"/>
  <c r="M250" i="1"/>
  <c r="BP255" i="1"/>
  <c r="BD252" i="7" s="1"/>
  <c r="CB255" i="1"/>
  <c r="BP252" i="7" s="1"/>
  <c r="CF255" i="1"/>
  <c r="BT252" i="7" s="1"/>
  <c r="E253" i="7"/>
  <c r="M265" i="1"/>
  <c r="E263" i="7"/>
  <c r="C266" i="7"/>
  <c r="C267" i="7"/>
  <c r="BQ269" i="1"/>
  <c r="BE266" i="7" s="1"/>
  <c r="BU269" i="1"/>
  <c r="BI266" i="7" s="1"/>
  <c r="BY269" i="1"/>
  <c r="BM266" i="7" s="1"/>
  <c r="CC269" i="1"/>
  <c r="BQ266" i="7" s="1"/>
  <c r="CG269" i="1"/>
  <c r="BU266" i="7" s="1"/>
  <c r="BS277" i="1"/>
  <c r="BG274" i="7" s="1"/>
  <c r="BW277" i="1"/>
  <c r="BK274" i="7" s="1"/>
  <c r="CA277" i="1"/>
  <c r="BO274" i="7" s="1"/>
  <c r="BV285" i="1"/>
  <c r="BJ282" i="7" s="1"/>
  <c r="M286" i="1"/>
  <c r="BX291" i="1"/>
  <c r="BL288" i="7" s="1"/>
  <c r="CF291" i="1"/>
  <c r="BT288" i="7" s="1"/>
  <c r="CJ291" i="1"/>
  <c r="BX288" i="7" s="1"/>
  <c r="E289" i="7"/>
  <c r="E299" i="7"/>
  <c r="C302" i="7"/>
  <c r="C303" i="7"/>
  <c r="BU305" i="1"/>
  <c r="BI302" i="7" s="1"/>
  <c r="BY305" i="1"/>
  <c r="BM302" i="7" s="1"/>
  <c r="CC305" i="1"/>
  <c r="BQ302" i="7" s="1"/>
  <c r="CG305" i="1"/>
  <c r="BU302" i="7" s="1"/>
  <c r="E311" i="7"/>
  <c r="M315" i="1"/>
  <c r="BX315" i="1"/>
  <c r="BL312" i="7" s="1"/>
  <c r="E313" i="7"/>
  <c r="BZ321" i="1"/>
  <c r="BN318" i="7" s="1"/>
  <c r="E318" i="7" s="1"/>
  <c r="M322" i="1"/>
  <c r="CB327" i="1"/>
  <c r="BP324" i="7" s="1"/>
  <c r="CJ327" i="1"/>
  <c r="BX324" i="7" s="1"/>
  <c r="E325" i="7"/>
  <c r="CE335" i="1"/>
  <c r="BS332" i="7" s="1"/>
  <c r="E332" i="7" s="1"/>
  <c r="BX339" i="1"/>
  <c r="BL336" i="7" s="1"/>
  <c r="CB339" i="1"/>
  <c r="BP336" i="7" s="1"/>
  <c r="CF339" i="1"/>
  <c r="BT336" i="7" s="1"/>
  <c r="CJ339" i="1"/>
  <c r="BX336" i="7" s="1"/>
  <c r="E337" i="7"/>
  <c r="BK349" i="1"/>
  <c r="AY346" i="7" s="1"/>
  <c r="BO349" i="1"/>
  <c r="BC346" i="7" s="1"/>
  <c r="C352" i="7"/>
  <c r="C353" i="7"/>
  <c r="BM355" i="1"/>
  <c r="BA352" i="7" s="1"/>
  <c r="BQ355" i="1"/>
  <c r="BE352" i="7" s="1"/>
  <c r="E361" i="7"/>
  <c r="CB365" i="1"/>
  <c r="BP362" i="7" s="1"/>
  <c r="CF365" i="1"/>
  <c r="BT362" i="7" s="1"/>
  <c r="E363" i="7"/>
  <c r="CB375" i="1"/>
  <c r="BP372" i="7" s="1"/>
  <c r="E372" i="7" s="1"/>
  <c r="CF375" i="1"/>
  <c r="BT372" i="7" s="1"/>
  <c r="E373" i="7"/>
  <c r="CH381" i="1"/>
  <c r="BV378" i="7" s="1"/>
  <c r="M382" i="1"/>
  <c r="C386" i="7"/>
  <c r="C387" i="7"/>
  <c r="C389" i="7"/>
  <c r="C388" i="7"/>
  <c r="C391" i="7"/>
  <c r="C390" i="7"/>
  <c r="BY393" i="1"/>
  <c r="BM390" i="7" s="1"/>
  <c r="CA401" i="1"/>
  <c r="BO398" i="7" s="1"/>
  <c r="E406" i="7"/>
  <c r="M410" i="1"/>
  <c r="BW415" i="1"/>
  <c r="CA415" i="1"/>
  <c r="BO412" i="7" s="1"/>
  <c r="CB419" i="1"/>
  <c r="BP416" i="7" s="1"/>
  <c r="E417" i="7"/>
  <c r="CD425" i="1"/>
  <c r="BR422" i="7" s="1"/>
  <c r="CH425" i="1"/>
  <c r="BV422" i="7" s="1"/>
  <c r="M426" i="1"/>
  <c r="E424" i="7"/>
  <c r="M428" i="1"/>
  <c r="CI431" i="1"/>
  <c r="BW428" i="7" s="1"/>
  <c r="M440" i="1"/>
  <c r="M442" i="1"/>
  <c r="CE445" i="1"/>
  <c r="BS442" i="7" s="1"/>
  <c r="BH449" i="1"/>
  <c r="AV446" i="7" s="1"/>
  <c r="BL449" i="1"/>
  <c r="AZ446" i="7" s="1"/>
  <c r="BP449" i="1"/>
  <c r="BD446" i="7" s="1"/>
  <c r="BT449" i="1"/>
  <c r="BH446" i="7" s="1"/>
  <c r="BX449" i="1"/>
  <c r="BL446" i="7" s="1"/>
  <c r="E447" i="7"/>
  <c r="BR463" i="1"/>
  <c r="BF460" i="7" s="1"/>
  <c r="BV463" i="1"/>
  <c r="BJ460" i="7" s="1"/>
  <c r="BZ463" i="1"/>
  <c r="BN460" i="7" s="1"/>
  <c r="CD463" i="1"/>
  <c r="BR460" i="7" s="1"/>
  <c r="CH463" i="1"/>
  <c r="BV460" i="7" s="1"/>
  <c r="M464" i="1"/>
  <c r="M466" i="1"/>
  <c r="CA469" i="1"/>
  <c r="CE469" i="1"/>
  <c r="BS466" i="7" s="1"/>
  <c r="CI469" i="1"/>
  <c r="BW466" i="7" s="1"/>
  <c r="M473" i="1"/>
  <c r="E471" i="7"/>
  <c r="C474" i="7"/>
  <c r="C475" i="7"/>
  <c r="BU477" i="1"/>
  <c r="BI474" i="7" s="1"/>
  <c r="BY477" i="1"/>
  <c r="BM474" i="7" s="1"/>
  <c r="CC477" i="1"/>
  <c r="BQ474" i="7" s="1"/>
  <c r="CG477" i="1"/>
  <c r="BU474" i="7" s="1"/>
  <c r="C485" i="7"/>
  <c r="C484" i="7"/>
  <c r="C487" i="7"/>
  <c r="C486" i="7"/>
  <c r="BI489" i="1"/>
  <c r="AW486" i="7" s="1"/>
  <c r="BM489" i="1"/>
  <c r="BA486" i="7" s="1"/>
  <c r="BQ489" i="1"/>
  <c r="BE486" i="7" s="1"/>
  <c r="BU489" i="1"/>
  <c r="BI486" i="7" s="1"/>
  <c r="BY489" i="1"/>
  <c r="BM486" i="7" s="1"/>
  <c r="CC489" i="1"/>
  <c r="BQ486" i="7" s="1"/>
  <c r="CG489" i="1"/>
  <c r="BU486" i="7" s="1"/>
  <c r="C496" i="7"/>
  <c r="C497" i="7"/>
  <c r="BU499" i="1"/>
  <c r="BI496" i="7" s="1"/>
  <c r="BY499" i="1"/>
  <c r="BM496" i="7" s="1"/>
  <c r="CC499" i="1"/>
  <c r="BQ496" i="7" s="1"/>
  <c r="C506" i="7"/>
  <c r="C507" i="7"/>
  <c r="U516" i="1"/>
  <c r="CL516" i="1"/>
  <c r="R518" i="1"/>
  <c r="Z518" i="1"/>
  <c r="AH518" i="1"/>
  <c r="AP518" i="1"/>
  <c r="AX518" i="1"/>
  <c r="BF518" i="1"/>
  <c r="BN518" i="1"/>
  <c r="BV518" i="1"/>
  <c r="CD518" i="1"/>
  <c r="CL518" i="1"/>
  <c r="I3" i="7"/>
  <c r="Q3" i="7"/>
  <c r="Y3" i="7"/>
  <c r="AG3" i="7"/>
  <c r="AO3" i="7"/>
  <c r="AW3" i="7"/>
  <c r="BE3" i="7"/>
  <c r="BM3" i="7"/>
  <c r="BU3" i="7"/>
  <c r="CC3" i="7"/>
  <c r="C35" i="7"/>
  <c r="E54" i="7"/>
  <c r="C95" i="7"/>
  <c r="X9" i="1"/>
  <c r="L6" i="7" s="1"/>
  <c r="AB9" i="1"/>
  <c r="P6" i="7" s="1"/>
  <c r="AG13" i="1"/>
  <c r="U10" i="7" s="1"/>
  <c r="AK13" i="1"/>
  <c r="Y10" i="7" s="1"/>
  <c r="AO13" i="1"/>
  <c r="AC10" i="7" s="1"/>
  <c r="AQ27" i="1"/>
  <c r="AE24" i="7" s="1"/>
  <c r="O28" i="1"/>
  <c r="AG7" i="1" s="1"/>
  <c r="U4" i="7" s="1"/>
  <c r="O38" i="1"/>
  <c r="O40" i="1"/>
  <c r="AZ43" i="1"/>
  <c r="AN40" i="7" s="1"/>
  <c r="BD43" i="1"/>
  <c r="AR40" i="7" s="1"/>
  <c r="AZ53" i="1"/>
  <c r="AN50" i="7" s="1"/>
  <c r="BD53" i="1"/>
  <c r="AR50" i="7" s="1"/>
  <c r="E51" i="7"/>
  <c r="AV63" i="1"/>
  <c r="AJ60" i="7" s="1"/>
  <c r="E60" i="7" s="1"/>
  <c r="AZ63" i="1"/>
  <c r="AN60" i="7" s="1"/>
  <c r="BD63" i="1"/>
  <c r="AR60" i="7" s="1"/>
  <c r="BD73" i="1"/>
  <c r="AR70" i="7" s="1"/>
  <c r="E71" i="7"/>
  <c r="BG81" i="1"/>
  <c r="AU78" i="7" s="1"/>
  <c r="O82" i="1"/>
  <c r="M90" i="1"/>
  <c r="BE97" i="1"/>
  <c r="AS94" i="7" s="1"/>
  <c r="BI97" i="1"/>
  <c r="AW94" i="7" s="1"/>
  <c r="C104" i="7"/>
  <c r="C105" i="7"/>
  <c r="M115" i="1"/>
  <c r="BT115" i="1"/>
  <c r="BH112" i="7" s="1"/>
  <c r="E113" i="7"/>
  <c r="BC123" i="1"/>
  <c r="AQ120" i="7" s="1"/>
  <c r="BG123" i="1"/>
  <c r="AU120" i="7" s="1"/>
  <c r="O124" i="1"/>
  <c r="BD37" i="1" s="1"/>
  <c r="AR34" i="7" s="1"/>
  <c r="BP135" i="1"/>
  <c r="BD132" i="7" s="1"/>
  <c r="E133" i="7"/>
  <c r="M150" i="1"/>
  <c r="M152" i="1"/>
  <c r="AX153" i="1"/>
  <c r="BB153" i="1"/>
  <c r="AP150" i="7" s="1"/>
  <c r="BF153" i="1"/>
  <c r="AT150" i="7" s="1"/>
  <c r="BJ153" i="1"/>
  <c r="AX150" i="7" s="1"/>
  <c r="M154" i="1"/>
  <c r="M164" i="1"/>
  <c r="AX165" i="1"/>
  <c r="BJ165" i="1"/>
  <c r="AX162" i="7" s="1"/>
  <c r="M166" i="1"/>
  <c r="C170" i="7"/>
  <c r="C171" i="7"/>
  <c r="BP181" i="1"/>
  <c r="BD178" i="7" s="1"/>
  <c r="BT181" i="1"/>
  <c r="BH178" i="7" s="1"/>
  <c r="CB181" i="1"/>
  <c r="BP178" i="7" s="1"/>
  <c r="E179" i="7"/>
  <c r="M191" i="1"/>
  <c r="BT191" i="1"/>
  <c r="BH188" i="7" s="1"/>
  <c r="E189" i="7"/>
  <c r="C192" i="7"/>
  <c r="C193" i="7"/>
  <c r="BI195" i="1"/>
  <c r="AW192" i="7" s="1"/>
  <c r="BM195" i="1"/>
  <c r="BA192" i="7" s="1"/>
  <c r="BQ195" i="1"/>
  <c r="BE192" i="7" s="1"/>
  <c r="BU195" i="1"/>
  <c r="BI192" i="7" s="1"/>
  <c r="BY195" i="1"/>
  <c r="BM192" i="7" s="1"/>
  <c r="CC195" i="1"/>
  <c r="BQ192" i="7" s="1"/>
  <c r="C202" i="7"/>
  <c r="C203" i="7"/>
  <c r="C204" i="7"/>
  <c r="C205" i="7"/>
  <c r="BH215" i="1"/>
  <c r="AV212" i="7" s="1"/>
  <c r="BT215" i="1"/>
  <c r="BH212" i="7" s="1"/>
  <c r="CB215" i="1"/>
  <c r="BP212" i="7" s="1"/>
  <c r="E213" i="7"/>
  <c r="BW223" i="1"/>
  <c r="BK220" i="7" s="1"/>
  <c r="O224" i="1"/>
  <c r="BQ205" i="1" s="1"/>
  <c r="BE202" i="7" s="1"/>
  <c r="C226" i="7"/>
  <c r="C227" i="7"/>
  <c r="M234" i="1"/>
  <c r="E237" i="7"/>
  <c r="C253" i="7"/>
  <c r="C252" i="7"/>
  <c r="C262" i="7"/>
  <c r="C263" i="7"/>
  <c r="C289" i="7"/>
  <c r="C288" i="7"/>
  <c r="C298" i="7"/>
  <c r="C299" i="7"/>
  <c r="C310" i="7"/>
  <c r="C311" i="7"/>
  <c r="C312" i="7"/>
  <c r="C313" i="7"/>
  <c r="C324" i="7"/>
  <c r="C325" i="7"/>
  <c r="C336" i="7"/>
  <c r="C337" i="7"/>
  <c r="C360" i="7"/>
  <c r="C361" i="7"/>
  <c r="C362" i="7"/>
  <c r="C363" i="7"/>
  <c r="C373" i="7"/>
  <c r="C372" i="7"/>
  <c r="E390" i="7"/>
  <c r="C416" i="7"/>
  <c r="C417" i="7"/>
  <c r="C446" i="7"/>
  <c r="C447" i="7"/>
  <c r="C470" i="7"/>
  <c r="C471" i="7"/>
  <c r="R516" i="1"/>
  <c r="V516" i="1"/>
  <c r="CM516" i="1"/>
  <c r="S518" i="1"/>
  <c r="AA518" i="1"/>
  <c r="AI518" i="1"/>
  <c r="AQ518" i="1"/>
  <c r="AY518" i="1"/>
  <c r="BG518" i="1"/>
  <c r="BO518" i="1"/>
  <c r="BW518" i="1"/>
  <c r="CE518" i="1"/>
  <c r="CM518" i="1"/>
  <c r="C2" i="7"/>
  <c r="L3" i="7"/>
  <c r="T3" i="7"/>
  <c r="AB3" i="7"/>
  <c r="AJ3" i="7"/>
  <c r="AR3" i="7"/>
  <c r="AZ3" i="7"/>
  <c r="BH3" i="7"/>
  <c r="BP3" i="7"/>
  <c r="BX3" i="7"/>
  <c r="C6" i="7"/>
  <c r="E18" i="7"/>
  <c r="C51" i="7"/>
  <c r="C87" i="7"/>
  <c r="M6" i="1"/>
  <c r="CO516" i="1"/>
  <c r="CC2" i="7"/>
  <c r="C4" i="7"/>
  <c r="C5" i="7"/>
  <c r="Y9" i="1"/>
  <c r="M6" i="7" s="1"/>
  <c r="AD13" i="1"/>
  <c r="R10" i="7" s="1"/>
  <c r="AH13" i="1"/>
  <c r="V10" i="7" s="1"/>
  <c r="AL13" i="1"/>
  <c r="Z10" i="7" s="1"/>
  <c r="AP13" i="1"/>
  <c r="AD10" i="7" s="1"/>
  <c r="M14" i="1"/>
  <c r="AR27" i="1"/>
  <c r="AF24" i="7" s="1"/>
  <c r="BT37" i="1"/>
  <c r="BH34" i="7" s="1"/>
  <c r="E35" i="7"/>
  <c r="M39" i="1"/>
  <c r="C40" i="7"/>
  <c r="C41" i="7"/>
  <c r="AW43" i="1"/>
  <c r="AK40" i="7" s="1"/>
  <c r="BA43" i="1"/>
  <c r="AO40" i="7" s="1"/>
  <c r="BA53" i="1"/>
  <c r="AO50" i="7" s="1"/>
  <c r="C60" i="7"/>
  <c r="C61" i="7"/>
  <c r="AW63" i="1"/>
  <c r="AK60" i="7" s="1"/>
  <c r="BA63" i="1"/>
  <c r="AO60" i="7" s="1"/>
  <c r="M81" i="1"/>
  <c r="E79" i="7"/>
  <c r="BK89" i="1"/>
  <c r="O90" i="1"/>
  <c r="E94" i="7"/>
  <c r="BF97" i="1"/>
  <c r="AT94" i="7" s="1"/>
  <c r="BJ97" i="1"/>
  <c r="AX94" i="7" s="1"/>
  <c r="M98" i="1"/>
  <c r="E104" i="7"/>
  <c r="M108" i="1"/>
  <c r="C112" i="7"/>
  <c r="C113" i="7"/>
  <c r="M123" i="1"/>
  <c r="BD123" i="1"/>
  <c r="AR120" i="7" s="1"/>
  <c r="BH123" i="1"/>
  <c r="AV120" i="7" s="1"/>
  <c r="E121" i="7"/>
  <c r="C132" i="7"/>
  <c r="C133" i="7"/>
  <c r="BM135" i="1"/>
  <c r="BA132" i="7" s="1"/>
  <c r="O150" i="1"/>
  <c r="BK151" i="1"/>
  <c r="AY148" i="7" s="1"/>
  <c r="O152" i="1"/>
  <c r="AY153" i="1"/>
  <c r="AM150" i="7" s="1"/>
  <c r="BC153" i="1"/>
  <c r="AQ150" i="7" s="1"/>
  <c r="BG153" i="1"/>
  <c r="AU150" i="7" s="1"/>
  <c r="BK153" i="1"/>
  <c r="AY150" i="7" s="1"/>
  <c r="O154" i="1"/>
  <c r="CI163" i="1"/>
  <c r="BW160" i="7" s="1"/>
  <c r="O164" i="1"/>
  <c r="AY165" i="1"/>
  <c r="AM162" i="7" s="1"/>
  <c r="BK165" i="1"/>
  <c r="AY162" i="7" s="1"/>
  <c r="O166" i="1"/>
  <c r="BB173" i="1"/>
  <c r="AP170" i="7" s="1"/>
  <c r="M174" i="1"/>
  <c r="C178" i="7"/>
  <c r="C179" i="7"/>
  <c r="BQ181" i="1"/>
  <c r="BE178" i="7" s="1"/>
  <c r="CC181" i="1"/>
  <c r="BQ178" i="7" s="1"/>
  <c r="C188" i="7"/>
  <c r="C189" i="7"/>
  <c r="BJ195" i="1"/>
  <c r="AX192" i="7" s="1"/>
  <c r="BN195" i="1"/>
  <c r="BB192" i="7" s="1"/>
  <c r="BR195" i="1"/>
  <c r="BF192" i="7" s="1"/>
  <c r="BV195" i="1"/>
  <c r="BJ192" i="7" s="1"/>
  <c r="BZ195" i="1"/>
  <c r="BN192" i="7" s="1"/>
  <c r="M196" i="1"/>
  <c r="M206" i="1"/>
  <c r="BF207" i="1"/>
  <c r="AT204" i="7" s="1"/>
  <c r="BN207" i="1"/>
  <c r="BB204" i="7" s="1"/>
  <c r="M208" i="1"/>
  <c r="C212" i="7"/>
  <c r="C213" i="7"/>
  <c r="BI215" i="1"/>
  <c r="AW212" i="7" s="1"/>
  <c r="BU215" i="1"/>
  <c r="BI212" i="7" s="1"/>
  <c r="M223" i="1"/>
  <c r="BX223" i="1"/>
  <c r="BL220" i="7" s="1"/>
  <c r="E221" i="7"/>
  <c r="E226" i="7"/>
  <c r="M230" i="1"/>
  <c r="BK233" i="1"/>
  <c r="BO233" i="1"/>
  <c r="BC230" i="7" s="1"/>
  <c r="BS233" i="1"/>
  <c r="BG230" i="7" s="1"/>
  <c r="O234" i="1"/>
  <c r="BR205" i="1" s="1"/>
  <c r="BF202" i="7" s="1"/>
  <c r="C237" i="7"/>
  <c r="C236" i="7"/>
  <c r="C238" i="7"/>
  <c r="C239" i="7"/>
  <c r="BM241" i="1"/>
  <c r="BA238" i="7" s="1"/>
  <c r="BQ241" i="1"/>
  <c r="BE238" i="7" s="1"/>
  <c r="BP249" i="1"/>
  <c r="BD246" i="7" s="1"/>
  <c r="E247" i="7"/>
  <c r="BR255" i="1"/>
  <c r="BF252" i="7" s="1"/>
  <c r="BZ255" i="1"/>
  <c r="BN252" i="7" s="1"/>
  <c r="M256" i="1"/>
  <c r="E262" i="7"/>
  <c r="M266" i="1"/>
  <c r="BS269" i="1"/>
  <c r="BG266" i="7" s="1"/>
  <c r="BW269" i="1"/>
  <c r="BK266" i="7" s="1"/>
  <c r="CA269" i="1"/>
  <c r="BO266" i="7" s="1"/>
  <c r="O270" i="1"/>
  <c r="C273" i="7"/>
  <c r="C272" i="7"/>
  <c r="C274" i="7"/>
  <c r="C275" i="7"/>
  <c r="BQ277" i="1"/>
  <c r="BU277" i="1"/>
  <c r="BI274" i="7" s="1"/>
  <c r="M285" i="1"/>
  <c r="BT285" i="1"/>
  <c r="BH282" i="7" s="1"/>
  <c r="E282" i="7" s="1"/>
  <c r="E283" i="7"/>
  <c r="BV291" i="1"/>
  <c r="BJ288" i="7" s="1"/>
  <c r="E288" i="7" s="1"/>
  <c r="M292" i="1"/>
  <c r="M302" i="1"/>
  <c r="BS305" i="1"/>
  <c r="BG302" i="7" s="1"/>
  <c r="E302" i="7" s="1"/>
  <c r="BW305" i="1"/>
  <c r="BK302" i="7" s="1"/>
  <c r="CA305" i="1"/>
  <c r="BO302" i="7" s="1"/>
  <c r="O306" i="1"/>
  <c r="BV313" i="1"/>
  <c r="BJ310" i="7" s="1"/>
  <c r="CH313" i="1"/>
  <c r="BV310" i="7" s="1"/>
  <c r="M314" i="1"/>
  <c r="M316" i="1"/>
  <c r="M321" i="1"/>
  <c r="E319" i="7"/>
  <c r="BZ327" i="1"/>
  <c r="BN324" i="7" s="1"/>
  <c r="E324" i="7" s="1"/>
  <c r="M328" i="1"/>
  <c r="C332" i="7"/>
  <c r="C333" i="7"/>
  <c r="BZ339" i="1"/>
  <c r="BN336" i="7" s="1"/>
  <c r="E336" i="7" s="1"/>
  <c r="CD339" i="1"/>
  <c r="BR336" i="7" s="1"/>
  <c r="M340" i="1"/>
  <c r="C344" i="7"/>
  <c r="C345" i="7"/>
  <c r="C347" i="7"/>
  <c r="C346" i="7"/>
  <c r="BI349" i="1"/>
  <c r="BK355" i="1"/>
  <c r="AY352" i="7" s="1"/>
  <c r="E352" i="7" s="1"/>
  <c r="BO355" i="1"/>
  <c r="BC352" i="7" s="1"/>
  <c r="O356" i="1"/>
  <c r="BQ347" i="1" s="1"/>
  <c r="BE344" i="7" s="1"/>
  <c r="CH363" i="1"/>
  <c r="BV360" i="7" s="1"/>
  <c r="M364" i="1"/>
  <c r="BZ365" i="1"/>
  <c r="BN362" i="7" s="1"/>
  <c r="CD365" i="1"/>
  <c r="BR362" i="7" s="1"/>
  <c r="E362" i="7" s="1"/>
  <c r="M366" i="1"/>
  <c r="CD375" i="1"/>
  <c r="BR372" i="7" s="1"/>
  <c r="M376" i="1"/>
  <c r="CF381" i="1"/>
  <c r="BT378" i="7" s="1"/>
  <c r="E378" i="7" s="1"/>
  <c r="E379" i="7"/>
  <c r="O390" i="1"/>
  <c r="O392" i="1"/>
  <c r="O394" i="1"/>
  <c r="C396" i="7"/>
  <c r="C397" i="7"/>
  <c r="C398" i="7"/>
  <c r="C399" i="7"/>
  <c r="BY401" i="1"/>
  <c r="M409" i="1"/>
  <c r="E407" i="7"/>
  <c r="C410" i="7"/>
  <c r="C411" i="7"/>
  <c r="C413" i="7"/>
  <c r="C412" i="7"/>
  <c r="M420" i="1"/>
  <c r="CF425" i="1"/>
  <c r="BT422" i="7" s="1"/>
  <c r="CJ425" i="1"/>
  <c r="BX422" i="7" s="1"/>
  <c r="E423" i="7"/>
  <c r="M427" i="1"/>
  <c r="E425" i="7"/>
  <c r="C429" i="7"/>
  <c r="C428" i="7"/>
  <c r="CG431" i="1"/>
  <c r="CG425" i="1" s="1"/>
  <c r="CF439" i="1"/>
  <c r="BT436" i="7" s="1"/>
  <c r="E437" i="7"/>
  <c r="M441" i="1"/>
  <c r="E439" i="7"/>
  <c r="C442" i="7"/>
  <c r="C443" i="7"/>
  <c r="CC445" i="1"/>
  <c r="BJ449" i="1"/>
  <c r="AX446" i="7" s="1"/>
  <c r="BN449" i="1"/>
  <c r="BB446" i="7" s="1"/>
  <c r="BR449" i="1"/>
  <c r="BF446" i="7" s="1"/>
  <c r="M450" i="1"/>
  <c r="BT463" i="1"/>
  <c r="BH460" i="7" s="1"/>
  <c r="BX463" i="1"/>
  <c r="BL460" i="7" s="1"/>
  <c r="CB463" i="1"/>
  <c r="BP460" i="7" s="1"/>
  <c r="CF463" i="1"/>
  <c r="BT460" i="7" s="1"/>
  <c r="E461" i="7"/>
  <c r="E463" i="7"/>
  <c r="C467" i="7"/>
  <c r="C466" i="7"/>
  <c r="CC469" i="1"/>
  <c r="BQ466" i="7" s="1"/>
  <c r="E470" i="7"/>
  <c r="M474" i="1"/>
  <c r="BW477" i="1"/>
  <c r="BK474" i="7" s="1"/>
  <c r="CA477" i="1"/>
  <c r="BO474" i="7" s="1"/>
  <c r="CE477" i="1"/>
  <c r="BS474" i="7" s="1"/>
  <c r="E474" i="7" s="1"/>
  <c r="O478" i="1"/>
  <c r="O488" i="1"/>
  <c r="BG489" i="1"/>
  <c r="AU486" i="7" s="1"/>
  <c r="BK489" i="1"/>
  <c r="AY486" i="7" s="1"/>
  <c r="BO489" i="1"/>
  <c r="BC486" i="7" s="1"/>
  <c r="BS489" i="1"/>
  <c r="BG486" i="7" s="1"/>
  <c r="BW489" i="1"/>
  <c r="BK486" i="7" s="1"/>
  <c r="CA489" i="1"/>
  <c r="BO486" i="7" s="1"/>
  <c r="O490" i="1"/>
  <c r="O500" i="1"/>
  <c r="O510" i="1"/>
  <c r="S516" i="1"/>
  <c r="V518" i="1"/>
  <c r="AD518" i="1"/>
  <c r="AL518" i="1"/>
  <c r="AT518" i="1"/>
  <c r="BB518" i="1"/>
  <c r="BJ518" i="1"/>
  <c r="BR518" i="1"/>
  <c r="BZ518" i="1"/>
  <c r="CH518" i="1"/>
  <c r="M3" i="7"/>
  <c r="U3" i="7"/>
  <c r="AC3" i="7"/>
  <c r="AK3" i="7"/>
  <c r="AS3" i="7"/>
  <c r="BA3" i="7"/>
  <c r="BI3" i="7"/>
  <c r="BQ3" i="7"/>
  <c r="BY3" i="7"/>
  <c r="E9" i="7"/>
  <c r="E17" i="7"/>
  <c r="E22" i="7"/>
  <c r="E62" i="7"/>
  <c r="C79" i="7"/>
  <c r="E100" i="7"/>
  <c r="E357" i="7"/>
  <c r="E349" i="7"/>
  <c r="E364" i="7"/>
  <c r="E368" i="7"/>
  <c r="E348" i="7"/>
  <c r="E365" i="7"/>
  <c r="E394" i="7"/>
  <c r="E427" i="7"/>
  <c r="E509" i="7"/>
  <c r="E488" i="7"/>
  <c r="E493" i="7"/>
  <c r="E504" i="7"/>
  <c r="E500" i="7"/>
  <c r="E505" i="7"/>
  <c r="E120" i="7" l="1"/>
  <c r="E486" i="7"/>
  <c r="M465" i="1"/>
  <c r="E436" i="7"/>
  <c r="BZ363" i="1"/>
  <c r="BN360" i="7" s="1"/>
  <c r="BY275" i="1"/>
  <c r="BM272" i="7" s="1"/>
  <c r="E266" i="7"/>
  <c r="CH205" i="1"/>
  <c r="BV202" i="7" s="1"/>
  <c r="AY37" i="1"/>
  <c r="AM34" i="7" s="1"/>
  <c r="BL37" i="1"/>
  <c r="AZ34" i="7" s="1"/>
  <c r="E10" i="7"/>
  <c r="E24" i="7"/>
  <c r="M301" i="1"/>
  <c r="E246" i="7"/>
  <c r="E212" i="7"/>
  <c r="E112" i="7"/>
  <c r="M509" i="1"/>
  <c r="BZ413" i="1"/>
  <c r="BN410" i="7" s="1"/>
  <c r="CE439" i="1"/>
  <c r="BS436" i="7" s="1"/>
  <c r="E3" i="7"/>
  <c r="E446" i="7"/>
  <c r="CC239" i="1"/>
  <c r="BQ236" i="7" s="1"/>
  <c r="E204" i="7"/>
  <c r="E192" i="7"/>
  <c r="E132" i="7"/>
  <c r="AX37" i="1"/>
  <c r="AL34" i="7" s="1"/>
  <c r="E6" i="7"/>
  <c r="E188" i="7"/>
  <c r="E178" i="7"/>
  <c r="CE313" i="1"/>
  <c r="BS310" i="7" s="1"/>
  <c r="BS463" i="1"/>
  <c r="BG460" i="7" s="1"/>
  <c r="E170" i="7"/>
  <c r="BO151" i="1"/>
  <c r="BC148" i="7" s="1"/>
  <c r="E40" i="7"/>
  <c r="AV37" i="1"/>
  <c r="AJ34" i="7" s="1"/>
  <c r="E220" i="7"/>
  <c r="E78" i="7"/>
  <c r="E50" i="7"/>
  <c r="E496" i="7"/>
  <c r="M419" i="1"/>
  <c r="CE363" i="1"/>
  <c r="BS360" i="7" s="1"/>
  <c r="BU422" i="7"/>
  <c r="BW391" i="1"/>
  <c r="BK388" i="7" s="1"/>
  <c r="BZ391" i="1"/>
  <c r="BN388" i="7" s="1"/>
  <c r="BV391" i="1"/>
  <c r="BY391" i="1"/>
  <c r="BM388" i="7" s="1"/>
  <c r="BX391" i="1"/>
  <c r="BL388" i="7" s="1"/>
  <c r="CH163" i="1"/>
  <c r="BV160" i="7" s="1"/>
  <c r="CD163" i="1"/>
  <c r="BR160" i="7" s="1"/>
  <c r="BZ163" i="1"/>
  <c r="BN160" i="7" s="1"/>
  <c r="BV163" i="1"/>
  <c r="BJ160" i="7" s="1"/>
  <c r="BR163" i="1"/>
  <c r="BF160" i="7" s="1"/>
  <c r="BN163" i="1"/>
  <c r="BB160" i="7" s="1"/>
  <c r="BJ163" i="1"/>
  <c r="AX160" i="7" s="1"/>
  <c r="BB163" i="1"/>
  <c r="AP160" i="7" s="1"/>
  <c r="AX163" i="1"/>
  <c r="AX149" i="1" s="1"/>
  <c r="CG163" i="1"/>
  <c r="BU160" i="7" s="1"/>
  <c r="CC163" i="1"/>
  <c r="BQ160" i="7" s="1"/>
  <c r="BY163" i="1"/>
  <c r="BM160" i="7" s="1"/>
  <c r="BU163" i="1"/>
  <c r="BI160" i="7" s="1"/>
  <c r="BQ163" i="1"/>
  <c r="BE160" i="7" s="1"/>
  <c r="BM163" i="1"/>
  <c r="BA160" i="7" s="1"/>
  <c r="BI163" i="1"/>
  <c r="AW160" i="7" s="1"/>
  <c r="BA163" i="1"/>
  <c r="AO160" i="7" s="1"/>
  <c r="CF163" i="1"/>
  <c r="BT160" i="7" s="1"/>
  <c r="CB163" i="1"/>
  <c r="BP160" i="7" s="1"/>
  <c r="BX163" i="1"/>
  <c r="BL160" i="7" s="1"/>
  <c r="BT163" i="1"/>
  <c r="BH160" i="7" s="1"/>
  <c r="BP163" i="1"/>
  <c r="BD160" i="7" s="1"/>
  <c r="BL163" i="1"/>
  <c r="AZ160" i="7" s="1"/>
  <c r="BH163" i="1"/>
  <c r="AV160" i="7" s="1"/>
  <c r="BD163" i="1"/>
  <c r="AR160" i="7" s="1"/>
  <c r="AZ163" i="1"/>
  <c r="AN160" i="7" s="1"/>
  <c r="BS163" i="1"/>
  <c r="BG160" i="7" s="1"/>
  <c r="U517" i="1"/>
  <c r="D5" i="6" s="1"/>
  <c r="T517" i="1"/>
  <c r="D4" i="6" s="1"/>
  <c r="R517" i="1"/>
  <c r="D2" i="6" s="1"/>
  <c r="V517" i="1"/>
  <c r="D6" i="6" s="1"/>
  <c r="S517" i="1"/>
  <c r="D3" i="6" s="1"/>
  <c r="M439" i="1"/>
  <c r="CH389" i="1"/>
  <c r="BV386" i="7" s="1"/>
  <c r="CD389" i="1"/>
  <c r="BR386" i="7" s="1"/>
  <c r="BV389" i="1"/>
  <c r="CK389" i="1"/>
  <c r="BY386" i="7" s="1"/>
  <c r="CG389" i="1"/>
  <c r="BU386" i="7" s="1"/>
  <c r="CC389" i="1"/>
  <c r="BQ386" i="7" s="1"/>
  <c r="CJ389" i="1"/>
  <c r="BX386" i="7" s="1"/>
  <c r="CF389" i="1"/>
  <c r="BT386" i="7" s="1"/>
  <c r="BX389" i="1"/>
  <c r="BL386" i="7" s="1"/>
  <c r="M381" i="1"/>
  <c r="AW346" i="7"/>
  <c r="E346" i="7" s="1"/>
  <c r="M349" i="1"/>
  <c r="CD313" i="1"/>
  <c r="BR310" i="7" s="1"/>
  <c r="AY230" i="7"/>
  <c r="E230" i="7" s="1"/>
  <c r="M233" i="1"/>
  <c r="BZ205" i="1"/>
  <c r="BN202" i="7" s="1"/>
  <c r="BJ205" i="1"/>
  <c r="AX202" i="7" s="1"/>
  <c r="CE163" i="1"/>
  <c r="BS160" i="7" s="1"/>
  <c r="BO163" i="1"/>
  <c r="BC160" i="7" s="1"/>
  <c r="BN151" i="1"/>
  <c r="BB148" i="7" s="1"/>
  <c r="BJ151" i="1"/>
  <c r="AX148" i="7" s="1"/>
  <c r="BF151" i="1"/>
  <c r="AT148" i="7" s="1"/>
  <c r="BB151" i="1"/>
  <c r="AP148" i="7" s="1"/>
  <c r="AX151" i="1"/>
  <c r="BQ151" i="1"/>
  <c r="BE148" i="7" s="1"/>
  <c r="BM151" i="1"/>
  <c r="BA148" i="7" s="1"/>
  <c r="BI151" i="1"/>
  <c r="AW148" i="7" s="1"/>
  <c r="BE151" i="1"/>
  <c r="AS148" i="7" s="1"/>
  <c r="BA151" i="1"/>
  <c r="AO148" i="7" s="1"/>
  <c r="BP151" i="1"/>
  <c r="BD148" i="7" s="1"/>
  <c r="BL151" i="1"/>
  <c r="AZ148" i="7" s="1"/>
  <c r="BH151" i="1"/>
  <c r="AV148" i="7" s="1"/>
  <c r="BD151" i="1"/>
  <c r="AR148" i="7" s="1"/>
  <c r="AZ151" i="1"/>
  <c r="AN148" i="7" s="1"/>
  <c r="BG151" i="1"/>
  <c r="AU148" i="7" s="1"/>
  <c r="BP37" i="1"/>
  <c r="BD34" i="7" s="1"/>
  <c r="AZ37" i="1"/>
  <c r="AN34" i="7" s="1"/>
  <c r="M27" i="1"/>
  <c r="AS7" i="1"/>
  <c r="AG4" i="7" s="1"/>
  <c r="AC7" i="1"/>
  <c r="Q4" i="7" s="1"/>
  <c r="AG5" i="1"/>
  <c r="CA205" i="1"/>
  <c r="BO202" i="7" s="1"/>
  <c r="BW205" i="1"/>
  <c r="BK202" i="7" s="1"/>
  <c r="BS205" i="1"/>
  <c r="BG202" i="7" s="1"/>
  <c r="BO205" i="1"/>
  <c r="BC202" i="7" s="1"/>
  <c r="BK205" i="1"/>
  <c r="AY202" i="7" s="1"/>
  <c r="BG205" i="1"/>
  <c r="AU202" i="7" s="1"/>
  <c r="BM205" i="1"/>
  <c r="BA202" i="7" s="1"/>
  <c r="M181" i="1"/>
  <c r="BS37" i="1"/>
  <c r="BG34" i="7" s="1"/>
  <c r="BC37" i="1"/>
  <c r="AQ34" i="7" s="1"/>
  <c r="AR7" i="1"/>
  <c r="AF4" i="7" s="1"/>
  <c r="AB7" i="1"/>
  <c r="P4" i="7" s="1"/>
  <c r="BO466" i="7"/>
  <c r="E466" i="7" s="1"/>
  <c r="M469" i="1"/>
  <c r="M449" i="1"/>
  <c r="CF363" i="1"/>
  <c r="BT360" i="7" s="1"/>
  <c r="CB313" i="1"/>
  <c r="BP310" i="7" s="1"/>
  <c r="M207" i="1"/>
  <c r="BT205" i="1"/>
  <c r="BH202" i="7" s="1"/>
  <c r="BD205" i="1"/>
  <c r="BR37" i="1"/>
  <c r="BF34" i="7" s="1"/>
  <c r="BB37" i="1"/>
  <c r="AP34" i="7" s="1"/>
  <c r="AQ7" i="1"/>
  <c r="AE4" i="7" s="1"/>
  <c r="AA7" i="1"/>
  <c r="O4" i="7" s="1"/>
  <c r="CC463" i="1"/>
  <c r="BQ460" i="7" s="1"/>
  <c r="CA363" i="1"/>
  <c r="BO360" i="7" s="1"/>
  <c r="BW313" i="1"/>
  <c r="BK310" i="7" s="1"/>
  <c r="M269" i="1"/>
  <c r="AX238" i="7"/>
  <c r="E238" i="7" s="1"/>
  <c r="M241" i="1"/>
  <c r="BN347" i="1"/>
  <c r="BB344" i="7" s="1"/>
  <c r="BS347" i="1"/>
  <c r="BG344" i="7" s="1"/>
  <c r="BT347" i="1"/>
  <c r="BH344" i="7" s="1"/>
  <c r="CJ313" i="1"/>
  <c r="BX310" i="7" s="1"/>
  <c r="CD275" i="1"/>
  <c r="BR272" i="7" s="1"/>
  <c r="CA275" i="1"/>
  <c r="BO272" i="7" s="1"/>
  <c r="BT275" i="1"/>
  <c r="BH272" i="7" s="1"/>
  <c r="CJ275" i="1"/>
  <c r="BX272" i="7" s="1"/>
  <c r="CC275" i="1"/>
  <c r="BQ272" i="7" s="1"/>
  <c r="CA413" i="1"/>
  <c r="BO410" i="7" s="1"/>
  <c r="BJ239" i="1"/>
  <c r="BZ239" i="1"/>
  <c r="BN236" i="7" s="1"/>
  <c r="BO239" i="1"/>
  <c r="BC236" i="7" s="1"/>
  <c r="CE239" i="1"/>
  <c r="BS236" i="7" s="1"/>
  <c r="BX239" i="1"/>
  <c r="BL236" i="7" s="1"/>
  <c r="BQ239" i="1"/>
  <c r="BE236" i="7" s="1"/>
  <c r="CG239" i="1"/>
  <c r="BU236" i="7" s="1"/>
  <c r="CI487" i="1"/>
  <c r="BW484" i="7" s="1"/>
  <c r="CE487" i="1"/>
  <c r="BS484" i="7" s="1"/>
  <c r="CA487" i="1"/>
  <c r="BO484" i="7" s="1"/>
  <c r="BW487" i="1"/>
  <c r="BK484" i="7" s="1"/>
  <c r="BS487" i="1"/>
  <c r="BG484" i="7" s="1"/>
  <c r="BO487" i="1"/>
  <c r="BC484" i="7" s="1"/>
  <c r="BK487" i="1"/>
  <c r="AY484" i="7" s="1"/>
  <c r="BG487" i="1"/>
  <c r="AU484" i="7" s="1"/>
  <c r="CH487" i="1"/>
  <c r="BV484" i="7" s="1"/>
  <c r="CD487" i="1"/>
  <c r="BR484" i="7" s="1"/>
  <c r="BZ487" i="1"/>
  <c r="BN484" i="7" s="1"/>
  <c r="BV487" i="1"/>
  <c r="BJ484" i="7" s="1"/>
  <c r="BR487" i="1"/>
  <c r="BF484" i="7" s="1"/>
  <c r="BN487" i="1"/>
  <c r="BB484" i="7" s="1"/>
  <c r="BJ487" i="1"/>
  <c r="AX484" i="7" s="1"/>
  <c r="BF487" i="1"/>
  <c r="CG487" i="1"/>
  <c r="BU484" i="7" s="1"/>
  <c r="CC487" i="1"/>
  <c r="BQ484" i="7" s="1"/>
  <c r="BY487" i="1"/>
  <c r="BM484" i="7" s="1"/>
  <c r="BU487" i="1"/>
  <c r="BI484" i="7" s="1"/>
  <c r="BQ487" i="1"/>
  <c r="BE484" i="7" s="1"/>
  <c r="BM487" i="1"/>
  <c r="BA484" i="7" s="1"/>
  <c r="BI487" i="1"/>
  <c r="AW484" i="7" s="1"/>
  <c r="CJ487" i="1"/>
  <c r="BX484" i="7" s="1"/>
  <c r="CF487" i="1"/>
  <c r="BT484" i="7" s="1"/>
  <c r="CB487" i="1"/>
  <c r="BP484" i="7" s="1"/>
  <c r="BX487" i="1"/>
  <c r="BL484" i="7" s="1"/>
  <c r="BT487" i="1"/>
  <c r="BH484" i="7" s="1"/>
  <c r="BP487" i="1"/>
  <c r="BD484" i="7" s="1"/>
  <c r="BL487" i="1"/>
  <c r="AZ484" i="7" s="1"/>
  <c r="BH487" i="1"/>
  <c r="AV484" i="7" s="1"/>
  <c r="AY163" i="1"/>
  <c r="AM160" i="7" s="1"/>
  <c r="BQ442" i="7"/>
  <c r="E442" i="7" s="1"/>
  <c r="M445" i="1"/>
  <c r="BF205" i="1"/>
  <c r="AT202" i="7" s="1"/>
  <c r="CA163" i="1"/>
  <c r="BO160" i="7" s="1"/>
  <c r="BK163" i="1"/>
  <c r="AY160" i="7" s="1"/>
  <c r="BG149" i="1"/>
  <c r="AU146" i="7" s="1"/>
  <c r="BF149" i="1"/>
  <c r="AT146" i="7" s="1"/>
  <c r="BA149" i="1"/>
  <c r="AO146" i="7" s="1"/>
  <c r="CJ149" i="1"/>
  <c r="BX146" i="7" s="1"/>
  <c r="AZ149" i="1"/>
  <c r="AN146" i="7" s="1"/>
  <c r="BC151" i="1"/>
  <c r="AQ148" i="7" s="1"/>
  <c r="AY86" i="7"/>
  <c r="E86" i="7" s="1"/>
  <c r="M89" i="1"/>
  <c r="AO7" i="1"/>
  <c r="AC4" i="7" s="1"/>
  <c r="Y7" i="1"/>
  <c r="M4" i="7" s="1"/>
  <c r="AC5" i="1"/>
  <c r="BY205" i="1"/>
  <c r="BM202" i="7" s="1"/>
  <c r="BI205" i="1"/>
  <c r="AW202" i="7" s="1"/>
  <c r="AL162" i="7"/>
  <c r="E162" i="7" s="1"/>
  <c r="M165" i="1"/>
  <c r="AL150" i="7"/>
  <c r="E150" i="7" s="1"/>
  <c r="M153" i="1"/>
  <c r="M135" i="1"/>
  <c r="M43" i="1"/>
  <c r="BO37" i="1"/>
  <c r="BC34" i="7" s="1"/>
  <c r="AN7" i="1"/>
  <c r="AB4" i="7" s="1"/>
  <c r="X7" i="1"/>
  <c r="L4" i="7" s="1"/>
  <c r="AZ5" i="1"/>
  <c r="CO519" i="1"/>
  <c r="E77" i="6" s="1"/>
  <c r="CK519" i="1"/>
  <c r="E73" i="6" s="1"/>
  <c r="CG519" i="1"/>
  <c r="E69" i="6" s="1"/>
  <c r="CC519" i="1"/>
  <c r="E65" i="6" s="1"/>
  <c r="BY519" i="1"/>
  <c r="E61" i="6" s="1"/>
  <c r="BU519" i="1"/>
  <c r="E57" i="6" s="1"/>
  <c r="BQ519" i="1"/>
  <c r="E53" i="6" s="1"/>
  <c r="BM519" i="1"/>
  <c r="E49" i="6" s="1"/>
  <c r="BI519" i="1"/>
  <c r="E45" i="6" s="1"/>
  <c r="BE519" i="1"/>
  <c r="E41" i="6" s="1"/>
  <c r="BA519" i="1"/>
  <c r="E37" i="6" s="1"/>
  <c r="AW519" i="1"/>
  <c r="E33" i="6" s="1"/>
  <c r="AS519" i="1"/>
  <c r="E29" i="6" s="1"/>
  <c r="AO519" i="1"/>
  <c r="E25" i="6" s="1"/>
  <c r="AK519" i="1"/>
  <c r="E21" i="6" s="1"/>
  <c r="AG519" i="1"/>
  <c r="E17" i="6" s="1"/>
  <c r="AC519" i="1"/>
  <c r="E13" i="6" s="1"/>
  <c r="Y519" i="1"/>
  <c r="E9" i="6" s="1"/>
  <c r="U519" i="1"/>
  <c r="E5" i="6" s="1"/>
  <c r="CN519" i="1"/>
  <c r="E76" i="6" s="1"/>
  <c r="CJ519" i="1"/>
  <c r="E72" i="6" s="1"/>
  <c r="CF519" i="1"/>
  <c r="E68" i="6" s="1"/>
  <c r="CB519" i="1"/>
  <c r="E64" i="6" s="1"/>
  <c r="BX519" i="1"/>
  <c r="E60" i="6" s="1"/>
  <c r="BT519" i="1"/>
  <c r="E56" i="6" s="1"/>
  <c r="BP519" i="1"/>
  <c r="E52" i="6" s="1"/>
  <c r="BL519" i="1"/>
  <c r="E48" i="6" s="1"/>
  <c r="BH519" i="1"/>
  <c r="E44" i="6" s="1"/>
  <c r="BD519" i="1"/>
  <c r="E40" i="6" s="1"/>
  <c r="AZ519" i="1"/>
  <c r="E36" i="6" s="1"/>
  <c r="AV519" i="1"/>
  <c r="E32" i="6" s="1"/>
  <c r="AR519" i="1"/>
  <c r="E28" i="6" s="1"/>
  <c r="AN519" i="1"/>
  <c r="E24" i="6" s="1"/>
  <c r="AJ519" i="1"/>
  <c r="E20" i="6" s="1"/>
  <c r="AF519" i="1"/>
  <c r="E16" i="6" s="1"/>
  <c r="AB519" i="1"/>
  <c r="E12" i="6" s="1"/>
  <c r="X519" i="1"/>
  <c r="E8" i="6" s="1"/>
  <c r="T519" i="1"/>
  <c r="E4" i="6" s="1"/>
  <c r="CL519" i="1"/>
  <c r="E74" i="6" s="1"/>
  <c r="CD519" i="1"/>
  <c r="E66" i="6" s="1"/>
  <c r="BV519" i="1"/>
  <c r="E58" i="6" s="1"/>
  <c r="BN519" i="1"/>
  <c r="E50" i="6" s="1"/>
  <c r="BF519" i="1"/>
  <c r="E42" i="6" s="1"/>
  <c r="AX519" i="1"/>
  <c r="E34" i="6" s="1"/>
  <c r="AP519" i="1"/>
  <c r="E26" i="6" s="1"/>
  <c r="AH519" i="1"/>
  <c r="E18" i="6" s="1"/>
  <c r="Z519" i="1"/>
  <c r="E10" i="6" s="1"/>
  <c r="R519" i="1"/>
  <c r="E2" i="6" s="1"/>
  <c r="CI519" i="1"/>
  <c r="E71" i="6" s="1"/>
  <c r="CA519" i="1"/>
  <c r="E63" i="6" s="1"/>
  <c r="BS519" i="1"/>
  <c r="E55" i="6" s="1"/>
  <c r="BK519" i="1"/>
  <c r="E47" i="6" s="1"/>
  <c r="BC519" i="1"/>
  <c r="E39" i="6" s="1"/>
  <c r="AU519" i="1"/>
  <c r="E31" i="6" s="1"/>
  <c r="AM519" i="1"/>
  <c r="E23" i="6" s="1"/>
  <c r="AE519" i="1"/>
  <c r="E15" i="6" s="1"/>
  <c r="W519" i="1"/>
  <c r="E7" i="6" s="1"/>
  <c r="CH519" i="1"/>
  <c r="E70" i="6" s="1"/>
  <c r="BZ519" i="1"/>
  <c r="E62" i="6" s="1"/>
  <c r="BR519" i="1"/>
  <c r="E54" i="6" s="1"/>
  <c r="BJ519" i="1"/>
  <c r="E46" i="6" s="1"/>
  <c r="BB519" i="1"/>
  <c r="E38" i="6" s="1"/>
  <c r="AT519" i="1"/>
  <c r="E30" i="6" s="1"/>
  <c r="AL519" i="1"/>
  <c r="E22" i="6" s="1"/>
  <c r="AD519" i="1"/>
  <c r="E14" i="6" s="1"/>
  <c r="V519" i="1"/>
  <c r="E6" i="6" s="1"/>
  <c r="CM519" i="1"/>
  <c r="E75" i="6" s="1"/>
  <c r="CE519" i="1"/>
  <c r="E67" i="6" s="1"/>
  <c r="BW519" i="1"/>
  <c r="E59" i="6" s="1"/>
  <c r="BO519" i="1"/>
  <c r="E51" i="6" s="1"/>
  <c r="BG519" i="1"/>
  <c r="E43" i="6" s="1"/>
  <c r="AY519" i="1"/>
  <c r="E35" i="6" s="1"/>
  <c r="AQ519" i="1"/>
  <c r="E27" i="6" s="1"/>
  <c r="AI519" i="1"/>
  <c r="E19" i="6" s="1"/>
  <c r="AA519" i="1"/>
  <c r="E11" i="6" s="1"/>
  <c r="S519" i="1"/>
  <c r="E3" i="6" s="1"/>
  <c r="BK412" i="7"/>
  <c r="E412" i="7" s="1"/>
  <c r="M415" i="1"/>
  <c r="CB363" i="1"/>
  <c r="BP360" i="7" s="1"/>
  <c r="BX313" i="1"/>
  <c r="BL310" i="7" s="1"/>
  <c r="BP205" i="1"/>
  <c r="BD202" i="7" s="1"/>
  <c r="M195" i="1"/>
  <c r="BN37" i="1"/>
  <c r="BB34" i="7" s="1"/>
  <c r="AM7" i="1"/>
  <c r="AA4" i="7" s="1"/>
  <c r="W7" i="1"/>
  <c r="M355" i="1"/>
  <c r="CI313" i="1"/>
  <c r="BW310" i="7" s="1"/>
  <c r="CI425" i="1"/>
  <c r="BW422" i="7" s="1"/>
  <c r="BR347" i="1"/>
  <c r="BF344" i="7" s="1"/>
  <c r="BH347" i="1"/>
  <c r="BI347" i="1"/>
  <c r="AW344" i="7" s="1"/>
  <c r="BR275" i="1"/>
  <c r="BF272" i="7" s="1"/>
  <c r="CH275" i="1"/>
  <c r="BV272" i="7" s="1"/>
  <c r="CE275" i="1"/>
  <c r="BS272" i="7" s="1"/>
  <c r="BX275" i="1"/>
  <c r="BL272" i="7" s="1"/>
  <c r="BQ275" i="1"/>
  <c r="BE272" i="7" s="1"/>
  <c r="CG275" i="1"/>
  <c r="BU272" i="7" s="1"/>
  <c r="M335" i="1"/>
  <c r="CA463" i="1"/>
  <c r="CE413" i="1"/>
  <c r="BS410" i="7" s="1"/>
  <c r="BN239" i="1"/>
  <c r="BB236" i="7" s="1"/>
  <c r="CD239" i="1"/>
  <c r="BR236" i="7" s="1"/>
  <c r="BS239" i="1"/>
  <c r="BG236" i="7" s="1"/>
  <c r="BL239" i="1"/>
  <c r="AZ236" i="7" s="1"/>
  <c r="CB239" i="1"/>
  <c r="BP236" i="7" s="1"/>
  <c r="BU239" i="1"/>
  <c r="BI236" i="7" s="1"/>
  <c r="CF205" i="1"/>
  <c r="BT202" i="7" s="1"/>
  <c r="BN205" i="1"/>
  <c r="BB202" i="7" s="1"/>
  <c r="BG37" i="1"/>
  <c r="AU34" i="7" s="1"/>
  <c r="AL7" i="1"/>
  <c r="Z4" i="7" s="1"/>
  <c r="AX7" i="1"/>
  <c r="AL4" i="7" s="1"/>
  <c r="Z7" i="1"/>
  <c r="N4" i="7" s="1"/>
  <c r="Z5" i="1"/>
  <c r="AT7" i="1"/>
  <c r="AH4" i="7" s="1"/>
  <c r="AH7" i="1"/>
  <c r="V4" i="7" s="1"/>
  <c r="AL5" i="1"/>
  <c r="AP7" i="1"/>
  <c r="AD4" i="7" s="1"/>
  <c r="AD7" i="1"/>
  <c r="R4" i="7" s="1"/>
  <c r="AH5" i="1"/>
  <c r="AV7" i="1"/>
  <c r="AJ4" i="7" s="1"/>
  <c r="AF7" i="1"/>
  <c r="T4" i="7" s="1"/>
  <c r="BU428" i="7"/>
  <c r="E428" i="7" s="1"/>
  <c r="M431" i="1"/>
  <c r="BZ313" i="1"/>
  <c r="BN310" i="7" s="1"/>
  <c r="BE274" i="7"/>
  <c r="E274" i="7" s="1"/>
  <c r="M277" i="1"/>
  <c r="BV205" i="1"/>
  <c r="BJ202" i="7" s="1"/>
  <c r="BM398" i="7"/>
  <c r="E398" i="7" s="1"/>
  <c r="M401" i="1"/>
  <c r="CD363" i="1"/>
  <c r="BR360" i="7" s="1"/>
  <c r="M249" i="1"/>
  <c r="BW163" i="1"/>
  <c r="BK160" i="7" s="1"/>
  <c r="BC163" i="1"/>
  <c r="AQ160" i="7" s="1"/>
  <c r="AY151" i="1"/>
  <c r="AM148" i="7" s="1"/>
  <c r="BH37" i="1"/>
  <c r="AV34" i="7" s="1"/>
  <c r="AK7" i="1"/>
  <c r="Y4" i="7" s="1"/>
  <c r="AO5" i="1"/>
  <c r="AN5" i="1"/>
  <c r="M215" i="1"/>
  <c r="BU205" i="1"/>
  <c r="BI202" i="7" s="1"/>
  <c r="BE205" i="1"/>
  <c r="AS202" i="7" s="1"/>
  <c r="M73" i="1"/>
  <c r="M63" i="1"/>
  <c r="M53" i="1"/>
  <c r="BQ37" i="1"/>
  <c r="BE34" i="7" s="1"/>
  <c r="BI37" i="1"/>
  <c r="AW34" i="7" s="1"/>
  <c r="BA37" i="1"/>
  <c r="AO34" i="7" s="1"/>
  <c r="AS37" i="1"/>
  <c r="BU37" i="1"/>
  <c r="BI34" i="7" s="1"/>
  <c r="BM37" i="1"/>
  <c r="BA34" i="7" s="1"/>
  <c r="BE37" i="1"/>
  <c r="AS34" i="7" s="1"/>
  <c r="AW37" i="1"/>
  <c r="AK34" i="7" s="1"/>
  <c r="BK37" i="1"/>
  <c r="AY34" i="7" s="1"/>
  <c r="AU37" i="1"/>
  <c r="AI34" i="7" s="1"/>
  <c r="M9" i="1"/>
  <c r="AJ7" i="1"/>
  <c r="X4" i="7" s="1"/>
  <c r="AR5" i="1"/>
  <c r="M375" i="1"/>
  <c r="M365" i="1"/>
  <c r="M339" i="1"/>
  <c r="CB205" i="1"/>
  <c r="BP202" i="7" s="1"/>
  <c r="BL205" i="1"/>
  <c r="AZ202" i="7" s="1"/>
  <c r="M173" i="1"/>
  <c r="M107" i="1"/>
  <c r="BJ37" i="1"/>
  <c r="AX34" i="7" s="1"/>
  <c r="AT37" i="1"/>
  <c r="AH34" i="7" s="1"/>
  <c r="AI7" i="1"/>
  <c r="W4" i="7" s="1"/>
  <c r="AQ5" i="1"/>
  <c r="AA5" i="1"/>
  <c r="M499" i="1"/>
  <c r="M393" i="1"/>
  <c r="CK363" i="1"/>
  <c r="BY360" i="7" s="1"/>
  <c r="CG363" i="1"/>
  <c r="BU360" i="7" s="1"/>
  <c r="CC363" i="1"/>
  <c r="BQ360" i="7" s="1"/>
  <c r="CI363" i="1"/>
  <c r="BW360" i="7" s="1"/>
  <c r="M305" i="1"/>
  <c r="BK347" i="1"/>
  <c r="AY344" i="7" s="1"/>
  <c r="BL347" i="1"/>
  <c r="AZ344" i="7" s="1"/>
  <c r="BM347" i="1"/>
  <c r="BA344" i="7" s="1"/>
  <c r="BV275" i="1"/>
  <c r="BJ272" i="7" s="1"/>
  <c r="BS275" i="1"/>
  <c r="BG272" i="7" s="1"/>
  <c r="CI275" i="1"/>
  <c r="BW272" i="7" s="1"/>
  <c r="CB275" i="1"/>
  <c r="BP272" i="7" s="1"/>
  <c r="BU275" i="1"/>
  <c r="BI272" i="7" s="1"/>
  <c r="CK275" i="1"/>
  <c r="BY272" i="7" s="1"/>
  <c r="CA399" i="1"/>
  <c r="BO396" i="7" s="1"/>
  <c r="BY399" i="1"/>
  <c r="CE463" i="1"/>
  <c r="BS460" i="7" s="1"/>
  <c r="BR239" i="1"/>
  <c r="BF236" i="7" s="1"/>
  <c r="CH239" i="1"/>
  <c r="BV236" i="7" s="1"/>
  <c r="BW239" i="1"/>
  <c r="BK236" i="7" s="1"/>
  <c r="BP239" i="1"/>
  <c r="BD236" i="7" s="1"/>
  <c r="CF239" i="1"/>
  <c r="BT236" i="7" s="1"/>
  <c r="BY239" i="1"/>
  <c r="BM236" i="7" s="1"/>
  <c r="M327" i="1"/>
  <c r="CF313" i="1"/>
  <c r="BT310" i="7" s="1"/>
  <c r="M291" i="1"/>
  <c r="M255" i="1"/>
  <c r="BX205" i="1"/>
  <c r="BL202" i="7" s="1"/>
  <c r="BH205" i="1"/>
  <c r="AV202" i="7" s="1"/>
  <c r="M97" i="1"/>
  <c r="BV37" i="1"/>
  <c r="BJ34" i="7" s="1"/>
  <c r="BF37" i="1"/>
  <c r="AT34" i="7" s="1"/>
  <c r="M13" i="1"/>
  <c r="AU7" i="1"/>
  <c r="AI4" i="7" s="1"/>
  <c r="AE7" i="1"/>
  <c r="S4" i="7" s="1"/>
  <c r="AM5" i="1"/>
  <c r="W5" i="1"/>
  <c r="M489" i="1"/>
  <c r="M477" i="1"/>
  <c r="CG313" i="1"/>
  <c r="BU310" i="7" s="1"/>
  <c r="CC313" i="1"/>
  <c r="BQ310" i="7" s="1"/>
  <c r="BY313" i="1"/>
  <c r="BM310" i="7" s="1"/>
  <c r="CA313" i="1"/>
  <c r="BO310" i="7" s="1"/>
  <c r="BJ347" i="1"/>
  <c r="AX344" i="7" s="1"/>
  <c r="BO347" i="1"/>
  <c r="BC344" i="7" s="1"/>
  <c r="BP347" i="1"/>
  <c r="BD344" i="7" s="1"/>
  <c r="BZ275" i="1"/>
  <c r="BN272" i="7" s="1"/>
  <c r="BW275" i="1"/>
  <c r="BK272" i="7" s="1"/>
  <c r="BP275" i="1"/>
  <c r="CF275" i="1"/>
  <c r="BT272" i="7" s="1"/>
  <c r="CG205" i="1"/>
  <c r="BU202" i="7" s="1"/>
  <c r="CI463" i="1"/>
  <c r="BW460" i="7" s="1"/>
  <c r="BW413" i="1"/>
  <c r="CB413" i="1"/>
  <c r="BP410" i="7" s="1"/>
  <c r="AW7" i="1"/>
  <c r="AK4" i="7" s="1"/>
  <c r="BV239" i="1"/>
  <c r="BJ236" i="7" s="1"/>
  <c r="BK239" i="1"/>
  <c r="AY236" i="7" s="1"/>
  <c r="CA239" i="1"/>
  <c r="BO236" i="7" s="1"/>
  <c r="BT239" i="1"/>
  <c r="BH236" i="7" s="1"/>
  <c r="BM239" i="1"/>
  <c r="BA236" i="7" s="1"/>
  <c r="BG5" i="1" l="1"/>
  <c r="CJ5" i="1"/>
  <c r="Y5" i="1"/>
  <c r="AP5" i="1"/>
  <c r="AX5" i="1"/>
  <c r="X5" i="1"/>
  <c r="AB5" i="1"/>
  <c r="BZ389" i="1"/>
  <c r="BN386" i="7" s="1"/>
  <c r="BD149" i="1"/>
  <c r="AR146" i="7" s="1"/>
  <c r="BB149" i="1"/>
  <c r="E422" i="7"/>
  <c r="E360" i="7"/>
  <c r="W516" i="1"/>
  <c r="K2" i="7"/>
  <c r="AU2" i="7"/>
  <c r="BG516" i="1"/>
  <c r="AM516" i="1"/>
  <c r="AA2" i="7"/>
  <c r="M313" i="1"/>
  <c r="AG34" i="7"/>
  <c r="E34" i="7" s="1"/>
  <c r="M37" i="1"/>
  <c r="AC2" i="7"/>
  <c r="AO516" i="1"/>
  <c r="Z2" i="7"/>
  <c r="AL516" i="1"/>
  <c r="AD5" i="1"/>
  <c r="BW149" i="1"/>
  <c r="K4" i="7"/>
  <c r="E4" i="7" s="1"/>
  <c r="M7" i="1"/>
  <c r="AS5" i="1"/>
  <c r="BL149" i="1"/>
  <c r="CB149" i="1"/>
  <c r="BE149" i="1"/>
  <c r="AS146" i="7" s="1"/>
  <c r="BU149" i="1"/>
  <c r="BI146" i="7" s="1"/>
  <c r="CK149" i="1"/>
  <c r="BJ149" i="1"/>
  <c r="AX146" i="7" s="1"/>
  <c r="BZ149" i="1"/>
  <c r="BC149" i="1"/>
  <c r="AT484" i="7"/>
  <c r="E484" i="7" s="1"/>
  <c r="M487" i="1"/>
  <c r="E310" i="7"/>
  <c r="AW5" i="1"/>
  <c r="CI149" i="1"/>
  <c r="AL148" i="7"/>
  <c r="E148" i="7" s="1"/>
  <c r="M151" i="1"/>
  <c r="CB389" i="1"/>
  <c r="BP386" i="7" s="1"/>
  <c r="CA389" i="1"/>
  <c r="BO386" i="7" s="1"/>
  <c r="AJ5" i="1"/>
  <c r="BS149" i="1"/>
  <c r="O2" i="7"/>
  <c r="AA516" i="1"/>
  <c r="AF2" i="7"/>
  <c r="AR516" i="1"/>
  <c r="BE5" i="1"/>
  <c r="AT5" i="1"/>
  <c r="L2" i="7"/>
  <c r="X516" i="1"/>
  <c r="AU5" i="1"/>
  <c r="AN2" i="7"/>
  <c r="AZ516" i="1"/>
  <c r="BP149" i="1"/>
  <c r="BD146" i="7" s="1"/>
  <c r="CF149" i="1"/>
  <c r="BI149" i="1"/>
  <c r="AW146" i="7" s="1"/>
  <c r="BY149" i="1"/>
  <c r="AL146" i="7"/>
  <c r="BN149" i="1"/>
  <c r="CD149" i="1"/>
  <c r="CE389" i="1"/>
  <c r="BS386" i="7" s="1"/>
  <c r="BJ388" i="7"/>
  <c r="E388" i="7" s="1"/>
  <c r="M391" i="1"/>
  <c r="M425" i="1"/>
  <c r="AE2" i="7"/>
  <c r="AQ516" i="1"/>
  <c r="M363" i="1"/>
  <c r="AB2" i="7"/>
  <c r="AN516" i="1"/>
  <c r="BU5" i="1"/>
  <c r="CA149" i="1"/>
  <c r="V2" i="7"/>
  <c r="AH516" i="1"/>
  <c r="N2" i="7"/>
  <c r="Z516" i="1"/>
  <c r="BF5" i="1"/>
  <c r="BO460" i="7"/>
  <c r="E460" i="7" s="1"/>
  <c r="M463" i="1"/>
  <c r="BK5" i="1"/>
  <c r="AV5" i="1"/>
  <c r="BT149" i="1"/>
  <c r="BM149" i="1"/>
  <c r="BA146" i="7" s="1"/>
  <c r="CC149" i="1"/>
  <c r="BR149" i="1"/>
  <c r="CH149" i="1"/>
  <c r="BK149" i="1"/>
  <c r="AY146" i="7" s="1"/>
  <c r="AK5" i="1"/>
  <c r="AX236" i="7"/>
  <c r="E236" i="7" s="1"/>
  <c r="M239" i="1"/>
  <c r="BD5" i="1"/>
  <c r="CI389" i="1"/>
  <c r="BW386" i="7" s="1"/>
  <c r="AL160" i="7"/>
  <c r="E160" i="7" s="1"/>
  <c r="M163" i="1"/>
  <c r="BK410" i="7"/>
  <c r="E410" i="7" s="1"/>
  <c r="M413" i="1"/>
  <c r="BD272" i="7"/>
  <c r="E272" i="7" s="1"/>
  <c r="M275" i="1"/>
  <c r="BM396" i="7"/>
  <c r="E396" i="7" s="1"/>
  <c r="M399" i="1"/>
  <c r="CJ516" i="1"/>
  <c r="BX2" i="7"/>
  <c r="M2" i="7"/>
  <c r="Y516" i="1"/>
  <c r="AD2" i="7"/>
  <c r="AP516" i="1"/>
  <c r="AL2" i="7"/>
  <c r="AX516" i="1"/>
  <c r="BA5" i="1"/>
  <c r="AV344" i="7"/>
  <c r="E344" i="7" s="1"/>
  <c r="M347" i="1"/>
  <c r="Q2" i="7"/>
  <c r="AC516" i="1"/>
  <c r="CE149" i="1"/>
  <c r="BH149" i="1"/>
  <c r="AV146" i="7" s="1"/>
  <c r="BX149" i="1"/>
  <c r="BQ149" i="1"/>
  <c r="BE146" i="7" s="1"/>
  <c r="CG149" i="1"/>
  <c r="BV149" i="1"/>
  <c r="BJ146" i="7" s="1"/>
  <c r="AY149" i="1"/>
  <c r="M149" i="1" s="1"/>
  <c r="BO149" i="1"/>
  <c r="BC146" i="7" s="1"/>
  <c r="AI5" i="1"/>
  <c r="AR202" i="7"/>
  <c r="E202" i="7" s="1"/>
  <c r="M205" i="1"/>
  <c r="P2" i="7"/>
  <c r="AB516" i="1"/>
  <c r="U2" i="7"/>
  <c r="AG516" i="1"/>
  <c r="BY389" i="1"/>
  <c r="BM386" i="7" s="1"/>
  <c r="BJ386" i="7"/>
  <c r="BW389" i="1"/>
  <c r="BK386" i="7" s="1"/>
  <c r="BQ5" i="1"/>
  <c r="AF5" i="1"/>
  <c r="AE5" i="1"/>
  <c r="M389" i="1" l="1"/>
  <c r="AP146" i="7"/>
  <c r="BB5" i="1"/>
  <c r="Y2" i="7"/>
  <c r="AK516" i="1"/>
  <c r="BQ146" i="7"/>
  <c r="CC5" i="1"/>
  <c r="BK516" i="1"/>
  <c r="AY2" i="7"/>
  <c r="BO146" i="7"/>
  <c r="CA5" i="1"/>
  <c r="BM5" i="1"/>
  <c r="BT146" i="7"/>
  <c r="CF5" i="1"/>
  <c r="AH2" i="7"/>
  <c r="AT516" i="1"/>
  <c r="BG146" i="7"/>
  <c r="BS5" i="1"/>
  <c r="BH5" i="1"/>
  <c r="AQ146" i="7"/>
  <c r="BC5" i="1"/>
  <c r="AG2" i="7"/>
  <c r="AS516" i="1"/>
  <c r="R2" i="7"/>
  <c r="AD516" i="1"/>
  <c r="AE516" i="1"/>
  <c r="S2" i="7"/>
  <c r="W2" i="7"/>
  <c r="AI516" i="1"/>
  <c r="BS146" i="7"/>
  <c r="CE5" i="1"/>
  <c r="AR2" i="7"/>
  <c r="BD516" i="1"/>
  <c r="BI2" i="7"/>
  <c r="BU516" i="1"/>
  <c r="BO5" i="1"/>
  <c r="AU516" i="1"/>
  <c r="AI2" i="7"/>
  <c r="X2" i="7"/>
  <c r="AJ516" i="1"/>
  <c r="BN146" i="7"/>
  <c r="BZ5" i="1"/>
  <c r="BJ5" i="1"/>
  <c r="T2" i="7"/>
  <c r="AF516" i="1"/>
  <c r="E386" i="7"/>
  <c r="BU146" i="7"/>
  <c r="CG5" i="1"/>
  <c r="BE2" i="7"/>
  <c r="BQ516" i="1"/>
  <c r="AO2" i="7"/>
  <c r="BA516" i="1"/>
  <c r="BV146" i="7"/>
  <c r="CH5" i="1"/>
  <c r="BH146" i="7"/>
  <c r="BT5" i="1"/>
  <c r="BP5" i="1"/>
  <c r="BR146" i="7"/>
  <c r="CD5" i="1"/>
  <c r="BM146" i="7"/>
  <c r="BY5" i="1"/>
  <c r="BI5" i="1"/>
  <c r="BW146" i="7"/>
  <c r="CI5" i="1"/>
  <c r="BP146" i="7"/>
  <c r="CB5" i="1"/>
  <c r="AM146" i="7"/>
  <c r="AY5" i="1"/>
  <c r="BL146" i="7"/>
  <c r="BX5" i="1"/>
  <c r="BV5" i="1"/>
  <c r="BF146" i="7"/>
  <c r="BR5" i="1"/>
  <c r="AJ2" i="7"/>
  <c r="AV516" i="1"/>
  <c r="AT2" i="7"/>
  <c r="BF516" i="1"/>
  <c r="BB146" i="7"/>
  <c r="BN5" i="1"/>
  <c r="AS2" i="7"/>
  <c r="BE516" i="1"/>
  <c r="AK2" i="7"/>
  <c r="AW516" i="1"/>
  <c r="BY146" i="7"/>
  <c r="CK5" i="1"/>
  <c r="AZ146" i="7"/>
  <c r="BL5" i="1"/>
  <c r="BK146" i="7"/>
  <c r="BW5" i="1"/>
  <c r="AK517" i="1"/>
  <c r="D21" i="6" s="1"/>
  <c r="AV517" i="1"/>
  <c r="D32" i="6" s="1"/>
  <c r="AF517" i="1"/>
  <c r="D16" i="6" s="1"/>
  <c r="Z517" i="1"/>
  <c r="D10" i="6" s="1"/>
  <c r="AT517" i="1"/>
  <c r="D30" i="6" s="1"/>
  <c r="AA517" i="1"/>
  <c r="D11" i="6" s="1"/>
  <c r="AG517" i="1"/>
  <c r="D17" i="6" s="1"/>
  <c r="AR517" i="1"/>
  <c r="D28" i="6" s="1"/>
  <c r="AB517" i="1"/>
  <c r="D12" i="6" s="1"/>
  <c r="AE517" i="1"/>
  <c r="D15" i="6" s="1"/>
  <c r="AS517" i="1"/>
  <c r="D29" i="6" s="1"/>
  <c r="AC517" i="1"/>
  <c r="D13" i="6" s="1"/>
  <c r="AN517" i="1"/>
  <c r="D24" i="6" s="1"/>
  <c r="X517" i="1"/>
  <c r="D8" i="6" s="1"/>
  <c r="AP517" i="1"/>
  <c r="D26" i="6" s="1"/>
  <c r="W517" i="1"/>
  <c r="D7" i="6" s="1"/>
  <c r="AD517" i="1"/>
  <c r="D14" i="6" s="1"/>
  <c r="AQ517" i="1"/>
  <c r="D27" i="6" s="1"/>
  <c r="AO517" i="1"/>
  <c r="D25" i="6" s="1"/>
  <c r="Y517" i="1"/>
  <c r="D9" i="6" s="1"/>
  <c r="AJ517" i="1"/>
  <c r="D20" i="6" s="1"/>
  <c r="AU517" i="1"/>
  <c r="D31" i="6" s="1"/>
  <c r="AI517" i="1"/>
  <c r="D19" i="6" s="1"/>
  <c r="AP2" i="7" l="1"/>
  <c r="BB516" i="1"/>
  <c r="E146" i="7"/>
  <c r="AM2" i="7"/>
  <c r="AY516" i="1"/>
  <c r="BD2" i="7"/>
  <c r="BP516" i="1"/>
  <c r="BN2" i="7"/>
  <c r="BZ516" i="1"/>
  <c r="BS2" i="7"/>
  <c r="CE516" i="1"/>
  <c r="AV2" i="7"/>
  <c r="BH516" i="1"/>
  <c r="CA516" i="1"/>
  <c r="BO2" i="7"/>
  <c r="CC516" i="1"/>
  <c r="BQ2" i="7"/>
  <c r="BK2" i="7"/>
  <c r="BW516" i="1"/>
  <c r="AZ2" i="7"/>
  <c r="BL516" i="1"/>
  <c r="BJ2" i="7"/>
  <c r="BV516" i="1"/>
  <c r="BH2" i="7"/>
  <c r="BT516" i="1"/>
  <c r="CG516" i="1"/>
  <c r="BU2" i="7"/>
  <c r="BS516" i="1"/>
  <c r="BG2" i="7"/>
  <c r="CF516" i="1"/>
  <c r="BT2" i="7"/>
  <c r="CK516" i="1"/>
  <c r="BY2" i="7"/>
  <c r="BM2" i="7"/>
  <c r="BY516" i="1"/>
  <c r="BB2" i="7"/>
  <c r="BN516" i="1"/>
  <c r="BW2" i="7"/>
  <c r="CI516" i="1"/>
  <c r="BB517" i="1"/>
  <c r="D38" i="6" s="1"/>
  <c r="AH517" i="1"/>
  <c r="D18" i="6" s="1"/>
  <c r="AL517" i="1"/>
  <c r="D22" i="6" s="1"/>
  <c r="AX517" i="1"/>
  <c r="D34" i="6" s="1"/>
  <c r="AW517" i="1"/>
  <c r="D33" i="6" s="1"/>
  <c r="AM517" i="1"/>
  <c r="D23" i="6" s="1"/>
  <c r="BL2" i="7"/>
  <c r="BX516" i="1"/>
  <c r="BR2" i="7"/>
  <c r="CD516" i="1"/>
  <c r="M5" i="1"/>
  <c r="BC516" i="1"/>
  <c r="BE517" i="1" s="1"/>
  <c r="D41" i="6" s="1"/>
  <c r="AQ2" i="7"/>
  <c r="BF2" i="7"/>
  <c r="BR516" i="1"/>
  <c r="BP2" i="7"/>
  <c r="CB516" i="1"/>
  <c r="AW2" i="7"/>
  <c r="BI516" i="1"/>
  <c r="BV2" i="7"/>
  <c r="CH516" i="1"/>
  <c r="AX2" i="7"/>
  <c r="BJ516" i="1"/>
  <c r="BC2" i="7"/>
  <c r="BO516" i="1"/>
  <c r="BA2" i="7"/>
  <c r="BM516" i="1"/>
  <c r="BH517" i="1" l="1"/>
  <c r="D44" i="6" s="1"/>
  <c r="E2" i="7"/>
  <c r="CJ517" i="1"/>
  <c r="D72" i="6" s="1"/>
  <c r="BG517" i="1"/>
  <c r="D43" i="6" s="1"/>
  <c r="BC517" i="1"/>
  <c r="D39" i="6" s="1"/>
  <c r="CM517" i="1"/>
  <c r="D75" i="6" s="1"/>
  <c r="BX517" i="1"/>
  <c r="D60" i="6" s="1"/>
  <c r="BR517" i="1"/>
  <c r="D54" i="6" s="1"/>
  <c r="CI517" i="1"/>
  <c r="D71" i="6" s="1"/>
  <c r="BU517" i="1"/>
  <c r="D57" i="6" s="1"/>
  <c r="CF517" i="1"/>
  <c r="D68" i="6" s="1"/>
  <c r="BN517" i="1"/>
  <c r="D50" i="6" s="1"/>
  <c r="BQ517" i="1"/>
  <c r="D53" i="6" s="1"/>
  <c r="BL517" i="1"/>
  <c r="D48" i="6" s="1"/>
  <c r="BF517" i="1"/>
  <c r="D42" i="6" s="1"/>
  <c r="BZ517" i="1"/>
  <c r="D62" i="6" s="1"/>
  <c r="BK517" i="1"/>
  <c r="D47" i="6" s="1"/>
  <c r="CE517" i="1"/>
  <c r="D67" i="6" s="1"/>
  <c r="BI517" i="1"/>
  <c r="D45" i="6" s="1"/>
  <c r="BT517" i="1"/>
  <c r="D56" i="6" s="1"/>
  <c r="BV517" i="1"/>
  <c r="D58" i="6" s="1"/>
  <c r="AZ517" i="1"/>
  <c r="D36" i="6" s="1"/>
  <c r="CA517" i="1"/>
  <c r="D63" i="6" s="1"/>
  <c r="BO517" i="1"/>
  <c r="D51" i="6" s="1"/>
  <c r="CC517" i="1"/>
  <c r="D65" i="6" s="1"/>
  <c r="BJ517" i="1"/>
  <c r="D46" i="6" s="1"/>
  <c r="BA517" i="1"/>
  <c r="D37" i="6" s="1"/>
  <c r="CN517" i="1"/>
  <c r="D76" i="6" s="1"/>
  <c r="AY517" i="1"/>
  <c r="D35" i="6" s="1"/>
  <c r="BD517" i="1"/>
  <c r="D40" i="6" s="1"/>
  <c r="CK517" i="1"/>
  <c r="D73" i="6" s="1"/>
  <c r="BS517" i="1"/>
  <c r="D55" i="6" s="1"/>
  <c r="BM517" i="1"/>
  <c r="D49" i="6" s="1"/>
  <c r="CD517" i="1"/>
  <c r="D66" i="6" s="1"/>
  <c r="CO517" i="1"/>
  <c r="D77" i="6" s="1"/>
  <c r="CH517" i="1"/>
  <c r="D70" i="6" s="1"/>
  <c r="CL517" i="1"/>
  <c r="D74" i="6" s="1"/>
  <c r="BP517" i="1"/>
  <c r="D52" i="6" s="1"/>
  <c r="BW517" i="1"/>
  <c r="D59" i="6" s="1"/>
  <c r="CB517" i="1"/>
  <c r="D64" i="6" s="1"/>
  <c r="BY517" i="1"/>
  <c r="D61" i="6" s="1"/>
  <c r="CG517" i="1"/>
  <c r="D69" i="6" s="1"/>
</calcChain>
</file>

<file path=xl/sharedStrings.xml><?xml version="1.0" encoding="utf-8"?>
<sst xmlns="http://schemas.openxmlformats.org/spreadsheetml/2006/main" count="4855" uniqueCount="778">
  <si>
    <t>Activity Data</t>
  </si>
  <si>
    <t>2026</t>
  </si>
  <si>
    <t>2027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</si>
  <si>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</si>
  <si>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</si>
  <si>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</si>
  <si>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</si>
  <si>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</si>
  <si>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</si>
  <si>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</si>
  <si>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</si>
  <si>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</si>
  <si>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</si>
  <si>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</si>
  <si>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</si>
  <si>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</si>
  <si>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</si>
  <si>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</si>
  <si>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</si>
  <si>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</si>
  <si>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</si>
  <si>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</si>
  <si>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</si>
  <si>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</si>
  <si>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</si>
  <si>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</si>
  <si>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</si>
  <si>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</si>
  <si>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</si>
  <si>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</si>
  <si>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</si>
  <si>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</si>
  <si>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</si>
  <si>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</si>
  <si>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</si>
  <si>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</si>
  <si>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</si>
  <si>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</si>
  <si>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</si>
  <si>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</si>
  <si>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</si>
  <si>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</si>
  <si>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</si>
  <si>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</si>
  <si>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</si>
  <si>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</si>
  <si>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</si>
  <si>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</si>
  <si>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</si>
  <si>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</si>
  <si>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</si>
  <si>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</si>
  <si>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</si>
  <si>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</si>
  <si>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</si>
  <si>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</si>
  <si>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</si>
  <si>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</si>
  <si>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</si>
  <si>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</si>
  <si>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</si>
  <si>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</si>
  <si>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</si>
  <si>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</si>
  <si>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</si>
  <si>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</si>
  <si>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</si>
  <si>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</si>
  <si>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</si>
  <si>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</si>
  <si>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</si>
  <si>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</si>
  <si>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</si>
  <si>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</si>
  <si>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</si>
  <si>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</si>
  <si>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</si>
  <si>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</si>
  <si>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</si>
  <si>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</si>
  <si>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</si>
  <si>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</si>
  <si>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</si>
  <si>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</si>
  <si>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</si>
  <si>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</si>
  <si>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</si>
  <si>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</si>
  <si>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</si>
  <si>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</si>
  <si>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</si>
  <si>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Row Type</t>
  </si>
  <si>
    <t>WBS</t>
  </si>
  <si>
    <t>Description</t>
  </si>
  <si>
    <t>P/A</t>
  </si>
  <si>
    <t>Activity ID</t>
  </si>
  <si>
    <t>Task ID</t>
  </si>
  <si>
    <t>UID</t>
  </si>
  <si>
    <t>Outline Level</t>
  </si>
  <si>
    <t>Plan Start</t>
  </si>
  <si>
    <t>Plan Finish</t>
  </si>
  <si>
    <t>Actual Start</t>
  </si>
  <si>
    <t>Actual Finish</t>
  </si>
  <si>
    <t>% Complete</t>
  </si>
  <si>
    <t>Physical %</t>
  </si>
  <si>
    <t>Amount</t>
  </si>
  <si>
    <t>Total Float (hr)</t>
  </si>
  <si>
    <t>XML Amount</t>
  </si>
  <si>
    <t>Project Summary</t>
  </si>
  <si>
    <t>NKC2</t>
  </si>
  <si>
    <t>P</t>
  </si>
  <si>
    <t>A</t>
  </si>
  <si>
    <t>1</t>
  </si>
  <si>
    <t>งานเตรียมงาน</t>
  </si>
  <si>
    <t>1.1</t>
  </si>
  <si>
    <t>Mobilization</t>
  </si>
  <si>
    <t>Activity</t>
  </si>
  <si>
    <t>1.1.1</t>
  </si>
  <si>
    <t>Site Mobilization</t>
  </si>
  <si>
    <t>A1000</t>
  </si>
  <si>
    <t>1.2</t>
  </si>
  <si>
    <t>งานรื้อถอน</t>
  </si>
  <si>
    <t>1.2.1</t>
  </si>
  <si>
    <t>Roof &amp; Roof Floor</t>
  </si>
  <si>
    <t>A1005</t>
  </si>
  <si>
    <t>1.2.2</t>
  </si>
  <si>
    <t>3rd Floor</t>
  </si>
  <si>
    <t>A1010</t>
  </si>
  <si>
    <t>1.2.3</t>
  </si>
  <si>
    <t>2nd Floor</t>
  </si>
  <si>
    <t>A1020</t>
  </si>
  <si>
    <t>1.2.4</t>
  </si>
  <si>
    <t>Mezzanine Floor</t>
  </si>
  <si>
    <t>A1030</t>
  </si>
  <si>
    <t>1.2.5</t>
  </si>
  <si>
    <t>Ground  Floor</t>
  </si>
  <si>
    <t>A1040</t>
  </si>
  <si>
    <t>1.2.6</t>
  </si>
  <si>
    <t>External</t>
  </si>
  <si>
    <t>A1050</t>
  </si>
  <si>
    <t>1.3</t>
  </si>
  <si>
    <t>งานซ่อมโครงสร้าง</t>
  </si>
  <si>
    <t>1.3.1</t>
  </si>
  <si>
    <t>Ground FL</t>
  </si>
  <si>
    <t>A1060</t>
  </si>
  <si>
    <t>1.3.2</t>
  </si>
  <si>
    <t>2nd FL</t>
  </si>
  <si>
    <t>A1070</t>
  </si>
  <si>
    <t>1.3.3</t>
  </si>
  <si>
    <t>3rd FL</t>
  </si>
  <si>
    <t>A1080</t>
  </si>
  <si>
    <t>1.3.4</t>
  </si>
  <si>
    <t>Roof FL</t>
  </si>
  <si>
    <t>A1090</t>
  </si>
  <si>
    <t>2</t>
  </si>
  <si>
    <t>Structure</t>
  </si>
  <si>
    <t>2.1</t>
  </si>
  <si>
    <t>Pilling Work</t>
  </si>
  <si>
    <t>2.1.1</t>
  </si>
  <si>
    <t>Bored Pile</t>
  </si>
  <si>
    <t>A1100</t>
  </si>
  <si>
    <t>2.2</t>
  </si>
  <si>
    <t>Toilet &amp; Pantry</t>
  </si>
  <si>
    <t>2.2.1</t>
  </si>
  <si>
    <t>Foundation</t>
  </si>
  <si>
    <t>A1110</t>
  </si>
  <si>
    <t>2.2.2</t>
  </si>
  <si>
    <t>RC Beam &amp; Slab for GL.Floor</t>
  </si>
  <si>
    <t>A1120</t>
  </si>
  <si>
    <t>2.2.3</t>
  </si>
  <si>
    <t>Steel Column &amp; Beam M to R</t>
  </si>
  <si>
    <t>A1130</t>
  </si>
  <si>
    <t>2.2.4</t>
  </si>
  <si>
    <t>RC Slab M to R</t>
  </si>
  <si>
    <t>A1140</t>
  </si>
  <si>
    <t>2.3</t>
  </si>
  <si>
    <t>Lift</t>
  </si>
  <si>
    <t>2.3.1</t>
  </si>
  <si>
    <t>A1150</t>
  </si>
  <si>
    <t>2.3.2</t>
  </si>
  <si>
    <t>A1160</t>
  </si>
  <si>
    <t>2.3.3</t>
  </si>
  <si>
    <t>A1170</t>
  </si>
  <si>
    <t>2.3.4</t>
  </si>
  <si>
    <t>A1180</t>
  </si>
  <si>
    <t>2.4</t>
  </si>
  <si>
    <t>Roof Str.</t>
  </si>
  <si>
    <t>2.4.1</t>
  </si>
  <si>
    <t>Supports Installation</t>
  </si>
  <si>
    <t>A1190</t>
  </si>
  <si>
    <t>2.4.2</t>
  </si>
  <si>
    <t>Rafter Truss</t>
  </si>
  <si>
    <t>A1200</t>
  </si>
  <si>
    <t>2.4.3</t>
  </si>
  <si>
    <t>Purin</t>
  </si>
  <si>
    <t>A1210</t>
  </si>
  <si>
    <t>2.4.4</t>
  </si>
  <si>
    <t>Paint</t>
  </si>
  <si>
    <t>A1220</t>
  </si>
  <si>
    <t>2.5</t>
  </si>
  <si>
    <t>ห้องศาสนา</t>
  </si>
  <si>
    <t>2.5.1</t>
  </si>
  <si>
    <t>A1230</t>
  </si>
  <si>
    <t>2.5.2</t>
  </si>
  <si>
    <t>Steel Columns</t>
  </si>
  <si>
    <t>A1240</t>
  </si>
  <si>
    <t>2.5.3</t>
  </si>
  <si>
    <t>Steel Roof Frame</t>
  </si>
  <si>
    <t>A1250</t>
  </si>
  <si>
    <t>2.6</t>
  </si>
  <si>
    <t>ห้องสนามหลวง</t>
  </si>
  <si>
    <t>2.6.1</t>
  </si>
  <si>
    <t>A1260</t>
  </si>
  <si>
    <t>2.6.2</t>
  </si>
  <si>
    <t>A1270</t>
  </si>
  <si>
    <t>2.6.3</t>
  </si>
  <si>
    <t>A1280</t>
  </si>
  <si>
    <t>2.7</t>
  </si>
  <si>
    <t>ส่วนต่อขยายชั้น 2</t>
  </si>
  <si>
    <t>2.7.1</t>
  </si>
  <si>
    <t>A1290</t>
  </si>
  <si>
    <t>2.7.2</t>
  </si>
  <si>
    <t>Built-up Frame&amp;Slab</t>
  </si>
  <si>
    <t>A1300</t>
  </si>
  <si>
    <t>2.7.3</t>
  </si>
  <si>
    <t>Concrete Top</t>
  </si>
  <si>
    <t>A1310</t>
  </si>
  <si>
    <t>2.8</t>
  </si>
  <si>
    <t>Mezzanine</t>
  </si>
  <si>
    <t>2.8.1</t>
  </si>
  <si>
    <t>A1320</t>
  </si>
  <si>
    <t>2.8.2</t>
  </si>
  <si>
    <t>Columns</t>
  </si>
  <si>
    <t>A1330</t>
  </si>
  <si>
    <t>2.8.3</t>
  </si>
  <si>
    <t>A1340</t>
  </si>
  <si>
    <t>2.8.4</t>
  </si>
  <si>
    <t>A1350</t>
  </si>
  <si>
    <t>2.9</t>
  </si>
  <si>
    <t>Workshop room</t>
  </si>
  <si>
    <t>2.9.1</t>
  </si>
  <si>
    <t>Support Installation</t>
  </si>
  <si>
    <t>A1360</t>
  </si>
  <si>
    <t>2.9.2</t>
  </si>
  <si>
    <t>Steel Column &amp; Beam</t>
  </si>
  <si>
    <t>A1370</t>
  </si>
  <si>
    <t>2.9.3</t>
  </si>
  <si>
    <t>Fiber Cement Slab</t>
  </si>
  <si>
    <t>A1380</t>
  </si>
  <si>
    <t>2.10</t>
  </si>
  <si>
    <t>ST6</t>
  </si>
  <si>
    <t>2.10.1</t>
  </si>
  <si>
    <t>A1390</t>
  </si>
  <si>
    <t>2.10.2</t>
  </si>
  <si>
    <t>A1400</t>
  </si>
  <si>
    <t>2.10.3</t>
  </si>
  <si>
    <t>A1410</t>
  </si>
  <si>
    <t>2.11</t>
  </si>
  <si>
    <t>MEP Foundation</t>
  </si>
  <si>
    <t>2.11.1</t>
  </si>
  <si>
    <t>Pile Driven</t>
  </si>
  <si>
    <t>A1420</t>
  </si>
  <si>
    <t>2.11.2</t>
  </si>
  <si>
    <t>WWT - Excavation&amp;Concrete Work</t>
  </si>
  <si>
    <t>A1430</t>
  </si>
  <si>
    <t>2.11.3</t>
  </si>
  <si>
    <t>WWWT - Excavation&amp;Concrete Work</t>
  </si>
  <si>
    <t>A1440</t>
  </si>
  <si>
    <t>2.11.4</t>
  </si>
  <si>
    <t>Grease Trap - Excavation&amp;Concrete Work</t>
  </si>
  <si>
    <t>A1450</t>
  </si>
  <si>
    <t>2.11.5</t>
  </si>
  <si>
    <t>EE Plateform - Concrete Work</t>
  </si>
  <si>
    <t>A1460</t>
  </si>
  <si>
    <t>2.12</t>
  </si>
  <si>
    <t>Entrance</t>
  </si>
  <si>
    <t>2.12.1</t>
  </si>
  <si>
    <t>ทางเข้าบันไดหลัก 1</t>
  </si>
  <si>
    <t>A1470</t>
  </si>
  <si>
    <t>2.12.2</t>
  </si>
  <si>
    <t>ทางเข้าบันไดหลัก 2</t>
  </si>
  <si>
    <t>A1480</t>
  </si>
  <si>
    <t>2.12.3</t>
  </si>
  <si>
    <t>ทางเข้าบันไดรอง 1</t>
  </si>
  <si>
    <t>A1490</t>
  </si>
  <si>
    <t>2.12.4</t>
  </si>
  <si>
    <t>ทางเข้าบันไดรอง 2</t>
  </si>
  <si>
    <t>A1500</t>
  </si>
  <si>
    <t>2.12.5</t>
  </si>
  <si>
    <t>Entrance ST2</t>
  </si>
  <si>
    <t>A1510</t>
  </si>
  <si>
    <t>2.12.6</t>
  </si>
  <si>
    <t>Entrance ST4</t>
  </si>
  <si>
    <t>A1520</t>
  </si>
  <si>
    <t>3</t>
  </si>
  <si>
    <t>Architecture and MEP</t>
  </si>
  <si>
    <t>3.1</t>
  </si>
  <si>
    <t>งาน Riser</t>
  </si>
  <si>
    <t>3.1.12</t>
  </si>
  <si>
    <t>1st to Roof</t>
  </si>
  <si>
    <t>3.1.12.1</t>
  </si>
  <si>
    <t>งานก่ออิฐช่องชาร์ปงานระบบประกอบอาคาร</t>
  </si>
  <si>
    <t>A1530</t>
  </si>
  <si>
    <t>3.1.12.2</t>
  </si>
  <si>
    <t>Electrical and Communication Riser</t>
  </si>
  <si>
    <t>A1540</t>
  </si>
  <si>
    <t>3.1.12.3</t>
  </si>
  <si>
    <t>Sanitary and Fire Protection Riser</t>
  </si>
  <si>
    <t>A1550</t>
  </si>
  <si>
    <t>3.1.12.4</t>
  </si>
  <si>
    <t>Air Conditioning Riser</t>
  </si>
  <si>
    <t>A1560</t>
  </si>
  <si>
    <t>3.2</t>
  </si>
  <si>
    <t>1st Floor</t>
  </si>
  <si>
    <t>3.2.1</t>
  </si>
  <si>
    <t>Wall | Wall Fn.</t>
  </si>
  <si>
    <t>3.2.1.1</t>
  </si>
  <si>
    <t>งานก่ออิฐมวลเบา ฉาบเรียบ</t>
  </si>
  <si>
    <t>A1570</t>
  </si>
  <si>
    <t>3.2.1.2</t>
  </si>
  <si>
    <t>งานกรุกระเบื้องโมเสค ผนังห้องน้ำ</t>
  </si>
  <si>
    <t>A1580</t>
  </si>
  <si>
    <t>3.2.1.3</t>
  </si>
  <si>
    <t>งานแต่งเรียบผนังภายในเดิม</t>
  </si>
  <si>
    <t>A1590</t>
  </si>
  <si>
    <t>3.2.2</t>
  </si>
  <si>
    <t>Ceiling</t>
  </si>
  <si>
    <t>3.2.2.1</t>
  </si>
  <si>
    <t>ฝ้าเหล็กรูปพรรณ สีน้ำมัน ใต้พื้นชั้นลอย</t>
  </si>
  <si>
    <t>A1600</t>
  </si>
  <si>
    <t>3.2.2.2</t>
  </si>
  <si>
    <t>งานฝ้าห้องน้ำ</t>
  </si>
  <si>
    <t>A1610</t>
  </si>
  <si>
    <t>3.2.2.3</t>
  </si>
  <si>
    <t>งานแต่งเรียบท้องพื้น ท้องคาน</t>
  </si>
  <si>
    <t>A1620</t>
  </si>
  <si>
    <t>3.2.3</t>
  </si>
  <si>
    <t>Floor &amp; Floor Fn.</t>
  </si>
  <si>
    <t>3.2.3.1</t>
  </si>
  <si>
    <t>งานพื้นขัดเรียบพื้นที่จัดหาผลประโยชน์</t>
  </si>
  <si>
    <t>A1630</t>
  </si>
  <si>
    <t>3.2.3.2</t>
  </si>
  <si>
    <t>งานพื้นหินขัด Lobby, Workshop rm.</t>
  </si>
  <si>
    <t>A1640</t>
  </si>
  <si>
    <t>3.2.3.3</t>
  </si>
  <si>
    <t>งานพื้น Epoxy - Corridore, Lift Lobby, Office</t>
  </si>
  <si>
    <t>A1650</t>
  </si>
  <si>
    <t>3.2.3.4</t>
  </si>
  <si>
    <t>งานปูหินแกรนิต ปูกระเบื้อง ห้องน้ำ</t>
  </si>
  <si>
    <t>A1660</t>
  </si>
  <si>
    <t>3.2.4</t>
  </si>
  <si>
    <t>Doors &amp; Windows</t>
  </si>
  <si>
    <t>3.2.4.1</t>
  </si>
  <si>
    <t>งานติดตั้งผนังกระจก และประตูกระจกอลูมิเนียม</t>
  </si>
  <si>
    <t>A1670</t>
  </si>
  <si>
    <t>3.2.5</t>
  </si>
  <si>
    <t>MEP</t>
  </si>
  <si>
    <t>3.2.5.1</t>
  </si>
  <si>
    <t>First Fix Wall and Ceiling</t>
  </si>
  <si>
    <t>A1680</t>
  </si>
  <si>
    <t>3.2.5.2</t>
  </si>
  <si>
    <t>งานติดอุปกรณ์ Second Fix</t>
  </si>
  <si>
    <t>A1690</t>
  </si>
  <si>
    <t>3.2.5.3</t>
  </si>
  <si>
    <t>งานติดตั้ง MDB&amp;EMDB</t>
  </si>
  <si>
    <t>A1700</t>
  </si>
  <si>
    <t>3.2.5.4</t>
  </si>
  <si>
    <t>งานติดตั้ง Main Communication</t>
  </si>
  <si>
    <t>A1710</t>
  </si>
  <si>
    <t>3.3</t>
  </si>
  <si>
    <t>3.3.1</t>
  </si>
  <si>
    <t>3.3.1.1</t>
  </si>
  <si>
    <t>A1720</t>
  </si>
  <si>
    <t>3.3.1.2</t>
  </si>
  <si>
    <t>A1730</t>
  </si>
  <si>
    <t>3.3.1.3</t>
  </si>
  <si>
    <t>A1740</t>
  </si>
  <si>
    <t>3.3.2</t>
  </si>
  <si>
    <t>3.3.2.1</t>
  </si>
  <si>
    <t>A1750</t>
  </si>
  <si>
    <t>3.3.2.2</t>
  </si>
  <si>
    <t>A1760</t>
  </si>
  <si>
    <t>3.3.2.3</t>
  </si>
  <si>
    <t>งานฝ้ากันเสียง ฝ้าอลูมิเนียมห้องประชุม</t>
  </si>
  <si>
    <t>A1770</t>
  </si>
  <si>
    <t>3.3.3</t>
  </si>
  <si>
    <t>Floor&amp; Floor Fn.</t>
  </si>
  <si>
    <t>3.3.3.1</t>
  </si>
  <si>
    <t>งานปูกระเบื้องยาง</t>
  </si>
  <si>
    <t>A1780</t>
  </si>
  <si>
    <t>3.3.3.2</t>
  </si>
  <si>
    <t>A1790</t>
  </si>
  <si>
    <t>3.3.4</t>
  </si>
  <si>
    <t>3.3.4.1</t>
  </si>
  <si>
    <t>A1800</t>
  </si>
  <si>
    <t>3.3.5</t>
  </si>
  <si>
    <t>3.3.5.1</t>
  </si>
  <si>
    <t>A1810</t>
  </si>
  <si>
    <t>3.3.5.2</t>
  </si>
  <si>
    <t>A1820</t>
  </si>
  <si>
    <t>3.4</t>
  </si>
  <si>
    <t>3.4.1</t>
  </si>
  <si>
    <t>3.4.1.1</t>
  </si>
  <si>
    <t>A1830</t>
  </si>
  <si>
    <t>3.4.1.2</t>
  </si>
  <si>
    <t>A1840</t>
  </si>
  <si>
    <t>3.4.1.3</t>
  </si>
  <si>
    <t>A1850</t>
  </si>
  <si>
    <t>3.4.2</t>
  </si>
  <si>
    <t>3.4.2.1</t>
  </si>
  <si>
    <t>A1860</t>
  </si>
  <si>
    <t>3.4.2.2</t>
  </si>
  <si>
    <t>A1870</t>
  </si>
  <si>
    <t>3.4.3</t>
  </si>
  <si>
    <t>3.4.3.1</t>
  </si>
  <si>
    <t>A1880</t>
  </si>
  <si>
    <t>3.4.3.2</t>
  </si>
  <si>
    <t>งานปรับระดับพื้น</t>
  </si>
  <si>
    <t>A1890</t>
  </si>
  <si>
    <t>3.4.3.3</t>
  </si>
  <si>
    <t>A1900</t>
  </si>
  <si>
    <t>3.4.3.4</t>
  </si>
  <si>
    <t>A1910</t>
  </si>
  <si>
    <t>3.4.4</t>
  </si>
  <si>
    <t>3.4.4.1</t>
  </si>
  <si>
    <t>A1920</t>
  </si>
  <si>
    <t>3.4.5</t>
  </si>
  <si>
    <t>3.4.5.1</t>
  </si>
  <si>
    <t>A1930</t>
  </si>
  <si>
    <t>3.4.5.2</t>
  </si>
  <si>
    <t>A1940</t>
  </si>
  <si>
    <t>3.5</t>
  </si>
  <si>
    <t>3.5.1</t>
  </si>
  <si>
    <t>3.5.1.1</t>
  </si>
  <si>
    <t>A1950</t>
  </si>
  <si>
    <t>3.5.1.2</t>
  </si>
  <si>
    <t>A1960</t>
  </si>
  <si>
    <t>3.5.1.3</t>
  </si>
  <si>
    <t>A1970</t>
  </si>
  <si>
    <t>3.5.2</t>
  </si>
  <si>
    <t>3.5.2.1</t>
  </si>
  <si>
    <t>A1980</t>
  </si>
  <si>
    <t>3.5.2.2</t>
  </si>
  <si>
    <t>A1990</t>
  </si>
  <si>
    <t>3.5.3</t>
  </si>
  <si>
    <t>3.5.3.1</t>
  </si>
  <si>
    <t>A2000</t>
  </si>
  <si>
    <t>3.5.3.2</t>
  </si>
  <si>
    <t>A2010</t>
  </si>
  <si>
    <t>3.5.3.3</t>
  </si>
  <si>
    <t>A2020</t>
  </si>
  <si>
    <t>3.5.3.4</t>
  </si>
  <si>
    <t>A2030</t>
  </si>
  <si>
    <t>3.5.4</t>
  </si>
  <si>
    <t>3.5.4.1</t>
  </si>
  <si>
    <t>A2040</t>
  </si>
  <si>
    <t>3.5.5</t>
  </si>
  <si>
    <t>3.5.5.1</t>
  </si>
  <si>
    <t>A2050</t>
  </si>
  <si>
    <t>3.5.5.2</t>
  </si>
  <si>
    <t>A2060</t>
  </si>
  <si>
    <t>3.5.5.3</t>
  </si>
  <si>
    <t>งานติดตั้ง UPS and Communication Work</t>
  </si>
  <si>
    <t>A2070</t>
  </si>
  <si>
    <t>3.6</t>
  </si>
  <si>
    <t>R Floor</t>
  </si>
  <si>
    <t>3.6.1</t>
  </si>
  <si>
    <t>3.6.1.1</t>
  </si>
  <si>
    <t>A2080</t>
  </si>
  <si>
    <t>3.6.1.2</t>
  </si>
  <si>
    <t>A2090</t>
  </si>
  <si>
    <t>3.6.2</t>
  </si>
  <si>
    <t>3.6.2.1</t>
  </si>
  <si>
    <t>งานฝ้ายิปซัมบอร์ด ฉาบเรียบทาสี</t>
  </si>
  <si>
    <t>A2100</t>
  </si>
  <si>
    <t>3.6.2.2</t>
  </si>
  <si>
    <t>A2110</t>
  </si>
  <si>
    <t>3.6.3</t>
  </si>
  <si>
    <t>3.6.3.1</t>
  </si>
  <si>
    <t>A2120</t>
  </si>
  <si>
    <t>3.6.3.2</t>
  </si>
  <si>
    <t>A2130</t>
  </si>
  <si>
    <t>3.6.3.3</t>
  </si>
  <si>
    <t>A2140</t>
  </si>
  <si>
    <t>3.6.4</t>
  </si>
  <si>
    <t>3.6.4.1</t>
  </si>
  <si>
    <t>A2150</t>
  </si>
  <si>
    <t>3.6.5</t>
  </si>
  <si>
    <t>3.6.5.1</t>
  </si>
  <si>
    <t>A2160</t>
  </si>
  <si>
    <t>3.6.5.2</t>
  </si>
  <si>
    <t>A2170</t>
  </si>
  <si>
    <t>3.6.5.3</t>
  </si>
  <si>
    <t>งานติดตั้ง CDU VRF</t>
  </si>
  <si>
    <t>A2180</t>
  </si>
  <si>
    <t>3.7</t>
  </si>
  <si>
    <t>Roof Finish</t>
  </si>
  <si>
    <t>3.7.1</t>
  </si>
  <si>
    <t>งานระบบกันซึม</t>
  </si>
  <si>
    <t>3.7.1.1</t>
  </si>
  <si>
    <t>งานระบบกันซึมรางน้ำ</t>
  </si>
  <si>
    <t>A2190</t>
  </si>
  <si>
    <t>3.7.1.2</t>
  </si>
  <si>
    <t>งานระบบกันซึมพื้นดาดฟ้า</t>
  </si>
  <si>
    <t>A2200</t>
  </si>
  <si>
    <t>3.7.2</t>
  </si>
  <si>
    <t>งานมุงหลังคา</t>
  </si>
  <si>
    <t>3.7.2.1</t>
  </si>
  <si>
    <t>Metal Sheet Roof</t>
  </si>
  <si>
    <t>A2210</t>
  </si>
  <si>
    <t>3.7.2.2</t>
  </si>
  <si>
    <t>Fiber Glass Roof</t>
  </si>
  <si>
    <t>A2220</t>
  </si>
  <si>
    <t>3.7.2.3</t>
  </si>
  <si>
    <t>Sky Light</t>
  </si>
  <si>
    <t>A2230</t>
  </si>
  <si>
    <t>3.8</t>
  </si>
  <si>
    <t>Stair Finish</t>
  </si>
  <si>
    <t>3.8.1</t>
  </si>
  <si>
    <t>ST1</t>
  </si>
  <si>
    <t>3.8.1.1</t>
  </si>
  <si>
    <t>งานแต่งผิวผนัง ท้องบันไดเดิม</t>
  </si>
  <si>
    <t>A2240</t>
  </si>
  <si>
    <t>3.8.1.2</t>
  </si>
  <si>
    <t>พื้นหินอ่อน</t>
  </si>
  <si>
    <t>A2250</t>
  </si>
  <si>
    <t>3.8.1.3</t>
  </si>
  <si>
    <t>ราวจับสแตนเลส</t>
  </si>
  <si>
    <t>A2260</t>
  </si>
  <si>
    <t>3.8.1.4</t>
  </si>
  <si>
    <t>งานสีผนัง ท้องบันได</t>
  </si>
  <si>
    <t>A2270</t>
  </si>
  <si>
    <t>3.8.2</t>
  </si>
  <si>
    <t>ST2, ST3, ST4</t>
  </si>
  <si>
    <t>3.8.2.1</t>
  </si>
  <si>
    <t>A2280</t>
  </si>
  <si>
    <t>3.8.2.2</t>
  </si>
  <si>
    <t>A2290</t>
  </si>
  <si>
    <t>3.8.3</t>
  </si>
  <si>
    <t>ST5</t>
  </si>
  <si>
    <t>3.8.3.1</t>
  </si>
  <si>
    <t>A2300</t>
  </si>
  <si>
    <t>3.8.3.2</t>
  </si>
  <si>
    <t>A2310</t>
  </si>
  <si>
    <t>3.8.3.3</t>
  </si>
  <si>
    <t>A2320</t>
  </si>
  <si>
    <t>4</t>
  </si>
  <si>
    <t>งานตกแต่งภายใน</t>
  </si>
  <si>
    <t>4.1</t>
  </si>
  <si>
    <t>4.1.1</t>
  </si>
  <si>
    <t>4.1.1.1</t>
  </si>
  <si>
    <t>P4 ผนังกรุไม้อัดยาง ปิดทับด้วยวัสดุตามแบบตกแต่งภายใน</t>
  </si>
  <si>
    <t>A2330</t>
  </si>
  <si>
    <t>4.1.1.2</t>
  </si>
  <si>
    <t>P3 งานติดตั้งผนังยูกลาส</t>
  </si>
  <si>
    <t>A2340</t>
  </si>
  <si>
    <t>4.2</t>
  </si>
  <si>
    <t>4.2.1</t>
  </si>
  <si>
    <t>4.2.1.1</t>
  </si>
  <si>
    <t>A2350</t>
  </si>
  <si>
    <t>4.2.1.2</t>
  </si>
  <si>
    <t>P5  ผนังยิปซัมบอร์ดกรุวัสดุซับเสียง ปิดทับด้วยวัสดุตามแบบ ID</t>
  </si>
  <si>
    <t>A2360</t>
  </si>
  <si>
    <t>4.2.1.3</t>
  </si>
  <si>
    <t>A2370</t>
  </si>
  <si>
    <t>4.2.2</t>
  </si>
  <si>
    <t>4.2.2.1</t>
  </si>
  <si>
    <t>C2.4, C3.4 ห้องประชุม งานฝ้าอลูมิเนียม ตกแต่งตามแบบ ID</t>
  </si>
  <si>
    <t>A2380</t>
  </si>
  <si>
    <t>4.3</t>
  </si>
  <si>
    <t>4.3.1</t>
  </si>
  <si>
    <t>4.3.1.1</t>
  </si>
  <si>
    <t>A2390</t>
  </si>
  <si>
    <t>4.3.2</t>
  </si>
  <si>
    <t>4.3.2.1</t>
  </si>
  <si>
    <t>A2400</t>
  </si>
  <si>
    <t>4.3.2.2</t>
  </si>
  <si>
    <t>C3.3 ทางเดิน ฝ้าอลูมิเนียม ตามแบบ</t>
  </si>
  <si>
    <t>A2410</t>
  </si>
  <si>
    <t>4.4</t>
  </si>
  <si>
    <t>4.4.1</t>
  </si>
  <si>
    <t>4.4.1.1</t>
  </si>
  <si>
    <t>P5  ผนังยิปซัมบอร์ดกรุวัสดุซับเสียง ปิดทับด้วยวัสดุตามแบบตกแต่งภายใน</t>
  </si>
  <si>
    <t>A2420</t>
  </si>
  <si>
    <t>4.4.2</t>
  </si>
  <si>
    <t>4.4.2.1</t>
  </si>
  <si>
    <t>C3.2 ฝ้า Office ยิปซัมฟลอย กรุไม้อัดสัก โครงคร่าวไม้ ทำสีธรรมชาติ</t>
  </si>
  <si>
    <t>A2430</t>
  </si>
  <si>
    <t>4.4.2.2</t>
  </si>
  <si>
    <t>C3.2 ฝ้า ทางเดิน ฝ้าไม้อัดสัก โครงคร่าวไม้ ทำสีธรรมชาติ</t>
  </si>
  <si>
    <t>A2440</t>
  </si>
  <si>
    <t>4.4.2.3</t>
  </si>
  <si>
    <t>C3.7 ห้องประชุม ฝ้าไม้อัดสัก กรุอลูมิเนียม</t>
  </si>
  <si>
    <t>A2450</t>
  </si>
  <si>
    <t>4.5</t>
  </si>
  <si>
    <t>4.5.1</t>
  </si>
  <si>
    <t>4.5.1.1</t>
  </si>
  <si>
    <t>C3.8 ฝ้าไม้ HRM</t>
  </si>
  <si>
    <t>A2460</t>
  </si>
  <si>
    <t>5</t>
  </si>
  <si>
    <t>งานติดตั้ง Lightning Protection System  ชั้น Roof</t>
  </si>
  <si>
    <t>5.1</t>
  </si>
  <si>
    <t>งานติดตั้ง Lightning Protection System</t>
  </si>
  <si>
    <t>A2470</t>
  </si>
  <si>
    <t>6</t>
  </si>
  <si>
    <t>External MEP</t>
  </si>
  <si>
    <t>6.1</t>
  </si>
  <si>
    <t>ติดตั้งถังบำบัดน้ำเสีย ( WWTP )</t>
  </si>
  <si>
    <t>A2480</t>
  </si>
  <si>
    <t>6.2</t>
  </si>
  <si>
    <t>ติดตั้งถังดักไขมัน</t>
  </si>
  <si>
    <t>A2490</t>
  </si>
  <si>
    <t>6.3</t>
  </si>
  <si>
    <t>ติดตั้งถังเก็บน้ำประปา ( Water Tank ) และ Cold  Water Booster Pump</t>
  </si>
  <si>
    <t>A2500</t>
  </si>
  <si>
    <t>6.4</t>
  </si>
  <si>
    <t>Electrical and Communication Main Incomming</t>
  </si>
  <si>
    <t>A2510</t>
  </si>
  <si>
    <t>6.5</t>
  </si>
  <si>
    <t>ติดตั้ง Unit Substation และ Generator Set</t>
  </si>
  <si>
    <t>A2520</t>
  </si>
  <si>
    <t>6.6</t>
  </si>
  <si>
    <t>Grounding System</t>
  </si>
  <si>
    <t>A2530</t>
  </si>
  <si>
    <t>7</t>
  </si>
  <si>
    <t>Landscape</t>
  </si>
  <si>
    <t>7.1</t>
  </si>
  <si>
    <t>Hardscape</t>
  </si>
  <si>
    <t>7.1.1</t>
  </si>
  <si>
    <t>A2540</t>
  </si>
  <si>
    <t>7.2</t>
  </si>
  <si>
    <t>Softscape</t>
  </si>
  <si>
    <t>7.2.1</t>
  </si>
  <si>
    <t>A2550</t>
  </si>
  <si>
    <t>7.3</t>
  </si>
  <si>
    <t>Lighting</t>
  </si>
  <si>
    <t>7.3.1</t>
  </si>
  <si>
    <t>Lighting Landscape</t>
  </si>
  <si>
    <t>A2560</t>
  </si>
  <si>
    <t>8</t>
  </si>
  <si>
    <t>คุรุภัณฑ์</t>
  </si>
  <si>
    <t>8.1</t>
  </si>
  <si>
    <t>คุรุภัณฑ์ภาพและเสียง</t>
  </si>
  <si>
    <t>A2570</t>
  </si>
  <si>
    <t>8.2</t>
  </si>
  <si>
    <t>คุรุภัณฑ์ลอยตัว</t>
  </si>
  <si>
    <t>A2580</t>
  </si>
  <si>
    <t>8.3</t>
  </si>
  <si>
    <t>Signage</t>
  </si>
  <si>
    <t>A2590</t>
  </si>
  <si>
    <t>8.4</t>
  </si>
  <si>
    <t>ผ้าม่าน</t>
  </si>
  <si>
    <t>A2600</t>
  </si>
  <si>
    <t>9</t>
  </si>
  <si>
    <t>Other</t>
  </si>
  <si>
    <t>9.1</t>
  </si>
  <si>
    <t>9.1.1</t>
  </si>
  <si>
    <t>ผนังกระจกลิฟท์</t>
  </si>
  <si>
    <t>A2610</t>
  </si>
  <si>
    <t>9.1.2</t>
  </si>
  <si>
    <t>ติดตั้งลิฟท์</t>
  </si>
  <si>
    <t>A2620</t>
  </si>
  <si>
    <t>9.1.3</t>
  </si>
  <si>
    <t>Test</t>
  </si>
  <si>
    <t>A2630</t>
  </si>
  <si>
    <t>9.1.4</t>
  </si>
  <si>
    <t>ตกแต่งโถงลิฟท์</t>
  </si>
  <si>
    <t>A2640</t>
  </si>
  <si>
    <t>9.2</t>
  </si>
  <si>
    <t>Sanitary</t>
  </si>
  <si>
    <t>9.2.1</t>
  </si>
  <si>
    <t>A2650</t>
  </si>
  <si>
    <t>9.2.2</t>
  </si>
  <si>
    <t>M Floor</t>
  </si>
  <si>
    <t>A2660</t>
  </si>
  <si>
    <t>9.2.3</t>
  </si>
  <si>
    <t>A2670</t>
  </si>
  <si>
    <t>9.2.4</t>
  </si>
  <si>
    <t>A2680</t>
  </si>
  <si>
    <t>9.3</t>
  </si>
  <si>
    <t>งานผนังและกันสาดภายนอก</t>
  </si>
  <si>
    <t>9.3.1</t>
  </si>
  <si>
    <t>งานตกแต่งผนังภายนอกเดิม</t>
  </si>
  <si>
    <t>A2690</t>
  </si>
  <si>
    <t>9.3.2</t>
  </si>
  <si>
    <t>งานระบบกันซึมกันสาด พื้นยื่นเดิม</t>
  </si>
  <si>
    <t>A2700</t>
  </si>
  <si>
    <t>S-Curve</t>
  </si>
  <si>
    <t>Plan</t>
  </si>
  <si>
    <t>Acc. Plan</t>
  </si>
  <si>
    <t>AP</t>
  </si>
  <si>
    <t>Actual</t>
  </si>
  <si>
    <t>Acc. Actual</t>
  </si>
  <si>
    <t>AA</t>
  </si>
  <si>
    <t>Project</t>
  </si>
  <si>
    <t>Source</t>
  </si>
  <si>
    <t>C:\Users\Suzanoo\Dev\progress-studio\example\example.xml</t>
  </si>
  <si>
    <t>WBS / Summary Rows</t>
  </si>
  <si>
    <t>Activity Rows</t>
  </si>
  <si>
    <t>Plan Distribution Mode</t>
  </si>
  <si>
    <t>AUTO</t>
  </si>
  <si>
    <t>Distribution Report</t>
  </si>
  <si>
    <t>See sheet: Distribution Report</t>
  </si>
  <si>
    <t>Auto Default Applied</t>
  </si>
  <si>
    <t>Interactive Export</t>
  </si>
  <si>
    <t>READY</t>
  </si>
  <si>
    <t>OKD Sheets</t>
  </si>
  <si>
    <t>progress, progress_table</t>
  </si>
  <si>
    <t>OKD Activities</t>
  </si>
  <si>
    <t>OKD Weeks</t>
  </si>
  <si>
    <t>Value Scale</t>
  </si>
  <si>
    <t>Formula result 0-100 (not Excel %)</t>
  </si>
  <si>
    <t>OKD WBS Rollup</t>
  </si>
  <si>
    <t>Included</t>
  </si>
  <si>
    <t>Calculation</t>
  </si>
  <si>
    <t>Live formulas linked to main</t>
  </si>
  <si>
    <t>WBS Rows</t>
  </si>
  <si>
    <t>Plan and Actual created for every WBS/activity</t>
  </si>
  <si>
    <t>OKD Child Codes</t>
  </si>
  <si>
    <t>Generated under parent WBS</t>
  </si>
  <si>
    <t>Setting</t>
  </si>
  <si>
    <t>Value</t>
  </si>
  <si>
    <t>Cutoff Day</t>
  </si>
  <si>
    <t>Friday</t>
  </si>
  <si>
    <t>Margin Before</t>
  </si>
  <si>
    <t>4 Weeks</t>
  </si>
  <si>
    <t>Margin After</t>
  </si>
  <si>
    <t>Earliest Plan Start</t>
  </si>
  <si>
    <t>Latest Plan Finish</t>
  </si>
  <si>
    <t>First Week</t>
  </si>
  <si>
    <t>Last Week</t>
  </si>
  <si>
    <t>Total Weeks</t>
  </si>
  <si>
    <t>Header Levels</t>
  </si>
  <si>
    <t>Year / Month / Week / Date</t>
  </si>
  <si>
    <t>Amount Input Option 1</t>
  </si>
  <si>
    <t>Enter Amount directly in the main worksheet and skip Script 04.</t>
  </si>
  <si>
    <t>Amount Input Option 2</t>
  </si>
  <si>
    <t>Enter Amount in Amount Mapping and run Script 04.</t>
  </si>
  <si>
    <t>Mapping Activities</t>
  </si>
  <si>
    <t>Status</t>
  </si>
  <si>
    <t>Waiting</t>
  </si>
  <si>
    <t>Mapped</t>
  </si>
  <si>
    <t>PLAN DISTRIBUTION REPORT</t>
  </si>
  <si>
    <t>Mode</t>
  </si>
  <si>
    <t>Flat Rate</t>
  </si>
  <si>
    <t>Matched Rules</t>
  </si>
  <si>
    <t>Activities</t>
  </si>
  <si>
    <t>Front Loaded</t>
  </si>
  <si>
    <t>Default Applied</t>
  </si>
  <si>
    <t>Back Loaded</t>
  </si>
  <si>
    <t>Bell Curve</t>
  </si>
  <si>
    <t>Activity Name</t>
  </si>
  <si>
    <t>Distribution</t>
  </si>
  <si>
    <t>Matched Rule</t>
  </si>
  <si>
    <t>Reason</t>
  </si>
  <si>
    <t>mobiliz</t>
  </si>
  <si>
    <t>Early-production work identified from activity name</t>
  </si>
  <si>
    <t>Default</t>
  </si>
  <si>
    <t>No matching rule; default distribution applied</t>
  </si>
  <si>
    <t>pile</t>
  </si>
  <si>
    <t>foundation</t>
  </si>
  <si>
    <t>slab</t>
  </si>
  <si>
    <t>Production work identified from activity name</t>
  </si>
  <si>
    <t>beam</t>
  </si>
  <si>
    <t>installation</t>
  </si>
  <si>
    <t>column</t>
  </si>
  <si>
    <t>concrete</t>
  </si>
  <si>
    <t>excavat</t>
  </si>
  <si>
    <t>wall</t>
  </si>
  <si>
    <t>test</t>
  </si>
  <si>
    <t>Completion-heavy work identified from activity name</t>
  </si>
  <si>
    <t>project_start</t>
  </si>
  <si>
    <t>project_finish</t>
  </si>
  <si>
    <t>week_start</t>
  </si>
  <si>
    <t>plan</t>
  </si>
  <si>
    <t>actual</t>
  </si>
  <si>
    <t>%Progress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</si>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</sst>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;;;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B18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44546A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9DC3E6"/>
        <bgColor rgb="FF9DC3E6"/>
      </patternFill>
    </fill>
    <fill>
      <patternFill patternType="solid">
        <fgColor rgb="FF5B9BD5"/>
        <bgColor rgb="FF5B9BD5"/>
      </patternFill>
    </fill>
    <fill>
      <patternFill patternType="solid">
        <fgColor rgb="FFA9D18E"/>
        <bgColor rgb="FFA9D18E"/>
      </patternFill>
    </fill>
    <fill>
      <patternFill patternType="solid">
        <fgColor rgb="FF70AD47"/>
        <bgColor rgb="FF70AD4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10" fontId="2" fillId="3" borderId="1" xfId="0" applyNumberFormat="1" applyFont="1" applyFill="1" applyBorder="1"/>
    <xf numFmtId="2" fontId="2" fillId="3" borderId="1" xfId="0" applyNumberFormat="1" applyFont="1" applyFill="1" applyBorder="1"/>
    <xf numFmtId="4" fontId="2" fillId="3" borderId="1" xfId="0" applyNumberFormat="1" applyFont="1" applyFill="1" applyBorder="1"/>
    <xf numFmtId="0" fontId="2" fillId="3" borderId="1" xfId="0" applyFont="1" applyFill="1" applyBorder="1" applyAlignment="1">
      <alignment vertical="center" indent="1"/>
    </xf>
    <xf numFmtId="0" fontId="2" fillId="3" borderId="1" xfId="0" applyFont="1" applyFill="1" applyBorder="1" applyAlignment="1">
      <alignment vertical="center" indent="2"/>
    </xf>
    <xf numFmtId="0" fontId="3" fillId="0" borderId="0" xfId="0" applyFont="1" applyAlignment="1">
      <alignment horizontal="center" vertical="center"/>
    </xf>
    <xf numFmtId="14" fontId="2" fillId="3" borderId="1" xfId="0" applyNumberFormat="1" applyFont="1" applyFill="1" applyBorder="1"/>
    <xf numFmtId="0" fontId="0" fillId="4" borderId="1" xfId="0" applyFill="1" applyBorder="1"/>
    <xf numFmtId="0" fontId="0" fillId="4" borderId="1" xfId="0" applyFill="1" applyBorder="1" applyAlignment="1">
      <alignment vertical="center" indent="2"/>
    </xf>
    <xf numFmtId="0" fontId="3" fillId="4" borderId="0" xfId="0" applyFont="1" applyFill="1" applyAlignment="1">
      <alignment horizontal="center" vertical="center"/>
    </xf>
    <xf numFmtId="14" fontId="0" fillId="4" borderId="1" xfId="0" applyNumberFormat="1" applyFill="1" applyBorder="1"/>
    <xf numFmtId="10" fontId="0" fillId="4" borderId="1" xfId="0" applyNumberFormat="1" applyFill="1" applyBorder="1"/>
    <xf numFmtId="2" fontId="0" fillId="4" borderId="1" xfId="0" applyNumberFormat="1" applyFill="1" applyBorder="1"/>
    <xf numFmtId="4" fontId="0" fillId="4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vertical="center" indent="2"/>
    </xf>
    <xf numFmtId="0" fontId="3" fillId="5" borderId="0" xfId="0" applyFont="1" applyFill="1" applyAlignment="1">
      <alignment horizontal="center" vertical="center"/>
    </xf>
    <xf numFmtId="14" fontId="0" fillId="5" borderId="1" xfId="0" applyNumberFormat="1" applyFill="1" applyBorder="1"/>
    <xf numFmtId="10" fontId="0" fillId="5" borderId="1" xfId="0" applyNumberFormat="1" applyFill="1" applyBorder="1"/>
    <xf numFmtId="2" fontId="0" fillId="5" borderId="1" xfId="0" applyNumberFormat="1" applyFill="1" applyBorder="1"/>
    <xf numFmtId="4" fontId="0" fillId="5" borderId="1" xfId="0" applyNumberFormat="1" applyFill="1" applyBorder="1"/>
    <xf numFmtId="0" fontId="0" fillId="4" borderId="1" xfId="0" applyFill="1" applyBorder="1" applyAlignment="1">
      <alignment vertical="center" indent="3"/>
    </xf>
    <xf numFmtId="0" fontId="0" fillId="5" borderId="1" xfId="0" applyFill="1" applyBorder="1" applyAlignment="1">
      <alignment vertical="center" indent="3"/>
    </xf>
    <xf numFmtId="0" fontId="0" fillId="4" borderId="1" xfId="0" applyFill="1" applyBorder="1" applyAlignment="1">
      <alignment vertical="center" indent="1"/>
    </xf>
    <xf numFmtId="0" fontId="0" fillId="5" borderId="1" xfId="0" applyFill="1" applyBorder="1" applyAlignment="1">
      <alignment vertical="center" indent="1"/>
    </xf>
    <xf numFmtId="0" fontId="1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vertical="center"/>
    </xf>
    <xf numFmtId="14" fontId="1" fillId="9" borderId="2" xfId="0" applyNumberFormat="1" applyFont="1" applyFill="1" applyBorder="1" applyAlignment="1">
      <alignment vertical="center"/>
    </xf>
    <xf numFmtId="0" fontId="2" fillId="8" borderId="2" xfId="0" applyFont="1" applyFill="1" applyBorder="1"/>
    <xf numFmtId="0" fontId="0" fillId="0" borderId="2" xfId="0" applyBorder="1"/>
    <xf numFmtId="14" fontId="0" fillId="0" borderId="2" xfId="0" applyNumberFormat="1" applyBorder="1"/>
    <xf numFmtId="164" fontId="3" fillId="4" borderId="2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11" borderId="0" xfId="0" applyFont="1" applyFill="1"/>
    <xf numFmtId="4" fontId="0" fillId="0" borderId="0" xfId="0" applyNumberFormat="1"/>
    <xf numFmtId="4" fontId="1" fillId="9" borderId="2" xfId="0" applyNumberFormat="1" applyFont="1" applyFill="1" applyBorder="1" applyAlignment="1">
      <alignment vertical="center"/>
    </xf>
    <xf numFmtId="10" fontId="1" fillId="9" borderId="2" xfId="0" applyNumberFormat="1" applyFont="1" applyFill="1" applyBorder="1" applyAlignment="1">
      <alignment vertical="center"/>
    </xf>
    <xf numFmtId="10" fontId="1" fillId="0" borderId="2" xfId="0" applyNumberFormat="1" applyFont="1" applyBorder="1" applyAlignment="1">
      <alignment vertical="center"/>
    </xf>
    <xf numFmtId="165" fontId="1" fillId="9" borderId="2" xfId="0" applyNumberFormat="1" applyFont="1" applyFill="1" applyBorder="1" applyAlignment="1">
      <alignment vertical="center"/>
    </xf>
    <xf numFmtId="10" fontId="0" fillId="0" borderId="0" xfId="0" applyNumberFormat="1"/>
    <xf numFmtId="165" fontId="2" fillId="3" borderId="1" xfId="0" applyNumberFormat="1" applyFont="1" applyFill="1" applyBorder="1"/>
    <xf numFmtId="10" fontId="0" fillId="0" borderId="0" xfId="0" applyNumberFormat="1" applyProtection="1">
      <protection locked="0"/>
    </xf>
    <xf numFmtId="165" fontId="0" fillId="5" borderId="1" xfId="0" applyNumberFormat="1" applyFill="1" applyBorder="1"/>
    <xf numFmtId="0" fontId="4" fillId="13" borderId="0" xfId="0" applyFont="1" applyFill="1" applyAlignment="1">
      <alignment horizontal="left"/>
    </xf>
    <xf numFmtId="10" fontId="0" fillId="12" borderId="0" xfId="0" applyNumberFormat="1" applyFill="1"/>
    <xf numFmtId="10" fontId="0" fillId="13" borderId="0" xfId="0" applyNumberFormat="1" applyFill="1"/>
    <xf numFmtId="0" fontId="4" fillId="15" borderId="0" xfId="0" applyFont="1" applyFill="1" applyAlignment="1">
      <alignment horizontal="left"/>
    </xf>
    <xf numFmtId="10" fontId="0" fillId="14" borderId="0" xfId="0" applyNumberFormat="1" applyFill="1"/>
    <xf numFmtId="10" fontId="0" fillId="15" borderId="0" xfId="0" applyNumberFormat="1" applyFill="1"/>
    <xf numFmtId="0" fontId="2" fillId="17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166" fontId="0" fillId="0" borderId="0" xfId="0" applyNumberFormat="1" applyAlignment="1">
      <alignment vertical="top" wrapText="1"/>
    </xf>
    <xf numFmtId="0" fontId="0" fillId="18" borderId="0" xfId="0" applyFill="1" applyAlignment="1">
      <alignment vertical="top" wrapText="1"/>
    </xf>
    <xf numFmtId="0" fontId="0" fillId="19" borderId="0" xfId="0" applyFill="1" applyAlignment="1">
      <alignment vertical="top" wrapText="1"/>
    </xf>
    <xf numFmtId="0" fontId="4" fillId="16" borderId="0" xfId="0" applyFont="1" applyFill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0" fontId="4" fillId="16" borderId="12" xfId="0" applyFont="1" applyFill="1" applyBorder="1" applyAlignment="1">
      <alignment horizontal="center" vertical="center"/>
    </xf>
    <xf numFmtId="14" fontId="4" fillId="16" borderId="12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4" fontId="0" fillId="0" borderId="12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7" borderId="2" xfId="0" applyFont="1" applyFill="1" applyBorder="1" applyAlignment="1">
      <alignment horizontal="center" vertical="center"/>
    </xf>
    <xf numFmtId="0" fontId="5" fillId="16" borderId="0" xfId="0" applyFont="1" applyFill="1"/>
  </cellXfs>
  <cellStyles count="1">
    <cellStyle name="Normal" xfId="0" builtinId="0"/>
  </cellStyles>
  <dxfs count="7">
    <dxf>
      <font>
        <color rgb="FF1F1F1F"/>
      </font>
      <fill>
        <patternFill patternType="solid">
          <fgColor rgb="FFE2F0D9"/>
        </patternFill>
      </fill>
    </dxf>
    <dxf>
      <font>
        <color rgb="FF1F1F1F"/>
      </font>
      <fill>
        <patternFill patternType="solid">
          <fgColor rgb="FFD9EAF7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/>
  </sheetPr>
  <dimension ref="A1:CO519"/>
  <sheetViews>
    <sheetView showGridLines="0" tabSelected="1" workbookViewId="0">
      <pane xSplit="17" ySplit="4" topLeftCell="R19" activePane="bottomRight" state="frozen"/>
      <selection pane="topRight"/>
      <selection pane="bottomLeft"/>
      <selection pane="bottomRight" sqref="A1:Q3"/>
    </sheetView>
  </sheetViews>
  <sheetFormatPr defaultRowHeight="15" outlineLevelRow="4" x14ac:dyDescent="0.25"/>
  <cols>
    <col min="1" max="1" width="12" customWidth="1"/>
    <col min="2" max="2" width="16" customWidth="1"/>
    <col min="3" max="3" width="48" customWidth="1"/>
    <col min="4" max="4" width="7" customWidth="1"/>
    <col min="5" max="6" width="11" customWidth="1"/>
    <col min="7" max="7" width="14" customWidth="1"/>
    <col min="8" max="11" width="19" customWidth="1"/>
    <col min="12" max="13" width="13" customWidth="1"/>
    <col min="14" max="15" width="16" customWidth="1"/>
    <col min="16" max="16" width="13" customWidth="1"/>
    <col min="18" max="93" width="11" customWidth="1"/>
  </cols>
  <sheetData>
    <row r="1" spans="1:93" ht="21.95" customHeight="1" x14ac:dyDescent="0.2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4"/>
      <c r="R1" s="81" t="s">
        <v>1</v>
      </c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1"/>
      <c r="BO1" s="81" t="s">
        <v>2</v>
      </c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1"/>
    </row>
    <row r="2" spans="1:93" ht="21.95" customHeight="1" x14ac:dyDescent="0.25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7"/>
      <c r="R2" s="69" t="s">
        <v>3</v>
      </c>
      <c r="S2" s="71"/>
      <c r="T2" s="69" t="s">
        <v>4</v>
      </c>
      <c r="U2" s="70"/>
      <c r="V2" s="70"/>
      <c r="W2" s="71"/>
      <c r="X2" s="69" t="s">
        <v>5</v>
      </c>
      <c r="Y2" s="70"/>
      <c r="Z2" s="70"/>
      <c r="AA2" s="71"/>
      <c r="AB2" s="69" t="s">
        <v>6</v>
      </c>
      <c r="AC2" s="70"/>
      <c r="AD2" s="70"/>
      <c r="AE2" s="71"/>
      <c r="AF2" s="69" t="s">
        <v>7</v>
      </c>
      <c r="AG2" s="70"/>
      <c r="AH2" s="70"/>
      <c r="AI2" s="70"/>
      <c r="AJ2" s="71"/>
      <c r="AK2" s="69" t="s">
        <v>8</v>
      </c>
      <c r="AL2" s="70"/>
      <c r="AM2" s="70"/>
      <c r="AN2" s="71"/>
      <c r="AO2" s="69" t="s">
        <v>9</v>
      </c>
      <c r="AP2" s="70"/>
      <c r="AQ2" s="70"/>
      <c r="AR2" s="70"/>
      <c r="AS2" s="71"/>
      <c r="AT2" s="69" t="s">
        <v>10</v>
      </c>
      <c r="AU2" s="70"/>
      <c r="AV2" s="70"/>
      <c r="AW2" s="71"/>
      <c r="AX2" s="69" t="s">
        <v>11</v>
      </c>
      <c r="AY2" s="70"/>
      <c r="AZ2" s="70"/>
      <c r="BA2" s="71"/>
      <c r="BB2" s="69" t="s">
        <v>12</v>
      </c>
      <c r="BC2" s="70"/>
      <c r="BD2" s="70"/>
      <c r="BE2" s="70"/>
      <c r="BF2" s="71"/>
      <c r="BG2" s="69" t="s">
        <v>13</v>
      </c>
      <c r="BH2" s="70"/>
      <c r="BI2" s="70"/>
      <c r="BJ2" s="71"/>
      <c r="BK2" s="69" t="s">
        <v>14</v>
      </c>
      <c r="BL2" s="70"/>
      <c r="BM2" s="70"/>
      <c r="BN2" s="71"/>
      <c r="BO2" s="69" t="s">
        <v>3</v>
      </c>
      <c r="BP2" s="70"/>
      <c r="BQ2" s="70"/>
      <c r="BR2" s="70"/>
      <c r="BS2" s="71"/>
      <c r="BT2" s="69" t="s">
        <v>4</v>
      </c>
      <c r="BU2" s="70"/>
      <c r="BV2" s="70"/>
      <c r="BW2" s="71"/>
      <c r="BX2" s="69" t="s">
        <v>5</v>
      </c>
      <c r="BY2" s="70"/>
      <c r="BZ2" s="70"/>
      <c r="CA2" s="71"/>
      <c r="CB2" s="69" t="s">
        <v>6</v>
      </c>
      <c r="CC2" s="70"/>
      <c r="CD2" s="70"/>
      <c r="CE2" s="70"/>
      <c r="CF2" s="71"/>
      <c r="CG2" s="69" t="s">
        <v>7</v>
      </c>
      <c r="CH2" s="70"/>
      <c r="CI2" s="70"/>
      <c r="CJ2" s="71"/>
      <c r="CK2" s="69" t="s">
        <v>8</v>
      </c>
      <c r="CL2" s="70"/>
      <c r="CM2" s="70"/>
      <c r="CN2" s="71"/>
      <c r="CO2" s="29" t="s">
        <v>9</v>
      </c>
    </row>
    <row r="3" spans="1:93" ht="21.9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0"/>
      <c r="R3" s="30" t="s">
        <v>15</v>
      </c>
      <c r="S3" s="30" t="s">
        <v>16</v>
      </c>
      <c r="T3" s="30" t="s">
        <v>17</v>
      </c>
      <c r="U3" s="30" t="s">
        <v>18</v>
      </c>
      <c r="V3" s="30" t="s">
        <v>19</v>
      </c>
      <c r="W3" s="30" t="s">
        <v>20</v>
      </c>
      <c r="X3" s="30" t="s">
        <v>21</v>
      </c>
      <c r="Y3" s="30" t="s">
        <v>22</v>
      </c>
      <c r="Z3" s="30" t="s">
        <v>23</v>
      </c>
      <c r="AA3" s="30" t="s">
        <v>24</v>
      </c>
      <c r="AB3" s="30" t="s">
        <v>25</v>
      </c>
      <c r="AC3" s="30" t="s">
        <v>26</v>
      </c>
      <c r="AD3" s="30" t="s">
        <v>27</v>
      </c>
      <c r="AE3" s="30" t="s">
        <v>28</v>
      </c>
      <c r="AF3" s="30" t="s">
        <v>29</v>
      </c>
      <c r="AG3" s="30" t="s">
        <v>30</v>
      </c>
      <c r="AH3" s="30" t="s">
        <v>31</v>
      </c>
      <c r="AI3" s="30" t="s">
        <v>32</v>
      </c>
      <c r="AJ3" s="30" t="s">
        <v>33</v>
      </c>
      <c r="AK3" s="30" t="s">
        <v>34</v>
      </c>
      <c r="AL3" s="30" t="s">
        <v>35</v>
      </c>
      <c r="AM3" s="30" t="s">
        <v>36</v>
      </c>
      <c r="AN3" s="30" t="s">
        <v>37</v>
      </c>
      <c r="AO3" s="30" t="s">
        <v>38</v>
      </c>
      <c r="AP3" s="30" t="s">
        <v>39</v>
      </c>
      <c r="AQ3" s="30" t="s">
        <v>40</v>
      </c>
      <c r="AR3" s="30" t="s">
        <v>41</v>
      </c>
      <c r="AS3" s="30" t="s">
        <v>42</v>
      </c>
      <c r="AT3" s="30" t="s">
        <v>43</v>
      </c>
      <c r="AU3" s="30" t="s">
        <v>44</v>
      </c>
      <c r="AV3" s="30" t="s">
        <v>45</v>
      </c>
      <c r="AW3" s="30" t="s">
        <v>46</v>
      </c>
      <c r="AX3" s="30" t="s">
        <v>47</v>
      </c>
      <c r="AY3" s="30" t="s">
        <v>48</v>
      </c>
      <c r="AZ3" s="30" t="s">
        <v>49</v>
      </c>
      <c r="BA3" s="30" t="s">
        <v>50</v>
      </c>
      <c r="BB3" s="30" t="s">
        <v>51</v>
      </c>
      <c r="BC3" s="30" t="s">
        <v>52</v>
      </c>
      <c r="BD3" s="30" t="s">
        <v>53</v>
      </c>
      <c r="BE3" s="30" t="s">
        <v>54</v>
      </c>
      <c r="BF3" s="30" t="s">
        <v>55</v>
      </c>
      <c r="BG3" s="30" t="s">
        <v>56</v>
      </c>
      <c r="BH3" s="30" t="s">
        <v>57</v>
      </c>
      <c r="BI3" s="30" t="s">
        <v>58</v>
      </c>
      <c r="BJ3" s="30" t="s">
        <v>59</v>
      </c>
      <c r="BK3" s="30" t="s">
        <v>60</v>
      </c>
      <c r="BL3" s="30" t="s">
        <v>61</v>
      </c>
      <c r="BM3" s="30" t="s">
        <v>62</v>
      </c>
      <c r="BN3" s="30" t="s">
        <v>63</v>
      </c>
      <c r="BO3" s="30" t="s">
        <v>64</v>
      </c>
      <c r="BP3" s="30" t="s">
        <v>65</v>
      </c>
      <c r="BQ3" s="30" t="s">
        <v>66</v>
      </c>
      <c r="BR3" s="30" t="s">
        <v>67</v>
      </c>
      <c r="BS3" s="30" t="s">
        <v>68</v>
      </c>
      <c r="BT3" s="30" t="s">
        <v>69</v>
      </c>
      <c r="BU3" s="30" t="s">
        <v>70</v>
      </c>
      <c r="BV3" s="30" t="s">
        <v>71</v>
      </c>
      <c r="BW3" s="30" t="s">
        <v>72</v>
      </c>
      <c r="BX3" s="30" t="s">
        <v>73</v>
      </c>
      <c r="BY3" s="30" t="s">
        <v>74</v>
      </c>
      <c r="BZ3" s="30" t="s">
        <v>75</v>
      </c>
      <c r="CA3" s="30" t="s">
        <v>76</v>
      </c>
      <c r="CB3" s="30" t="s">
        <v>77</v>
      </c>
      <c r="CC3" s="30" t="s">
        <v>78</v>
      </c>
      <c r="CD3" s="30" t="s">
        <v>79</v>
      </c>
      <c r="CE3" s="30" t="s">
        <v>80</v>
      </c>
      <c r="CF3" s="30" t="s">
        <v>81</v>
      </c>
      <c r="CG3" s="30" t="s">
        <v>82</v>
      </c>
      <c r="CH3" s="30" t="s">
        <v>83</v>
      </c>
      <c r="CI3" s="30" t="s">
        <v>84</v>
      </c>
      <c r="CJ3" s="30" t="s">
        <v>85</v>
      </c>
      <c r="CK3" s="30" t="s">
        <v>86</v>
      </c>
      <c r="CL3" s="30" t="s">
        <v>87</v>
      </c>
      <c r="CM3" s="30" t="s">
        <v>88</v>
      </c>
      <c r="CN3" s="30" t="s">
        <v>89</v>
      </c>
      <c r="CO3" s="30" t="s">
        <v>90</v>
      </c>
    </row>
    <row r="4" spans="1:93" ht="32.1" customHeight="1" x14ac:dyDescent="0.25">
      <c r="A4" s="31" t="s">
        <v>91</v>
      </c>
      <c r="B4" s="31" t="s">
        <v>92</v>
      </c>
      <c r="C4" s="31" t="s">
        <v>93</v>
      </c>
      <c r="D4" s="31" t="s">
        <v>94</v>
      </c>
      <c r="E4" s="31" t="s">
        <v>95</v>
      </c>
      <c r="F4" s="31" t="s">
        <v>96</v>
      </c>
      <c r="G4" s="31" t="s">
        <v>97</v>
      </c>
      <c r="H4" s="31" t="s">
        <v>98</v>
      </c>
      <c r="I4" s="31" t="s">
        <v>99</v>
      </c>
      <c r="J4" s="31" t="s">
        <v>100</v>
      </c>
      <c r="K4" s="31" t="s">
        <v>101</v>
      </c>
      <c r="L4" s="31" t="s">
        <v>102</v>
      </c>
      <c r="M4" s="31" t="s">
        <v>103</v>
      </c>
      <c r="N4" s="31" t="s">
        <v>104</v>
      </c>
      <c r="O4" s="31" t="s">
        <v>105</v>
      </c>
      <c r="P4" s="31" t="s">
        <v>106</v>
      </c>
      <c r="Q4" s="31" t="s">
        <v>107</v>
      </c>
      <c r="R4" s="37">
        <v>46045</v>
      </c>
      <c r="S4" s="37">
        <v>46052</v>
      </c>
      <c r="T4" s="37">
        <v>46059</v>
      </c>
      <c r="U4" s="37">
        <v>46066</v>
      </c>
      <c r="V4" s="37">
        <v>46073</v>
      </c>
      <c r="W4" s="37">
        <v>46080</v>
      </c>
      <c r="X4" s="37">
        <v>46087</v>
      </c>
      <c r="Y4" s="37">
        <v>46094</v>
      </c>
      <c r="Z4" s="37">
        <v>46101</v>
      </c>
      <c r="AA4" s="37">
        <v>46108</v>
      </c>
      <c r="AB4" s="37">
        <v>46115</v>
      </c>
      <c r="AC4" s="37">
        <v>46122</v>
      </c>
      <c r="AD4" s="37">
        <v>46129</v>
      </c>
      <c r="AE4" s="37">
        <v>46136</v>
      </c>
      <c r="AF4" s="37">
        <v>46143</v>
      </c>
      <c r="AG4" s="37">
        <v>46150</v>
      </c>
      <c r="AH4" s="37">
        <v>46157</v>
      </c>
      <c r="AI4" s="37">
        <v>46164</v>
      </c>
      <c r="AJ4" s="37">
        <v>46171</v>
      </c>
      <c r="AK4" s="37">
        <v>46178</v>
      </c>
      <c r="AL4" s="37">
        <v>46185</v>
      </c>
      <c r="AM4" s="37">
        <v>46192</v>
      </c>
      <c r="AN4" s="37">
        <v>46199</v>
      </c>
      <c r="AO4" s="37">
        <v>46206</v>
      </c>
      <c r="AP4" s="37">
        <v>46213</v>
      </c>
      <c r="AQ4" s="37">
        <v>46220</v>
      </c>
      <c r="AR4" s="37">
        <v>46227</v>
      </c>
      <c r="AS4" s="37">
        <v>46234</v>
      </c>
      <c r="AT4" s="37">
        <v>46241</v>
      </c>
      <c r="AU4" s="37">
        <v>46248</v>
      </c>
      <c r="AV4" s="37">
        <v>46255</v>
      </c>
      <c r="AW4" s="37">
        <v>46262</v>
      </c>
      <c r="AX4" s="37">
        <v>46269</v>
      </c>
      <c r="AY4" s="37">
        <v>46276</v>
      </c>
      <c r="AZ4" s="37">
        <v>46283</v>
      </c>
      <c r="BA4" s="37">
        <v>46290</v>
      </c>
      <c r="BB4" s="37">
        <v>46297</v>
      </c>
      <c r="BC4" s="37">
        <v>46304</v>
      </c>
      <c r="BD4" s="37">
        <v>46311</v>
      </c>
      <c r="BE4" s="37">
        <v>46318</v>
      </c>
      <c r="BF4" s="37">
        <v>46325</v>
      </c>
      <c r="BG4" s="37">
        <v>46332</v>
      </c>
      <c r="BH4" s="37">
        <v>46339</v>
      </c>
      <c r="BI4" s="37">
        <v>46346</v>
      </c>
      <c r="BJ4" s="37">
        <v>46353</v>
      </c>
      <c r="BK4" s="37">
        <v>46360</v>
      </c>
      <c r="BL4" s="37">
        <v>46367</v>
      </c>
      <c r="BM4" s="37">
        <v>46374</v>
      </c>
      <c r="BN4" s="37">
        <v>46381</v>
      </c>
      <c r="BO4" s="37">
        <v>46388</v>
      </c>
      <c r="BP4" s="37">
        <v>46395</v>
      </c>
      <c r="BQ4" s="37">
        <v>46402</v>
      </c>
      <c r="BR4" s="37">
        <v>46409</v>
      </c>
      <c r="BS4" s="37">
        <v>46416</v>
      </c>
      <c r="BT4" s="37">
        <v>46423</v>
      </c>
      <c r="BU4" s="37">
        <v>46430</v>
      </c>
      <c r="BV4" s="37">
        <v>46437</v>
      </c>
      <c r="BW4" s="37">
        <v>46444</v>
      </c>
      <c r="BX4" s="37">
        <v>46451</v>
      </c>
      <c r="BY4" s="37">
        <v>46458</v>
      </c>
      <c r="BZ4" s="37">
        <v>46465</v>
      </c>
      <c r="CA4" s="37">
        <v>46472</v>
      </c>
      <c r="CB4" s="37">
        <v>46479</v>
      </c>
      <c r="CC4" s="37">
        <v>46486</v>
      </c>
      <c r="CD4" s="37">
        <v>46493</v>
      </c>
      <c r="CE4" s="37">
        <v>46500</v>
      </c>
      <c r="CF4" s="37">
        <v>46507</v>
      </c>
      <c r="CG4" s="37">
        <v>46514</v>
      </c>
      <c r="CH4" s="37">
        <v>46521</v>
      </c>
      <c r="CI4" s="37">
        <v>46528</v>
      </c>
      <c r="CJ4" s="37">
        <v>46535</v>
      </c>
      <c r="CK4" s="37">
        <v>46542</v>
      </c>
      <c r="CL4" s="37">
        <v>46549</v>
      </c>
      <c r="CM4" s="37">
        <v>46556</v>
      </c>
      <c r="CN4" s="37">
        <v>46563</v>
      </c>
      <c r="CO4" s="37">
        <v>46570</v>
      </c>
    </row>
    <row r="5" spans="1:93" ht="21" customHeight="1" x14ac:dyDescent="0.25">
      <c r="A5" s="32" t="s">
        <v>108</v>
      </c>
      <c r="B5" s="32"/>
      <c r="C5" s="32" t="s">
        <v>109</v>
      </c>
      <c r="D5" s="32" t="s">
        <v>110</v>
      </c>
      <c r="E5" s="32"/>
      <c r="F5" s="32"/>
      <c r="G5" s="32"/>
      <c r="H5" s="32">
        <v>0</v>
      </c>
      <c r="I5" s="33">
        <v>46076</v>
      </c>
      <c r="J5" s="33">
        <v>46538</v>
      </c>
      <c r="K5" s="32"/>
      <c r="L5" s="32"/>
      <c r="M5" s="42">
        <f t="shared" ref="M5:M68" si="0">IF(COUNT(R5:CO5)=0,"",SUM(R5:CO5))</f>
        <v>1</v>
      </c>
      <c r="N5" s="32"/>
      <c r="O5" s="41">
        <f>SUMIFS($O$6:$O$513,$A$6:$A$513,"Activity",$D$6:$D$513,"P")</f>
        <v>17200000</v>
      </c>
      <c r="P5" s="32"/>
      <c r="Q5" s="32"/>
      <c r="R5" s="43" t="str">
        <f t="shared" ref="R5:AW5" si="1">IF(COUNTIFS($A$7:$A$514,"Activity",$D$7:$D$514,"P",R$7:R$514,"&lt;&gt;")=0,"",IFERROR(SUMPRODUCT(--($A$7:$A$514="Activity"),--($D$7:$D$514="P"),$O$7:$O$514,R$7:R$514)/SUMPRODUCT(--($A$7:$A$514="Activity"),--($D$7:$D$514="P"),$O$7:$O$514),""))</f>
        <v/>
      </c>
      <c r="S5" s="43" t="str">
        <f t="shared" si="1"/>
        <v/>
      </c>
      <c r="T5" s="43" t="str">
        <f t="shared" si="1"/>
        <v/>
      </c>
      <c r="U5" s="43" t="str">
        <f t="shared" si="1"/>
        <v/>
      </c>
      <c r="V5" s="43" t="str">
        <f t="shared" si="1"/>
        <v/>
      </c>
      <c r="W5" s="43">
        <f t="shared" si="1"/>
        <v>8.8090204369274119E-4</v>
      </c>
      <c r="X5" s="43">
        <f t="shared" si="1"/>
        <v>1.0962336543731889E-3</v>
      </c>
      <c r="Y5" s="43">
        <f t="shared" si="1"/>
        <v>9.5920444757654078E-4</v>
      </c>
      <c r="Z5" s="43">
        <f t="shared" si="1"/>
        <v>8.2217524077989198E-4</v>
      </c>
      <c r="AA5" s="43">
        <f t="shared" si="1"/>
        <v>6.8514603398324306E-4</v>
      </c>
      <c r="AB5" s="43">
        <f t="shared" si="1"/>
        <v>5.4811682718659458E-4</v>
      </c>
      <c r="AC5" s="43">
        <f t="shared" si="1"/>
        <v>4.1108762038994588E-4</v>
      </c>
      <c r="AD5" s="43">
        <f t="shared" si="1"/>
        <v>5.5091334161101594E-4</v>
      </c>
      <c r="AE5" s="43">
        <f t="shared" si="1"/>
        <v>2.0750137029206792E-3</v>
      </c>
      <c r="AF5" s="43">
        <f t="shared" si="1"/>
        <v>1.9379844961240308E-3</v>
      </c>
      <c r="AG5" s="43">
        <f t="shared" si="1"/>
        <v>2.2148394241417505E-3</v>
      </c>
      <c r="AH5" s="43">
        <f t="shared" si="1"/>
        <v>3.8759689922480615E-3</v>
      </c>
      <c r="AI5" s="43">
        <f t="shared" si="1"/>
        <v>3.8759689922480615E-3</v>
      </c>
      <c r="AJ5" s="43">
        <f t="shared" si="1"/>
        <v>3.5991140642303442E-3</v>
      </c>
      <c r="AK5" s="43">
        <f t="shared" si="1"/>
        <v>1.9379844961240308E-3</v>
      </c>
      <c r="AL5" s="43">
        <f t="shared" si="1"/>
        <v>1.9379844961240308E-3</v>
      </c>
      <c r="AM5" s="43">
        <f t="shared" si="1"/>
        <v>1.8687707641196019E-3</v>
      </c>
      <c r="AN5" s="43">
        <f t="shared" si="1"/>
        <v>1.4534883720930239E-3</v>
      </c>
      <c r="AO5" s="43">
        <f t="shared" si="1"/>
        <v>1.4534883720930239E-3</v>
      </c>
      <c r="AP5" s="43">
        <f t="shared" si="1"/>
        <v>1.4534883720930239E-3</v>
      </c>
      <c r="AQ5" s="43">
        <f t="shared" si="1"/>
        <v>1.8687707641196008E-3</v>
      </c>
      <c r="AR5" s="43">
        <f t="shared" si="1"/>
        <v>4.3604651162790697E-3</v>
      </c>
      <c r="AS5" s="43">
        <f t="shared" si="1"/>
        <v>6.2359339834958749E-3</v>
      </c>
      <c r="AT5" s="43">
        <f t="shared" si="1"/>
        <v>6.3297074268567144E-3</v>
      </c>
      <c r="AU5" s="43">
        <f t="shared" si="1"/>
        <v>5.4656521273175433E-3</v>
      </c>
      <c r="AV5" s="43">
        <f t="shared" si="1"/>
        <v>6.7933650079186458E-3</v>
      </c>
      <c r="AW5" s="43">
        <f t="shared" si="1"/>
        <v>8.7343437465124858E-3</v>
      </c>
      <c r="AX5" s="43">
        <f t="shared" ref="AX5:CC5" si="2">IF(COUNTIFS($A$7:$A$514,"Activity",$D$7:$D$514,"P",AX$7:AX$514,"&lt;&gt;")=0,"",IFERROR(SUMPRODUCT(--($A$7:$A$514="Activity"),--($D$7:$D$514="P"),$O$7:$O$514,AX$7:AX$514)/SUMPRODUCT(--($A$7:$A$514="Activity"),--($D$7:$D$514="P"),$O$7:$O$514),""))</f>
        <v>9.0213929451355077E-3</v>
      </c>
      <c r="AY5" s="43">
        <f t="shared" si="2"/>
        <v>4.9839252448771101E-3</v>
      </c>
      <c r="AZ5" s="43">
        <f t="shared" si="2"/>
        <v>1.0428738829225579E-2</v>
      </c>
      <c r="BA5" s="43">
        <f t="shared" si="2"/>
        <v>1.0844021221252158E-2</v>
      </c>
      <c r="BB5" s="43">
        <f t="shared" si="2"/>
        <v>9.7311952197914713E-3</v>
      </c>
      <c r="BC5" s="43">
        <f t="shared" si="2"/>
        <v>1.8528451725114983E-2</v>
      </c>
      <c r="BD5" s="43">
        <f t="shared" si="2"/>
        <v>2.0638031661658212E-2</v>
      </c>
      <c r="BE5" s="43">
        <f t="shared" si="2"/>
        <v>2.2155933837325541E-2</v>
      </c>
      <c r="BF5" s="43">
        <f t="shared" si="2"/>
        <v>1.6914407274804134E-2</v>
      </c>
      <c r="BG5" s="43">
        <f t="shared" si="2"/>
        <v>1.5741134677265036E-2</v>
      </c>
      <c r="BH5" s="43">
        <f t="shared" si="2"/>
        <v>1.7593962975575732E-2</v>
      </c>
      <c r="BI5" s="43">
        <f t="shared" si="2"/>
        <v>1.7367264913266692E-2</v>
      </c>
      <c r="BJ5" s="43">
        <f t="shared" si="2"/>
        <v>1.5686371206353078E-2</v>
      </c>
      <c r="BK5" s="43">
        <f t="shared" si="2"/>
        <v>1.998445829207051E-2</v>
      </c>
      <c r="BL5" s="43">
        <f t="shared" si="2"/>
        <v>2.1303131015392107E-2</v>
      </c>
      <c r="BM5" s="43">
        <f t="shared" si="2"/>
        <v>2.4493748302599608E-2</v>
      </c>
      <c r="BN5" s="43">
        <f t="shared" si="2"/>
        <v>2.8311184858624858E-2</v>
      </c>
      <c r="BO5" s="43">
        <f t="shared" si="2"/>
        <v>3.6380627476678674E-2</v>
      </c>
      <c r="BP5" s="43">
        <f t="shared" si="2"/>
        <v>3.2990065885489112E-2</v>
      </c>
      <c r="BQ5" s="43">
        <f t="shared" si="2"/>
        <v>3.2992044927871625E-2</v>
      </c>
      <c r="BR5" s="43">
        <f t="shared" si="2"/>
        <v>2.5943400915253177E-2</v>
      </c>
      <c r="BS5" s="43">
        <f t="shared" si="2"/>
        <v>2.2813122974338927E-2</v>
      </c>
      <c r="BT5" s="43">
        <f t="shared" si="2"/>
        <v>2.5069314359124246E-2</v>
      </c>
      <c r="BU5" s="43">
        <f t="shared" si="2"/>
        <v>2.671391382900358E-2</v>
      </c>
      <c r="BV5" s="43">
        <f t="shared" si="2"/>
        <v>2.9569794247257999E-2</v>
      </c>
      <c r="BW5" s="43">
        <f t="shared" si="2"/>
        <v>2.6563798814701976E-2</v>
      </c>
      <c r="BX5" s="43">
        <f t="shared" si="2"/>
        <v>2.7123101502194671E-2</v>
      </c>
      <c r="BY5" s="43">
        <f t="shared" si="2"/>
        <v>3.0824320878577546E-2</v>
      </c>
      <c r="BZ5" s="43">
        <f t="shared" si="2"/>
        <v>3.1959780174163503E-2</v>
      </c>
      <c r="CA5" s="43">
        <f t="shared" si="2"/>
        <v>3.2436952051630427E-2</v>
      </c>
      <c r="CB5" s="43">
        <f t="shared" si="2"/>
        <v>2.9034858081512117E-2</v>
      </c>
      <c r="CC5" s="43">
        <f t="shared" si="2"/>
        <v>3.024586651703455E-2</v>
      </c>
      <c r="CD5" s="43">
        <f t="shared" ref="CD5:CO5" si="3">IF(COUNTIFS($A$7:$A$514,"Activity",$D$7:$D$514,"P",CD$7:CD$514,"&lt;&gt;")=0,"",IFERROR(SUMPRODUCT(--($A$7:$A$514="Activity"),--($D$7:$D$514="P"),$O$7:$O$514,CD$7:CD$514)/SUMPRODUCT(--($A$7:$A$514="Activity"),--($D$7:$D$514="P"),$O$7:$O$514),""))</f>
        <v>2.9118095473539215E-2</v>
      </c>
      <c r="CE5" s="43">
        <f t="shared" si="3"/>
        <v>2.3957508222838195E-2</v>
      </c>
      <c r="CF5" s="43">
        <f t="shared" si="3"/>
        <v>2.8456400803126121E-2</v>
      </c>
      <c r="CG5" s="43">
        <f t="shared" si="3"/>
        <v>3.8015320818885437E-2</v>
      </c>
      <c r="CH5" s="43">
        <f t="shared" si="3"/>
        <v>3.7173220412831547E-2</v>
      </c>
      <c r="CI5" s="43">
        <f t="shared" si="3"/>
        <v>2.0578284341151287E-2</v>
      </c>
      <c r="CJ5" s="43">
        <f t="shared" si="3"/>
        <v>1.8317728782845061E-2</v>
      </c>
      <c r="CK5" s="43">
        <f t="shared" si="3"/>
        <v>6.5690123829658708E-3</v>
      </c>
      <c r="CL5" s="43" t="str">
        <f t="shared" si="3"/>
        <v/>
      </c>
      <c r="CM5" s="43" t="str">
        <f t="shared" si="3"/>
        <v/>
      </c>
      <c r="CN5" s="43" t="str">
        <f t="shared" si="3"/>
        <v/>
      </c>
      <c r="CO5" s="43" t="str">
        <f t="shared" si="3"/>
        <v/>
      </c>
    </row>
    <row r="6" spans="1:93" ht="21" customHeight="1" x14ac:dyDescent="0.25">
      <c r="A6" s="32"/>
      <c r="B6" s="32"/>
      <c r="C6" s="32"/>
      <c r="D6" s="32" t="s">
        <v>111</v>
      </c>
      <c r="E6" s="32"/>
      <c r="F6" s="32"/>
      <c r="G6" s="32"/>
      <c r="H6" s="32"/>
      <c r="I6" s="32"/>
      <c r="J6" s="32"/>
      <c r="K6" s="33"/>
      <c r="L6" s="33"/>
      <c r="M6" s="42" t="str">
        <f t="shared" si="0"/>
        <v/>
      </c>
      <c r="N6" s="32"/>
      <c r="O6" s="44">
        <f>O5</f>
        <v>17200000</v>
      </c>
      <c r="P6" s="32"/>
      <c r="Q6" s="32"/>
      <c r="R6" s="43" t="str">
        <f t="shared" ref="R6:AW6" si="4">IF(COUNTIFS($E$7:$E$514,"&lt;&gt;",$D$7:$D$514,"A",R$7:R$514,"&lt;&gt;")=0,"",IFERROR(SUMPRODUCT(--($E$7:$E$514&lt;&gt;""),--($D$7:$D$514="A"),$O$7:$O$514,R$7:R$514)/SUMPRODUCT(--($E$7:$E$514&lt;&gt;""),--($D$7:$D$514="A"),$O$7:$O$514),""))</f>
        <v/>
      </c>
      <c r="S6" s="43" t="str">
        <f t="shared" si="4"/>
        <v/>
      </c>
      <c r="T6" s="43" t="str">
        <f t="shared" si="4"/>
        <v/>
      </c>
      <c r="U6" s="43" t="str">
        <f t="shared" si="4"/>
        <v/>
      </c>
      <c r="V6" s="43" t="str">
        <f t="shared" si="4"/>
        <v/>
      </c>
      <c r="W6" s="43" t="str">
        <f t="shared" si="4"/>
        <v/>
      </c>
      <c r="X6" s="43" t="str">
        <f t="shared" si="4"/>
        <v/>
      </c>
      <c r="Y6" s="43" t="str">
        <f t="shared" si="4"/>
        <v/>
      </c>
      <c r="Z6" s="43" t="str">
        <f t="shared" si="4"/>
        <v/>
      </c>
      <c r="AA6" s="43" t="str">
        <f t="shared" si="4"/>
        <v/>
      </c>
      <c r="AB6" s="43" t="str">
        <f t="shared" si="4"/>
        <v/>
      </c>
      <c r="AC6" s="43" t="str">
        <f t="shared" si="4"/>
        <v/>
      </c>
      <c r="AD6" s="43" t="str">
        <f t="shared" si="4"/>
        <v/>
      </c>
      <c r="AE6" s="43" t="str">
        <f t="shared" si="4"/>
        <v/>
      </c>
      <c r="AF6" s="43" t="str">
        <f t="shared" si="4"/>
        <v/>
      </c>
      <c r="AG6" s="43" t="str">
        <f t="shared" si="4"/>
        <v/>
      </c>
      <c r="AH6" s="43" t="str">
        <f t="shared" si="4"/>
        <v/>
      </c>
      <c r="AI6" s="43" t="str">
        <f t="shared" si="4"/>
        <v/>
      </c>
      <c r="AJ6" s="43" t="str">
        <f t="shared" si="4"/>
        <v/>
      </c>
      <c r="AK6" s="43" t="str">
        <f t="shared" si="4"/>
        <v/>
      </c>
      <c r="AL6" s="43" t="str">
        <f t="shared" si="4"/>
        <v/>
      </c>
      <c r="AM6" s="43" t="str">
        <f t="shared" si="4"/>
        <v/>
      </c>
      <c r="AN6" s="43" t="str">
        <f t="shared" si="4"/>
        <v/>
      </c>
      <c r="AO6" s="43" t="str">
        <f t="shared" si="4"/>
        <v/>
      </c>
      <c r="AP6" s="43" t="str">
        <f t="shared" si="4"/>
        <v/>
      </c>
      <c r="AQ6" s="43" t="str">
        <f t="shared" si="4"/>
        <v/>
      </c>
      <c r="AR6" s="43" t="str">
        <f t="shared" si="4"/>
        <v/>
      </c>
      <c r="AS6" s="43" t="str">
        <f t="shared" si="4"/>
        <v/>
      </c>
      <c r="AT6" s="43" t="str">
        <f t="shared" si="4"/>
        <v/>
      </c>
      <c r="AU6" s="43" t="str">
        <f t="shared" si="4"/>
        <v/>
      </c>
      <c r="AV6" s="43" t="str">
        <f t="shared" si="4"/>
        <v/>
      </c>
      <c r="AW6" s="43" t="str">
        <f t="shared" si="4"/>
        <v/>
      </c>
      <c r="AX6" s="43" t="str">
        <f t="shared" ref="AX6:CC6" si="5">IF(COUNTIFS($E$7:$E$514,"&lt;&gt;",$D$7:$D$514,"A",AX$7:AX$514,"&lt;&gt;")=0,"",IFERROR(SUMPRODUCT(--($E$7:$E$514&lt;&gt;""),--($D$7:$D$514="A"),$O$7:$O$514,AX$7:AX$514)/SUMPRODUCT(--($E$7:$E$514&lt;&gt;""),--($D$7:$D$514="A"),$O$7:$O$514),""))</f>
        <v/>
      </c>
      <c r="AY6" s="43" t="str">
        <f t="shared" si="5"/>
        <v/>
      </c>
      <c r="AZ6" s="43" t="str">
        <f t="shared" si="5"/>
        <v/>
      </c>
      <c r="BA6" s="43" t="str">
        <f t="shared" si="5"/>
        <v/>
      </c>
      <c r="BB6" s="43" t="str">
        <f t="shared" si="5"/>
        <v/>
      </c>
      <c r="BC6" s="43" t="str">
        <f t="shared" si="5"/>
        <v/>
      </c>
      <c r="BD6" s="43" t="str">
        <f t="shared" si="5"/>
        <v/>
      </c>
      <c r="BE6" s="43" t="str">
        <f t="shared" si="5"/>
        <v/>
      </c>
      <c r="BF6" s="43" t="str">
        <f t="shared" si="5"/>
        <v/>
      </c>
      <c r="BG6" s="43" t="str">
        <f t="shared" si="5"/>
        <v/>
      </c>
      <c r="BH6" s="43" t="str">
        <f t="shared" si="5"/>
        <v/>
      </c>
      <c r="BI6" s="43" t="str">
        <f t="shared" si="5"/>
        <v/>
      </c>
      <c r="BJ6" s="43" t="str">
        <f t="shared" si="5"/>
        <v/>
      </c>
      <c r="BK6" s="43" t="str">
        <f t="shared" si="5"/>
        <v/>
      </c>
      <c r="BL6" s="43" t="str">
        <f t="shared" si="5"/>
        <v/>
      </c>
      <c r="BM6" s="43" t="str">
        <f t="shared" si="5"/>
        <v/>
      </c>
      <c r="BN6" s="43" t="str">
        <f t="shared" si="5"/>
        <v/>
      </c>
      <c r="BO6" s="43" t="str">
        <f t="shared" si="5"/>
        <v/>
      </c>
      <c r="BP6" s="43" t="str">
        <f t="shared" si="5"/>
        <v/>
      </c>
      <c r="BQ6" s="43" t="str">
        <f t="shared" si="5"/>
        <v/>
      </c>
      <c r="BR6" s="43" t="str">
        <f t="shared" si="5"/>
        <v/>
      </c>
      <c r="BS6" s="43" t="str">
        <f t="shared" si="5"/>
        <v/>
      </c>
      <c r="BT6" s="43" t="str">
        <f t="shared" si="5"/>
        <v/>
      </c>
      <c r="BU6" s="43" t="str">
        <f t="shared" si="5"/>
        <v/>
      </c>
      <c r="BV6" s="43" t="str">
        <f t="shared" si="5"/>
        <v/>
      </c>
      <c r="BW6" s="43" t="str">
        <f t="shared" si="5"/>
        <v/>
      </c>
      <c r="BX6" s="43" t="str">
        <f t="shared" si="5"/>
        <v/>
      </c>
      <c r="BY6" s="43" t="str">
        <f t="shared" si="5"/>
        <v/>
      </c>
      <c r="BZ6" s="43" t="str">
        <f t="shared" si="5"/>
        <v/>
      </c>
      <c r="CA6" s="43" t="str">
        <f t="shared" si="5"/>
        <v/>
      </c>
      <c r="CB6" s="43" t="str">
        <f t="shared" si="5"/>
        <v/>
      </c>
      <c r="CC6" s="43" t="str">
        <f t="shared" si="5"/>
        <v/>
      </c>
      <c r="CD6" s="43" t="str">
        <f t="shared" ref="CD6:CO6" si="6">IF(COUNTIFS($E$7:$E$514,"&lt;&gt;",$D$7:$D$514,"A",CD$7:CD$514,"&lt;&gt;")=0,"",IFERROR(SUMPRODUCT(--($E$7:$E$514&lt;&gt;""),--($D$7:$D$514="A"),$O$7:$O$514,CD$7:CD$514)/SUMPRODUCT(--($E$7:$E$514&lt;&gt;""),--($D$7:$D$514="A"),$O$7:$O$514),""))</f>
        <v/>
      </c>
      <c r="CE6" s="43" t="str">
        <f t="shared" si="6"/>
        <v/>
      </c>
      <c r="CF6" s="43" t="str">
        <f t="shared" si="6"/>
        <v/>
      </c>
      <c r="CG6" s="43" t="str">
        <f t="shared" si="6"/>
        <v/>
      </c>
      <c r="CH6" s="43" t="str">
        <f t="shared" si="6"/>
        <v/>
      </c>
      <c r="CI6" s="43" t="str">
        <f t="shared" si="6"/>
        <v/>
      </c>
      <c r="CJ6" s="43" t="str">
        <f t="shared" si="6"/>
        <v/>
      </c>
      <c r="CK6" s="43" t="str">
        <f t="shared" si="6"/>
        <v/>
      </c>
      <c r="CL6" s="43" t="str">
        <f t="shared" si="6"/>
        <v/>
      </c>
      <c r="CM6" s="43" t="str">
        <f t="shared" si="6"/>
        <v/>
      </c>
      <c r="CN6" s="43" t="str">
        <f t="shared" si="6"/>
        <v/>
      </c>
      <c r="CO6" s="43" t="str">
        <f t="shared" si="6"/>
        <v/>
      </c>
    </row>
    <row r="7" spans="1:93" outlineLevel="1" x14ac:dyDescent="0.25">
      <c r="A7" s="1" t="s">
        <v>92</v>
      </c>
      <c r="B7" s="1" t="s">
        <v>112</v>
      </c>
      <c r="C7" s="2" t="s">
        <v>113</v>
      </c>
      <c r="D7" s="8" t="s">
        <v>110</v>
      </c>
      <c r="E7" s="1"/>
      <c r="F7" s="1">
        <v>1</v>
      </c>
      <c r="G7" s="1">
        <v>1</v>
      </c>
      <c r="H7" s="1">
        <v>1</v>
      </c>
      <c r="I7" s="9">
        <v>46076.333333333343</v>
      </c>
      <c r="J7" s="9">
        <v>46268.666666666657</v>
      </c>
      <c r="K7" s="9"/>
      <c r="L7" s="9"/>
      <c r="M7" s="3">
        <f t="shared" si="0"/>
        <v>1</v>
      </c>
      <c r="N7" s="3"/>
      <c r="O7" s="5">
        <f>SUMIFS($O$8:$O$35,$A$8:$A$35,"Activity",$D$8:$D$35,"P")</f>
        <v>1100000</v>
      </c>
      <c r="P7" s="4"/>
      <c r="Q7" s="5"/>
      <c r="R7" s="45" t="str">
        <f t="shared" ref="R7:AW7" si="7">IF(COUNTIFS($A$9:$A$36,"Activity",$D$9:$D$36,"P",R$9:R$36,"&lt;&gt;")=0,"",IFERROR(SUMPRODUCT(--($A$9:$A$36="Activity"),--($D$9:$D$36="P"),$O$9:$O$36,R$9:R$36)/SUMPRODUCT(--($A$9:$A$36="Activity"),--($D$9:$D$36="P"),$O$9:$O$36),""))</f>
        <v/>
      </c>
      <c r="S7" s="45" t="str">
        <f t="shared" si="7"/>
        <v/>
      </c>
      <c r="T7" s="45" t="str">
        <f t="shared" si="7"/>
        <v/>
      </c>
      <c r="U7" s="45" t="str">
        <f t="shared" si="7"/>
        <v/>
      </c>
      <c r="V7" s="45" t="str">
        <f t="shared" si="7"/>
        <v/>
      </c>
      <c r="W7" s="45">
        <f t="shared" si="7"/>
        <v>1.3774104683195589E-2</v>
      </c>
      <c r="X7" s="45">
        <f t="shared" si="7"/>
        <v>1.7141108050198955E-2</v>
      </c>
      <c r="Y7" s="45">
        <f t="shared" si="7"/>
        <v>1.4998469543924092E-2</v>
      </c>
      <c r="Z7" s="45">
        <f t="shared" si="7"/>
        <v>1.2855831037649219E-2</v>
      </c>
      <c r="AA7" s="45">
        <f t="shared" si="7"/>
        <v>1.0713192531374345E-2</v>
      </c>
      <c r="AB7" s="45">
        <f t="shared" si="7"/>
        <v>8.5705540250994791E-3</v>
      </c>
      <c r="AC7" s="45">
        <f t="shared" si="7"/>
        <v>6.4279155188246085E-3</v>
      </c>
      <c r="AD7" s="45">
        <f t="shared" si="7"/>
        <v>8.6142813415540677E-3</v>
      </c>
      <c r="AE7" s="45">
        <f t="shared" si="7"/>
        <v>3.2445668809305168E-2</v>
      </c>
      <c r="AF7" s="45">
        <f t="shared" si="7"/>
        <v>3.0303030303030297E-2</v>
      </c>
      <c r="AG7" s="45">
        <f t="shared" si="7"/>
        <v>3.4632034632034639E-2</v>
      </c>
      <c r="AH7" s="45">
        <f t="shared" si="7"/>
        <v>6.0606060606060594E-2</v>
      </c>
      <c r="AI7" s="45">
        <f t="shared" si="7"/>
        <v>6.0606060606060594E-2</v>
      </c>
      <c r="AJ7" s="45">
        <f t="shared" si="7"/>
        <v>5.6277056277056293E-2</v>
      </c>
      <c r="AK7" s="45">
        <f t="shared" si="7"/>
        <v>3.0303030303030297E-2</v>
      </c>
      <c r="AL7" s="45">
        <f t="shared" si="7"/>
        <v>3.0303030303030297E-2</v>
      </c>
      <c r="AM7" s="45">
        <f t="shared" si="7"/>
        <v>2.9220779220779231E-2</v>
      </c>
      <c r="AN7" s="45">
        <f t="shared" si="7"/>
        <v>2.2727272727272738E-2</v>
      </c>
      <c r="AO7" s="45">
        <f t="shared" si="7"/>
        <v>2.2727272727272738E-2</v>
      </c>
      <c r="AP7" s="45">
        <f t="shared" si="7"/>
        <v>2.2727272727272738E-2</v>
      </c>
      <c r="AQ7" s="45">
        <f t="shared" si="7"/>
        <v>2.9220779220779213E-2</v>
      </c>
      <c r="AR7" s="45">
        <f t="shared" si="7"/>
        <v>6.8181818181818177E-2</v>
      </c>
      <c r="AS7" s="45">
        <f t="shared" si="7"/>
        <v>6.8181818181818191E-2</v>
      </c>
      <c r="AT7" s="45">
        <f t="shared" si="7"/>
        <v>6.8181818181818177E-2</v>
      </c>
      <c r="AU7" s="45">
        <f t="shared" si="7"/>
        <v>6.4935064935064929E-2</v>
      </c>
      <c r="AV7" s="45">
        <f t="shared" si="7"/>
        <v>4.5454545454545442E-2</v>
      </c>
      <c r="AW7" s="45">
        <f t="shared" si="7"/>
        <v>5.1948051948051951E-2</v>
      </c>
      <c r="AX7" s="45">
        <f t="shared" ref="AX7:CC7" si="8">IF(COUNTIFS($A$9:$A$36,"Activity",$D$9:$D$36,"P",AX$9:AX$36,"&lt;&gt;")=0,"",IFERROR(SUMPRODUCT(--($A$9:$A$36="Activity"),--($D$9:$D$36="P"),$O$9:$O$36,AX$9:AX$36)/SUMPRODUCT(--($A$9:$A$36="Activity"),--($D$9:$D$36="P"),$O$9:$O$36),""))</f>
        <v>7.7922077922077934E-2</v>
      </c>
      <c r="AY7" s="45" t="str">
        <f t="shared" si="8"/>
        <v/>
      </c>
      <c r="AZ7" s="45" t="str">
        <f t="shared" si="8"/>
        <v/>
      </c>
      <c r="BA7" s="45" t="str">
        <f t="shared" si="8"/>
        <v/>
      </c>
      <c r="BB7" s="45" t="str">
        <f t="shared" si="8"/>
        <v/>
      </c>
      <c r="BC7" s="45" t="str">
        <f t="shared" si="8"/>
        <v/>
      </c>
      <c r="BD7" s="45" t="str">
        <f t="shared" si="8"/>
        <v/>
      </c>
      <c r="BE7" s="45" t="str">
        <f t="shared" si="8"/>
        <v/>
      </c>
      <c r="BF7" s="45" t="str">
        <f t="shared" si="8"/>
        <v/>
      </c>
      <c r="BG7" s="45" t="str">
        <f t="shared" si="8"/>
        <v/>
      </c>
      <c r="BH7" s="45" t="str">
        <f t="shared" si="8"/>
        <v/>
      </c>
      <c r="BI7" s="45" t="str">
        <f t="shared" si="8"/>
        <v/>
      </c>
      <c r="BJ7" s="45" t="str">
        <f t="shared" si="8"/>
        <v/>
      </c>
      <c r="BK7" s="45" t="str">
        <f t="shared" si="8"/>
        <v/>
      </c>
      <c r="BL7" s="45" t="str">
        <f t="shared" si="8"/>
        <v/>
      </c>
      <c r="BM7" s="45" t="str">
        <f t="shared" si="8"/>
        <v/>
      </c>
      <c r="BN7" s="45" t="str">
        <f t="shared" si="8"/>
        <v/>
      </c>
      <c r="BO7" s="45" t="str">
        <f t="shared" si="8"/>
        <v/>
      </c>
      <c r="BP7" s="45" t="str">
        <f t="shared" si="8"/>
        <v/>
      </c>
      <c r="BQ7" s="45" t="str">
        <f t="shared" si="8"/>
        <v/>
      </c>
      <c r="BR7" s="45" t="str">
        <f t="shared" si="8"/>
        <v/>
      </c>
      <c r="BS7" s="45" t="str">
        <f t="shared" si="8"/>
        <v/>
      </c>
      <c r="BT7" s="45" t="str">
        <f t="shared" si="8"/>
        <v/>
      </c>
      <c r="BU7" s="45" t="str">
        <f t="shared" si="8"/>
        <v/>
      </c>
      <c r="BV7" s="45" t="str">
        <f t="shared" si="8"/>
        <v/>
      </c>
      <c r="BW7" s="45" t="str">
        <f t="shared" si="8"/>
        <v/>
      </c>
      <c r="BX7" s="45" t="str">
        <f t="shared" si="8"/>
        <v/>
      </c>
      <c r="BY7" s="45" t="str">
        <f t="shared" si="8"/>
        <v/>
      </c>
      <c r="BZ7" s="45" t="str">
        <f t="shared" si="8"/>
        <v/>
      </c>
      <c r="CA7" s="45" t="str">
        <f t="shared" si="8"/>
        <v/>
      </c>
      <c r="CB7" s="45" t="str">
        <f t="shared" si="8"/>
        <v/>
      </c>
      <c r="CC7" s="45" t="str">
        <f t="shared" si="8"/>
        <v/>
      </c>
      <c r="CD7" s="45" t="str">
        <f t="shared" ref="CD7:CO7" si="9">IF(COUNTIFS($A$9:$A$36,"Activity",$D$9:$D$36,"P",CD$9:CD$36,"&lt;&gt;")=0,"",IFERROR(SUMPRODUCT(--($A$9:$A$36="Activity"),--($D$9:$D$36="P"),$O$9:$O$36,CD$9:CD$36)/SUMPRODUCT(--($A$9:$A$36="Activity"),--($D$9:$D$36="P"),$O$9:$O$36),""))</f>
        <v/>
      </c>
      <c r="CE7" s="45" t="str">
        <f t="shared" si="9"/>
        <v/>
      </c>
      <c r="CF7" s="45" t="str">
        <f t="shared" si="9"/>
        <v/>
      </c>
      <c r="CG7" s="45" t="str">
        <f t="shared" si="9"/>
        <v/>
      </c>
      <c r="CH7" s="45" t="str">
        <f t="shared" si="9"/>
        <v/>
      </c>
      <c r="CI7" s="45" t="str">
        <f t="shared" si="9"/>
        <v/>
      </c>
      <c r="CJ7" s="45" t="str">
        <f t="shared" si="9"/>
        <v/>
      </c>
      <c r="CK7" s="45" t="str">
        <f t="shared" si="9"/>
        <v/>
      </c>
      <c r="CL7" s="45" t="str">
        <f t="shared" si="9"/>
        <v/>
      </c>
      <c r="CM7" s="45" t="str">
        <f t="shared" si="9"/>
        <v/>
      </c>
      <c r="CN7" s="45" t="str">
        <f t="shared" si="9"/>
        <v/>
      </c>
      <c r="CO7" s="45" t="str">
        <f t="shared" si="9"/>
        <v/>
      </c>
    </row>
    <row r="8" spans="1:93" outlineLevel="1" x14ac:dyDescent="0.25">
      <c r="A8" s="1"/>
      <c r="B8" s="1"/>
      <c r="C8" s="2"/>
      <c r="D8" s="8" t="s">
        <v>111</v>
      </c>
      <c r="E8" s="1"/>
      <c r="F8" s="1"/>
      <c r="G8" s="1"/>
      <c r="H8" s="1"/>
      <c r="I8" s="9"/>
      <c r="J8" s="9"/>
      <c r="K8" s="9"/>
      <c r="L8" s="9"/>
      <c r="M8" s="3" t="str">
        <f t="shared" si="0"/>
        <v/>
      </c>
      <c r="N8" s="3"/>
      <c r="O8" s="46">
        <f>O7</f>
        <v>1100000</v>
      </c>
      <c r="P8" s="4"/>
      <c r="Q8" s="5"/>
      <c r="R8" s="45" t="str">
        <f t="shared" ref="R8:AW8" si="10">IF(COUNTIFS($E$9:$E$36,"&lt;&gt;",$D$9:$D$36,"A",R$9:R$36,"&lt;&gt;")=0,"",IFERROR(SUMPRODUCT(--($E$9:$E$36&lt;&gt;""),--($D$9:$D$36="A"),$O$9:$O$36,R$9:R$36)/SUMPRODUCT(--($E$9:$E$36&lt;&gt;""),--($D$9:$D$36="A"),$O$9:$O$36),""))</f>
        <v/>
      </c>
      <c r="S8" s="45" t="str">
        <f t="shared" si="10"/>
        <v/>
      </c>
      <c r="T8" s="45" t="str">
        <f t="shared" si="10"/>
        <v/>
      </c>
      <c r="U8" s="45" t="str">
        <f t="shared" si="10"/>
        <v/>
      </c>
      <c r="V8" s="45" t="str">
        <f t="shared" si="10"/>
        <v/>
      </c>
      <c r="W8" s="45" t="str">
        <f t="shared" si="10"/>
        <v/>
      </c>
      <c r="X8" s="45" t="str">
        <f t="shared" si="10"/>
        <v/>
      </c>
      <c r="Y8" s="45" t="str">
        <f t="shared" si="10"/>
        <v/>
      </c>
      <c r="Z8" s="45" t="str">
        <f t="shared" si="10"/>
        <v/>
      </c>
      <c r="AA8" s="45" t="str">
        <f t="shared" si="10"/>
        <v/>
      </c>
      <c r="AB8" s="45" t="str">
        <f t="shared" si="10"/>
        <v/>
      </c>
      <c r="AC8" s="45" t="str">
        <f t="shared" si="10"/>
        <v/>
      </c>
      <c r="AD8" s="45" t="str">
        <f t="shared" si="10"/>
        <v/>
      </c>
      <c r="AE8" s="45" t="str">
        <f t="shared" si="10"/>
        <v/>
      </c>
      <c r="AF8" s="45" t="str">
        <f t="shared" si="10"/>
        <v/>
      </c>
      <c r="AG8" s="45" t="str">
        <f t="shared" si="10"/>
        <v/>
      </c>
      <c r="AH8" s="45" t="str">
        <f t="shared" si="10"/>
        <v/>
      </c>
      <c r="AI8" s="45" t="str">
        <f t="shared" si="10"/>
        <v/>
      </c>
      <c r="AJ8" s="45" t="str">
        <f t="shared" si="10"/>
        <v/>
      </c>
      <c r="AK8" s="45" t="str">
        <f t="shared" si="10"/>
        <v/>
      </c>
      <c r="AL8" s="45" t="str">
        <f t="shared" si="10"/>
        <v/>
      </c>
      <c r="AM8" s="45" t="str">
        <f t="shared" si="10"/>
        <v/>
      </c>
      <c r="AN8" s="45" t="str">
        <f t="shared" si="10"/>
        <v/>
      </c>
      <c r="AO8" s="45" t="str">
        <f t="shared" si="10"/>
        <v/>
      </c>
      <c r="AP8" s="45" t="str">
        <f t="shared" si="10"/>
        <v/>
      </c>
      <c r="AQ8" s="45" t="str">
        <f t="shared" si="10"/>
        <v/>
      </c>
      <c r="AR8" s="45" t="str">
        <f t="shared" si="10"/>
        <v/>
      </c>
      <c r="AS8" s="45" t="str">
        <f t="shared" si="10"/>
        <v/>
      </c>
      <c r="AT8" s="45" t="str">
        <f t="shared" si="10"/>
        <v/>
      </c>
      <c r="AU8" s="45" t="str">
        <f t="shared" si="10"/>
        <v/>
      </c>
      <c r="AV8" s="45" t="str">
        <f t="shared" si="10"/>
        <v/>
      </c>
      <c r="AW8" s="45" t="str">
        <f t="shared" si="10"/>
        <v/>
      </c>
      <c r="AX8" s="45" t="str">
        <f t="shared" ref="AX8:CC8" si="11">IF(COUNTIFS($E$9:$E$36,"&lt;&gt;",$D$9:$D$36,"A",AX$9:AX$36,"&lt;&gt;")=0,"",IFERROR(SUMPRODUCT(--($E$9:$E$36&lt;&gt;""),--($D$9:$D$36="A"),$O$9:$O$36,AX$9:AX$36)/SUMPRODUCT(--($E$9:$E$36&lt;&gt;""),--($D$9:$D$36="A"),$O$9:$O$36),""))</f>
        <v/>
      </c>
      <c r="AY8" s="45" t="str">
        <f t="shared" si="11"/>
        <v/>
      </c>
      <c r="AZ8" s="45" t="str">
        <f t="shared" si="11"/>
        <v/>
      </c>
      <c r="BA8" s="45" t="str">
        <f t="shared" si="11"/>
        <v/>
      </c>
      <c r="BB8" s="45" t="str">
        <f t="shared" si="11"/>
        <v/>
      </c>
      <c r="BC8" s="45" t="str">
        <f t="shared" si="11"/>
        <v/>
      </c>
      <c r="BD8" s="45" t="str">
        <f t="shared" si="11"/>
        <v/>
      </c>
      <c r="BE8" s="45" t="str">
        <f t="shared" si="11"/>
        <v/>
      </c>
      <c r="BF8" s="45" t="str">
        <f t="shared" si="11"/>
        <v/>
      </c>
      <c r="BG8" s="45" t="str">
        <f t="shared" si="11"/>
        <v/>
      </c>
      <c r="BH8" s="45" t="str">
        <f t="shared" si="11"/>
        <v/>
      </c>
      <c r="BI8" s="45" t="str">
        <f t="shared" si="11"/>
        <v/>
      </c>
      <c r="BJ8" s="45" t="str">
        <f t="shared" si="11"/>
        <v/>
      </c>
      <c r="BK8" s="45" t="str">
        <f t="shared" si="11"/>
        <v/>
      </c>
      <c r="BL8" s="45" t="str">
        <f t="shared" si="11"/>
        <v/>
      </c>
      <c r="BM8" s="45" t="str">
        <f t="shared" si="11"/>
        <v/>
      </c>
      <c r="BN8" s="45" t="str">
        <f t="shared" si="11"/>
        <v/>
      </c>
      <c r="BO8" s="45" t="str">
        <f t="shared" si="11"/>
        <v/>
      </c>
      <c r="BP8" s="45" t="str">
        <f t="shared" si="11"/>
        <v/>
      </c>
      <c r="BQ8" s="45" t="str">
        <f t="shared" si="11"/>
        <v/>
      </c>
      <c r="BR8" s="45" t="str">
        <f t="shared" si="11"/>
        <v/>
      </c>
      <c r="BS8" s="45" t="str">
        <f t="shared" si="11"/>
        <v/>
      </c>
      <c r="BT8" s="45" t="str">
        <f t="shared" si="11"/>
        <v/>
      </c>
      <c r="BU8" s="45" t="str">
        <f t="shared" si="11"/>
        <v/>
      </c>
      <c r="BV8" s="45" t="str">
        <f t="shared" si="11"/>
        <v/>
      </c>
      <c r="BW8" s="45" t="str">
        <f t="shared" si="11"/>
        <v/>
      </c>
      <c r="BX8" s="45" t="str">
        <f t="shared" si="11"/>
        <v/>
      </c>
      <c r="BY8" s="45" t="str">
        <f t="shared" si="11"/>
        <v/>
      </c>
      <c r="BZ8" s="45" t="str">
        <f t="shared" si="11"/>
        <v/>
      </c>
      <c r="CA8" s="45" t="str">
        <f t="shared" si="11"/>
        <v/>
      </c>
      <c r="CB8" s="45" t="str">
        <f t="shared" si="11"/>
        <v/>
      </c>
      <c r="CC8" s="45" t="str">
        <f t="shared" si="11"/>
        <v/>
      </c>
      <c r="CD8" s="45" t="str">
        <f t="shared" ref="CD8:CO8" si="12">IF(COUNTIFS($E$9:$E$36,"&lt;&gt;",$D$9:$D$36,"A",CD$9:CD$36,"&lt;&gt;")=0,"",IFERROR(SUMPRODUCT(--($E$9:$E$36&lt;&gt;""),--($D$9:$D$36="A"),$O$9:$O$36,CD$9:CD$36)/SUMPRODUCT(--($E$9:$E$36&lt;&gt;""),--($D$9:$D$36="A"),$O$9:$O$36),""))</f>
        <v/>
      </c>
      <c r="CE8" s="45" t="str">
        <f t="shared" si="12"/>
        <v/>
      </c>
      <c r="CF8" s="45" t="str">
        <f t="shared" si="12"/>
        <v/>
      </c>
      <c r="CG8" s="45" t="str">
        <f t="shared" si="12"/>
        <v/>
      </c>
      <c r="CH8" s="45" t="str">
        <f t="shared" si="12"/>
        <v/>
      </c>
      <c r="CI8" s="45" t="str">
        <f t="shared" si="12"/>
        <v/>
      </c>
      <c r="CJ8" s="45" t="str">
        <f t="shared" si="12"/>
        <v/>
      </c>
      <c r="CK8" s="45" t="str">
        <f t="shared" si="12"/>
        <v/>
      </c>
      <c r="CL8" s="45" t="str">
        <f t="shared" si="12"/>
        <v/>
      </c>
      <c r="CM8" s="45" t="str">
        <f t="shared" si="12"/>
        <v/>
      </c>
      <c r="CN8" s="45" t="str">
        <f t="shared" si="12"/>
        <v/>
      </c>
      <c r="CO8" s="45" t="str">
        <f t="shared" si="12"/>
        <v/>
      </c>
    </row>
    <row r="9" spans="1:93" outlineLevel="2" x14ac:dyDescent="0.25">
      <c r="A9" s="1" t="s">
        <v>92</v>
      </c>
      <c r="B9" s="1" t="s">
        <v>114</v>
      </c>
      <c r="C9" s="6" t="s">
        <v>115</v>
      </c>
      <c r="D9" s="8" t="s">
        <v>110</v>
      </c>
      <c r="E9" s="1"/>
      <c r="F9" s="1">
        <v>2</v>
      </c>
      <c r="G9" s="1">
        <v>2</v>
      </c>
      <c r="H9" s="1">
        <v>2</v>
      </c>
      <c r="I9" s="9">
        <v>46076.333333333343</v>
      </c>
      <c r="J9" s="9">
        <v>46136.666666666657</v>
      </c>
      <c r="K9" s="9"/>
      <c r="L9" s="9"/>
      <c r="M9" s="3">
        <f t="shared" si="0"/>
        <v>1</v>
      </c>
      <c r="N9" s="3"/>
      <c r="O9" s="5">
        <f>SUMIFS($O$10:$O$11,$A$10:$A$11,"Activity",$D$10:$D$11,"P")</f>
        <v>100000</v>
      </c>
      <c r="P9" s="4"/>
      <c r="Q9" s="5"/>
      <c r="R9" s="45" t="str">
        <f t="shared" ref="R9:AW9" si="13">IF(COUNTIFS($A$11:$A$12,"Activity",$D$11:$D$12,"P",R$11:R$12,"&lt;&gt;")=0,"",IFERROR(SUMPRODUCT(--($A$11:$A$12="Activity"),--($D$11:$D$12="P"),$O$11:$O$12,R$11:R$12)/SUMPRODUCT(--($A$11:$A$12="Activity"),--($D$11:$D$12="P"),$O$11:$O$12),""))</f>
        <v/>
      </c>
      <c r="S9" s="45" t="str">
        <f t="shared" si="13"/>
        <v/>
      </c>
      <c r="T9" s="45" t="str">
        <f t="shared" si="13"/>
        <v/>
      </c>
      <c r="U9" s="45" t="str">
        <f t="shared" si="13"/>
        <v/>
      </c>
      <c r="V9" s="45" t="str">
        <f t="shared" si="13"/>
        <v/>
      </c>
      <c r="W9" s="45">
        <f t="shared" si="13"/>
        <v>0.15151515151515149</v>
      </c>
      <c r="X9" s="45">
        <f t="shared" si="13"/>
        <v>0.1885521885521885</v>
      </c>
      <c r="Y9" s="45">
        <f t="shared" si="13"/>
        <v>0.16498316498316501</v>
      </c>
      <c r="Z9" s="45">
        <f t="shared" si="13"/>
        <v>0.14141414141414141</v>
      </c>
      <c r="AA9" s="45">
        <f t="shared" si="13"/>
        <v>0.11784511784511781</v>
      </c>
      <c r="AB9" s="45">
        <f t="shared" si="13"/>
        <v>9.4276094276094263E-2</v>
      </c>
      <c r="AC9" s="45">
        <f t="shared" si="13"/>
        <v>7.0707070707070691E-2</v>
      </c>
      <c r="AD9" s="45">
        <f t="shared" si="13"/>
        <v>4.7138047138047132E-2</v>
      </c>
      <c r="AE9" s="45">
        <f t="shared" si="13"/>
        <v>2.3569023569023569E-2</v>
      </c>
      <c r="AF9" s="45" t="str">
        <f t="shared" si="13"/>
        <v/>
      </c>
      <c r="AG9" s="45" t="str">
        <f t="shared" si="13"/>
        <v/>
      </c>
      <c r="AH9" s="45" t="str">
        <f t="shared" si="13"/>
        <v/>
      </c>
      <c r="AI9" s="45" t="str">
        <f t="shared" si="13"/>
        <v/>
      </c>
      <c r="AJ9" s="45" t="str">
        <f t="shared" si="13"/>
        <v/>
      </c>
      <c r="AK9" s="45" t="str">
        <f t="shared" si="13"/>
        <v/>
      </c>
      <c r="AL9" s="45" t="str">
        <f t="shared" si="13"/>
        <v/>
      </c>
      <c r="AM9" s="45" t="str">
        <f t="shared" si="13"/>
        <v/>
      </c>
      <c r="AN9" s="45" t="str">
        <f t="shared" si="13"/>
        <v/>
      </c>
      <c r="AO9" s="45" t="str">
        <f t="shared" si="13"/>
        <v/>
      </c>
      <c r="AP9" s="45" t="str">
        <f t="shared" si="13"/>
        <v/>
      </c>
      <c r="AQ9" s="45" t="str">
        <f t="shared" si="13"/>
        <v/>
      </c>
      <c r="AR9" s="45" t="str">
        <f t="shared" si="13"/>
        <v/>
      </c>
      <c r="AS9" s="45" t="str">
        <f t="shared" si="13"/>
        <v/>
      </c>
      <c r="AT9" s="45" t="str">
        <f t="shared" si="13"/>
        <v/>
      </c>
      <c r="AU9" s="45" t="str">
        <f t="shared" si="13"/>
        <v/>
      </c>
      <c r="AV9" s="45" t="str">
        <f t="shared" si="13"/>
        <v/>
      </c>
      <c r="AW9" s="45" t="str">
        <f t="shared" si="13"/>
        <v/>
      </c>
      <c r="AX9" s="45" t="str">
        <f t="shared" ref="AX9:CC9" si="14">IF(COUNTIFS($A$11:$A$12,"Activity",$D$11:$D$12,"P",AX$11:AX$12,"&lt;&gt;")=0,"",IFERROR(SUMPRODUCT(--($A$11:$A$12="Activity"),--($D$11:$D$12="P"),$O$11:$O$12,AX$11:AX$12)/SUMPRODUCT(--($A$11:$A$12="Activity"),--($D$11:$D$12="P"),$O$11:$O$12),""))</f>
        <v/>
      </c>
      <c r="AY9" s="45" t="str">
        <f t="shared" si="14"/>
        <v/>
      </c>
      <c r="AZ9" s="45" t="str">
        <f t="shared" si="14"/>
        <v/>
      </c>
      <c r="BA9" s="45" t="str">
        <f t="shared" si="14"/>
        <v/>
      </c>
      <c r="BB9" s="45" t="str">
        <f t="shared" si="14"/>
        <v/>
      </c>
      <c r="BC9" s="45" t="str">
        <f t="shared" si="14"/>
        <v/>
      </c>
      <c r="BD9" s="45" t="str">
        <f t="shared" si="14"/>
        <v/>
      </c>
      <c r="BE9" s="45" t="str">
        <f t="shared" si="14"/>
        <v/>
      </c>
      <c r="BF9" s="45" t="str">
        <f t="shared" si="14"/>
        <v/>
      </c>
      <c r="BG9" s="45" t="str">
        <f t="shared" si="14"/>
        <v/>
      </c>
      <c r="BH9" s="45" t="str">
        <f t="shared" si="14"/>
        <v/>
      </c>
      <c r="BI9" s="45" t="str">
        <f t="shared" si="14"/>
        <v/>
      </c>
      <c r="BJ9" s="45" t="str">
        <f t="shared" si="14"/>
        <v/>
      </c>
      <c r="BK9" s="45" t="str">
        <f t="shared" si="14"/>
        <v/>
      </c>
      <c r="BL9" s="45" t="str">
        <f t="shared" si="14"/>
        <v/>
      </c>
      <c r="BM9" s="45" t="str">
        <f t="shared" si="14"/>
        <v/>
      </c>
      <c r="BN9" s="45" t="str">
        <f t="shared" si="14"/>
        <v/>
      </c>
      <c r="BO9" s="45" t="str">
        <f t="shared" si="14"/>
        <v/>
      </c>
      <c r="BP9" s="45" t="str">
        <f t="shared" si="14"/>
        <v/>
      </c>
      <c r="BQ9" s="45" t="str">
        <f t="shared" si="14"/>
        <v/>
      </c>
      <c r="BR9" s="45" t="str">
        <f t="shared" si="14"/>
        <v/>
      </c>
      <c r="BS9" s="45" t="str">
        <f t="shared" si="14"/>
        <v/>
      </c>
      <c r="BT9" s="45" t="str">
        <f t="shared" si="14"/>
        <v/>
      </c>
      <c r="BU9" s="45" t="str">
        <f t="shared" si="14"/>
        <v/>
      </c>
      <c r="BV9" s="45" t="str">
        <f t="shared" si="14"/>
        <v/>
      </c>
      <c r="BW9" s="45" t="str">
        <f t="shared" si="14"/>
        <v/>
      </c>
      <c r="BX9" s="45" t="str">
        <f t="shared" si="14"/>
        <v/>
      </c>
      <c r="BY9" s="45" t="str">
        <f t="shared" si="14"/>
        <v/>
      </c>
      <c r="BZ9" s="45" t="str">
        <f t="shared" si="14"/>
        <v/>
      </c>
      <c r="CA9" s="45" t="str">
        <f t="shared" si="14"/>
        <v/>
      </c>
      <c r="CB9" s="45" t="str">
        <f t="shared" si="14"/>
        <v/>
      </c>
      <c r="CC9" s="45" t="str">
        <f t="shared" si="14"/>
        <v/>
      </c>
      <c r="CD9" s="45" t="str">
        <f t="shared" ref="CD9:CO9" si="15">IF(COUNTIFS($A$11:$A$12,"Activity",$D$11:$D$12,"P",CD$11:CD$12,"&lt;&gt;")=0,"",IFERROR(SUMPRODUCT(--($A$11:$A$12="Activity"),--($D$11:$D$12="P"),$O$11:$O$12,CD$11:CD$12)/SUMPRODUCT(--($A$11:$A$12="Activity"),--($D$11:$D$12="P"),$O$11:$O$12),""))</f>
        <v/>
      </c>
      <c r="CE9" s="45" t="str">
        <f t="shared" si="15"/>
        <v/>
      </c>
      <c r="CF9" s="45" t="str">
        <f t="shared" si="15"/>
        <v/>
      </c>
      <c r="CG9" s="45" t="str">
        <f t="shared" si="15"/>
        <v/>
      </c>
      <c r="CH9" s="45" t="str">
        <f t="shared" si="15"/>
        <v/>
      </c>
      <c r="CI9" s="45" t="str">
        <f t="shared" si="15"/>
        <v/>
      </c>
      <c r="CJ9" s="45" t="str">
        <f t="shared" si="15"/>
        <v/>
      </c>
      <c r="CK9" s="45" t="str">
        <f t="shared" si="15"/>
        <v/>
      </c>
      <c r="CL9" s="45" t="str">
        <f t="shared" si="15"/>
        <v/>
      </c>
      <c r="CM9" s="45" t="str">
        <f t="shared" si="15"/>
        <v/>
      </c>
      <c r="CN9" s="45" t="str">
        <f t="shared" si="15"/>
        <v/>
      </c>
      <c r="CO9" s="45" t="str">
        <f t="shared" si="15"/>
        <v/>
      </c>
    </row>
    <row r="10" spans="1:93" outlineLevel="2" x14ac:dyDescent="0.25">
      <c r="A10" s="1"/>
      <c r="B10" s="1"/>
      <c r="C10" s="6"/>
      <c r="D10" s="8" t="s">
        <v>111</v>
      </c>
      <c r="E10" s="1"/>
      <c r="F10" s="1"/>
      <c r="G10" s="1"/>
      <c r="H10" s="1"/>
      <c r="I10" s="9"/>
      <c r="J10" s="9"/>
      <c r="K10" s="9"/>
      <c r="L10" s="9"/>
      <c r="M10" s="3" t="str">
        <f t="shared" si="0"/>
        <v/>
      </c>
      <c r="N10" s="3"/>
      <c r="O10" s="46">
        <f>O9</f>
        <v>100000</v>
      </c>
      <c r="P10" s="4"/>
      <c r="Q10" s="5"/>
      <c r="R10" s="45" t="str">
        <f t="shared" ref="R10:AW10" si="16">IF(COUNTIFS($E$11:$E$12,"&lt;&gt;",$D$11:$D$12,"A",R$11:R$12,"&lt;&gt;")=0,"",IFERROR(SUMPRODUCT(--($E$11:$E$12&lt;&gt;""),--($D$11:$D$12="A"),$O$11:$O$12,R$11:R$12)/SUMPRODUCT(--($E$11:$E$12&lt;&gt;""),--($D$11:$D$12="A"),$O$11:$O$12),""))</f>
        <v/>
      </c>
      <c r="S10" s="45" t="str">
        <f t="shared" si="16"/>
        <v/>
      </c>
      <c r="T10" s="45" t="str">
        <f t="shared" si="16"/>
        <v/>
      </c>
      <c r="U10" s="45" t="str">
        <f t="shared" si="16"/>
        <v/>
      </c>
      <c r="V10" s="45" t="str">
        <f t="shared" si="16"/>
        <v/>
      </c>
      <c r="W10" s="45" t="str">
        <f t="shared" si="16"/>
        <v/>
      </c>
      <c r="X10" s="45" t="str">
        <f t="shared" si="16"/>
        <v/>
      </c>
      <c r="Y10" s="45" t="str">
        <f t="shared" si="16"/>
        <v/>
      </c>
      <c r="Z10" s="45" t="str">
        <f t="shared" si="16"/>
        <v/>
      </c>
      <c r="AA10" s="45" t="str">
        <f t="shared" si="16"/>
        <v/>
      </c>
      <c r="AB10" s="45" t="str">
        <f t="shared" si="16"/>
        <v/>
      </c>
      <c r="AC10" s="45" t="str">
        <f t="shared" si="16"/>
        <v/>
      </c>
      <c r="AD10" s="45" t="str">
        <f t="shared" si="16"/>
        <v/>
      </c>
      <c r="AE10" s="45" t="str">
        <f t="shared" si="16"/>
        <v/>
      </c>
      <c r="AF10" s="45" t="str">
        <f t="shared" si="16"/>
        <v/>
      </c>
      <c r="AG10" s="45" t="str">
        <f t="shared" si="16"/>
        <v/>
      </c>
      <c r="AH10" s="45" t="str">
        <f t="shared" si="16"/>
        <v/>
      </c>
      <c r="AI10" s="45" t="str">
        <f t="shared" si="16"/>
        <v/>
      </c>
      <c r="AJ10" s="45" t="str">
        <f t="shared" si="16"/>
        <v/>
      </c>
      <c r="AK10" s="45" t="str">
        <f t="shared" si="16"/>
        <v/>
      </c>
      <c r="AL10" s="45" t="str">
        <f t="shared" si="16"/>
        <v/>
      </c>
      <c r="AM10" s="45" t="str">
        <f t="shared" si="16"/>
        <v/>
      </c>
      <c r="AN10" s="45" t="str">
        <f t="shared" si="16"/>
        <v/>
      </c>
      <c r="AO10" s="45" t="str">
        <f t="shared" si="16"/>
        <v/>
      </c>
      <c r="AP10" s="45" t="str">
        <f t="shared" si="16"/>
        <v/>
      </c>
      <c r="AQ10" s="45" t="str">
        <f t="shared" si="16"/>
        <v/>
      </c>
      <c r="AR10" s="45" t="str">
        <f t="shared" si="16"/>
        <v/>
      </c>
      <c r="AS10" s="45" t="str">
        <f t="shared" si="16"/>
        <v/>
      </c>
      <c r="AT10" s="45" t="str">
        <f t="shared" si="16"/>
        <v/>
      </c>
      <c r="AU10" s="45" t="str">
        <f t="shared" si="16"/>
        <v/>
      </c>
      <c r="AV10" s="45" t="str">
        <f t="shared" si="16"/>
        <v/>
      </c>
      <c r="AW10" s="45" t="str">
        <f t="shared" si="16"/>
        <v/>
      </c>
      <c r="AX10" s="45" t="str">
        <f t="shared" ref="AX10:CC10" si="17">IF(COUNTIFS($E$11:$E$12,"&lt;&gt;",$D$11:$D$12,"A",AX$11:AX$12,"&lt;&gt;")=0,"",IFERROR(SUMPRODUCT(--($E$11:$E$12&lt;&gt;""),--($D$11:$D$12="A"),$O$11:$O$12,AX$11:AX$12)/SUMPRODUCT(--($E$11:$E$12&lt;&gt;""),--($D$11:$D$12="A"),$O$11:$O$12),""))</f>
        <v/>
      </c>
      <c r="AY10" s="45" t="str">
        <f t="shared" si="17"/>
        <v/>
      </c>
      <c r="AZ10" s="45" t="str">
        <f t="shared" si="17"/>
        <v/>
      </c>
      <c r="BA10" s="45" t="str">
        <f t="shared" si="17"/>
        <v/>
      </c>
      <c r="BB10" s="45" t="str">
        <f t="shared" si="17"/>
        <v/>
      </c>
      <c r="BC10" s="45" t="str">
        <f t="shared" si="17"/>
        <v/>
      </c>
      <c r="BD10" s="45" t="str">
        <f t="shared" si="17"/>
        <v/>
      </c>
      <c r="BE10" s="45" t="str">
        <f t="shared" si="17"/>
        <v/>
      </c>
      <c r="BF10" s="45" t="str">
        <f t="shared" si="17"/>
        <v/>
      </c>
      <c r="BG10" s="45" t="str">
        <f t="shared" si="17"/>
        <v/>
      </c>
      <c r="BH10" s="45" t="str">
        <f t="shared" si="17"/>
        <v/>
      </c>
      <c r="BI10" s="45" t="str">
        <f t="shared" si="17"/>
        <v/>
      </c>
      <c r="BJ10" s="45" t="str">
        <f t="shared" si="17"/>
        <v/>
      </c>
      <c r="BK10" s="45" t="str">
        <f t="shared" si="17"/>
        <v/>
      </c>
      <c r="BL10" s="45" t="str">
        <f t="shared" si="17"/>
        <v/>
      </c>
      <c r="BM10" s="45" t="str">
        <f t="shared" si="17"/>
        <v/>
      </c>
      <c r="BN10" s="45" t="str">
        <f t="shared" si="17"/>
        <v/>
      </c>
      <c r="BO10" s="45" t="str">
        <f t="shared" si="17"/>
        <v/>
      </c>
      <c r="BP10" s="45" t="str">
        <f t="shared" si="17"/>
        <v/>
      </c>
      <c r="BQ10" s="45" t="str">
        <f t="shared" si="17"/>
        <v/>
      </c>
      <c r="BR10" s="45" t="str">
        <f t="shared" si="17"/>
        <v/>
      </c>
      <c r="BS10" s="45" t="str">
        <f t="shared" si="17"/>
        <v/>
      </c>
      <c r="BT10" s="45" t="str">
        <f t="shared" si="17"/>
        <v/>
      </c>
      <c r="BU10" s="45" t="str">
        <f t="shared" si="17"/>
        <v/>
      </c>
      <c r="BV10" s="45" t="str">
        <f t="shared" si="17"/>
        <v/>
      </c>
      <c r="BW10" s="45" t="str">
        <f t="shared" si="17"/>
        <v/>
      </c>
      <c r="BX10" s="45" t="str">
        <f t="shared" si="17"/>
        <v/>
      </c>
      <c r="BY10" s="45" t="str">
        <f t="shared" si="17"/>
        <v/>
      </c>
      <c r="BZ10" s="45" t="str">
        <f t="shared" si="17"/>
        <v/>
      </c>
      <c r="CA10" s="45" t="str">
        <f t="shared" si="17"/>
        <v/>
      </c>
      <c r="CB10" s="45" t="str">
        <f t="shared" si="17"/>
        <v/>
      </c>
      <c r="CC10" s="45" t="str">
        <f t="shared" si="17"/>
        <v/>
      </c>
      <c r="CD10" s="45" t="str">
        <f t="shared" ref="CD10:CO10" si="18">IF(COUNTIFS($E$11:$E$12,"&lt;&gt;",$D$11:$D$12,"A",CD$11:CD$12,"&lt;&gt;")=0,"",IFERROR(SUMPRODUCT(--($E$11:$E$12&lt;&gt;""),--($D$11:$D$12="A"),$O$11:$O$12,CD$11:CD$12)/SUMPRODUCT(--($E$11:$E$12&lt;&gt;""),--($D$11:$D$12="A"),$O$11:$O$12),""))</f>
        <v/>
      </c>
      <c r="CE10" s="45" t="str">
        <f t="shared" si="18"/>
        <v/>
      </c>
      <c r="CF10" s="45" t="str">
        <f t="shared" si="18"/>
        <v/>
      </c>
      <c r="CG10" s="45" t="str">
        <f t="shared" si="18"/>
        <v/>
      </c>
      <c r="CH10" s="45" t="str">
        <f t="shared" si="18"/>
        <v/>
      </c>
      <c r="CI10" s="45" t="str">
        <f t="shared" si="18"/>
        <v/>
      </c>
      <c r="CJ10" s="45" t="str">
        <f t="shared" si="18"/>
        <v/>
      </c>
      <c r="CK10" s="45" t="str">
        <f t="shared" si="18"/>
        <v/>
      </c>
      <c r="CL10" s="45" t="str">
        <f t="shared" si="18"/>
        <v/>
      </c>
      <c r="CM10" s="45" t="str">
        <f t="shared" si="18"/>
        <v/>
      </c>
      <c r="CN10" s="45" t="str">
        <f t="shared" si="18"/>
        <v/>
      </c>
      <c r="CO10" s="45" t="str">
        <f t="shared" si="18"/>
        <v/>
      </c>
    </row>
    <row r="11" spans="1:93" outlineLevel="3" x14ac:dyDescent="0.25">
      <c r="A11" s="10" t="s">
        <v>116</v>
      </c>
      <c r="B11" s="10" t="s">
        <v>117</v>
      </c>
      <c r="C11" s="11" t="s">
        <v>118</v>
      </c>
      <c r="D11" s="12" t="s">
        <v>110</v>
      </c>
      <c r="E11" s="10" t="s">
        <v>119</v>
      </c>
      <c r="F11" s="10">
        <v>3</v>
      </c>
      <c r="G11" s="10">
        <v>3</v>
      </c>
      <c r="H11" s="10">
        <v>3</v>
      </c>
      <c r="I11" s="13">
        <v>46076.333333333343</v>
      </c>
      <c r="J11" s="13">
        <v>46136.666666666657</v>
      </c>
      <c r="K11" s="13"/>
      <c r="L11" s="13"/>
      <c r="M11" s="14">
        <f t="shared" si="0"/>
        <v>0.99999999999999989</v>
      </c>
      <c r="N11" s="14"/>
      <c r="O11" s="16">
        <v>100000</v>
      </c>
      <c r="P11" s="15"/>
      <c r="Q11" s="16"/>
      <c r="R11" s="47"/>
      <c r="S11" s="47"/>
      <c r="T11" s="47"/>
      <c r="U11" s="47"/>
      <c r="V11" s="47"/>
      <c r="W11" s="47">
        <v>0.15151515151515149</v>
      </c>
      <c r="X11" s="47">
        <v>0.1885521885521885</v>
      </c>
      <c r="Y11" s="47">
        <v>0.16498316498316501</v>
      </c>
      <c r="Z11" s="47">
        <v>0.14141414141414141</v>
      </c>
      <c r="AA11" s="47">
        <v>0.11784511784511779</v>
      </c>
      <c r="AB11" s="47">
        <v>9.4276094276094263E-2</v>
      </c>
      <c r="AC11" s="47">
        <v>7.0707070707070691E-2</v>
      </c>
      <c r="AD11" s="47">
        <v>4.7138047138047132E-2</v>
      </c>
      <c r="AE11" s="47">
        <v>2.3569023569023569E-2</v>
      </c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</row>
    <row r="12" spans="1:93" outlineLevel="3" x14ac:dyDescent="0.25">
      <c r="A12" s="17"/>
      <c r="B12" s="17"/>
      <c r="C12" s="18"/>
      <c r="D12" s="19" t="s">
        <v>111</v>
      </c>
      <c r="E12" s="17" t="s">
        <v>119</v>
      </c>
      <c r="F12" s="17"/>
      <c r="G12" s="17"/>
      <c r="H12" s="17"/>
      <c r="I12" s="20"/>
      <c r="J12" s="20"/>
      <c r="K12" s="20"/>
      <c r="L12" s="20"/>
      <c r="M12" s="21" t="str">
        <f t="shared" si="0"/>
        <v/>
      </c>
      <c r="N12" s="21">
        <v>0</v>
      </c>
      <c r="O12" s="48">
        <f>O11</f>
        <v>100000</v>
      </c>
      <c r="P12" s="22"/>
      <c r="Q12" s="23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</row>
    <row r="13" spans="1:93" outlineLevel="2" x14ac:dyDescent="0.25">
      <c r="A13" s="1" t="s">
        <v>92</v>
      </c>
      <c r="B13" s="1" t="s">
        <v>120</v>
      </c>
      <c r="C13" s="6" t="s">
        <v>121</v>
      </c>
      <c r="D13" s="8" t="s">
        <v>110</v>
      </c>
      <c r="E13" s="1"/>
      <c r="F13" s="1">
        <v>4</v>
      </c>
      <c r="G13" s="1">
        <v>4</v>
      </c>
      <c r="H13" s="1">
        <v>2</v>
      </c>
      <c r="I13" s="9">
        <v>46129.333333333343</v>
      </c>
      <c r="J13" s="9">
        <v>46247.666666666657</v>
      </c>
      <c r="K13" s="9"/>
      <c r="L13" s="9"/>
      <c r="M13" s="3">
        <f t="shared" si="0"/>
        <v>1.0000000000000004</v>
      </c>
      <c r="N13" s="3"/>
      <c r="O13" s="5">
        <f>SUMIFS($O$14:$O$25,$A$14:$A$25,"Activity",$D$14:$D$25,"P")</f>
        <v>600000</v>
      </c>
      <c r="P13" s="4"/>
      <c r="Q13" s="5"/>
      <c r="R13" s="45" t="str">
        <f t="shared" ref="R13:AW13" si="19">IF(COUNTIFS($A$15:$A$26,"Activity",$D$15:$D$26,"P",R$15:R$26,"&lt;&gt;")=0,"",IFERROR(SUMPRODUCT(--($A$15:$A$26="Activity"),--($D$15:$D$26="P"),$O$15:$O$26,R$15:R$26)/SUMPRODUCT(--($A$15:$A$26="Activity"),--($D$15:$D$26="P"),$O$15:$O$26),""))</f>
        <v/>
      </c>
      <c r="S13" s="45" t="str">
        <f t="shared" si="19"/>
        <v/>
      </c>
      <c r="T13" s="45" t="str">
        <f t="shared" si="19"/>
        <v/>
      </c>
      <c r="U13" s="45" t="str">
        <f t="shared" si="19"/>
        <v/>
      </c>
      <c r="V13" s="45" t="str">
        <f t="shared" si="19"/>
        <v/>
      </c>
      <c r="W13" s="45" t="str">
        <f t="shared" si="19"/>
        <v/>
      </c>
      <c r="X13" s="45" t="str">
        <f t="shared" si="19"/>
        <v/>
      </c>
      <c r="Y13" s="45" t="str">
        <f t="shared" si="19"/>
        <v/>
      </c>
      <c r="Z13" s="45" t="str">
        <f t="shared" si="19"/>
        <v/>
      </c>
      <c r="AA13" s="45" t="str">
        <f t="shared" si="19"/>
        <v/>
      </c>
      <c r="AB13" s="45" t="str">
        <f t="shared" si="19"/>
        <v/>
      </c>
      <c r="AC13" s="45" t="str">
        <f t="shared" si="19"/>
        <v/>
      </c>
      <c r="AD13" s="45">
        <f t="shared" si="19"/>
        <v>7.9365079365079378E-3</v>
      </c>
      <c r="AE13" s="45">
        <f t="shared" si="19"/>
        <v>5.5555555555555546E-2</v>
      </c>
      <c r="AF13" s="45">
        <f t="shared" si="19"/>
        <v>5.5555555555555546E-2</v>
      </c>
      <c r="AG13" s="45">
        <f t="shared" si="19"/>
        <v>6.3492063492063516E-2</v>
      </c>
      <c r="AH13" s="45">
        <f t="shared" si="19"/>
        <v>0.11111111111111109</v>
      </c>
      <c r="AI13" s="45">
        <f t="shared" si="19"/>
        <v>0.11111111111111109</v>
      </c>
      <c r="AJ13" s="45">
        <f t="shared" si="19"/>
        <v>0.10317460317460321</v>
      </c>
      <c r="AK13" s="45">
        <f t="shared" si="19"/>
        <v>5.5555555555555546E-2</v>
      </c>
      <c r="AL13" s="45">
        <f t="shared" si="19"/>
        <v>5.5555555555555546E-2</v>
      </c>
      <c r="AM13" s="45">
        <f t="shared" si="19"/>
        <v>5.3571428571428589E-2</v>
      </c>
      <c r="AN13" s="45">
        <f t="shared" si="19"/>
        <v>4.1666666666666685E-2</v>
      </c>
      <c r="AO13" s="45">
        <f t="shared" si="19"/>
        <v>4.1666666666666685E-2</v>
      </c>
      <c r="AP13" s="45">
        <f t="shared" si="19"/>
        <v>4.1666666666666685E-2</v>
      </c>
      <c r="AQ13" s="45">
        <f t="shared" si="19"/>
        <v>4.1666666666666657E-2</v>
      </c>
      <c r="AR13" s="45">
        <f t="shared" si="19"/>
        <v>4.1666666666666685E-2</v>
      </c>
      <c r="AS13" s="45">
        <f t="shared" si="19"/>
        <v>4.1666666666666685E-2</v>
      </c>
      <c r="AT13" s="45">
        <f t="shared" si="19"/>
        <v>4.1666666666666685E-2</v>
      </c>
      <c r="AU13" s="45">
        <f t="shared" si="19"/>
        <v>3.5714285714285698E-2</v>
      </c>
      <c r="AV13" s="45" t="str">
        <f t="shared" si="19"/>
        <v/>
      </c>
      <c r="AW13" s="45" t="str">
        <f t="shared" si="19"/>
        <v/>
      </c>
      <c r="AX13" s="45" t="str">
        <f t="shared" ref="AX13:CC13" si="20">IF(COUNTIFS($A$15:$A$26,"Activity",$D$15:$D$26,"P",AX$15:AX$26,"&lt;&gt;")=0,"",IFERROR(SUMPRODUCT(--($A$15:$A$26="Activity"),--($D$15:$D$26="P"),$O$15:$O$26,AX$15:AX$26)/SUMPRODUCT(--($A$15:$A$26="Activity"),--($D$15:$D$26="P"),$O$15:$O$26),""))</f>
        <v/>
      </c>
      <c r="AY13" s="45" t="str">
        <f t="shared" si="20"/>
        <v/>
      </c>
      <c r="AZ13" s="45" t="str">
        <f t="shared" si="20"/>
        <v/>
      </c>
      <c r="BA13" s="45" t="str">
        <f t="shared" si="20"/>
        <v/>
      </c>
      <c r="BB13" s="45" t="str">
        <f t="shared" si="20"/>
        <v/>
      </c>
      <c r="BC13" s="45" t="str">
        <f t="shared" si="20"/>
        <v/>
      </c>
      <c r="BD13" s="45" t="str">
        <f t="shared" si="20"/>
        <v/>
      </c>
      <c r="BE13" s="45" t="str">
        <f t="shared" si="20"/>
        <v/>
      </c>
      <c r="BF13" s="45" t="str">
        <f t="shared" si="20"/>
        <v/>
      </c>
      <c r="BG13" s="45" t="str">
        <f t="shared" si="20"/>
        <v/>
      </c>
      <c r="BH13" s="45" t="str">
        <f t="shared" si="20"/>
        <v/>
      </c>
      <c r="BI13" s="45" t="str">
        <f t="shared" si="20"/>
        <v/>
      </c>
      <c r="BJ13" s="45" t="str">
        <f t="shared" si="20"/>
        <v/>
      </c>
      <c r="BK13" s="45" t="str">
        <f t="shared" si="20"/>
        <v/>
      </c>
      <c r="BL13" s="45" t="str">
        <f t="shared" si="20"/>
        <v/>
      </c>
      <c r="BM13" s="45" t="str">
        <f t="shared" si="20"/>
        <v/>
      </c>
      <c r="BN13" s="45" t="str">
        <f t="shared" si="20"/>
        <v/>
      </c>
      <c r="BO13" s="45" t="str">
        <f t="shared" si="20"/>
        <v/>
      </c>
      <c r="BP13" s="45" t="str">
        <f t="shared" si="20"/>
        <v/>
      </c>
      <c r="BQ13" s="45" t="str">
        <f t="shared" si="20"/>
        <v/>
      </c>
      <c r="BR13" s="45" t="str">
        <f t="shared" si="20"/>
        <v/>
      </c>
      <c r="BS13" s="45" t="str">
        <f t="shared" si="20"/>
        <v/>
      </c>
      <c r="BT13" s="45" t="str">
        <f t="shared" si="20"/>
        <v/>
      </c>
      <c r="BU13" s="45" t="str">
        <f t="shared" si="20"/>
        <v/>
      </c>
      <c r="BV13" s="45" t="str">
        <f t="shared" si="20"/>
        <v/>
      </c>
      <c r="BW13" s="45" t="str">
        <f t="shared" si="20"/>
        <v/>
      </c>
      <c r="BX13" s="45" t="str">
        <f t="shared" si="20"/>
        <v/>
      </c>
      <c r="BY13" s="45" t="str">
        <f t="shared" si="20"/>
        <v/>
      </c>
      <c r="BZ13" s="45" t="str">
        <f t="shared" si="20"/>
        <v/>
      </c>
      <c r="CA13" s="45" t="str">
        <f t="shared" si="20"/>
        <v/>
      </c>
      <c r="CB13" s="45" t="str">
        <f t="shared" si="20"/>
        <v/>
      </c>
      <c r="CC13" s="45" t="str">
        <f t="shared" si="20"/>
        <v/>
      </c>
      <c r="CD13" s="45" t="str">
        <f t="shared" ref="CD13:CO13" si="21">IF(COUNTIFS($A$15:$A$26,"Activity",$D$15:$D$26,"P",CD$15:CD$26,"&lt;&gt;")=0,"",IFERROR(SUMPRODUCT(--($A$15:$A$26="Activity"),--($D$15:$D$26="P"),$O$15:$O$26,CD$15:CD$26)/SUMPRODUCT(--($A$15:$A$26="Activity"),--($D$15:$D$26="P"),$O$15:$O$26),""))</f>
        <v/>
      </c>
      <c r="CE13" s="45" t="str">
        <f t="shared" si="21"/>
        <v/>
      </c>
      <c r="CF13" s="45" t="str">
        <f t="shared" si="21"/>
        <v/>
      </c>
      <c r="CG13" s="45" t="str">
        <f t="shared" si="21"/>
        <v/>
      </c>
      <c r="CH13" s="45" t="str">
        <f t="shared" si="21"/>
        <v/>
      </c>
      <c r="CI13" s="45" t="str">
        <f t="shared" si="21"/>
        <v/>
      </c>
      <c r="CJ13" s="45" t="str">
        <f t="shared" si="21"/>
        <v/>
      </c>
      <c r="CK13" s="45" t="str">
        <f t="shared" si="21"/>
        <v/>
      </c>
      <c r="CL13" s="45" t="str">
        <f t="shared" si="21"/>
        <v/>
      </c>
      <c r="CM13" s="45" t="str">
        <f t="shared" si="21"/>
        <v/>
      </c>
      <c r="CN13" s="45" t="str">
        <f t="shared" si="21"/>
        <v/>
      </c>
      <c r="CO13" s="45" t="str">
        <f t="shared" si="21"/>
        <v/>
      </c>
    </row>
    <row r="14" spans="1:93" outlineLevel="2" x14ac:dyDescent="0.25">
      <c r="A14" s="1"/>
      <c r="B14" s="1"/>
      <c r="C14" s="6"/>
      <c r="D14" s="8" t="s">
        <v>111</v>
      </c>
      <c r="E14" s="1"/>
      <c r="F14" s="1"/>
      <c r="G14" s="1"/>
      <c r="H14" s="1"/>
      <c r="I14" s="9"/>
      <c r="J14" s="9"/>
      <c r="K14" s="9"/>
      <c r="L14" s="9"/>
      <c r="M14" s="3" t="str">
        <f t="shared" si="0"/>
        <v/>
      </c>
      <c r="N14" s="3"/>
      <c r="O14" s="46">
        <f>O13</f>
        <v>600000</v>
      </c>
      <c r="P14" s="4"/>
      <c r="Q14" s="5"/>
      <c r="R14" s="45" t="str">
        <f t="shared" ref="R14:AW14" si="22">IF(COUNTIFS($E$15:$E$26,"&lt;&gt;",$D$15:$D$26,"A",R$15:R$26,"&lt;&gt;")=0,"",IFERROR(SUMPRODUCT(--($E$15:$E$26&lt;&gt;""),--($D$15:$D$26="A"),$O$15:$O$26,R$15:R$26)/SUMPRODUCT(--($E$15:$E$26&lt;&gt;""),--($D$15:$D$26="A"),$O$15:$O$26),""))</f>
        <v/>
      </c>
      <c r="S14" s="45" t="str">
        <f t="shared" si="22"/>
        <v/>
      </c>
      <c r="T14" s="45" t="str">
        <f t="shared" si="22"/>
        <v/>
      </c>
      <c r="U14" s="45" t="str">
        <f t="shared" si="22"/>
        <v/>
      </c>
      <c r="V14" s="45" t="str">
        <f t="shared" si="22"/>
        <v/>
      </c>
      <c r="W14" s="45" t="str">
        <f t="shared" si="22"/>
        <v/>
      </c>
      <c r="X14" s="45" t="str">
        <f t="shared" si="22"/>
        <v/>
      </c>
      <c r="Y14" s="45" t="str">
        <f t="shared" si="22"/>
        <v/>
      </c>
      <c r="Z14" s="45" t="str">
        <f t="shared" si="22"/>
        <v/>
      </c>
      <c r="AA14" s="45" t="str">
        <f t="shared" si="22"/>
        <v/>
      </c>
      <c r="AB14" s="45" t="str">
        <f t="shared" si="22"/>
        <v/>
      </c>
      <c r="AC14" s="45" t="str">
        <f t="shared" si="22"/>
        <v/>
      </c>
      <c r="AD14" s="45" t="str">
        <f t="shared" si="22"/>
        <v/>
      </c>
      <c r="AE14" s="45" t="str">
        <f t="shared" si="22"/>
        <v/>
      </c>
      <c r="AF14" s="45" t="str">
        <f t="shared" si="22"/>
        <v/>
      </c>
      <c r="AG14" s="45" t="str">
        <f t="shared" si="22"/>
        <v/>
      </c>
      <c r="AH14" s="45" t="str">
        <f t="shared" si="22"/>
        <v/>
      </c>
      <c r="AI14" s="45" t="str">
        <f t="shared" si="22"/>
        <v/>
      </c>
      <c r="AJ14" s="45" t="str">
        <f t="shared" si="22"/>
        <v/>
      </c>
      <c r="AK14" s="45" t="str">
        <f t="shared" si="22"/>
        <v/>
      </c>
      <c r="AL14" s="45" t="str">
        <f t="shared" si="22"/>
        <v/>
      </c>
      <c r="AM14" s="45" t="str">
        <f t="shared" si="22"/>
        <v/>
      </c>
      <c r="AN14" s="45" t="str">
        <f t="shared" si="22"/>
        <v/>
      </c>
      <c r="AO14" s="45" t="str">
        <f t="shared" si="22"/>
        <v/>
      </c>
      <c r="AP14" s="45" t="str">
        <f t="shared" si="22"/>
        <v/>
      </c>
      <c r="AQ14" s="45" t="str">
        <f t="shared" si="22"/>
        <v/>
      </c>
      <c r="AR14" s="45" t="str">
        <f t="shared" si="22"/>
        <v/>
      </c>
      <c r="AS14" s="45" t="str">
        <f t="shared" si="22"/>
        <v/>
      </c>
      <c r="AT14" s="45" t="str">
        <f t="shared" si="22"/>
        <v/>
      </c>
      <c r="AU14" s="45" t="str">
        <f t="shared" si="22"/>
        <v/>
      </c>
      <c r="AV14" s="45" t="str">
        <f t="shared" si="22"/>
        <v/>
      </c>
      <c r="AW14" s="45" t="str">
        <f t="shared" si="22"/>
        <v/>
      </c>
      <c r="AX14" s="45" t="str">
        <f t="shared" ref="AX14:CC14" si="23">IF(COUNTIFS($E$15:$E$26,"&lt;&gt;",$D$15:$D$26,"A",AX$15:AX$26,"&lt;&gt;")=0,"",IFERROR(SUMPRODUCT(--($E$15:$E$26&lt;&gt;""),--($D$15:$D$26="A"),$O$15:$O$26,AX$15:AX$26)/SUMPRODUCT(--($E$15:$E$26&lt;&gt;""),--($D$15:$D$26="A"),$O$15:$O$26),""))</f>
        <v/>
      </c>
      <c r="AY14" s="45" t="str">
        <f t="shared" si="23"/>
        <v/>
      </c>
      <c r="AZ14" s="45" t="str">
        <f t="shared" si="23"/>
        <v/>
      </c>
      <c r="BA14" s="45" t="str">
        <f t="shared" si="23"/>
        <v/>
      </c>
      <c r="BB14" s="45" t="str">
        <f t="shared" si="23"/>
        <v/>
      </c>
      <c r="BC14" s="45" t="str">
        <f t="shared" si="23"/>
        <v/>
      </c>
      <c r="BD14" s="45" t="str">
        <f t="shared" si="23"/>
        <v/>
      </c>
      <c r="BE14" s="45" t="str">
        <f t="shared" si="23"/>
        <v/>
      </c>
      <c r="BF14" s="45" t="str">
        <f t="shared" si="23"/>
        <v/>
      </c>
      <c r="BG14" s="45" t="str">
        <f t="shared" si="23"/>
        <v/>
      </c>
      <c r="BH14" s="45" t="str">
        <f t="shared" si="23"/>
        <v/>
      </c>
      <c r="BI14" s="45" t="str">
        <f t="shared" si="23"/>
        <v/>
      </c>
      <c r="BJ14" s="45" t="str">
        <f t="shared" si="23"/>
        <v/>
      </c>
      <c r="BK14" s="45" t="str">
        <f t="shared" si="23"/>
        <v/>
      </c>
      <c r="BL14" s="45" t="str">
        <f t="shared" si="23"/>
        <v/>
      </c>
      <c r="BM14" s="45" t="str">
        <f t="shared" si="23"/>
        <v/>
      </c>
      <c r="BN14" s="45" t="str">
        <f t="shared" si="23"/>
        <v/>
      </c>
      <c r="BO14" s="45" t="str">
        <f t="shared" si="23"/>
        <v/>
      </c>
      <c r="BP14" s="45" t="str">
        <f t="shared" si="23"/>
        <v/>
      </c>
      <c r="BQ14" s="45" t="str">
        <f t="shared" si="23"/>
        <v/>
      </c>
      <c r="BR14" s="45" t="str">
        <f t="shared" si="23"/>
        <v/>
      </c>
      <c r="BS14" s="45" t="str">
        <f t="shared" si="23"/>
        <v/>
      </c>
      <c r="BT14" s="45" t="str">
        <f t="shared" si="23"/>
        <v/>
      </c>
      <c r="BU14" s="45" t="str">
        <f t="shared" si="23"/>
        <v/>
      </c>
      <c r="BV14" s="45" t="str">
        <f t="shared" si="23"/>
        <v/>
      </c>
      <c r="BW14" s="45" t="str">
        <f t="shared" si="23"/>
        <v/>
      </c>
      <c r="BX14" s="45" t="str">
        <f t="shared" si="23"/>
        <v/>
      </c>
      <c r="BY14" s="45" t="str">
        <f t="shared" si="23"/>
        <v/>
      </c>
      <c r="BZ14" s="45" t="str">
        <f t="shared" si="23"/>
        <v/>
      </c>
      <c r="CA14" s="45" t="str">
        <f t="shared" si="23"/>
        <v/>
      </c>
      <c r="CB14" s="45" t="str">
        <f t="shared" si="23"/>
        <v/>
      </c>
      <c r="CC14" s="45" t="str">
        <f t="shared" si="23"/>
        <v/>
      </c>
      <c r="CD14" s="45" t="str">
        <f t="shared" ref="CD14:CO14" si="24">IF(COUNTIFS($E$15:$E$26,"&lt;&gt;",$D$15:$D$26,"A",CD$15:CD$26,"&lt;&gt;")=0,"",IFERROR(SUMPRODUCT(--($E$15:$E$26&lt;&gt;""),--($D$15:$D$26="A"),$O$15:$O$26,CD$15:CD$26)/SUMPRODUCT(--($E$15:$E$26&lt;&gt;""),--($D$15:$D$26="A"),$O$15:$O$26),""))</f>
        <v/>
      </c>
      <c r="CE14" s="45" t="str">
        <f t="shared" si="24"/>
        <v/>
      </c>
      <c r="CF14" s="45" t="str">
        <f t="shared" si="24"/>
        <v/>
      </c>
      <c r="CG14" s="45" t="str">
        <f t="shared" si="24"/>
        <v/>
      </c>
      <c r="CH14" s="45" t="str">
        <f t="shared" si="24"/>
        <v/>
      </c>
      <c r="CI14" s="45" t="str">
        <f t="shared" si="24"/>
        <v/>
      </c>
      <c r="CJ14" s="45" t="str">
        <f t="shared" si="24"/>
        <v/>
      </c>
      <c r="CK14" s="45" t="str">
        <f t="shared" si="24"/>
        <v/>
      </c>
      <c r="CL14" s="45" t="str">
        <f t="shared" si="24"/>
        <v/>
      </c>
      <c r="CM14" s="45" t="str">
        <f t="shared" si="24"/>
        <v/>
      </c>
      <c r="CN14" s="45" t="str">
        <f t="shared" si="24"/>
        <v/>
      </c>
      <c r="CO14" s="45" t="str">
        <f t="shared" si="24"/>
        <v/>
      </c>
    </row>
    <row r="15" spans="1:93" outlineLevel="3" x14ac:dyDescent="0.25">
      <c r="A15" s="10" t="s">
        <v>116</v>
      </c>
      <c r="B15" s="10" t="s">
        <v>122</v>
      </c>
      <c r="C15" s="11" t="s">
        <v>123</v>
      </c>
      <c r="D15" s="12" t="s">
        <v>110</v>
      </c>
      <c r="E15" s="10" t="s">
        <v>124</v>
      </c>
      <c r="F15" s="10">
        <v>5</v>
      </c>
      <c r="G15" s="10">
        <v>5</v>
      </c>
      <c r="H15" s="10">
        <v>3</v>
      </c>
      <c r="I15" s="13">
        <v>46150.333333333343</v>
      </c>
      <c r="J15" s="13">
        <v>46170.666666666657</v>
      </c>
      <c r="K15" s="13"/>
      <c r="L15" s="13"/>
      <c r="M15" s="14">
        <f t="shared" si="0"/>
        <v>1</v>
      </c>
      <c r="N15" s="14"/>
      <c r="O15" s="16">
        <v>100000</v>
      </c>
      <c r="P15" s="15">
        <v>34.93333333333333</v>
      </c>
      <c r="Q15" s="16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>
        <v>4.7619047619047623E-2</v>
      </c>
      <c r="AH15" s="47">
        <v>0.33333333333333331</v>
      </c>
      <c r="AI15" s="47">
        <v>0.33333333333333331</v>
      </c>
      <c r="AJ15" s="47">
        <v>0.28571428571428581</v>
      </c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</row>
    <row r="16" spans="1:93" outlineLevel="3" x14ac:dyDescent="0.25">
      <c r="A16" s="17"/>
      <c r="B16" s="17"/>
      <c r="C16" s="18"/>
      <c r="D16" s="19" t="s">
        <v>111</v>
      </c>
      <c r="E16" s="17" t="s">
        <v>124</v>
      </c>
      <c r="F16" s="17"/>
      <c r="G16" s="17"/>
      <c r="H16" s="17"/>
      <c r="I16" s="20"/>
      <c r="J16" s="20"/>
      <c r="K16" s="20"/>
      <c r="L16" s="20"/>
      <c r="M16" s="21" t="str">
        <f t="shared" si="0"/>
        <v/>
      </c>
      <c r="N16" s="21">
        <v>0</v>
      </c>
      <c r="O16" s="48">
        <f>O15</f>
        <v>100000</v>
      </c>
      <c r="P16" s="22"/>
      <c r="Q16" s="23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</row>
    <row r="17" spans="1:93" outlineLevel="3" x14ac:dyDescent="0.25">
      <c r="A17" s="10" t="s">
        <v>116</v>
      </c>
      <c r="B17" s="10" t="s">
        <v>125</v>
      </c>
      <c r="C17" s="11" t="s">
        <v>126</v>
      </c>
      <c r="D17" s="12" t="s">
        <v>110</v>
      </c>
      <c r="E17" s="10" t="s">
        <v>127</v>
      </c>
      <c r="F17" s="10">
        <v>6</v>
      </c>
      <c r="G17" s="10">
        <v>6</v>
      </c>
      <c r="H17" s="10">
        <v>3</v>
      </c>
      <c r="I17" s="13">
        <v>46129.333333333343</v>
      </c>
      <c r="J17" s="13">
        <v>46149.666666666657</v>
      </c>
      <c r="K17" s="13"/>
      <c r="L17" s="13"/>
      <c r="M17" s="14">
        <f t="shared" si="0"/>
        <v>1</v>
      </c>
      <c r="N17" s="14"/>
      <c r="O17" s="16">
        <v>100000</v>
      </c>
      <c r="P17" s="15">
        <v>0</v>
      </c>
      <c r="Q17" s="16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>
        <v>4.7619047619047623E-2</v>
      </c>
      <c r="AE17" s="47">
        <v>0.33333333333333331</v>
      </c>
      <c r="AF17" s="47">
        <v>0.33333333333333331</v>
      </c>
      <c r="AG17" s="47">
        <v>0.28571428571428581</v>
      </c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</row>
    <row r="18" spans="1:93" outlineLevel="3" x14ac:dyDescent="0.25">
      <c r="A18" s="17"/>
      <c r="B18" s="17"/>
      <c r="C18" s="18"/>
      <c r="D18" s="19" t="s">
        <v>111</v>
      </c>
      <c r="E18" s="17" t="s">
        <v>127</v>
      </c>
      <c r="F18" s="17"/>
      <c r="G18" s="17"/>
      <c r="H18" s="17"/>
      <c r="I18" s="20"/>
      <c r="J18" s="20"/>
      <c r="K18" s="20"/>
      <c r="L18" s="20"/>
      <c r="M18" s="21" t="str">
        <f t="shared" si="0"/>
        <v/>
      </c>
      <c r="N18" s="21">
        <v>0</v>
      </c>
      <c r="O18" s="48">
        <f>O17</f>
        <v>100000</v>
      </c>
      <c r="P18" s="22"/>
      <c r="Q18" s="23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</row>
    <row r="19" spans="1:93" outlineLevel="3" x14ac:dyDescent="0.25">
      <c r="A19" s="10" t="s">
        <v>116</v>
      </c>
      <c r="B19" s="10" t="s">
        <v>128</v>
      </c>
      <c r="C19" s="11" t="s">
        <v>129</v>
      </c>
      <c r="D19" s="12" t="s">
        <v>110</v>
      </c>
      <c r="E19" s="10" t="s">
        <v>130</v>
      </c>
      <c r="F19" s="10">
        <v>7</v>
      </c>
      <c r="G19" s="10">
        <v>7</v>
      </c>
      <c r="H19" s="10">
        <v>3</v>
      </c>
      <c r="I19" s="13">
        <v>46150.333333333343</v>
      </c>
      <c r="J19" s="13">
        <v>46170.666666666657</v>
      </c>
      <c r="K19" s="13"/>
      <c r="L19" s="13"/>
      <c r="M19" s="14">
        <f t="shared" si="0"/>
        <v>1</v>
      </c>
      <c r="N19" s="14"/>
      <c r="O19" s="16">
        <v>100000</v>
      </c>
      <c r="P19" s="15">
        <v>0</v>
      </c>
      <c r="Q19" s="16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>
        <v>4.7619047619047623E-2</v>
      </c>
      <c r="AH19" s="47">
        <v>0.33333333333333331</v>
      </c>
      <c r="AI19" s="47">
        <v>0.33333333333333331</v>
      </c>
      <c r="AJ19" s="47">
        <v>0.28571428571428581</v>
      </c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</row>
    <row r="20" spans="1:93" outlineLevel="3" x14ac:dyDescent="0.25">
      <c r="A20" s="17"/>
      <c r="B20" s="17"/>
      <c r="C20" s="18"/>
      <c r="D20" s="19" t="s">
        <v>111</v>
      </c>
      <c r="E20" s="17" t="s">
        <v>130</v>
      </c>
      <c r="F20" s="17"/>
      <c r="G20" s="17"/>
      <c r="H20" s="17"/>
      <c r="I20" s="20"/>
      <c r="J20" s="20"/>
      <c r="K20" s="20"/>
      <c r="L20" s="20"/>
      <c r="M20" s="21" t="str">
        <f t="shared" si="0"/>
        <v/>
      </c>
      <c r="N20" s="21">
        <v>0</v>
      </c>
      <c r="O20" s="48">
        <f>O19</f>
        <v>100000</v>
      </c>
      <c r="P20" s="22"/>
      <c r="Q20" s="23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</row>
    <row r="21" spans="1:93" outlineLevel="3" x14ac:dyDescent="0.25">
      <c r="A21" s="10" t="s">
        <v>116</v>
      </c>
      <c r="B21" s="10" t="s">
        <v>131</v>
      </c>
      <c r="C21" s="11" t="s">
        <v>132</v>
      </c>
      <c r="D21" s="12" t="s">
        <v>110</v>
      </c>
      <c r="E21" s="10" t="s">
        <v>133</v>
      </c>
      <c r="F21" s="10">
        <v>8</v>
      </c>
      <c r="G21" s="10">
        <v>8</v>
      </c>
      <c r="H21" s="10">
        <v>3</v>
      </c>
      <c r="I21" s="13">
        <v>46171.333333333343</v>
      </c>
      <c r="J21" s="13">
        <v>46191.666666666657</v>
      </c>
      <c r="K21" s="13"/>
      <c r="L21" s="13"/>
      <c r="M21" s="14">
        <f t="shared" si="0"/>
        <v>1</v>
      </c>
      <c r="N21" s="14"/>
      <c r="O21" s="16">
        <v>100000</v>
      </c>
      <c r="P21" s="15">
        <v>0</v>
      </c>
      <c r="Q21" s="16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>
        <v>4.7619047619047623E-2</v>
      </c>
      <c r="AK21" s="47">
        <v>0.33333333333333331</v>
      </c>
      <c r="AL21" s="47">
        <v>0.33333333333333331</v>
      </c>
      <c r="AM21" s="47">
        <v>0.28571428571428581</v>
      </c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</row>
    <row r="22" spans="1:93" outlineLevel="3" x14ac:dyDescent="0.25">
      <c r="A22" s="17"/>
      <c r="B22" s="17"/>
      <c r="C22" s="18"/>
      <c r="D22" s="19" t="s">
        <v>111</v>
      </c>
      <c r="E22" s="17" t="s">
        <v>133</v>
      </c>
      <c r="F22" s="17"/>
      <c r="G22" s="17"/>
      <c r="H22" s="17"/>
      <c r="I22" s="20"/>
      <c r="J22" s="20"/>
      <c r="K22" s="20"/>
      <c r="L22" s="20"/>
      <c r="M22" s="21" t="str">
        <f t="shared" si="0"/>
        <v/>
      </c>
      <c r="N22" s="21">
        <v>0</v>
      </c>
      <c r="O22" s="48">
        <f>O21</f>
        <v>100000</v>
      </c>
      <c r="P22" s="22"/>
      <c r="Q22" s="23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</row>
    <row r="23" spans="1:93" outlineLevel="3" x14ac:dyDescent="0.25">
      <c r="A23" s="10" t="s">
        <v>116</v>
      </c>
      <c r="B23" s="10" t="s">
        <v>134</v>
      </c>
      <c r="C23" s="11" t="s">
        <v>135</v>
      </c>
      <c r="D23" s="12" t="s">
        <v>110</v>
      </c>
      <c r="E23" s="10" t="s">
        <v>136</v>
      </c>
      <c r="F23" s="10">
        <v>9</v>
      </c>
      <c r="G23" s="10">
        <v>9</v>
      </c>
      <c r="H23" s="10">
        <v>3</v>
      </c>
      <c r="I23" s="13">
        <v>46192.333333333343</v>
      </c>
      <c r="J23" s="13">
        <v>46219.666666666657</v>
      </c>
      <c r="K23" s="13"/>
      <c r="L23" s="13"/>
      <c r="M23" s="14">
        <f t="shared" si="0"/>
        <v>1.0000000000000002</v>
      </c>
      <c r="N23" s="14"/>
      <c r="O23" s="16">
        <v>100000</v>
      </c>
      <c r="P23" s="15">
        <v>0</v>
      </c>
      <c r="Q23" s="16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>
        <v>3.5714285714285719E-2</v>
      </c>
      <c r="AN23" s="47">
        <v>0.25000000000000011</v>
      </c>
      <c r="AO23" s="47">
        <v>0.25000000000000011</v>
      </c>
      <c r="AP23" s="47">
        <v>0.25000000000000011</v>
      </c>
      <c r="AQ23" s="47">
        <v>0.21428571428571419</v>
      </c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</row>
    <row r="24" spans="1:93" outlineLevel="3" x14ac:dyDescent="0.25">
      <c r="A24" s="17"/>
      <c r="B24" s="17"/>
      <c r="C24" s="18"/>
      <c r="D24" s="19" t="s">
        <v>111</v>
      </c>
      <c r="E24" s="17" t="s">
        <v>136</v>
      </c>
      <c r="F24" s="17"/>
      <c r="G24" s="17"/>
      <c r="H24" s="17"/>
      <c r="I24" s="20"/>
      <c r="J24" s="20"/>
      <c r="K24" s="20"/>
      <c r="L24" s="20"/>
      <c r="M24" s="21" t="str">
        <f t="shared" si="0"/>
        <v/>
      </c>
      <c r="N24" s="21">
        <v>0</v>
      </c>
      <c r="O24" s="48">
        <f>O23</f>
        <v>100000</v>
      </c>
      <c r="P24" s="22"/>
      <c r="Q24" s="23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</row>
    <row r="25" spans="1:93" outlineLevel="3" x14ac:dyDescent="0.25">
      <c r="A25" s="10" t="s">
        <v>116</v>
      </c>
      <c r="B25" s="10" t="s">
        <v>137</v>
      </c>
      <c r="C25" s="11" t="s">
        <v>138</v>
      </c>
      <c r="D25" s="12" t="s">
        <v>110</v>
      </c>
      <c r="E25" s="10" t="s">
        <v>139</v>
      </c>
      <c r="F25" s="10">
        <v>10</v>
      </c>
      <c r="G25" s="10">
        <v>10</v>
      </c>
      <c r="H25" s="10">
        <v>3</v>
      </c>
      <c r="I25" s="13">
        <v>46220.333333333343</v>
      </c>
      <c r="J25" s="13">
        <v>46247.666666666657</v>
      </c>
      <c r="K25" s="13"/>
      <c r="L25" s="13"/>
      <c r="M25" s="14">
        <f t="shared" si="0"/>
        <v>1.0000000000000002</v>
      </c>
      <c r="N25" s="14"/>
      <c r="O25" s="16">
        <v>100000</v>
      </c>
      <c r="P25" s="15">
        <v>27.6</v>
      </c>
      <c r="Q25" s="1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>
        <v>3.5714285714285719E-2</v>
      </c>
      <c r="AR25" s="47">
        <v>0.25000000000000011</v>
      </c>
      <c r="AS25" s="47">
        <v>0.25000000000000011</v>
      </c>
      <c r="AT25" s="47">
        <v>0.25000000000000011</v>
      </c>
      <c r="AU25" s="47">
        <v>0.21428571428571419</v>
      </c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</row>
    <row r="26" spans="1:93" outlineLevel="3" x14ac:dyDescent="0.25">
      <c r="A26" s="17"/>
      <c r="B26" s="17"/>
      <c r="C26" s="18"/>
      <c r="D26" s="19" t="s">
        <v>111</v>
      </c>
      <c r="E26" s="17" t="s">
        <v>139</v>
      </c>
      <c r="F26" s="17"/>
      <c r="G26" s="17"/>
      <c r="H26" s="17"/>
      <c r="I26" s="20"/>
      <c r="J26" s="20"/>
      <c r="K26" s="20"/>
      <c r="L26" s="20"/>
      <c r="M26" s="21" t="str">
        <f t="shared" si="0"/>
        <v/>
      </c>
      <c r="N26" s="21">
        <v>0</v>
      </c>
      <c r="O26" s="48">
        <f>O25</f>
        <v>100000</v>
      </c>
      <c r="P26" s="22"/>
      <c r="Q26" s="23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</row>
    <row r="27" spans="1:93" outlineLevel="2" x14ac:dyDescent="0.25">
      <c r="A27" s="1" t="s">
        <v>92</v>
      </c>
      <c r="B27" s="1" t="s">
        <v>140</v>
      </c>
      <c r="C27" s="6" t="s">
        <v>141</v>
      </c>
      <c r="D27" s="8" t="s">
        <v>110</v>
      </c>
      <c r="E27" s="1"/>
      <c r="F27" s="1">
        <v>11</v>
      </c>
      <c r="G27" s="1">
        <v>11</v>
      </c>
      <c r="H27" s="1">
        <v>2</v>
      </c>
      <c r="I27" s="9">
        <v>46220.333333333343</v>
      </c>
      <c r="J27" s="9">
        <v>46268.666666666657</v>
      </c>
      <c r="K27" s="9"/>
      <c r="L27" s="9"/>
      <c r="M27" s="3">
        <f t="shared" si="0"/>
        <v>0.99999999999999989</v>
      </c>
      <c r="N27" s="3"/>
      <c r="O27" s="5">
        <f>SUMIFS($O$28:$O$35,$A$28:$A$35,"Activity",$D$28:$D$35,"P")</f>
        <v>400000</v>
      </c>
      <c r="P27" s="4"/>
      <c r="Q27" s="5"/>
      <c r="R27" s="45" t="str">
        <f t="shared" ref="R27:AW27" si="25">IF(COUNTIFS($A$29:$A$36,"Activity",$D$29:$D$36,"P",R$29:R$36,"&lt;&gt;")=0,"",IFERROR(SUMPRODUCT(--($A$29:$A$36="Activity"),--($D$29:$D$36="P"),$O$29:$O$36,R$29:R$36)/SUMPRODUCT(--($A$29:$A$36="Activity"),--($D$29:$D$36="P"),$O$29:$O$36),""))</f>
        <v/>
      </c>
      <c r="S27" s="45" t="str">
        <f t="shared" si="25"/>
        <v/>
      </c>
      <c r="T27" s="45" t="str">
        <f t="shared" si="25"/>
        <v/>
      </c>
      <c r="U27" s="45" t="str">
        <f t="shared" si="25"/>
        <v/>
      </c>
      <c r="V27" s="45" t="str">
        <f t="shared" si="25"/>
        <v/>
      </c>
      <c r="W27" s="45" t="str">
        <f t="shared" si="25"/>
        <v/>
      </c>
      <c r="X27" s="45" t="str">
        <f t="shared" si="25"/>
        <v/>
      </c>
      <c r="Y27" s="45" t="str">
        <f t="shared" si="25"/>
        <v/>
      </c>
      <c r="Z27" s="45" t="str">
        <f t="shared" si="25"/>
        <v/>
      </c>
      <c r="AA27" s="45" t="str">
        <f t="shared" si="25"/>
        <v/>
      </c>
      <c r="AB27" s="45" t="str">
        <f t="shared" si="25"/>
        <v/>
      </c>
      <c r="AC27" s="45" t="str">
        <f t="shared" si="25"/>
        <v/>
      </c>
      <c r="AD27" s="45" t="str">
        <f t="shared" si="25"/>
        <v/>
      </c>
      <c r="AE27" s="45" t="str">
        <f t="shared" si="25"/>
        <v/>
      </c>
      <c r="AF27" s="45" t="str">
        <f t="shared" si="25"/>
        <v/>
      </c>
      <c r="AG27" s="45" t="str">
        <f t="shared" si="25"/>
        <v/>
      </c>
      <c r="AH27" s="45" t="str">
        <f t="shared" si="25"/>
        <v/>
      </c>
      <c r="AI27" s="45" t="str">
        <f t="shared" si="25"/>
        <v/>
      </c>
      <c r="AJ27" s="45" t="str">
        <f t="shared" si="25"/>
        <v/>
      </c>
      <c r="AK27" s="45" t="str">
        <f t="shared" si="25"/>
        <v/>
      </c>
      <c r="AL27" s="45" t="str">
        <f t="shared" si="25"/>
        <v/>
      </c>
      <c r="AM27" s="45" t="str">
        <f t="shared" si="25"/>
        <v/>
      </c>
      <c r="AN27" s="45" t="str">
        <f t="shared" si="25"/>
        <v/>
      </c>
      <c r="AO27" s="45" t="str">
        <f t="shared" si="25"/>
        <v/>
      </c>
      <c r="AP27" s="45" t="str">
        <f t="shared" si="25"/>
        <v/>
      </c>
      <c r="AQ27" s="45">
        <f t="shared" si="25"/>
        <v>1.7857142857142853E-2</v>
      </c>
      <c r="AR27" s="45">
        <f t="shared" si="25"/>
        <v>0.12499999999999996</v>
      </c>
      <c r="AS27" s="45">
        <f t="shared" si="25"/>
        <v>0.125</v>
      </c>
      <c r="AT27" s="45">
        <f t="shared" si="25"/>
        <v>0.12499999999999996</v>
      </c>
      <c r="AU27" s="45">
        <f t="shared" si="25"/>
        <v>0.125</v>
      </c>
      <c r="AV27" s="45">
        <f t="shared" si="25"/>
        <v>0.12499999999999996</v>
      </c>
      <c r="AW27" s="45">
        <f t="shared" si="25"/>
        <v>0.14285714285714285</v>
      </c>
      <c r="AX27" s="45">
        <f t="shared" ref="AX27:CC27" si="26">IF(COUNTIFS($A$29:$A$36,"Activity",$D$29:$D$36,"P",AX$29:AX$36,"&lt;&gt;")=0,"",IFERROR(SUMPRODUCT(--($A$29:$A$36="Activity"),--($D$29:$D$36="P"),$O$29:$O$36,AX$29:AX$36)/SUMPRODUCT(--($A$29:$A$36="Activity"),--($D$29:$D$36="P"),$O$29:$O$36),""))</f>
        <v>0.2142857142857143</v>
      </c>
      <c r="AY27" s="45" t="str">
        <f t="shared" si="26"/>
        <v/>
      </c>
      <c r="AZ27" s="45" t="str">
        <f t="shared" si="26"/>
        <v/>
      </c>
      <c r="BA27" s="45" t="str">
        <f t="shared" si="26"/>
        <v/>
      </c>
      <c r="BB27" s="45" t="str">
        <f t="shared" si="26"/>
        <v/>
      </c>
      <c r="BC27" s="45" t="str">
        <f t="shared" si="26"/>
        <v/>
      </c>
      <c r="BD27" s="45" t="str">
        <f t="shared" si="26"/>
        <v/>
      </c>
      <c r="BE27" s="45" t="str">
        <f t="shared" si="26"/>
        <v/>
      </c>
      <c r="BF27" s="45" t="str">
        <f t="shared" si="26"/>
        <v/>
      </c>
      <c r="BG27" s="45" t="str">
        <f t="shared" si="26"/>
        <v/>
      </c>
      <c r="BH27" s="45" t="str">
        <f t="shared" si="26"/>
        <v/>
      </c>
      <c r="BI27" s="45" t="str">
        <f t="shared" si="26"/>
        <v/>
      </c>
      <c r="BJ27" s="45" t="str">
        <f t="shared" si="26"/>
        <v/>
      </c>
      <c r="BK27" s="45" t="str">
        <f t="shared" si="26"/>
        <v/>
      </c>
      <c r="BL27" s="45" t="str">
        <f t="shared" si="26"/>
        <v/>
      </c>
      <c r="BM27" s="45" t="str">
        <f t="shared" si="26"/>
        <v/>
      </c>
      <c r="BN27" s="45" t="str">
        <f t="shared" si="26"/>
        <v/>
      </c>
      <c r="BO27" s="45" t="str">
        <f t="shared" si="26"/>
        <v/>
      </c>
      <c r="BP27" s="45" t="str">
        <f t="shared" si="26"/>
        <v/>
      </c>
      <c r="BQ27" s="45" t="str">
        <f t="shared" si="26"/>
        <v/>
      </c>
      <c r="BR27" s="45" t="str">
        <f t="shared" si="26"/>
        <v/>
      </c>
      <c r="BS27" s="45" t="str">
        <f t="shared" si="26"/>
        <v/>
      </c>
      <c r="BT27" s="45" t="str">
        <f t="shared" si="26"/>
        <v/>
      </c>
      <c r="BU27" s="45" t="str">
        <f t="shared" si="26"/>
        <v/>
      </c>
      <c r="BV27" s="45" t="str">
        <f t="shared" si="26"/>
        <v/>
      </c>
      <c r="BW27" s="45" t="str">
        <f t="shared" si="26"/>
        <v/>
      </c>
      <c r="BX27" s="45" t="str">
        <f t="shared" si="26"/>
        <v/>
      </c>
      <c r="BY27" s="45" t="str">
        <f t="shared" si="26"/>
        <v/>
      </c>
      <c r="BZ27" s="45" t="str">
        <f t="shared" si="26"/>
        <v/>
      </c>
      <c r="CA27" s="45" t="str">
        <f t="shared" si="26"/>
        <v/>
      </c>
      <c r="CB27" s="45" t="str">
        <f t="shared" si="26"/>
        <v/>
      </c>
      <c r="CC27" s="45" t="str">
        <f t="shared" si="26"/>
        <v/>
      </c>
      <c r="CD27" s="45" t="str">
        <f t="shared" ref="CD27:CO27" si="27">IF(COUNTIFS($A$29:$A$36,"Activity",$D$29:$D$36,"P",CD$29:CD$36,"&lt;&gt;")=0,"",IFERROR(SUMPRODUCT(--($A$29:$A$36="Activity"),--($D$29:$D$36="P"),$O$29:$O$36,CD$29:CD$36)/SUMPRODUCT(--($A$29:$A$36="Activity"),--($D$29:$D$36="P"),$O$29:$O$36),""))</f>
        <v/>
      </c>
      <c r="CE27" s="45" t="str">
        <f t="shared" si="27"/>
        <v/>
      </c>
      <c r="CF27" s="45" t="str">
        <f t="shared" si="27"/>
        <v/>
      </c>
      <c r="CG27" s="45" t="str">
        <f t="shared" si="27"/>
        <v/>
      </c>
      <c r="CH27" s="45" t="str">
        <f t="shared" si="27"/>
        <v/>
      </c>
      <c r="CI27" s="45" t="str">
        <f t="shared" si="27"/>
        <v/>
      </c>
      <c r="CJ27" s="45" t="str">
        <f t="shared" si="27"/>
        <v/>
      </c>
      <c r="CK27" s="45" t="str">
        <f t="shared" si="27"/>
        <v/>
      </c>
      <c r="CL27" s="45" t="str">
        <f t="shared" si="27"/>
        <v/>
      </c>
      <c r="CM27" s="45" t="str">
        <f t="shared" si="27"/>
        <v/>
      </c>
      <c r="CN27" s="45" t="str">
        <f t="shared" si="27"/>
        <v/>
      </c>
      <c r="CO27" s="45" t="str">
        <f t="shared" si="27"/>
        <v/>
      </c>
    </row>
    <row r="28" spans="1:93" outlineLevel="2" x14ac:dyDescent="0.25">
      <c r="A28" s="1"/>
      <c r="B28" s="1"/>
      <c r="C28" s="6"/>
      <c r="D28" s="8" t="s">
        <v>111</v>
      </c>
      <c r="E28" s="1"/>
      <c r="F28" s="1"/>
      <c r="G28" s="1"/>
      <c r="H28" s="1"/>
      <c r="I28" s="9"/>
      <c r="J28" s="9"/>
      <c r="K28" s="9"/>
      <c r="L28" s="9"/>
      <c r="M28" s="3" t="str">
        <f t="shared" si="0"/>
        <v/>
      </c>
      <c r="N28" s="3"/>
      <c r="O28" s="46">
        <f>O27</f>
        <v>400000</v>
      </c>
      <c r="P28" s="4"/>
      <c r="Q28" s="5"/>
      <c r="R28" s="45" t="str">
        <f t="shared" ref="R28:AW28" si="28">IF(COUNTIFS($E$29:$E$36,"&lt;&gt;",$D$29:$D$36,"A",R$29:R$36,"&lt;&gt;")=0,"",IFERROR(SUMPRODUCT(--($E$29:$E$36&lt;&gt;""),--($D$29:$D$36="A"),$O$29:$O$36,R$29:R$36)/SUMPRODUCT(--($E$29:$E$36&lt;&gt;""),--($D$29:$D$36="A"),$O$29:$O$36),""))</f>
        <v/>
      </c>
      <c r="S28" s="45" t="str">
        <f t="shared" si="28"/>
        <v/>
      </c>
      <c r="T28" s="45" t="str">
        <f t="shared" si="28"/>
        <v/>
      </c>
      <c r="U28" s="45" t="str">
        <f t="shared" si="28"/>
        <v/>
      </c>
      <c r="V28" s="45" t="str">
        <f t="shared" si="28"/>
        <v/>
      </c>
      <c r="W28" s="45" t="str">
        <f t="shared" si="28"/>
        <v/>
      </c>
      <c r="X28" s="45" t="str">
        <f t="shared" si="28"/>
        <v/>
      </c>
      <c r="Y28" s="45" t="str">
        <f t="shared" si="28"/>
        <v/>
      </c>
      <c r="Z28" s="45" t="str">
        <f t="shared" si="28"/>
        <v/>
      </c>
      <c r="AA28" s="45" t="str">
        <f t="shared" si="28"/>
        <v/>
      </c>
      <c r="AB28" s="45" t="str">
        <f t="shared" si="28"/>
        <v/>
      </c>
      <c r="AC28" s="45" t="str">
        <f t="shared" si="28"/>
        <v/>
      </c>
      <c r="AD28" s="45" t="str">
        <f t="shared" si="28"/>
        <v/>
      </c>
      <c r="AE28" s="45" t="str">
        <f t="shared" si="28"/>
        <v/>
      </c>
      <c r="AF28" s="45" t="str">
        <f t="shared" si="28"/>
        <v/>
      </c>
      <c r="AG28" s="45" t="str">
        <f t="shared" si="28"/>
        <v/>
      </c>
      <c r="AH28" s="45" t="str">
        <f t="shared" si="28"/>
        <v/>
      </c>
      <c r="AI28" s="45" t="str">
        <f t="shared" si="28"/>
        <v/>
      </c>
      <c r="AJ28" s="45" t="str">
        <f t="shared" si="28"/>
        <v/>
      </c>
      <c r="AK28" s="45" t="str">
        <f t="shared" si="28"/>
        <v/>
      </c>
      <c r="AL28" s="45" t="str">
        <f t="shared" si="28"/>
        <v/>
      </c>
      <c r="AM28" s="45" t="str">
        <f t="shared" si="28"/>
        <v/>
      </c>
      <c r="AN28" s="45" t="str">
        <f t="shared" si="28"/>
        <v/>
      </c>
      <c r="AO28" s="45" t="str">
        <f t="shared" si="28"/>
        <v/>
      </c>
      <c r="AP28" s="45" t="str">
        <f t="shared" si="28"/>
        <v/>
      </c>
      <c r="AQ28" s="45" t="str">
        <f t="shared" si="28"/>
        <v/>
      </c>
      <c r="AR28" s="45" t="str">
        <f t="shared" si="28"/>
        <v/>
      </c>
      <c r="AS28" s="45" t="str">
        <f t="shared" si="28"/>
        <v/>
      </c>
      <c r="AT28" s="45" t="str">
        <f t="shared" si="28"/>
        <v/>
      </c>
      <c r="AU28" s="45" t="str">
        <f t="shared" si="28"/>
        <v/>
      </c>
      <c r="AV28" s="45" t="str">
        <f t="shared" si="28"/>
        <v/>
      </c>
      <c r="AW28" s="45" t="str">
        <f t="shared" si="28"/>
        <v/>
      </c>
      <c r="AX28" s="45" t="str">
        <f t="shared" ref="AX28:CC28" si="29">IF(COUNTIFS($E$29:$E$36,"&lt;&gt;",$D$29:$D$36,"A",AX$29:AX$36,"&lt;&gt;")=0,"",IFERROR(SUMPRODUCT(--($E$29:$E$36&lt;&gt;""),--($D$29:$D$36="A"),$O$29:$O$36,AX$29:AX$36)/SUMPRODUCT(--($E$29:$E$36&lt;&gt;""),--($D$29:$D$36="A"),$O$29:$O$36),""))</f>
        <v/>
      </c>
      <c r="AY28" s="45" t="str">
        <f t="shared" si="29"/>
        <v/>
      </c>
      <c r="AZ28" s="45" t="str">
        <f t="shared" si="29"/>
        <v/>
      </c>
      <c r="BA28" s="45" t="str">
        <f t="shared" si="29"/>
        <v/>
      </c>
      <c r="BB28" s="45" t="str">
        <f t="shared" si="29"/>
        <v/>
      </c>
      <c r="BC28" s="45" t="str">
        <f t="shared" si="29"/>
        <v/>
      </c>
      <c r="BD28" s="45" t="str">
        <f t="shared" si="29"/>
        <v/>
      </c>
      <c r="BE28" s="45" t="str">
        <f t="shared" si="29"/>
        <v/>
      </c>
      <c r="BF28" s="45" t="str">
        <f t="shared" si="29"/>
        <v/>
      </c>
      <c r="BG28" s="45" t="str">
        <f t="shared" si="29"/>
        <v/>
      </c>
      <c r="BH28" s="45" t="str">
        <f t="shared" si="29"/>
        <v/>
      </c>
      <c r="BI28" s="45" t="str">
        <f t="shared" si="29"/>
        <v/>
      </c>
      <c r="BJ28" s="45" t="str">
        <f t="shared" si="29"/>
        <v/>
      </c>
      <c r="BK28" s="45" t="str">
        <f t="shared" si="29"/>
        <v/>
      </c>
      <c r="BL28" s="45" t="str">
        <f t="shared" si="29"/>
        <v/>
      </c>
      <c r="BM28" s="45" t="str">
        <f t="shared" si="29"/>
        <v/>
      </c>
      <c r="BN28" s="45" t="str">
        <f t="shared" si="29"/>
        <v/>
      </c>
      <c r="BO28" s="45" t="str">
        <f t="shared" si="29"/>
        <v/>
      </c>
      <c r="BP28" s="45" t="str">
        <f t="shared" si="29"/>
        <v/>
      </c>
      <c r="BQ28" s="45" t="str">
        <f t="shared" si="29"/>
        <v/>
      </c>
      <c r="BR28" s="45" t="str">
        <f t="shared" si="29"/>
        <v/>
      </c>
      <c r="BS28" s="45" t="str">
        <f t="shared" si="29"/>
        <v/>
      </c>
      <c r="BT28" s="45" t="str">
        <f t="shared" si="29"/>
        <v/>
      </c>
      <c r="BU28" s="45" t="str">
        <f t="shared" si="29"/>
        <v/>
      </c>
      <c r="BV28" s="45" t="str">
        <f t="shared" si="29"/>
        <v/>
      </c>
      <c r="BW28" s="45" t="str">
        <f t="shared" si="29"/>
        <v/>
      </c>
      <c r="BX28" s="45" t="str">
        <f t="shared" si="29"/>
        <v/>
      </c>
      <c r="BY28" s="45" t="str">
        <f t="shared" si="29"/>
        <v/>
      </c>
      <c r="BZ28" s="45" t="str">
        <f t="shared" si="29"/>
        <v/>
      </c>
      <c r="CA28" s="45" t="str">
        <f t="shared" si="29"/>
        <v/>
      </c>
      <c r="CB28" s="45" t="str">
        <f t="shared" si="29"/>
        <v/>
      </c>
      <c r="CC28" s="45" t="str">
        <f t="shared" si="29"/>
        <v/>
      </c>
      <c r="CD28" s="45" t="str">
        <f t="shared" ref="CD28:CO28" si="30">IF(COUNTIFS($E$29:$E$36,"&lt;&gt;",$D$29:$D$36,"A",CD$29:CD$36,"&lt;&gt;")=0,"",IFERROR(SUMPRODUCT(--($E$29:$E$36&lt;&gt;""),--($D$29:$D$36="A"),$O$29:$O$36,CD$29:CD$36)/SUMPRODUCT(--($E$29:$E$36&lt;&gt;""),--($D$29:$D$36="A"),$O$29:$O$36),""))</f>
        <v/>
      </c>
      <c r="CE28" s="45" t="str">
        <f t="shared" si="30"/>
        <v/>
      </c>
      <c r="CF28" s="45" t="str">
        <f t="shared" si="30"/>
        <v/>
      </c>
      <c r="CG28" s="45" t="str">
        <f t="shared" si="30"/>
        <v/>
      </c>
      <c r="CH28" s="45" t="str">
        <f t="shared" si="30"/>
        <v/>
      </c>
      <c r="CI28" s="45" t="str">
        <f t="shared" si="30"/>
        <v/>
      </c>
      <c r="CJ28" s="45" t="str">
        <f t="shared" si="30"/>
        <v/>
      </c>
      <c r="CK28" s="45" t="str">
        <f t="shared" si="30"/>
        <v/>
      </c>
      <c r="CL28" s="45" t="str">
        <f t="shared" si="30"/>
        <v/>
      </c>
      <c r="CM28" s="45" t="str">
        <f t="shared" si="30"/>
        <v/>
      </c>
      <c r="CN28" s="45" t="str">
        <f t="shared" si="30"/>
        <v/>
      </c>
      <c r="CO28" s="45" t="str">
        <f t="shared" si="30"/>
        <v/>
      </c>
    </row>
    <row r="29" spans="1:93" outlineLevel="3" x14ac:dyDescent="0.25">
      <c r="A29" s="10" t="s">
        <v>116</v>
      </c>
      <c r="B29" s="10" t="s">
        <v>142</v>
      </c>
      <c r="C29" s="11" t="s">
        <v>143</v>
      </c>
      <c r="D29" s="12" t="s">
        <v>110</v>
      </c>
      <c r="E29" s="10" t="s">
        <v>144</v>
      </c>
      <c r="F29" s="10">
        <v>12</v>
      </c>
      <c r="G29" s="10">
        <v>12</v>
      </c>
      <c r="H29" s="10">
        <v>3</v>
      </c>
      <c r="I29" s="13">
        <v>46220.333333333343</v>
      </c>
      <c r="J29" s="13">
        <v>46233.666666666657</v>
      </c>
      <c r="K29" s="13"/>
      <c r="L29" s="13"/>
      <c r="M29" s="14">
        <f t="shared" si="0"/>
        <v>0.99999999999999989</v>
      </c>
      <c r="N29" s="14"/>
      <c r="O29" s="16">
        <v>100000</v>
      </c>
      <c r="P29" s="15">
        <v>0</v>
      </c>
      <c r="Q29" s="1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>
        <v>7.1428571428571411E-2</v>
      </c>
      <c r="AR29" s="47">
        <v>0.49999999999999989</v>
      </c>
      <c r="AS29" s="47">
        <v>0.4285714285714286</v>
      </c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</row>
    <row r="30" spans="1:93" outlineLevel="3" x14ac:dyDescent="0.25">
      <c r="A30" s="17"/>
      <c r="B30" s="17"/>
      <c r="C30" s="18"/>
      <c r="D30" s="19" t="s">
        <v>111</v>
      </c>
      <c r="E30" s="17" t="s">
        <v>144</v>
      </c>
      <c r="F30" s="17"/>
      <c r="G30" s="17"/>
      <c r="H30" s="17"/>
      <c r="I30" s="20"/>
      <c r="J30" s="20"/>
      <c r="K30" s="20"/>
      <c r="L30" s="20"/>
      <c r="M30" s="21" t="str">
        <f t="shared" si="0"/>
        <v/>
      </c>
      <c r="N30" s="21">
        <v>0</v>
      </c>
      <c r="O30" s="48">
        <f>O29</f>
        <v>100000</v>
      </c>
      <c r="P30" s="22"/>
      <c r="Q30" s="23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</row>
    <row r="31" spans="1:93" outlineLevel="3" x14ac:dyDescent="0.25">
      <c r="A31" s="10" t="s">
        <v>116</v>
      </c>
      <c r="B31" s="10" t="s">
        <v>145</v>
      </c>
      <c r="C31" s="11" t="s">
        <v>146</v>
      </c>
      <c r="D31" s="12" t="s">
        <v>110</v>
      </c>
      <c r="E31" s="10" t="s">
        <v>147</v>
      </c>
      <c r="F31" s="10">
        <v>13</v>
      </c>
      <c r="G31" s="10">
        <v>13</v>
      </c>
      <c r="H31" s="10">
        <v>3</v>
      </c>
      <c r="I31" s="13">
        <v>46234.333333333343</v>
      </c>
      <c r="J31" s="13">
        <v>46247.666666666657</v>
      </c>
      <c r="K31" s="13"/>
      <c r="L31" s="13"/>
      <c r="M31" s="14">
        <f t="shared" si="0"/>
        <v>0.99999999999999989</v>
      </c>
      <c r="N31" s="14"/>
      <c r="O31" s="16">
        <v>100000</v>
      </c>
      <c r="P31" s="15">
        <v>0</v>
      </c>
      <c r="Q31" s="1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>
        <v>7.1428571428571411E-2</v>
      </c>
      <c r="AT31" s="47">
        <v>0.49999999999999989</v>
      </c>
      <c r="AU31" s="47">
        <v>0.4285714285714286</v>
      </c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</row>
    <row r="32" spans="1:93" outlineLevel="3" x14ac:dyDescent="0.25">
      <c r="A32" s="17"/>
      <c r="B32" s="17"/>
      <c r="C32" s="18"/>
      <c r="D32" s="19" t="s">
        <v>111</v>
      </c>
      <c r="E32" s="17" t="s">
        <v>147</v>
      </c>
      <c r="F32" s="17"/>
      <c r="G32" s="17"/>
      <c r="H32" s="17"/>
      <c r="I32" s="20"/>
      <c r="J32" s="20"/>
      <c r="K32" s="20"/>
      <c r="L32" s="20"/>
      <c r="M32" s="21" t="str">
        <f t="shared" si="0"/>
        <v/>
      </c>
      <c r="N32" s="21">
        <v>0</v>
      </c>
      <c r="O32" s="48">
        <f>O31</f>
        <v>100000</v>
      </c>
      <c r="P32" s="22"/>
      <c r="Q32" s="23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</row>
    <row r="33" spans="1:93" outlineLevel="3" x14ac:dyDescent="0.25">
      <c r="A33" s="10" t="s">
        <v>116</v>
      </c>
      <c r="B33" s="10" t="s">
        <v>148</v>
      </c>
      <c r="C33" s="11" t="s">
        <v>149</v>
      </c>
      <c r="D33" s="12" t="s">
        <v>110</v>
      </c>
      <c r="E33" s="10" t="s">
        <v>150</v>
      </c>
      <c r="F33" s="10">
        <v>14</v>
      </c>
      <c r="G33" s="10">
        <v>14</v>
      </c>
      <c r="H33" s="10">
        <v>3</v>
      </c>
      <c r="I33" s="13">
        <v>46248.333333333343</v>
      </c>
      <c r="J33" s="13">
        <v>46261.666666666657</v>
      </c>
      <c r="K33" s="13"/>
      <c r="L33" s="13"/>
      <c r="M33" s="14">
        <f t="shared" si="0"/>
        <v>0.99999999999999989</v>
      </c>
      <c r="N33" s="14"/>
      <c r="O33" s="16">
        <v>100000</v>
      </c>
      <c r="P33" s="15">
        <v>0</v>
      </c>
      <c r="Q33" s="1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>
        <v>7.1428571428571411E-2</v>
      </c>
      <c r="AV33" s="47">
        <v>0.49999999999999989</v>
      </c>
      <c r="AW33" s="47">
        <v>0.4285714285714286</v>
      </c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</row>
    <row r="34" spans="1:93" outlineLevel="3" x14ac:dyDescent="0.25">
      <c r="A34" s="17"/>
      <c r="B34" s="17"/>
      <c r="C34" s="18"/>
      <c r="D34" s="19" t="s">
        <v>111</v>
      </c>
      <c r="E34" s="17" t="s">
        <v>150</v>
      </c>
      <c r="F34" s="17"/>
      <c r="G34" s="17"/>
      <c r="H34" s="17"/>
      <c r="I34" s="20"/>
      <c r="J34" s="20"/>
      <c r="K34" s="20"/>
      <c r="L34" s="20"/>
      <c r="M34" s="21" t="str">
        <f t="shared" si="0"/>
        <v/>
      </c>
      <c r="N34" s="21">
        <v>0</v>
      </c>
      <c r="O34" s="48">
        <f>O33</f>
        <v>100000</v>
      </c>
      <c r="P34" s="22"/>
      <c r="Q34" s="23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</row>
    <row r="35" spans="1:93" outlineLevel="3" x14ac:dyDescent="0.25">
      <c r="A35" s="10" t="s">
        <v>116</v>
      </c>
      <c r="B35" s="10" t="s">
        <v>151</v>
      </c>
      <c r="C35" s="11" t="s">
        <v>152</v>
      </c>
      <c r="D35" s="12" t="s">
        <v>110</v>
      </c>
      <c r="E35" s="10" t="s">
        <v>153</v>
      </c>
      <c r="F35" s="10">
        <v>15</v>
      </c>
      <c r="G35" s="10">
        <v>15</v>
      </c>
      <c r="H35" s="10">
        <v>3</v>
      </c>
      <c r="I35" s="13">
        <v>46262.333333333343</v>
      </c>
      <c r="J35" s="13">
        <v>46268.666666666657</v>
      </c>
      <c r="K35" s="13"/>
      <c r="L35" s="13"/>
      <c r="M35" s="14">
        <f t="shared" si="0"/>
        <v>1</v>
      </c>
      <c r="N35" s="14"/>
      <c r="O35" s="16">
        <v>100000</v>
      </c>
      <c r="P35" s="15">
        <v>0</v>
      </c>
      <c r="Q35" s="1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>
        <v>0.14285714285714279</v>
      </c>
      <c r="AX35" s="47">
        <v>0.85714285714285721</v>
      </c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</row>
    <row r="36" spans="1:93" outlineLevel="3" x14ac:dyDescent="0.25">
      <c r="A36" s="17"/>
      <c r="B36" s="17"/>
      <c r="C36" s="18"/>
      <c r="D36" s="19" t="s">
        <v>111</v>
      </c>
      <c r="E36" s="17" t="s">
        <v>153</v>
      </c>
      <c r="F36" s="17"/>
      <c r="G36" s="17"/>
      <c r="H36" s="17"/>
      <c r="I36" s="20"/>
      <c r="J36" s="20"/>
      <c r="K36" s="20"/>
      <c r="L36" s="20"/>
      <c r="M36" s="21" t="str">
        <f t="shared" si="0"/>
        <v/>
      </c>
      <c r="N36" s="21">
        <v>0</v>
      </c>
      <c r="O36" s="48">
        <f>O35</f>
        <v>100000</v>
      </c>
      <c r="P36" s="22"/>
      <c r="Q36" s="23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</row>
    <row r="37" spans="1:93" outlineLevel="1" x14ac:dyDescent="0.25">
      <c r="A37" s="1" t="s">
        <v>92</v>
      </c>
      <c r="B37" s="1" t="s">
        <v>154</v>
      </c>
      <c r="C37" s="2" t="s">
        <v>155</v>
      </c>
      <c r="D37" s="8" t="s">
        <v>110</v>
      </c>
      <c r="E37" s="1"/>
      <c r="F37" s="1">
        <v>16</v>
      </c>
      <c r="G37" s="1">
        <v>16</v>
      </c>
      <c r="H37" s="1">
        <v>1</v>
      </c>
      <c r="I37" s="9">
        <v>46230.333333333343</v>
      </c>
      <c r="J37" s="9">
        <v>46435.666666666657</v>
      </c>
      <c r="K37" s="9"/>
      <c r="L37" s="9"/>
      <c r="M37" s="3">
        <f t="shared" si="0"/>
        <v>0.99999999999999989</v>
      </c>
      <c r="N37" s="3"/>
      <c r="O37" s="5">
        <f>SUMIFS($O$38:$O$147,$A$38:$A$147,"Activity",$D$38:$D$147,"P")</f>
        <v>4300000</v>
      </c>
      <c r="P37" s="4"/>
      <c r="Q37" s="5"/>
      <c r="R37" s="45" t="str">
        <f t="shared" ref="R37:AW37" si="31">IF(COUNTIFS($A$39:$A$148,"Activity",$D$39:$D$148,"P",R$39:R$148,"&lt;&gt;")=0,"",IFERROR(SUMPRODUCT(--($A$39:$A$148="Activity"),--($D$39:$D$148="P"),$O$39:$O$148,R$39:R$148)/SUMPRODUCT(--($A$39:$A$148="Activity"),--($D$39:$D$148="P"),$O$39:$O$148),""))</f>
        <v/>
      </c>
      <c r="S37" s="45" t="str">
        <f t="shared" si="31"/>
        <v/>
      </c>
      <c r="T37" s="45" t="str">
        <f t="shared" si="31"/>
        <v/>
      </c>
      <c r="U37" s="45" t="str">
        <f t="shared" si="31"/>
        <v/>
      </c>
      <c r="V37" s="45" t="str">
        <f t="shared" si="31"/>
        <v/>
      </c>
      <c r="W37" s="45" t="str">
        <f t="shared" si="31"/>
        <v/>
      </c>
      <c r="X37" s="45" t="str">
        <f t="shared" si="31"/>
        <v/>
      </c>
      <c r="Y37" s="45" t="str">
        <f t="shared" si="31"/>
        <v/>
      </c>
      <c r="Z37" s="45" t="str">
        <f t="shared" si="31"/>
        <v/>
      </c>
      <c r="AA37" s="45" t="str">
        <f t="shared" si="31"/>
        <v/>
      </c>
      <c r="AB37" s="45" t="str">
        <f t="shared" si="31"/>
        <v/>
      </c>
      <c r="AC37" s="45" t="str">
        <f t="shared" si="31"/>
        <v/>
      </c>
      <c r="AD37" s="45" t="str">
        <f t="shared" si="31"/>
        <v/>
      </c>
      <c r="AE37" s="45" t="str">
        <f t="shared" si="31"/>
        <v/>
      </c>
      <c r="AF37" s="45" t="str">
        <f t="shared" si="31"/>
        <v/>
      </c>
      <c r="AG37" s="45" t="str">
        <f t="shared" si="31"/>
        <v/>
      </c>
      <c r="AH37" s="45" t="str">
        <f t="shared" si="31"/>
        <v/>
      </c>
      <c r="AI37" s="45" t="str">
        <f t="shared" si="31"/>
        <v/>
      </c>
      <c r="AJ37" s="45" t="str">
        <f t="shared" si="31"/>
        <v/>
      </c>
      <c r="AK37" s="45" t="str">
        <f t="shared" si="31"/>
        <v/>
      </c>
      <c r="AL37" s="45" t="str">
        <f t="shared" si="31"/>
        <v/>
      </c>
      <c r="AM37" s="45" t="str">
        <f t="shared" si="31"/>
        <v/>
      </c>
      <c r="AN37" s="45" t="str">
        <f t="shared" si="31"/>
        <v/>
      </c>
      <c r="AO37" s="45" t="str">
        <f t="shared" si="31"/>
        <v/>
      </c>
      <c r="AP37" s="45" t="str">
        <f t="shared" si="31"/>
        <v/>
      </c>
      <c r="AQ37" s="45" t="str">
        <f t="shared" si="31"/>
        <v/>
      </c>
      <c r="AR37" s="45" t="str">
        <f t="shared" si="31"/>
        <v/>
      </c>
      <c r="AS37" s="45">
        <f t="shared" si="31"/>
        <v>7.5018754688672166E-3</v>
      </c>
      <c r="AT37" s="45">
        <f t="shared" si="31"/>
        <v>7.8769692423105771E-3</v>
      </c>
      <c r="AU37" s="45">
        <f t="shared" si="31"/>
        <v>5.2513128282070509E-3</v>
      </c>
      <c r="AV37" s="45">
        <f t="shared" si="31"/>
        <v>1.5545553054930402E-2</v>
      </c>
      <c r="AW37" s="45">
        <f t="shared" si="31"/>
        <v>2.1648338441199441E-2</v>
      </c>
      <c r="AX37" s="45">
        <f t="shared" ref="AX37:CC37" si="32">IF(COUNTIFS($A$39:$A$148,"Activity",$D$39:$D$148,"P",AX$39:AX$148,"&lt;&gt;")=0,"",IFERROR(SUMPRODUCT(--($A$39:$A$148="Activity"),--($D$39:$D$148="P"),$O$39:$O$148,AX$39:AX$148)/SUMPRODUCT(--($A$39:$A$148="Activity"),--($D$39:$D$148="P"),$O$39:$O$148),""))</f>
        <v>1.2829757827053661E-2</v>
      </c>
      <c r="AY37" s="45">
        <f t="shared" si="32"/>
        <v>8.3077940027642579E-3</v>
      </c>
      <c r="AZ37" s="45">
        <f t="shared" si="32"/>
        <v>3.0087048340158129E-2</v>
      </c>
      <c r="BA37" s="45">
        <f t="shared" si="32"/>
        <v>3.1748177908264438E-2</v>
      </c>
      <c r="BB37" s="45">
        <f t="shared" si="32"/>
        <v>2.7296873902421699E-2</v>
      </c>
      <c r="BC37" s="45">
        <f t="shared" si="32"/>
        <v>6.2485899923715747E-2</v>
      </c>
      <c r="BD37" s="45">
        <f t="shared" si="32"/>
        <v>7.0072358352911077E-2</v>
      </c>
      <c r="BE37" s="45">
        <f t="shared" si="32"/>
        <v>7.5505071067847193E-2</v>
      </c>
      <c r="BF37" s="45">
        <f t="shared" si="32"/>
        <v>5.3985254961726133E-2</v>
      </c>
      <c r="BG37" s="45">
        <f t="shared" si="32"/>
        <v>4.5139340651303934E-2</v>
      </c>
      <c r="BH37" s="45">
        <f t="shared" si="32"/>
        <v>3.6975042185703744E-2</v>
      </c>
      <c r="BI37" s="45">
        <f t="shared" si="32"/>
        <v>3.1722942951443775E-2</v>
      </c>
      <c r="BJ37" s="45">
        <f t="shared" si="32"/>
        <v>2.3365133296037309E-2</v>
      </c>
      <c r="BK37" s="45">
        <f t="shared" si="32"/>
        <v>3.5008288097254037E-2</v>
      </c>
      <c r="BL37" s="45">
        <f t="shared" si="32"/>
        <v>3.3595236039328763E-2</v>
      </c>
      <c r="BM37" s="45">
        <f t="shared" si="32"/>
        <v>3.736161518338308E-2</v>
      </c>
      <c r="BN37" s="45">
        <f t="shared" si="32"/>
        <v>4.6814952677074494E-2</v>
      </c>
      <c r="BO37" s="45">
        <f t="shared" si="32"/>
        <v>7.2049397630792988E-2</v>
      </c>
      <c r="BP37" s="45">
        <f t="shared" si="32"/>
        <v>5.8508674787744554E-2</v>
      </c>
      <c r="BQ37" s="45">
        <f t="shared" si="32"/>
        <v>5.2971576227390182E-2</v>
      </c>
      <c r="BR37" s="45">
        <f t="shared" si="32"/>
        <v>3.3222591362126248E-2</v>
      </c>
      <c r="BS37" s="45">
        <f t="shared" si="32"/>
        <v>1.8547104152628339E-2</v>
      </c>
      <c r="BT37" s="45">
        <f t="shared" si="32"/>
        <v>1.6480484303010131E-2</v>
      </c>
      <c r="BU37" s="45">
        <f t="shared" si="32"/>
        <v>1.1484039451338274E-2</v>
      </c>
      <c r="BV37" s="45">
        <f t="shared" si="32"/>
        <v>1.6611295681063124E-2</v>
      </c>
      <c r="BW37" s="45" t="str">
        <f t="shared" si="32"/>
        <v/>
      </c>
      <c r="BX37" s="45" t="str">
        <f t="shared" si="32"/>
        <v/>
      </c>
      <c r="BY37" s="45" t="str">
        <f t="shared" si="32"/>
        <v/>
      </c>
      <c r="BZ37" s="45" t="str">
        <f t="shared" si="32"/>
        <v/>
      </c>
      <c r="CA37" s="45" t="str">
        <f t="shared" si="32"/>
        <v/>
      </c>
      <c r="CB37" s="45" t="str">
        <f t="shared" si="32"/>
        <v/>
      </c>
      <c r="CC37" s="45" t="str">
        <f t="shared" si="32"/>
        <v/>
      </c>
      <c r="CD37" s="45" t="str">
        <f t="shared" ref="CD37:CO37" si="33">IF(COUNTIFS($A$39:$A$148,"Activity",$D$39:$D$148,"P",CD$39:CD$148,"&lt;&gt;")=0,"",IFERROR(SUMPRODUCT(--($A$39:$A$148="Activity"),--($D$39:$D$148="P"),$O$39:$O$148,CD$39:CD$148)/SUMPRODUCT(--($A$39:$A$148="Activity"),--($D$39:$D$148="P"),$O$39:$O$148),""))</f>
        <v/>
      </c>
      <c r="CE37" s="45" t="str">
        <f t="shared" si="33"/>
        <v/>
      </c>
      <c r="CF37" s="45" t="str">
        <f t="shared" si="33"/>
        <v/>
      </c>
      <c r="CG37" s="45" t="str">
        <f t="shared" si="33"/>
        <v/>
      </c>
      <c r="CH37" s="45" t="str">
        <f t="shared" si="33"/>
        <v/>
      </c>
      <c r="CI37" s="45" t="str">
        <f t="shared" si="33"/>
        <v/>
      </c>
      <c r="CJ37" s="45" t="str">
        <f t="shared" si="33"/>
        <v/>
      </c>
      <c r="CK37" s="45" t="str">
        <f t="shared" si="33"/>
        <v/>
      </c>
      <c r="CL37" s="45" t="str">
        <f t="shared" si="33"/>
        <v/>
      </c>
      <c r="CM37" s="45" t="str">
        <f t="shared" si="33"/>
        <v/>
      </c>
      <c r="CN37" s="45" t="str">
        <f t="shared" si="33"/>
        <v/>
      </c>
      <c r="CO37" s="45" t="str">
        <f t="shared" si="33"/>
        <v/>
      </c>
    </row>
    <row r="38" spans="1:93" outlineLevel="1" x14ac:dyDescent="0.25">
      <c r="A38" s="1"/>
      <c r="B38" s="1"/>
      <c r="C38" s="2"/>
      <c r="D38" s="8" t="s">
        <v>111</v>
      </c>
      <c r="E38" s="1"/>
      <c r="F38" s="1"/>
      <c r="G38" s="1"/>
      <c r="H38" s="1"/>
      <c r="I38" s="9"/>
      <c r="J38" s="9"/>
      <c r="K38" s="9"/>
      <c r="L38" s="9"/>
      <c r="M38" s="3" t="str">
        <f t="shared" si="0"/>
        <v/>
      </c>
      <c r="N38" s="3"/>
      <c r="O38" s="46">
        <f>O37</f>
        <v>4300000</v>
      </c>
      <c r="P38" s="4"/>
      <c r="Q38" s="5"/>
      <c r="R38" s="45" t="str">
        <f t="shared" ref="R38:AW38" si="34">IF(COUNTIFS($E$39:$E$148,"&lt;&gt;",$D$39:$D$148,"A",R$39:R$148,"&lt;&gt;")=0,"",IFERROR(SUMPRODUCT(--($E$39:$E$148&lt;&gt;""),--($D$39:$D$148="A"),$O$39:$O$148,R$39:R$148)/SUMPRODUCT(--($E$39:$E$148&lt;&gt;""),--($D$39:$D$148="A"),$O$39:$O$148),""))</f>
        <v/>
      </c>
      <c r="S38" s="45" t="str">
        <f t="shared" si="34"/>
        <v/>
      </c>
      <c r="T38" s="45" t="str">
        <f t="shared" si="34"/>
        <v/>
      </c>
      <c r="U38" s="45" t="str">
        <f t="shared" si="34"/>
        <v/>
      </c>
      <c r="V38" s="45" t="str">
        <f t="shared" si="34"/>
        <v/>
      </c>
      <c r="W38" s="45" t="str">
        <f t="shared" si="34"/>
        <v/>
      </c>
      <c r="X38" s="45" t="str">
        <f t="shared" si="34"/>
        <v/>
      </c>
      <c r="Y38" s="45" t="str">
        <f t="shared" si="34"/>
        <v/>
      </c>
      <c r="Z38" s="45" t="str">
        <f t="shared" si="34"/>
        <v/>
      </c>
      <c r="AA38" s="45" t="str">
        <f t="shared" si="34"/>
        <v/>
      </c>
      <c r="AB38" s="45" t="str">
        <f t="shared" si="34"/>
        <v/>
      </c>
      <c r="AC38" s="45" t="str">
        <f t="shared" si="34"/>
        <v/>
      </c>
      <c r="AD38" s="45" t="str">
        <f t="shared" si="34"/>
        <v/>
      </c>
      <c r="AE38" s="45" t="str">
        <f t="shared" si="34"/>
        <v/>
      </c>
      <c r="AF38" s="45" t="str">
        <f t="shared" si="34"/>
        <v/>
      </c>
      <c r="AG38" s="45" t="str">
        <f t="shared" si="34"/>
        <v/>
      </c>
      <c r="AH38" s="45" t="str">
        <f t="shared" si="34"/>
        <v/>
      </c>
      <c r="AI38" s="45" t="str">
        <f t="shared" si="34"/>
        <v/>
      </c>
      <c r="AJ38" s="45" t="str">
        <f t="shared" si="34"/>
        <v/>
      </c>
      <c r="AK38" s="45" t="str">
        <f t="shared" si="34"/>
        <v/>
      </c>
      <c r="AL38" s="45" t="str">
        <f t="shared" si="34"/>
        <v/>
      </c>
      <c r="AM38" s="45" t="str">
        <f t="shared" si="34"/>
        <v/>
      </c>
      <c r="AN38" s="45" t="str">
        <f t="shared" si="34"/>
        <v/>
      </c>
      <c r="AO38" s="45" t="str">
        <f t="shared" si="34"/>
        <v/>
      </c>
      <c r="AP38" s="45" t="str">
        <f t="shared" si="34"/>
        <v/>
      </c>
      <c r="AQ38" s="45" t="str">
        <f t="shared" si="34"/>
        <v/>
      </c>
      <c r="AR38" s="45" t="str">
        <f t="shared" si="34"/>
        <v/>
      </c>
      <c r="AS38" s="45" t="str">
        <f t="shared" si="34"/>
        <v/>
      </c>
      <c r="AT38" s="45" t="str">
        <f t="shared" si="34"/>
        <v/>
      </c>
      <c r="AU38" s="45" t="str">
        <f t="shared" si="34"/>
        <v/>
      </c>
      <c r="AV38" s="45" t="str">
        <f t="shared" si="34"/>
        <v/>
      </c>
      <c r="AW38" s="45" t="str">
        <f t="shared" si="34"/>
        <v/>
      </c>
      <c r="AX38" s="45" t="str">
        <f t="shared" ref="AX38:CC38" si="35">IF(COUNTIFS($E$39:$E$148,"&lt;&gt;",$D$39:$D$148,"A",AX$39:AX$148,"&lt;&gt;")=0,"",IFERROR(SUMPRODUCT(--($E$39:$E$148&lt;&gt;""),--($D$39:$D$148="A"),$O$39:$O$148,AX$39:AX$148)/SUMPRODUCT(--($E$39:$E$148&lt;&gt;""),--($D$39:$D$148="A"),$O$39:$O$148),""))</f>
        <v/>
      </c>
      <c r="AY38" s="45" t="str">
        <f t="shared" si="35"/>
        <v/>
      </c>
      <c r="AZ38" s="45" t="str">
        <f t="shared" si="35"/>
        <v/>
      </c>
      <c r="BA38" s="45" t="str">
        <f t="shared" si="35"/>
        <v/>
      </c>
      <c r="BB38" s="45" t="str">
        <f t="shared" si="35"/>
        <v/>
      </c>
      <c r="BC38" s="45" t="str">
        <f t="shared" si="35"/>
        <v/>
      </c>
      <c r="BD38" s="45" t="str">
        <f t="shared" si="35"/>
        <v/>
      </c>
      <c r="BE38" s="45" t="str">
        <f t="shared" si="35"/>
        <v/>
      </c>
      <c r="BF38" s="45" t="str">
        <f t="shared" si="35"/>
        <v/>
      </c>
      <c r="BG38" s="45" t="str">
        <f t="shared" si="35"/>
        <v/>
      </c>
      <c r="BH38" s="45" t="str">
        <f t="shared" si="35"/>
        <v/>
      </c>
      <c r="BI38" s="45" t="str">
        <f t="shared" si="35"/>
        <v/>
      </c>
      <c r="BJ38" s="45" t="str">
        <f t="shared" si="35"/>
        <v/>
      </c>
      <c r="BK38" s="45" t="str">
        <f t="shared" si="35"/>
        <v/>
      </c>
      <c r="BL38" s="45" t="str">
        <f t="shared" si="35"/>
        <v/>
      </c>
      <c r="BM38" s="45" t="str">
        <f t="shared" si="35"/>
        <v/>
      </c>
      <c r="BN38" s="45" t="str">
        <f t="shared" si="35"/>
        <v/>
      </c>
      <c r="BO38" s="45" t="str">
        <f t="shared" si="35"/>
        <v/>
      </c>
      <c r="BP38" s="45" t="str">
        <f t="shared" si="35"/>
        <v/>
      </c>
      <c r="BQ38" s="45" t="str">
        <f t="shared" si="35"/>
        <v/>
      </c>
      <c r="BR38" s="45" t="str">
        <f t="shared" si="35"/>
        <v/>
      </c>
      <c r="BS38" s="45" t="str">
        <f t="shared" si="35"/>
        <v/>
      </c>
      <c r="BT38" s="45" t="str">
        <f t="shared" si="35"/>
        <v/>
      </c>
      <c r="BU38" s="45" t="str">
        <f t="shared" si="35"/>
        <v/>
      </c>
      <c r="BV38" s="45" t="str">
        <f t="shared" si="35"/>
        <v/>
      </c>
      <c r="BW38" s="45" t="str">
        <f t="shared" si="35"/>
        <v/>
      </c>
      <c r="BX38" s="45" t="str">
        <f t="shared" si="35"/>
        <v/>
      </c>
      <c r="BY38" s="45" t="str">
        <f t="shared" si="35"/>
        <v/>
      </c>
      <c r="BZ38" s="45" t="str">
        <f t="shared" si="35"/>
        <v/>
      </c>
      <c r="CA38" s="45" t="str">
        <f t="shared" si="35"/>
        <v/>
      </c>
      <c r="CB38" s="45" t="str">
        <f t="shared" si="35"/>
        <v/>
      </c>
      <c r="CC38" s="45" t="str">
        <f t="shared" si="35"/>
        <v/>
      </c>
      <c r="CD38" s="45" t="str">
        <f t="shared" ref="CD38:CO38" si="36">IF(COUNTIFS($E$39:$E$148,"&lt;&gt;",$D$39:$D$148,"A",CD$39:CD$148,"&lt;&gt;")=0,"",IFERROR(SUMPRODUCT(--($E$39:$E$148&lt;&gt;""),--($D$39:$D$148="A"),$O$39:$O$148,CD$39:CD$148)/SUMPRODUCT(--($E$39:$E$148&lt;&gt;""),--($D$39:$D$148="A"),$O$39:$O$148),""))</f>
        <v/>
      </c>
      <c r="CE38" s="45" t="str">
        <f t="shared" si="36"/>
        <v/>
      </c>
      <c r="CF38" s="45" t="str">
        <f t="shared" si="36"/>
        <v/>
      </c>
      <c r="CG38" s="45" t="str">
        <f t="shared" si="36"/>
        <v/>
      </c>
      <c r="CH38" s="45" t="str">
        <f t="shared" si="36"/>
        <v/>
      </c>
      <c r="CI38" s="45" t="str">
        <f t="shared" si="36"/>
        <v/>
      </c>
      <c r="CJ38" s="45" t="str">
        <f t="shared" si="36"/>
        <v/>
      </c>
      <c r="CK38" s="45" t="str">
        <f t="shared" si="36"/>
        <v/>
      </c>
      <c r="CL38" s="45" t="str">
        <f t="shared" si="36"/>
        <v/>
      </c>
      <c r="CM38" s="45" t="str">
        <f t="shared" si="36"/>
        <v/>
      </c>
      <c r="CN38" s="45" t="str">
        <f t="shared" si="36"/>
        <v/>
      </c>
      <c r="CO38" s="45" t="str">
        <f t="shared" si="36"/>
        <v/>
      </c>
    </row>
    <row r="39" spans="1:93" outlineLevel="2" x14ac:dyDescent="0.25">
      <c r="A39" s="1" t="s">
        <v>92</v>
      </c>
      <c r="B39" s="1" t="s">
        <v>156</v>
      </c>
      <c r="C39" s="6" t="s">
        <v>157</v>
      </c>
      <c r="D39" s="8" t="s">
        <v>110</v>
      </c>
      <c r="E39" s="1"/>
      <c r="F39" s="1">
        <v>17</v>
      </c>
      <c r="G39" s="1">
        <v>17</v>
      </c>
      <c r="H39" s="1">
        <v>2</v>
      </c>
      <c r="I39" s="9">
        <v>46230.333333333343</v>
      </c>
      <c r="J39" s="9">
        <v>46255.666666666657</v>
      </c>
      <c r="K39" s="9"/>
      <c r="L39" s="9"/>
      <c r="M39" s="3">
        <f t="shared" si="0"/>
        <v>1.0000000000000002</v>
      </c>
      <c r="N39" s="3"/>
      <c r="O39" s="5">
        <f>SUMIFS($O$40:$O$41,$A$40:$A$41,"Activity",$D$40:$D$41,"P")</f>
        <v>100000</v>
      </c>
      <c r="P39" s="4"/>
      <c r="Q39" s="5"/>
      <c r="R39" s="45" t="str">
        <f t="shared" ref="R39:AW39" si="37">IF(COUNTIFS($A$41:$A$42,"Activity",$D$41:$D$42,"P",R$41:R$42,"&lt;&gt;")=0,"",IFERROR(SUMPRODUCT(--($A$41:$A$42="Activity"),--($D$41:$D$42="P"),$O$41:$O$42,R$41:R$42)/SUMPRODUCT(--($A$41:$A$42="Activity"),--($D$41:$D$42="P"),$O$41:$O$42),""))</f>
        <v/>
      </c>
      <c r="S39" s="45" t="str">
        <f t="shared" si="37"/>
        <v/>
      </c>
      <c r="T39" s="45" t="str">
        <f t="shared" si="37"/>
        <v/>
      </c>
      <c r="U39" s="45" t="str">
        <f t="shared" si="37"/>
        <v/>
      </c>
      <c r="V39" s="45" t="str">
        <f t="shared" si="37"/>
        <v/>
      </c>
      <c r="W39" s="45" t="str">
        <f t="shared" si="37"/>
        <v/>
      </c>
      <c r="X39" s="45" t="str">
        <f t="shared" si="37"/>
        <v/>
      </c>
      <c r="Y39" s="45" t="str">
        <f t="shared" si="37"/>
        <v/>
      </c>
      <c r="Z39" s="45" t="str">
        <f t="shared" si="37"/>
        <v/>
      </c>
      <c r="AA39" s="45" t="str">
        <f t="shared" si="37"/>
        <v/>
      </c>
      <c r="AB39" s="45" t="str">
        <f t="shared" si="37"/>
        <v/>
      </c>
      <c r="AC39" s="45" t="str">
        <f t="shared" si="37"/>
        <v/>
      </c>
      <c r="AD39" s="45" t="str">
        <f t="shared" si="37"/>
        <v/>
      </c>
      <c r="AE39" s="45" t="str">
        <f t="shared" si="37"/>
        <v/>
      </c>
      <c r="AF39" s="45" t="str">
        <f t="shared" si="37"/>
        <v/>
      </c>
      <c r="AG39" s="45" t="str">
        <f t="shared" si="37"/>
        <v/>
      </c>
      <c r="AH39" s="45" t="str">
        <f t="shared" si="37"/>
        <v/>
      </c>
      <c r="AI39" s="45" t="str">
        <f t="shared" si="37"/>
        <v/>
      </c>
      <c r="AJ39" s="45" t="str">
        <f t="shared" si="37"/>
        <v/>
      </c>
      <c r="AK39" s="45" t="str">
        <f t="shared" si="37"/>
        <v/>
      </c>
      <c r="AL39" s="45" t="str">
        <f t="shared" si="37"/>
        <v/>
      </c>
      <c r="AM39" s="45" t="str">
        <f t="shared" si="37"/>
        <v/>
      </c>
      <c r="AN39" s="45" t="str">
        <f t="shared" si="37"/>
        <v/>
      </c>
      <c r="AO39" s="45" t="str">
        <f t="shared" si="37"/>
        <v/>
      </c>
      <c r="AP39" s="45" t="str">
        <f t="shared" si="37"/>
        <v/>
      </c>
      <c r="AQ39" s="45" t="str">
        <f t="shared" si="37"/>
        <v/>
      </c>
      <c r="AR39" s="45" t="str">
        <f t="shared" si="37"/>
        <v/>
      </c>
      <c r="AS39" s="45">
        <f t="shared" si="37"/>
        <v>0.32258064516129031</v>
      </c>
      <c r="AT39" s="45">
        <f t="shared" si="37"/>
        <v>0.33870967741935487</v>
      </c>
      <c r="AU39" s="45">
        <f t="shared" si="37"/>
        <v>0.22580645161290319</v>
      </c>
      <c r="AV39" s="45">
        <f t="shared" si="37"/>
        <v>0.11290322580645171</v>
      </c>
      <c r="AW39" s="45" t="str">
        <f t="shared" si="37"/>
        <v/>
      </c>
      <c r="AX39" s="45" t="str">
        <f t="shared" ref="AX39:CC39" si="38">IF(COUNTIFS($A$41:$A$42,"Activity",$D$41:$D$42,"P",AX$41:AX$42,"&lt;&gt;")=0,"",IFERROR(SUMPRODUCT(--($A$41:$A$42="Activity"),--($D$41:$D$42="P"),$O$41:$O$42,AX$41:AX$42)/SUMPRODUCT(--($A$41:$A$42="Activity"),--($D$41:$D$42="P"),$O$41:$O$42),""))</f>
        <v/>
      </c>
      <c r="AY39" s="45" t="str">
        <f t="shared" si="38"/>
        <v/>
      </c>
      <c r="AZ39" s="45" t="str">
        <f t="shared" si="38"/>
        <v/>
      </c>
      <c r="BA39" s="45" t="str">
        <f t="shared" si="38"/>
        <v/>
      </c>
      <c r="BB39" s="45" t="str">
        <f t="shared" si="38"/>
        <v/>
      </c>
      <c r="BC39" s="45" t="str">
        <f t="shared" si="38"/>
        <v/>
      </c>
      <c r="BD39" s="45" t="str">
        <f t="shared" si="38"/>
        <v/>
      </c>
      <c r="BE39" s="45" t="str">
        <f t="shared" si="38"/>
        <v/>
      </c>
      <c r="BF39" s="45" t="str">
        <f t="shared" si="38"/>
        <v/>
      </c>
      <c r="BG39" s="45" t="str">
        <f t="shared" si="38"/>
        <v/>
      </c>
      <c r="BH39" s="45" t="str">
        <f t="shared" si="38"/>
        <v/>
      </c>
      <c r="BI39" s="45" t="str">
        <f t="shared" si="38"/>
        <v/>
      </c>
      <c r="BJ39" s="45" t="str">
        <f t="shared" si="38"/>
        <v/>
      </c>
      <c r="BK39" s="45" t="str">
        <f t="shared" si="38"/>
        <v/>
      </c>
      <c r="BL39" s="45" t="str">
        <f t="shared" si="38"/>
        <v/>
      </c>
      <c r="BM39" s="45" t="str">
        <f t="shared" si="38"/>
        <v/>
      </c>
      <c r="BN39" s="45" t="str">
        <f t="shared" si="38"/>
        <v/>
      </c>
      <c r="BO39" s="45" t="str">
        <f t="shared" si="38"/>
        <v/>
      </c>
      <c r="BP39" s="45" t="str">
        <f t="shared" si="38"/>
        <v/>
      </c>
      <c r="BQ39" s="45" t="str">
        <f t="shared" si="38"/>
        <v/>
      </c>
      <c r="BR39" s="45" t="str">
        <f t="shared" si="38"/>
        <v/>
      </c>
      <c r="BS39" s="45" t="str">
        <f t="shared" si="38"/>
        <v/>
      </c>
      <c r="BT39" s="45" t="str">
        <f t="shared" si="38"/>
        <v/>
      </c>
      <c r="BU39" s="45" t="str">
        <f t="shared" si="38"/>
        <v/>
      </c>
      <c r="BV39" s="45" t="str">
        <f t="shared" si="38"/>
        <v/>
      </c>
      <c r="BW39" s="45" t="str">
        <f t="shared" si="38"/>
        <v/>
      </c>
      <c r="BX39" s="45" t="str">
        <f t="shared" si="38"/>
        <v/>
      </c>
      <c r="BY39" s="45" t="str">
        <f t="shared" si="38"/>
        <v/>
      </c>
      <c r="BZ39" s="45" t="str">
        <f t="shared" si="38"/>
        <v/>
      </c>
      <c r="CA39" s="45" t="str">
        <f t="shared" si="38"/>
        <v/>
      </c>
      <c r="CB39" s="45" t="str">
        <f t="shared" si="38"/>
        <v/>
      </c>
      <c r="CC39" s="45" t="str">
        <f t="shared" si="38"/>
        <v/>
      </c>
      <c r="CD39" s="45" t="str">
        <f t="shared" ref="CD39:CO39" si="39">IF(COUNTIFS($A$41:$A$42,"Activity",$D$41:$D$42,"P",CD$41:CD$42,"&lt;&gt;")=0,"",IFERROR(SUMPRODUCT(--($A$41:$A$42="Activity"),--($D$41:$D$42="P"),$O$41:$O$42,CD$41:CD$42)/SUMPRODUCT(--($A$41:$A$42="Activity"),--($D$41:$D$42="P"),$O$41:$O$42),""))</f>
        <v/>
      </c>
      <c r="CE39" s="45" t="str">
        <f t="shared" si="39"/>
        <v/>
      </c>
      <c r="CF39" s="45" t="str">
        <f t="shared" si="39"/>
        <v/>
      </c>
      <c r="CG39" s="45" t="str">
        <f t="shared" si="39"/>
        <v/>
      </c>
      <c r="CH39" s="45" t="str">
        <f t="shared" si="39"/>
        <v/>
      </c>
      <c r="CI39" s="45" t="str">
        <f t="shared" si="39"/>
        <v/>
      </c>
      <c r="CJ39" s="45" t="str">
        <f t="shared" si="39"/>
        <v/>
      </c>
      <c r="CK39" s="45" t="str">
        <f t="shared" si="39"/>
        <v/>
      </c>
      <c r="CL39" s="45" t="str">
        <f t="shared" si="39"/>
        <v/>
      </c>
      <c r="CM39" s="45" t="str">
        <f t="shared" si="39"/>
        <v/>
      </c>
      <c r="CN39" s="45" t="str">
        <f t="shared" si="39"/>
        <v/>
      </c>
      <c r="CO39" s="45" t="str">
        <f t="shared" si="39"/>
        <v/>
      </c>
    </row>
    <row r="40" spans="1:93" outlineLevel="2" x14ac:dyDescent="0.25">
      <c r="A40" s="1"/>
      <c r="B40" s="1"/>
      <c r="C40" s="6"/>
      <c r="D40" s="8" t="s">
        <v>111</v>
      </c>
      <c r="E40" s="1"/>
      <c r="F40" s="1"/>
      <c r="G40" s="1"/>
      <c r="H40" s="1"/>
      <c r="I40" s="9"/>
      <c r="J40" s="9"/>
      <c r="K40" s="9"/>
      <c r="L40" s="9"/>
      <c r="M40" s="3" t="str">
        <f t="shared" si="0"/>
        <v/>
      </c>
      <c r="N40" s="3"/>
      <c r="O40" s="46">
        <f>O39</f>
        <v>100000</v>
      </c>
      <c r="P40" s="4"/>
      <c r="Q40" s="5"/>
      <c r="R40" s="45" t="str">
        <f t="shared" ref="R40:AW40" si="40">IF(COUNTIFS($E$41:$E$42,"&lt;&gt;",$D$41:$D$42,"A",R$41:R$42,"&lt;&gt;")=0,"",IFERROR(SUMPRODUCT(--($E$41:$E$42&lt;&gt;""),--($D$41:$D$42="A"),$O$41:$O$42,R$41:R$42)/SUMPRODUCT(--($E$41:$E$42&lt;&gt;""),--($D$41:$D$42="A"),$O$41:$O$42),""))</f>
        <v/>
      </c>
      <c r="S40" s="45" t="str">
        <f t="shared" si="40"/>
        <v/>
      </c>
      <c r="T40" s="45" t="str">
        <f t="shared" si="40"/>
        <v/>
      </c>
      <c r="U40" s="45" t="str">
        <f t="shared" si="40"/>
        <v/>
      </c>
      <c r="V40" s="45" t="str">
        <f t="shared" si="40"/>
        <v/>
      </c>
      <c r="W40" s="45" t="str">
        <f t="shared" si="40"/>
        <v/>
      </c>
      <c r="X40" s="45" t="str">
        <f t="shared" si="40"/>
        <v/>
      </c>
      <c r="Y40" s="45" t="str">
        <f t="shared" si="40"/>
        <v/>
      </c>
      <c r="Z40" s="45" t="str">
        <f t="shared" si="40"/>
        <v/>
      </c>
      <c r="AA40" s="45" t="str">
        <f t="shared" si="40"/>
        <v/>
      </c>
      <c r="AB40" s="45" t="str">
        <f t="shared" si="40"/>
        <v/>
      </c>
      <c r="AC40" s="45" t="str">
        <f t="shared" si="40"/>
        <v/>
      </c>
      <c r="AD40" s="45" t="str">
        <f t="shared" si="40"/>
        <v/>
      </c>
      <c r="AE40" s="45" t="str">
        <f t="shared" si="40"/>
        <v/>
      </c>
      <c r="AF40" s="45" t="str">
        <f t="shared" si="40"/>
        <v/>
      </c>
      <c r="AG40" s="45" t="str">
        <f t="shared" si="40"/>
        <v/>
      </c>
      <c r="AH40" s="45" t="str">
        <f t="shared" si="40"/>
        <v/>
      </c>
      <c r="AI40" s="45" t="str">
        <f t="shared" si="40"/>
        <v/>
      </c>
      <c r="AJ40" s="45" t="str">
        <f t="shared" si="40"/>
        <v/>
      </c>
      <c r="AK40" s="45" t="str">
        <f t="shared" si="40"/>
        <v/>
      </c>
      <c r="AL40" s="45" t="str">
        <f t="shared" si="40"/>
        <v/>
      </c>
      <c r="AM40" s="45" t="str">
        <f t="shared" si="40"/>
        <v/>
      </c>
      <c r="AN40" s="45" t="str">
        <f t="shared" si="40"/>
        <v/>
      </c>
      <c r="AO40" s="45" t="str">
        <f t="shared" si="40"/>
        <v/>
      </c>
      <c r="AP40" s="45" t="str">
        <f t="shared" si="40"/>
        <v/>
      </c>
      <c r="AQ40" s="45" t="str">
        <f t="shared" si="40"/>
        <v/>
      </c>
      <c r="AR40" s="45" t="str">
        <f t="shared" si="40"/>
        <v/>
      </c>
      <c r="AS40" s="45" t="str">
        <f t="shared" si="40"/>
        <v/>
      </c>
      <c r="AT40" s="45" t="str">
        <f t="shared" si="40"/>
        <v/>
      </c>
      <c r="AU40" s="45" t="str">
        <f t="shared" si="40"/>
        <v/>
      </c>
      <c r="AV40" s="45" t="str">
        <f t="shared" si="40"/>
        <v/>
      </c>
      <c r="AW40" s="45" t="str">
        <f t="shared" si="40"/>
        <v/>
      </c>
      <c r="AX40" s="45" t="str">
        <f t="shared" ref="AX40:CC40" si="41">IF(COUNTIFS($E$41:$E$42,"&lt;&gt;",$D$41:$D$42,"A",AX$41:AX$42,"&lt;&gt;")=0,"",IFERROR(SUMPRODUCT(--($E$41:$E$42&lt;&gt;""),--($D$41:$D$42="A"),$O$41:$O$42,AX$41:AX$42)/SUMPRODUCT(--($E$41:$E$42&lt;&gt;""),--($D$41:$D$42="A"),$O$41:$O$42),""))</f>
        <v/>
      </c>
      <c r="AY40" s="45" t="str">
        <f t="shared" si="41"/>
        <v/>
      </c>
      <c r="AZ40" s="45" t="str">
        <f t="shared" si="41"/>
        <v/>
      </c>
      <c r="BA40" s="45" t="str">
        <f t="shared" si="41"/>
        <v/>
      </c>
      <c r="BB40" s="45" t="str">
        <f t="shared" si="41"/>
        <v/>
      </c>
      <c r="BC40" s="45" t="str">
        <f t="shared" si="41"/>
        <v/>
      </c>
      <c r="BD40" s="45" t="str">
        <f t="shared" si="41"/>
        <v/>
      </c>
      <c r="BE40" s="45" t="str">
        <f t="shared" si="41"/>
        <v/>
      </c>
      <c r="BF40" s="45" t="str">
        <f t="shared" si="41"/>
        <v/>
      </c>
      <c r="BG40" s="45" t="str">
        <f t="shared" si="41"/>
        <v/>
      </c>
      <c r="BH40" s="45" t="str">
        <f t="shared" si="41"/>
        <v/>
      </c>
      <c r="BI40" s="45" t="str">
        <f t="shared" si="41"/>
        <v/>
      </c>
      <c r="BJ40" s="45" t="str">
        <f t="shared" si="41"/>
        <v/>
      </c>
      <c r="BK40" s="45" t="str">
        <f t="shared" si="41"/>
        <v/>
      </c>
      <c r="BL40" s="45" t="str">
        <f t="shared" si="41"/>
        <v/>
      </c>
      <c r="BM40" s="45" t="str">
        <f t="shared" si="41"/>
        <v/>
      </c>
      <c r="BN40" s="45" t="str">
        <f t="shared" si="41"/>
        <v/>
      </c>
      <c r="BO40" s="45" t="str">
        <f t="shared" si="41"/>
        <v/>
      </c>
      <c r="BP40" s="45" t="str">
        <f t="shared" si="41"/>
        <v/>
      </c>
      <c r="BQ40" s="45" t="str">
        <f t="shared" si="41"/>
        <v/>
      </c>
      <c r="BR40" s="45" t="str">
        <f t="shared" si="41"/>
        <v/>
      </c>
      <c r="BS40" s="45" t="str">
        <f t="shared" si="41"/>
        <v/>
      </c>
      <c r="BT40" s="45" t="str">
        <f t="shared" si="41"/>
        <v/>
      </c>
      <c r="BU40" s="45" t="str">
        <f t="shared" si="41"/>
        <v/>
      </c>
      <c r="BV40" s="45" t="str">
        <f t="shared" si="41"/>
        <v/>
      </c>
      <c r="BW40" s="45" t="str">
        <f t="shared" si="41"/>
        <v/>
      </c>
      <c r="BX40" s="45" t="str">
        <f t="shared" si="41"/>
        <v/>
      </c>
      <c r="BY40" s="45" t="str">
        <f t="shared" si="41"/>
        <v/>
      </c>
      <c r="BZ40" s="45" t="str">
        <f t="shared" si="41"/>
        <v/>
      </c>
      <c r="CA40" s="45" t="str">
        <f t="shared" si="41"/>
        <v/>
      </c>
      <c r="CB40" s="45" t="str">
        <f t="shared" si="41"/>
        <v/>
      </c>
      <c r="CC40" s="45" t="str">
        <f t="shared" si="41"/>
        <v/>
      </c>
      <c r="CD40" s="45" t="str">
        <f t="shared" ref="CD40:CO40" si="42">IF(COUNTIFS($E$41:$E$42,"&lt;&gt;",$D$41:$D$42,"A",CD$41:CD$42,"&lt;&gt;")=0,"",IFERROR(SUMPRODUCT(--($E$41:$E$42&lt;&gt;""),--($D$41:$D$42="A"),$O$41:$O$42,CD$41:CD$42)/SUMPRODUCT(--($E$41:$E$42&lt;&gt;""),--($D$41:$D$42="A"),$O$41:$O$42),""))</f>
        <v/>
      </c>
      <c r="CE40" s="45" t="str">
        <f t="shared" si="42"/>
        <v/>
      </c>
      <c r="CF40" s="45" t="str">
        <f t="shared" si="42"/>
        <v/>
      </c>
      <c r="CG40" s="45" t="str">
        <f t="shared" si="42"/>
        <v/>
      </c>
      <c r="CH40" s="45" t="str">
        <f t="shared" si="42"/>
        <v/>
      </c>
      <c r="CI40" s="45" t="str">
        <f t="shared" si="42"/>
        <v/>
      </c>
      <c r="CJ40" s="45" t="str">
        <f t="shared" si="42"/>
        <v/>
      </c>
      <c r="CK40" s="45" t="str">
        <f t="shared" si="42"/>
        <v/>
      </c>
      <c r="CL40" s="45" t="str">
        <f t="shared" si="42"/>
        <v/>
      </c>
      <c r="CM40" s="45" t="str">
        <f t="shared" si="42"/>
        <v/>
      </c>
      <c r="CN40" s="45" t="str">
        <f t="shared" si="42"/>
        <v/>
      </c>
      <c r="CO40" s="45" t="str">
        <f t="shared" si="42"/>
        <v/>
      </c>
    </row>
    <row r="41" spans="1:93" outlineLevel="3" x14ac:dyDescent="0.25">
      <c r="A41" s="10" t="s">
        <v>116</v>
      </c>
      <c r="B41" s="10" t="s">
        <v>158</v>
      </c>
      <c r="C41" s="11" t="s">
        <v>159</v>
      </c>
      <c r="D41" s="12" t="s">
        <v>110</v>
      </c>
      <c r="E41" s="10" t="s">
        <v>160</v>
      </c>
      <c r="F41" s="10">
        <v>18</v>
      </c>
      <c r="G41" s="10">
        <v>18</v>
      </c>
      <c r="H41" s="10">
        <v>3</v>
      </c>
      <c r="I41" s="13">
        <v>46230.333333333343</v>
      </c>
      <c r="J41" s="13">
        <v>46255.666666666657</v>
      </c>
      <c r="K41" s="13"/>
      <c r="L41" s="13"/>
      <c r="M41" s="14">
        <f t="shared" si="0"/>
        <v>1</v>
      </c>
      <c r="N41" s="14"/>
      <c r="O41" s="16">
        <v>100000</v>
      </c>
      <c r="P41" s="15">
        <v>0</v>
      </c>
      <c r="Q41" s="1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>
        <v>0.32258064516129031</v>
      </c>
      <c r="AT41" s="47">
        <v>0.33870967741935482</v>
      </c>
      <c r="AU41" s="47">
        <v>0.22580645161290319</v>
      </c>
      <c r="AV41" s="47">
        <v>0.11290322580645171</v>
      </c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</row>
    <row r="42" spans="1:93" outlineLevel="3" x14ac:dyDescent="0.25">
      <c r="A42" s="17"/>
      <c r="B42" s="17"/>
      <c r="C42" s="18"/>
      <c r="D42" s="19" t="s">
        <v>111</v>
      </c>
      <c r="E42" s="17" t="s">
        <v>160</v>
      </c>
      <c r="F42" s="17"/>
      <c r="G42" s="17"/>
      <c r="H42" s="17"/>
      <c r="I42" s="20"/>
      <c r="J42" s="20"/>
      <c r="K42" s="20"/>
      <c r="L42" s="20"/>
      <c r="M42" s="21" t="str">
        <f t="shared" si="0"/>
        <v/>
      </c>
      <c r="N42" s="21">
        <v>0</v>
      </c>
      <c r="O42" s="48">
        <f>O41</f>
        <v>100000</v>
      </c>
      <c r="P42" s="22"/>
      <c r="Q42" s="23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</row>
    <row r="43" spans="1:93" outlineLevel="2" x14ac:dyDescent="0.25">
      <c r="A43" s="1" t="s">
        <v>92</v>
      </c>
      <c r="B43" s="1" t="s">
        <v>161</v>
      </c>
      <c r="C43" s="6" t="s">
        <v>162</v>
      </c>
      <c r="D43" s="8" t="s">
        <v>110</v>
      </c>
      <c r="E43" s="1"/>
      <c r="F43" s="1">
        <v>19</v>
      </c>
      <c r="G43" s="1">
        <v>19</v>
      </c>
      <c r="H43" s="1">
        <v>2</v>
      </c>
      <c r="I43" s="9">
        <v>46258.333333333343</v>
      </c>
      <c r="J43" s="9">
        <v>46332.666666666657</v>
      </c>
      <c r="K43" s="9"/>
      <c r="L43" s="9"/>
      <c r="M43" s="3">
        <f t="shared" si="0"/>
        <v>0.99999999999999989</v>
      </c>
      <c r="N43" s="3"/>
      <c r="O43" s="5">
        <f>SUMIFS($O$44:$O$51,$A$44:$A$51,"Activity",$D$44:$D$51,"P")</f>
        <v>400000</v>
      </c>
      <c r="P43" s="4"/>
      <c r="Q43" s="5"/>
      <c r="R43" s="45" t="str">
        <f t="shared" ref="R43:AW43" si="43">IF(COUNTIFS($A$45:$A$52,"Activity",$D$45:$D$52,"P",R$45:R$52,"&lt;&gt;")=0,"",IFERROR(SUMPRODUCT(--($A$45:$A$52="Activity"),--($D$45:$D$52="P"),$O$45:$O$52,R$45:R$52)/SUMPRODUCT(--($A$45:$A$52="Activity"),--($D$45:$D$52="P"),$O$45:$O$52),""))</f>
        <v/>
      </c>
      <c r="S43" s="45" t="str">
        <f t="shared" si="43"/>
        <v/>
      </c>
      <c r="T43" s="45" t="str">
        <f t="shared" si="43"/>
        <v/>
      </c>
      <c r="U43" s="45" t="str">
        <f t="shared" si="43"/>
        <v/>
      </c>
      <c r="V43" s="45" t="str">
        <f t="shared" si="43"/>
        <v/>
      </c>
      <c r="W43" s="45" t="str">
        <f t="shared" si="43"/>
        <v/>
      </c>
      <c r="X43" s="45" t="str">
        <f t="shared" si="43"/>
        <v/>
      </c>
      <c r="Y43" s="45" t="str">
        <f t="shared" si="43"/>
        <v/>
      </c>
      <c r="Z43" s="45" t="str">
        <f t="shared" si="43"/>
        <v/>
      </c>
      <c r="AA43" s="45" t="str">
        <f t="shared" si="43"/>
        <v/>
      </c>
      <c r="AB43" s="45" t="str">
        <f t="shared" si="43"/>
        <v/>
      </c>
      <c r="AC43" s="45" t="str">
        <f t="shared" si="43"/>
        <v/>
      </c>
      <c r="AD43" s="45" t="str">
        <f t="shared" si="43"/>
        <v/>
      </c>
      <c r="AE43" s="45" t="str">
        <f t="shared" si="43"/>
        <v/>
      </c>
      <c r="AF43" s="45" t="str">
        <f t="shared" si="43"/>
        <v/>
      </c>
      <c r="AG43" s="45" t="str">
        <f t="shared" si="43"/>
        <v/>
      </c>
      <c r="AH43" s="45" t="str">
        <f t="shared" si="43"/>
        <v/>
      </c>
      <c r="AI43" s="45" t="str">
        <f t="shared" si="43"/>
        <v/>
      </c>
      <c r="AJ43" s="45" t="str">
        <f t="shared" si="43"/>
        <v/>
      </c>
      <c r="AK43" s="45" t="str">
        <f t="shared" si="43"/>
        <v/>
      </c>
      <c r="AL43" s="45" t="str">
        <f t="shared" si="43"/>
        <v/>
      </c>
      <c r="AM43" s="45" t="str">
        <f t="shared" si="43"/>
        <v/>
      </c>
      <c r="AN43" s="45" t="str">
        <f t="shared" si="43"/>
        <v/>
      </c>
      <c r="AO43" s="45" t="str">
        <f t="shared" si="43"/>
        <v/>
      </c>
      <c r="AP43" s="45" t="str">
        <f t="shared" si="43"/>
        <v/>
      </c>
      <c r="AQ43" s="45" t="str">
        <f t="shared" si="43"/>
        <v/>
      </c>
      <c r="AR43" s="45" t="str">
        <f t="shared" si="43"/>
        <v/>
      </c>
      <c r="AS43" s="45" t="str">
        <f t="shared" si="43"/>
        <v/>
      </c>
      <c r="AT43" s="45" t="str">
        <f t="shared" si="43"/>
        <v/>
      </c>
      <c r="AU43" s="45" t="str">
        <f t="shared" si="43"/>
        <v/>
      </c>
      <c r="AV43" s="45" t="str">
        <f t="shared" si="43"/>
        <v/>
      </c>
      <c r="AW43" s="45">
        <f t="shared" si="43"/>
        <v>0.10416666666666664</v>
      </c>
      <c r="AX43" s="45">
        <f t="shared" ref="AX43:CC43" si="44">IF(COUNTIFS($A$45:$A$52,"Activity",$D$45:$D$52,"P",AX$45:AX$52,"&lt;&gt;")=0,"",IFERROR(SUMPRODUCT(--($A$45:$A$52="Activity"),--($D$45:$D$52="P"),$O$45:$O$52,AX$45:AX$52)/SUMPRODUCT(--($A$45:$A$52="Activity"),--($D$45:$D$52="P"),$O$45:$O$52),""))</f>
        <v>9.7222222222222196E-2</v>
      </c>
      <c r="AY43" s="45">
        <f t="shared" si="44"/>
        <v>4.8611111111111119E-2</v>
      </c>
      <c r="AZ43" s="45">
        <f t="shared" si="44"/>
        <v>0.10416666666666664</v>
      </c>
      <c r="BA43" s="45">
        <f t="shared" si="44"/>
        <v>0.14583333333333334</v>
      </c>
      <c r="BB43" s="45">
        <f t="shared" si="44"/>
        <v>4.3063387178925078E-2</v>
      </c>
      <c r="BC43" s="45">
        <f t="shared" si="44"/>
        <v>0.14664787077057984</v>
      </c>
      <c r="BD43" s="45">
        <f t="shared" si="44"/>
        <v>6.0288742050495073E-2</v>
      </c>
      <c r="BE43" s="45">
        <f t="shared" si="44"/>
        <v>4.3063387178925078E-2</v>
      </c>
      <c r="BF43" s="45">
        <f t="shared" si="44"/>
        <v>0.14664787077057984</v>
      </c>
      <c r="BG43" s="45">
        <f t="shared" si="44"/>
        <v>6.0288742050495073E-2</v>
      </c>
      <c r="BH43" s="45" t="str">
        <f t="shared" si="44"/>
        <v/>
      </c>
      <c r="BI43" s="45" t="str">
        <f t="shared" si="44"/>
        <v/>
      </c>
      <c r="BJ43" s="45" t="str">
        <f t="shared" si="44"/>
        <v/>
      </c>
      <c r="BK43" s="45" t="str">
        <f t="shared" si="44"/>
        <v/>
      </c>
      <c r="BL43" s="45" t="str">
        <f t="shared" si="44"/>
        <v/>
      </c>
      <c r="BM43" s="45" t="str">
        <f t="shared" si="44"/>
        <v/>
      </c>
      <c r="BN43" s="45" t="str">
        <f t="shared" si="44"/>
        <v/>
      </c>
      <c r="BO43" s="45" t="str">
        <f t="shared" si="44"/>
        <v/>
      </c>
      <c r="BP43" s="45" t="str">
        <f t="shared" si="44"/>
        <v/>
      </c>
      <c r="BQ43" s="45" t="str">
        <f t="shared" si="44"/>
        <v/>
      </c>
      <c r="BR43" s="45" t="str">
        <f t="shared" si="44"/>
        <v/>
      </c>
      <c r="BS43" s="45" t="str">
        <f t="shared" si="44"/>
        <v/>
      </c>
      <c r="BT43" s="45" t="str">
        <f t="shared" si="44"/>
        <v/>
      </c>
      <c r="BU43" s="45" t="str">
        <f t="shared" si="44"/>
        <v/>
      </c>
      <c r="BV43" s="45" t="str">
        <f t="shared" si="44"/>
        <v/>
      </c>
      <c r="BW43" s="45" t="str">
        <f t="shared" si="44"/>
        <v/>
      </c>
      <c r="BX43" s="45" t="str">
        <f t="shared" si="44"/>
        <v/>
      </c>
      <c r="BY43" s="45" t="str">
        <f t="shared" si="44"/>
        <v/>
      </c>
      <c r="BZ43" s="45" t="str">
        <f t="shared" si="44"/>
        <v/>
      </c>
      <c r="CA43" s="45" t="str">
        <f t="shared" si="44"/>
        <v/>
      </c>
      <c r="CB43" s="45" t="str">
        <f t="shared" si="44"/>
        <v/>
      </c>
      <c r="CC43" s="45" t="str">
        <f t="shared" si="44"/>
        <v/>
      </c>
      <c r="CD43" s="45" t="str">
        <f t="shared" ref="CD43:CO43" si="45">IF(COUNTIFS($A$45:$A$52,"Activity",$D$45:$D$52,"P",CD$45:CD$52,"&lt;&gt;")=0,"",IFERROR(SUMPRODUCT(--($A$45:$A$52="Activity"),--($D$45:$D$52="P"),$O$45:$O$52,CD$45:CD$52)/SUMPRODUCT(--($A$45:$A$52="Activity"),--($D$45:$D$52="P"),$O$45:$O$52),""))</f>
        <v/>
      </c>
      <c r="CE43" s="45" t="str">
        <f t="shared" si="45"/>
        <v/>
      </c>
      <c r="CF43" s="45" t="str">
        <f t="shared" si="45"/>
        <v/>
      </c>
      <c r="CG43" s="45" t="str">
        <f t="shared" si="45"/>
        <v/>
      </c>
      <c r="CH43" s="45" t="str">
        <f t="shared" si="45"/>
        <v/>
      </c>
      <c r="CI43" s="45" t="str">
        <f t="shared" si="45"/>
        <v/>
      </c>
      <c r="CJ43" s="45" t="str">
        <f t="shared" si="45"/>
        <v/>
      </c>
      <c r="CK43" s="45" t="str">
        <f t="shared" si="45"/>
        <v/>
      </c>
      <c r="CL43" s="45" t="str">
        <f t="shared" si="45"/>
        <v/>
      </c>
      <c r="CM43" s="45" t="str">
        <f t="shared" si="45"/>
        <v/>
      </c>
      <c r="CN43" s="45" t="str">
        <f t="shared" si="45"/>
        <v/>
      </c>
      <c r="CO43" s="45" t="str">
        <f t="shared" si="45"/>
        <v/>
      </c>
    </row>
    <row r="44" spans="1:93" outlineLevel="2" x14ac:dyDescent="0.25">
      <c r="A44" s="1"/>
      <c r="B44" s="1"/>
      <c r="C44" s="6"/>
      <c r="D44" s="8" t="s">
        <v>111</v>
      </c>
      <c r="E44" s="1"/>
      <c r="F44" s="1"/>
      <c r="G44" s="1"/>
      <c r="H44" s="1"/>
      <c r="I44" s="9"/>
      <c r="J44" s="9"/>
      <c r="K44" s="9"/>
      <c r="L44" s="9"/>
      <c r="M44" s="3" t="str">
        <f t="shared" si="0"/>
        <v/>
      </c>
      <c r="N44" s="3"/>
      <c r="O44" s="46">
        <f>O43</f>
        <v>400000</v>
      </c>
      <c r="P44" s="4"/>
      <c r="Q44" s="5"/>
      <c r="R44" s="45" t="str">
        <f t="shared" ref="R44:AW44" si="46">IF(COUNTIFS($E$45:$E$52,"&lt;&gt;",$D$45:$D$52,"A",R$45:R$52,"&lt;&gt;")=0,"",IFERROR(SUMPRODUCT(--($E$45:$E$52&lt;&gt;""),--($D$45:$D$52="A"),$O$45:$O$52,R$45:R$52)/SUMPRODUCT(--($E$45:$E$52&lt;&gt;""),--($D$45:$D$52="A"),$O$45:$O$52),""))</f>
        <v/>
      </c>
      <c r="S44" s="45" t="str">
        <f t="shared" si="46"/>
        <v/>
      </c>
      <c r="T44" s="45" t="str">
        <f t="shared" si="46"/>
        <v/>
      </c>
      <c r="U44" s="45" t="str">
        <f t="shared" si="46"/>
        <v/>
      </c>
      <c r="V44" s="45" t="str">
        <f t="shared" si="46"/>
        <v/>
      </c>
      <c r="W44" s="45" t="str">
        <f t="shared" si="46"/>
        <v/>
      </c>
      <c r="X44" s="45" t="str">
        <f t="shared" si="46"/>
        <v/>
      </c>
      <c r="Y44" s="45" t="str">
        <f t="shared" si="46"/>
        <v/>
      </c>
      <c r="Z44" s="45" t="str">
        <f t="shared" si="46"/>
        <v/>
      </c>
      <c r="AA44" s="45" t="str">
        <f t="shared" si="46"/>
        <v/>
      </c>
      <c r="AB44" s="45" t="str">
        <f t="shared" si="46"/>
        <v/>
      </c>
      <c r="AC44" s="45" t="str">
        <f t="shared" si="46"/>
        <v/>
      </c>
      <c r="AD44" s="45" t="str">
        <f t="shared" si="46"/>
        <v/>
      </c>
      <c r="AE44" s="45" t="str">
        <f t="shared" si="46"/>
        <v/>
      </c>
      <c r="AF44" s="45" t="str">
        <f t="shared" si="46"/>
        <v/>
      </c>
      <c r="AG44" s="45" t="str">
        <f t="shared" si="46"/>
        <v/>
      </c>
      <c r="AH44" s="45" t="str">
        <f t="shared" si="46"/>
        <v/>
      </c>
      <c r="AI44" s="45" t="str">
        <f t="shared" si="46"/>
        <v/>
      </c>
      <c r="AJ44" s="45" t="str">
        <f t="shared" si="46"/>
        <v/>
      </c>
      <c r="AK44" s="45" t="str">
        <f t="shared" si="46"/>
        <v/>
      </c>
      <c r="AL44" s="45" t="str">
        <f t="shared" si="46"/>
        <v/>
      </c>
      <c r="AM44" s="45" t="str">
        <f t="shared" si="46"/>
        <v/>
      </c>
      <c r="AN44" s="45" t="str">
        <f t="shared" si="46"/>
        <v/>
      </c>
      <c r="AO44" s="45" t="str">
        <f t="shared" si="46"/>
        <v/>
      </c>
      <c r="AP44" s="45" t="str">
        <f t="shared" si="46"/>
        <v/>
      </c>
      <c r="AQ44" s="45" t="str">
        <f t="shared" si="46"/>
        <v/>
      </c>
      <c r="AR44" s="45" t="str">
        <f t="shared" si="46"/>
        <v/>
      </c>
      <c r="AS44" s="45" t="str">
        <f t="shared" si="46"/>
        <v/>
      </c>
      <c r="AT44" s="45" t="str">
        <f t="shared" si="46"/>
        <v/>
      </c>
      <c r="AU44" s="45" t="str">
        <f t="shared" si="46"/>
        <v/>
      </c>
      <c r="AV44" s="45" t="str">
        <f t="shared" si="46"/>
        <v/>
      </c>
      <c r="AW44" s="45" t="str">
        <f t="shared" si="46"/>
        <v/>
      </c>
      <c r="AX44" s="45" t="str">
        <f t="shared" ref="AX44:CC44" si="47">IF(COUNTIFS($E$45:$E$52,"&lt;&gt;",$D$45:$D$52,"A",AX$45:AX$52,"&lt;&gt;")=0,"",IFERROR(SUMPRODUCT(--($E$45:$E$52&lt;&gt;""),--($D$45:$D$52="A"),$O$45:$O$52,AX$45:AX$52)/SUMPRODUCT(--($E$45:$E$52&lt;&gt;""),--($D$45:$D$52="A"),$O$45:$O$52),""))</f>
        <v/>
      </c>
      <c r="AY44" s="45" t="str">
        <f t="shared" si="47"/>
        <v/>
      </c>
      <c r="AZ44" s="45" t="str">
        <f t="shared" si="47"/>
        <v/>
      </c>
      <c r="BA44" s="45" t="str">
        <f t="shared" si="47"/>
        <v/>
      </c>
      <c r="BB44" s="45" t="str">
        <f t="shared" si="47"/>
        <v/>
      </c>
      <c r="BC44" s="45" t="str">
        <f t="shared" si="47"/>
        <v/>
      </c>
      <c r="BD44" s="45" t="str">
        <f t="shared" si="47"/>
        <v/>
      </c>
      <c r="BE44" s="45" t="str">
        <f t="shared" si="47"/>
        <v/>
      </c>
      <c r="BF44" s="45" t="str">
        <f t="shared" si="47"/>
        <v/>
      </c>
      <c r="BG44" s="45" t="str">
        <f t="shared" si="47"/>
        <v/>
      </c>
      <c r="BH44" s="45" t="str">
        <f t="shared" si="47"/>
        <v/>
      </c>
      <c r="BI44" s="45" t="str">
        <f t="shared" si="47"/>
        <v/>
      </c>
      <c r="BJ44" s="45" t="str">
        <f t="shared" si="47"/>
        <v/>
      </c>
      <c r="BK44" s="45" t="str">
        <f t="shared" si="47"/>
        <v/>
      </c>
      <c r="BL44" s="45" t="str">
        <f t="shared" si="47"/>
        <v/>
      </c>
      <c r="BM44" s="45" t="str">
        <f t="shared" si="47"/>
        <v/>
      </c>
      <c r="BN44" s="45" t="str">
        <f t="shared" si="47"/>
        <v/>
      </c>
      <c r="BO44" s="45" t="str">
        <f t="shared" si="47"/>
        <v/>
      </c>
      <c r="BP44" s="45" t="str">
        <f t="shared" si="47"/>
        <v/>
      </c>
      <c r="BQ44" s="45" t="str">
        <f t="shared" si="47"/>
        <v/>
      </c>
      <c r="BR44" s="45" t="str">
        <f t="shared" si="47"/>
        <v/>
      </c>
      <c r="BS44" s="45" t="str">
        <f t="shared" si="47"/>
        <v/>
      </c>
      <c r="BT44" s="45" t="str">
        <f t="shared" si="47"/>
        <v/>
      </c>
      <c r="BU44" s="45" t="str">
        <f t="shared" si="47"/>
        <v/>
      </c>
      <c r="BV44" s="45" t="str">
        <f t="shared" si="47"/>
        <v/>
      </c>
      <c r="BW44" s="45" t="str">
        <f t="shared" si="47"/>
        <v/>
      </c>
      <c r="BX44" s="45" t="str">
        <f t="shared" si="47"/>
        <v/>
      </c>
      <c r="BY44" s="45" t="str">
        <f t="shared" si="47"/>
        <v/>
      </c>
      <c r="BZ44" s="45" t="str">
        <f t="shared" si="47"/>
        <v/>
      </c>
      <c r="CA44" s="45" t="str">
        <f t="shared" si="47"/>
        <v/>
      </c>
      <c r="CB44" s="45" t="str">
        <f t="shared" si="47"/>
        <v/>
      </c>
      <c r="CC44" s="45" t="str">
        <f t="shared" si="47"/>
        <v/>
      </c>
      <c r="CD44" s="45" t="str">
        <f t="shared" ref="CD44:CO44" si="48">IF(COUNTIFS($E$45:$E$52,"&lt;&gt;",$D$45:$D$52,"A",CD$45:CD$52,"&lt;&gt;")=0,"",IFERROR(SUMPRODUCT(--($E$45:$E$52&lt;&gt;""),--($D$45:$D$52="A"),$O$45:$O$52,CD$45:CD$52)/SUMPRODUCT(--($E$45:$E$52&lt;&gt;""),--($D$45:$D$52="A"),$O$45:$O$52),""))</f>
        <v/>
      </c>
      <c r="CE44" s="45" t="str">
        <f t="shared" si="48"/>
        <v/>
      </c>
      <c r="CF44" s="45" t="str">
        <f t="shared" si="48"/>
        <v/>
      </c>
      <c r="CG44" s="45" t="str">
        <f t="shared" si="48"/>
        <v/>
      </c>
      <c r="CH44" s="45" t="str">
        <f t="shared" si="48"/>
        <v/>
      </c>
      <c r="CI44" s="45" t="str">
        <f t="shared" si="48"/>
        <v/>
      </c>
      <c r="CJ44" s="45" t="str">
        <f t="shared" si="48"/>
        <v/>
      </c>
      <c r="CK44" s="45" t="str">
        <f t="shared" si="48"/>
        <v/>
      </c>
      <c r="CL44" s="45" t="str">
        <f t="shared" si="48"/>
        <v/>
      </c>
      <c r="CM44" s="45" t="str">
        <f t="shared" si="48"/>
        <v/>
      </c>
      <c r="CN44" s="45" t="str">
        <f t="shared" si="48"/>
        <v/>
      </c>
      <c r="CO44" s="45" t="str">
        <f t="shared" si="48"/>
        <v/>
      </c>
    </row>
    <row r="45" spans="1:93" outlineLevel="3" x14ac:dyDescent="0.25">
      <c r="A45" s="10" t="s">
        <v>116</v>
      </c>
      <c r="B45" s="10" t="s">
        <v>163</v>
      </c>
      <c r="C45" s="11" t="s">
        <v>164</v>
      </c>
      <c r="D45" s="12" t="s">
        <v>110</v>
      </c>
      <c r="E45" s="10" t="s">
        <v>165</v>
      </c>
      <c r="F45" s="10">
        <v>20</v>
      </c>
      <c r="G45" s="10">
        <v>20</v>
      </c>
      <c r="H45" s="10">
        <v>3</v>
      </c>
      <c r="I45" s="13">
        <v>46258.333333333343</v>
      </c>
      <c r="J45" s="13">
        <v>46276.666666666657</v>
      </c>
      <c r="K45" s="13"/>
      <c r="L45" s="13"/>
      <c r="M45" s="14">
        <f t="shared" si="0"/>
        <v>0.99999999999999989</v>
      </c>
      <c r="N45" s="14"/>
      <c r="O45" s="16">
        <v>100000</v>
      </c>
      <c r="P45" s="15">
        <v>0.8</v>
      </c>
      <c r="Q45" s="1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>
        <v>0.41666666666666657</v>
      </c>
      <c r="AX45" s="47">
        <v>0.38888888888888878</v>
      </c>
      <c r="AY45" s="47">
        <v>0.1944444444444445</v>
      </c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</row>
    <row r="46" spans="1:93" outlineLevel="3" x14ac:dyDescent="0.25">
      <c r="A46" s="17"/>
      <c r="B46" s="17"/>
      <c r="C46" s="18"/>
      <c r="D46" s="19" t="s">
        <v>111</v>
      </c>
      <c r="E46" s="17" t="s">
        <v>165</v>
      </c>
      <c r="F46" s="17"/>
      <c r="G46" s="17"/>
      <c r="H46" s="17"/>
      <c r="I46" s="20"/>
      <c r="J46" s="20"/>
      <c r="K46" s="20"/>
      <c r="L46" s="20"/>
      <c r="M46" s="21" t="str">
        <f t="shared" si="0"/>
        <v/>
      </c>
      <c r="N46" s="21">
        <v>0</v>
      </c>
      <c r="O46" s="48">
        <f>O45</f>
        <v>100000</v>
      </c>
      <c r="P46" s="22"/>
      <c r="Q46" s="23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</row>
    <row r="47" spans="1:93" outlineLevel="3" x14ac:dyDescent="0.25">
      <c r="A47" s="10" t="s">
        <v>116</v>
      </c>
      <c r="B47" s="10" t="s">
        <v>166</v>
      </c>
      <c r="C47" s="11" t="s">
        <v>167</v>
      </c>
      <c r="D47" s="12" t="s">
        <v>110</v>
      </c>
      <c r="E47" s="10" t="s">
        <v>168</v>
      </c>
      <c r="F47" s="10">
        <v>21</v>
      </c>
      <c r="G47" s="10">
        <v>21</v>
      </c>
      <c r="H47" s="10">
        <v>3</v>
      </c>
      <c r="I47" s="13">
        <v>46279.333333333343</v>
      </c>
      <c r="J47" s="13">
        <v>46290.666666666657</v>
      </c>
      <c r="K47" s="13"/>
      <c r="L47" s="13"/>
      <c r="M47" s="14">
        <f t="shared" si="0"/>
        <v>1</v>
      </c>
      <c r="N47" s="14"/>
      <c r="O47" s="16">
        <v>100000</v>
      </c>
      <c r="P47" s="15">
        <v>1.466666666666667</v>
      </c>
      <c r="Q47" s="1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>
        <v>0.41666666666666657</v>
      </c>
      <c r="BA47" s="47">
        <v>0.58333333333333337</v>
      </c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</row>
    <row r="48" spans="1:93" outlineLevel="3" x14ac:dyDescent="0.25">
      <c r="A48" s="17"/>
      <c r="B48" s="17"/>
      <c r="C48" s="18"/>
      <c r="D48" s="19" t="s">
        <v>111</v>
      </c>
      <c r="E48" s="17" t="s">
        <v>168</v>
      </c>
      <c r="F48" s="17"/>
      <c r="G48" s="17"/>
      <c r="H48" s="17"/>
      <c r="I48" s="20"/>
      <c r="J48" s="20"/>
      <c r="K48" s="20"/>
      <c r="L48" s="20"/>
      <c r="M48" s="21" t="str">
        <f t="shared" si="0"/>
        <v/>
      </c>
      <c r="N48" s="21">
        <v>0</v>
      </c>
      <c r="O48" s="48">
        <f>O47</f>
        <v>100000</v>
      </c>
      <c r="P48" s="22"/>
      <c r="Q48" s="23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</row>
    <row r="49" spans="1:93" outlineLevel="3" x14ac:dyDescent="0.25">
      <c r="A49" s="10" t="s">
        <v>116</v>
      </c>
      <c r="B49" s="10" t="s">
        <v>169</v>
      </c>
      <c r="C49" s="11" t="s">
        <v>170</v>
      </c>
      <c r="D49" s="12" t="s">
        <v>110</v>
      </c>
      <c r="E49" s="10" t="s">
        <v>171</v>
      </c>
      <c r="F49" s="10">
        <v>22</v>
      </c>
      <c r="G49" s="10">
        <v>22</v>
      </c>
      <c r="H49" s="10">
        <v>3</v>
      </c>
      <c r="I49" s="13">
        <v>46293.333333333343</v>
      </c>
      <c r="J49" s="13">
        <v>46311.666666666657</v>
      </c>
      <c r="K49" s="13"/>
      <c r="L49" s="13"/>
      <c r="M49" s="14">
        <f t="shared" si="0"/>
        <v>1</v>
      </c>
      <c r="N49" s="14"/>
      <c r="O49" s="16">
        <v>100000</v>
      </c>
      <c r="P49" s="15">
        <v>1.466666666666667</v>
      </c>
      <c r="Q49" s="1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>
        <v>0.17225354871570031</v>
      </c>
      <c r="BC49" s="47">
        <v>0.58659148308231934</v>
      </c>
      <c r="BD49" s="47">
        <v>0.24115496820198029</v>
      </c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</row>
    <row r="50" spans="1:93" outlineLevel="3" x14ac:dyDescent="0.25">
      <c r="A50" s="17"/>
      <c r="B50" s="17"/>
      <c r="C50" s="18"/>
      <c r="D50" s="19" t="s">
        <v>111</v>
      </c>
      <c r="E50" s="17" t="s">
        <v>171</v>
      </c>
      <c r="F50" s="17"/>
      <c r="G50" s="17"/>
      <c r="H50" s="17"/>
      <c r="I50" s="20"/>
      <c r="J50" s="20"/>
      <c r="K50" s="20"/>
      <c r="L50" s="20"/>
      <c r="M50" s="21" t="str">
        <f t="shared" si="0"/>
        <v/>
      </c>
      <c r="N50" s="21">
        <v>0</v>
      </c>
      <c r="O50" s="48">
        <f>O49</f>
        <v>100000</v>
      </c>
      <c r="P50" s="22"/>
      <c r="Q50" s="23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</row>
    <row r="51" spans="1:93" outlineLevel="3" x14ac:dyDescent="0.25">
      <c r="A51" s="10" t="s">
        <v>116</v>
      </c>
      <c r="B51" s="10" t="s">
        <v>172</v>
      </c>
      <c r="C51" s="11" t="s">
        <v>173</v>
      </c>
      <c r="D51" s="12" t="s">
        <v>110</v>
      </c>
      <c r="E51" s="10" t="s">
        <v>174</v>
      </c>
      <c r="F51" s="10">
        <v>23</v>
      </c>
      <c r="G51" s="10">
        <v>23</v>
      </c>
      <c r="H51" s="10">
        <v>3</v>
      </c>
      <c r="I51" s="13">
        <v>46314.333333333343</v>
      </c>
      <c r="J51" s="13">
        <v>46332.666666666657</v>
      </c>
      <c r="K51" s="13"/>
      <c r="L51" s="13"/>
      <c r="M51" s="14">
        <f t="shared" si="0"/>
        <v>1</v>
      </c>
      <c r="N51" s="14"/>
      <c r="O51" s="16">
        <v>100000</v>
      </c>
      <c r="P51" s="15">
        <v>1.466666666666667</v>
      </c>
      <c r="Q51" s="1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>
        <v>0.17225354871570031</v>
      </c>
      <c r="BF51" s="47">
        <v>0.58659148308231934</v>
      </c>
      <c r="BG51" s="47">
        <v>0.24115496820198029</v>
      </c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</row>
    <row r="52" spans="1:93" outlineLevel="3" x14ac:dyDescent="0.25">
      <c r="A52" s="17"/>
      <c r="B52" s="17"/>
      <c r="C52" s="18"/>
      <c r="D52" s="19" t="s">
        <v>111</v>
      </c>
      <c r="E52" s="17" t="s">
        <v>174</v>
      </c>
      <c r="F52" s="17"/>
      <c r="G52" s="17"/>
      <c r="H52" s="17"/>
      <c r="I52" s="20"/>
      <c r="J52" s="20"/>
      <c r="K52" s="20"/>
      <c r="L52" s="20"/>
      <c r="M52" s="21" t="str">
        <f t="shared" si="0"/>
        <v/>
      </c>
      <c r="N52" s="21">
        <v>0</v>
      </c>
      <c r="O52" s="48">
        <f>O51</f>
        <v>100000</v>
      </c>
      <c r="P52" s="22"/>
      <c r="Q52" s="23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</row>
    <row r="53" spans="1:93" outlineLevel="2" x14ac:dyDescent="0.25">
      <c r="A53" s="1" t="s">
        <v>92</v>
      </c>
      <c r="B53" s="1" t="s">
        <v>175</v>
      </c>
      <c r="C53" s="6" t="s">
        <v>176</v>
      </c>
      <c r="D53" s="8" t="s">
        <v>110</v>
      </c>
      <c r="E53" s="1"/>
      <c r="F53" s="1">
        <v>24</v>
      </c>
      <c r="G53" s="1">
        <v>24</v>
      </c>
      <c r="H53" s="1">
        <v>2</v>
      </c>
      <c r="I53" s="9">
        <v>46279.333333333343</v>
      </c>
      <c r="J53" s="9">
        <v>46324.666666666657</v>
      </c>
      <c r="K53" s="9"/>
      <c r="L53" s="9"/>
      <c r="M53" s="3">
        <f t="shared" si="0"/>
        <v>0.99999999999999989</v>
      </c>
      <c r="N53" s="3"/>
      <c r="O53" s="5">
        <f>SUMIFS($O$54:$O$61,$A$54:$A$61,"Activity",$D$54:$D$61,"P")</f>
        <v>400000</v>
      </c>
      <c r="P53" s="4"/>
      <c r="Q53" s="5"/>
      <c r="R53" s="45" t="str">
        <f t="shared" ref="R53:AW53" si="49">IF(COUNTIFS($A$55:$A$62,"Activity",$D$55:$D$62,"P",R$55:R$62,"&lt;&gt;")=0,"",IFERROR(SUMPRODUCT(--($A$55:$A$62="Activity"),--($D$55:$D$62="P"),$O$55:$O$62,R$55:R$62)/SUMPRODUCT(--($A$55:$A$62="Activity"),--($D$55:$D$62="P"),$O$55:$O$62),""))</f>
        <v/>
      </c>
      <c r="S53" s="45" t="str">
        <f t="shared" si="49"/>
        <v/>
      </c>
      <c r="T53" s="45" t="str">
        <f t="shared" si="49"/>
        <v/>
      </c>
      <c r="U53" s="45" t="str">
        <f t="shared" si="49"/>
        <v/>
      </c>
      <c r="V53" s="45" t="str">
        <f t="shared" si="49"/>
        <v/>
      </c>
      <c r="W53" s="45" t="str">
        <f t="shared" si="49"/>
        <v/>
      </c>
      <c r="X53" s="45" t="str">
        <f t="shared" si="49"/>
        <v/>
      </c>
      <c r="Y53" s="45" t="str">
        <f t="shared" si="49"/>
        <v/>
      </c>
      <c r="Z53" s="45" t="str">
        <f t="shared" si="49"/>
        <v/>
      </c>
      <c r="AA53" s="45" t="str">
        <f t="shared" si="49"/>
        <v/>
      </c>
      <c r="AB53" s="45" t="str">
        <f t="shared" si="49"/>
        <v/>
      </c>
      <c r="AC53" s="45" t="str">
        <f t="shared" si="49"/>
        <v/>
      </c>
      <c r="AD53" s="45" t="str">
        <f t="shared" si="49"/>
        <v/>
      </c>
      <c r="AE53" s="45" t="str">
        <f t="shared" si="49"/>
        <v/>
      </c>
      <c r="AF53" s="45" t="str">
        <f t="shared" si="49"/>
        <v/>
      </c>
      <c r="AG53" s="45" t="str">
        <f t="shared" si="49"/>
        <v/>
      </c>
      <c r="AH53" s="45" t="str">
        <f t="shared" si="49"/>
        <v/>
      </c>
      <c r="AI53" s="45" t="str">
        <f t="shared" si="49"/>
        <v/>
      </c>
      <c r="AJ53" s="45" t="str">
        <f t="shared" si="49"/>
        <v/>
      </c>
      <c r="AK53" s="45" t="str">
        <f t="shared" si="49"/>
        <v/>
      </c>
      <c r="AL53" s="45" t="str">
        <f t="shared" si="49"/>
        <v/>
      </c>
      <c r="AM53" s="45" t="str">
        <f t="shared" si="49"/>
        <v/>
      </c>
      <c r="AN53" s="45" t="str">
        <f t="shared" si="49"/>
        <v/>
      </c>
      <c r="AO53" s="45" t="str">
        <f t="shared" si="49"/>
        <v/>
      </c>
      <c r="AP53" s="45" t="str">
        <f t="shared" si="49"/>
        <v/>
      </c>
      <c r="AQ53" s="45" t="str">
        <f t="shared" si="49"/>
        <v/>
      </c>
      <c r="AR53" s="45" t="str">
        <f t="shared" si="49"/>
        <v/>
      </c>
      <c r="AS53" s="45" t="str">
        <f t="shared" si="49"/>
        <v/>
      </c>
      <c r="AT53" s="45" t="str">
        <f t="shared" si="49"/>
        <v/>
      </c>
      <c r="AU53" s="45" t="str">
        <f t="shared" si="49"/>
        <v/>
      </c>
      <c r="AV53" s="45" t="str">
        <f t="shared" si="49"/>
        <v/>
      </c>
      <c r="AW53" s="45" t="str">
        <f t="shared" si="49"/>
        <v/>
      </c>
      <c r="AX53" s="45" t="str">
        <f t="shared" ref="AX53:CC53" si="50">IF(COUNTIFS($A$55:$A$62,"Activity",$D$55:$D$62,"P",AX$55:AX$62,"&lt;&gt;")=0,"",IFERROR(SUMPRODUCT(--($A$55:$A$62="Activity"),--($D$55:$D$62="P"),$O$55:$O$62,AX$55:AX$62)/SUMPRODUCT(--($A$55:$A$62="Activity"),--($D$55:$D$62="P"),$O$55:$O$62),""))</f>
        <v/>
      </c>
      <c r="AY53" s="45" t="str">
        <f t="shared" si="50"/>
        <v/>
      </c>
      <c r="AZ53" s="45">
        <f t="shared" si="50"/>
        <v>0.17857142857142858</v>
      </c>
      <c r="BA53" s="45">
        <f t="shared" si="50"/>
        <v>0.15476190476190477</v>
      </c>
      <c r="BB53" s="45">
        <f t="shared" si="50"/>
        <v>0.17707163720132965</v>
      </c>
      <c r="BC53" s="45">
        <f t="shared" si="50"/>
        <v>0.1771652062573589</v>
      </c>
      <c r="BD53" s="45">
        <f t="shared" si="50"/>
        <v>7.2834793742641055E-2</v>
      </c>
      <c r="BE53" s="45">
        <f t="shared" si="50"/>
        <v>0.1771652062573589</v>
      </c>
      <c r="BF53" s="45">
        <f t="shared" si="50"/>
        <v>6.242982320797804E-2</v>
      </c>
      <c r="BG53" s="45" t="str">
        <f t="shared" si="50"/>
        <v/>
      </c>
      <c r="BH53" s="45" t="str">
        <f t="shared" si="50"/>
        <v/>
      </c>
      <c r="BI53" s="45" t="str">
        <f t="shared" si="50"/>
        <v/>
      </c>
      <c r="BJ53" s="45" t="str">
        <f t="shared" si="50"/>
        <v/>
      </c>
      <c r="BK53" s="45" t="str">
        <f t="shared" si="50"/>
        <v/>
      </c>
      <c r="BL53" s="45" t="str">
        <f t="shared" si="50"/>
        <v/>
      </c>
      <c r="BM53" s="45" t="str">
        <f t="shared" si="50"/>
        <v/>
      </c>
      <c r="BN53" s="45" t="str">
        <f t="shared" si="50"/>
        <v/>
      </c>
      <c r="BO53" s="45" t="str">
        <f t="shared" si="50"/>
        <v/>
      </c>
      <c r="BP53" s="45" t="str">
        <f t="shared" si="50"/>
        <v/>
      </c>
      <c r="BQ53" s="45" t="str">
        <f t="shared" si="50"/>
        <v/>
      </c>
      <c r="BR53" s="45" t="str">
        <f t="shared" si="50"/>
        <v/>
      </c>
      <c r="BS53" s="45" t="str">
        <f t="shared" si="50"/>
        <v/>
      </c>
      <c r="BT53" s="45" t="str">
        <f t="shared" si="50"/>
        <v/>
      </c>
      <c r="BU53" s="45" t="str">
        <f t="shared" si="50"/>
        <v/>
      </c>
      <c r="BV53" s="45" t="str">
        <f t="shared" si="50"/>
        <v/>
      </c>
      <c r="BW53" s="45" t="str">
        <f t="shared" si="50"/>
        <v/>
      </c>
      <c r="BX53" s="45" t="str">
        <f t="shared" si="50"/>
        <v/>
      </c>
      <c r="BY53" s="45" t="str">
        <f t="shared" si="50"/>
        <v/>
      </c>
      <c r="BZ53" s="45" t="str">
        <f t="shared" si="50"/>
        <v/>
      </c>
      <c r="CA53" s="45" t="str">
        <f t="shared" si="50"/>
        <v/>
      </c>
      <c r="CB53" s="45" t="str">
        <f t="shared" si="50"/>
        <v/>
      </c>
      <c r="CC53" s="45" t="str">
        <f t="shared" si="50"/>
        <v/>
      </c>
      <c r="CD53" s="45" t="str">
        <f t="shared" ref="CD53:CO53" si="51">IF(COUNTIFS($A$55:$A$62,"Activity",$D$55:$D$62,"P",CD$55:CD$62,"&lt;&gt;")=0,"",IFERROR(SUMPRODUCT(--($A$55:$A$62="Activity"),--($D$55:$D$62="P"),$O$55:$O$62,CD$55:CD$62)/SUMPRODUCT(--($A$55:$A$62="Activity"),--($D$55:$D$62="P"),$O$55:$O$62),""))</f>
        <v/>
      </c>
      <c r="CE53" s="45" t="str">
        <f t="shared" si="51"/>
        <v/>
      </c>
      <c r="CF53" s="45" t="str">
        <f t="shared" si="51"/>
        <v/>
      </c>
      <c r="CG53" s="45" t="str">
        <f t="shared" si="51"/>
        <v/>
      </c>
      <c r="CH53" s="45" t="str">
        <f t="shared" si="51"/>
        <v/>
      </c>
      <c r="CI53" s="45" t="str">
        <f t="shared" si="51"/>
        <v/>
      </c>
      <c r="CJ53" s="45" t="str">
        <f t="shared" si="51"/>
        <v/>
      </c>
      <c r="CK53" s="45" t="str">
        <f t="shared" si="51"/>
        <v/>
      </c>
      <c r="CL53" s="45" t="str">
        <f t="shared" si="51"/>
        <v/>
      </c>
      <c r="CM53" s="45" t="str">
        <f t="shared" si="51"/>
        <v/>
      </c>
      <c r="CN53" s="45" t="str">
        <f t="shared" si="51"/>
        <v/>
      </c>
      <c r="CO53" s="45" t="str">
        <f t="shared" si="51"/>
        <v/>
      </c>
    </row>
    <row r="54" spans="1:93" outlineLevel="2" x14ac:dyDescent="0.25">
      <c r="A54" s="1"/>
      <c r="B54" s="1"/>
      <c r="C54" s="6"/>
      <c r="D54" s="8" t="s">
        <v>111</v>
      </c>
      <c r="E54" s="1"/>
      <c r="F54" s="1"/>
      <c r="G54" s="1"/>
      <c r="H54" s="1"/>
      <c r="I54" s="9"/>
      <c r="J54" s="9"/>
      <c r="K54" s="9"/>
      <c r="L54" s="9"/>
      <c r="M54" s="3" t="str">
        <f t="shared" si="0"/>
        <v/>
      </c>
      <c r="N54" s="3"/>
      <c r="O54" s="46">
        <f>O53</f>
        <v>400000</v>
      </c>
      <c r="P54" s="4"/>
      <c r="Q54" s="5"/>
      <c r="R54" s="45" t="str">
        <f t="shared" ref="R54:AW54" si="52">IF(COUNTIFS($E$55:$E$62,"&lt;&gt;",$D$55:$D$62,"A",R$55:R$62,"&lt;&gt;")=0,"",IFERROR(SUMPRODUCT(--($E$55:$E$62&lt;&gt;""),--($D$55:$D$62="A"),$O$55:$O$62,R$55:R$62)/SUMPRODUCT(--($E$55:$E$62&lt;&gt;""),--($D$55:$D$62="A"),$O$55:$O$62),""))</f>
        <v/>
      </c>
      <c r="S54" s="45" t="str">
        <f t="shared" si="52"/>
        <v/>
      </c>
      <c r="T54" s="45" t="str">
        <f t="shared" si="52"/>
        <v/>
      </c>
      <c r="U54" s="45" t="str">
        <f t="shared" si="52"/>
        <v/>
      </c>
      <c r="V54" s="45" t="str">
        <f t="shared" si="52"/>
        <v/>
      </c>
      <c r="W54" s="45" t="str">
        <f t="shared" si="52"/>
        <v/>
      </c>
      <c r="X54" s="45" t="str">
        <f t="shared" si="52"/>
        <v/>
      </c>
      <c r="Y54" s="45" t="str">
        <f t="shared" si="52"/>
        <v/>
      </c>
      <c r="Z54" s="45" t="str">
        <f t="shared" si="52"/>
        <v/>
      </c>
      <c r="AA54" s="45" t="str">
        <f t="shared" si="52"/>
        <v/>
      </c>
      <c r="AB54" s="45" t="str">
        <f t="shared" si="52"/>
        <v/>
      </c>
      <c r="AC54" s="45" t="str">
        <f t="shared" si="52"/>
        <v/>
      </c>
      <c r="AD54" s="45" t="str">
        <f t="shared" si="52"/>
        <v/>
      </c>
      <c r="AE54" s="45" t="str">
        <f t="shared" si="52"/>
        <v/>
      </c>
      <c r="AF54" s="45" t="str">
        <f t="shared" si="52"/>
        <v/>
      </c>
      <c r="AG54" s="45" t="str">
        <f t="shared" si="52"/>
        <v/>
      </c>
      <c r="AH54" s="45" t="str">
        <f t="shared" si="52"/>
        <v/>
      </c>
      <c r="AI54" s="45" t="str">
        <f t="shared" si="52"/>
        <v/>
      </c>
      <c r="AJ54" s="45" t="str">
        <f t="shared" si="52"/>
        <v/>
      </c>
      <c r="AK54" s="45" t="str">
        <f t="shared" si="52"/>
        <v/>
      </c>
      <c r="AL54" s="45" t="str">
        <f t="shared" si="52"/>
        <v/>
      </c>
      <c r="AM54" s="45" t="str">
        <f t="shared" si="52"/>
        <v/>
      </c>
      <c r="AN54" s="45" t="str">
        <f t="shared" si="52"/>
        <v/>
      </c>
      <c r="AO54" s="45" t="str">
        <f t="shared" si="52"/>
        <v/>
      </c>
      <c r="AP54" s="45" t="str">
        <f t="shared" si="52"/>
        <v/>
      </c>
      <c r="AQ54" s="45" t="str">
        <f t="shared" si="52"/>
        <v/>
      </c>
      <c r="AR54" s="45" t="str">
        <f t="shared" si="52"/>
        <v/>
      </c>
      <c r="AS54" s="45" t="str">
        <f t="shared" si="52"/>
        <v/>
      </c>
      <c r="AT54" s="45" t="str">
        <f t="shared" si="52"/>
        <v/>
      </c>
      <c r="AU54" s="45" t="str">
        <f t="shared" si="52"/>
        <v/>
      </c>
      <c r="AV54" s="45" t="str">
        <f t="shared" si="52"/>
        <v/>
      </c>
      <c r="AW54" s="45" t="str">
        <f t="shared" si="52"/>
        <v/>
      </c>
      <c r="AX54" s="45" t="str">
        <f t="shared" ref="AX54:CC54" si="53">IF(COUNTIFS($E$55:$E$62,"&lt;&gt;",$D$55:$D$62,"A",AX$55:AX$62,"&lt;&gt;")=0,"",IFERROR(SUMPRODUCT(--($E$55:$E$62&lt;&gt;""),--($D$55:$D$62="A"),$O$55:$O$62,AX$55:AX$62)/SUMPRODUCT(--($E$55:$E$62&lt;&gt;""),--($D$55:$D$62="A"),$O$55:$O$62),""))</f>
        <v/>
      </c>
      <c r="AY54" s="45" t="str">
        <f t="shared" si="53"/>
        <v/>
      </c>
      <c r="AZ54" s="45" t="str">
        <f t="shared" si="53"/>
        <v/>
      </c>
      <c r="BA54" s="45" t="str">
        <f t="shared" si="53"/>
        <v/>
      </c>
      <c r="BB54" s="45" t="str">
        <f t="shared" si="53"/>
        <v/>
      </c>
      <c r="BC54" s="45" t="str">
        <f t="shared" si="53"/>
        <v/>
      </c>
      <c r="BD54" s="45" t="str">
        <f t="shared" si="53"/>
        <v/>
      </c>
      <c r="BE54" s="45" t="str">
        <f t="shared" si="53"/>
        <v/>
      </c>
      <c r="BF54" s="45" t="str">
        <f t="shared" si="53"/>
        <v/>
      </c>
      <c r="BG54" s="45" t="str">
        <f t="shared" si="53"/>
        <v/>
      </c>
      <c r="BH54" s="45" t="str">
        <f t="shared" si="53"/>
        <v/>
      </c>
      <c r="BI54" s="45" t="str">
        <f t="shared" si="53"/>
        <v/>
      </c>
      <c r="BJ54" s="45" t="str">
        <f t="shared" si="53"/>
        <v/>
      </c>
      <c r="BK54" s="45" t="str">
        <f t="shared" si="53"/>
        <v/>
      </c>
      <c r="BL54" s="45" t="str">
        <f t="shared" si="53"/>
        <v/>
      </c>
      <c r="BM54" s="45" t="str">
        <f t="shared" si="53"/>
        <v/>
      </c>
      <c r="BN54" s="45" t="str">
        <f t="shared" si="53"/>
        <v/>
      </c>
      <c r="BO54" s="45" t="str">
        <f t="shared" si="53"/>
        <v/>
      </c>
      <c r="BP54" s="45" t="str">
        <f t="shared" si="53"/>
        <v/>
      </c>
      <c r="BQ54" s="45" t="str">
        <f t="shared" si="53"/>
        <v/>
      </c>
      <c r="BR54" s="45" t="str">
        <f t="shared" si="53"/>
        <v/>
      </c>
      <c r="BS54" s="45" t="str">
        <f t="shared" si="53"/>
        <v/>
      </c>
      <c r="BT54" s="45" t="str">
        <f t="shared" si="53"/>
        <v/>
      </c>
      <c r="BU54" s="45" t="str">
        <f t="shared" si="53"/>
        <v/>
      </c>
      <c r="BV54" s="45" t="str">
        <f t="shared" si="53"/>
        <v/>
      </c>
      <c r="BW54" s="45" t="str">
        <f t="shared" si="53"/>
        <v/>
      </c>
      <c r="BX54" s="45" t="str">
        <f t="shared" si="53"/>
        <v/>
      </c>
      <c r="BY54" s="45" t="str">
        <f t="shared" si="53"/>
        <v/>
      </c>
      <c r="BZ54" s="45" t="str">
        <f t="shared" si="53"/>
        <v/>
      </c>
      <c r="CA54" s="45" t="str">
        <f t="shared" si="53"/>
        <v/>
      </c>
      <c r="CB54" s="45" t="str">
        <f t="shared" si="53"/>
        <v/>
      </c>
      <c r="CC54" s="45" t="str">
        <f t="shared" si="53"/>
        <v/>
      </c>
      <c r="CD54" s="45" t="str">
        <f t="shared" ref="CD54:CO54" si="54">IF(COUNTIFS($E$55:$E$62,"&lt;&gt;",$D$55:$D$62,"A",CD$55:CD$62,"&lt;&gt;")=0,"",IFERROR(SUMPRODUCT(--($E$55:$E$62&lt;&gt;""),--($D$55:$D$62="A"),$O$55:$O$62,CD$55:CD$62)/SUMPRODUCT(--($E$55:$E$62&lt;&gt;""),--($D$55:$D$62="A"),$O$55:$O$62),""))</f>
        <v/>
      </c>
      <c r="CE54" s="45" t="str">
        <f t="shared" si="54"/>
        <v/>
      </c>
      <c r="CF54" s="45" t="str">
        <f t="shared" si="54"/>
        <v/>
      </c>
      <c r="CG54" s="45" t="str">
        <f t="shared" si="54"/>
        <v/>
      </c>
      <c r="CH54" s="45" t="str">
        <f t="shared" si="54"/>
        <v/>
      </c>
      <c r="CI54" s="45" t="str">
        <f t="shared" si="54"/>
        <v/>
      </c>
      <c r="CJ54" s="45" t="str">
        <f t="shared" si="54"/>
        <v/>
      </c>
      <c r="CK54" s="45" t="str">
        <f t="shared" si="54"/>
        <v/>
      </c>
      <c r="CL54" s="45" t="str">
        <f t="shared" si="54"/>
        <v/>
      </c>
      <c r="CM54" s="45" t="str">
        <f t="shared" si="54"/>
        <v/>
      </c>
      <c r="CN54" s="45" t="str">
        <f t="shared" si="54"/>
        <v/>
      </c>
      <c r="CO54" s="45" t="str">
        <f t="shared" si="54"/>
        <v/>
      </c>
    </row>
    <row r="55" spans="1:93" outlineLevel="3" x14ac:dyDescent="0.25">
      <c r="A55" s="10" t="s">
        <v>116</v>
      </c>
      <c r="B55" s="10" t="s">
        <v>177</v>
      </c>
      <c r="C55" s="11" t="s">
        <v>164</v>
      </c>
      <c r="D55" s="12" t="s">
        <v>110</v>
      </c>
      <c r="E55" s="10" t="s">
        <v>178</v>
      </c>
      <c r="F55" s="10">
        <v>25</v>
      </c>
      <c r="G55" s="10">
        <v>25</v>
      </c>
      <c r="H55" s="10">
        <v>3</v>
      </c>
      <c r="I55" s="13">
        <v>46279.333333333343</v>
      </c>
      <c r="J55" s="13">
        <v>46287.666666666657</v>
      </c>
      <c r="K55" s="13"/>
      <c r="L55" s="13"/>
      <c r="M55" s="14">
        <f t="shared" si="0"/>
        <v>1</v>
      </c>
      <c r="N55" s="14"/>
      <c r="O55" s="16">
        <v>100000</v>
      </c>
      <c r="P55" s="15">
        <v>0.8</v>
      </c>
      <c r="Q55" s="16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>
        <v>0.7142857142857143</v>
      </c>
      <c r="BA55" s="47">
        <v>0.2857142857142857</v>
      </c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</row>
    <row r="56" spans="1:93" outlineLevel="3" x14ac:dyDescent="0.25">
      <c r="A56" s="17"/>
      <c r="B56" s="17"/>
      <c r="C56" s="18"/>
      <c r="D56" s="19" t="s">
        <v>111</v>
      </c>
      <c r="E56" s="17" t="s">
        <v>178</v>
      </c>
      <c r="F56" s="17"/>
      <c r="G56" s="17"/>
      <c r="H56" s="17"/>
      <c r="I56" s="20"/>
      <c r="J56" s="20"/>
      <c r="K56" s="20"/>
      <c r="L56" s="20"/>
      <c r="M56" s="21" t="str">
        <f t="shared" si="0"/>
        <v/>
      </c>
      <c r="N56" s="21">
        <v>0</v>
      </c>
      <c r="O56" s="48">
        <f>O55</f>
        <v>100000</v>
      </c>
      <c r="P56" s="22"/>
      <c r="Q56" s="23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</row>
    <row r="57" spans="1:93" outlineLevel="3" x14ac:dyDescent="0.25">
      <c r="A57" s="10" t="s">
        <v>116</v>
      </c>
      <c r="B57" s="10" t="s">
        <v>179</v>
      </c>
      <c r="C57" s="11" t="s">
        <v>167</v>
      </c>
      <c r="D57" s="12" t="s">
        <v>110</v>
      </c>
      <c r="E57" s="10" t="s">
        <v>180</v>
      </c>
      <c r="F57" s="10">
        <v>26</v>
      </c>
      <c r="G57" s="10">
        <v>26</v>
      </c>
      <c r="H57" s="10">
        <v>3</v>
      </c>
      <c r="I57" s="13">
        <v>46288.333333333343</v>
      </c>
      <c r="J57" s="13">
        <v>46296.666666666657</v>
      </c>
      <c r="K57" s="13"/>
      <c r="L57" s="13"/>
      <c r="M57" s="14">
        <f t="shared" si="0"/>
        <v>1</v>
      </c>
      <c r="N57" s="14"/>
      <c r="O57" s="16">
        <v>100000</v>
      </c>
      <c r="P57" s="15">
        <v>0.8</v>
      </c>
      <c r="Q57" s="16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>
        <v>0.33333333333333343</v>
      </c>
      <c r="BB57" s="47">
        <v>0.66666666666666663</v>
      </c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</row>
    <row r="58" spans="1:93" outlineLevel="3" x14ac:dyDescent="0.25">
      <c r="A58" s="17"/>
      <c r="B58" s="17"/>
      <c r="C58" s="18"/>
      <c r="D58" s="19" t="s">
        <v>111</v>
      </c>
      <c r="E58" s="17" t="s">
        <v>180</v>
      </c>
      <c r="F58" s="17"/>
      <c r="G58" s="17"/>
      <c r="H58" s="17"/>
      <c r="I58" s="20"/>
      <c r="J58" s="20"/>
      <c r="K58" s="20"/>
      <c r="L58" s="20"/>
      <c r="M58" s="21" t="str">
        <f t="shared" si="0"/>
        <v/>
      </c>
      <c r="N58" s="21">
        <v>0</v>
      </c>
      <c r="O58" s="48">
        <f>O57</f>
        <v>100000</v>
      </c>
      <c r="P58" s="22"/>
      <c r="Q58" s="23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</row>
    <row r="59" spans="1:93" outlineLevel="3" x14ac:dyDescent="0.25">
      <c r="A59" s="10" t="s">
        <v>116</v>
      </c>
      <c r="B59" s="10" t="s">
        <v>181</v>
      </c>
      <c r="C59" s="11" t="s">
        <v>170</v>
      </c>
      <c r="D59" s="12" t="s">
        <v>110</v>
      </c>
      <c r="E59" s="10" t="s">
        <v>182</v>
      </c>
      <c r="F59" s="10">
        <v>27</v>
      </c>
      <c r="G59" s="10">
        <v>27</v>
      </c>
      <c r="H59" s="10">
        <v>3</v>
      </c>
      <c r="I59" s="13">
        <v>46297.333333333343</v>
      </c>
      <c r="J59" s="13">
        <v>46310.666666666657</v>
      </c>
      <c r="K59" s="13"/>
      <c r="L59" s="13"/>
      <c r="M59" s="14">
        <f t="shared" si="0"/>
        <v>1</v>
      </c>
      <c r="N59" s="14"/>
      <c r="O59" s="16">
        <v>100000</v>
      </c>
      <c r="P59" s="15">
        <v>1.6</v>
      </c>
      <c r="Q59" s="16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>
        <v>4.1619882138652073E-2</v>
      </c>
      <c r="BC59" s="47">
        <v>0.70866082502943573</v>
      </c>
      <c r="BD59" s="47">
        <v>0.24971929283191219</v>
      </c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</row>
    <row r="60" spans="1:93" outlineLevel="3" x14ac:dyDescent="0.25">
      <c r="A60" s="17"/>
      <c r="B60" s="17"/>
      <c r="C60" s="18"/>
      <c r="D60" s="19" t="s">
        <v>111</v>
      </c>
      <c r="E60" s="17" t="s">
        <v>182</v>
      </c>
      <c r="F60" s="17"/>
      <c r="G60" s="17"/>
      <c r="H60" s="17"/>
      <c r="I60" s="20"/>
      <c r="J60" s="20"/>
      <c r="K60" s="20"/>
      <c r="L60" s="20"/>
      <c r="M60" s="21" t="str">
        <f t="shared" si="0"/>
        <v/>
      </c>
      <c r="N60" s="21">
        <v>0</v>
      </c>
      <c r="O60" s="48">
        <f>O59</f>
        <v>100000</v>
      </c>
      <c r="P60" s="22"/>
      <c r="Q60" s="23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</row>
    <row r="61" spans="1:93" outlineLevel="3" x14ac:dyDescent="0.25">
      <c r="A61" s="10" t="s">
        <v>116</v>
      </c>
      <c r="B61" s="10" t="s">
        <v>183</v>
      </c>
      <c r="C61" s="11" t="s">
        <v>173</v>
      </c>
      <c r="D61" s="12" t="s">
        <v>110</v>
      </c>
      <c r="E61" s="10" t="s">
        <v>184</v>
      </c>
      <c r="F61" s="10">
        <v>28</v>
      </c>
      <c r="G61" s="10">
        <v>28</v>
      </c>
      <c r="H61" s="10">
        <v>3</v>
      </c>
      <c r="I61" s="13">
        <v>46311.333333333343</v>
      </c>
      <c r="J61" s="13">
        <v>46324.666666666657</v>
      </c>
      <c r="K61" s="13"/>
      <c r="L61" s="13"/>
      <c r="M61" s="14">
        <f t="shared" si="0"/>
        <v>1</v>
      </c>
      <c r="N61" s="14"/>
      <c r="O61" s="16">
        <v>100000</v>
      </c>
      <c r="P61" s="15">
        <v>1.6</v>
      </c>
      <c r="Q61" s="16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>
        <v>4.1619882138652073E-2</v>
      </c>
      <c r="BE61" s="47">
        <v>0.70866082502943573</v>
      </c>
      <c r="BF61" s="47">
        <v>0.24971929283191219</v>
      </c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</row>
    <row r="62" spans="1:93" outlineLevel="3" x14ac:dyDescent="0.25">
      <c r="A62" s="17"/>
      <c r="B62" s="17"/>
      <c r="C62" s="18"/>
      <c r="D62" s="19" t="s">
        <v>111</v>
      </c>
      <c r="E62" s="17" t="s">
        <v>184</v>
      </c>
      <c r="F62" s="17"/>
      <c r="G62" s="17"/>
      <c r="H62" s="17"/>
      <c r="I62" s="20"/>
      <c r="J62" s="20"/>
      <c r="K62" s="20"/>
      <c r="L62" s="20"/>
      <c r="M62" s="21" t="str">
        <f t="shared" si="0"/>
        <v/>
      </c>
      <c r="N62" s="21">
        <v>0</v>
      </c>
      <c r="O62" s="48">
        <f>O61</f>
        <v>100000</v>
      </c>
      <c r="P62" s="22"/>
      <c r="Q62" s="23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</row>
    <row r="63" spans="1:93" outlineLevel="2" x14ac:dyDescent="0.25">
      <c r="A63" s="1" t="s">
        <v>92</v>
      </c>
      <c r="B63" s="1" t="s">
        <v>185</v>
      </c>
      <c r="C63" s="6" t="s">
        <v>186</v>
      </c>
      <c r="D63" s="8" t="s">
        <v>110</v>
      </c>
      <c r="E63" s="1"/>
      <c r="F63" s="1">
        <v>29</v>
      </c>
      <c r="G63" s="1">
        <v>29</v>
      </c>
      <c r="H63" s="1">
        <v>2</v>
      </c>
      <c r="I63" s="9">
        <v>46251.333333333343</v>
      </c>
      <c r="J63" s="9">
        <v>46332.666666666657</v>
      </c>
      <c r="K63" s="9"/>
      <c r="L63" s="9"/>
      <c r="M63" s="3">
        <f t="shared" si="0"/>
        <v>1</v>
      </c>
      <c r="N63" s="3"/>
      <c r="O63" s="5">
        <f>SUMIFS($O$64:$O$71,$A$64:$A$71,"Activity",$D$64:$D$71,"P")</f>
        <v>400000</v>
      </c>
      <c r="P63" s="4"/>
      <c r="Q63" s="5"/>
      <c r="R63" s="45" t="str">
        <f t="shared" ref="R63:AW63" si="55">IF(COUNTIFS($A$65:$A$72,"Activity",$D$65:$D$72,"P",R$65:R$72,"&lt;&gt;")=0,"",IFERROR(SUMPRODUCT(--($A$65:$A$72="Activity"),--($D$65:$D$72="P"),$O$65:$O$72,R$65:R$72)/SUMPRODUCT(--($A$65:$A$72="Activity"),--($D$65:$D$72="P"),$O$65:$O$72),""))</f>
        <v/>
      </c>
      <c r="S63" s="45" t="str">
        <f t="shared" si="55"/>
        <v/>
      </c>
      <c r="T63" s="45" t="str">
        <f t="shared" si="55"/>
        <v/>
      </c>
      <c r="U63" s="45" t="str">
        <f t="shared" si="55"/>
        <v/>
      </c>
      <c r="V63" s="45" t="str">
        <f t="shared" si="55"/>
        <v/>
      </c>
      <c r="W63" s="45" t="str">
        <f t="shared" si="55"/>
        <v/>
      </c>
      <c r="X63" s="45" t="str">
        <f t="shared" si="55"/>
        <v/>
      </c>
      <c r="Y63" s="45" t="str">
        <f t="shared" si="55"/>
        <v/>
      </c>
      <c r="Z63" s="45" t="str">
        <f t="shared" si="55"/>
        <v/>
      </c>
      <c r="AA63" s="45" t="str">
        <f t="shared" si="55"/>
        <v/>
      </c>
      <c r="AB63" s="45" t="str">
        <f t="shared" si="55"/>
        <v/>
      </c>
      <c r="AC63" s="45" t="str">
        <f t="shared" si="55"/>
        <v/>
      </c>
      <c r="AD63" s="45" t="str">
        <f t="shared" si="55"/>
        <v/>
      </c>
      <c r="AE63" s="45" t="str">
        <f t="shared" si="55"/>
        <v/>
      </c>
      <c r="AF63" s="45" t="str">
        <f t="shared" si="55"/>
        <v/>
      </c>
      <c r="AG63" s="45" t="str">
        <f t="shared" si="55"/>
        <v/>
      </c>
      <c r="AH63" s="45" t="str">
        <f t="shared" si="55"/>
        <v/>
      </c>
      <c r="AI63" s="45" t="str">
        <f t="shared" si="55"/>
        <v/>
      </c>
      <c r="AJ63" s="45" t="str">
        <f t="shared" si="55"/>
        <v/>
      </c>
      <c r="AK63" s="45" t="str">
        <f t="shared" si="55"/>
        <v/>
      </c>
      <c r="AL63" s="45" t="str">
        <f t="shared" si="55"/>
        <v/>
      </c>
      <c r="AM63" s="45" t="str">
        <f t="shared" si="55"/>
        <v/>
      </c>
      <c r="AN63" s="45" t="str">
        <f t="shared" si="55"/>
        <v/>
      </c>
      <c r="AO63" s="45" t="str">
        <f t="shared" si="55"/>
        <v/>
      </c>
      <c r="AP63" s="45" t="str">
        <f t="shared" si="55"/>
        <v/>
      </c>
      <c r="AQ63" s="45" t="str">
        <f t="shared" si="55"/>
        <v/>
      </c>
      <c r="AR63" s="45" t="str">
        <f t="shared" si="55"/>
        <v/>
      </c>
      <c r="AS63" s="45" t="str">
        <f t="shared" si="55"/>
        <v/>
      </c>
      <c r="AT63" s="45" t="str">
        <f t="shared" si="55"/>
        <v/>
      </c>
      <c r="AU63" s="45" t="str">
        <f t="shared" si="55"/>
        <v/>
      </c>
      <c r="AV63" s="45">
        <f t="shared" si="55"/>
        <v>0.1388888888888889</v>
      </c>
      <c r="AW63" s="45">
        <f t="shared" si="55"/>
        <v>0.12855297157622739</v>
      </c>
      <c r="AX63" s="45">
        <f t="shared" ref="AX63:CC63" si="56">IF(COUNTIFS($A$65:$A$72,"Activity",$D$65:$D$72,"P",AX$65:AX$72,"&lt;&gt;")=0,"",IFERROR(SUMPRODUCT(--($A$65:$A$72="Activity"),--($D$65:$D$72="P"),$O$65:$O$72,AX$65:AX$72)/SUMPRODUCT(--($A$65:$A$72="Activity"),--($D$65:$D$72="P"),$O$65:$O$72),""))</f>
        <v>4.0697674418604647E-2</v>
      </c>
      <c r="AY63" s="45">
        <f t="shared" si="56"/>
        <v>4.0697674418604647E-2</v>
      </c>
      <c r="AZ63" s="45">
        <f t="shared" si="56"/>
        <v>4.0697674418604647E-2</v>
      </c>
      <c r="BA63" s="45">
        <f t="shared" si="56"/>
        <v>4.0697674418604647E-2</v>
      </c>
      <c r="BB63" s="45">
        <f t="shared" si="56"/>
        <v>4.0697674418604647E-2</v>
      </c>
      <c r="BC63" s="45">
        <f t="shared" si="56"/>
        <v>5.2879291251384332E-2</v>
      </c>
      <c r="BD63" s="45">
        <f t="shared" si="56"/>
        <v>8.3333333333333315E-2</v>
      </c>
      <c r="BE63" s="45">
        <f t="shared" si="56"/>
        <v>8.3333333333333315E-2</v>
      </c>
      <c r="BF63" s="45">
        <f t="shared" si="56"/>
        <v>0.11507936507936509</v>
      </c>
      <c r="BG63" s="45">
        <f t="shared" si="56"/>
        <v>0.19444444444444445</v>
      </c>
      <c r="BH63" s="45" t="str">
        <f t="shared" si="56"/>
        <v/>
      </c>
      <c r="BI63" s="45" t="str">
        <f t="shared" si="56"/>
        <v/>
      </c>
      <c r="BJ63" s="45" t="str">
        <f t="shared" si="56"/>
        <v/>
      </c>
      <c r="BK63" s="45" t="str">
        <f t="shared" si="56"/>
        <v/>
      </c>
      <c r="BL63" s="45" t="str">
        <f t="shared" si="56"/>
        <v/>
      </c>
      <c r="BM63" s="45" t="str">
        <f t="shared" si="56"/>
        <v/>
      </c>
      <c r="BN63" s="45" t="str">
        <f t="shared" si="56"/>
        <v/>
      </c>
      <c r="BO63" s="45" t="str">
        <f t="shared" si="56"/>
        <v/>
      </c>
      <c r="BP63" s="45" t="str">
        <f t="shared" si="56"/>
        <v/>
      </c>
      <c r="BQ63" s="45" t="str">
        <f t="shared" si="56"/>
        <v/>
      </c>
      <c r="BR63" s="45" t="str">
        <f t="shared" si="56"/>
        <v/>
      </c>
      <c r="BS63" s="45" t="str">
        <f t="shared" si="56"/>
        <v/>
      </c>
      <c r="BT63" s="45" t="str">
        <f t="shared" si="56"/>
        <v/>
      </c>
      <c r="BU63" s="45" t="str">
        <f t="shared" si="56"/>
        <v/>
      </c>
      <c r="BV63" s="45" t="str">
        <f t="shared" si="56"/>
        <v/>
      </c>
      <c r="BW63" s="45" t="str">
        <f t="shared" si="56"/>
        <v/>
      </c>
      <c r="BX63" s="45" t="str">
        <f t="shared" si="56"/>
        <v/>
      </c>
      <c r="BY63" s="45" t="str">
        <f t="shared" si="56"/>
        <v/>
      </c>
      <c r="BZ63" s="45" t="str">
        <f t="shared" si="56"/>
        <v/>
      </c>
      <c r="CA63" s="45" t="str">
        <f t="shared" si="56"/>
        <v/>
      </c>
      <c r="CB63" s="45" t="str">
        <f t="shared" si="56"/>
        <v/>
      </c>
      <c r="CC63" s="45" t="str">
        <f t="shared" si="56"/>
        <v/>
      </c>
      <c r="CD63" s="45" t="str">
        <f t="shared" ref="CD63:CO63" si="57">IF(COUNTIFS($A$65:$A$72,"Activity",$D$65:$D$72,"P",CD$65:CD$72,"&lt;&gt;")=0,"",IFERROR(SUMPRODUCT(--($A$65:$A$72="Activity"),--($D$65:$D$72="P"),$O$65:$O$72,CD$65:CD$72)/SUMPRODUCT(--($A$65:$A$72="Activity"),--($D$65:$D$72="P"),$O$65:$O$72),""))</f>
        <v/>
      </c>
      <c r="CE63" s="45" t="str">
        <f t="shared" si="57"/>
        <v/>
      </c>
      <c r="CF63" s="45" t="str">
        <f t="shared" si="57"/>
        <v/>
      </c>
      <c r="CG63" s="45" t="str">
        <f t="shared" si="57"/>
        <v/>
      </c>
      <c r="CH63" s="45" t="str">
        <f t="shared" si="57"/>
        <v/>
      </c>
      <c r="CI63" s="45" t="str">
        <f t="shared" si="57"/>
        <v/>
      </c>
      <c r="CJ63" s="45" t="str">
        <f t="shared" si="57"/>
        <v/>
      </c>
      <c r="CK63" s="45" t="str">
        <f t="shared" si="57"/>
        <v/>
      </c>
      <c r="CL63" s="45" t="str">
        <f t="shared" si="57"/>
        <v/>
      </c>
      <c r="CM63" s="45" t="str">
        <f t="shared" si="57"/>
        <v/>
      </c>
      <c r="CN63" s="45" t="str">
        <f t="shared" si="57"/>
        <v/>
      </c>
      <c r="CO63" s="45" t="str">
        <f t="shared" si="57"/>
        <v/>
      </c>
    </row>
    <row r="64" spans="1:93" outlineLevel="2" x14ac:dyDescent="0.25">
      <c r="A64" s="1"/>
      <c r="B64" s="1"/>
      <c r="C64" s="6"/>
      <c r="D64" s="8" t="s">
        <v>111</v>
      </c>
      <c r="E64" s="1"/>
      <c r="F64" s="1"/>
      <c r="G64" s="1"/>
      <c r="H64" s="1"/>
      <c r="I64" s="9"/>
      <c r="J64" s="9"/>
      <c r="K64" s="9"/>
      <c r="L64" s="9"/>
      <c r="M64" s="3" t="str">
        <f t="shared" si="0"/>
        <v/>
      </c>
      <c r="N64" s="3"/>
      <c r="O64" s="46">
        <f>O63</f>
        <v>400000</v>
      </c>
      <c r="P64" s="4"/>
      <c r="Q64" s="5"/>
      <c r="R64" s="45" t="str">
        <f t="shared" ref="R64:AW64" si="58">IF(COUNTIFS($E$65:$E$72,"&lt;&gt;",$D$65:$D$72,"A",R$65:R$72,"&lt;&gt;")=0,"",IFERROR(SUMPRODUCT(--($E$65:$E$72&lt;&gt;""),--($D$65:$D$72="A"),$O$65:$O$72,R$65:R$72)/SUMPRODUCT(--($E$65:$E$72&lt;&gt;""),--($D$65:$D$72="A"),$O$65:$O$72),""))</f>
        <v/>
      </c>
      <c r="S64" s="45" t="str">
        <f t="shared" si="58"/>
        <v/>
      </c>
      <c r="T64" s="45" t="str">
        <f t="shared" si="58"/>
        <v/>
      </c>
      <c r="U64" s="45" t="str">
        <f t="shared" si="58"/>
        <v/>
      </c>
      <c r="V64" s="45" t="str">
        <f t="shared" si="58"/>
        <v/>
      </c>
      <c r="W64" s="45" t="str">
        <f t="shared" si="58"/>
        <v/>
      </c>
      <c r="X64" s="45" t="str">
        <f t="shared" si="58"/>
        <v/>
      </c>
      <c r="Y64" s="45" t="str">
        <f t="shared" si="58"/>
        <v/>
      </c>
      <c r="Z64" s="45" t="str">
        <f t="shared" si="58"/>
        <v/>
      </c>
      <c r="AA64" s="45" t="str">
        <f t="shared" si="58"/>
        <v/>
      </c>
      <c r="AB64" s="45" t="str">
        <f t="shared" si="58"/>
        <v/>
      </c>
      <c r="AC64" s="45" t="str">
        <f t="shared" si="58"/>
        <v/>
      </c>
      <c r="AD64" s="45" t="str">
        <f t="shared" si="58"/>
        <v/>
      </c>
      <c r="AE64" s="45" t="str">
        <f t="shared" si="58"/>
        <v/>
      </c>
      <c r="AF64" s="45" t="str">
        <f t="shared" si="58"/>
        <v/>
      </c>
      <c r="AG64" s="45" t="str">
        <f t="shared" si="58"/>
        <v/>
      </c>
      <c r="AH64" s="45" t="str">
        <f t="shared" si="58"/>
        <v/>
      </c>
      <c r="AI64" s="45" t="str">
        <f t="shared" si="58"/>
        <v/>
      </c>
      <c r="AJ64" s="45" t="str">
        <f t="shared" si="58"/>
        <v/>
      </c>
      <c r="AK64" s="45" t="str">
        <f t="shared" si="58"/>
        <v/>
      </c>
      <c r="AL64" s="45" t="str">
        <f t="shared" si="58"/>
        <v/>
      </c>
      <c r="AM64" s="45" t="str">
        <f t="shared" si="58"/>
        <v/>
      </c>
      <c r="AN64" s="45" t="str">
        <f t="shared" si="58"/>
        <v/>
      </c>
      <c r="AO64" s="45" t="str">
        <f t="shared" si="58"/>
        <v/>
      </c>
      <c r="AP64" s="45" t="str">
        <f t="shared" si="58"/>
        <v/>
      </c>
      <c r="AQ64" s="45" t="str">
        <f t="shared" si="58"/>
        <v/>
      </c>
      <c r="AR64" s="45" t="str">
        <f t="shared" si="58"/>
        <v/>
      </c>
      <c r="AS64" s="45" t="str">
        <f t="shared" si="58"/>
        <v/>
      </c>
      <c r="AT64" s="45" t="str">
        <f t="shared" si="58"/>
        <v/>
      </c>
      <c r="AU64" s="45" t="str">
        <f t="shared" si="58"/>
        <v/>
      </c>
      <c r="AV64" s="45" t="str">
        <f t="shared" si="58"/>
        <v/>
      </c>
      <c r="AW64" s="45" t="str">
        <f t="shared" si="58"/>
        <v/>
      </c>
      <c r="AX64" s="45" t="str">
        <f t="shared" ref="AX64:CC64" si="59">IF(COUNTIFS($E$65:$E$72,"&lt;&gt;",$D$65:$D$72,"A",AX$65:AX$72,"&lt;&gt;")=0,"",IFERROR(SUMPRODUCT(--($E$65:$E$72&lt;&gt;""),--($D$65:$D$72="A"),$O$65:$O$72,AX$65:AX$72)/SUMPRODUCT(--($E$65:$E$72&lt;&gt;""),--($D$65:$D$72="A"),$O$65:$O$72),""))</f>
        <v/>
      </c>
      <c r="AY64" s="45" t="str">
        <f t="shared" si="59"/>
        <v/>
      </c>
      <c r="AZ64" s="45" t="str">
        <f t="shared" si="59"/>
        <v/>
      </c>
      <c r="BA64" s="45" t="str">
        <f t="shared" si="59"/>
        <v/>
      </c>
      <c r="BB64" s="45" t="str">
        <f t="shared" si="59"/>
        <v/>
      </c>
      <c r="BC64" s="45" t="str">
        <f t="shared" si="59"/>
        <v/>
      </c>
      <c r="BD64" s="45" t="str">
        <f t="shared" si="59"/>
        <v/>
      </c>
      <c r="BE64" s="45" t="str">
        <f t="shared" si="59"/>
        <v/>
      </c>
      <c r="BF64" s="45" t="str">
        <f t="shared" si="59"/>
        <v/>
      </c>
      <c r="BG64" s="45" t="str">
        <f t="shared" si="59"/>
        <v/>
      </c>
      <c r="BH64" s="45" t="str">
        <f t="shared" si="59"/>
        <v/>
      </c>
      <c r="BI64" s="45" t="str">
        <f t="shared" si="59"/>
        <v/>
      </c>
      <c r="BJ64" s="45" t="str">
        <f t="shared" si="59"/>
        <v/>
      </c>
      <c r="BK64" s="45" t="str">
        <f t="shared" si="59"/>
        <v/>
      </c>
      <c r="BL64" s="45" t="str">
        <f t="shared" si="59"/>
        <v/>
      </c>
      <c r="BM64" s="45" t="str">
        <f t="shared" si="59"/>
        <v/>
      </c>
      <c r="BN64" s="45" t="str">
        <f t="shared" si="59"/>
        <v/>
      </c>
      <c r="BO64" s="45" t="str">
        <f t="shared" si="59"/>
        <v/>
      </c>
      <c r="BP64" s="45" t="str">
        <f t="shared" si="59"/>
        <v/>
      </c>
      <c r="BQ64" s="45" t="str">
        <f t="shared" si="59"/>
        <v/>
      </c>
      <c r="BR64" s="45" t="str">
        <f t="shared" si="59"/>
        <v/>
      </c>
      <c r="BS64" s="45" t="str">
        <f t="shared" si="59"/>
        <v/>
      </c>
      <c r="BT64" s="45" t="str">
        <f t="shared" si="59"/>
        <v/>
      </c>
      <c r="BU64" s="45" t="str">
        <f t="shared" si="59"/>
        <v/>
      </c>
      <c r="BV64" s="45" t="str">
        <f t="shared" si="59"/>
        <v/>
      </c>
      <c r="BW64" s="45" t="str">
        <f t="shared" si="59"/>
        <v/>
      </c>
      <c r="BX64" s="45" t="str">
        <f t="shared" si="59"/>
        <v/>
      </c>
      <c r="BY64" s="45" t="str">
        <f t="shared" si="59"/>
        <v/>
      </c>
      <c r="BZ64" s="45" t="str">
        <f t="shared" si="59"/>
        <v/>
      </c>
      <c r="CA64" s="45" t="str">
        <f t="shared" si="59"/>
        <v/>
      </c>
      <c r="CB64" s="45" t="str">
        <f t="shared" si="59"/>
        <v/>
      </c>
      <c r="CC64" s="45" t="str">
        <f t="shared" si="59"/>
        <v/>
      </c>
      <c r="CD64" s="45" t="str">
        <f t="shared" ref="CD64:CO64" si="60">IF(COUNTIFS($E$65:$E$72,"&lt;&gt;",$D$65:$D$72,"A",CD$65:CD$72,"&lt;&gt;")=0,"",IFERROR(SUMPRODUCT(--($E$65:$E$72&lt;&gt;""),--($D$65:$D$72="A"),$O$65:$O$72,CD$65:CD$72)/SUMPRODUCT(--($E$65:$E$72&lt;&gt;""),--($D$65:$D$72="A"),$O$65:$O$72),""))</f>
        <v/>
      </c>
      <c r="CE64" s="45" t="str">
        <f t="shared" si="60"/>
        <v/>
      </c>
      <c r="CF64" s="45" t="str">
        <f t="shared" si="60"/>
        <v/>
      </c>
      <c r="CG64" s="45" t="str">
        <f t="shared" si="60"/>
        <v/>
      </c>
      <c r="CH64" s="45" t="str">
        <f t="shared" si="60"/>
        <v/>
      </c>
      <c r="CI64" s="45" t="str">
        <f t="shared" si="60"/>
        <v/>
      </c>
      <c r="CJ64" s="45" t="str">
        <f t="shared" si="60"/>
        <v/>
      </c>
      <c r="CK64" s="45" t="str">
        <f t="shared" si="60"/>
        <v/>
      </c>
      <c r="CL64" s="45" t="str">
        <f t="shared" si="60"/>
        <v/>
      </c>
      <c r="CM64" s="45" t="str">
        <f t="shared" si="60"/>
        <v/>
      </c>
      <c r="CN64" s="45" t="str">
        <f t="shared" si="60"/>
        <v/>
      </c>
      <c r="CO64" s="45" t="str">
        <f t="shared" si="60"/>
        <v/>
      </c>
    </row>
    <row r="65" spans="1:93" outlineLevel="3" x14ac:dyDescent="0.25">
      <c r="A65" s="10" t="s">
        <v>116</v>
      </c>
      <c r="B65" s="10" t="s">
        <v>187</v>
      </c>
      <c r="C65" s="11" t="s">
        <v>188</v>
      </c>
      <c r="D65" s="12" t="s">
        <v>110</v>
      </c>
      <c r="E65" s="10" t="s">
        <v>189</v>
      </c>
      <c r="F65" s="10">
        <v>30</v>
      </c>
      <c r="G65" s="10">
        <v>30</v>
      </c>
      <c r="H65" s="10">
        <v>3</v>
      </c>
      <c r="I65" s="13">
        <v>46251.333333333343</v>
      </c>
      <c r="J65" s="13">
        <v>46259.666666666657</v>
      </c>
      <c r="K65" s="13"/>
      <c r="L65" s="13"/>
      <c r="M65" s="14">
        <f t="shared" si="0"/>
        <v>1</v>
      </c>
      <c r="N65" s="14"/>
      <c r="O65" s="16">
        <v>100000</v>
      </c>
      <c r="P65" s="15">
        <v>1.7333333333333329</v>
      </c>
      <c r="Q65" s="16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>
        <v>0.55555555555555558</v>
      </c>
      <c r="AW65" s="47">
        <v>0.44444444444444442</v>
      </c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</row>
    <row r="66" spans="1:93" outlineLevel="3" x14ac:dyDescent="0.25">
      <c r="A66" s="17"/>
      <c r="B66" s="17"/>
      <c r="C66" s="18"/>
      <c r="D66" s="19" t="s">
        <v>111</v>
      </c>
      <c r="E66" s="17" t="s">
        <v>189</v>
      </c>
      <c r="F66" s="17"/>
      <c r="G66" s="17"/>
      <c r="H66" s="17"/>
      <c r="I66" s="20"/>
      <c r="J66" s="20"/>
      <c r="K66" s="20"/>
      <c r="L66" s="20"/>
      <c r="M66" s="21" t="str">
        <f t="shared" si="0"/>
        <v/>
      </c>
      <c r="N66" s="21">
        <v>0</v>
      </c>
      <c r="O66" s="48">
        <f>O65</f>
        <v>100000</v>
      </c>
      <c r="P66" s="22"/>
      <c r="Q66" s="23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</row>
    <row r="67" spans="1:93" outlineLevel="3" x14ac:dyDescent="0.25">
      <c r="A67" s="10" t="s">
        <v>116</v>
      </c>
      <c r="B67" s="10" t="s">
        <v>190</v>
      </c>
      <c r="C67" s="11" t="s">
        <v>191</v>
      </c>
      <c r="D67" s="12" t="s">
        <v>110</v>
      </c>
      <c r="E67" s="10" t="s">
        <v>192</v>
      </c>
      <c r="F67" s="10">
        <v>31</v>
      </c>
      <c r="G67" s="10">
        <v>31</v>
      </c>
      <c r="H67" s="10">
        <v>3</v>
      </c>
      <c r="I67" s="13">
        <v>46260.333333333343</v>
      </c>
      <c r="J67" s="13">
        <v>46302.666666666657</v>
      </c>
      <c r="K67" s="13"/>
      <c r="L67" s="13"/>
      <c r="M67" s="14">
        <f t="shared" si="0"/>
        <v>1</v>
      </c>
      <c r="N67" s="14"/>
      <c r="O67" s="16">
        <v>100000</v>
      </c>
      <c r="P67" s="15">
        <v>1.7333333333333329</v>
      </c>
      <c r="Q67" s="16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>
        <v>6.9767441860465101E-2</v>
      </c>
      <c r="AX67" s="47">
        <v>0.16279069767441859</v>
      </c>
      <c r="AY67" s="47">
        <v>0.16279069767441859</v>
      </c>
      <c r="AZ67" s="47">
        <v>0.16279069767441859</v>
      </c>
      <c r="BA67" s="47">
        <v>0.16279069767441859</v>
      </c>
      <c r="BB67" s="47">
        <v>0.16279069767441859</v>
      </c>
      <c r="BC67" s="47">
        <v>0.11627906976744209</v>
      </c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</row>
    <row r="68" spans="1:93" outlineLevel="3" x14ac:dyDescent="0.25">
      <c r="A68" s="17"/>
      <c r="B68" s="17"/>
      <c r="C68" s="18"/>
      <c r="D68" s="19" t="s">
        <v>111</v>
      </c>
      <c r="E68" s="17" t="s">
        <v>192</v>
      </c>
      <c r="F68" s="17"/>
      <c r="G68" s="17"/>
      <c r="H68" s="17"/>
      <c r="I68" s="20"/>
      <c r="J68" s="20"/>
      <c r="K68" s="20"/>
      <c r="L68" s="20"/>
      <c r="M68" s="21" t="str">
        <f t="shared" si="0"/>
        <v/>
      </c>
      <c r="N68" s="21">
        <v>0</v>
      </c>
      <c r="O68" s="48">
        <f>O67</f>
        <v>100000</v>
      </c>
      <c r="P68" s="22"/>
      <c r="Q68" s="23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</row>
    <row r="69" spans="1:93" outlineLevel="3" x14ac:dyDescent="0.25">
      <c r="A69" s="10" t="s">
        <v>116</v>
      </c>
      <c r="B69" s="10" t="s">
        <v>193</v>
      </c>
      <c r="C69" s="11" t="s">
        <v>194</v>
      </c>
      <c r="D69" s="12" t="s">
        <v>110</v>
      </c>
      <c r="E69" s="10" t="s">
        <v>195</v>
      </c>
      <c r="F69" s="10">
        <v>32</v>
      </c>
      <c r="G69" s="10">
        <v>32</v>
      </c>
      <c r="H69" s="10">
        <v>3</v>
      </c>
      <c r="I69" s="13">
        <v>46303.333333333343</v>
      </c>
      <c r="J69" s="13">
        <v>46323.666666666657</v>
      </c>
      <c r="K69" s="13"/>
      <c r="L69" s="13"/>
      <c r="M69" s="14">
        <f t="shared" ref="M69:M132" si="61">IF(COUNT(R69:CO69)=0,"",SUM(R69:CO69))</f>
        <v>1</v>
      </c>
      <c r="N69" s="14"/>
      <c r="O69" s="16">
        <v>100000</v>
      </c>
      <c r="P69" s="15">
        <v>7.4666666666666668</v>
      </c>
      <c r="Q69" s="16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>
        <v>9.5238095238095233E-2</v>
      </c>
      <c r="BD69" s="47">
        <v>0.33333333333333331</v>
      </c>
      <c r="BE69" s="47">
        <v>0.33333333333333331</v>
      </c>
      <c r="BF69" s="47">
        <v>0.23809523809523811</v>
      </c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</row>
    <row r="70" spans="1:93" outlineLevel="3" x14ac:dyDescent="0.25">
      <c r="A70" s="17"/>
      <c r="B70" s="17"/>
      <c r="C70" s="18"/>
      <c r="D70" s="19" t="s">
        <v>111</v>
      </c>
      <c r="E70" s="17" t="s">
        <v>195</v>
      </c>
      <c r="F70" s="17"/>
      <c r="G70" s="17"/>
      <c r="H70" s="17"/>
      <c r="I70" s="20"/>
      <c r="J70" s="20"/>
      <c r="K70" s="20"/>
      <c r="L70" s="20"/>
      <c r="M70" s="21" t="str">
        <f t="shared" si="61"/>
        <v/>
      </c>
      <c r="N70" s="21">
        <v>0</v>
      </c>
      <c r="O70" s="48">
        <f>O69</f>
        <v>100000</v>
      </c>
      <c r="P70" s="22"/>
      <c r="Q70" s="23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</row>
    <row r="71" spans="1:93" outlineLevel="3" x14ac:dyDescent="0.25">
      <c r="A71" s="10" t="s">
        <v>116</v>
      </c>
      <c r="B71" s="10" t="s">
        <v>196</v>
      </c>
      <c r="C71" s="11" t="s">
        <v>197</v>
      </c>
      <c r="D71" s="12" t="s">
        <v>110</v>
      </c>
      <c r="E71" s="10" t="s">
        <v>198</v>
      </c>
      <c r="F71" s="10">
        <v>33</v>
      </c>
      <c r="G71" s="10">
        <v>33</v>
      </c>
      <c r="H71" s="10">
        <v>3</v>
      </c>
      <c r="I71" s="13">
        <v>46324.333333333343</v>
      </c>
      <c r="J71" s="13">
        <v>46332.666666666657</v>
      </c>
      <c r="K71" s="13"/>
      <c r="L71" s="13"/>
      <c r="M71" s="14">
        <f t="shared" si="61"/>
        <v>1</v>
      </c>
      <c r="N71" s="14"/>
      <c r="O71" s="16">
        <v>100000</v>
      </c>
      <c r="P71" s="15">
        <v>7.4666666666666668</v>
      </c>
      <c r="Q71" s="16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>
        <v>0.22222222222222221</v>
      </c>
      <c r="BG71" s="47">
        <v>0.77777777777777779</v>
      </c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</row>
    <row r="72" spans="1:93" outlineLevel="3" x14ac:dyDescent="0.25">
      <c r="A72" s="17"/>
      <c r="B72" s="17"/>
      <c r="C72" s="18"/>
      <c r="D72" s="19" t="s">
        <v>111</v>
      </c>
      <c r="E72" s="17" t="s">
        <v>198</v>
      </c>
      <c r="F72" s="17"/>
      <c r="G72" s="17"/>
      <c r="H72" s="17"/>
      <c r="I72" s="20"/>
      <c r="J72" s="20"/>
      <c r="K72" s="20"/>
      <c r="L72" s="20"/>
      <c r="M72" s="21" t="str">
        <f t="shared" si="61"/>
        <v/>
      </c>
      <c r="N72" s="21">
        <v>0</v>
      </c>
      <c r="O72" s="48">
        <f>O71</f>
        <v>100000</v>
      </c>
      <c r="P72" s="22"/>
      <c r="Q72" s="23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</row>
    <row r="73" spans="1:93" outlineLevel="2" x14ac:dyDescent="0.25">
      <c r="A73" s="1" t="s">
        <v>92</v>
      </c>
      <c r="B73" s="1" t="s">
        <v>199</v>
      </c>
      <c r="C73" s="6" t="s">
        <v>200</v>
      </c>
      <c r="D73" s="8" t="s">
        <v>110</v>
      </c>
      <c r="E73" s="1"/>
      <c r="F73" s="1">
        <v>34</v>
      </c>
      <c r="G73" s="1">
        <v>34</v>
      </c>
      <c r="H73" s="1">
        <v>2</v>
      </c>
      <c r="I73" s="9">
        <v>46303.333333333343</v>
      </c>
      <c r="J73" s="9">
        <v>46330.666666666657</v>
      </c>
      <c r="K73" s="9"/>
      <c r="L73" s="9"/>
      <c r="M73" s="3">
        <f t="shared" si="61"/>
        <v>0.99999999999999989</v>
      </c>
      <c r="N73" s="3"/>
      <c r="O73" s="5">
        <f>SUMIFS($O$74:$O$79,$A$74:$A$79,"Activity",$D$74:$D$79,"P")</f>
        <v>300000</v>
      </c>
      <c r="P73" s="4"/>
      <c r="Q73" s="5"/>
      <c r="R73" s="45" t="str">
        <f t="shared" ref="R73:AW73" si="62">IF(COUNTIFS($A$75:$A$80,"Activity",$D$75:$D$80,"P",R$75:R$80,"&lt;&gt;")=0,"",IFERROR(SUMPRODUCT(--($A$75:$A$80="Activity"),--($D$75:$D$80="P"),$O$75:$O$80,R$75:R$80)/SUMPRODUCT(--($A$75:$A$80="Activity"),--($D$75:$D$80="P"),$O$75:$O$80),""))</f>
        <v/>
      </c>
      <c r="S73" s="45" t="str">
        <f t="shared" si="62"/>
        <v/>
      </c>
      <c r="T73" s="45" t="str">
        <f t="shared" si="62"/>
        <v/>
      </c>
      <c r="U73" s="45" t="str">
        <f t="shared" si="62"/>
        <v/>
      </c>
      <c r="V73" s="45" t="str">
        <f t="shared" si="62"/>
        <v/>
      </c>
      <c r="W73" s="45" t="str">
        <f t="shared" si="62"/>
        <v/>
      </c>
      <c r="X73" s="45" t="str">
        <f t="shared" si="62"/>
        <v/>
      </c>
      <c r="Y73" s="45" t="str">
        <f t="shared" si="62"/>
        <v/>
      </c>
      <c r="Z73" s="45" t="str">
        <f t="shared" si="62"/>
        <v/>
      </c>
      <c r="AA73" s="45" t="str">
        <f t="shared" si="62"/>
        <v/>
      </c>
      <c r="AB73" s="45" t="str">
        <f t="shared" si="62"/>
        <v/>
      </c>
      <c r="AC73" s="45" t="str">
        <f t="shared" si="62"/>
        <v/>
      </c>
      <c r="AD73" s="45" t="str">
        <f t="shared" si="62"/>
        <v/>
      </c>
      <c r="AE73" s="45" t="str">
        <f t="shared" si="62"/>
        <v/>
      </c>
      <c r="AF73" s="45" t="str">
        <f t="shared" si="62"/>
        <v/>
      </c>
      <c r="AG73" s="45" t="str">
        <f t="shared" si="62"/>
        <v/>
      </c>
      <c r="AH73" s="45" t="str">
        <f t="shared" si="62"/>
        <v/>
      </c>
      <c r="AI73" s="45" t="str">
        <f t="shared" si="62"/>
        <v/>
      </c>
      <c r="AJ73" s="45" t="str">
        <f t="shared" si="62"/>
        <v/>
      </c>
      <c r="AK73" s="45" t="str">
        <f t="shared" si="62"/>
        <v/>
      </c>
      <c r="AL73" s="45" t="str">
        <f t="shared" si="62"/>
        <v/>
      </c>
      <c r="AM73" s="45" t="str">
        <f t="shared" si="62"/>
        <v/>
      </c>
      <c r="AN73" s="45" t="str">
        <f t="shared" si="62"/>
        <v/>
      </c>
      <c r="AO73" s="45" t="str">
        <f t="shared" si="62"/>
        <v/>
      </c>
      <c r="AP73" s="45" t="str">
        <f t="shared" si="62"/>
        <v/>
      </c>
      <c r="AQ73" s="45" t="str">
        <f t="shared" si="62"/>
        <v/>
      </c>
      <c r="AR73" s="45" t="str">
        <f t="shared" si="62"/>
        <v/>
      </c>
      <c r="AS73" s="45" t="str">
        <f t="shared" si="62"/>
        <v/>
      </c>
      <c r="AT73" s="45" t="str">
        <f t="shared" si="62"/>
        <v/>
      </c>
      <c r="AU73" s="45" t="str">
        <f t="shared" si="62"/>
        <v/>
      </c>
      <c r="AV73" s="45" t="str">
        <f t="shared" si="62"/>
        <v/>
      </c>
      <c r="AW73" s="45" t="str">
        <f t="shared" si="62"/>
        <v/>
      </c>
      <c r="AX73" s="45" t="str">
        <f t="shared" ref="AX73:CC73" si="63">IF(COUNTIFS($A$75:$A$80,"Activity",$D$75:$D$80,"P",AX$75:AX$80,"&lt;&gt;")=0,"",IFERROR(SUMPRODUCT(--($A$75:$A$80="Activity"),--($D$75:$D$80="P"),$O$75:$O$80,AX$75:AX$80)/SUMPRODUCT(--($A$75:$A$80="Activity"),--($D$75:$D$80="P"),$O$75:$O$80),""))</f>
        <v/>
      </c>
      <c r="AY73" s="45" t="str">
        <f t="shared" si="63"/>
        <v/>
      </c>
      <c r="AZ73" s="45" t="str">
        <f t="shared" si="63"/>
        <v/>
      </c>
      <c r="BA73" s="45" t="str">
        <f t="shared" si="63"/>
        <v/>
      </c>
      <c r="BB73" s="45" t="str">
        <f t="shared" si="63"/>
        <v/>
      </c>
      <c r="BC73" s="45">
        <f t="shared" si="63"/>
        <v>9.5238095238095233E-2</v>
      </c>
      <c r="BD73" s="45">
        <f t="shared" si="63"/>
        <v>0.33333333333333331</v>
      </c>
      <c r="BE73" s="45">
        <f t="shared" si="63"/>
        <v>0.2857142857142857</v>
      </c>
      <c r="BF73" s="45">
        <f t="shared" si="63"/>
        <v>0.16666666666666663</v>
      </c>
      <c r="BG73" s="45">
        <f t="shared" si="63"/>
        <v>0.11904761904761905</v>
      </c>
      <c r="BH73" s="45" t="str">
        <f t="shared" si="63"/>
        <v/>
      </c>
      <c r="BI73" s="45" t="str">
        <f t="shared" si="63"/>
        <v/>
      </c>
      <c r="BJ73" s="45" t="str">
        <f t="shared" si="63"/>
        <v/>
      </c>
      <c r="BK73" s="45" t="str">
        <f t="shared" si="63"/>
        <v/>
      </c>
      <c r="BL73" s="45" t="str">
        <f t="shared" si="63"/>
        <v/>
      </c>
      <c r="BM73" s="45" t="str">
        <f t="shared" si="63"/>
        <v/>
      </c>
      <c r="BN73" s="45" t="str">
        <f t="shared" si="63"/>
        <v/>
      </c>
      <c r="BO73" s="45" t="str">
        <f t="shared" si="63"/>
        <v/>
      </c>
      <c r="BP73" s="45" t="str">
        <f t="shared" si="63"/>
        <v/>
      </c>
      <c r="BQ73" s="45" t="str">
        <f t="shared" si="63"/>
        <v/>
      </c>
      <c r="BR73" s="45" t="str">
        <f t="shared" si="63"/>
        <v/>
      </c>
      <c r="BS73" s="45" t="str">
        <f t="shared" si="63"/>
        <v/>
      </c>
      <c r="BT73" s="45" t="str">
        <f t="shared" si="63"/>
        <v/>
      </c>
      <c r="BU73" s="45" t="str">
        <f t="shared" si="63"/>
        <v/>
      </c>
      <c r="BV73" s="45" t="str">
        <f t="shared" si="63"/>
        <v/>
      </c>
      <c r="BW73" s="45" t="str">
        <f t="shared" si="63"/>
        <v/>
      </c>
      <c r="BX73" s="45" t="str">
        <f t="shared" si="63"/>
        <v/>
      </c>
      <c r="BY73" s="45" t="str">
        <f t="shared" si="63"/>
        <v/>
      </c>
      <c r="BZ73" s="45" t="str">
        <f t="shared" si="63"/>
        <v/>
      </c>
      <c r="CA73" s="45" t="str">
        <f t="shared" si="63"/>
        <v/>
      </c>
      <c r="CB73" s="45" t="str">
        <f t="shared" si="63"/>
        <v/>
      </c>
      <c r="CC73" s="45" t="str">
        <f t="shared" si="63"/>
        <v/>
      </c>
      <c r="CD73" s="45" t="str">
        <f t="shared" ref="CD73:CO73" si="64">IF(COUNTIFS($A$75:$A$80,"Activity",$D$75:$D$80,"P",CD$75:CD$80,"&lt;&gt;")=0,"",IFERROR(SUMPRODUCT(--($A$75:$A$80="Activity"),--($D$75:$D$80="P"),$O$75:$O$80,CD$75:CD$80)/SUMPRODUCT(--($A$75:$A$80="Activity"),--($D$75:$D$80="P"),$O$75:$O$80),""))</f>
        <v/>
      </c>
      <c r="CE73" s="45" t="str">
        <f t="shared" si="64"/>
        <v/>
      </c>
      <c r="CF73" s="45" t="str">
        <f t="shared" si="64"/>
        <v/>
      </c>
      <c r="CG73" s="45" t="str">
        <f t="shared" si="64"/>
        <v/>
      </c>
      <c r="CH73" s="45" t="str">
        <f t="shared" si="64"/>
        <v/>
      </c>
      <c r="CI73" s="45" t="str">
        <f t="shared" si="64"/>
        <v/>
      </c>
      <c r="CJ73" s="45" t="str">
        <f t="shared" si="64"/>
        <v/>
      </c>
      <c r="CK73" s="45" t="str">
        <f t="shared" si="64"/>
        <v/>
      </c>
      <c r="CL73" s="45" t="str">
        <f t="shared" si="64"/>
        <v/>
      </c>
      <c r="CM73" s="45" t="str">
        <f t="shared" si="64"/>
        <v/>
      </c>
      <c r="CN73" s="45" t="str">
        <f t="shared" si="64"/>
        <v/>
      </c>
      <c r="CO73" s="45" t="str">
        <f t="shared" si="64"/>
        <v/>
      </c>
    </row>
    <row r="74" spans="1:93" outlineLevel="2" x14ac:dyDescent="0.25">
      <c r="A74" s="1"/>
      <c r="B74" s="1"/>
      <c r="C74" s="6"/>
      <c r="D74" s="8" t="s">
        <v>111</v>
      </c>
      <c r="E74" s="1"/>
      <c r="F74" s="1"/>
      <c r="G74" s="1"/>
      <c r="H74" s="1"/>
      <c r="I74" s="9"/>
      <c r="J74" s="9"/>
      <c r="K74" s="9"/>
      <c r="L74" s="9"/>
      <c r="M74" s="3" t="str">
        <f t="shared" si="61"/>
        <v/>
      </c>
      <c r="N74" s="3"/>
      <c r="O74" s="46">
        <f>O73</f>
        <v>300000</v>
      </c>
      <c r="P74" s="4"/>
      <c r="Q74" s="5"/>
      <c r="R74" s="45" t="str">
        <f t="shared" ref="R74:AW74" si="65">IF(COUNTIFS($E$75:$E$80,"&lt;&gt;",$D$75:$D$80,"A",R$75:R$80,"&lt;&gt;")=0,"",IFERROR(SUMPRODUCT(--($E$75:$E$80&lt;&gt;""),--($D$75:$D$80="A"),$O$75:$O$80,R$75:R$80)/SUMPRODUCT(--($E$75:$E$80&lt;&gt;""),--($D$75:$D$80="A"),$O$75:$O$80),""))</f>
        <v/>
      </c>
      <c r="S74" s="45" t="str">
        <f t="shared" si="65"/>
        <v/>
      </c>
      <c r="T74" s="45" t="str">
        <f t="shared" si="65"/>
        <v/>
      </c>
      <c r="U74" s="45" t="str">
        <f t="shared" si="65"/>
        <v/>
      </c>
      <c r="V74" s="45" t="str">
        <f t="shared" si="65"/>
        <v/>
      </c>
      <c r="W74" s="45" t="str">
        <f t="shared" si="65"/>
        <v/>
      </c>
      <c r="X74" s="45" t="str">
        <f t="shared" si="65"/>
        <v/>
      </c>
      <c r="Y74" s="45" t="str">
        <f t="shared" si="65"/>
        <v/>
      </c>
      <c r="Z74" s="45" t="str">
        <f t="shared" si="65"/>
        <v/>
      </c>
      <c r="AA74" s="45" t="str">
        <f t="shared" si="65"/>
        <v/>
      </c>
      <c r="AB74" s="45" t="str">
        <f t="shared" si="65"/>
        <v/>
      </c>
      <c r="AC74" s="45" t="str">
        <f t="shared" si="65"/>
        <v/>
      </c>
      <c r="AD74" s="45" t="str">
        <f t="shared" si="65"/>
        <v/>
      </c>
      <c r="AE74" s="45" t="str">
        <f t="shared" si="65"/>
        <v/>
      </c>
      <c r="AF74" s="45" t="str">
        <f t="shared" si="65"/>
        <v/>
      </c>
      <c r="AG74" s="45" t="str">
        <f t="shared" si="65"/>
        <v/>
      </c>
      <c r="AH74" s="45" t="str">
        <f t="shared" si="65"/>
        <v/>
      </c>
      <c r="AI74" s="45" t="str">
        <f t="shared" si="65"/>
        <v/>
      </c>
      <c r="AJ74" s="45" t="str">
        <f t="shared" si="65"/>
        <v/>
      </c>
      <c r="AK74" s="45" t="str">
        <f t="shared" si="65"/>
        <v/>
      </c>
      <c r="AL74" s="45" t="str">
        <f t="shared" si="65"/>
        <v/>
      </c>
      <c r="AM74" s="45" t="str">
        <f t="shared" si="65"/>
        <v/>
      </c>
      <c r="AN74" s="45" t="str">
        <f t="shared" si="65"/>
        <v/>
      </c>
      <c r="AO74" s="45" t="str">
        <f t="shared" si="65"/>
        <v/>
      </c>
      <c r="AP74" s="45" t="str">
        <f t="shared" si="65"/>
        <v/>
      </c>
      <c r="AQ74" s="45" t="str">
        <f t="shared" si="65"/>
        <v/>
      </c>
      <c r="AR74" s="45" t="str">
        <f t="shared" si="65"/>
        <v/>
      </c>
      <c r="AS74" s="45" t="str">
        <f t="shared" si="65"/>
        <v/>
      </c>
      <c r="AT74" s="45" t="str">
        <f t="shared" si="65"/>
        <v/>
      </c>
      <c r="AU74" s="45" t="str">
        <f t="shared" si="65"/>
        <v/>
      </c>
      <c r="AV74" s="45" t="str">
        <f t="shared" si="65"/>
        <v/>
      </c>
      <c r="AW74" s="45" t="str">
        <f t="shared" si="65"/>
        <v/>
      </c>
      <c r="AX74" s="45" t="str">
        <f t="shared" ref="AX74:CC74" si="66">IF(COUNTIFS($E$75:$E$80,"&lt;&gt;",$D$75:$D$80,"A",AX$75:AX$80,"&lt;&gt;")=0,"",IFERROR(SUMPRODUCT(--($E$75:$E$80&lt;&gt;""),--($D$75:$D$80="A"),$O$75:$O$80,AX$75:AX$80)/SUMPRODUCT(--($E$75:$E$80&lt;&gt;""),--($D$75:$D$80="A"),$O$75:$O$80),""))</f>
        <v/>
      </c>
      <c r="AY74" s="45" t="str">
        <f t="shared" si="66"/>
        <v/>
      </c>
      <c r="AZ74" s="45" t="str">
        <f t="shared" si="66"/>
        <v/>
      </c>
      <c r="BA74" s="45" t="str">
        <f t="shared" si="66"/>
        <v/>
      </c>
      <c r="BB74" s="45" t="str">
        <f t="shared" si="66"/>
        <v/>
      </c>
      <c r="BC74" s="45" t="str">
        <f t="shared" si="66"/>
        <v/>
      </c>
      <c r="BD74" s="45" t="str">
        <f t="shared" si="66"/>
        <v/>
      </c>
      <c r="BE74" s="45" t="str">
        <f t="shared" si="66"/>
        <v/>
      </c>
      <c r="BF74" s="45" t="str">
        <f t="shared" si="66"/>
        <v/>
      </c>
      <c r="BG74" s="45" t="str">
        <f t="shared" si="66"/>
        <v/>
      </c>
      <c r="BH74" s="45" t="str">
        <f t="shared" si="66"/>
        <v/>
      </c>
      <c r="BI74" s="45" t="str">
        <f t="shared" si="66"/>
        <v/>
      </c>
      <c r="BJ74" s="45" t="str">
        <f t="shared" si="66"/>
        <v/>
      </c>
      <c r="BK74" s="45" t="str">
        <f t="shared" si="66"/>
        <v/>
      </c>
      <c r="BL74" s="45" t="str">
        <f t="shared" si="66"/>
        <v/>
      </c>
      <c r="BM74" s="45" t="str">
        <f t="shared" si="66"/>
        <v/>
      </c>
      <c r="BN74" s="45" t="str">
        <f t="shared" si="66"/>
        <v/>
      </c>
      <c r="BO74" s="45" t="str">
        <f t="shared" si="66"/>
        <v/>
      </c>
      <c r="BP74" s="45" t="str">
        <f t="shared" si="66"/>
        <v/>
      </c>
      <c r="BQ74" s="45" t="str">
        <f t="shared" si="66"/>
        <v/>
      </c>
      <c r="BR74" s="45" t="str">
        <f t="shared" si="66"/>
        <v/>
      </c>
      <c r="BS74" s="45" t="str">
        <f t="shared" si="66"/>
        <v/>
      </c>
      <c r="BT74" s="45" t="str">
        <f t="shared" si="66"/>
        <v/>
      </c>
      <c r="BU74" s="45" t="str">
        <f t="shared" si="66"/>
        <v/>
      </c>
      <c r="BV74" s="45" t="str">
        <f t="shared" si="66"/>
        <v/>
      </c>
      <c r="BW74" s="45" t="str">
        <f t="shared" si="66"/>
        <v/>
      </c>
      <c r="BX74" s="45" t="str">
        <f t="shared" si="66"/>
        <v/>
      </c>
      <c r="BY74" s="45" t="str">
        <f t="shared" si="66"/>
        <v/>
      </c>
      <c r="BZ74" s="45" t="str">
        <f t="shared" si="66"/>
        <v/>
      </c>
      <c r="CA74" s="45" t="str">
        <f t="shared" si="66"/>
        <v/>
      </c>
      <c r="CB74" s="45" t="str">
        <f t="shared" si="66"/>
        <v/>
      </c>
      <c r="CC74" s="45" t="str">
        <f t="shared" si="66"/>
        <v/>
      </c>
      <c r="CD74" s="45" t="str">
        <f t="shared" ref="CD74:CO74" si="67">IF(COUNTIFS($E$75:$E$80,"&lt;&gt;",$D$75:$D$80,"A",CD$75:CD$80,"&lt;&gt;")=0,"",IFERROR(SUMPRODUCT(--($E$75:$E$80&lt;&gt;""),--($D$75:$D$80="A"),$O$75:$O$80,CD$75:CD$80)/SUMPRODUCT(--($E$75:$E$80&lt;&gt;""),--($D$75:$D$80="A"),$O$75:$O$80),""))</f>
        <v/>
      </c>
      <c r="CE74" s="45" t="str">
        <f t="shared" si="67"/>
        <v/>
      </c>
      <c r="CF74" s="45" t="str">
        <f t="shared" si="67"/>
        <v/>
      </c>
      <c r="CG74" s="45" t="str">
        <f t="shared" si="67"/>
        <v/>
      </c>
      <c r="CH74" s="45" t="str">
        <f t="shared" si="67"/>
        <v/>
      </c>
      <c r="CI74" s="45" t="str">
        <f t="shared" si="67"/>
        <v/>
      </c>
      <c r="CJ74" s="45" t="str">
        <f t="shared" si="67"/>
        <v/>
      </c>
      <c r="CK74" s="45" t="str">
        <f t="shared" si="67"/>
        <v/>
      </c>
      <c r="CL74" s="45" t="str">
        <f t="shared" si="67"/>
        <v/>
      </c>
      <c r="CM74" s="45" t="str">
        <f t="shared" si="67"/>
        <v/>
      </c>
      <c r="CN74" s="45" t="str">
        <f t="shared" si="67"/>
        <v/>
      </c>
      <c r="CO74" s="45" t="str">
        <f t="shared" si="67"/>
        <v/>
      </c>
    </row>
    <row r="75" spans="1:93" outlineLevel="3" x14ac:dyDescent="0.25">
      <c r="A75" s="10" t="s">
        <v>116</v>
      </c>
      <c r="B75" s="10" t="s">
        <v>201</v>
      </c>
      <c r="C75" s="11" t="s">
        <v>188</v>
      </c>
      <c r="D75" s="12" t="s">
        <v>110</v>
      </c>
      <c r="E75" s="10" t="s">
        <v>202</v>
      </c>
      <c r="F75" s="10">
        <v>35</v>
      </c>
      <c r="G75" s="10">
        <v>35</v>
      </c>
      <c r="H75" s="10">
        <v>3</v>
      </c>
      <c r="I75" s="13">
        <v>46303.333333333343</v>
      </c>
      <c r="J75" s="13">
        <v>46309.666666666657</v>
      </c>
      <c r="K75" s="13"/>
      <c r="L75" s="13"/>
      <c r="M75" s="14">
        <f t="shared" si="61"/>
        <v>1</v>
      </c>
      <c r="N75" s="14"/>
      <c r="O75" s="16">
        <v>100000</v>
      </c>
      <c r="P75" s="15">
        <v>14.4</v>
      </c>
      <c r="Q75" s="16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>
        <v>0.2857142857142857</v>
      </c>
      <c r="BD75" s="47">
        <v>0.7142857142857143</v>
      </c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</row>
    <row r="76" spans="1:93" outlineLevel="3" x14ac:dyDescent="0.25">
      <c r="A76" s="17"/>
      <c r="B76" s="17"/>
      <c r="C76" s="18"/>
      <c r="D76" s="19" t="s">
        <v>111</v>
      </c>
      <c r="E76" s="17" t="s">
        <v>202</v>
      </c>
      <c r="F76" s="17"/>
      <c r="G76" s="17"/>
      <c r="H76" s="17"/>
      <c r="I76" s="20"/>
      <c r="J76" s="20"/>
      <c r="K76" s="20"/>
      <c r="L76" s="20"/>
      <c r="M76" s="21" t="str">
        <f t="shared" si="61"/>
        <v/>
      </c>
      <c r="N76" s="21">
        <v>0</v>
      </c>
      <c r="O76" s="48">
        <f>O75</f>
        <v>100000</v>
      </c>
      <c r="P76" s="22"/>
      <c r="Q76" s="23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</row>
    <row r="77" spans="1:93" outlineLevel="3" x14ac:dyDescent="0.25">
      <c r="A77" s="10" t="s">
        <v>116</v>
      </c>
      <c r="B77" s="10" t="s">
        <v>203</v>
      </c>
      <c r="C77" s="11" t="s">
        <v>204</v>
      </c>
      <c r="D77" s="12" t="s">
        <v>110</v>
      </c>
      <c r="E77" s="10" t="s">
        <v>205</v>
      </c>
      <c r="F77" s="10">
        <v>36</v>
      </c>
      <c r="G77" s="10">
        <v>36</v>
      </c>
      <c r="H77" s="10">
        <v>3</v>
      </c>
      <c r="I77" s="13">
        <v>46310.333333333343</v>
      </c>
      <c r="J77" s="13">
        <v>46316.666666666657</v>
      </c>
      <c r="K77" s="13"/>
      <c r="L77" s="13"/>
      <c r="M77" s="14">
        <f t="shared" si="61"/>
        <v>1</v>
      </c>
      <c r="N77" s="14"/>
      <c r="O77" s="16">
        <v>100000</v>
      </c>
      <c r="P77" s="15">
        <v>14.4</v>
      </c>
      <c r="Q77" s="16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>
        <v>0.2857142857142857</v>
      </c>
      <c r="BE77" s="47">
        <v>0.7142857142857143</v>
      </c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</row>
    <row r="78" spans="1:93" outlineLevel="3" x14ac:dyDescent="0.25">
      <c r="A78" s="17"/>
      <c r="B78" s="17"/>
      <c r="C78" s="18"/>
      <c r="D78" s="19" t="s">
        <v>111</v>
      </c>
      <c r="E78" s="17" t="s">
        <v>205</v>
      </c>
      <c r="F78" s="17"/>
      <c r="G78" s="17"/>
      <c r="H78" s="17"/>
      <c r="I78" s="20"/>
      <c r="J78" s="20"/>
      <c r="K78" s="20"/>
      <c r="L78" s="20"/>
      <c r="M78" s="21" t="str">
        <f t="shared" si="61"/>
        <v/>
      </c>
      <c r="N78" s="21">
        <v>0</v>
      </c>
      <c r="O78" s="48">
        <f>O77</f>
        <v>100000</v>
      </c>
      <c r="P78" s="22"/>
      <c r="Q78" s="23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</row>
    <row r="79" spans="1:93" outlineLevel="3" x14ac:dyDescent="0.25">
      <c r="A79" s="10" t="s">
        <v>116</v>
      </c>
      <c r="B79" s="10" t="s">
        <v>206</v>
      </c>
      <c r="C79" s="11" t="s">
        <v>207</v>
      </c>
      <c r="D79" s="12" t="s">
        <v>110</v>
      </c>
      <c r="E79" s="10" t="s">
        <v>208</v>
      </c>
      <c r="F79" s="10">
        <v>37</v>
      </c>
      <c r="G79" s="10">
        <v>37</v>
      </c>
      <c r="H79" s="10">
        <v>3</v>
      </c>
      <c r="I79" s="13">
        <v>46317.333333333343</v>
      </c>
      <c r="J79" s="13">
        <v>46330.666666666657</v>
      </c>
      <c r="K79" s="13"/>
      <c r="L79" s="13"/>
      <c r="M79" s="14">
        <f t="shared" si="61"/>
        <v>0.99999999999999989</v>
      </c>
      <c r="N79" s="14"/>
      <c r="O79" s="16">
        <v>100000</v>
      </c>
      <c r="P79" s="15">
        <v>14.4</v>
      </c>
      <c r="Q79" s="16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>
        <v>0.14285714285714279</v>
      </c>
      <c r="BF79" s="47">
        <v>0.49999999999999989</v>
      </c>
      <c r="BG79" s="47">
        <v>0.35714285714285721</v>
      </c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</row>
    <row r="80" spans="1:93" outlineLevel="3" x14ac:dyDescent="0.25">
      <c r="A80" s="17"/>
      <c r="B80" s="17"/>
      <c r="C80" s="18"/>
      <c r="D80" s="19" t="s">
        <v>111</v>
      </c>
      <c r="E80" s="17" t="s">
        <v>208</v>
      </c>
      <c r="F80" s="17"/>
      <c r="G80" s="17"/>
      <c r="H80" s="17"/>
      <c r="I80" s="20"/>
      <c r="J80" s="20"/>
      <c r="K80" s="20"/>
      <c r="L80" s="20"/>
      <c r="M80" s="21" t="str">
        <f t="shared" si="61"/>
        <v/>
      </c>
      <c r="N80" s="21">
        <v>0</v>
      </c>
      <c r="O80" s="48">
        <f>O79</f>
        <v>100000</v>
      </c>
      <c r="P80" s="22"/>
      <c r="Q80" s="23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</row>
    <row r="81" spans="1:93" outlineLevel="2" x14ac:dyDescent="0.25">
      <c r="A81" s="1" t="s">
        <v>92</v>
      </c>
      <c r="B81" s="1" t="s">
        <v>209</v>
      </c>
      <c r="C81" s="6" t="s">
        <v>210</v>
      </c>
      <c r="D81" s="8" t="s">
        <v>110</v>
      </c>
      <c r="E81" s="1"/>
      <c r="F81" s="1">
        <v>38</v>
      </c>
      <c r="G81" s="1">
        <v>38</v>
      </c>
      <c r="H81" s="1">
        <v>2</v>
      </c>
      <c r="I81" s="9">
        <v>46331.333333333343</v>
      </c>
      <c r="J81" s="9">
        <v>46358.666666666657</v>
      </c>
      <c r="K81" s="9"/>
      <c r="L81" s="9"/>
      <c r="M81" s="3">
        <f t="shared" si="61"/>
        <v>0.99999999999999989</v>
      </c>
      <c r="N81" s="3"/>
      <c r="O81" s="5">
        <f>SUMIFS($O$82:$O$87,$A$82:$A$87,"Activity",$D$82:$D$87,"P")</f>
        <v>300000</v>
      </c>
      <c r="P81" s="4"/>
      <c r="Q81" s="5"/>
      <c r="R81" s="45" t="str">
        <f t="shared" ref="R81:AW81" si="68">IF(COUNTIFS($A$83:$A$88,"Activity",$D$83:$D$88,"P",R$83:R$88,"&lt;&gt;")=0,"",IFERROR(SUMPRODUCT(--($A$83:$A$88="Activity"),--($D$83:$D$88="P"),$O$83:$O$88,R$83:R$88)/SUMPRODUCT(--($A$83:$A$88="Activity"),--($D$83:$D$88="P"),$O$83:$O$88),""))</f>
        <v/>
      </c>
      <c r="S81" s="45" t="str">
        <f t="shared" si="68"/>
        <v/>
      </c>
      <c r="T81" s="45" t="str">
        <f t="shared" si="68"/>
        <v/>
      </c>
      <c r="U81" s="45" t="str">
        <f t="shared" si="68"/>
        <v/>
      </c>
      <c r="V81" s="45" t="str">
        <f t="shared" si="68"/>
        <v/>
      </c>
      <c r="W81" s="45" t="str">
        <f t="shared" si="68"/>
        <v/>
      </c>
      <c r="X81" s="45" t="str">
        <f t="shared" si="68"/>
        <v/>
      </c>
      <c r="Y81" s="45" t="str">
        <f t="shared" si="68"/>
        <v/>
      </c>
      <c r="Z81" s="45" t="str">
        <f t="shared" si="68"/>
        <v/>
      </c>
      <c r="AA81" s="45" t="str">
        <f t="shared" si="68"/>
        <v/>
      </c>
      <c r="AB81" s="45" t="str">
        <f t="shared" si="68"/>
        <v/>
      </c>
      <c r="AC81" s="45" t="str">
        <f t="shared" si="68"/>
        <v/>
      </c>
      <c r="AD81" s="45" t="str">
        <f t="shared" si="68"/>
        <v/>
      </c>
      <c r="AE81" s="45" t="str">
        <f t="shared" si="68"/>
        <v/>
      </c>
      <c r="AF81" s="45" t="str">
        <f t="shared" si="68"/>
        <v/>
      </c>
      <c r="AG81" s="45" t="str">
        <f t="shared" si="68"/>
        <v/>
      </c>
      <c r="AH81" s="45" t="str">
        <f t="shared" si="68"/>
        <v/>
      </c>
      <c r="AI81" s="45" t="str">
        <f t="shared" si="68"/>
        <v/>
      </c>
      <c r="AJ81" s="45" t="str">
        <f t="shared" si="68"/>
        <v/>
      </c>
      <c r="AK81" s="45" t="str">
        <f t="shared" si="68"/>
        <v/>
      </c>
      <c r="AL81" s="45" t="str">
        <f t="shared" si="68"/>
        <v/>
      </c>
      <c r="AM81" s="45" t="str">
        <f t="shared" si="68"/>
        <v/>
      </c>
      <c r="AN81" s="45" t="str">
        <f t="shared" si="68"/>
        <v/>
      </c>
      <c r="AO81" s="45" t="str">
        <f t="shared" si="68"/>
        <v/>
      </c>
      <c r="AP81" s="45" t="str">
        <f t="shared" si="68"/>
        <v/>
      </c>
      <c r="AQ81" s="45" t="str">
        <f t="shared" si="68"/>
        <v/>
      </c>
      <c r="AR81" s="45" t="str">
        <f t="shared" si="68"/>
        <v/>
      </c>
      <c r="AS81" s="45" t="str">
        <f t="shared" si="68"/>
        <v/>
      </c>
      <c r="AT81" s="45" t="str">
        <f t="shared" si="68"/>
        <v/>
      </c>
      <c r="AU81" s="45" t="str">
        <f t="shared" si="68"/>
        <v/>
      </c>
      <c r="AV81" s="45" t="str">
        <f t="shared" si="68"/>
        <v/>
      </c>
      <c r="AW81" s="45" t="str">
        <f t="shared" si="68"/>
        <v/>
      </c>
      <c r="AX81" s="45" t="str">
        <f t="shared" ref="AX81:CC81" si="69">IF(COUNTIFS($A$83:$A$88,"Activity",$D$83:$D$88,"P",AX$83:AX$88,"&lt;&gt;")=0,"",IFERROR(SUMPRODUCT(--($A$83:$A$88="Activity"),--($D$83:$D$88="P"),$O$83:$O$88,AX$83:AX$88)/SUMPRODUCT(--($A$83:$A$88="Activity"),--($D$83:$D$88="P"),$O$83:$O$88),""))</f>
        <v/>
      </c>
      <c r="AY81" s="45" t="str">
        <f t="shared" si="69"/>
        <v/>
      </c>
      <c r="AZ81" s="45" t="str">
        <f t="shared" si="69"/>
        <v/>
      </c>
      <c r="BA81" s="45" t="str">
        <f t="shared" si="69"/>
        <v/>
      </c>
      <c r="BB81" s="45" t="str">
        <f t="shared" si="69"/>
        <v/>
      </c>
      <c r="BC81" s="45" t="str">
        <f t="shared" si="69"/>
        <v/>
      </c>
      <c r="BD81" s="45" t="str">
        <f t="shared" si="69"/>
        <v/>
      </c>
      <c r="BE81" s="45" t="str">
        <f t="shared" si="69"/>
        <v/>
      </c>
      <c r="BF81" s="45" t="str">
        <f t="shared" si="69"/>
        <v/>
      </c>
      <c r="BG81" s="45">
        <f t="shared" si="69"/>
        <v>9.5238095238095233E-2</v>
      </c>
      <c r="BH81" s="45">
        <f t="shared" si="69"/>
        <v>0.33333333333333331</v>
      </c>
      <c r="BI81" s="45">
        <f t="shared" si="69"/>
        <v>0.2857142857142857</v>
      </c>
      <c r="BJ81" s="45">
        <f t="shared" si="69"/>
        <v>0.16666666666666663</v>
      </c>
      <c r="BK81" s="45">
        <f t="shared" si="69"/>
        <v>0.11904761904761905</v>
      </c>
      <c r="BL81" s="45" t="str">
        <f t="shared" si="69"/>
        <v/>
      </c>
      <c r="BM81" s="45" t="str">
        <f t="shared" si="69"/>
        <v/>
      </c>
      <c r="BN81" s="45" t="str">
        <f t="shared" si="69"/>
        <v/>
      </c>
      <c r="BO81" s="45" t="str">
        <f t="shared" si="69"/>
        <v/>
      </c>
      <c r="BP81" s="45" t="str">
        <f t="shared" si="69"/>
        <v/>
      </c>
      <c r="BQ81" s="45" t="str">
        <f t="shared" si="69"/>
        <v/>
      </c>
      <c r="BR81" s="45" t="str">
        <f t="shared" si="69"/>
        <v/>
      </c>
      <c r="BS81" s="45" t="str">
        <f t="shared" si="69"/>
        <v/>
      </c>
      <c r="BT81" s="45" t="str">
        <f t="shared" si="69"/>
        <v/>
      </c>
      <c r="BU81" s="45" t="str">
        <f t="shared" si="69"/>
        <v/>
      </c>
      <c r="BV81" s="45" t="str">
        <f t="shared" si="69"/>
        <v/>
      </c>
      <c r="BW81" s="45" t="str">
        <f t="shared" si="69"/>
        <v/>
      </c>
      <c r="BX81" s="45" t="str">
        <f t="shared" si="69"/>
        <v/>
      </c>
      <c r="BY81" s="45" t="str">
        <f t="shared" si="69"/>
        <v/>
      </c>
      <c r="BZ81" s="45" t="str">
        <f t="shared" si="69"/>
        <v/>
      </c>
      <c r="CA81" s="45" t="str">
        <f t="shared" si="69"/>
        <v/>
      </c>
      <c r="CB81" s="45" t="str">
        <f t="shared" si="69"/>
        <v/>
      </c>
      <c r="CC81" s="45" t="str">
        <f t="shared" si="69"/>
        <v/>
      </c>
      <c r="CD81" s="45" t="str">
        <f t="shared" ref="CD81:CO81" si="70">IF(COUNTIFS($A$83:$A$88,"Activity",$D$83:$D$88,"P",CD$83:CD$88,"&lt;&gt;")=0,"",IFERROR(SUMPRODUCT(--($A$83:$A$88="Activity"),--($D$83:$D$88="P"),$O$83:$O$88,CD$83:CD$88)/SUMPRODUCT(--($A$83:$A$88="Activity"),--($D$83:$D$88="P"),$O$83:$O$88),""))</f>
        <v/>
      </c>
      <c r="CE81" s="45" t="str">
        <f t="shared" si="70"/>
        <v/>
      </c>
      <c r="CF81" s="45" t="str">
        <f t="shared" si="70"/>
        <v/>
      </c>
      <c r="CG81" s="45" t="str">
        <f t="shared" si="70"/>
        <v/>
      </c>
      <c r="CH81" s="45" t="str">
        <f t="shared" si="70"/>
        <v/>
      </c>
      <c r="CI81" s="45" t="str">
        <f t="shared" si="70"/>
        <v/>
      </c>
      <c r="CJ81" s="45" t="str">
        <f t="shared" si="70"/>
        <v/>
      </c>
      <c r="CK81" s="45" t="str">
        <f t="shared" si="70"/>
        <v/>
      </c>
      <c r="CL81" s="45" t="str">
        <f t="shared" si="70"/>
        <v/>
      </c>
      <c r="CM81" s="45" t="str">
        <f t="shared" si="70"/>
        <v/>
      </c>
      <c r="CN81" s="45" t="str">
        <f t="shared" si="70"/>
        <v/>
      </c>
      <c r="CO81" s="45" t="str">
        <f t="shared" si="70"/>
        <v/>
      </c>
    </row>
    <row r="82" spans="1:93" outlineLevel="2" x14ac:dyDescent="0.25">
      <c r="A82" s="1"/>
      <c r="B82" s="1"/>
      <c r="C82" s="6"/>
      <c r="D82" s="8" t="s">
        <v>111</v>
      </c>
      <c r="E82" s="1"/>
      <c r="F82" s="1"/>
      <c r="G82" s="1"/>
      <c r="H82" s="1"/>
      <c r="I82" s="9"/>
      <c r="J82" s="9"/>
      <c r="K82" s="9"/>
      <c r="L82" s="9"/>
      <c r="M82" s="3" t="str">
        <f t="shared" si="61"/>
        <v/>
      </c>
      <c r="N82" s="3"/>
      <c r="O82" s="46">
        <f>O81</f>
        <v>300000</v>
      </c>
      <c r="P82" s="4"/>
      <c r="Q82" s="5"/>
      <c r="R82" s="45" t="str">
        <f t="shared" ref="R82:AW82" si="71">IF(COUNTIFS($E$83:$E$88,"&lt;&gt;",$D$83:$D$88,"A",R$83:R$88,"&lt;&gt;")=0,"",IFERROR(SUMPRODUCT(--($E$83:$E$88&lt;&gt;""),--($D$83:$D$88="A"),$O$83:$O$88,R$83:R$88)/SUMPRODUCT(--($E$83:$E$88&lt;&gt;""),--($D$83:$D$88="A"),$O$83:$O$88),""))</f>
        <v/>
      </c>
      <c r="S82" s="45" t="str">
        <f t="shared" si="71"/>
        <v/>
      </c>
      <c r="T82" s="45" t="str">
        <f t="shared" si="71"/>
        <v/>
      </c>
      <c r="U82" s="45" t="str">
        <f t="shared" si="71"/>
        <v/>
      </c>
      <c r="V82" s="45" t="str">
        <f t="shared" si="71"/>
        <v/>
      </c>
      <c r="W82" s="45" t="str">
        <f t="shared" si="71"/>
        <v/>
      </c>
      <c r="X82" s="45" t="str">
        <f t="shared" si="71"/>
        <v/>
      </c>
      <c r="Y82" s="45" t="str">
        <f t="shared" si="71"/>
        <v/>
      </c>
      <c r="Z82" s="45" t="str">
        <f t="shared" si="71"/>
        <v/>
      </c>
      <c r="AA82" s="45" t="str">
        <f t="shared" si="71"/>
        <v/>
      </c>
      <c r="AB82" s="45" t="str">
        <f t="shared" si="71"/>
        <v/>
      </c>
      <c r="AC82" s="45" t="str">
        <f t="shared" si="71"/>
        <v/>
      </c>
      <c r="AD82" s="45" t="str">
        <f t="shared" si="71"/>
        <v/>
      </c>
      <c r="AE82" s="45" t="str">
        <f t="shared" si="71"/>
        <v/>
      </c>
      <c r="AF82" s="45" t="str">
        <f t="shared" si="71"/>
        <v/>
      </c>
      <c r="AG82" s="45" t="str">
        <f t="shared" si="71"/>
        <v/>
      </c>
      <c r="AH82" s="45" t="str">
        <f t="shared" si="71"/>
        <v/>
      </c>
      <c r="AI82" s="45" t="str">
        <f t="shared" si="71"/>
        <v/>
      </c>
      <c r="AJ82" s="45" t="str">
        <f t="shared" si="71"/>
        <v/>
      </c>
      <c r="AK82" s="45" t="str">
        <f t="shared" si="71"/>
        <v/>
      </c>
      <c r="AL82" s="45" t="str">
        <f t="shared" si="71"/>
        <v/>
      </c>
      <c r="AM82" s="45" t="str">
        <f t="shared" si="71"/>
        <v/>
      </c>
      <c r="AN82" s="45" t="str">
        <f t="shared" si="71"/>
        <v/>
      </c>
      <c r="AO82" s="45" t="str">
        <f t="shared" si="71"/>
        <v/>
      </c>
      <c r="AP82" s="45" t="str">
        <f t="shared" si="71"/>
        <v/>
      </c>
      <c r="AQ82" s="45" t="str">
        <f t="shared" si="71"/>
        <v/>
      </c>
      <c r="AR82" s="45" t="str">
        <f t="shared" si="71"/>
        <v/>
      </c>
      <c r="AS82" s="45" t="str">
        <f t="shared" si="71"/>
        <v/>
      </c>
      <c r="AT82" s="45" t="str">
        <f t="shared" si="71"/>
        <v/>
      </c>
      <c r="AU82" s="45" t="str">
        <f t="shared" si="71"/>
        <v/>
      </c>
      <c r="AV82" s="45" t="str">
        <f t="shared" si="71"/>
        <v/>
      </c>
      <c r="AW82" s="45" t="str">
        <f t="shared" si="71"/>
        <v/>
      </c>
      <c r="AX82" s="45" t="str">
        <f t="shared" ref="AX82:CC82" si="72">IF(COUNTIFS($E$83:$E$88,"&lt;&gt;",$D$83:$D$88,"A",AX$83:AX$88,"&lt;&gt;")=0,"",IFERROR(SUMPRODUCT(--($E$83:$E$88&lt;&gt;""),--($D$83:$D$88="A"),$O$83:$O$88,AX$83:AX$88)/SUMPRODUCT(--($E$83:$E$88&lt;&gt;""),--($D$83:$D$88="A"),$O$83:$O$88),""))</f>
        <v/>
      </c>
      <c r="AY82" s="45" t="str">
        <f t="shared" si="72"/>
        <v/>
      </c>
      <c r="AZ82" s="45" t="str">
        <f t="shared" si="72"/>
        <v/>
      </c>
      <c r="BA82" s="45" t="str">
        <f t="shared" si="72"/>
        <v/>
      </c>
      <c r="BB82" s="45" t="str">
        <f t="shared" si="72"/>
        <v/>
      </c>
      <c r="BC82" s="45" t="str">
        <f t="shared" si="72"/>
        <v/>
      </c>
      <c r="BD82" s="45" t="str">
        <f t="shared" si="72"/>
        <v/>
      </c>
      <c r="BE82" s="45" t="str">
        <f t="shared" si="72"/>
        <v/>
      </c>
      <c r="BF82" s="45" t="str">
        <f t="shared" si="72"/>
        <v/>
      </c>
      <c r="BG82" s="45" t="str">
        <f t="shared" si="72"/>
        <v/>
      </c>
      <c r="BH82" s="45" t="str">
        <f t="shared" si="72"/>
        <v/>
      </c>
      <c r="BI82" s="45" t="str">
        <f t="shared" si="72"/>
        <v/>
      </c>
      <c r="BJ82" s="45" t="str">
        <f t="shared" si="72"/>
        <v/>
      </c>
      <c r="BK82" s="45" t="str">
        <f t="shared" si="72"/>
        <v/>
      </c>
      <c r="BL82" s="45" t="str">
        <f t="shared" si="72"/>
        <v/>
      </c>
      <c r="BM82" s="45" t="str">
        <f t="shared" si="72"/>
        <v/>
      </c>
      <c r="BN82" s="45" t="str">
        <f t="shared" si="72"/>
        <v/>
      </c>
      <c r="BO82" s="45" t="str">
        <f t="shared" si="72"/>
        <v/>
      </c>
      <c r="BP82" s="45" t="str">
        <f t="shared" si="72"/>
        <v/>
      </c>
      <c r="BQ82" s="45" t="str">
        <f t="shared" si="72"/>
        <v/>
      </c>
      <c r="BR82" s="45" t="str">
        <f t="shared" si="72"/>
        <v/>
      </c>
      <c r="BS82" s="45" t="str">
        <f t="shared" si="72"/>
        <v/>
      </c>
      <c r="BT82" s="45" t="str">
        <f t="shared" si="72"/>
        <v/>
      </c>
      <c r="BU82" s="45" t="str">
        <f t="shared" si="72"/>
        <v/>
      </c>
      <c r="BV82" s="45" t="str">
        <f t="shared" si="72"/>
        <v/>
      </c>
      <c r="BW82" s="45" t="str">
        <f t="shared" si="72"/>
        <v/>
      </c>
      <c r="BX82" s="45" t="str">
        <f t="shared" si="72"/>
        <v/>
      </c>
      <c r="BY82" s="45" t="str">
        <f t="shared" si="72"/>
        <v/>
      </c>
      <c r="BZ82" s="45" t="str">
        <f t="shared" si="72"/>
        <v/>
      </c>
      <c r="CA82" s="45" t="str">
        <f t="shared" si="72"/>
        <v/>
      </c>
      <c r="CB82" s="45" t="str">
        <f t="shared" si="72"/>
        <v/>
      </c>
      <c r="CC82" s="45" t="str">
        <f t="shared" si="72"/>
        <v/>
      </c>
      <c r="CD82" s="45" t="str">
        <f t="shared" ref="CD82:CO82" si="73">IF(COUNTIFS($E$83:$E$88,"&lt;&gt;",$D$83:$D$88,"A",CD$83:CD$88,"&lt;&gt;")=0,"",IFERROR(SUMPRODUCT(--($E$83:$E$88&lt;&gt;""),--($D$83:$D$88="A"),$O$83:$O$88,CD$83:CD$88)/SUMPRODUCT(--($E$83:$E$88&lt;&gt;""),--($D$83:$D$88="A"),$O$83:$O$88),""))</f>
        <v/>
      </c>
      <c r="CE82" s="45" t="str">
        <f t="shared" si="73"/>
        <v/>
      </c>
      <c r="CF82" s="45" t="str">
        <f t="shared" si="73"/>
        <v/>
      </c>
      <c r="CG82" s="45" t="str">
        <f t="shared" si="73"/>
        <v/>
      </c>
      <c r="CH82" s="45" t="str">
        <f t="shared" si="73"/>
        <v/>
      </c>
      <c r="CI82" s="45" t="str">
        <f t="shared" si="73"/>
        <v/>
      </c>
      <c r="CJ82" s="45" t="str">
        <f t="shared" si="73"/>
        <v/>
      </c>
      <c r="CK82" s="45" t="str">
        <f t="shared" si="73"/>
        <v/>
      </c>
      <c r="CL82" s="45" t="str">
        <f t="shared" si="73"/>
        <v/>
      </c>
      <c r="CM82" s="45" t="str">
        <f t="shared" si="73"/>
        <v/>
      </c>
      <c r="CN82" s="45" t="str">
        <f t="shared" si="73"/>
        <v/>
      </c>
      <c r="CO82" s="45" t="str">
        <f t="shared" si="73"/>
        <v/>
      </c>
    </row>
    <row r="83" spans="1:93" outlineLevel="3" x14ac:dyDescent="0.25">
      <c r="A83" s="10" t="s">
        <v>116</v>
      </c>
      <c r="B83" s="10" t="s">
        <v>211</v>
      </c>
      <c r="C83" s="11" t="s">
        <v>188</v>
      </c>
      <c r="D83" s="12" t="s">
        <v>110</v>
      </c>
      <c r="E83" s="10" t="s">
        <v>212</v>
      </c>
      <c r="F83" s="10">
        <v>39</v>
      </c>
      <c r="G83" s="10">
        <v>39</v>
      </c>
      <c r="H83" s="10">
        <v>3</v>
      </c>
      <c r="I83" s="13">
        <v>46331.333333333343</v>
      </c>
      <c r="J83" s="13">
        <v>46337.666666666657</v>
      </c>
      <c r="K83" s="13"/>
      <c r="L83" s="13"/>
      <c r="M83" s="14">
        <f t="shared" si="61"/>
        <v>1</v>
      </c>
      <c r="N83" s="14"/>
      <c r="O83" s="16">
        <v>100000</v>
      </c>
      <c r="P83" s="15">
        <v>14.4</v>
      </c>
      <c r="Q83" s="16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>
        <v>0.2857142857142857</v>
      </c>
      <c r="BH83" s="47">
        <v>0.7142857142857143</v>
      </c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</row>
    <row r="84" spans="1:93" outlineLevel="3" x14ac:dyDescent="0.25">
      <c r="A84" s="17"/>
      <c r="B84" s="17"/>
      <c r="C84" s="18"/>
      <c r="D84" s="19" t="s">
        <v>111</v>
      </c>
      <c r="E84" s="17" t="s">
        <v>212</v>
      </c>
      <c r="F84" s="17"/>
      <c r="G84" s="17"/>
      <c r="H84" s="17"/>
      <c r="I84" s="20"/>
      <c r="J84" s="20"/>
      <c r="K84" s="20"/>
      <c r="L84" s="20"/>
      <c r="M84" s="21" t="str">
        <f t="shared" si="61"/>
        <v/>
      </c>
      <c r="N84" s="21">
        <v>0</v>
      </c>
      <c r="O84" s="48">
        <f>O83</f>
        <v>100000</v>
      </c>
      <c r="P84" s="22"/>
      <c r="Q84" s="23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</row>
    <row r="85" spans="1:93" outlineLevel="3" x14ac:dyDescent="0.25">
      <c r="A85" s="10" t="s">
        <v>116</v>
      </c>
      <c r="B85" s="10" t="s">
        <v>213</v>
      </c>
      <c r="C85" s="11" t="s">
        <v>204</v>
      </c>
      <c r="D85" s="12" t="s">
        <v>110</v>
      </c>
      <c r="E85" s="10" t="s">
        <v>214</v>
      </c>
      <c r="F85" s="10">
        <v>40</v>
      </c>
      <c r="G85" s="10">
        <v>40</v>
      </c>
      <c r="H85" s="10">
        <v>3</v>
      </c>
      <c r="I85" s="13">
        <v>46338.333333333343</v>
      </c>
      <c r="J85" s="13">
        <v>46344.666666666657</v>
      </c>
      <c r="K85" s="13"/>
      <c r="L85" s="13"/>
      <c r="M85" s="14">
        <f t="shared" si="61"/>
        <v>1</v>
      </c>
      <c r="N85" s="14"/>
      <c r="O85" s="16">
        <v>100000</v>
      </c>
      <c r="P85" s="15">
        <v>14.4</v>
      </c>
      <c r="Q85" s="16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>
        <v>0.2857142857142857</v>
      </c>
      <c r="BI85" s="47">
        <v>0.7142857142857143</v>
      </c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</row>
    <row r="86" spans="1:93" outlineLevel="3" x14ac:dyDescent="0.25">
      <c r="A86" s="17"/>
      <c r="B86" s="17"/>
      <c r="C86" s="18"/>
      <c r="D86" s="19" t="s">
        <v>111</v>
      </c>
      <c r="E86" s="17" t="s">
        <v>214</v>
      </c>
      <c r="F86" s="17"/>
      <c r="G86" s="17"/>
      <c r="H86" s="17"/>
      <c r="I86" s="20"/>
      <c r="J86" s="20"/>
      <c r="K86" s="20"/>
      <c r="L86" s="20"/>
      <c r="M86" s="21" t="str">
        <f t="shared" si="61"/>
        <v/>
      </c>
      <c r="N86" s="21">
        <v>0</v>
      </c>
      <c r="O86" s="48">
        <f>O85</f>
        <v>100000</v>
      </c>
      <c r="P86" s="22"/>
      <c r="Q86" s="23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</row>
    <row r="87" spans="1:93" outlineLevel="3" x14ac:dyDescent="0.25">
      <c r="A87" s="10" t="s">
        <v>116</v>
      </c>
      <c r="B87" s="10" t="s">
        <v>215</v>
      </c>
      <c r="C87" s="11" t="s">
        <v>207</v>
      </c>
      <c r="D87" s="12" t="s">
        <v>110</v>
      </c>
      <c r="E87" s="10" t="s">
        <v>216</v>
      </c>
      <c r="F87" s="10">
        <v>41</v>
      </c>
      <c r="G87" s="10">
        <v>41</v>
      </c>
      <c r="H87" s="10">
        <v>3</v>
      </c>
      <c r="I87" s="13">
        <v>46345.333333333343</v>
      </c>
      <c r="J87" s="13">
        <v>46358.666666666657</v>
      </c>
      <c r="K87" s="13"/>
      <c r="L87" s="13"/>
      <c r="M87" s="14">
        <f t="shared" si="61"/>
        <v>0.99999999999999989</v>
      </c>
      <c r="N87" s="14"/>
      <c r="O87" s="16">
        <v>100000</v>
      </c>
      <c r="P87" s="15">
        <v>14.4</v>
      </c>
      <c r="Q87" s="16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>
        <v>0.14285714285714279</v>
      </c>
      <c r="BJ87" s="47">
        <v>0.49999999999999989</v>
      </c>
      <c r="BK87" s="47">
        <v>0.35714285714285721</v>
      </c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</row>
    <row r="88" spans="1:93" outlineLevel="3" x14ac:dyDescent="0.25">
      <c r="A88" s="17"/>
      <c r="B88" s="17"/>
      <c r="C88" s="18"/>
      <c r="D88" s="19" t="s">
        <v>111</v>
      </c>
      <c r="E88" s="17" t="s">
        <v>216</v>
      </c>
      <c r="F88" s="17"/>
      <c r="G88" s="17"/>
      <c r="H88" s="17"/>
      <c r="I88" s="20"/>
      <c r="J88" s="20"/>
      <c r="K88" s="20"/>
      <c r="L88" s="20"/>
      <c r="M88" s="21" t="str">
        <f t="shared" si="61"/>
        <v/>
      </c>
      <c r="N88" s="21">
        <v>0</v>
      </c>
      <c r="O88" s="48">
        <f>O87</f>
        <v>100000</v>
      </c>
      <c r="P88" s="22"/>
      <c r="Q88" s="23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</row>
    <row r="89" spans="1:93" outlineLevel="2" x14ac:dyDescent="0.25">
      <c r="A89" s="1" t="s">
        <v>92</v>
      </c>
      <c r="B89" s="1" t="s">
        <v>217</v>
      </c>
      <c r="C89" s="6" t="s">
        <v>218</v>
      </c>
      <c r="D89" s="8" t="s">
        <v>110</v>
      </c>
      <c r="E89" s="1"/>
      <c r="F89" s="1">
        <v>42</v>
      </c>
      <c r="G89" s="1">
        <v>42</v>
      </c>
      <c r="H89" s="1">
        <v>2</v>
      </c>
      <c r="I89" s="9">
        <v>46359.333333333343</v>
      </c>
      <c r="J89" s="9">
        <v>46386.666666666657</v>
      </c>
      <c r="K89" s="9"/>
      <c r="L89" s="9"/>
      <c r="M89" s="3">
        <f t="shared" si="61"/>
        <v>1</v>
      </c>
      <c r="N89" s="3"/>
      <c r="O89" s="5">
        <f>SUMIFS($O$90:$O$95,$A$90:$A$95,"Activity",$D$90:$D$95,"P")</f>
        <v>300000</v>
      </c>
      <c r="P89" s="4"/>
      <c r="Q89" s="5"/>
      <c r="R89" s="45" t="str">
        <f t="shared" ref="R89:AW89" si="74">IF(COUNTIFS($A$91:$A$96,"Activity",$D$91:$D$96,"P",R$91:R$96,"&lt;&gt;")=0,"",IFERROR(SUMPRODUCT(--($A$91:$A$96="Activity"),--($D$91:$D$96="P"),$O$91:$O$96,R$91:R$96)/SUMPRODUCT(--($A$91:$A$96="Activity"),--($D$91:$D$96="P"),$O$91:$O$96),""))</f>
        <v/>
      </c>
      <c r="S89" s="45" t="str">
        <f t="shared" si="74"/>
        <v/>
      </c>
      <c r="T89" s="45" t="str">
        <f t="shared" si="74"/>
        <v/>
      </c>
      <c r="U89" s="45" t="str">
        <f t="shared" si="74"/>
        <v/>
      </c>
      <c r="V89" s="45" t="str">
        <f t="shared" si="74"/>
        <v/>
      </c>
      <c r="W89" s="45" t="str">
        <f t="shared" si="74"/>
        <v/>
      </c>
      <c r="X89" s="45" t="str">
        <f t="shared" si="74"/>
        <v/>
      </c>
      <c r="Y89" s="45" t="str">
        <f t="shared" si="74"/>
        <v/>
      </c>
      <c r="Z89" s="45" t="str">
        <f t="shared" si="74"/>
        <v/>
      </c>
      <c r="AA89" s="45" t="str">
        <f t="shared" si="74"/>
        <v/>
      </c>
      <c r="AB89" s="45" t="str">
        <f t="shared" si="74"/>
        <v/>
      </c>
      <c r="AC89" s="45" t="str">
        <f t="shared" si="74"/>
        <v/>
      </c>
      <c r="AD89" s="45" t="str">
        <f t="shared" si="74"/>
        <v/>
      </c>
      <c r="AE89" s="45" t="str">
        <f t="shared" si="74"/>
        <v/>
      </c>
      <c r="AF89" s="45" t="str">
        <f t="shared" si="74"/>
        <v/>
      </c>
      <c r="AG89" s="45" t="str">
        <f t="shared" si="74"/>
        <v/>
      </c>
      <c r="AH89" s="45" t="str">
        <f t="shared" si="74"/>
        <v/>
      </c>
      <c r="AI89" s="45" t="str">
        <f t="shared" si="74"/>
        <v/>
      </c>
      <c r="AJ89" s="45" t="str">
        <f t="shared" si="74"/>
        <v/>
      </c>
      <c r="AK89" s="45" t="str">
        <f t="shared" si="74"/>
        <v/>
      </c>
      <c r="AL89" s="45" t="str">
        <f t="shared" si="74"/>
        <v/>
      </c>
      <c r="AM89" s="45" t="str">
        <f t="shared" si="74"/>
        <v/>
      </c>
      <c r="AN89" s="45" t="str">
        <f t="shared" si="74"/>
        <v/>
      </c>
      <c r="AO89" s="45" t="str">
        <f t="shared" si="74"/>
        <v/>
      </c>
      <c r="AP89" s="45" t="str">
        <f t="shared" si="74"/>
        <v/>
      </c>
      <c r="AQ89" s="45" t="str">
        <f t="shared" si="74"/>
        <v/>
      </c>
      <c r="AR89" s="45" t="str">
        <f t="shared" si="74"/>
        <v/>
      </c>
      <c r="AS89" s="45" t="str">
        <f t="shared" si="74"/>
        <v/>
      </c>
      <c r="AT89" s="45" t="str">
        <f t="shared" si="74"/>
        <v/>
      </c>
      <c r="AU89" s="45" t="str">
        <f t="shared" si="74"/>
        <v/>
      </c>
      <c r="AV89" s="45" t="str">
        <f t="shared" si="74"/>
        <v/>
      </c>
      <c r="AW89" s="45" t="str">
        <f t="shared" si="74"/>
        <v/>
      </c>
      <c r="AX89" s="45" t="str">
        <f t="shared" ref="AX89:CC89" si="75">IF(COUNTIFS($A$91:$A$96,"Activity",$D$91:$D$96,"P",AX$91:AX$96,"&lt;&gt;")=0,"",IFERROR(SUMPRODUCT(--($A$91:$A$96="Activity"),--($D$91:$D$96="P"),$O$91:$O$96,AX$91:AX$96)/SUMPRODUCT(--($A$91:$A$96="Activity"),--($D$91:$D$96="P"),$O$91:$O$96),""))</f>
        <v/>
      </c>
      <c r="AY89" s="45" t="str">
        <f t="shared" si="75"/>
        <v/>
      </c>
      <c r="AZ89" s="45" t="str">
        <f t="shared" si="75"/>
        <v/>
      </c>
      <c r="BA89" s="45" t="str">
        <f t="shared" si="75"/>
        <v/>
      </c>
      <c r="BB89" s="45" t="str">
        <f t="shared" si="75"/>
        <v/>
      </c>
      <c r="BC89" s="45" t="str">
        <f t="shared" si="75"/>
        <v/>
      </c>
      <c r="BD89" s="45" t="str">
        <f t="shared" si="75"/>
        <v/>
      </c>
      <c r="BE89" s="45" t="str">
        <f t="shared" si="75"/>
        <v/>
      </c>
      <c r="BF89" s="45" t="str">
        <f t="shared" si="75"/>
        <v/>
      </c>
      <c r="BG89" s="45" t="str">
        <f t="shared" si="75"/>
        <v/>
      </c>
      <c r="BH89" s="45" t="str">
        <f t="shared" si="75"/>
        <v/>
      </c>
      <c r="BI89" s="45" t="str">
        <f t="shared" si="75"/>
        <v/>
      </c>
      <c r="BJ89" s="45" t="str">
        <f t="shared" si="75"/>
        <v/>
      </c>
      <c r="BK89" s="45">
        <f t="shared" si="75"/>
        <v>9.5238095238095233E-2</v>
      </c>
      <c r="BL89" s="45">
        <f t="shared" si="75"/>
        <v>0.26584182618767283</v>
      </c>
      <c r="BM89" s="45">
        <f t="shared" si="75"/>
        <v>0.23622027500981188</v>
      </c>
      <c r="BN89" s="45">
        <f t="shared" si="75"/>
        <v>0.16460456546918192</v>
      </c>
      <c r="BO89" s="45">
        <f t="shared" si="75"/>
        <v>0.23809523809523811</v>
      </c>
      <c r="BP89" s="45" t="str">
        <f t="shared" si="75"/>
        <v/>
      </c>
      <c r="BQ89" s="45" t="str">
        <f t="shared" si="75"/>
        <v/>
      </c>
      <c r="BR89" s="45" t="str">
        <f t="shared" si="75"/>
        <v/>
      </c>
      <c r="BS89" s="45" t="str">
        <f t="shared" si="75"/>
        <v/>
      </c>
      <c r="BT89" s="45" t="str">
        <f t="shared" si="75"/>
        <v/>
      </c>
      <c r="BU89" s="45" t="str">
        <f t="shared" si="75"/>
        <v/>
      </c>
      <c r="BV89" s="45" t="str">
        <f t="shared" si="75"/>
        <v/>
      </c>
      <c r="BW89" s="45" t="str">
        <f t="shared" si="75"/>
        <v/>
      </c>
      <c r="BX89" s="45" t="str">
        <f t="shared" si="75"/>
        <v/>
      </c>
      <c r="BY89" s="45" t="str">
        <f t="shared" si="75"/>
        <v/>
      </c>
      <c r="BZ89" s="45" t="str">
        <f t="shared" si="75"/>
        <v/>
      </c>
      <c r="CA89" s="45" t="str">
        <f t="shared" si="75"/>
        <v/>
      </c>
      <c r="CB89" s="45" t="str">
        <f t="shared" si="75"/>
        <v/>
      </c>
      <c r="CC89" s="45" t="str">
        <f t="shared" si="75"/>
        <v/>
      </c>
      <c r="CD89" s="45" t="str">
        <f t="shared" ref="CD89:CO89" si="76">IF(COUNTIFS($A$91:$A$96,"Activity",$D$91:$D$96,"P",CD$91:CD$96,"&lt;&gt;")=0,"",IFERROR(SUMPRODUCT(--($A$91:$A$96="Activity"),--($D$91:$D$96="P"),$O$91:$O$96,CD$91:CD$96)/SUMPRODUCT(--($A$91:$A$96="Activity"),--($D$91:$D$96="P"),$O$91:$O$96),""))</f>
        <v/>
      </c>
      <c r="CE89" s="45" t="str">
        <f t="shared" si="76"/>
        <v/>
      </c>
      <c r="CF89" s="45" t="str">
        <f t="shared" si="76"/>
        <v/>
      </c>
      <c r="CG89" s="45" t="str">
        <f t="shared" si="76"/>
        <v/>
      </c>
      <c r="CH89" s="45" t="str">
        <f t="shared" si="76"/>
        <v/>
      </c>
      <c r="CI89" s="45" t="str">
        <f t="shared" si="76"/>
        <v/>
      </c>
      <c r="CJ89" s="45" t="str">
        <f t="shared" si="76"/>
        <v/>
      </c>
      <c r="CK89" s="45" t="str">
        <f t="shared" si="76"/>
        <v/>
      </c>
      <c r="CL89" s="45" t="str">
        <f t="shared" si="76"/>
        <v/>
      </c>
      <c r="CM89" s="45" t="str">
        <f t="shared" si="76"/>
        <v/>
      </c>
      <c r="CN89" s="45" t="str">
        <f t="shared" si="76"/>
        <v/>
      </c>
      <c r="CO89" s="45" t="str">
        <f t="shared" si="76"/>
        <v/>
      </c>
    </row>
    <row r="90" spans="1:93" outlineLevel="2" x14ac:dyDescent="0.25">
      <c r="A90" s="1"/>
      <c r="B90" s="1"/>
      <c r="C90" s="6"/>
      <c r="D90" s="8" t="s">
        <v>111</v>
      </c>
      <c r="E90" s="1"/>
      <c r="F90" s="1"/>
      <c r="G90" s="1"/>
      <c r="H90" s="1"/>
      <c r="I90" s="9"/>
      <c r="J90" s="9"/>
      <c r="K90" s="9"/>
      <c r="L90" s="9"/>
      <c r="M90" s="3" t="str">
        <f t="shared" si="61"/>
        <v/>
      </c>
      <c r="N90" s="3"/>
      <c r="O90" s="46">
        <f>O89</f>
        <v>300000</v>
      </c>
      <c r="P90" s="4"/>
      <c r="Q90" s="5"/>
      <c r="R90" s="45" t="str">
        <f t="shared" ref="R90:AW90" si="77">IF(COUNTIFS($E$91:$E$96,"&lt;&gt;",$D$91:$D$96,"A",R$91:R$96,"&lt;&gt;")=0,"",IFERROR(SUMPRODUCT(--($E$91:$E$96&lt;&gt;""),--($D$91:$D$96="A"),$O$91:$O$96,R$91:R$96)/SUMPRODUCT(--($E$91:$E$96&lt;&gt;""),--($D$91:$D$96="A"),$O$91:$O$96),""))</f>
        <v/>
      </c>
      <c r="S90" s="45" t="str">
        <f t="shared" si="77"/>
        <v/>
      </c>
      <c r="T90" s="45" t="str">
        <f t="shared" si="77"/>
        <v/>
      </c>
      <c r="U90" s="45" t="str">
        <f t="shared" si="77"/>
        <v/>
      </c>
      <c r="V90" s="45" t="str">
        <f t="shared" si="77"/>
        <v/>
      </c>
      <c r="W90" s="45" t="str">
        <f t="shared" si="77"/>
        <v/>
      </c>
      <c r="X90" s="45" t="str">
        <f t="shared" si="77"/>
        <v/>
      </c>
      <c r="Y90" s="45" t="str">
        <f t="shared" si="77"/>
        <v/>
      </c>
      <c r="Z90" s="45" t="str">
        <f t="shared" si="77"/>
        <v/>
      </c>
      <c r="AA90" s="45" t="str">
        <f t="shared" si="77"/>
        <v/>
      </c>
      <c r="AB90" s="45" t="str">
        <f t="shared" si="77"/>
        <v/>
      </c>
      <c r="AC90" s="45" t="str">
        <f t="shared" si="77"/>
        <v/>
      </c>
      <c r="AD90" s="45" t="str">
        <f t="shared" si="77"/>
        <v/>
      </c>
      <c r="AE90" s="45" t="str">
        <f t="shared" si="77"/>
        <v/>
      </c>
      <c r="AF90" s="45" t="str">
        <f t="shared" si="77"/>
        <v/>
      </c>
      <c r="AG90" s="45" t="str">
        <f t="shared" si="77"/>
        <v/>
      </c>
      <c r="AH90" s="45" t="str">
        <f t="shared" si="77"/>
        <v/>
      </c>
      <c r="AI90" s="45" t="str">
        <f t="shared" si="77"/>
        <v/>
      </c>
      <c r="AJ90" s="45" t="str">
        <f t="shared" si="77"/>
        <v/>
      </c>
      <c r="AK90" s="45" t="str">
        <f t="shared" si="77"/>
        <v/>
      </c>
      <c r="AL90" s="45" t="str">
        <f t="shared" si="77"/>
        <v/>
      </c>
      <c r="AM90" s="45" t="str">
        <f t="shared" si="77"/>
        <v/>
      </c>
      <c r="AN90" s="45" t="str">
        <f t="shared" si="77"/>
        <v/>
      </c>
      <c r="AO90" s="45" t="str">
        <f t="shared" si="77"/>
        <v/>
      </c>
      <c r="AP90" s="45" t="str">
        <f t="shared" si="77"/>
        <v/>
      </c>
      <c r="AQ90" s="45" t="str">
        <f t="shared" si="77"/>
        <v/>
      </c>
      <c r="AR90" s="45" t="str">
        <f t="shared" si="77"/>
        <v/>
      </c>
      <c r="AS90" s="45" t="str">
        <f t="shared" si="77"/>
        <v/>
      </c>
      <c r="AT90" s="45" t="str">
        <f t="shared" si="77"/>
        <v/>
      </c>
      <c r="AU90" s="45" t="str">
        <f t="shared" si="77"/>
        <v/>
      </c>
      <c r="AV90" s="45" t="str">
        <f t="shared" si="77"/>
        <v/>
      </c>
      <c r="AW90" s="45" t="str">
        <f t="shared" si="77"/>
        <v/>
      </c>
      <c r="AX90" s="45" t="str">
        <f t="shared" ref="AX90:CC90" si="78">IF(COUNTIFS($E$91:$E$96,"&lt;&gt;",$D$91:$D$96,"A",AX$91:AX$96,"&lt;&gt;")=0,"",IFERROR(SUMPRODUCT(--($E$91:$E$96&lt;&gt;""),--($D$91:$D$96="A"),$O$91:$O$96,AX$91:AX$96)/SUMPRODUCT(--($E$91:$E$96&lt;&gt;""),--($D$91:$D$96="A"),$O$91:$O$96),""))</f>
        <v/>
      </c>
      <c r="AY90" s="45" t="str">
        <f t="shared" si="78"/>
        <v/>
      </c>
      <c r="AZ90" s="45" t="str">
        <f t="shared" si="78"/>
        <v/>
      </c>
      <c r="BA90" s="45" t="str">
        <f t="shared" si="78"/>
        <v/>
      </c>
      <c r="BB90" s="45" t="str">
        <f t="shared" si="78"/>
        <v/>
      </c>
      <c r="BC90" s="45" t="str">
        <f t="shared" si="78"/>
        <v/>
      </c>
      <c r="BD90" s="45" t="str">
        <f t="shared" si="78"/>
        <v/>
      </c>
      <c r="BE90" s="45" t="str">
        <f t="shared" si="78"/>
        <v/>
      </c>
      <c r="BF90" s="45" t="str">
        <f t="shared" si="78"/>
        <v/>
      </c>
      <c r="BG90" s="45" t="str">
        <f t="shared" si="78"/>
        <v/>
      </c>
      <c r="BH90" s="45" t="str">
        <f t="shared" si="78"/>
        <v/>
      </c>
      <c r="BI90" s="45" t="str">
        <f t="shared" si="78"/>
        <v/>
      </c>
      <c r="BJ90" s="45" t="str">
        <f t="shared" si="78"/>
        <v/>
      </c>
      <c r="BK90" s="45" t="str">
        <f t="shared" si="78"/>
        <v/>
      </c>
      <c r="BL90" s="45" t="str">
        <f t="shared" si="78"/>
        <v/>
      </c>
      <c r="BM90" s="45" t="str">
        <f t="shared" si="78"/>
        <v/>
      </c>
      <c r="BN90" s="45" t="str">
        <f t="shared" si="78"/>
        <v/>
      </c>
      <c r="BO90" s="45" t="str">
        <f t="shared" si="78"/>
        <v/>
      </c>
      <c r="BP90" s="45" t="str">
        <f t="shared" si="78"/>
        <v/>
      </c>
      <c r="BQ90" s="45" t="str">
        <f t="shared" si="78"/>
        <v/>
      </c>
      <c r="BR90" s="45" t="str">
        <f t="shared" si="78"/>
        <v/>
      </c>
      <c r="BS90" s="45" t="str">
        <f t="shared" si="78"/>
        <v/>
      </c>
      <c r="BT90" s="45" t="str">
        <f t="shared" si="78"/>
        <v/>
      </c>
      <c r="BU90" s="45" t="str">
        <f t="shared" si="78"/>
        <v/>
      </c>
      <c r="BV90" s="45" t="str">
        <f t="shared" si="78"/>
        <v/>
      </c>
      <c r="BW90" s="45" t="str">
        <f t="shared" si="78"/>
        <v/>
      </c>
      <c r="BX90" s="45" t="str">
        <f t="shared" si="78"/>
        <v/>
      </c>
      <c r="BY90" s="45" t="str">
        <f t="shared" si="78"/>
        <v/>
      </c>
      <c r="BZ90" s="45" t="str">
        <f t="shared" si="78"/>
        <v/>
      </c>
      <c r="CA90" s="45" t="str">
        <f t="shared" si="78"/>
        <v/>
      </c>
      <c r="CB90" s="45" t="str">
        <f t="shared" si="78"/>
        <v/>
      </c>
      <c r="CC90" s="45" t="str">
        <f t="shared" si="78"/>
        <v/>
      </c>
      <c r="CD90" s="45" t="str">
        <f t="shared" ref="CD90:CO90" si="79">IF(COUNTIFS($E$91:$E$96,"&lt;&gt;",$D$91:$D$96,"A",CD$91:CD$96,"&lt;&gt;")=0,"",IFERROR(SUMPRODUCT(--($E$91:$E$96&lt;&gt;""),--($D$91:$D$96="A"),$O$91:$O$96,CD$91:CD$96)/SUMPRODUCT(--($E$91:$E$96&lt;&gt;""),--($D$91:$D$96="A"),$O$91:$O$96),""))</f>
        <v/>
      </c>
      <c r="CE90" s="45" t="str">
        <f t="shared" si="79"/>
        <v/>
      </c>
      <c r="CF90" s="45" t="str">
        <f t="shared" si="79"/>
        <v/>
      </c>
      <c r="CG90" s="45" t="str">
        <f t="shared" si="79"/>
        <v/>
      </c>
      <c r="CH90" s="45" t="str">
        <f t="shared" si="79"/>
        <v/>
      </c>
      <c r="CI90" s="45" t="str">
        <f t="shared" si="79"/>
        <v/>
      </c>
      <c r="CJ90" s="45" t="str">
        <f t="shared" si="79"/>
        <v/>
      </c>
      <c r="CK90" s="45" t="str">
        <f t="shared" si="79"/>
        <v/>
      </c>
      <c r="CL90" s="45" t="str">
        <f t="shared" si="79"/>
        <v/>
      </c>
      <c r="CM90" s="45" t="str">
        <f t="shared" si="79"/>
        <v/>
      </c>
      <c r="CN90" s="45" t="str">
        <f t="shared" si="79"/>
        <v/>
      </c>
      <c r="CO90" s="45" t="str">
        <f t="shared" si="79"/>
        <v/>
      </c>
    </row>
    <row r="91" spans="1:93" outlineLevel="3" x14ac:dyDescent="0.25">
      <c r="A91" s="10" t="s">
        <v>116</v>
      </c>
      <c r="B91" s="10" t="s">
        <v>219</v>
      </c>
      <c r="C91" s="11" t="s">
        <v>188</v>
      </c>
      <c r="D91" s="12" t="s">
        <v>110</v>
      </c>
      <c r="E91" s="10" t="s">
        <v>220</v>
      </c>
      <c r="F91" s="10">
        <v>43</v>
      </c>
      <c r="G91" s="10">
        <v>43</v>
      </c>
      <c r="H91" s="10">
        <v>3</v>
      </c>
      <c r="I91" s="13">
        <v>46359.333333333343</v>
      </c>
      <c r="J91" s="13">
        <v>46365.666666666657</v>
      </c>
      <c r="K91" s="13"/>
      <c r="L91" s="13"/>
      <c r="M91" s="14">
        <f t="shared" si="61"/>
        <v>1</v>
      </c>
      <c r="N91" s="14"/>
      <c r="O91" s="16">
        <v>100000</v>
      </c>
      <c r="P91" s="15">
        <v>14.4</v>
      </c>
      <c r="Q91" s="16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>
        <v>0.2857142857142857</v>
      </c>
      <c r="BL91" s="47">
        <v>0.7142857142857143</v>
      </c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</row>
    <row r="92" spans="1:93" outlineLevel="3" x14ac:dyDescent="0.25">
      <c r="A92" s="17"/>
      <c r="B92" s="17"/>
      <c r="C92" s="18"/>
      <c r="D92" s="19" t="s">
        <v>111</v>
      </c>
      <c r="E92" s="17" t="s">
        <v>220</v>
      </c>
      <c r="F92" s="17"/>
      <c r="G92" s="17"/>
      <c r="H92" s="17"/>
      <c r="I92" s="20"/>
      <c r="J92" s="20"/>
      <c r="K92" s="20"/>
      <c r="L92" s="20"/>
      <c r="M92" s="21" t="str">
        <f t="shared" si="61"/>
        <v/>
      </c>
      <c r="N92" s="21">
        <v>0</v>
      </c>
      <c r="O92" s="48">
        <f>O91</f>
        <v>100000</v>
      </c>
      <c r="P92" s="22"/>
      <c r="Q92" s="23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</row>
    <row r="93" spans="1:93" outlineLevel="3" x14ac:dyDescent="0.25">
      <c r="A93" s="10" t="s">
        <v>116</v>
      </c>
      <c r="B93" s="10" t="s">
        <v>221</v>
      </c>
      <c r="C93" s="11" t="s">
        <v>222</v>
      </c>
      <c r="D93" s="12" t="s">
        <v>110</v>
      </c>
      <c r="E93" s="10" t="s">
        <v>223</v>
      </c>
      <c r="F93" s="10">
        <v>44</v>
      </c>
      <c r="G93" s="10">
        <v>44</v>
      </c>
      <c r="H93" s="10">
        <v>3</v>
      </c>
      <c r="I93" s="13">
        <v>46366.333333333343</v>
      </c>
      <c r="J93" s="13">
        <v>46379.666666666657</v>
      </c>
      <c r="K93" s="13"/>
      <c r="L93" s="13"/>
      <c r="M93" s="14">
        <f t="shared" si="61"/>
        <v>1</v>
      </c>
      <c r="N93" s="14"/>
      <c r="O93" s="16">
        <v>100000</v>
      </c>
      <c r="P93" s="15">
        <v>14.4</v>
      </c>
      <c r="Q93" s="16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>
        <v>8.3239764277304132E-2</v>
      </c>
      <c r="BM93" s="47">
        <v>0.70866082502943573</v>
      </c>
      <c r="BN93" s="47">
        <v>0.2080994106932601</v>
      </c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</row>
    <row r="94" spans="1:93" outlineLevel="3" x14ac:dyDescent="0.25">
      <c r="A94" s="17"/>
      <c r="B94" s="17"/>
      <c r="C94" s="18"/>
      <c r="D94" s="19" t="s">
        <v>111</v>
      </c>
      <c r="E94" s="17" t="s">
        <v>223</v>
      </c>
      <c r="F94" s="17"/>
      <c r="G94" s="17"/>
      <c r="H94" s="17"/>
      <c r="I94" s="20"/>
      <c r="J94" s="20"/>
      <c r="K94" s="20"/>
      <c r="L94" s="20"/>
      <c r="M94" s="21" t="str">
        <f t="shared" si="61"/>
        <v/>
      </c>
      <c r="N94" s="21">
        <v>0</v>
      </c>
      <c r="O94" s="48">
        <f>O93</f>
        <v>100000</v>
      </c>
      <c r="P94" s="22"/>
      <c r="Q94" s="23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</row>
    <row r="95" spans="1:93" outlineLevel="3" x14ac:dyDescent="0.25">
      <c r="A95" s="10" t="s">
        <v>116</v>
      </c>
      <c r="B95" s="10" t="s">
        <v>224</v>
      </c>
      <c r="C95" s="11" t="s">
        <v>225</v>
      </c>
      <c r="D95" s="12" t="s">
        <v>110</v>
      </c>
      <c r="E95" s="10" t="s">
        <v>226</v>
      </c>
      <c r="F95" s="10">
        <v>45</v>
      </c>
      <c r="G95" s="10">
        <v>45</v>
      </c>
      <c r="H95" s="10">
        <v>3</v>
      </c>
      <c r="I95" s="13">
        <v>46380.333333333343</v>
      </c>
      <c r="J95" s="13">
        <v>46386.666666666657</v>
      </c>
      <c r="K95" s="13"/>
      <c r="L95" s="13"/>
      <c r="M95" s="14">
        <f t="shared" si="61"/>
        <v>1</v>
      </c>
      <c r="N95" s="14"/>
      <c r="O95" s="16">
        <v>100000</v>
      </c>
      <c r="P95" s="15">
        <v>14.4</v>
      </c>
      <c r="Q95" s="16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>
        <v>0.2857142857142857</v>
      </c>
      <c r="BO95" s="47">
        <v>0.7142857142857143</v>
      </c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</row>
    <row r="96" spans="1:93" outlineLevel="3" x14ac:dyDescent="0.25">
      <c r="A96" s="17"/>
      <c r="B96" s="17"/>
      <c r="C96" s="18"/>
      <c r="D96" s="19" t="s">
        <v>111</v>
      </c>
      <c r="E96" s="17" t="s">
        <v>226</v>
      </c>
      <c r="F96" s="17"/>
      <c r="G96" s="17"/>
      <c r="H96" s="17"/>
      <c r="I96" s="20"/>
      <c r="J96" s="20"/>
      <c r="K96" s="20"/>
      <c r="L96" s="20"/>
      <c r="M96" s="21" t="str">
        <f t="shared" si="61"/>
        <v/>
      </c>
      <c r="N96" s="21">
        <v>0</v>
      </c>
      <c r="O96" s="48">
        <f>O95</f>
        <v>100000</v>
      </c>
      <c r="P96" s="22"/>
      <c r="Q96" s="23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</row>
    <row r="97" spans="1:93" outlineLevel="2" x14ac:dyDescent="0.25">
      <c r="A97" s="1" t="s">
        <v>92</v>
      </c>
      <c r="B97" s="1" t="s">
        <v>227</v>
      </c>
      <c r="C97" s="6" t="s">
        <v>228</v>
      </c>
      <c r="D97" s="8" t="s">
        <v>110</v>
      </c>
      <c r="E97" s="1"/>
      <c r="F97" s="1">
        <v>46</v>
      </c>
      <c r="G97" s="1">
        <v>46</v>
      </c>
      <c r="H97" s="1">
        <v>2</v>
      </c>
      <c r="I97" s="9">
        <v>46303.333333333343</v>
      </c>
      <c r="J97" s="9">
        <v>46386.666666666657</v>
      </c>
      <c r="K97" s="9"/>
      <c r="L97" s="9"/>
      <c r="M97" s="3">
        <f t="shared" si="61"/>
        <v>1.0000000000000002</v>
      </c>
      <c r="N97" s="3"/>
      <c r="O97" s="5">
        <f>SUMIFS($O$98:$O$105,$A$98:$A$105,"Activity",$D$98:$D$105,"P")</f>
        <v>400000</v>
      </c>
      <c r="P97" s="4"/>
      <c r="Q97" s="5"/>
      <c r="R97" s="45" t="str">
        <f t="shared" ref="R97:AW97" si="80">IF(COUNTIFS($A$99:$A$106,"Activity",$D$99:$D$106,"P",R$99:R$106,"&lt;&gt;")=0,"",IFERROR(SUMPRODUCT(--($A$99:$A$106="Activity"),--($D$99:$D$106="P"),$O$99:$O$106,R$99:R$106)/SUMPRODUCT(--($A$99:$A$106="Activity"),--($D$99:$D$106="P"),$O$99:$O$106),""))</f>
        <v/>
      </c>
      <c r="S97" s="45" t="str">
        <f t="shared" si="80"/>
        <v/>
      </c>
      <c r="T97" s="45" t="str">
        <f t="shared" si="80"/>
        <v/>
      </c>
      <c r="U97" s="45" t="str">
        <f t="shared" si="80"/>
        <v/>
      </c>
      <c r="V97" s="45" t="str">
        <f t="shared" si="80"/>
        <v/>
      </c>
      <c r="W97" s="45" t="str">
        <f t="shared" si="80"/>
        <v/>
      </c>
      <c r="X97" s="45" t="str">
        <f t="shared" si="80"/>
        <v/>
      </c>
      <c r="Y97" s="45" t="str">
        <f t="shared" si="80"/>
        <v/>
      </c>
      <c r="Z97" s="45" t="str">
        <f t="shared" si="80"/>
        <v/>
      </c>
      <c r="AA97" s="45" t="str">
        <f t="shared" si="80"/>
        <v/>
      </c>
      <c r="AB97" s="45" t="str">
        <f t="shared" si="80"/>
        <v/>
      </c>
      <c r="AC97" s="45" t="str">
        <f t="shared" si="80"/>
        <v/>
      </c>
      <c r="AD97" s="45" t="str">
        <f t="shared" si="80"/>
        <v/>
      </c>
      <c r="AE97" s="45" t="str">
        <f t="shared" si="80"/>
        <v/>
      </c>
      <c r="AF97" s="45" t="str">
        <f t="shared" si="80"/>
        <v/>
      </c>
      <c r="AG97" s="45" t="str">
        <f t="shared" si="80"/>
        <v/>
      </c>
      <c r="AH97" s="45" t="str">
        <f t="shared" si="80"/>
        <v/>
      </c>
      <c r="AI97" s="45" t="str">
        <f t="shared" si="80"/>
        <v/>
      </c>
      <c r="AJ97" s="45" t="str">
        <f t="shared" si="80"/>
        <v/>
      </c>
      <c r="AK97" s="45" t="str">
        <f t="shared" si="80"/>
        <v/>
      </c>
      <c r="AL97" s="45" t="str">
        <f t="shared" si="80"/>
        <v/>
      </c>
      <c r="AM97" s="45" t="str">
        <f t="shared" si="80"/>
        <v/>
      </c>
      <c r="AN97" s="45" t="str">
        <f t="shared" si="80"/>
        <v/>
      </c>
      <c r="AO97" s="45" t="str">
        <f t="shared" si="80"/>
        <v/>
      </c>
      <c r="AP97" s="45" t="str">
        <f t="shared" si="80"/>
        <v/>
      </c>
      <c r="AQ97" s="45" t="str">
        <f t="shared" si="80"/>
        <v/>
      </c>
      <c r="AR97" s="45" t="str">
        <f t="shared" si="80"/>
        <v/>
      </c>
      <c r="AS97" s="45" t="str">
        <f t="shared" si="80"/>
        <v/>
      </c>
      <c r="AT97" s="45" t="str">
        <f t="shared" si="80"/>
        <v/>
      </c>
      <c r="AU97" s="45" t="str">
        <f t="shared" si="80"/>
        <v/>
      </c>
      <c r="AV97" s="45" t="str">
        <f t="shared" si="80"/>
        <v/>
      </c>
      <c r="AW97" s="45" t="str">
        <f t="shared" si="80"/>
        <v/>
      </c>
      <c r="AX97" s="45" t="str">
        <f t="shared" ref="AX97:CC97" si="81">IF(COUNTIFS($A$99:$A$106,"Activity",$D$99:$D$106,"P",AX$99:AX$106,"&lt;&gt;")=0,"",IFERROR(SUMPRODUCT(--($A$99:$A$106="Activity"),--($D$99:$D$106="P"),$O$99:$O$106,AX$99:AX$106)/SUMPRODUCT(--($A$99:$A$106="Activity"),--($D$99:$D$106="P"),$O$99:$O$106),""))</f>
        <v/>
      </c>
      <c r="AY97" s="45" t="str">
        <f t="shared" si="81"/>
        <v/>
      </c>
      <c r="AZ97" s="45" t="str">
        <f t="shared" si="81"/>
        <v/>
      </c>
      <c r="BA97" s="45" t="str">
        <f t="shared" si="81"/>
        <v/>
      </c>
      <c r="BB97" s="45" t="str">
        <f t="shared" si="81"/>
        <v/>
      </c>
      <c r="BC97" s="45">
        <f t="shared" si="81"/>
        <v>7.1428571428571425E-2</v>
      </c>
      <c r="BD97" s="45">
        <f t="shared" si="81"/>
        <v>0.19938136964075465</v>
      </c>
      <c r="BE97" s="45">
        <f t="shared" si="81"/>
        <v>0.1771652062573589</v>
      </c>
      <c r="BF97" s="45">
        <f t="shared" si="81"/>
        <v>5.3406654002855242E-2</v>
      </c>
      <c r="BG97" s="45">
        <f t="shared" si="81"/>
        <v>1.424488423673651E-2</v>
      </c>
      <c r="BH97" s="45">
        <f t="shared" si="81"/>
        <v>3.0815036829648548E-2</v>
      </c>
      <c r="BI97" s="45">
        <f t="shared" si="81"/>
        <v>4.8958144664528552E-2</v>
      </c>
      <c r="BJ97" s="45">
        <f t="shared" si="81"/>
        <v>5.7127563884782073E-2</v>
      </c>
      <c r="BK97" s="45">
        <f t="shared" si="81"/>
        <v>4.8958144664528552E-2</v>
      </c>
      <c r="BL97" s="45">
        <f t="shared" si="81"/>
        <v>3.0815036829648548E-2</v>
      </c>
      <c r="BM97" s="45">
        <f t="shared" si="81"/>
        <v>1.424488423673651E-2</v>
      </c>
      <c r="BN97" s="45">
        <f t="shared" si="81"/>
        <v>7.4883074752421924E-2</v>
      </c>
      <c r="BO97" s="45">
        <f t="shared" si="81"/>
        <v>0.17857142857142858</v>
      </c>
      <c r="BP97" s="45" t="str">
        <f t="shared" si="81"/>
        <v/>
      </c>
      <c r="BQ97" s="45" t="str">
        <f t="shared" si="81"/>
        <v/>
      </c>
      <c r="BR97" s="45" t="str">
        <f t="shared" si="81"/>
        <v/>
      </c>
      <c r="BS97" s="45" t="str">
        <f t="shared" si="81"/>
        <v/>
      </c>
      <c r="BT97" s="45" t="str">
        <f t="shared" si="81"/>
        <v/>
      </c>
      <c r="BU97" s="45" t="str">
        <f t="shared" si="81"/>
        <v/>
      </c>
      <c r="BV97" s="45" t="str">
        <f t="shared" si="81"/>
        <v/>
      </c>
      <c r="BW97" s="45" t="str">
        <f t="shared" si="81"/>
        <v/>
      </c>
      <c r="BX97" s="45" t="str">
        <f t="shared" si="81"/>
        <v/>
      </c>
      <c r="BY97" s="45" t="str">
        <f t="shared" si="81"/>
        <v/>
      </c>
      <c r="BZ97" s="45" t="str">
        <f t="shared" si="81"/>
        <v/>
      </c>
      <c r="CA97" s="45" t="str">
        <f t="shared" si="81"/>
        <v/>
      </c>
      <c r="CB97" s="45" t="str">
        <f t="shared" si="81"/>
        <v/>
      </c>
      <c r="CC97" s="45" t="str">
        <f t="shared" si="81"/>
        <v/>
      </c>
      <c r="CD97" s="45" t="str">
        <f t="shared" ref="CD97:CO97" si="82">IF(COUNTIFS($A$99:$A$106,"Activity",$D$99:$D$106,"P",CD$99:CD$106,"&lt;&gt;")=0,"",IFERROR(SUMPRODUCT(--($A$99:$A$106="Activity"),--($D$99:$D$106="P"),$O$99:$O$106,CD$99:CD$106)/SUMPRODUCT(--($A$99:$A$106="Activity"),--($D$99:$D$106="P"),$O$99:$O$106),""))</f>
        <v/>
      </c>
      <c r="CE97" s="45" t="str">
        <f t="shared" si="82"/>
        <v/>
      </c>
      <c r="CF97" s="45" t="str">
        <f t="shared" si="82"/>
        <v/>
      </c>
      <c r="CG97" s="45" t="str">
        <f t="shared" si="82"/>
        <v/>
      </c>
      <c r="CH97" s="45" t="str">
        <f t="shared" si="82"/>
        <v/>
      </c>
      <c r="CI97" s="45" t="str">
        <f t="shared" si="82"/>
        <v/>
      </c>
      <c r="CJ97" s="45" t="str">
        <f t="shared" si="82"/>
        <v/>
      </c>
      <c r="CK97" s="45" t="str">
        <f t="shared" si="82"/>
        <v/>
      </c>
      <c r="CL97" s="45" t="str">
        <f t="shared" si="82"/>
        <v/>
      </c>
      <c r="CM97" s="45" t="str">
        <f t="shared" si="82"/>
        <v/>
      </c>
      <c r="CN97" s="45" t="str">
        <f t="shared" si="82"/>
        <v/>
      </c>
      <c r="CO97" s="45" t="str">
        <f t="shared" si="82"/>
        <v/>
      </c>
    </row>
    <row r="98" spans="1:93" outlineLevel="2" x14ac:dyDescent="0.25">
      <c r="A98" s="1"/>
      <c r="B98" s="1"/>
      <c r="C98" s="6"/>
      <c r="D98" s="8" t="s">
        <v>111</v>
      </c>
      <c r="E98" s="1"/>
      <c r="F98" s="1"/>
      <c r="G98" s="1"/>
      <c r="H98" s="1"/>
      <c r="I98" s="9"/>
      <c r="J98" s="9"/>
      <c r="K98" s="9"/>
      <c r="L98" s="9"/>
      <c r="M98" s="3" t="str">
        <f t="shared" si="61"/>
        <v/>
      </c>
      <c r="N98" s="3"/>
      <c r="O98" s="46">
        <f>O97</f>
        <v>400000</v>
      </c>
      <c r="P98" s="4"/>
      <c r="Q98" s="5"/>
      <c r="R98" s="45" t="str">
        <f t="shared" ref="R98:AW98" si="83">IF(COUNTIFS($E$99:$E$106,"&lt;&gt;",$D$99:$D$106,"A",R$99:R$106,"&lt;&gt;")=0,"",IFERROR(SUMPRODUCT(--($E$99:$E$106&lt;&gt;""),--($D$99:$D$106="A"),$O$99:$O$106,R$99:R$106)/SUMPRODUCT(--($E$99:$E$106&lt;&gt;""),--($D$99:$D$106="A"),$O$99:$O$106),""))</f>
        <v/>
      </c>
      <c r="S98" s="45" t="str">
        <f t="shared" si="83"/>
        <v/>
      </c>
      <c r="T98" s="45" t="str">
        <f t="shared" si="83"/>
        <v/>
      </c>
      <c r="U98" s="45" t="str">
        <f t="shared" si="83"/>
        <v/>
      </c>
      <c r="V98" s="45" t="str">
        <f t="shared" si="83"/>
        <v/>
      </c>
      <c r="W98" s="45" t="str">
        <f t="shared" si="83"/>
        <v/>
      </c>
      <c r="X98" s="45" t="str">
        <f t="shared" si="83"/>
        <v/>
      </c>
      <c r="Y98" s="45" t="str">
        <f t="shared" si="83"/>
        <v/>
      </c>
      <c r="Z98" s="45" t="str">
        <f t="shared" si="83"/>
        <v/>
      </c>
      <c r="AA98" s="45" t="str">
        <f t="shared" si="83"/>
        <v/>
      </c>
      <c r="AB98" s="45" t="str">
        <f t="shared" si="83"/>
        <v/>
      </c>
      <c r="AC98" s="45" t="str">
        <f t="shared" si="83"/>
        <v/>
      </c>
      <c r="AD98" s="45" t="str">
        <f t="shared" si="83"/>
        <v/>
      </c>
      <c r="AE98" s="45" t="str">
        <f t="shared" si="83"/>
        <v/>
      </c>
      <c r="AF98" s="45" t="str">
        <f t="shared" si="83"/>
        <v/>
      </c>
      <c r="AG98" s="45" t="str">
        <f t="shared" si="83"/>
        <v/>
      </c>
      <c r="AH98" s="45" t="str">
        <f t="shared" si="83"/>
        <v/>
      </c>
      <c r="AI98" s="45" t="str">
        <f t="shared" si="83"/>
        <v/>
      </c>
      <c r="AJ98" s="45" t="str">
        <f t="shared" si="83"/>
        <v/>
      </c>
      <c r="AK98" s="45" t="str">
        <f t="shared" si="83"/>
        <v/>
      </c>
      <c r="AL98" s="45" t="str">
        <f t="shared" si="83"/>
        <v/>
      </c>
      <c r="AM98" s="45" t="str">
        <f t="shared" si="83"/>
        <v/>
      </c>
      <c r="AN98" s="45" t="str">
        <f t="shared" si="83"/>
        <v/>
      </c>
      <c r="AO98" s="45" t="str">
        <f t="shared" si="83"/>
        <v/>
      </c>
      <c r="AP98" s="45" t="str">
        <f t="shared" si="83"/>
        <v/>
      </c>
      <c r="AQ98" s="45" t="str">
        <f t="shared" si="83"/>
        <v/>
      </c>
      <c r="AR98" s="45" t="str">
        <f t="shared" si="83"/>
        <v/>
      </c>
      <c r="AS98" s="45" t="str">
        <f t="shared" si="83"/>
        <v/>
      </c>
      <c r="AT98" s="45" t="str">
        <f t="shared" si="83"/>
        <v/>
      </c>
      <c r="AU98" s="45" t="str">
        <f t="shared" si="83"/>
        <v/>
      </c>
      <c r="AV98" s="45" t="str">
        <f t="shared" si="83"/>
        <v/>
      </c>
      <c r="AW98" s="45" t="str">
        <f t="shared" si="83"/>
        <v/>
      </c>
      <c r="AX98" s="45" t="str">
        <f t="shared" ref="AX98:CC98" si="84">IF(COUNTIFS($E$99:$E$106,"&lt;&gt;",$D$99:$D$106,"A",AX$99:AX$106,"&lt;&gt;")=0,"",IFERROR(SUMPRODUCT(--($E$99:$E$106&lt;&gt;""),--($D$99:$D$106="A"),$O$99:$O$106,AX$99:AX$106)/SUMPRODUCT(--($E$99:$E$106&lt;&gt;""),--($D$99:$D$106="A"),$O$99:$O$106),""))</f>
        <v/>
      </c>
      <c r="AY98" s="45" t="str">
        <f t="shared" si="84"/>
        <v/>
      </c>
      <c r="AZ98" s="45" t="str">
        <f t="shared" si="84"/>
        <v/>
      </c>
      <c r="BA98" s="45" t="str">
        <f t="shared" si="84"/>
        <v/>
      </c>
      <c r="BB98" s="45" t="str">
        <f t="shared" si="84"/>
        <v/>
      </c>
      <c r="BC98" s="45" t="str">
        <f t="shared" si="84"/>
        <v/>
      </c>
      <c r="BD98" s="45" t="str">
        <f t="shared" si="84"/>
        <v/>
      </c>
      <c r="BE98" s="45" t="str">
        <f t="shared" si="84"/>
        <v/>
      </c>
      <c r="BF98" s="45" t="str">
        <f t="shared" si="84"/>
        <v/>
      </c>
      <c r="BG98" s="45" t="str">
        <f t="shared" si="84"/>
        <v/>
      </c>
      <c r="BH98" s="45" t="str">
        <f t="shared" si="84"/>
        <v/>
      </c>
      <c r="BI98" s="45" t="str">
        <f t="shared" si="84"/>
        <v/>
      </c>
      <c r="BJ98" s="45" t="str">
        <f t="shared" si="84"/>
        <v/>
      </c>
      <c r="BK98" s="45" t="str">
        <f t="shared" si="84"/>
        <v/>
      </c>
      <c r="BL98" s="45" t="str">
        <f t="shared" si="84"/>
        <v/>
      </c>
      <c r="BM98" s="45" t="str">
        <f t="shared" si="84"/>
        <v/>
      </c>
      <c r="BN98" s="45" t="str">
        <f t="shared" si="84"/>
        <v/>
      </c>
      <c r="BO98" s="45" t="str">
        <f t="shared" si="84"/>
        <v/>
      </c>
      <c r="BP98" s="45" t="str">
        <f t="shared" si="84"/>
        <v/>
      </c>
      <c r="BQ98" s="45" t="str">
        <f t="shared" si="84"/>
        <v/>
      </c>
      <c r="BR98" s="45" t="str">
        <f t="shared" si="84"/>
        <v/>
      </c>
      <c r="BS98" s="45" t="str">
        <f t="shared" si="84"/>
        <v/>
      </c>
      <c r="BT98" s="45" t="str">
        <f t="shared" si="84"/>
        <v/>
      </c>
      <c r="BU98" s="45" t="str">
        <f t="shared" si="84"/>
        <v/>
      </c>
      <c r="BV98" s="45" t="str">
        <f t="shared" si="84"/>
        <v/>
      </c>
      <c r="BW98" s="45" t="str">
        <f t="shared" si="84"/>
        <v/>
      </c>
      <c r="BX98" s="45" t="str">
        <f t="shared" si="84"/>
        <v/>
      </c>
      <c r="BY98" s="45" t="str">
        <f t="shared" si="84"/>
        <v/>
      </c>
      <c r="BZ98" s="45" t="str">
        <f t="shared" si="84"/>
        <v/>
      </c>
      <c r="CA98" s="45" t="str">
        <f t="shared" si="84"/>
        <v/>
      </c>
      <c r="CB98" s="45" t="str">
        <f t="shared" si="84"/>
        <v/>
      </c>
      <c r="CC98" s="45" t="str">
        <f t="shared" si="84"/>
        <v/>
      </c>
      <c r="CD98" s="45" t="str">
        <f t="shared" ref="CD98:CO98" si="85">IF(COUNTIFS($E$99:$E$106,"&lt;&gt;",$D$99:$D$106,"A",CD$99:CD$106,"&lt;&gt;")=0,"",IFERROR(SUMPRODUCT(--($E$99:$E$106&lt;&gt;""),--($D$99:$D$106="A"),$O$99:$O$106,CD$99:CD$106)/SUMPRODUCT(--($E$99:$E$106&lt;&gt;""),--($D$99:$D$106="A"),$O$99:$O$106),""))</f>
        <v/>
      </c>
      <c r="CE98" s="45" t="str">
        <f t="shared" si="85"/>
        <v/>
      </c>
      <c r="CF98" s="45" t="str">
        <f t="shared" si="85"/>
        <v/>
      </c>
      <c r="CG98" s="45" t="str">
        <f t="shared" si="85"/>
        <v/>
      </c>
      <c r="CH98" s="45" t="str">
        <f t="shared" si="85"/>
        <v/>
      </c>
      <c r="CI98" s="45" t="str">
        <f t="shared" si="85"/>
        <v/>
      </c>
      <c r="CJ98" s="45" t="str">
        <f t="shared" si="85"/>
        <v/>
      </c>
      <c r="CK98" s="45" t="str">
        <f t="shared" si="85"/>
        <v/>
      </c>
      <c r="CL98" s="45" t="str">
        <f t="shared" si="85"/>
        <v/>
      </c>
      <c r="CM98" s="45" t="str">
        <f t="shared" si="85"/>
        <v/>
      </c>
      <c r="CN98" s="45" t="str">
        <f t="shared" si="85"/>
        <v/>
      </c>
      <c r="CO98" s="45" t="str">
        <f t="shared" si="85"/>
        <v/>
      </c>
    </row>
    <row r="99" spans="1:93" outlineLevel="3" x14ac:dyDescent="0.25">
      <c r="A99" s="10" t="s">
        <v>116</v>
      </c>
      <c r="B99" s="10" t="s">
        <v>229</v>
      </c>
      <c r="C99" s="11" t="s">
        <v>188</v>
      </c>
      <c r="D99" s="12" t="s">
        <v>110</v>
      </c>
      <c r="E99" s="10" t="s">
        <v>230</v>
      </c>
      <c r="F99" s="10">
        <v>47</v>
      </c>
      <c r="G99" s="10">
        <v>47</v>
      </c>
      <c r="H99" s="10">
        <v>3</v>
      </c>
      <c r="I99" s="13">
        <v>46303.333333333343</v>
      </c>
      <c r="J99" s="13">
        <v>46309.666666666657</v>
      </c>
      <c r="K99" s="13"/>
      <c r="L99" s="13"/>
      <c r="M99" s="14">
        <f t="shared" si="61"/>
        <v>1</v>
      </c>
      <c r="N99" s="14"/>
      <c r="O99" s="16">
        <v>100000</v>
      </c>
      <c r="P99" s="15">
        <v>1.7333333333333329</v>
      </c>
      <c r="Q99" s="16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>
        <v>0.2857142857142857</v>
      </c>
      <c r="BD99" s="47">
        <v>0.7142857142857143</v>
      </c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</row>
    <row r="100" spans="1:93" outlineLevel="3" x14ac:dyDescent="0.25">
      <c r="A100" s="17"/>
      <c r="B100" s="17"/>
      <c r="C100" s="18"/>
      <c r="D100" s="19" t="s">
        <v>111</v>
      </c>
      <c r="E100" s="17" t="s">
        <v>230</v>
      </c>
      <c r="F100" s="17"/>
      <c r="G100" s="17"/>
      <c r="H100" s="17"/>
      <c r="I100" s="20"/>
      <c r="J100" s="20"/>
      <c r="K100" s="20"/>
      <c r="L100" s="20"/>
      <c r="M100" s="21" t="str">
        <f t="shared" si="61"/>
        <v/>
      </c>
      <c r="N100" s="21">
        <v>0</v>
      </c>
      <c r="O100" s="48">
        <f>O99</f>
        <v>100000</v>
      </c>
      <c r="P100" s="22"/>
      <c r="Q100" s="23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</row>
    <row r="101" spans="1:93" outlineLevel="3" x14ac:dyDescent="0.25">
      <c r="A101" s="10" t="s">
        <v>116</v>
      </c>
      <c r="B101" s="10" t="s">
        <v>231</v>
      </c>
      <c r="C101" s="11" t="s">
        <v>232</v>
      </c>
      <c r="D101" s="12" t="s">
        <v>110</v>
      </c>
      <c r="E101" s="10" t="s">
        <v>233</v>
      </c>
      <c r="F101" s="10">
        <v>48</v>
      </c>
      <c r="G101" s="10">
        <v>48</v>
      </c>
      <c r="H101" s="10">
        <v>3</v>
      </c>
      <c r="I101" s="13">
        <v>46310.333333333343</v>
      </c>
      <c r="J101" s="13">
        <v>46323.666666666657</v>
      </c>
      <c r="K101" s="13"/>
      <c r="L101" s="13"/>
      <c r="M101" s="14">
        <f t="shared" si="61"/>
        <v>1</v>
      </c>
      <c r="N101" s="14"/>
      <c r="O101" s="16">
        <v>100000</v>
      </c>
      <c r="P101" s="15">
        <v>1.7333333333333329</v>
      </c>
      <c r="Q101" s="16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>
        <v>8.3239764277304132E-2</v>
      </c>
      <c r="BE101" s="47">
        <v>0.70866082502943573</v>
      </c>
      <c r="BF101" s="47">
        <v>0.2080994106932601</v>
      </c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</row>
    <row r="102" spans="1:93" outlineLevel="3" x14ac:dyDescent="0.25">
      <c r="A102" s="17"/>
      <c r="B102" s="17"/>
      <c r="C102" s="18"/>
      <c r="D102" s="19" t="s">
        <v>111</v>
      </c>
      <c r="E102" s="17" t="s">
        <v>233</v>
      </c>
      <c r="F102" s="17"/>
      <c r="G102" s="17"/>
      <c r="H102" s="17"/>
      <c r="I102" s="20"/>
      <c r="J102" s="20"/>
      <c r="K102" s="20"/>
      <c r="L102" s="20"/>
      <c r="M102" s="21" t="str">
        <f t="shared" si="61"/>
        <v/>
      </c>
      <c r="N102" s="21">
        <v>0</v>
      </c>
      <c r="O102" s="48">
        <f>O101</f>
        <v>100000</v>
      </c>
      <c r="P102" s="22"/>
      <c r="Q102" s="23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</row>
    <row r="103" spans="1:93" outlineLevel="3" x14ac:dyDescent="0.25">
      <c r="A103" s="10" t="s">
        <v>116</v>
      </c>
      <c r="B103" s="10" t="s">
        <v>234</v>
      </c>
      <c r="C103" s="11" t="s">
        <v>222</v>
      </c>
      <c r="D103" s="12" t="s">
        <v>110</v>
      </c>
      <c r="E103" s="10" t="s">
        <v>235</v>
      </c>
      <c r="F103" s="10">
        <v>49</v>
      </c>
      <c r="G103" s="10">
        <v>49</v>
      </c>
      <c r="H103" s="10">
        <v>3</v>
      </c>
      <c r="I103" s="13">
        <v>46324.333333333343</v>
      </c>
      <c r="J103" s="13">
        <v>46379.666666666657</v>
      </c>
      <c r="K103" s="13"/>
      <c r="L103" s="13"/>
      <c r="M103" s="14">
        <f t="shared" si="61"/>
        <v>1.0000000000000002</v>
      </c>
      <c r="N103" s="14"/>
      <c r="O103" s="16">
        <v>100000</v>
      </c>
      <c r="P103" s="15">
        <v>1.7333333333333329</v>
      </c>
      <c r="Q103" s="16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>
        <v>5.5272053181608374E-3</v>
      </c>
      <c r="BG103" s="47">
        <v>5.697953694694604E-2</v>
      </c>
      <c r="BH103" s="47">
        <v>0.12326014731859419</v>
      </c>
      <c r="BI103" s="47">
        <v>0.19583257865811421</v>
      </c>
      <c r="BJ103" s="47">
        <v>0.22851025553912829</v>
      </c>
      <c r="BK103" s="47">
        <v>0.19583257865811421</v>
      </c>
      <c r="BL103" s="47">
        <v>0.12326014731859419</v>
      </c>
      <c r="BM103" s="47">
        <v>5.697953694694604E-2</v>
      </c>
      <c r="BN103" s="47">
        <v>1.3818013295402E-2</v>
      </c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</row>
    <row r="104" spans="1:93" outlineLevel="3" x14ac:dyDescent="0.25">
      <c r="A104" s="17"/>
      <c r="B104" s="17"/>
      <c r="C104" s="18"/>
      <c r="D104" s="19" t="s">
        <v>111</v>
      </c>
      <c r="E104" s="17" t="s">
        <v>235</v>
      </c>
      <c r="F104" s="17"/>
      <c r="G104" s="17"/>
      <c r="H104" s="17"/>
      <c r="I104" s="20"/>
      <c r="J104" s="20"/>
      <c r="K104" s="20"/>
      <c r="L104" s="20"/>
      <c r="M104" s="21" t="str">
        <f t="shared" si="61"/>
        <v/>
      </c>
      <c r="N104" s="21">
        <v>0</v>
      </c>
      <c r="O104" s="48">
        <f>O103</f>
        <v>100000</v>
      </c>
      <c r="P104" s="22"/>
      <c r="Q104" s="23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</row>
    <row r="105" spans="1:93" outlineLevel="3" x14ac:dyDescent="0.25">
      <c r="A105" s="10" t="s">
        <v>116</v>
      </c>
      <c r="B105" s="10" t="s">
        <v>236</v>
      </c>
      <c r="C105" s="11" t="s">
        <v>225</v>
      </c>
      <c r="D105" s="12" t="s">
        <v>110</v>
      </c>
      <c r="E105" s="10" t="s">
        <v>237</v>
      </c>
      <c r="F105" s="10">
        <v>50</v>
      </c>
      <c r="G105" s="10">
        <v>50</v>
      </c>
      <c r="H105" s="10">
        <v>3</v>
      </c>
      <c r="I105" s="13">
        <v>46380.333333333343</v>
      </c>
      <c r="J105" s="13">
        <v>46386.666666666657</v>
      </c>
      <c r="K105" s="13"/>
      <c r="L105" s="13"/>
      <c r="M105" s="14">
        <f t="shared" si="61"/>
        <v>1</v>
      </c>
      <c r="N105" s="14"/>
      <c r="O105" s="16">
        <v>100000</v>
      </c>
      <c r="P105" s="15">
        <v>1.7333333333333329</v>
      </c>
      <c r="Q105" s="16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>
        <v>0.2857142857142857</v>
      </c>
      <c r="BO105" s="47">
        <v>0.7142857142857143</v>
      </c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</row>
    <row r="106" spans="1:93" outlineLevel="3" x14ac:dyDescent="0.25">
      <c r="A106" s="17"/>
      <c r="B106" s="17"/>
      <c r="C106" s="18"/>
      <c r="D106" s="19" t="s">
        <v>111</v>
      </c>
      <c r="E106" s="17" t="s">
        <v>237</v>
      </c>
      <c r="F106" s="17"/>
      <c r="G106" s="17"/>
      <c r="H106" s="17"/>
      <c r="I106" s="20"/>
      <c r="J106" s="20"/>
      <c r="K106" s="20"/>
      <c r="L106" s="20"/>
      <c r="M106" s="21" t="str">
        <f t="shared" si="61"/>
        <v/>
      </c>
      <c r="N106" s="21">
        <v>0</v>
      </c>
      <c r="O106" s="48">
        <f>O105</f>
        <v>100000</v>
      </c>
      <c r="P106" s="22"/>
      <c r="Q106" s="23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</row>
    <row r="107" spans="1:93" outlineLevel="2" x14ac:dyDescent="0.25">
      <c r="A107" s="1" t="s">
        <v>92</v>
      </c>
      <c r="B107" s="1" t="s">
        <v>238</v>
      </c>
      <c r="C107" s="6" t="s">
        <v>239</v>
      </c>
      <c r="D107" s="8" t="s">
        <v>110</v>
      </c>
      <c r="E107" s="1"/>
      <c r="F107" s="1">
        <v>51</v>
      </c>
      <c r="G107" s="1">
        <v>51</v>
      </c>
      <c r="H107" s="1">
        <v>2</v>
      </c>
      <c r="I107" s="9">
        <v>46387.333333333343</v>
      </c>
      <c r="J107" s="9">
        <v>46407.666666666657</v>
      </c>
      <c r="K107" s="9"/>
      <c r="L107" s="9"/>
      <c r="M107" s="3">
        <f t="shared" si="61"/>
        <v>1</v>
      </c>
      <c r="N107" s="3"/>
      <c r="O107" s="5">
        <f>SUMIFS($O$108:$O$113,$A$108:$A$113,"Activity",$D$108:$D$113,"P")</f>
        <v>300000</v>
      </c>
      <c r="P107" s="4"/>
      <c r="Q107" s="5"/>
      <c r="R107" s="45" t="str">
        <f t="shared" ref="R107:AW107" si="86">IF(COUNTIFS($A$109:$A$114,"Activity",$D$109:$D$114,"P",R$109:R$114,"&lt;&gt;")=0,"",IFERROR(SUMPRODUCT(--($A$109:$A$114="Activity"),--($D$109:$D$114="P"),$O$109:$O$114,R$109:R$114)/SUMPRODUCT(--($A$109:$A$114="Activity"),--($D$109:$D$114="P"),$O$109:$O$114),""))</f>
        <v/>
      </c>
      <c r="S107" s="45" t="str">
        <f t="shared" si="86"/>
        <v/>
      </c>
      <c r="T107" s="45" t="str">
        <f t="shared" si="86"/>
        <v/>
      </c>
      <c r="U107" s="45" t="str">
        <f t="shared" si="86"/>
        <v/>
      </c>
      <c r="V107" s="45" t="str">
        <f t="shared" si="86"/>
        <v/>
      </c>
      <c r="W107" s="45" t="str">
        <f t="shared" si="86"/>
        <v/>
      </c>
      <c r="X107" s="45" t="str">
        <f t="shared" si="86"/>
        <v/>
      </c>
      <c r="Y107" s="45" t="str">
        <f t="shared" si="86"/>
        <v/>
      </c>
      <c r="Z107" s="45" t="str">
        <f t="shared" si="86"/>
        <v/>
      </c>
      <c r="AA107" s="45" t="str">
        <f t="shared" si="86"/>
        <v/>
      </c>
      <c r="AB107" s="45" t="str">
        <f t="shared" si="86"/>
        <v/>
      </c>
      <c r="AC107" s="45" t="str">
        <f t="shared" si="86"/>
        <v/>
      </c>
      <c r="AD107" s="45" t="str">
        <f t="shared" si="86"/>
        <v/>
      </c>
      <c r="AE107" s="45" t="str">
        <f t="shared" si="86"/>
        <v/>
      </c>
      <c r="AF107" s="45" t="str">
        <f t="shared" si="86"/>
        <v/>
      </c>
      <c r="AG107" s="45" t="str">
        <f t="shared" si="86"/>
        <v/>
      </c>
      <c r="AH107" s="45" t="str">
        <f t="shared" si="86"/>
        <v/>
      </c>
      <c r="AI107" s="45" t="str">
        <f t="shared" si="86"/>
        <v/>
      </c>
      <c r="AJ107" s="45" t="str">
        <f t="shared" si="86"/>
        <v/>
      </c>
      <c r="AK107" s="45" t="str">
        <f t="shared" si="86"/>
        <v/>
      </c>
      <c r="AL107" s="45" t="str">
        <f t="shared" si="86"/>
        <v/>
      </c>
      <c r="AM107" s="45" t="str">
        <f t="shared" si="86"/>
        <v/>
      </c>
      <c r="AN107" s="45" t="str">
        <f t="shared" si="86"/>
        <v/>
      </c>
      <c r="AO107" s="45" t="str">
        <f t="shared" si="86"/>
        <v/>
      </c>
      <c r="AP107" s="45" t="str">
        <f t="shared" si="86"/>
        <v/>
      </c>
      <c r="AQ107" s="45" t="str">
        <f t="shared" si="86"/>
        <v/>
      </c>
      <c r="AR107" s="45" t="str">
        <f t="shared" si="86"/>
        <v/>
      </c>
      <c r="AS107" s="45" t="str">
        <f t="shared" si="86"/>
        <v/>
      </c>
      <c r="AT107" s="45" t="str">
        <f t="shared" si="86"/>
        <v/>
      </c>
      <c r="AU107" s="45" t="str">
        <f t="shared" si="86"/>
        <v/>
      </c>
      <c r="AV107" s="45" t="str">
        <f t="shared" si="86"/>
        <v/>
      </c>
      <c r="AW107" s="45" t="str">
        <f t="shared" si="86"/>
        <v/>
      </c>
      <c r="AX107" s="45" t="str">
        <f t="shared" ref="AX107:CC107" si="87">IF(COUNTIFS($A$109:$A$114,"Activity",$D$109:$D$114,"P",AX$109:AX$114,"&lt;&gt;")=0,"",IFERROR(SUMPRODUCT(--($A$109:$A$114="Activity"),--($D$109:$D$114="P"),$O$109:$O$114,AX$109:AX$114)/SUMPRODUCT(--($A$109:$A$114="Activity"),--($D$109:$D$114="P"),$O$109:$O$114),""))</f>
        <v/>
      </c>
      <c r="AY107" s="45" t="str">
        <f t="shared" si="87"/>
        <v/>
      </c>
      <c r="AZ107" s="45" t="str">
        <f t="shared" si="87"/>
        <v/>
      </c>
      <c r="BA107" s="45" t="str">
        <f t="shared" si="87"/>
        <v/>
      </c>
      <c r="BB107" s="45" t="str">
        <f t="shared" si="87"/>
        <v/>
      </c>
      <c r="BC107" s="45" t="str">
        <f t="shared" si="87"/>
        <v/>
      </c>
      <c r="BD107" s="45" t="str">
        <f t="shared" si="87"/>
        <v/>
      </c>
      <c r="BE107" s="45" t="str">
        <f t="shared" si="87"/>
        <v/>
      </c>
      <c r="BF107" s="45" t="str">
        <f t="shared" si="87"/>
        <v/>
      </c>
      <c r="BG107" s="45" t="str">
        <f t="shared" si="87"/>
        <v/>
      </c>
      <c r="BH107" s="45" t="str">
        <f t="shared" si="87"/>
        <v/>
      </c>
      <c r="BI107" s="45" t="str">
        <f t="shared" si="87"/>
        <v/>
      </c>
      <c r="BJ107" s="45" t="str">
        <f t="shared" si="87"/>
        <v/>
      </c>
      <c r="BK107" s="45" t="str">
        <f t="shared" si="87"/>
        <v/>
      </c>
      <c r="BL107" s="45" t="str">
        <f t="shared" si="87"/>
        <v/>
      </c>
      <c r="BM107" s="45" t="str">
        <f t="shared" si="87"/>
        <v/>
      </c>
      <c r="BN107" s="45" t="str">
        <f t="shared" si="87"/>
        <v/>
      </c>
      <c r="BO107" s="45">
        <f t="shared" si="87"/>
        <v>9.5238095238095233E-2</v>
      </c>
      <c r="BP107" s="45">
        <f t="shared" si="87"/>
        <v>0.33333333333333331</v>
      </c>
      <c r="BQ107" s="45">
        <f t="shared" si="87"/>
        <v>0.33333333333333331</v>
      </c>
      <c r="BR107" s="45">
        <f t="shared" si="87"/>
        <v>0.23809523809523811</v>
      </c>
      <c r="BS107" s="45" t="str">
        <f t="shared" si="87"/>
        <v/>
      </c>
      <c r="BT107" s="45" t="str">
        <f t="shared" si="87"/>
        <v/>
      </c>
      <c r="BU107" s="45" t="str">
        <f t="shared" si="87"/>
        <v/>
      </c>
      <c r="BV107" s="45" t="str">
        <f t="shared" si="87"/>
        <v/>
      </c>
      <c r="BW107" s="45" t="str">
        <f t="shared" si="87"/>
        <v/>
      </c>
      <c r="BX107" s="45" t="str">
        <f t="shared" si="87"/>
        <v/>
      </c>
      <c r="BY107" s="45" t="str">
        <f t="shared" si="87"/>
        <v/>
      </c>
      <c r="BZ107" s="45" t="str">
        <f t="shared" si="87"/>
        <v/>
      </c>
      <c r="CA107" s="45" t="str">
        <f t="shared" si="87"/>
        <v/>
      </c>
      <c r="CB107" s="45" t="str">
        <f t="shared" si="87"/>
        <v/>
      </c>
      <c r="CC107" s="45" t="str">
        <f t="shared" si="87"/>
        <v/>
      </c>
      <c r="CD107" s="45" t="str">
        <f t="shared" ref="CD107:CO107" si="88">IF(COUNTIFS($A$109:$A$114,"Activity",$D$109:$D$114,"P",CD$109:CD$114,"&lt;&gt;")=0,"",IFERROR(SUMPRODUCT(--($A$109:$A$114="Activity"),--($D$109:$D$114="P"),$O$109:$O$114,CD$109:CD$114)/SUMPRODUCT(--($A$109:$A$114="Activity"),--($D$109:$D$114="P"),$O$109:$O$114),""))</f>
        <v/>
      </c>
      <c r="CE107" s="45" t="str">
        <f t="shared" si="88"/>
        <v/>
      </c>
      <c r="CF107" s="45" t="str">
        <f t="shared" si="88"/>
        <v/>
      </c>
      <c r="CG107" s="45" t="str">
        <f t="shared" si="88"/>
        <v/>
      </c>
      <c r="CH107" s="45" t="str">
        <f t="shared" si="88"/>
        <v/>
      </c>
      <c r="CI107" s="45" t="str">
        <f t="shared" si="88"/>
        <v/>
      </c>
      <c r="CJ107" s="45" t="str">
        <f t="shared" si="88"/>
        <v/>
      </c>
      <c r="CK107" s="45" t="str">
        <f t="shared" si="88"/>
        <v/>
      </c>
      <c r="CL107" s="45" t="str">
        <f t="shared" si="88"/>
        <v/>
      </c>
      <c r="CM107" s="45" t="str">
        <f t="shared" si="88"/>
        <v/>
      </c>
      <c r="CN107" s="45" t="str">
        <f t="shared" si="88"/>
        <v/>
      </c>
      <c r="CO107" s="45" t="str">
        <f t="shared" si="88"/>
        <v/>
      </c>
    </row>
    <row r="108" spans="1:93" outlineLevel="2" x14ac:dyDescent="0.25">
      <c r="A108" s="1"/>
      <c r="B108" s="1"/>
      <c r="C108" s="6"/>
      <c r="D108" s="8" t="s">
        <v>111</v>
      </c>
      <c r="E108" s="1"/>
      <c r="F108" s="1"/>
      <c r="G108" s="1"/>
      <c r="H108" s="1"/>
      <c r="I108" s="9"/>
      <c r="J108" s="9"/>
      <c r="K108" s="9"/>
      <c r="L108" s="9"/>
      <c r="M108" s="3" t="str">
        <f t="shared" si="61"/>
        <v/>
      </c>
      <c r="N108" s="3"/>
      <c r="O108" s="46">
        <f>O107</f>
        <v>300000</v>
      </c>
      <c r="P108" s="4"/>
      <c r="Q108" s="5"/>
      <c r="R108" s="45" t="str">
        <f t="shared" ref="R108:AW108" si="89">IF(COUNTIFS($E$109:$E$114,"&lt;&gt;",$D$109:$D$114,"A",R$109:R$114,"&lt;&gt;")=0,"",IFERROR(SUMPRODUCT(--($E$109:$E$114&lt;&gt;""),--($D$109:$D$114="A"),$O$109:$O$114,R$109:R$114)/SUMPRODUCT(--($E$109:$E$114&lt;&gt;""),--($D$109:$D$114="A"),$O$109:$O$114),""))</f>
        <v/>
      </c>
      <c r="S108" s="45" t="str">
        <f t="shared" si="89"/>
        <v/>
      </c>
      <c r="T108" s="45" t="str">
        <f t="shared" si="89"/>
        <v/>
      </c>
      <c r="U108" s="45" t="str">
        <f t="shared" si="89"/>
        <v/>
      </c>
      <c r="V108" s="45" t="str">
        <f t="shared" si="89"/>
        <v/>
      </c>
      <c r="W108" s="45" t="str">
        <f t="shared" si="89"/>
        <v/>
      </c>
      <c r="X108" s="45" t="str">
        <f t="shared" si="89"/>
        <v/>
      </c>
      <c r="Y108" s="45" t="str">
        <f t="shared" si="89"/>
        <v/>
      </c>
      <c r="Z108" s="45" t="str">
        <f t="shared" si="89"/>
        <v/>
      </c>
      <c r="AA108" s="45" t="str">
        <f t="shared" si="89"/>
        <v/>
      </c>
      <c r="AB108" s="45" t="str">
        <f t="shared" si="89"/>
        <v/>
      </c>
      <c r="AC108" s="45" t="str">
        <f t="shared" si="89"/>
        <v/>
      </c>
      <c r="AD108" s="45" t="str">
        <f t="shared" si="89"/>
        <v/>
      </c>
      <c r="AE108" s="45" t="str">
        <f t="shared" si="89"/>
        <v/>
      </c>
      <c r="AF108" s="45" t="str">
        <f t="shared" si="89"/>
        <v/>
      </c>
      <c r="AG108" s="45" t="str">
        <f t="shared" si="89"/>
        <v/>
      </c>
      <c r="AH108" s="45" t="str">
        <f t="shared" si="89"/>
        <v/>
      </c>
      <c r="AI108" s="45" t="str">
        <f t="shared" si="89"/>
        <v/>
      </c>
      <c r="AJ108" s="45" t="str">
        <f t="shared" si="89"/>
        <v/>
      </c>
      <c r="AK108" s="45" t="str">
        <f t="shared" si="89"/>
        <v/>
      </c>
      <c r="AL108" s="45" t="str">
        <f t="shared" si="89"/>
        <v/>
      </c>
      <c r="AM108" s="45" t="str">
        <f t="shared" si="89"/>
        <v/>
      </c>
      <c r="AN108" s="45" t="str">
        <f t="shared" si="89"/>
        <v/>
      </c>
      <c r="AO108" s="45" t="str">
        <f t="shared" si="89"/>
        <v/>
      </c>
      <c r="AP108" s="45" t="str">
        <f t="shared" si="89"/>
        <v/>
      </c>
      <c r="AQ108" s="45" t="str">
        <f t="shared" si="89"/>
        <v/>
      </c>
      <c r="AR108" s="45" t="str">
        <f t="shared" si="89"/>
        <v/>
      </c>
      <c r="AS108" s="45" t="str">
        <f t="shared" si="89"/>
        <v/>
      </c>
      <c r="AT108" s="45" t="str">
        <f t="shared" si="89"/>
        <v/>
      </c>
      <c r="AU108" s="45" t="str">
        <f t="shared" si="89"/>
        <v/>
      </c>
      <c r="AV108" s="45" t="str">
        <f t="shared" si="89"/>
        <v/>
      </c>
      <c r="AW108" s="45" t="str">
        <f t="shared" si="89"/>
        <v/>
      </c>
      <c r="AX108" s="45" t="str">
        <f t="shared" ref="AX108:CC108" si="90">IF(COUNTIFS($E$109:$E$114,"&lt;&gt;",$D$109:$D$114,"A",AX$109:AX$114,"&lt;&gt;")=0,"",IFERROR(SUMPRODUCT(--($E$109:$E$114&lt;&gt;""),--($D$109:$D$114="A"),$O$109:$O$114,AX$109:AX$114)/SUMPRODUCT(--($E$109:$E$114&lt;&gt;""),--($D$109:$D$114="A"),$O$109:$O$114),""))</f>
        <v/>
      </c>
      <c r="AY108" s="45" t="str">
        <f t="shared" si="90"/>
        <v/>
      </c>
      <c r="AZ108" s="45" t="str">
        <f t="shared" si="90"/>
        <v/>
      </c>
      <c r="BA108" s="45" t="str">
        <f t="shared" si="90"/>
        <v/>
      </c>
      <c r="BB108" s="45" t="str">
        <f t="shared" si="90"/>
        <v/>
      </c>
      <c r="BC108" s="45" t="str">
        <f t="shared" si="90"/>
        <v/>
      </c>
      <c r="BD108" s="45" t="str">
        <f t="shared" si="90"/>
        <v/>
      </c>
      <c r="BE108" s="45" t="str">
        <f t="shared" si="90"/>
        <v/>
      </c>
      <c r="BF108" s="45" t="str">
        <f t="shared" si="90"/>
        <v/>
      </c>
      <c r="BG108" s="45" t="str">
        <f t="shared" si="90"/>
        <v/>
      </c>
      <c r="BH108" s="45" t="str">
        <f t="shared" si="90"/>
        <v/>
      </c>
      <c r="BI108" s="45" t="str">
        <f t="shared" si="90"/>
        <v/>
      </c>
      <c r="BJ108" s="45" t="str">
        <f t="shared" si="90"/>
        <v/>
      </c>
      <c r="BK108" s="45" t="str">
        <f t="shared" si="90"/>
        <v/>
      </c>
      <c r="BL108" s="45" t="str">
        <f t="shared" si="90"/>
        <v/>
      </c>
      <c r="BM108" s="45" t="str">
        <f t="shared" si="90"/>
        <v/>
      </c>
      <c r="BN108" s="45" t="str">
        <f t="shared" si="90"/>
        <v/>
      </c>
      <c r="BO108" s="45" t="str">
        <f t="shared" si="90"/>
        <v/>
      </c>
      <c r="BP108" s="45" t="str">
        <f t="shared" si="90"/>
        <v/>
      </c>
      <c r="BQ108" s="45" t="str">
        <f t="shared" si="90"/>
        <v/>
      </c>
      <c r="BR108" s="45" t="str">
        <f t="shared" si="90"/>
        <v/>
      </c>
      <c r="BS108" s="45" t="str">
        <f t="shared" si="90"/>
        <v/>
      </c>
      <c r="BT108" s="45" t="str">
        <f t="shared" si="90"/>
        <v/>
      </c>
      <c r="BU108" s="45" t="str">
        <f t="shared" si="90"/>
        <v/>
      </c>
      <c r="BV108" s="45" t="str">
        <f t="shared" si="90"/>
        <v/>
      </c>
      <c r="BW108" s="45" t="str">
        <f t="shared" si="90"/>
        <v/>
      </c>
      <c r="BX108" s="45" t="str">
        <f t="shared" si="90"/>
        <v/>
      </c>
      <c r="BY108" s="45" t="str">
        <f t="shared" si="90"/>
        <v/>
      </c>
      <c r="BZ108" s="45" t="str">
        <f t="shared" si="90"/>
        <v/>
      </c>
      <c r="CA108" s="45" t="str">
        <f t="shared" si="90"/>
        <v/>
      </c>
      <c r="CB108" s="45" t="str">
        <f t="shared" si="90"/>
        <v/>
      </c>
      <c r="CC108" s="45" t="str">
        <f t="shared" si="90"/>
        <v/>
      </c>
      <c r="CD108" s="45" t="str">
        <f t="shared" ref="CD108:CO108" si="91">IF(COUNTIFS($E$109:$E$114,"&lt;&gt;",$D$109:$D$114,"A",CD$109:CD$114,"&lt;&gt;")=0,"",IFERROR(SUMPRODUCT(--($E$109:$E$114&lt;&gt;""),--($D$109:$D$114="A"),$O$109:$O$114,CD$109:CD$114)/SUMPRODUCT(--($E$109:$E$114&lt;&gt;""),--($D$109:$D$114="A"),$O$109:$O$114),""))</f>
        <v/>
      </c>
      <c r="CE108" s="45" t="str">
        <f t="shared" si="91"/>
        <v/>
      </c>
      <c r="CF108" s="45" t="str">
        <f t="shared" si="91"/>
        <v/>
      </c>
      <c r="CG108" s="45" t="str">
        <f t="shared" si="91"/>
        <v/>
      </c>
      <c r="CH108" s="45" t="str">
        <f t="shared" si="91"/>
        <v/>
      </c>
      <c r="CI108" s="45" t="str">
        <f t="shared" si="91"/>
        <v/>
      </c>
      <c r="CJ108" s="45" t="str">
        <f t="shared" si="91"/>
        <v/>
      </c>
      <c r="CK108" s="45" t="str">
        <f t="shared" si="91"/>
        <v/>
      </c>
      <c r="CL108" s="45" t="str">
        <f t="shared" si="91"/>
        <v/>
      </c>
      <c r="CM108" s="45" t="str">
        <f t="shared" si="91"/>
        <v/>
      </c>
      <c r="CN108" s="45" t="str">
        <f t="shared" si="91"/>
        <v/>
      </c>
      <c r="CO108" s="45" t="str">
        <f t="shared" si="91"/>
        <v/>
      </c>
    </row>
    <row r="109" spans="1:93" outlineLevel="3" x14ac:dyDescent="0.25">
      <c r="A109" s="10" t="s">
        <v>116</v>
      </c>
      <c r="B109" s="10" t="s">
        <v>240</v>
      </c>
      <c r="C109" s="11" t="s">
        <v>241</v>
      </c>
      <c r="D109" s="12" t="s">
        <v>110</v>
      </c>
      <c r="E109" s="10" t="s">
        <v>242</v>
      </c>
      <c r="F109" s="10">
        <v>52</v>
      </c>
      <c r="G109" s="10">
        <v>52</v>
      </c>
      <c r="H109" s="10">
        <v>3</v>
      </c>
      <c r="I109" s="13">
        <v>46387.333333333343</v>
      </c>
      <c r="J109" s="13">
        <v>46393.666666666657</v>
      </c>
      <c r="K109" s="13"/>
      <c r="L109" s="13"/>
      <c r="M109" s="14">
        <f t="shared" si="61"/>
        <v>1</v>
      </c>
      <c r="N109" s="14"/>
      <c r="O109" s="16">
        <v>100000</v>
      </c>
      <c r="P109" s="15">
        <v>9.7333333333333325</v>
      </c>
      <c r="Q109" s="16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>
        <v>0.2857142857142857</v>
      </c>
      <c r="BP109" s="47">
        <v>0.7142857142857143</v>
      </c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</row>
    <row r="110" spans="1:93" outlineLevel="3" x14ac:dyDescent="0.25">
      <c r="A110" s="17"/>
      <c r="B110" s="17"/>
      <c r="C110" s="18"/>
      <c r="D110" s="19" t="s">
        <v>111</v>
      </c>
      <c r="E110" s="17" t="s">
        <v>242</v>
      </c>
      <c r="F110" s="17"/>
      <c r="G110" s="17"/>
      <c r="H110" s="17"/>
      <c r="I110" s="20"/>
      <c r="J110" s="20"/>
      <c r="K110" s="20"/>
      <c r="L110" s="20"/>
      <c r="M110" s="21" t="str">
        <f t="shared" si="61"/>
        <v/>
      </c>
      <c r="N110" s="21">
        <v>0</v>
      </c>
      <c r="O110" s="48">
        <f>O109</f>
        <v>100000</v>
      </c>
      <c r="P110" s="22"/>
      <c r="Q110" s="23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</row>
    <row r="111" spans="1:93" outlineLevel="3" x14ac:dyDescent="0.25">
      <c r="A111" s="10" t="s">
        <v>116</v>
      </c>
      <c r="B111" s="10" t="s">
        <v>243</v>
      </c>
      <c r="C111" s="11" t="s">
        <v>244</v>
      </c>
      <c r="D111" s="12" t="s">
        <v>110</v>
      </c>
      <c r="E111" s="10" t="s">
        <v>245</v>
      </c>
      <c r="F111" s="10">
        <v>53</v>
      </c>
      <c r="G111" s="10">
        <v>53</v>
      </c>
      <c r="H111" s="10">
        <v>3</v>
      </c>
      <c r="I111" s="13">
        <v>46394.333333333343</v>
      </c>
      <c r="J111" s="13">
        <v>46400.666666666657</v>
      </c>
      <c r="K111" s="13"/>
      <c r="L111" s="13"/>
      <c r="M111" s="14">
        <f t="shared" si="61"/>
        <v>1</v>
      </c>
      <c r="N111" s="14"/>
      <c r="O111" s="16">
        <v>100000</v>
      </c>
      <c r="P111" s="15">
        <v>9.7333333333333325</v>
      </c>
      <c r="Q111" s="16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>
        <v>0.2857142857142857</v>
      </c>
      <c r="BQ111" s="47">
        <v>0.7142857142857143</v>
      </c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</row>
    <row r="112" spans="1:93" outlineLevel="3" x14ac:dyDescent="0.25">
      <c r="A112" s="17"/>
      <c r="B112" s="17"/>
      <c r="C112" s="18"/>
      <c r="D112" s="19" t="s">
        <v>111</v>
      </c>
      <c r="E112" s="17" t="s">
        <v>245</v>
      </c>
      <c r="F112" s="17"/>
      <c r="G112" s="17"/>
      <c r="H112" s="17"/>
      <c r="I112" s="20"/>
      <c r="J112" s="20"/>
      <c r="K112" s="20"/>
      <c r="L112" s="20"/>
      <c r="M112" s="21" t="str">
        <f t="shared" si="61"/>
        <v/>
      </c>
      <c r="N112" s="21">
        <v>0</v>
      </c>
      <c r="O112" s="48">
        <f>O111</f>
        <v>100000</v>
      </c>
      <c r="P112" s="22"/>
      <c r="Q112" s="23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</row>
    <row r="113" spans="1:93" outlineLevel="3" x14ac:dyDescent="0.25">
      <c r="A113" s="10" t="s">
        <v>116</v>
      </c>
      <c r="B113" s="10" t="s">
        <v>246</v>
      </c>
      <c r="C113" s="11" t="s">
        <v>247</v>
      </c>
      <c r="D113" s="12" t="s">
        <v>110</v>
      </c>
      <c r="E113" s="10" t="s">
        <v>248</v>
      </c>
      <c r="F113" s="10">
        <v>54</v>
      </c>
      <c r="G113" s="10">
        <v>54</v>
      </c>
      <c r="H113" s="10">
        <v>3</v>
      </c>
      <c r="I113" s="13">
        <v>46401.333333333343</v>
      </c>
      <c r="J113" s="13">
        <v>46407.666666666657</v>
      </c>
      <c r="K113" s="13"/>
      <c r="L113" s="13"/>
      <c r="M113" s="14">
        <f t="shared" si="61"/>
        <v>1</v>
      </c>
      <c r="N113" s="14"/>
      <c r="O113" s="16">
        <v>100000</v>
      </c>
      <c r="P113" s="15">
        <v>9.7333333333333325</v>
      </c>
      <c r="Q113" s="16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>
        <v>0.2857142857142857</v>
      </c>
      <c r="BR113" s="47">
        <v>0.7142857142857143</v>
      </c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</row>
    <row r="114" spans="1:93" outlineLevel="3" x14ac:dyDescent="0.25">
      <c r="A114" s="17"/>
      <c r="B114" s="17"/>
      <c r="C114" s="18"/>
      <c r="D114" s="19" t="s">
        <v>111</v>
      </c>
      <c r="E114" s="17" t="s">
        <v>248</v>
      </c>
      <c r="F114" s="17"/>
      <c r="G114" s="17"/>
      <c r="H114" s="17"/>
      <c r="I114" s="20"/>
      <c r="J114" s="20"/>
      <c r="K114" s="20"/>
      <c r="L114" s="20"/>
      <c r="M114" s="21" t="str">
        <f t="shared" si="61"/>
        <v/>
      </c>
      <c r="N114" s="21">
        <v>0</v>
      </c>
      <c r="O114" s="48">
        <f>O113</f>
        <v>100000</v>
      </c>
      <c r="P114" s="22"/>
      <c r="Q114" s="23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</row>
    <row r="115" spans="1:93" outlineLevel="2" x14ac:dyDescent="0.25">
      <c r="A115" s="1" t="s">
        <v>92</v>
      </c>
      <c r="B115" s="1" t="s">
        <v>249</v>
      </c>
      <c r="C115" s="6" t="s">
        <v>250</v>
      </c>
      <c r="D115" s="8" t="s">
        <v>110</v>
      </c>
      <c r="E115" s="1"/>
      <c r="F115" s="1">
        <v>55</v>
      </c>
      <c r="G115" s="1">
        <v>55</v>
      </c>
      <c r="H115" s="1">
        <v>2</v>
      </c>
      <c r="I115" s="9">
        <v>46408.333333333343</v>
      </c>
      <c r="J115" s="9">
        <v>46435.666666666657</v>
      </c>
      <c r="K115" s="9"/>
      <c r="L115" s="9"/>
      <c r="M115" s="3">
        <f t="shared" si="61"/>
        <v>1</v>
      </c>
      <c r="N115" s="3"/>
      <c r="O115" s="5">
        <f>SUMIFS($O$116:$O$121,$A$116:$A$121,"Activity",$D$116:$D$121,"P")</f>
        <v>300000</v>
      </c>
      <c r="P115" s="4"/>
      <c r="Q115" s="5"/>
      <c r="R115" s="45" t="str">
        <f t="shared" ref="R115:AW115" si="92">IF(COUNTIFS($A$117:$A$122,"Activity",$D$117:$D$122,"P",R$117:R$122,"&lt;&gt;")=0,"",IFERROR(SUMPRODUCT(--($A$117:$A$122="Activity"),--($D$117:$D$122="P"),$O$117:$O$122,R$117:R$122)/SUMPRODUCT(--($A$117:$A$122="Activity"),--($D$117:$D$122="P"),$O$117:$O$122),""))</f>
        <v/>
      </c>
      <c r="S115" s="45" t="str">
        <f t="shared" si="92"/>
        <v/>
      </c>
      <c r="T115" s="45" t="str">
        <f t="shared" si="92"/>
        <v/>
      </c>
      <c r="U115" s="45" t="str">
        <f t="shared" si="92"/>
        <v/>
      </c>
      <c r="V115" s="45" t="str">
        <f t="shared" si="92"/>
        <v/>
      </c>
      <c r="W115" s="45" t="str">
        <f t="shared" si="92"/>
        <v/>
      </c>
      <c r="X115" s="45" t="str">
        <f t="shared" si="92"/>
        <v/>
      </c>
      <c r="Y115" s="45" t="str">
        <f t="shared" si="92"/>
        <v/>
      </c>
      <c r="Z115" s="45" t="str">
        <f t="shared" si="92"/>
        <v/>
      </c>
      <c r="AA115" s="45" t="str">
        <f t="shared" si="92"/>
        <v/>
      </c>
      <c r="AB115" s="45" t="str">
        <f t="shared" si="92"/>
        <v/>
      </c>
      <c r="AC115" s="45" t="str">
        <f t="shared" si="92"/>
        <v/>
      </c>
      <c r="AD115" s="45" t="str">
        <f t="shared" si="92"/>
        <v/>
      </c>
      <c r="AE115" s="45" t="str">
        <f t="shared" si="92"/>
        <v/>
      </c>
      <c r="AF115" s="45" t="str">
        <f t="shared" si="92"/>
        <v/>
      </c>
      <c r="AG115" s="45" t="str">
        <f t="shared" si="92"/>
        <v/>
      </c>
      <c r="AH115" s="45" t="str">
        <f t="shared" si="92"/>
        <v/>
      </c>
      <c r="AI115" s="45" t="str">
        <f t="shared" si="92"/>
        <v/>
      </c>
      <c r="AJ115" s="45" t="str">
        <f t="shared" si="92"/>
        <v/>
      </c>
      <c r="AK115" s="45" t="str">
        <f t="shared" si="92"/>
        <v/>
      </c>
      <c r="AL115" s="45" t="str">
        <f t="shared" si="92"/>
        <v/>
      </c>
      <c r="AM115" s="45" t="str">
        <f t="shared" si="92"/>
        <v/>
      </c>
      <c r="AN115" s="45" t="str">
        <f t="shared" si="92"/>
        <v/>
      </c>
      <c r="AO115" s="45" t="str">
        <f t="shared" si="92"/>
        <v/>
      </c>
      <c r="AP115" s="45" t="str">
        <f t="shared" si="92"/>
        <v/>
      </c>
      <c r="AQ115" s="45" t="str">
        <f t="shared" si="92"/>
        <v/>
      </c>
      <c r="AR115" s="45" t="str">
        <f t="shared" si="92"/>
        <v/>
      </c>
      <c r="AS115" s="45" t="str">
        <f t="shared" si="92"/>
        <v/>
      </c>
      <c r="AT115" s="45" t="str">
        <f t="shared" si="92"/>
        <v/>
      </c>
      <c r="AU115" s="45" t="str">
        <f t="shared" si="92"/>
        <v/>
      </c>
      <c r="AV115" s="45" t="str">
        <f t="shared" si="92"/>
        <v/>
      </c>
      <c r="AW115" s="45" t="str">
        <f t="shared" si="92"/>
        <v/>
      </c>
      <c r="AX115" s="45" t="str">
        <f t="shared" ref="AX115:CC115" si="93">IF(COUNTIFS($A$117:$A$122,"Activity",$D$117:$D$122,"P",AX$117:AX$122,"&lt;&gt;")=0,"",IFERROR(SUMPRODUCT(--($A$117:$A$122="Activity"),--($D$117:$D$122="P"),$O$117:$O$122,AX$117:AX$122)/SUMPRODUCT(--($A$117:$A$122="Activity"),--($D$117:$D$122="P"),$O$117:$O$122),""))</f>
        <v/>
      </c>
      <c r="AY115" s="45" t="str">
        <f t="shared" si="93"/>
        <v/>
      </c>
      <c r="AZ115" s="45" t="str">
        <f t="shared" si="93"/>
        <v/>
      </c>
      <c r="BA115" s="45" t="str">
        <f t="shared" si="93"/>
        <v/>
      </c>
      <c r="BB115" s="45" t="str">
        <f t="shared" si="93"/>
        <v/>
      </c>
      <c r="BC115" s="45" t="str">
        <f t="shared" si="93"/>
        <v/>
      </c>
      <c r="BD115" s="45" t="str">
        <f t="shared" si="93"/>
        <v/>
      </c>
      <c r="BE115" s="45" t="str">
        <f t="shared" si="93"/>
        <v/>
      </c>
      <c r="BF115" s="45" t="str">
        <f t="shared" si="93"/>
        <v/>
      </c>
      <c r="BG115" s="45" t="str">
        <f t="shared" si="93"/>
        <v/>
      </c>
      <c r="BH115" s="45" t="str">
        <f t="shared" si="93"/>
        <v/>
      </c>
      <c r="BI115" s="45" t="str">
        <f t="shared" si="93"/>
        <v/>
      </c>
      <c r="BJ115" s="45" t="str">
        <f t="shared" si="93"/>
        <v/>
      </c>
      <c r="BK115" s="45" t="str">
        <f t="shared" si="93"/>
        <v/>
      </c>
      <c r="BL115" s="45" t="str">
        <f t="shared" si="93"/>
        <v/>
      </c>
      <c r="BM115" s="45" t="str">
        <f t="shared" si="93"/>
        <v/>
      </c>
      <c r="BN115" s="45" t="str">
        <f t="shared" si="93"/>
        <v/>
      </c>
      <c r="BO115" s="45" t="str">
        <f t="shared" si="93"/>
        <v/>
      </c>
      <c r="BP115" s="45" t="str">
        <f t="shared" si="93"/>
        <v/>
      </c>
      <c r="BQ115" s="45" t="str">
        <f t="shared" si="93"/>
        <v/>
      </c>
      <c r="BR115" s="45">
        <f t="shared" si="93"/>
        <v>9.5238095238095233E-2</v>
      </c>
      <c r="BS115" s="45">
        <f t="shared" si="93"/>
        <v>0.26584182618767283</v>
      </c>
      <c r="BT115" s="45">
        <f t="shared" si="93"/>
        <v>0.23622027500981188</v>
      </c>
      <c r="BU115" s="45">
        <f t="shared" si="93"/>
        <v>0.16460456546918192</v>
      </c>
      <c r="BV115" s="45">
        <f t="shared" si="93"/>
        <v>0.23809523809523811</v>
      </c>
      <c r="BW115" s="45" t="str">
        <f t="shared" si="93"/>
        <v/>
      </c>
      <c r="BX115" s="45" t="str">
        <f t="shared" si="93"/>
        <v/>
      </c>
      <c r="BY115" s="45" t="str">
        <f t="shared" si="93"/>
        <v/>
      </c>
      <c r="BZ115" s="45" t="str">
        <f t="shared" si="93"/>
        <v/>
      </c>
      <c r="CA115" s="45" t="str">
        <f t="shared" si="93"/>
        <v/>
      </c>
      <c r="CB115" s="45" t="str">
        <f t="shared" si="93"/>
        <v/>
      </c>
      <c r="CC115" s="45" t="str">
        <f t="shared" si="93"/>
        <v/>
      </c>
      <c r="CD115" s="45" t="str">
        <f t="shared" ref="CD115:CO115" si="94">IF(COUNTIFS($A$117:$A$122,"Activity",$D$117:$D$122,"P",CD$117:CD$122,"&lt;&gt;")=0,"",IFERROR(SUMPRODUCT(--($A$117:$A$122="Activity"),--($D$117:$D$122="P"),$O$117:$O$122,CD$117:CD$122)/SUMPRODUCT(--($A$117:$A$122="Activity"),--($D$117:$D$122="P"),$O$117:$O$122),""))</f>
        <v/>
      </c>
      <c r="CE115" s="45" t="str">
        <f t="shared" si="94"/>
        <v/>
      </c>
      <c r="CF115" s="45" t="str">
        <f t="shared" si="94"/>
        <v/>
      </c>
      <c r="CG115" s="45" t="str">
        <f t="shared" si="94"/>
        <v/>
      </c>
      <c r="CH115" s="45" t="str">
        <f t="shared" si="94"/>
        <v/>
      </c>
      <c r="CI115" s="45" t="str">
        <f t="shared" si="94"/>
        <v/>
      </c>
      <c r="CJ115" s="45" t="str">
        <f t="shared" si="94"/>
        <v/>
      </c>
      <c r="CK115" s="45" t="str">
        <f t="shared" si="94"/>
        <v/>
      </c>
      <c r="CL115" s="45" t="str">
        <f t="shared" si="94"/>
        <v/>
      </c>
      <c r="CM115" s="45" t="str">
        <f t="shared" si="94"/>
        <v/>
      </c>
      <c r="CN115" s="45" t="str">
        <f t="shared" si="94"/>
        <v/>
      </c>
      <c r="CO115" s="45" t="str">
        <f t="shared" si="94"/>
        <v/>
      </c>
    </row>
    <row r="116" spans="1:93" outlineLevel="2" x14ac:dyDescent="0.25">
      <c r="A116" s="1"/>
      <c r="B116" s="1"/>
      <c r="C116" s="6"/>
      <c r="D116" s="8" t="s">
        <v>111</v>
      </c>
      <c r="E116" s="1"/>
      <c r="F116" s="1"/>
      <c r="G116" s="1"/>
      <c r="H116" s="1"/>
      <c r="I116" s="9"/>
      <c r="J116" s="9"/>
      <c r="K116" s="9"/>
      <c r="L116" s="9"/>
      <c r="M116" s="3" t="str">
        <f t="shared" si="61"/>
        <v/>
      </c>
      <c r="N116" s="3"/>
      <c r="O116" s="46">
        <f>O115</f>
        <v>300000</v>
      </c>
      <c r="P116" s="4"/>
      <c r="Q116" s="5"/>
      <c r="R116" s="45" t="str">
        <f t="shared" ref="R116:AW116" si="95">IF(COUNTIFS($E$117:$E$122,"&lt;&gt;",$D$117:$D$122,"A",R$117:R$122,"&lt;&gt;")=0,"",IFERROR(SUMPRODUCT(--($E$117:$E$122&lt;&gt;""),--($D$117:$D$122="A"),$O$117:$O$122,R$117:R$122)/SUMPRODUCT(--($E$117:$E$122&lt;&gt;""),--($D$117:$D$122="A"),$O$117:$O$122),""))</f>
        <v/>
      </c>
      <c r="S116" s="45" t="str">
        <f t="shared" si="95"/>
        <v/>
      </c>
      <c r="T116" s="45" t="str">
        <f t="shared" si="95"/>
        <v/>
      </c>
      <c r="U116" s="45" t="str">
        <f t="shared" si="95"/>
        <v/>
      </c>
      <c r="V116" s="45" t="str">
        <f t="shared" si="95"/>
        <v/>
      </c>
      <c r="W116" s="45" t="str">
        <f t="shared" si="95"/>
        <v/>
      </c>
      <c r="X116" s="45" t="str">
        <f t="shared" si="95"/>
        <v/>
      </c>
      <c r="Y116" s="45" t="str">
        <f t="shared" si="95"/>
        <v/>
      </c>
      <c r="Z116" s="45" t="str">
        <f t="shared" si="95"/>
        <v/>
      </c>
      <c r="AA116" s="45" t="str">
        <f t="shared" si="95"/>
        <v/>
      </c>
      <c r="AB116" s="45" t="str">
        <f t="shared" si="95"/>
        <v/>
      </c>
      <c r="AC116" s="45" t="str">
        <f t="shared" si="95"/>
        <v/>
      </c>
      <c r="AD116" s="45" t="str">
        <f t="shared" si="95"/>
        <v/>
      </c>
      <c r="AE116" s="45" t="str">
        <f t="shared" si="95"/>
        <v/>
      </c>
      <c r="AF116" s="45" t="str">
        <f t="shared" si="95"/>
        <v/>
      </c>
      <c r="AG116" s="45" t="str">
        <f t="shared" si="95"/>
        <v/>
      </c>
      <c r="AH116" s="45" t="str">
        <f t="shared" si="95"/>
        <v/>
      </c>
      <c r="AI116" s="45" t="str">
        <f t="shared" si="95"/>
        <v/>
      </c>
      <c r="AJ116" s="45" t="str">
        <f t="shared" si="95"/>
        <v/>
      </c>
      <c r="AK116" s="45" t="str">
        <f t="shared" si="95"/>
        <v/>
      </c>
      <c r="AL116" s="45" t="str">
        <f t="shared" si="95"/>
        <v/>
      </c>
      <c r="AM116" s="45" t="str">
        <f t="shared" si="95"/>
        <v/>
      </c>
      <c r="AN116" s="45" t="str">
        <f t="shared" si="95"/>
        <v/>
      </c>
      <c r="AO116" s="45" t="str">
        <f t="shared" si="95"/>
        <v/>
      </c>
      <c r="AP116" s="45" t="str">
        <f t="shared" si="95"/>
        <v/>
      </c>
      <c r="AQ116" s="45" t="str">
        <f t="shared" si="95"/>
        <v/>
      </c>
      <c r="AR116" s="45" t="str">
        <f t="shared" si="95"/>
        <v/>
      </c>
      <c r="AS116" s="45" t="str">
        <f t="shared" si="95"/>
        <v/>
      </c>
      <c r="AT116" s="45" t="str">
        <f t="shared" si="95"/>
        <v/>
      </c>
      <c r="AU116" s="45" t="str">
        <f t="shared" si="95"/>
        <v/>
      </c>
      <c r="AV116" s="45" t="str">
        <f t="shared" si="95"/>
        <v/>
      </c>
      <c r="AW116" s="45" t="str">
        <f t="shared" si="95"/>
        <v/>
      </c>
      <c r="AX116" s="45" t="str">
        <f t="shared" ref="AX116:CC116" si="96">IF(COUNTIFS($E$117:$E$122,"&lt;&gt;",$D$117:$D$122,"A",AX$117:AX$122,"&lt;&gt;")=0,"",IFERROR(SUMPRODUCT(--($E$117:$E$122&lt;&gt;""),--($D$117:$D$122="A"),$O$117:$O$122,AX$117:AX$122)/SUMPRODUCT(--($E$117:$E$122&lt;&gt;""),--($D$117:$D$122="A"),$O$117:$O$122),""))</f>
        <v/>
      </c>
      <c r="AY116" s="45" t="str">
        <f t="shared" si="96"/>
        <v/>
      </c>
      <c r="AZ116" s="45" t="str">
        <f t="shared" si="96"/>
        <v/>
      </c>
      <c r="BA116" s="45" t="str">
        <f t="shared" si="96"/>
        <v/>
      </c>
      <c r="BB116" s="45" t="str">
        <f t="shared" si="96"/>
        <v/>
      </c>
      <c r="BC116" s="45" t="str">
        <f t="shared" si="96"/>
        <v/>
      </c>
      <c r="BD116" s="45" t="str">
        <f t="shared" si="96"/>
        <v/>
      </c>
      <c r="BE116" s="45" t="str">
        <f t="shared" si="96"/>
        <v/>
      </c>
      <c r="BF116" s="45" t="str">
        <f t="shared" si="96"/>
        <v/>
      </c>
      <c r="BG116" s="45" t="str">
        <f t="shared" si="96"/>
        <v/>
      </c>
      <c r="BH116" s="45" t="str">
        <f t="shared" si="96"/>
        <v/>
      </c>
      <c r="BI116" s="45" t="str">
        <f t="shared" si="96"/>
        <v/>
      </c>
      <c r="BJ116" s="45" t="str">
        <f t="shared" si="96"/>
        <v/>
      </c>
      <c r="BK116" s="45" t="str">
        <f t="shared" si="96"/>
        <v/>
      </c>
      <c r="BL116" s="45" t="str">
        <f t="shared" si="96"/>
        <v/>
      </c>
      <c r="BM116" s="45" t="str">
        <f t="shared" si="96"/>
        <v/>
      </c>
      <c r="BN116" s="45" t="str">
        <f t="shared" si="96"/>
        <v/>
      </c>
      <c r="BO116" s="45" t="str">
        <f t="shared" si="96"/>
        <v/>
      </c>
      <c r="BP116" s="45" t="str">
        <f t="shared" si="96"/>
        <v/>
      </c>
      <c r="BQ116" s="45" t="str">
        <f t="shared" si="96"/>
        <v/>
      </c>
      <c r="BR116" s="45" t="str">
        <f t="shared" si="96"/>
        <v/>
      </c>
      <c r="BS116" s="45" t="str">
        <f t="shared" si="96"/>
        <v/>
      </c>
      <c r="BT116" s="45" t="str">
        <f t="shared" si="96"/>
        <v/>
      </c>
      <c r="BU116" s="45" t="str">
        <f t="shared" si="96"/>
        <v/>
      </c>
      <c r="BV116" s="45" t="str">
        <f t="shared" si="96"/>
        <v/>
      </c>
      <c r="BW116" s="45" t="str">
        <f t="shared" si="96"/>
        <v/>
      </c>
      <c r="BX116" s="45" t="str">
        <f t="shared" si="96"/>
        <v/>
      </c>
      <c r="BY116" s="45" t="str">
        <f t="shared" si="96"/>
        <v/>
      </c>
      <c r="BZ116" s="45" t="str">
        <f t="shared" si="96"/>
        <v/>
      </c>
      <c r="CA116" s="45" t="str">
        <f t="shared" si="96"/>
        <v/>
      </c>
      <c r="CB116" s="45" t="str">
        <f t="shared" si="96"/>
        <v/>
      </c>
      <c r="CC116" s="45" t="str">
        <f t="shared" si="96"/>
        <v/>
      </c>
      <c r="CD116" s="45" t="str">
        <f t="shared" ref="CD116:CO116" si="97">IF(COUNTIFS($E$117:$E$122,"&lt;&gt;",$D$117:$D$122,"A",CD$117:CD$122,"&lt;&gt;")=0,"",IFERROR(SUMPRODUCT(--($E$117:$E$122&lt;&gt;""),--($D$117:$D$122="A"),$O$117:$O$122,CD$117:CD$122)/SUMPRODUCT(--($E$117:$E$122&lt;&gt;""),--($D$117:$D$122="A"),$O$117:$O$122),""))</f>
        <v/>
      </c>
      <c r="CE116" s="45" t="str">
        <f t="shared" si="97"/>
        <v/>
      </c>
      <c r="CF116" s="45" t="str">
        <f t="shared" si="97"/>
        <v/>
      </c>
      <c r="CG116" s="45" t="str">
        <f t="shared" si="97"/>
        <v/>
      </c>
      <c r="CH116" s="45" t="str">
        <f t="shared" si="97"/>
        <v/>
      </c>
      <c r="CI116" s="45" t="str">
        <f t="shared" si="97"/>
        <v/>
      </c>
      <c r="CJ116" s="45" t="str">
        <f t="shared" si="97"/>
        <v/>
      </c>
      <c r="CK116" s="45" t="str">
        <f t="shared" si="97"/>
        <v/>
      </c>
      <c r="CL116" s="45" t="str">
        <f t="shared" si="97"/>
        <v/>
      </c>
      <c r="CM116" s="45" t="str">
        <f t="shared" si="97"/>
        <v/>
      </c>
      <c r="CN116" s="45" t="str">
        <f t="shared" si="97"/>
        <v/>
      </c>
      <c r="CO116" s="45" t="str">
        <f t="shared" si="97"/>
        <v/>
      </c>
    </row>
    <row r="117" spans="1:93" outlineLevel="3" x14ac:dyDescent="0.25">
      <c r="A117" s="10" t="s">
        <v>116</v>
      </c>
      <c r="B117" s="10" t="s">
        <v>251</v>
      </c>
      <c r="C117" s="11" t="s">
        <v>241</v>
      </c>
      <c r="D117" s="12" t="s">
        <v>110</v>
      </c>
      <c r="E117" s="10" t="s">
        <v>252</v>
      </c>
      <c r="F117" s="10">
        <v>56</v>
      </c>
      <c r="G117" s="10">
        <v>56</v>
      </c>
      <c r="H117" s="10">
        <v>3</v>
      </c>
      <c r="I117" s="13">
        <v>46408.333333333343</v>
      </c>
      <c r="J117" s="13">
        <v>46414.666666666657</v>
      </c>
      <c r="K117" s="13"/>
      <c r="L117" s="13"/>
      <c r="M117" s="14">
        <f t="shared" si="61"/>
        <v>1</v>
      </c>
      <c r="N117" s="14"/>
      <c r="O117" s="16">
        <v>100000</v>
      </c>
      <c r="P117" s="15">
        <v>9.7333333333333325</v>
      </c>
      <c r="Q117" s="16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>
        <v>0.2857142857142857</v>
      </c>
      <c r="BS117" s="47">
        <v>0.7142857142857143</v>
      </c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</row>
    <row r="118" spans="1:93" outlineLevel="3" x14ac:dyDescent="0.25">
      <c r="A118" s="17"/>
      <c r="B118" s="17"/>
      <c r="C118" s="18"/>
      <c r="D118" s="19" t="s">
        <v>111</v>
      </c>
      <c r="E118" s="17" t="s">
        <v>252</v>
      </c>
      <c r="F118" s="17"/>
      <c r="G118" s="17"/>
      <c r="H118" s="17"/>
      <c r="I118" s="20"/>
      <c r="J118" s="20"/>
      <c r="K118" s="20"/>
      <c r="L118" s="20"/>
      <c r="M118" s="21" t="str">
        <f t="shared" si="61"/>
        <v/>
      </c>
      <c r="N118" s="21">
        <v>0</v>
      </c>
      <c r="O118" s="48">
        <f>O117</f>
        <v>100000</v>
      </c>
      <c r="P118" s="22"/>
      <c r="Q118" s="23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</row>
    <row r="119" spans="1:93" outlineLevel="3" x14ac:dyDescent="0.25">
      <c r="A119" s="10" t="s">
        <v>116</v>
      </c>
      <c r="B119" s="10" t="s">
        <v>253</v>
      </c>
      <c r="C119" s="11" t="s">
        <v>222</v>
      </c>
      <c r="D119" s="12" t="s">
        <v>110</v>
      </c>
      <c r="E119" s="10" t="s">
        <v>254</v>
      </c>
      <c r="F119" s="10">
        <v>57</v>
      </c>
      <c r="G119" s="10">
        <v>57</v>
      </c>
      <c r="H119" s="10">
        <v>3</v>
      </c>
      <c r="I119" s="13">
        <v>46415.333333333343</v>
      </c>
      <c r="J119" s="13">
        <v>46428.666666666657</v>
      </c>
      <c r="K119" s="13"/>
      <c r="L119" s="13"/>
      <c r="M119" s="14">
        <f t="shared" si="61"/>
        <v>1</v>
      </c>
      <c r="N119" s="14"/>
      <c r="O119" s="16">
        <v>100000</v>
      </c>
      <c r="P119" s="15">
        <v>9.7333333333333325</v>
      </c>
      <c r="Q119" s="16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>
        <v>8.3239764277304132E-2</v>
      </c>
      <c r="BT119" s="47">
        <v>0.70866082502943573</v>
      </c>
      <c r="BU119" s="47">
        <v>0.2080994106932601</v>
      </c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</row>
    <row r="120" spans="1:93" outlineLevel="3" x14ac:dyDescent="0.25">
      <c r="A120" s="17"/>
      <c r="B120" s="17"/>
      <c r="C120" s="18"/>
      <c r="D120" s="19" t="s">
        <v>111</v>
      </c>
      <c r="E120" s="17" t="s">
        <v>254</v>
      </c>
      <c r="F120" s="17"/>
      <c r="G120" s="17"/>
      <c r="H120" s="17"/>
      <c r="I120" s="20"/>
      <c r="J120" s="20"/>
      <c r="K120" s="20"/>
      <c r="L120" s="20"/>
      <c r="M120" s="21" t="str">
        <f t="shared" si="61"/>
        <v/>
      </c>
      <c r="N120" s="21">
        <v>0</v>
      </c>
      <c r="O120" s="48">
        <f>O119</f>
        <v>100000</v>
      </c>
      <c r="P120" s="22"/>
      <c r="Q120" s="23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</row>
    <row r="121" spans="1:93" outlineLevel="3" x14ac:dyDescent="0.25">
      <c r="A121" s="10" t="s">
        <v>116</v>
      </c>
      <c r="B121" s="10" t="s">
        <v>255</v>
      </c>
      <c r="C121" s="11" t="s">
        <v>225</v>
      </c>
      <c r="D121" s="12" t="s">
        <v>110</v>
      </c>
      <c r="E121" s="10" t="s">
        <v>256</v>
      </c>
      <c r="F121" s="10">
        <v>58</v>
      </c>
      <c r="G121" s="10">
        <v>58</v>
      </c>
      <c r="H121" s="10">
        <v>3</v>
      </c>
      <c r="I121" s="13">
        <v>46429.333333333343</v>
      </c>
      <c r="J121" s="13">
        <v>46435.666666666657</v>
      </c>
      <c r="K121" s="13"/>
      <c r="L121" s="13"/>
      <c r="M121" s="14">
        <f t="shared" si="61"/>
        <v>1</v>
      </c>
      <c r="N121" s="14"/>
      <c r="O121" s="16">
        <v>100000</v>
      </c>
      <c r="P121" s="15">
        <v>9.7333333333333325</v>
      </c>
      <c r="Q121" s="16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>
        <v>0.2857142857142857</v>
      </c>
      <c r="BV121" s="47">
        <v>0.7142857142857143</v>
      </c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</row>
    <row r="122" spans="1:93" outlineLevel="3" x14ac:dyDescent="0.25">
      <c r="A122" s="17"/>
      <c r="B122" s="17"/>
      <c r="C122" s="18"/>
      <c r="D122" s="19" t="s">
        <v>111</v>
      </c>
      <c r="E122" s="17" t="s">
        <v>256</v>
      </c>
      <c r="F122" s="17"/>
      <c r="G122" s="17"/>
      <c r="H122" s="17"/>
      <c r="I122" s="20"/>
      <c r="J122" s="20"/>
      <c r="K122" s="20"/>
      <c r="L122" s="20"/>
      <c r="M122" s="21" t="str">
        <f t="shared" si="61"/>
        <v/>
      </c>
      <c r="N122" s="21">
        <v>0</v>
      </c>
      <c r="O122" s="48">
        <f>O121</f>
        <v>100000</v>
      </c>
      <c r="P122" s="22"/>
      <c r="Q122" s="23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</row>
    <row r="123" spans="1:93" outlineLevel="2" x14ac:dyDescent="0.25">
      <c r="A123" s="1" t="s">
        <v>92</v>
      </c>
      <c r="B123" s="1" t="s">
        <v>257</v>
      </c>
      <c r="C123" s="6" t="s">
        <v>258</v>
      </c>
      <c r="D123" s="8" t="s">
        <v>110</v>
      </c>
      <c r="E123" s="1"/>
      <c r="F123" s="1">
        <v>59</v>
      </c>
      <c r="G123" s="1">
        <v>59</v>
      </c>
      <c r="H123" s="1">
        <v>2</v>
      </c>
      <c r="I123" s="9">
        <v>46297.333333333343</v>
      </c>
      <c r="J123" s="9">
        <v>46373.666666666657</v>
      </c>
      <c r="K123" s="9"/>
      <c r="L123" s="9"/>
      <c r="M123" s="3">
        <f t="shared" si="61"/>
        <v>0.99999999999999989</v>
      </c>
      <c r="N123" s="3"/>
      <c r="O123" s="5">
        <f>SUMIFS($O$124:$O$133,$A$124:$A$133,"Activity",$D$124:$D$133,"P")</f>
        <v>500000</v>
      </c>
      <c r="P123" s="4"/>
      <c r="Q123" s="5"/>
      <c r="R123" s="45" t="str">
        <f t="shared" ref="R123:AW123" si="98">IF(COUNTIFS($A$125:$A$134,"Activity",$D$125:$D$134,"P",R$125:R$134,"&lt;&gt;")=0,"",IFERROR(SUMPRODUCT(--($A$125:$A$134="Activity"),--($D$125:$D$134="P"),$O$125:$O$134,R$125:R$134)/SUMPRODUCT(--($A$125:$A$134="Activity"),--($D$125:$D$134="P"),$O$125:$O$134),""))</f>
        <v/>
      </c>
      <c r="S123" s="45" t="str">
        <f t="shared" si="98"/>
        <v/>
      </c>
      <c r="T123" s="45" t="str">
        <f t="shared" si="98"/>
        <v/>
      </c>
      <c r="U123" s="45" t="str">
        <f t="shared" si="98"/>
        <v/>
      </c>
      <c r="V123" s="45" t="str">
        <f t="shared" si="98"/>
        <v/>
      </c>
      <c r="W123" s="45" t="str">
        <f t="shared" si="98"/>
        <v/>
      </c>
      <c r="X123" s="45" t="str">
        <f t="shared" si="98"/>
        <v/>
      </c>
      <c r="Y123" s="45" t="str">
        <f t="shared" si="98"/>
        <v/>
      </c>
      <c r="Z123" s="45" t="str">
        <f t="shared" si="98"/>
        <v/>
      </c>
      <c r="AA123" s="45" t="str">
        <f t="shared" si="98"/>
        <v/>
      </c>
      <c r="AB123" s="45" t="str">
        <f t="shared" si="98"/>
        <v/>
      </c>
      <c r="AC123" s="45" t="str">
        <f t="shared" si="98"/>
        <v/>
      </c>
      <c r="AD123" s="45" t="str">
        <f t="shared" si="98"/>
        <v/>
      </c>
      <c r="AE123" s="45" t="str">
        <f t="shared" si="98"/>
        <v/>
      </c>
      <c r="AF123" s="45" t="str">
        <f t="shared" si="98"/>
        <v/>
      </c>
      <c r="AG123" s="45" t="str">
        <f t="shared" si="98"/>
        <v/>
      </c>
      <c r="AH123" s="45" t="str">
        <f t="shared" si="98"/>
        <v/>
      </c>
      <c r="AI123" s="45" t="str">
        <f t="shared" si="98"/>
        <v/>
      </c>
      <c r="AJ123" s="45" t="str">
        <f t="shared" si="98"/>
        <v/>
      </c>
      <c r="AK123" s="45" t="str">
        <f t="shared" si="98"/>
        <v/>
      </c>
      <c r="AL123" s="45" t="str">
        <f t="shared" si="98"/>
        <v/>
      </c>
      <c r="AM123" s="45" t="str">
        <f t="shared" si="98"/>
        <v/>
      </c>
      <c r="AN123" s="45" t="str">
        <f t="shared" si="98"/>
        <v/>
      </c>
      <c r="AO123" s="45" t="str">
        <f t="shared" si="98"/>
        <v/>
      </c>
      <c r="AP123" s="45" t="str">
        <f t="shared" si="98"/>
        <v/>
      </c>
      <c r="AQ123" s="45" t="str">
        <f t="shared" si="98"/>
        <v/>
      </c>
      <c r="AR123" s="45" t="str">
        <f t="shared" si="98"/>
        <v/>
      </c>
      <c r="AS123" s="45" t="str">
        <f t="shared" si="98"/>
        <v/>
      </c>
      <c r="AT123" s="45" t="str">
        <f t="shared" si="98"/>
        <v/>
      </c>
      <c r="AU123" s="45" t="str">
        <f t="shared" si="98"/>
        <v/>
      </c>
      <c r="AV123" s="45" t="str">
        <f t="shared" si="98"/>
        <v/>
      </c>
      <c r="AW123" s="45" t="str">
        <f t="shared" si="98"/>
        <v/>
      </c>
      <c r="AX123" s="45" t="str">
        <f t="shared" ref="AX123:CC123" si="99">IF(COUNTIFS($A$125:$A$134,"Activity",$D$125:$D$134,"P",AX$125:AX$134,"&lt;&gt;")=0,"",IFERROR(SUMPRODUCT(--($A$125:$A$134="Activity"),--($D$125:$D$134="P"),$O$125:$O$134,AX$125:AX$134)/SUMPRODUCT(--($A$125:$A$134="Activity"),--($D$125:$D$134="P"),$O$125:$O$134),""))</f>
        <v/>
      </c>
      <c r="AY123" s="45" t="str">
        <f t="shared" si="99"/>
        <v/>
      </c>
      <c r="AZ123" s="45" t="str">
        <f t="shared" si="99"/>
        <v/>
      </c>
      <c r="BA123" s="45" t="str">
        <f t="shared" si="99"/>
        <v/>
      </c>
      <c r="BB123" s="45">
        <f t="shared" si="99"/>
        <v>2.6086956521739119E-2</v>
      </c>
      <c r="BC123" s="45">
        <f t="shared" si="99"/>
        <v>0.1217391304347826</v>
      </c>
      <c r="BD123" s="45">
        <f t="shared" si="99"/>
        <v>6.9951690821256046E-2</v>
      </c>
      <c r="BE123" s="45">
        <f t="shared" si="99"/>
        <v>9.3333333333333324E-2</v>
      </c>
      <c r="BF123" s="45">
        <f t="shared" si="99"/>
        <v>6.2222222222222227E-2</v>
      </c>
      <c r="BG123" s="45">
        <f t="shared" si="99"/>
        <v>4.4444444444444453E-2</v>
      </c>
      <c r="BH123" s="45">
        <f t="shared" si="99"/>
        <v>9.3333333333333324E-2</v>
      </c>
      <c r="BI123" s="45">
        <f t="shared" si="99"/>
        <v>6.2222222222222227E-2</v>
      </c>
      <c r="BJ123" s="45">
        <f t="shared" si="99"/>
        <v>5.5238095238095239E-2</v>
      </c>
      <c r="BK123" s="45">
        <f t="shared" si="99"/>
        <v>0.1333333333333333</v>
      </c>
      <c r="BL123" s="45">
        <f t="shared" si="99"/>
        <v>0.10476190476190479</v>
      </c>
      <c r="BM123" s="45">
        <f t="shared" si="99"/>
        <v>0.1333333333333333</v>
      </c>
      <c r="BN123" s="45" t="str">
        <f t="shared" si="99"/>
        <v/>
      </c>
      <c r="BO123" s="45" t="str">
        <f t="shared" si="99"/>
        <v/>
      </c>
      <c r="BP123" s="45" t="str">
        <f t="shared" si="99"/>
        <v/>
      </c>
      <c r="BQ123" s="45" t="str">
        <f t="shared" si="99"/>
        <v/>
      </c>
      <c r="BR123" s="45" t="str">
        <f t="shared" si="99"/>
        <v/>
      </c>
      <c r="BS123" s="45" t="str">
        <f t="shared" si="99"/>
        <v/>
      </c>
      <c r="BT123" s="45" t="str">
        <f t="shared" si="99"/>
        <v/>
      </c>
      <c r="BU123" s="45" t="str">
        <f t="shared" si="99"/>
        <v/>
      </c>
      <c r="BV123" s="45" t="str">
        <f t="shared" si="99"/>
        <v/>
      </c>
      <c r="BW123" s="45" t="str">
        <f t="shared" si="99"/>
        <v/>
      </c>
      <c r="BX123" s="45" t="str">
        <f t="shared" si="99"/>
        <v/>
      </c>
      <c r="BY123" s="45" t="str">
        <f t="shared" si="99"/>
        <v/>
      </c>
      <c r="BZ123" s="45" t="str">
        <f t="shared" si="99"/>
        <v/>
      </c>
      <c r="CA123" s="45" t="str">
        <f t="shared" si="99"/>
        <v/>
      </c>
      <c r="CB123" s="45" t="str">
        <f t="shared" si="99"/>
        <v/>
      </c>
      <c r="CC123" s="45" t="str">
        <f t="shared" si="99"/>
        <v/>
      </c>
      <c r="CD123" s="45" t="str">
        <f t="shared" ref="CD123:CO123" si="100">IF(COUNTIFS($A$125:$A$134,"Activity",$D$125:$D$134,"P",CD$125:CD$134,"&lt;&gt;")=0,"",IFERROR(SUMPRODUCT(--($A$125:$A$134="Activity"),--($D$125:$D$134="P"),$O$125:$O$134,CD$125:CD$134)/SUMPRODUCT(--($A$125:$A$134="Activity"),--($D$125:$D$134="P"),$O$125:$O$134),""))</f>
        <v/>
      </c>
      <c r="CE123" s="45" t="str">
        <f t="shared" si="100"/>
        <v/>
      </c>
      <c r="CF123" s="45" t="str">
        <f t="shared" si="100"/>
        <v/>
      </c>
      <c r="CG123" s="45" t="str">
        <f t="shared" si="100"/>
        <v/>
      </c>
      <c r="CH123" s="45" t="str">
        <f t="shared" si="100"/>
        <v/>
      </c>
      <c r="CI123" s="45" t="str">
        <f t="shared" si="100"/>
        <v/>
      </c>
      <c r="CJ123" s="45" t="str">
        <f t="shared" si="100"/>
        <v/>
      </c>
      <c r="CK123" s="45" t="str">
        <f t="shared" si="100"/>
        <v/>
      </c>
      <c r="CL123" s="45" t="str">
        <f t="shared" si="100"/>
        <v/>
      </c>
      <c r="CM123" s="45" t="str">
        <f t="shared" si="100"/>
        <v/>
      </c>
      <c r="CN123" s="45" t="str">
        <f t="shared" si="100"/>
        <v/>
      </c>
      <c r="CO123" s="45" t="str">
        <f t="shared" si="100"/>
        <v/>
      </c>
    </row>
    <row r="124" spans="1:93" outlineLevel="2" x14ac:dyDescent="0.25">
      <c r="A124" s="1"/>
      <c r="B124" s="1"/>
      <c r="C124" s="6"/>
      <c r="D124" s="8" t="s">
        <v>111</v>
      </c>
      <c r="E124" s="1"/>
      <c r="F124" s="1"/>
      <c r="G124" s="1"/>
      <c r="H124" s="1"/>
      <c r="I124" s="9"/>
      <c r="J124" s="9"/>
      <c r="K124" s="9"/>
      <c r="L124" s="9"/>
      <c r="M124" s="3" t="str">
        <f t="shared" si="61"/>
        <v/>
      </c>
      <c r="N124" s="3"/>
      <c r="O124" s="46">
        <f>O123</f>
        <v>500000</v>
      </c>
      <c r="P124" s="4"/>
      <c r="Q124" s="5"/>
      <c r="R124" s="45" t="str">
        <f t="shared" ref="R124:AW124" si="101">IF(COUNTIFS($E$125:$E$134,"&lt;&gt;",$D$125:$D$134,"A",R$125:R$134,"&lt;&gt;")=0,"",IFERROR(SUMPRODUCT(--($E$125:$E$134&lt;&gt;""),--($D$125:$D$134="A"),$O$125:$O$134,R$125:R$134)/SUMPRODUCT(--($E$125:$E$134&lt;&gt;""),--($D$125:$D$134="A"),$O$125:$O$134),""))</f>
        <v/>
      </c>
      <c r="S124" s="45" t="str">
        <f t="shared" si="101"/>
        <v/>
      </c>
      <c r="T124" s="45" t="str">
        <f t="shared" si="101"/>
        <v/>
      </c>
      <c r="U124" s="45" t="str">
        <f t="shared" si="101"/>
        <v/>
      </c>
      <c r="V124" s="45" t="str">
        <f t="shared" si="101"/>
        <v/>
      </c>
      <c r="W124" s="45" t="str">
        <f t="shared" si="101"/>
        <v/>
      </c>
      <c r="X124" s="45" t="str">
        <f t="shared" si="101"/>
        <v/>
      </c>
      <c r="Y124" s="45" t="str">
        <f t="shared" si="101"/>
        <v/>
      </c>
      <c r="Z124" s="45" t="str">
        <f t="shared" si="101"/>
        <v/>
      </c>
      <c r="AA124" s="45" t="str">
        <f t="shared" si="101"/>
        <v/>
      </c>
      <c r="AB124" s="45" t="str">
        <f t="shared" si="101"/>
        <v/>
      </c>
      <c r="AC124" s="45" t="str">
        <f t="shared" si="101"/>
        <v/>
      </c>
      <c r="AD124" s="45" t="str">
        <f t="shared" si="101"/>
        <v/>
      </c>
      <c r="AE124" s="45" t="str">
        <f t="shared" si="101"/>
        <v/>
      </c>
      <c r="AF124" s="45" t="str">
        <f t="shared" si="101"/>
        <v/>
      </c>
      <c r="AG124" s="45" t="str">
        <f t="shared" si="101"/>
        <v/>
      </c>
      <c r="AH124" s="45" t="str">
        <f t="shared" si="101"/>
        <v/>
      </c>
      <c r="AI124" s="45" t="str">
        <f t="shared" si="101"/>
        <v/>
      </c>
      <c r="AJ124" s="45" t="str">
        <f t="shared" si="101"/>
        <v/>
      </c>
      <c r="AK124" s="45" t="str">
        <f t="shared" si="101"/>
        <v/>
      </c>
      <c r="AL124" s="45" t="str">
        <f t="shared" si="101"/>
        <v/>
      </c>
      <c r="AM124" s="45" t="str">
        <f t="shared" si="101"/>
        <v/>
      </c>
      <c r="AN124" s="45" t="str">
        <f t="shared" si="101"/>
        <v/>
      </c>
      <c r="AO124" s="45" t="str">
        <f t="shared" si="101"/>
        <v/>
      </c>
      <c r="AP124" s="45" t="str">
        <f t="shared" si="101"/>
        <v/>
      </c>
      <c r="AQ124" s="45" t="str">
        <f t="shared" si="101"/>
        <v/>
      </c>
      <c r="AR124" s="45" t="str">
        <f t="shared" si="101"/>
        <v/>
      </c>
      <c r="AS124" s="45" t="str">
        <f t="shared" si="101"/>
        <v/>
      </c>
      <c r="AT124" s="45" t="str">
        <f t="shared" si="101"/>
        <v/>
      </c>
      <c r="AU124" s="45" t="str">
        <f t="shared" si="101"/>
        <v/>
      </c>
      <c r="AV124" s="45" t="str">
        <f t="shared" si="101"/>
        <v/>
      </c>
      <c r="AW124" s="45" t="str">
        <f t="shared" si="101"/>
        <v/>
      </c>
      <c r="AX124" s="45" t="str">
        <f t="shared" ref="AX124:CC124" si="102">IF(COUNTIFS($E$125:$E$134,"&lt;&gt;",$D$125:$D$134,"A",AX$125:AX$134,"&lt;&gt;")=0,"",IFERROR(SUMPRODUCT(--($E$125:$E$134&lt;&gt;""),--($D$125:$D$134="A"),$O$125:$O$134,AX$125:AX$134)/SUMPRODUCT(--($E$125:$E$134&lt;&gt;""),--($D$125:$D$134="A"),$O$125:$O$134),""))</f>
        <v/>
      </c>
      <c r="AY124" s="45" t="str">
        <f t="shared" si="102"/>
        <v/>
      </c>
      <c r="AZ124" s="45" t="str">
        <f t="shared" si="102"/>
        <v/>
      </c>
      <c r="BA124" s="45" t="str">
        <f t="shared" si="102"/>
        <v/>
      </c>
      <c r="BB124" s="45" t="str">
        <f t="shared" si="102"/>
        <v/>
      </c>
      <c r="BC124" s="45" t="str">
        <f t="shared" si="102"/>
        <v/>
      </c>
      <c r="BD124" s="45" t="str">
        <f t="shared" si="102"/>
        <v/>
      </c>
      <c r="BE124" s="45" t="str">
        <f t="shared" si="102"/>
        <v/>
      </c>
      <c r="BF124" s="45" t="str">
        <f t="shared" si="102"/>
        <v/>
      </c>
      <c r="BG124" s="45" t="str">
        <f t="shared" si="102"/>
        <v/>
      </c>
      <c r="BH124" s="45" t="str">
        <f t="shared" si="102"/>
        <v/>
      </c>
      <c r="BI124" s="45" t="str">
        <f t="shared" si="102"/>
        <v/>
      </c>
      <c r="BJ124" s="45" t="str">
        <f t="shared" si="102"/>
        <v/>
      </c>
      <c r="BK124" s="45" t="str">
        <f t="shared" si="102"/>
        <v/>
      </c>
      <c r="BL124" s="45" t="str">
        <f t="shared" si="102"/>
        <v/>
      </c>
      <c r="BM124" s="45" t="str">
        <f t="shared" si="102"/>
        <v/>
      </c>
      <c r="BN124" s="45" t="str">
        <f t="shared" si="102"/>
        <v/>
      </c>
      <c r="BO124" s="45" t="str">
        <f t="shared" si="102"/>
        <v/>
      </c>
      <c r="BP124" s="45" t="str">
        <f t="shared" si="102"/>
        <v/>
      </c>
      <c r="BQ124" s="45" t="str">
        <f t="shared" si="102"/>
        <v/>
      </c>
      <c r="BR124" s="45" t="str">
        <f t="shared" si="102"/>
        <v/>
      </c>
      <c r="BS124" s="45" t="str">
        <f t="shared" si="102"/>
        <v/>
      </c>
      <c r="BT124" s="45" t="str">
        <f t="shared" si="102"/>
        <v/>
      </c>
      <c r="BU124" s="45" t="str">
        <f t="shared" si="102"/>
        <v/>
      </c>
      <c r="BV124" s="45" t="str">
        <f t="shared" si="102"/>
        <v/>
      </c>
      <c r="BW124" s="45" t="str">
        <f t="shared" si="102"/>
        <v/>
      </c>
      <c r="BX124" s="45" t="str">
        <f t="shared" si="102"/>
        <v/>
      </c>
      <c r="BY124" s="45" t="str">
        <f t="shared" si="102"/>
        <v/>
      </c>
      <c r="BZ124" s="45" t="str">
        <f t="shared" si="102"/>
        <v/>
      </c>
      <c r="CA124" s="45" t="str">
        <f t="shared" si="102"/>
        <v/>
      </c>
      <c r="CB124" s="45" t="str">
        <f t="shared" si="102"/>
        <v/>
      </c>
      <c r="CC124" s="45" t="str">
        <f t="shared" si="102"/>
        <v/>
      </c>
      <c r="CD124" s="45" t="str">
        <f t="shared" ref="CD124:CO124" si="103">IF(COUNTIFS($E$125:$E$134,"&lt;&gt;",$D$125:$D$134,"A",CD$125:CD$134,"&lt;&gt;")=0,"",IFERROR(SUMPRODUCT(--($E$125:$E$134&lt;&gt;""),--($D$125:$D$134="A"),$O$125:$O$134,CD$125:CD$134)/SUMPRODUCT(--($E$125:$E$134&lt;&gt;""),--($D$125:$D$134="A"),$O$125:$O$134),""))</f>
        <v/>
      </c>
      <c r="CE124" s="45" t="str">
        <f t="shared" si="103"/>
        <v/>
      </c>
      <c r="CF124" s="45" t="str">
        <f t="shared" si="103"/>
        <v/>
      </c>
      <c r="CG124" s="45" t="str">
        <f t="shared" si="103"/>
        <v/>
      </c>
      <c r="CH124" s="45" t="str">
        <f t="shared" si="103"/>
        <v/>
      </c>
      <c r="CI124" s="45" t="str">
        <f t="shared" si="103"/>
        <v/>
      </c>
      <c r="CJ124" s="45" t="str">
        <f t="shared" si="103"/>
        <v/>
      </c>
      <c r="CK124" s="45" t="str">
        <f t="shared" si="103"/>
        <v/>
      </c>
      <c r="CL124" s="45" t="str">
        <f t="shared" si="103"/>
        <v/>
      </c>
      <c r="CM124" s="45" t="str">
        <f t="shared" si="103"/>
        <v/>
      </c>
      <c r="CN124" s="45" t="str">
        <f t="shared" si="103"/>
        <v/>
      </c>
      <c r="CO124" s="45" t="str">
        <f t="shared" si="103"/>
        <v/>
      </c>
    </row>
    <row r="125" spans="1:93" outlineLevel="3" x14ac:dyDescent="0.25">
      <c r="A125" s="10" t="s">
        <v>116</v>
      </c>
      <c r="B125" s="10" t="s">
        <v>259</v>
      </c>
      <c r="C125" s="11" t="s">
        <v>260</v>
      </c>
      <c r="D125" s="12" t="s">
        <v>110</v>
      </c>
      <c r="E125" s="10" t="s">
        <v>261</v>
      </c>
      <c r="F125" s="10">
        <v>60</v>
      </c>
      <c r="G125" s="10">
        <v>60</v>
      </c>
      <c r="H125" s="10">
        <v>3</v>
      </c>
      <c r="I125" s="13">
        <v>46297.333333333343</v>
      </c>
      <c r="J125" s="13">
        <v>46310.666666666657</v>
      </c>
      <c r="K125" s="13"/>
      <c r="L125" s="13"/>
      <c r="M125" s="14">
        <f t="shared" si="61"/>
        <v>1</v>
      </c>
      <c r="N125" s="14"/>
      <c r="O125" s="16">
        <v>100000</v>
      </c>
      <c r="P125" s="15">
        <v>0.8</v>
      </c>
      <c r="Q125" s="16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>
        <v>0.13043478260869559</v>
      </c>
      <c r="BC125" s="47">
        <v>0.60869565217391297</v>
      </c>
      <c r="BD125" s="47">
        <v>0.26086956521739141</v>
      </c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</row>
    <row r="126" spans="1:93" outlineLevel="3" x14ac:dyDescent="0.25">
      <c r="A126" s="17"/>
      <c r="B126" s="17"/>
      <c r="C126" s="18"/>
      <c r="D126" s="19" t="s">
        <v>111</v>
      </c>
      <c r="E126" s="17" t="s">
        <v>261</v>
      </c>
      <c r="F126" s="17"/>
      <c r="G126" s="17"/>
      <c r="H126" s="17"/>
      <c r="I126" s="20"/>
      <c r="J126" s="20"/>
      <c r="K126" s="20"/>
      <c r="L126" s="20"/>
      <c r="M126" s="21" t="str">
        <f t="shared" si="61"/>
        <v/>
      </c>
      <c r="N126" s="21">
        <v>0</v>
      </c>
      <c r="O126" s="48">
        <f>O125</f>
        <v>100000</v>
      </c>
      <c r="P126" s="22"/>
      <c r="Q126" s="23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</row>
    <row r="127" spans="1:93" outlineLevel="3" x14ac:dyDescent="0.25">
      <c r="A127" s="10" t="s">
        <v>116</v>
      </c>
      <c r="B127" s="10" t="s">
        <v>262</v>
      </c>
      <c r="C127" s="11" t="s">
        <v>263</v>
      </c>
      <c r="D127" s="12" t="s">
        <v>110</v>
      </c>
      <c r="E127" s="10" t="s">
        <v>264</v>
      </c>
      <c r="F127" s="10">
        <v>61</v>
      </c>
      <c r="G127" s="10">
        <v>61</v>
      </c>
      <c r="H127" s="10">
        <v>3</v>
      </c>
      <c r="I127" s="13">
        <v>46311.333333333343</v>
      </c>
      <c r="J127" s="13">
        <v>46331.666666666657</v>
      </c>
      <c r="K127" s="13"/>
      <c r="L127" s="13"/>
      <c r="M127" s="14">
        <f t="shared" si="61"/>
        <v>1</v>
      </c>
      <c r="N127" s="14"/>
      <c r="O127" s="16">
        <v>100000</v>
      </c>
      <c r="P127" s="15">
        <v>0.8</v>
      </c>
      <c r="Q127" s="16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>
        <v>8.8888888888888878E-2</v>
      </c>
      <c r="BE127" s="47">
        <v>0.46666666666666662</v>
      </c>
      <c r="BF127" s="47">
        <v>0.31111111111111112</v>
      </c>
      <c r="BG127" s="47">
        <v>0.13333333333333339</v>
      </c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</row>
    <row r="128" spans="1:93" outlineLevel="3" x14ac:dyDescent="0.25">
      <c r="A128" s="17"/>
      <c r="B128" s="17"/>
      <c r="C128" s="18"/>
      <c r="D128" s="19" t="s">
        <v>111</v>
      </c>
      <c r="E128" s="17" t="s">
        <v>264</v>
      </c>
      <c r="F128" s="17"/>
      <c r="G128" s="17"/>
      <c r="H128" s="17"/>
      <c r="I128" s="20"/>
      <c r="J128" s="20"/>
      <c r="K128" s="20"/>
      <c r="L128" s="20"/>
      <c r="M128" s="21" t="str">
        <f t="shared" si="61"/>
        <v/>
      </c>
      <c r="N128" s="21">
        <v>0</v>
      </c>
      <c r="O128" s="48">
        <f>O127</f>
        <v>100000</v>
      </c>
      <c r="P128" s="22"/>
      <c r="Q128" s="23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</row>
    <row r="129" spans="1:93" outlineLevel="3" x14ac:dyDescent="0.25">
      <c r="A129" s="10" t="s">
        <v>116</v>
      </c>
      <c r="B129" s="10" t="s">
        <v>265</v>
      </c>
      <c r="C129" s="11" t="s">
        <v>266</v>
      </c>
      <c r="D129" s="12" t="s">
        <v>110</v>
      </c>
      <c r="E129" s="10" t="s">
        <v>267</v>
      </c>
      <c r="F129" s="10">
        <v>62</v>
      </c>
      <c r="G129" s="10">
        <v>62</v>
      </c>
      <c r="H129" s="10">
        <v>3</v>
      </c>
      <c r="I129" s="13">
        <v>46332.333333333343</v>
      </c>
      <c r="J129" s="13">
        <v>46352.666666666657</v>
      </c>
      <c r="K129" s="13"/>
      <c r="L129" s="13"/>
      <c r="M129" s="14">
        <f t="shared" si="61"/>
        <v>1</v>
      </c>
      <c r="N129" s="14"/>
      <c r="O129" s="16">
        <v>100000</v>
      </c>
      <c r="P129" s="15">
        <v>0.8</v>
      </c>
      <c r="Q129" s="16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>
        <v>8.8888888888888878E-2</v>
      </c>
      <c r="BH129" s="47">
        <v>0.46666666666666662</v>
      </c>
      <c r="BI129" s="47">
        <v>0.31111111111111112</v>
      </c>
      <c r="BJ129" s="47">
        <v>0.13333333333333339</v>
      </c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</row>
    <row r="130" spans="1:93" outlineLevel="3" x14ac:dyDescent="0.25">
      <c r="A130" s="17"/>
      <c r="B130" s="17"/>
      <c r="C130" s="18"/>
      <c r="D130" s="19" t="s">
        <v>111</v>
      </c>
      <c r="E130" s="17" t="s">
        <v>267</v>
      </c>
      <c r="F130" s="17"/>
      <c r="G130" s="17"/>
      <c r="H130" s="17"/>
      <c r="I130" s="20"/>
      <c r="J130" s="20"/>
      <c r="K130" s="20"/>
      <c r="L130" s="20"/>
      <c r="M130" s="21" t="str">
        <f t="shared" si="61"/>
        <v/>
      </c>
      <c r="N130" s="21">
        <v>0</v>
      </c>
      <c r="O130" s="48">
        <f>O129</f>
        <v>100000</v>
      </c>
      <c r="P130" s="22"/>
      <c r="Q130" s="23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</row>
    <row r="131" spans="1:93" outlineLevel="3" x14ac:dyDescent="0.25">
      <c r="A131" s="10" t="s">
        <v>116</v>
      </c>
      <c r="B131" s="10" t="s">
        <v>268</v>
      </c>
      <c r="C131" s="11" t="s">
        <v>269</v>
      </c>
      <c r="D131" s="12" t="s">
        <v>110</v>
      </c>
      <c r="E131" s="10" t="s">
        <v>270</v>
      </c>
      <c r="F131" s="10">
        <v>63</v>
      </c>
      <c r="G131" s="10">
        <v>63</v>
      </c>
      <c r="H131" s="10">
        <v>3</v>
      </c>
      <c r="I131" s="13">
        <v>46353.333333333343</v>
      </c>
      <c r="J131" s="13">
        <v>46364.666666666657</v>
      </c>
      <c r="K131" s="13"/>
      <c r="L131" s="13"/>
      <c r="M131" s="14">
        <f t="shared" si="61"/>
        <v>0.99999999999999989</v>
      </c>
      <c r="N131" s="14"/>
      <c r="O131" s="16">
        <v>100000</v>
      </c>
      <c r="P131" s="15">
        <v>0.8</v>
      </c>
      <c r="Q131" s="16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>
        <v>0.14285714285714279</v>
      </c>
      <c r="BK131" s="47">
        <v>0.66666666666666663</v>
      </c>
      <c r="BL131" s="47">
        <v>0.19047619047619049</v>
      </c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</row>
    <row r="132" spans="1:93" outlineLevel="3" x14ac:dyDescent="0.25">
      <c r="A132" s="17"/>
      <c r="B132" s="17"/>
      <c r="C132" s="18"/>
      <c r="D132" s="19" t="s">
        <v>111</v>
      </c>
      <c r="E132" s="17" t="s">
        <v>270</v>
      </c>
      <c r="F132" s="17"/>
      <c r="G132" s="17"/>
      <c r="H132" s="17"/>
      <c r="I132" s="20"/>
      <c r="J132" s="20"/>
      <c r="K132" s="20"/>
      <c r="L132" s="20"/>
      <c r="M132" s="21" t="str">
        <f t="shared" si="61"/>
        <v/>
      </c>
      <c r="N132" s="21">
        <v>0</v>
      </c>
      <c r="O132" s="48">
        <f>O131</f>
        <v>100000</v>
      </c>
      <c r="P132" s="22"/>
      <c r="Q132" s="23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</row>
    <row r="133" spans="1:93" outlineLevel="3" x14ac:dyDescent="0.25">
      <c r="A133" s="10" t="s">
        <v>116</v>
      </c>
      <c r="B133" s="10" t="s">
        <v>271</v>
      </c>
      <c r="C133" s="11" t="s">
        <v>272</v>
      </c>
      <c r="D133" s="12" t="s">
        <v>110</v>
      </c>
      <c r="E133" s="10" t="s">
        <v>273</v>
      </c>
      <c r="F133" s="10">
        <v>64</v>
      </c>
      <c r="G133" s="10">
        <v>64</v>
      </c>
      <c r="H133" s="10">
        <v>3</v>
      </c>
      <c r="I133" s="13">
        <v>46365.333333333343</v>
      </c>
      <c r="J133" s="13">
        <v>46373.666666666657</v>
      </c>
      <c r="K133" s="13"/>
      <c r="L133" s="13"/>
      <c r="M133" s="14">
        <f t="shared" ref="M133:M196" si="104">IF(COUNT(R133:CO133)=0,"",SUM(R133:CO133))</f>
        <v>1</v>
      </c>
      <c r="N133" s="14"/>
      <c r="O133" s="16">
        <v>100000</v>
      </c>
      <c r="P133" s="15">
        <v>0.8</v>
      </c>
      <c r="Q133" s="16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>
        <v>0.33333333333333343</v>
      </c>
      <c r="BM133" s="47">
        <v>0.66666666666666663</v>
      </c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</row>
    <row r="134" spans="1:93" outlineLevel="3" x14ac:dyDescent="0.25">
      <c r="A134" s="17"/>
      <c r="B134" s="17"/>
      <c r="C134" s="18"/>
      <c r="D134" s="19" t="s">
        <v>111</v>
      </c>
      <c r="E134" s="17" t="s">
        <v>273</v>
      </c>
      <c r="F134" s="17"/>
      <c r="G134" s="17"/>
      <c r="H134" s="17"/>
      <c r="I134" s="20"/>
      <c r="J134" s="20"/>
      <c r="K134" s="20"/>
      <c r="L134" s="20"/>
      <c r="M134" s="21" t="str">
        <f t="shared" si="104"/>
        <v/>
      </c>
      <c r="N134" s="21">
        <v>0</v>
      </c>
      <c r="O134" s="48">
        <f>O133</f>
        <v>100000</v>
      </c>
      <c r="P134" s="22"/>
      <c r="Q134" s="23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</row>
    <row r="135" spans="1:93" outlineLevel="2" x14ac:dyDescent="0.25">
      <c r="A135" s="1" t="s">
        <v>92</v>
      </c>
      <c r="B135" s="1" t="s">
        <v>274</v>
      </c>
      <c r="C135" s="6" t="s">
        <v>275</v>
      </c>
      <c r="D135" s="8" t="s">
        <v>110</v>
      </c>
      <c r="E135" s="1"/>
      <c r="F135" s="1">
        <v>65</v>
      </c>
      <c r="G135" s="1">
        <v>65</v>
      </c>
      <c r="H135" s="1">
        <v>2</v>
      </c>
      <c r="I135" s="9">
        <v>46374.333333333343</v>
      </c>
      <c r="J135" s="9">
        <v>46408.666666666657</v>
      </c>
      <c r="K135" s="9"/>
      <c r="L135" s="9"/>
      <c r="M135" s="3">
        <f t="shared" si="104"/>
        <v>0.99999999999999989</v>
      </c>
      <c r="N135" s="3"/>
      <c r="O135" s="5">
        <f>SUMIFS($O$136:$O$147,$A$136:$A$147,"Activity",$D$136:$D$147,"P")</f>
        <v>600000</v>
      </c>
      <c r="P135" s="4"/>
      <c r="Q135" s="5"/>
      <c r="R135" s="45" t="str">
        <f t="shared" ref="R135:AW135" si="105">IF(COUNTIFS($A$137:$A$148,"Activity",$D$137:$D$148,"P",R$137:R$148,"&lt;&gt;")=0,"",IFERROR(SUMPRODUCT(--($A$137:$A$148="Activity"),--($D$137:$D$148="P"),$O$137:$O$148,R$137:R$148)/SUMPRODUCT(--($A$137:$A$148="Activity"),--($D$137:$D$148="P"),$O$137:$O$148),""))</f>
        <v/>
      </c>
      <c r="S135" s="45" t="str">
        <f t="shared" si="105"/>
        <v/>
      </c>
      <c r="T135" s="45" t="str">
        <f t="shared" si="105"/>
        <v/>
      </c>
      <c r="U135" s="45" t="str">
        <f t="shared" si="105"/>
        <v/>
      </c>
      <c r="V135" s="45" t="str">
        <f t="shared" si="105"/>
        <v/>
      </c>
      <c r="W135" s="45" t="str">
        <f t="shared" si="105"/>
        <v/>
      </c>
      <c r="X135" s="45" t="str">
        <f t="shared" si="105"/>
        <v/>
      </c>
      <c r="Y135" s="45" t="str">
        <f t="shared" si="105"/>
        <v/>
      </c>
      <c r="Z135" s="45" t="str">
        <f t="shared" si="105"/>
        <v/>
      </c>
      <c r="AA135" s="45" t="str">
        <f t="shared" si="105"/>
        <v/>
      </c>
      <c r="AB135" s="45" t="str">
        <f t="shared" si="105"/>
        <v/>
      </c>
      <c r="AC135" s="45" t="str">
        <f t="shared" si="105"/>
        <v/>
      </c>
      <c r="AD135" s="45" t="str">
        <f t="shared" si="105"/>
        <v/>
      </c>
      <c r="AE135" s="45" t="str">
        <f t="shared" si="105"/>
        <v/>
      </c>
      <c r="AF135" s="45" t="str">
        <f t="shared" si="105"/>
        <v/>
      </c>
      <c r="AG135" s="45" t="str">
        <f t="shared" si="105"/>
        <v/>
      </c>
      <c r="AH135" s="45" t="str">
        <f t="shared" si="105"/>
        <v/>
      </c>
      <c r="AI135" s="45" t="str">
        <f t="shared" si="105"/>
        <v/>
      </c>
      <c r="AJ135" s="45" t="str">
        <f t="shared" si="105"/>
        <v/>
      </c>
      <c r="AK135" s="45" t="str">
        <f t="shared" si="105"/>
        <v/>
      </c>
      <c r="AL135" s="45" t="str">
        <f t="shared" si="105"/>
        <v/>
      </c>
      <c r="AM135" s="45" t="str">
        <f t="shared" si="105"/>
        <v/>
      </c>
      <c r="AN135" s="45" t="str">
        <f t="shared" si="105"/>
        <v/>
      </c>
      <c r="AO135" s="45" t="str">
        <f t="shared" si="105"/>
        <v/>
      </c>
      <c r="AP135" s="45" t="str">
        <f t="shared" si="105"/>
        <v/>
      </c>
      <c r="AQ135" s="45" t="str">
        <f t="shared" si="105"/>
        <v/>
      </c>
      <c r="AR135" s="45" t="str">
        <f t="shared" si="105"/>
        <v/>
      </c>
      <c r="AS135" s="45" t="str">
        <f t="shared" si="105"/>
        <v/>
      </c>
      <c r="AT135" s="45" t="str">
        <f t="shared" si="105"/>
        <v/>
      </c>
      <c r="AU135" s="45" t="str">
        <f t="shared" si="105"/>
        <v/>
      </c>
      <c r="AV135" s="45" t="str">
        <f t="shared" si="105"/>
        <v/>
      </c>
      <c r="AW135" s="45" t="str">
        <f t="shared" si="105"/>
        <v/>
      </c>
      <c r="AX135" s="45" t="str">
        <f t="shared" ref="AX135:CC135" si="106">IF(COUNTIFS($A$137:$A$148,"Activity",$D$137:$D$148,"P",AX$137:AX$148,"&lt;&gt;")=0,"",IFERROR(SUMPRODUCT(--($A$137:$A$148="Activity"),--($D$137:$D$148="P"),$O$137:$O$148,AX$137:AX$148)/SUMPRODUCT(--($A$137:$A$148="Activity"),--($D$137:$D$148="P"),$O$137:$O$148),""))</f>
        <v/>
      </c>
      <c r="AY135" s="45" t="str">
        <f t="shared" si="106"/>
        <v/>
      </c>
      <c r="AZ135" s="45" t="str">
        <f t="shared" si="106"/>
        <v/>
      </c>
      <c r="BA135" s="45" t="str">
        <f t="shared" si="106"/>
        <v/>
      </c>
      <c r="BB135" s="45" t="str">
        <f t="shared" si="106"/>
        <v/>
      </c>
      <c r="BC135" s="45" t="str">
        <f t="shared" si="106"/>
        <v/>
      </c>
      <c r="BD135" s="45" t="str">
        <f t="shared" si="106"/>
        <v/>
      </c>
      <c r="BE135" s="45" t="str">
        <f t="shared" si="106"/>
        <v/>
      </c>
      <c r="BF135" s="45" t="str">
        <f t="shared" si="106"/>
        <v/>
      </c>
      <c r="BG135" s="45" t="str">
        <f t="shared" si="106"/>
        <v/>
      </c>
      <c r="BH135" s="45" t="str">
        <f t="shared" si="106"/>
        <v/>
      </c>
      <c r="BI135" s="45" t="str">
        <f t="shared" si="106"/>
        <v/>
      </c>
      <c r="BJ135" s="45" t="str">
        <f t="shared" si="106"/>
        <v/>
      </c>
      <c r="BK135" s="45" t="str">
        <f t="shared" si="106"/>
        <v/>
      </c>
      <c r="BL135" s="45" t="str">
        <f t="shared" si="106"/>
        <v/>
      </c>
      <c r="BM135" s="45">
        <f t="shared" si="106"/>
        <v>2.904040404040404E-2</v>
      </c>
      <c r="BN135" s="45">
        <f t="shared" si="106"/>
        <v>0.20328282828282826</v>
      </c>
      <c r="BO135" s="45">
        <f t="shared" si="106"/>
        <v>0.23063973063973064</v>
      </c>
      <c r="BP135" s="45">
        <f t="shared" si="106"/>
        <v>0.25264550264550262</v>
      </c>
      <c r="BQ135" s="45">
        <f t="shared" si="106"/>
        <v>0.21296296296296294</v>
      </c>
      <c r="BR135" s="45">
        <f t="shared" si="106"/>
        <v>7.1428571428571438E-2</v>
      </c>
      <c r="BS135" s="45" t="str">
        <f t="shared" si="106"/>
        <v/>
      </c>
      <c r="BT135" s="45" t="str">
        <f t="shared" si="106"/>
        <v/>
      </c>
      <c r="BU135" s="45" t="str">
        <f t="shared" si="106"/>
        <v/>
      </c>
      <c r="BV135" s="45" t="str">
        <f t="shared" si="106"/>
        <v/>
      </c>
      <c r="BW135" s="45" t="str">
        <f t="shared" si="106"/>
        <v/>
      </c>
      <c r="BX135" s="45" t="str">
        <f t="shared" si="106"/>
        <v/>
      </c>
      <c r="BY135" s="45" t="str">
        <f t="shared" si="106"/>
        <v/>
      </c>
      <c r="BZ135" s="45" t="str">
        <f t="shared" si="106"/>
        <v/>
      </c>
      <c r="CA135" s="45" t="str">
        <f t="shared" si="106"/>
        <v/>
      </c>
      <c r="CB135" s="45" t="str">
        <f t="shared" si="106"/>
        <v/>
      </c>
      <c r="CC135" s="45" t="str">
        <f t="shared" si="106"/>
        <v/>
      </c>
      <c r="CD135" s="45" t="str">
        <f t="shared" ref="CD135:CO135" si="107">IF(COUNTIFS($A$137:$A$148,"Activity",$D$137:$D$148,"P",CD$137:CD$148,"&lt;&gt;")=0,"",IFERROR(SUMPRODUCT(--($A$137:$A$148="Activity"),--($D$137:$D$148="P"),$O$137:$O$148,CD$137:CD$148)/SUMPRODUCT(--($A$137:$A$148="Activity"),--($D$137:$D$148="P"),$O$137:$O$148),""))</f>
        <v/>
      </c>
      <c r="CE135" s="45" t="str">
        <f t="shared" si="107"/>
        <v/>
      </c>
      <c r="CF135" s="45" t="str">
        <f t="shared" si="107"/>
        <v/>
      </c>
      <c r="CG135" s="45" t="str">
        <f t="shared" si="107"/>
        <v/>
      </c>
      <c r="CH135" s="45" t="str">
        <f t="shared" si="107"/>
        <v/>
      </c>
      <c r="CI135" s="45" t="str">
        <f t="shared" si="107"/>
        <v/>
      </c>
      <c r="CJ135" s="45" t="str">
        <f t="shared" si="107"/>
        <v/>
      </c>
      <c r="CK135" s="45" t="str">
        <f t="shared" si="107"/>
        <v/>
      </c>
      <c r="CL135" s="45" t="str">
        <f t="shared" si="107"/>
        <v/>
      </c>
      <c r="CM135" s="45" t="str">
        <f t="shared" si="107"/>
        <v/>
      </c>
      <c r="CN135" s="45" t="str">
        <f t="shared" si="107"/>
        <v/>
      </c>
      <c r="CO135" s="45" t="str">
        <f t="shared" si="107"/>
        <v/>
      </c>
    </row>
    <row r="136" spans="1:93" outlineLevel="2" x14ac:dyDescent="0.25">
      <c r="A136" s="1"/>
      <c r="B136" s="1"/>
      <c r="C136" s="6"/>
      <c r="D136" s="8" t="s">
        <v>111</v>
      </c>
      <c r="E136" s="1"/>
      <c r="F136" s="1"/>
      <c r="G136" s="1"/>
      <c r="H136" s="1"/>
      <c r="I136" s="9"/>
      <c r="J136" s="9"/>
      <c r="K136" s="9"/>
      <c r="L136" s="9"/>
      <c r="M136" s="3" t="str">
        <f t="shared" si="104"/>
        <v/>
      </c>
      <c r="N136" s="3"/>
      <c r="O136" s="46">
        <f>O135</f>
        <v>600000</v>
      </c>
      <c r="P136" s="4"/>
      <c r="Q136" s="5"/>
      <c r="R136" s="45" t="str">
        <f t="shared" ref="R136:AW136" si="108">IF(COUNTIFS($E$137:$E$148,"&lt;&gt;",$D$137:$D$148,"A",R$137:R$148,"&lt;&gt;")=0,"",IFERROR(SUMPRODUCT(--($E$137:$E$148&lt;&gt;""),--($D$137:$D$148="A"),$O$137:$O$148,R$137:R$148)/SUMPRODUCT(--($E$137:$E$148&lt;&gt;""),--($D$137:$D$148="A"),$O$137:$O$148),""))</f>
        <v/>
      </c>
      <c r="S136" s="45" t="str">
        <f t="shared" si="108"/>
        <v/>
      </c>
      <c r="T136" s="45" t="str">
        <f t="shared" si="108"/>
        <v/>
      </c>
      <c r="U136" s="45" t="str">
        <f t="shared" si="108"/>
        <v/>
      </c>
      <c r="V136" s="45" t="str">
        <f t="shared" si="108"/>
        <v/>
      </c>
      <c r="W136" s="45" t="str">
        <f t="shared" si="108"/>
        <v/>
      </c>
      <c r="X136" s="45" t="str">
        <f t="shared" si="108"/>
        <v/>
      </c>
      <c r="Y136" s="45" t="str">
        <f t="shared" si="108"/>
        <v/>
      </c>
      <c r="Z136" s="45" t="str">
        <f t="shared" si="108"/>
        <v/>
      </c>
      <c r="AA136" s="45" t="str">
        <f t="shared" si="108"/>
        <v/>
      </c>
      <c r="AB136" s="45" t="str">
        <f t="shared" si="108"/>
        <v/>
      </c>
      <c r="AC136" s="45" t="str">
        <f t="shared" si="108"/>
        <v/>
      </c>
      <c r="AD136" s="45" t="str">
        <f t="shared" si="108"/>
        <v/>
      </c>
      <c r="AE136" s="45" t="str">
        <f t="shared" si="108"/>
        <v/>
      </c>
      <c r="AF136" s="45" t="str">
        <f t="shared" si="108"/>
        <v/>
      </c>
      <c r="AG136" s="45" t="str">
        <f t="shared" si="108"/>
        <v/>
      </c>
      <c r="AH136" s="45" t="str">
        <f t="shared" si="108"/>
        <v/>
      </c>
      <c r="AI136" s="45" t="str">
        <f t="shared" si="108"/>
        <v/>
      </c>
      <c r="AJ136" s="45" t="str">
        <f t="shared" si="108"/>
        <v/>
      </c>
      <c r="AK136" s="45" t="str">
        <f t="shared" si="108"/>
        <v/>
      </c>
      <c r="AL136" s="45" t="str">
        <f t="shared" si="108"/>
        <v/>
      </c>
      <c r="AM136" s="45" t="str">
        <f t="shared" si="108"/>
        <v/>
      </c>
      <c r="AN136" s="45" t="str">
        <f t="shared" si="108"/>
        <v/>
      </c>
      <c r="AO136" s="45" t="str">
        <f t="shared" si="108"/>
        <v/>
      </c>
      <c r="AP136" s="45" t="str">
        <f t="shared" si="108"/>
        <v/>
      </c>
      <c r="AQ136" s="45" t="str">
        <f t="shared" si="108"/>
        <v/>
      </c>
      <c r="AR136" s="45" t="str">
        <f t="shared" si="108"/>
        <v/>
      </c>
      <c r="AS136" s="45" t="str">
        <f t="shared" si="108"/>
        <v/>
      </c>
      <c r="AT136" s="45" t="str">
        <f t="shared" si="108"/>
        <v/>
      </c>
      <c r="AU136" s="45" t="str">
        <f t="shared" si="108"/>
        <v/>
      </c>
      <c r="AV136" s="45" t="str">
        <f t="shared" si="108"/>
        <v/>
      </c>
      <c r="AW136" s="45" t="str">
        <f t="shared" si="108"/>
        <v/>
      </c>
      <c r="AX136" s="45" t="str">
        <f t="shared" ref="AX136:CC136" si="109">IF(COUNTIFS($E$137:$E$148,"&lt;&gt;",$D$137:$D$148,"A",AX$137:AX$148,"&lt;&gt;")=0,"",IFERROR(SUMPRODUCT(--($E$137:$E$148&lt;&gt;""),--($D$137:$D$148="A"),$O$137:$O$148,AX$137:AX$148)/SUMPRODUCT(--($E$137:$E$148&lt;&gt;""),--($D$137:$D$148="A"),$O$137:$O$148),""))</f>
        <v/>
      </c>
      <c r="AY136" s="45" t="str">
        <f t="shared" si="109"/>
        <v/>
      </c>
      <c r="AZ136" s="45" t="str">
        <f t="shared" si="109"/>
        <v/>
      </c>
      <c r="BA136" s="45" t="str">
        <f t="shared" si="109"/>
        <v/>
      </c>
      <c r="BB136" s="45" t="str">
        <f t="shared" si="109"/>
        <v/>
      </c>
      <c r="BC136" s="45" t="str">
        <f t="shared" si="109"/>
        <v/>
      </c>
      <c r="BD136" s="45" t="str">
        <f t="shared" si="109"/>
        <v/>
      </c>
      <c r="BE136" s="45" t="str">
        <f t="shared" si="109"/>
        <v/>
      </c>
      <c r="BF136" s="45" t="str">
        <f t="shared" si="109"/>
        <v/>
      </c>
      <c r="BG136" s="45" t="str">
        <f t="shared" si="109"/>
        <v/>
      </c>
      <c r="BH136" s="45" t="str">
        <f t="shared" si="109"/>
        <v/>
      </c>
      <c r="BI136" s="45" t="str">
        <f t="shared" si="109"/>
        <v/>
      </c>
      <c r="BJ136" s="45" t="str">
        <f t="shared" si="109"/>
        <v/>
      </c>
      <c r="BK136" s="45" t="str">
        <f t="shared" si="109"/>
        <v/>
      </c>
      <c r="BL136" s="45" t="str">
        <f t="shared" si="109"/>
        <v/>
      </c>
      <c r="BM136" s="45" t="str">
        <f t="shared" si="109"/>
        <v/>
      </c>
      <c r="BN136" s="45" t="str">
        <f t="shared" si="109"/>
        <v/>
      </c>
      <c r="BO136" s="45" t="str">
        <f t="shared" si="109"/>
        <v/>
      </c>
      <c r="BP136" s="45" t="str">
        <f t="shared" si="109"/>
        <v/>
      </c>
      <c r="BQ136" s="45" t="str">
        <f t="shared" si="109"/>
        <v/>
      </c>
      <c r="BR136" s="45" t="str">
        <f t="shared" si="109"/>
        <v/>
      </c>
      <c r="BS136" s="45" t="str">
        <f t="shared" si="109"/>
        <v/>
      </c>
      <c r="BT136" s="45" t="str">
        <f t="shared" si="109"/>
        <v/>
      </c>
      <c r="BU136" s="45" t="str">
        <f t="shared" si="109"/>
        <v/>
      </c>
      <c r="BV136" s="45" t="str">
        <f t="shared" si="109"/>
        <v/>
      </c>
      <c r="BW136" s="45" t="str">
        <f t="shared" si="109"/>
        <v/>
      </c>
      <c r="BX136" s="45" t="str">
        <f t="shared" si="109"/>
        <v/>
      </c>
      <c r="BY136" s="45" t="str">
        <f t="shared" si="109"/>
        <v/>
      </c>
      <c r="BZ136" s="45" t="str">
        <f t="shared" si="109"/>
        <v/>
      </c>
      <c r="CA136" s="45" t="str">
        <f t="shared" si="109"/>
        <v/>
      </c>
      <c r="CB136" s="45" t="str">
        <f t="shared" si="109"/>
        <v/>
      </c>
      <c r="CC136" s="45" t="str">
        <f t="shared" si="109"/>
        <v/>
      </c>
      <c r="CD136" s="45" t="str">
        <f t="shared" ref="CD136:CO136" si="110">IF(COUNTIFS($E$137:$E$148,"&lt;&gt;",$D$137:$D$148,"A",CD$137:CD$148,"&lt;&gt;")=0,"",IFERROR(SUMPRODUCT(--($E$137:$E$148&lt;&gt;""),--($D$137:$D$148="A"),$O$137:$O$148,CD$137:CD$148)/SUMPRODUCT(--($E$137:$E$148&lt;&gt;""),--($D$137:$D$148="A"),$O$137:$O$148),""))</f>
        <v/>
      </c>
      <c r="CE136" s="45" t="str">
        <f t="shared" si="110"/>
        <v/>
      </c>
      <c r="CF136" s="45" t="str">
        <f t="shared" si="110"/>
        <v/>
      </c>
      <c r="CG136" s="45" t="str">
        <f t="shared" si="110"/>
        <v/>
      </c>
      <c r="CH136" s="45" t="str">
        <f t="shared" si="110"/>
        <v/>
      </c>
      <c r="CI136" s="45" t="str">
        <f t="shared" si="110"/>
        <v/>
      </c>
      <c r="CJ136" s="45" t="str">
        <f t="shared" si="110"/>
        <v/>
      </c>
      <c r="CK136" s="45" t="str">
        <f t="shared" si="110"/>
        <v/>
      </c>
      <c r="CL136" s="45" t="str">
        <f t="shared" si="110"/>
        <v/>
      </c>
      <c r="CM136" s="45" t="str">
        <f t="shared" si="110"/>
        <v/>
      </c>
      <c r="CN136" s="45" t="str">
        <f t="shared" si="110"/>
        <v/>
      </c>
      <c r="CO136" s="45" t="str">
        <f t="shared" si="110"/>
        <v/>
      </c>
    </row>
    <row r="137" spans="1:93" outlineLevel="3" x14ac:dyDescent="0.25">
      <c r="A137" s="10" t="s">
        <v>116</v>
      </c>
      <c r="B137" s="10" t="s">
        <v>276</v>
      </c>
      <c r="C137" s="11" t="s">
        <v>277</v>
      </c>
      <c r="D137" s="12" t="s">
        <v>110</v>
      </c>
      <c r="E137" s="10" t="s">
        <v>278</v>
      </c>
      <c r="F137" s="10">
        <v>66</v>
      </c>
      <c r="G137" s="10">
        <v>66</v>
      </c>
      <c r="H137" s="10">
        <v>3</v>
      </c>
      <c r="I137" s="13">
        <v>46374.333333333343</v>
      </c>
      <c r="J137" s="13">
        <v>46385.666666666657</v>
      </c>
      <c r="K137" s="13"/>
      <c r="L137" s="13"/>
      <c r="M137" s="14">
        <f t="shared" si="104"/>
        <v>1</v>
      </c>
      <c r="N137" s="14"/>
      <c r="O137" s="16">
        <v>100000</v>
      </c>
      <c r="P137" s="15">
        <v>12.266666666666669</v>
      </c>
      <c r="Q137" s="16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>
        <v>8.3333333333333329E-2</v>
      </c>
      <c r="BN137" s="47">
        <v>0.58333333333333337</v>
      </c>
      <c r="BO137" s="47">
        <v>0.33333333333333331</v>
      </c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</row>
    <row r="138" spans="1:93" outlineLevel="3" x14ac:dyDescent="0.25">
      <c r="A138" s="17"/>
      <c r="B138" s="17"/>
      <c r="C138" s="18"/>
      <c r="D138" s="19" t="s">
        <v>111</v>
      </c>
      <c r="E138" s="17" t="s">
        <v>278</v>
      </c>
      <c r="F138" s="17"/>
      <c r="G138" s="17"/>
      <c r="H138" s="17"/>
      <c r="I138" s="20"/>
      <c r="J138" s="20"/>
      <c r="K138" s="20"/>
      <c r="L138" s="20"/>
      <c r="M138" s="21" t="str">
        <f t="shared" si="104"/>
        <v/>
      </c>
      <c r="N138" s="21">
        <v>0</v>
      </c>
      <c r="O138" s="48">
        <f>O137</f>
        <v>100000</v>
      </c>
      <c r="P138" s="22"/>
      <c r="Q138" s="23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</row>
    <row r="139" spans="1:93" outlineLevel="3" x14ac:dyDescent="0.25">
      <c r="A139" s="10" t="s">
        <v>116</v>
      </c>
      <c r="B139" s="10" t="s">
        <v>279</v>
      </c>
      <c r="C139" s="11" t="s">
        <v>280</v>
      </c>
      <c r="D139" s="12" t="s">
        <v>110</v>
      </c>
      <c r="E139" s="10" t="s">
        <v>281</v>
      </c>
      <c r="F139" s="10">
        <v>67</v>
      </c>
      <c r="G139" s="10">
        <v>67</v>
      </c>
      <c r="H139" s="10">
        <v>3</v>
      </c>
      <c r="I139" s="13">
        <v>46386.333333333343</v>
      </c>
      <c r="J139" s="13">
        <v>46394.666666666657</v>
      </c>
      <c r="K139" s="13"/>
      <c r="L139" s="13"/>
      <c r="M139" s="14">
        <f t="shared" si="104"/>
        <v>1</v>
      </c>
      <c r="N139" s="14"/>
      <c r="O139" s="16">
        <v>100000</v>
      </c>
      <c r="P139" s="15">
        <v>12.266666666666669</v>
      </c>
      <c r="Q139" s="16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>
        <v>0.33333333333333343</v>
      </c>
      <c r="BP139" s="47">
        <v>0.66666666666666663</v>
      </c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</row>
    <row r="140" spans="1:93" outlineLevel="3" x14ac:dyDescent="0.25">
      <c r="A140" s="17"/>
      <c r="B140" s="17"/>
      <c r="C140" s="18"/>
      <c r="D140" s="19" t="s">
        <v>111</v>
      </c>
      <c r="E140" s="17" t="s">
        <v>281</v>
      </c>
      <c r="F140" s="17"/>
      <c r="G140" s="17"/>
      <c r="H140" s="17"/>
      <c r="I140" s="20"/>
      <c r="J140" s="20"/>
      <c r="K140" s="20"/>
      <c r="L140" s="20"/>
      <c r="M140" s="21" t="str">
        <f t="shared" si="104"/>
        <v/>
      </c>
      <c r="N140" s="21">
        <v>0</v>
      </c>
      <c r="O140" s="48">
        <f>O139</f>
        <v>100000</v>
      </c>
      <c r="P140" s="22"/>
      <c r="Q140" s="23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</row>
    <row r="141" spans="1:93" outlineLevel="3" x14ac:dyDescent="0.25">
      <c r="A141" s="10" t="s">
        <v>116</v>
      </c>
      <c r="B141" s="10" t="s">
        <v>282</v>
      </c>
      <c r="C141" s="11" t="s">
        <v>283</v>
      </c>
      <c r="D141" s="12" t="s">
        <v>110</v>
      </c>
      <c r="E141" s="10" t="s">
        <v>284</v>
      </c>
      <c r="F141" s="10">
        <v>68</v>
      </c>
      <c r="G141" s="10">
        <v>68</v>
      </c>
      <c r="H141" s="10">
        <v>3</v>
      </c>
      <c r="I141" s="13">
        <v>46395.333333333343</v>
      </c>
      <c r="J141" s="13">
        <v>46408.666666666657</v>
      </c>
      <c r="K141" s="13"/>
      <c r="L141" s="13"/>
      <c r="M141" s="14">
        <f t="shared" si="104"/>
        <v>0.99999999999999989</v>
      </c>
      <c r="N141" s="14"/>
      <c r="O141" s="16">
        <v>100000</v>
      </c>
      <c r="P141" s="15">
        <v>12.266666666666669</v>
      </c>
      <c r="Q141" s="16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>
        <v>7.1428571428571411E-2</v>
      </c>
      <c r="BQ141" s="47">
        <v>0.49999999999999989</v>
      </c>
      <c r="BR141" s="47">
        <v>0.4285714285714286</v>
      </c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</row>
    <row r="142" spans="1:93" outlineLevel="3" x14ac:dyDescent="0.25">
      <c r="A142" s="17"/>
      <c r="B142" s="17"/>
      <c r="C142" s="18"/>
      <c r="D142" s="19" t="s">
        <v>111</v>
      </c>
      <c r="E142" s="17" t="s">
        <v>284</v>
      </c>
      <c r="F142" s="17"/>
      <c r="G142" s="17"/>
      <c r="H142" s="17"/>
      <c r="I142" s="20"/>
      <c r="J142" s="20"/>
      <c r="K142" s="20"/>
      <c r="L142" s="20"/>
      <c r="M142" s="21" t="str">
        <f t="shared" si="104"/>
        <v/>
      </c>
      <c r="N142" s="21">
        <v>0</v>
      </c>
      <c r="O142" s="48">
        <f>O141</f>
        <v>100000</v>
      </c>
      <c r="P142" s="22"/>
      <c r="Q142" s="23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</row>
    <row r="143" spans="1:93" outlineLevel="3" x14ac:dyDescent="0.25">
      <c r="A143" s="10" t="s">
        <v>116</v>
      </c>
      <c r="B143" s="10" t="s">
        <v>285</v>
      </c>
      <c r="C143" s="11" t="s">
        <v>286</v>
      </c>
      <c r="D143" s="12" t="s">
        <v>110</v>
      </c>
      <c r="E143" s="10" t="s">
        <v>287</v>
      </c>
      <c r="F143" s="10">
        <v>69</v>
      </c>
      <c r="G143" s="10">
        <v>69</v>
      </c>
      <c r="H143" s="10">
        <v>3</v>
      </c>
      <c r="I143" s="13">
        <v>46374.333333333343</v>
      </c>
      <c r="J143" s="13">
        <v>46384.666666666657</v>
      </c>
      <c r="K143" s="13"/>
      <c r="L143" s="13"/>
      <c r="M143" s="14">
        <f t="shared" si="104"/>
        <v>1</v>
      </c>
      <c r="N143" s="14"/>
      <c r="O143" s="16">
        <v>100000</v>
      </c>
      <c r="P143" s="15">
        <v>0.8</v>
      </c>
      <c r="Q143" s="16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>
        <v>9.0909090909090898E-2</v>
      </c>
      <c r="BN143" s="47">
        <v>0.63636363636363624</v>
      </c>
      <c r="BO143" s="47">
        <v>0.27272727272727282</v>
      </c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</row>
    <row r="144" spans="1:93" outlineLevel="3" x14ac:dyDescent="0.25">
      <c r="A144" s="17"/>
      <c r="B144" s="17"/>
      <c r="C144" s="18"/>
      <c r="D144" s="19" t="s">
        <v>111</v>
      </c>
      <c r="E144" s="17" t="s">
        <v>287</v>
      </c>
      <c r="F144" s="17"/>
      <c r="G144" s="17"/>
      <c r="H144" s="17"/>
      <c r="I144" s="20"/>
      <c r="J144" s="20"/>
      <c r="K144" s="20"/>
      <c r="L144" s="20"/>
      <c r="M144" s="21" t="str">
        <f t="shared" si="104"/>
        <v/>
      </c>
      <c r="N144" s="21">
        <v>0</v>
      </c>
      <c r="O144" s="48">
        <f>O143</f>
        <v>100000</v>
      </c>
      <c r="P144" s="22"/>
      <c r="Q144" s="23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</row>
    <row r="145" spans="1:93" outlineLevel="3" x14ac:dyDescent="0.25">
      <c r="A145" s="10" t="s">
        <v>116</v>
      </c>
      <c r="B145" s="10" t="s">
        <v>288</v>
      </c>
      <c r="C145" s="11" t="s">
        <v>289</v>
      </c>
      <c r="D145" s="12" t="s">
        <v>110</v>
      </c>
      <c r="E145" s="10" t="s">
        <v>290</v>
      </c>
      <c r="F145" s="10">
        <v>70</v>
      </c>
      <c r="G145" s="10">
        <v>70</v>
      </c>
      <c r="H145" s="10">
        <v>3</v>
      </c>
      <c r="I145" s="13">
        <v>46385.333333333343</v>
      </c>
      <c r="J145" s="13">
        <v>46393.666666666657</v>
      </c>
      <c r="K145" s="13"/>
      <c r="L145" s="13"/>
      <c r="M145" s="14">
        <f t="shared" si="104"/>
        <v>1</v>
      </c>
      <c r="N145" s="14"/>
      <c r="O145" s="16">
        <v>100000</v>
      </c>
      <c r="P145" s="15">
        <v>0.8</v>
      </c>
      <c r="Q145" s="16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>
        <v>0.44444444444444448</v>
      </c>
      <c r="BP145" s="47">
        <v>0.55555555555555558</v>
      </c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</row>
    <row r="146" spans="1:93" outlineLevel="3" x14ac:dyDescent="0.25">
      <c r="A146" s="17"/>
      <c r="B146" s="17"/>
      <c r="C146" s="18"/>
      <c r="D146" s="19" t="s">
        <v>111</v>
      </c>
      <c r="E146" s="17" t="s">
        <v>290</v>
      </c>
      <c r="F146" s="17"/>
      <c r="G146" s="17"/>
      <c r="H146" s="17"/>
      <c r="I146" s="20"/>
      <c r="J146" s="20"/>
      <c r="K146" s="20"/>
      <c r="L146" s="20"/>
      <c r="M146" s="21" t="str">
        <f t="shared" si="104"/>
        <v/>
      </c>
      <c r="N146" s="21">
        <v>0</v>
      </c>
      <c r="O146" s="48">
        <f>O145</f>
        <v>100000</v>
      </c>
      <c r="P146" s="22"/>
      <c r="Q146" s="23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</row>
    <row r="147" spans="1:93" outlineLevel="3" x14ac:dyDescent="0.25">
      <c r="A147" s="10" t="s">
        <v>116</v>
      </c>
      <c r="B147" s="10" t="s">
        <v>291</v>
      </c>
      <c r="C147" s="11" t="s">
        <v>292</v>
      </c>
      <c r="D147" s="12" t="s">
        <v>110</v>
      </c>
      <c r="E147" s="10" t="s">
        <v>293</v>
      </c>
      <c r="F147" s="10">
        <v>71</v>
      </c>
      <c r="G147" s="10">
        <v>71</v>
      </c>
      <c r="H147" s="10">
        <v>3</v>
      </c>
      <c r="I147" s="13">
        <v>46394.333333333343</v>
      </c>
      <c r="J147" s="13">
        <v>46402.666666666657</v>
      </c>
      <c r="K147" s="13"/>
      <c r="L147" s="13"/>
      <c r="M147" s="14">
        <f t="shared" si="104"/>
        <v>1</v>
      </c>
      <c r="N147" s="14"/>
      <c r="O147" s="16">
        <v>100000</v>
      </c>
      <c r="P147" s="15">
        <v>0.8</v>
      </c>
      <c r="Q147" s="16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>
        <v>0.22222222222222221</v>
      </c>
      <c r="BQ147" s="47">
        <v>0.77777777777777779</v>
      </c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</row>
    <row r="148" spans="1:93" outlineLevel="3" x14ac:dyDescent="0.25">
      <c r="A148" s="17"/>
      <c r="B148" s="17"/>
      <c r="C148" s="18"/>
      <c r="D148" s="19" t="s">
        <v>111</v>
      </c>
      <c r="E148" s="17" t="s">
        <v>293</v>
      </c>
      <c r="F148" s="17"/>
      <c r="G148" s="17"/>
      <c r="H148" s="17"/>
      <c r="I148" s="20"/>
      <c r="J148" s="20"/>
      <c r="K148" s="20"/>
      <c r="L148" s="20"/>
      <c r="M148" s="21" t="str">
        <f t="shared" si="104"/>
        <v/>
      </c>
      <c r="N148" s="21">
        <v>0</v>
      </c>
      <c r="O148" s="48">
        <f>O147</f>
        <v>100000</v>
      </c>
      <c r="P148" s="22"/>
      <c r="Q148" s="23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</row>
    <row r="149" spans="1:93" outlineLevel="1" x14ac:dyDescent="0.25">
      <c r="A149" s="1" t="s">
        <v>92</v>
      </c>
      <c r="B149" s="1" t="s">
        <v>294</v>
      </c>
      <c r="C149" s="2" t="s">
        <v>295</v>
      </c>
      <c r="D149" s="8" t="s">
        <v>110</v>
      </c>
      <c r="E149" s="1"/>
      <c r="F149" s="1">
        <v>72</v>
      </c>
      <c r="G149" s="1">
        <v>72</v>
      </c>
      <c r="H149" s="1">
        <v>1</v>
      </c>
      <c r="I149" s="9">
        <v>46266.333333333343</v>
      </c>
      <c r="J149" s="9">
        <v>46538.666666666657</v>
      </c>
      <c r="K149" s="9"/>
      <c r="L149" s="9"/>
      <c r="M149" s="3">
        <f t="shared" si="104"/>
        <v>0.99999999999999978</v>
      </c>
      <c r="N149" s="3"/>
      <c r="O149" s="5">
        <f>SUMIFS($O$150:$O$387,$A$150:$A$387,"Activity",$D$150:$D$387,"P")</f>
        <v>8000000</v>
      </c>
      <c r="P149" s="4"/>
      <c r="Q149" s="5"/>
      <c r="R149" s="45" t="str">
        <f t="shared" ref="R149:AW149" si="111">IF(COUNTIFS($A$151:$A$388,"Activity",$D$151:$D$388,"P",R$151:R$388,"&lt;&gt;")=0,"",IFERROR(SUMPRODUCT(--($A$151:$A$388="Activity"),--($D$151:$D$388="P"),$O$151:$O$388,R$151:R$388)/SUMPRODUCT(--($A$151:$A$388="Activity"),--($D$151:$D$388="P"),$O$151:$O$388),""))</f>
        <v/>
      </c>
      <c r="S149" s="45" t="str">
        <f t="shared" si="111"/>
        <v/>
      </c>
      <c r="T149" s="45" t="str">
        <f t="shared" si="111"/>
        <v/>
      </c>
      <c r="U149" s="45" t="str">
        <f t="shared" si="111"/>
        <v/>
      </c>
      <c r="V149" s="45" t="str">
        <f t="shared" si="111"/>
        <v/>
      </c>
      <c r="W149" s="45" t="str">
        <f t="shared" si="111"/>
        <v/>
      </c>
      <c r="X149" s="45" t="str">
        <f t="shared" si="111"/>
        <v/>
      </c>
      <c r="Y149" s="45" t="str">
        <f t="shared" si="111"/>
        <v/>
      </c>
      <c r="Z149" s="45" t="str">
        <f t="shared" si="111"/>
        <v/>
      </c>
      <c r="AA149" s="45" t="str">
        <f t="shared" si="111"/>
        <v/>
      </c>
      <c r="AB149" s="45" t="str">
        <f t="shared" si="111"/>
        <v/>
      </c>
      <c r="AC149" s="45" t="str">
        <f t="shared" si="111"/>
        <v/>
      </c>
      <c r="AD149" s="45" t="str">
        <f t="shared" si="111"/>
        <v/>
      </c>
      <c r="AE149" s="45" t="str">
        <f t="shared" si="111"/>
        <v/>
      </c>
      <c r="AF149" s="45" t="str">
        <f t="shared" si="111"/>
        <v/>
      </c>
      <c r="AG149" s="45" t="str">
        <f t="shared" si="111"/>
        <v/>
      </c>
      <c r="AH149" s="45" t="str">
        <f t="shared" si="111"/>
        <v/>
      </c>
      <c r="AI149" s="45" t="str">
        <f t="shared" si="111"/>
        <v/>
      </c>
      <c r="AJ149" s="45" t="str">
        <f t="shared" si="111"/>
        <v/>
      </c>
      <c r="AK149" s="45" t="str">
        <f t="shared" si="111"/>
        <v/>
      </c>
      <c r="AL149" s="45" t="str">
        <f t="shared" si="111"/>
        <v/>
      </c>
      <c r="AM149" s="45" t="str">
        <f t="shared" si="111"/>
        <v/>
      </c>
      <c r="AN149" s="45" t="str">
        <f t="shared" si="111"/>
        <v/>
      </c>
      <c r="AO149" s="45" t="str">
        <f t="shared" si="111"/>
        <v/>
      </c>
      <c r="AP149" s="45" t="str">
        <f t="shared" si="111"/>
        <v/>
      </c>
      <c r="AQ149" s="45" t="str">
        <f t="shared" si="111"/>
        <v/>
      </c>
      <c r="AR149" s="45" t="str">
        <f t="shared" si="111"/>
        <v/>
      </c>
      <c r="AS149" s="45" t="str">
        <f t="shared" si="111"/>
        <v/>
      </c>
      <c r="AT149" s="45" t="str">
        <f t="shared" si="111"/>
        <v/>
      </c>
      <c r="AU149" s="45" t="str">
        <f t="shared" si="111"/>
        <v/>
      </c>
      <c r="AV149" s="45" t="str">
        <f t="shared" si="111"/>
        <v/>
      </c>
      <c r="AW149" s="45" t="str">
        <f t="shared" si="111"/>
        <v/>
      </c>
      <c r="AX149" s="45">
        <f t="shared" ref="AX149:CC149" si="112">IF(COUNTIFS($A$151:$A$388,"Activity",$D$151:$D$388,"P",AX$151:AX$388,"&lt;&gt;")=0,"",IFERROR(SUMPRODUCT(--($A$151:$A$388="Activity"),--($D$151:$D$388="P"),$O$151:$O$388,AX$151:AX$388)/SUMPRODUCT(--($A$151:$A$388="Activity"),--($D$151:$D$388="P"),$O$151:$O$388),""))</f>
        <v>1.7857142857142859E-3</v>
      </c>
      <c r="AY149" s="45">
        <f t="shared" si="112"/>
        <v>6.2500000000000003E-3</v>
      </c>
      <c r="AZ149" s="45">
        <f t="shared" si="112"/>
        <v>6.2500000000000003E-3</v>
      </c>
      <c r="BA149" s="45">
        <f t="shared" si="112"/>
        <v>6.2500000000000021E-3</v>
      </c>
      <c r="BB149" s="45">
        <f t="shared" si="112"/>
        <v>6.2500000000000003E-3</v>
      </c>
      <c r="BC149" s="45">
        <f t="shared" si="112"/>
        <v>6.2500000000000003E-3</v>
      </c>
      <c r="BD149" s="45">
        <f t="shared" si="112"/>
        <v>6.7078754578754557E-3</v>
      </c>
      <c r="BE149" s="45">
        <f t="shared" si="112"/>
        <v>7.0512820512820505E-3</v>
      </c>
      <c r="BF149" s="45">
        <f t="shared" si="112"/>
        <v>7.0512820512820505E-3</v>
      </c>
      <c r="BG149" s="45">
        <f t="shared" si="112"/>
        <v>7.0512820512820523E-3</v>
      </c>
      <c r="BH149" s="45">
        <f t="shared" si="112"/>
        <v>1.2744601889338732E-2</v>
      </c>
      <c r="BI149" s="45">
        <f t="shared" si="112"/>
        <v>1.5080204393789027E-2</v>
      </c>
      <c r="BJ149" s="45">
        <f t="shared" si="112"/>
        <v>1.5601462756562877E-2</v>
      </c>
      <c r="BK149" s="45">
        <f t="shared" si="112"/>
        <v>1.6887725713772787E-2</v>
      </c>
      <c r="BL149" s="45">
        <f t="shared" si="112"/>
        <v>2.150472830453266E-2</v>
      </c>
      <c r="BM149" s="45">
        <f t="shared" si="112"/>
        <v>2.4598088957919012E-2</v>
      </c>
      <c r="BN149" s="45">
        <f t="shared" si="112"/>
        <v>2.5760122936228463E-2</v>
      </c>
      <c r="BO149" s="45">
        <f t="shared" si="112"/>
        <v>2.9903053259563325E-2</v>
      </c>
      <c r="BP149" s="45">
        <f t="shared" si="112"/>
        <v>3.3373627223787151E-2</v>
      </c>
      <c r="BQ149" s="45">
        <f t="shared" si="112"/>
        <v>3.7115196762879901E-2</v>
      </c>
      <c r="BR149" s="45">
        <f t="shared" si="112"/>
        <v>3.1141265271321404E-2</v>
      </c>
      <c r="BS149" s="45">
        <f t="shared" si="112"/>
        <v>3.1889406007887124E-2</v>
      </c>
      <c r="BT149" s="45">
        <f t="shared" si="112"/>
        <v>3.5263935490410923E-2</v>
      </c>
      <c r="BU149" s="45">
        <f t="shared" si="112"/>
        <v>3.5242244059518008E-2</v>
      </c>
      <c r="BV149" s="45">
        <f t="shared" si="112"/>
        <v>3.3864581973383136E-2</v>
      </c>
      <c r="BW149" s="45">
        <f t="shared" si="112"/>
        <v>3.714465716135306E-2</v>
      </c>
      <c r="BX149" s="45">
        <f t="shared" si="112"/>
        <v>3.8282222874527295E-2</v>
      </c>
      <c r="BY149" s="45">
        <f t="shared" si="112"/>
        <v>4.0882701676607618E-2</v>
      </c>
      <c r="BZ149" s="45">
        <f t="shared" si="112"/>
        <v>3.760034849634291E-2</v>
      </c>
      <c r="CA149" s="45">
        <f t="shared" si="112"/>
        <v>4.5276662427729139E-2</v>
      </c>
      <c r="CB149" s="45">
        <f t="shared" si="112"/>
        <v>3.7488522008500322E-2</v>
      </c>
      <c r="CC149" s="45">
        <f t="shared" si="112"/>
        <v>3.4426450488355208E-2</v>
      </c>
      <c r="CD149" s="45">
        <f t="shared" ref="CD149:CO149" si="113">IF(COUNTIFS($A$151:$A$388,"Activity",$D$151:$D$388,"P",CD$151:CD$388,"&lt;&gt;")=0,"",IFERROR(SUMPRODUCT(--($A$151:$A$388="Activity"),--($D$151:$D$388="P"),$O$151:$O$388,CD$151:CD$388)/SUMPRODUCT(--($A$151:$A$388="Activity"),--($D$151:$D$388="P"),$O$151:$O$388),""))</f>
        <v>2.8517648287385126E-2</v>
      </c>
      <c r="CE149" s="45">
        <f t="shared" si="113"/>
        <v>2.8791771094402677E-2</v>
      </c>
      <c r="CF149" s="45">
        <f t="shared" si="113"/>
        <v>3.8762009189640761E-2</v>
      </c>
      <c r="CG149" s="45">
        <f t="shared" si="113"/>
        <v>5.1765873015873008E-2</v>
      </c>
      <c r="CH149" s="45">
        <f t="shared" si="113"/>
        <v>5.0550595238095235E-2</v>
      </c>
      <c r="CI149" s="45">
        <f t="shared" si="113"/>
        <v>2.9707792207792211E-2</v>
      </c>
      <c r="CJ149" s="45">
        <f t="shared" si="113"/>
        <v>2.8490259740259736E-2</v>
      </c>
      <c r="CK149" s="45">
        <f t="shared" si="113"/>
        <v>1.1444805194805199E-2</v>
      </c>
      <c r="CL149" s="45" t="str">
        <f t="shared" si="113"/>
        <v/>
      </c>
      <c r="CM149" s="45" t="str">
        <f t="shared" si="113"/>
        <v/>
      </c>
      <c r="CN149" s="45" t="str">
        <f t="shared" si="113"/>
        <v/>
      </c>
      <c r="CO149" s="45" t="str">
        <f t="shared" si="113"/>
        <v/>
      </c>
    </row>
    <row r="150" spans="1:93" outlineLevel="1" x14ac:dyDescent="0.25">
      <c r="A150" s="1"/>
      <c r="B150" s="1"/>
      <c r="C150" s="2"/>
      <c r="D150" s="8" t="s">
        <v>111</v>
      </c>
      <c r="E150" s="1"/>
      <c r="F150" s="1"/>
      <c r="G150" s="1"/>
      <c r="H150" s="1"/>
      <c r="I150" s="9"/>
      <c r="J150" s="9"/>
      <c r="K150" s="9"/>
      <c r="L150" s="9"/>
      <c r="M150" s="3" t="str">
        <f t="shared" si="104"/>
        <v/>
      </c>
      <c r="N150" s="3"/>
      <c r="O150" s="46">
        <f>O149</f>
        <v>8000000</v>
      </c>
      <c r="P150" s="4"/>
      <c r="Q150" s="5"/>
      <c r="R150" s="45" t="str">
        <f t="shared" ref="R150:AW150" si="114">IF(COUNTIFS($E$151:$E$388,"&lt;&gt;",$D$151:$D$388,"A",R$151:R$388,"&lt;&gt;")=0,"",IFERROR(SUMPRODUCT(--($E$151:$E$388&lt;&gt;""),--($D$151:$D$388="A"),$O$151:$O$388,R$151:R$388)/SUMPRODUCT(--($E$151:$E$388&lt;&gt;""),--($D$151:$D$388="A"),$O$151:$O$388),""))</f>
        <v/>
      </c>
      <c r="S150" s="45" t="str">
        <f t="shared" si="114"/>
        <v/>
      </c>
      <c r="T150" s="45" t="str">
        <f t="shared" si="114"/>
        <v/>
      </c>
      <c r="U150" s="45" t="str">
        <f t="shared" si="114"/>
        <v/>
      </c>
      <c r="V150" s="45" t="str">
        <f t="shared" si="114"/>
        <v/>
      </c>
      <c r="W150" s="45" t="str">
        <f t="shared" si="114"/>
        <v/>
      </c>
      <c r="X150" s="45" t="str">
        <f t="shared" si="114"/>
        <v/>
      </c>
      <c r="Y150" s="45" t="str">
        <f t="shared" si="114"/>
        <v/>
      </c>
      <c r="Z150" s="45" t="str">
        <f t="shared" si="114"/>
        <v/>
      </c>
      <c r="AA150" s="45" t="str">
        <f t="shared" si="114"/>
        <v/>
      </c>
      <c r="AB150" s="45" t="str">
        <f t="shared" si="114"/>
        <v/>
      </c>
      <c r="AC150" s="45" t="str">
        <f t="shared" si="114"/>
        <v/>
      </c>
      <c r="AD150" s="45" t="str">
        <f t="shared" si="114"/>
        <v/>
      </c>
      <c r="AE150" s="45" t="str">
        <f t="shared" si="114"/>
        <v/>
      </c>
      <c r="AF150" s="45" t="str">
        <f t="shared" si="114"/>
        <v/>
      </c>
      <c r="AG150" s="45" t="str">
        <f t="shared" si="114"/>
        <v/>
      </c>
      <c r="AH150" s="45" t="str">
        <f t="shared" si="114"/>
        <v/>
      </c>
      <c r="AI150" s="45" t="str">
        <f t="shared" si="114"/>
        <v/>
      </c>
      <c r="AJ150" s="45" t="str">
        <f t="shared" si="114"/>
        <v/>
      </c>
      <c r="AK150" s="45" t="str">
        <f t="shared" si="114"/>
        <v/>
      </c>
      <c r="AL150" s="45" t="str">
        <f t="shared" si="114"/>
        <v/>
      </c>
      <c r="AM150" s="45" t="str">
        <f t="shared" si="114"/>
        <v/>
      </c>
      <c r="AN150" s="45" t="str">
        <f t="shared" si="114"/>
        <v/>
      </c>
      <c r="AO150" s="45" t="str">
        <f t="shared" si="114"/>
        <v/>
      </c>
      <c r="AP150" s="45" t="str">
        <f t="shared" si="114"/>
        <v/>
      </c>
      <c r="AQ150" s="45" t="str">
        <f t="shared" si="114"/>
        <v/>
      </c>
      <c r="AR150" s="45" t="str">
        <f t="shared" si="114"/>
        <v/>
      </c>
      <c r="AS150" s="45" t="str">
        <f t="shared" si="114"/>
        <v/>
      </c>
      <c r="AT150" s="45" t="str">
        <f t="shared" si="114"/>
        <v/>
      </c>
      <c r="AU150" s="45" t="str">
        <f t="shared" si="114"/>
        <v/>
      </c>
      <c r="AV150" s="45" t="str">
        <f t="shared" si="114"/>
        <v/>
      </c>
      <c r="AW150" s="45" t="str">
        <f t="shared" si="114"/>
        <v/>
      </c>
      <c r="AX150" s="45" t="str">
        <f t="shared" ref="AX150:CC150" si="115">IF(COUNTIFS($E$151:$E$388,"&lt;&gt;",$D$151:$D$388,"A",AX$151:AX$388,"&lt;&gt;")=0,"",IFERROR(SUMPRODUCT(--($E$151:$E$388&lt;&gt;""),--($D$151:$D$388="A"),$O$151:$O$388,AX$151:AX$388)/SUMPRODUCT(--($E$151:$E$388&lt;&gt;""),--($D$151:$D$388="A"),$O$151:$O$388),""))</f>
        <v/>
      </c>
      <c r="AY150" s="45" t="str">
        <f t="shared" si="115"/>
        <v/>
      </c>
      <c r="AZ150" s="45" t="str">
        <f t="shared" si="115"/>
        <v/>
      </c>
      <c r="BA150" s="45" t="str">
        <f t="shared" si="115"/>
        <v/>
      </c>
      <c r="BB150" s="45" t="str">
        <f t="shared" si="115"/>
        <v/>
      </c>
      <c r="BC150" s="45" t="str">
        <f t="shared" si="115"/>
        <v/>
      </c>
      <c r="BD150" s="45" t="str">
        <f t="shared" si="115"/>
        <v/>
      </c>
      <c r="BE150" s="45" t="str">
        <f t="shared" si="115"/>
        <v/>
      </c>
      <c r="BF150" s="45" t="str">
        <f t="shared" si="115"/>
        <v/>
      </c>
      <c r="BG150" s="45" t="str">
        <f t="shared" si="115"/>
        <v/>
      </c>
      <c r="BH150" s="45" t="str">
        <f t="shared" si="115"/>
        <v/>
      </c>
      <c r="BI150" s="45" t="str">
        <f t="shared" si="115"/>
        <v/>
      </c>
      <c r="BJ150" s="45" t="str">
        <f t="shared" si="115"/>
        <v/>
      </c>
      <c r="BK150" s="45" t="str">
        <f t="shared" si="115"/>
        <v/>
      </c>
      <c r="BL150" s="45" t="str">
        <f t="shared" si="115"/>
        <v/>
      </c>
      <c r="BM150" s="45" t="str">
        <f t="shared" si="115"/>
        <v/>
      </c>
      <c r="BN150" s="45" t="str">
        <f t="shared" si="115"/>
        <v/>
      </c>
      <c r="BO150" s="45" t="str">
        <f t="shared" si="115"/>
        <v/>
      </c>
      <c r="BP150" s="45" t="str">
        <f t="shared" si="115"/>
        <v/>
      </c>
      <c r="BQ150" s="45" t="str">
        <f t="shared" si="115"/>
        <v/>
      </c>
      <c r="BR150" s="45" t="str">
        <f t="shared" si="115"/>
        <v/>
      </c>
      <c r="BS150" s="45" t="str">
        <f t="shared" si="115"/>
        <v/>
      </c>
      <c r="BT150" s="45" t="str">
        <f t="shared" si="115"/>
        <v/>
      </c>
      <c r="BU150" s="45" t="str">
        <f t="shared" si="115"/>
        <v/>
      </c>
      <c r="BV150" s="45" t="str">
        <f t="shared" si="115"/>
        <v/>
      </c>
      <c r="BW150" s="45" t="str">
        <f t="shared" si="115"/>
        <v/>
      </c>
      <c r="BX150" s="45" t="str">
        <f t="shared" si="115"/>
        <v/>
      </c>
      <c r="BY150" s="45" t="str">
        <f t="shared" si="115"/>
        <v/>
      </c>
      <c r="BZ150" s="45" t="str">
        <f t="shared" si="115"/>
        <v/>
      </c>
      <c r="CA150" s="45" t="str">
        <f t="shared" si="115"/>
        <v/>
      </c>
      <c r="CB150" s="45" t="str">
        <f t="shared" si="115"/>
        <v/>
      </c>
      <c r="CC150" s="45" t="str">
        <f t="shared" si="115"/>
        <v/>
      </c>
      <c r="CD150" s="45" t="str">
        <f t="shared" ref="CD150:CO150" si="116">IF(COUNTIFS($E$151:$E$388,"&lt;&gt;",$D$151:$D$388,"A",CD$151:CD$388,"&lt;&gt;")=0,"",IFERROR(SUMPRODUCT(--($E$151:$E$388&lt;&gt;""),--($D$151:$D$388="A"),$O$151:$O$388,CD$151:CD$388)/SUMPRODUCT(--($E$151:$E$388&lt;&gt;""),--($D$151:$D$388="A"),$O$151:$O$388),""))</f>
        <v/>
      </c>
      <c r="CE150" s="45" t="str">
        <f t="shared" si="116"/>
        <v/>
      </c>
      <c r="CF150" s="45" t="str">
        <f t="shared" si="116"/>
        <v/>
      </c>
      <c r="CG150" s="45" t="str">
        <f t="shared" si="116"/>
        <v/>
      </c>
      <c r="CH150" s="45" t="str">
        <f t="shared" si="116"/>
        <v/>
      </c>
      <c r="CI150" s="45" t="str">
        <f t="shared" si="116"/>
        <v/>
      </c>
      <c r="CJ150" s="45" t="str">
        <f t="shared" si="116"/>
        <v/>
      </c>
      <c r="CK150" s="45" t="str">
        <f t="shared" si="116"/>
        <v/>
      </c>
      <c r="CL150" s="45" t="str">
        <f t="shared" si="116"/>
        <v/>
      </c>
      <c r="CM150" s="45" t="str">
        <f t="shared" si="116"/>
        <v/>
      </c>
      <c r="CN150" s="45" t="str">
        <f t="shared" si="116"/>
        <v/>
      </c>
      <c r="CO150" s="45" t="str">
        <f t="shared" si="116"/>
        <v/>
      </c>
    </row>
    <row r="151" spans="1:93" outlineLevel="2" x14ac:dyDescent="0.25">
      <c r="A151" s="1" t="s">
        <v>92</v>
      </c>
      <c r="B151" s="1" t="s">
        <v>296</v>
      </c>
      <c r="C151" s="6" t="s">
        <v>297</v>
      </c>
      <c r="D151" s="8" t="s">
        <v>110</v>
      </c>
      <c r="E151" s="1"/>
      <c r="F151" s="1">
        <v>73</v>
      </c>
      <c r="G151" s="1">
        <v>73</v>
      </c>
      <c r="H151" s="1">
        <v>2</v>
      </c>
      <c r="I151" s="9">
        <v>46266.333333333343</v>
      </c>
      <c r="J151" s="9">
        <v>46398.666666666657</v>
      </c>
      <c r="K151" s="9"/>
      <c r="L151" s="9"/>
      <c r="M151" s="3">
        <f t="shared" si="104"/>
        <v>0.99999999999999989</v>
      </c>
      <c r="N151" s="3"/>
      <c r="O151" s="5">
        <f>SUMIFS($O$152:$O$161,$A$152:$A$161,"Activity",$D$152:$D$161,"P")</f>
        <v>400000</v>
      </c>
      <c r="P151" s="4"/>
      <c r="Q151" s="5"/>
      <c r="R151" s="45" t="str">
        <f t="shared" ref="R151:AW151" si="117">IF(COUNTIFS($A$153:$A$162,"Activity",$D$153:$D$162,"P",R$153:R$162,"&lt;&gt;")=0,"",IFERROR(SUMPRODUCT(--($A$153:$A$162="Activity"),--($D$153:$D$162="P"),$O$153:$O$162,R$153:R$162)/SUMPRODUCT(--($A$153:$A$162="Activity"),--($D$153:$D$162="P"),$O$153:$O$162),""))</f>
        <v/>
      </c>
      <c r="S151" s="45" t="str">
        <f t="shared" si="117"/>
        <v/>
      </c>
      <c r="T151" s="45" t="str">
        <f t="shared" si="117"/>
        <v/>
      </c>
      <c r="U151" s="45" t="str">
        <f t="shared" si="117"/>
        <v/>
      </c>
      <c r="V151" s="45" t="str">
        <f t="shared" si="117"/>
        <v/>
      </c>
      <c r="W151" s="45" t="str">
        <f t="shared" si="117"/>
        <v/>
      </c>
      <c r="X151" s="45" t="str">
        <f t="shared" si="117"/>
        <v/>
      </c>
      <c r="Y151" s="45" t="str">
        <f t="shared" si="117"/>
        <v/>
      </c>
      <c r="Z151" s="45" t="str">
        <f t="shared" si="117"/>
        <v/>
      </c>
      <c r="AA151" s="45" t="str">
        <f t="shared" si="117"/>
        <v/>
      </c>
      <c r="AB151" s="45" t="str">
        <f t="shared" si="117"/>
        <v/>
      </c>
      <c r="AC151" s="45" t="str">
        <f t="shared" si="117"/>
        <v/>
      </c>
      <c r="AD151" s="45" t="str">
        <f t="shared" si="117"/>
        <v/>
      </c>
      <c r="AE151" s="45" t="str">
        <f t="shared" si="117"/>
        <v/>
      </c>
      <c r="AF151" s="45" t="str">
        <f t="shared" si="117"/>
        <v/>
      </c>
      <c r="AG151" s="45" t="str">
        <f t="shared" si="117"/>
        <v/>
      </c>
      <c r="AH151" s="45" t="str">
        <f t="shared" si="117"/>
        <v/>
      </c>
      <c r="AI151" s="45" t="str">
        <f t="shared" si="117"/>
        <v/>
      </c>
      <c r="AJ151" s="45" t="str">
        <f t="shared" si="117"/>
        <v/>
      </c>
      <c r="AK151" s="45" t="str">
        <f t="shared" si="117"/>
        <v/>
      </c>
      <c r="AL151" s="45" t="str">
        <f t="shared" si="117"/>
        <v/>
      </c>
      <c r="AM151" s="45" t="str">
        <f t="shared" si="117"/>
        <v/>
      </c>
      <c r="AN151" s="45" t="str">
        <f t="shared" si="117"/>
        <v/>
      </c>
      <c r="AO151" s="45" t="str">
        <f t="shared" si="117"/>
        <v/>
      </c>
      <c r="AP151" s="45" t="str">
        <f t="shared" si="117"/>
        <v/>
      </c>
      <c r="AQ151" s="45" t="str">
        <f t="shared" si="117"/>
        <v/>
      </c>
      <c r="AR151" s="45" t="str">
        <f t="shared" si="117"/>
        <v/>
      </c>
      <c r="AS151" s="45" t="str">
        <f t="shared" si="117"/>
        <v/>
      </c>
      <c r="AT151" s="45" t="str">
        <f t="shared" si="117"/>
        <v/>
      </c>
      <c r="AU151" s="45" t="str">
        <f t="shared" si="117"/>
        <v/>
      </c>
      <c r="AV151" s="45" t="str">
        <f t="shared" si="117"/>
        <v/>
      </c>
      <c r="AW151" s="45" t="str">
        <f t="shared" si="117"/>
        <v/>
      </c>
      <c r="AX151" s="45">
        <f t="shared" ref="AX151:CC151" si="118">IF(COUNTIFS($A$153:$A$162,"Activity",$D$153:$D$162,"P",AX$153:AX$162,"&lt;&gt;")=0,"",IFERROR(SUMPRODUCT(--($A$153:$A$162="Activity"),--($D$153:$D$162="P"),$O$153:$O$162,AX$153:AX$162)/SUMPRODUCT(--($A$153:$A$162="Activity"),--($D$153:$D$162="P"),$O$153:$O$162),""))</f>
        <v>2.3809523809523812E-2</v>
      </c>
      <c r="AY151" s="45">
        <f t="shared" si="118"/>
        <v>4.1666666666666678E-2</v>
      </c>
      <c r="AZ151" s="45">
        <f t="shared" si="118"/>
        <v>4.1666666666666678E-2</v>
      </c>
      <c r="BA151" s="45">
        <f t="shared" si="118"/>
        <v>4.1666666666666678E-2</v>
      </c>
      <c r="BB151" s="45">
        <f t="shared" si="118"/>
        <v>4.1666666666666678E-2</v>
      </c>
      <c r="BC151" s="45">
        <f t="shared" si="118"/>
        <v>4.1666666666666678E-2</v>
      </c>
      <c r="BD151" s="45">
        <f t="shared" si="118"/>
        <v>5.0824175824175762E-2</v>
      </c>
      <c r="BE151" s="45">
        <f t="shared" si="118"/>
        <v>5.7692307692307702E-2</v>
      </c>
      <c r="BF151" s="45">
        <f t="shared" si="118"/>
        <v>5.7692307692307702E-2</v>
      </c>
      <c r="BG151" s="45">
        <f t="shared" si="118"/>
        <v>5.7692307692307702E-2</v>
      </c>
      <c r="BH151" s="45">
        <f t="shared" si="118"/>
        <v>5.7692307692307702E-2</v>
      </c>
      <c r="BI151" s="45">
        <f t="shared" si="118"/>
        <v>5.7692307692307702E-2</v>
      </c>
      <c r="BJ151" s="45">
        <f t="shared" si="118"/>
        <v>5.7692307692307702E-2</v>
      </c>
      <c r="BK151" s="45">
        <f t="shared" si="118"/>
        <v>5.7692307692307702E-2</v>
      </c>
      <c r="BL151" s="45">
        <f t="shared" si="118"/>
        <v>5.7692307692307702E-2</v>
      </c>
      <c r="BM151" s="45">
        <f t="shared" si="118"/>
        <v>5.7692307692307702E-2</v>
      </c>
      <c r="BN151" s="45">
        <f t="shared" si="118"/>
        <v>5.7692307692307702E-2</v>
      </c>
      <c r="BO151" s="45">
        <f t="shared" si="118"/>
        <v>5.7692307692307702E-2</v>
      </c>
      <c r="BP151" s="45">
        <f t="shared" si="118"/>
        <v>5.7692307692307702E-2</v>
      </c>
      <c r="BQ151" s="45">
        <f t="shared" si="118"/>
        <v>2.4725274725274388E-2</v>
      </c>
      <c r="BR151" s="45" t="str">
        <f t="shared" si="118"/>
        <v/>
      </c>
      <c r="BS151" s="45" t="str">
        <f t="shared" si="118"/>
        <v/>
      </c>
      <c r="BT151" s="45" t="str">
        <f t="shared" si="118"/>
        <v/>
      </c>
      <c r="BU151" s="45" t="str">
        <f t="shared" si="118"/>
        <v/>
      </c>
      <c r="BV151" s="45" t="str">
        <f t="shared" si="118"/>
        <v/>
      </c>
      <c r="BW151" s="45" t="str">
        <f t="shared" si="118"/>
        <v/>
      </c>
      <c r="BX151" s="45" t="str">
        <f t="shared" si="118"/>
        <v/>
      </c>
      <c r="BY151" s="45" t="str">
        <f t="shared" si="118"/>
        <v/>
      </c>
      <c r="BZ151" s="45" t="str">
        <f t="shared" si="118"/>
        <v/>
      </c>
      <c r="CA151" s="45" t="str">
        <f t="shared" si="118"/>
        <v/>
      </c>
      <c r="CB151" s="45" t="str">
        <f t="shared" si="118"/>
        <v/>
      </c>
      <c r="CC151" s="45" t="str">
        <f t="shared" si="118"/>
        <v/>
      </c>
      <c r="CD151" s="45" t="str">
        <f t="shared" ref="CD151:CO151" si="119">IF(COUNTIFS($A$153:$A$162,"Activity",$D$153:$D$162,"P",CD$153:CD$162,"&lt;&gt;")=0,"",IFERROR(SUMPRODUCT(--($A$153:$A$162="Activity"),--($D$153:$D$162="P"),$O$153:$O$162,CD$153:CD$162)/SUMPRODUCT(--($A$153:$A$162="Activity"),--($D$153:$D$162="P"),$O$153:$O$162),""))</f>
        <v/>
      </c>
      <c r="CE151" s="45" t="str">
        <f t="shared" si="119"/>
        <v/>
      </c>
      <c r="CF151" s="45" t="str">
        <f t="shared" si="119"/>
        <v/>
      </c>
      <c r="CG151" s="45" t="str">
        <f t="shared" si="119"/>
        <v/>
      </c>
      <c r="CH151" s="45" t="str">
        <f t="shared" si="119"/>
        <v/>
      </c>
      <c r="CI151" s="45" t="str">
        <f t="shared" si="119"/>
        <v/>
      </c>
      <c r="CJ151" s="45" t="str">
        <f t="shared" si="119"/>
        <v/>
      </c>
      <c r="CK151" s="45" t="str">
        <f t="shared" si="119"/>
        <v/>
      </c>
      <c r="CL151" s="45" t="str">
        <f t="shared" si="119"/>
        <v/>
      </c>
      <c r="CM151" s="45" t="str">
        <f t="shared" si="119"/>
        <v/>
      </c>
      <c r="CN151" s="45" t="str">
        <f t="shared" si="119"/>
        <v/>
      </c>
      <c r="CO151" s="45" t="str">
        <f t="shared" si="119"/>
        <v/>
      </c>
    </row>
    <row r="152" spans="1:93" outlineLevel="2" x14ac:dyDescent="0.25">
      <c r="A152" s="1"/>
      <c r="B152" s="1"/>
      <c r="C152" s="6"/>
      <c r="D152" s="8" t="s">
        <v>111</v>
      </c>
      <c r="E152" s="1"/>
      <c r="F152" s="1"/>
      <c r="G152" s="1"/>
      <c r="H152" s="1"/>
      <c r="I152" s="9"/>
      <c r="J152" s="9"/>
      <c r="K152" s="9"/>
      <c r="L152" s="9"/>
      <c r="M152" s="3" t="str">
        <f t="shared" si="104"/>
        <v/>
      </c>
      <c r="N152" s="3"/>
      <c r="O152" s="46">
        <f>O151</f>
        <v>400000</v>
      </c>
      <c r="P152" s="4"/>
      <c r="Q152" s="5"/>
      <c r="R152" s="45" t="str">
        <f t="shared" ref="R152:AW152" si="120">IF(COUNTIFS($E$153:$E$162,"&lt;&gt;",$D$153:$D$162,"A",R$153:R$162,"&lt;&gt;")=0,"",IFERROR(SUMPRODUCT(--($E$153:$E$162&lt;&gt;""),--($D$153:$D$162="A"),$O$153:$O$162,R$153:R$162)/SUMPRODUCT(--($E$153:$E$162&lt;&gt;""),--($D$153:$D$162="A"),$O$153:$O$162),""))</f>
        <v/>
      </c>
      <c r="S152" s="45" t="str">
        <f t="shared" si="120"/>
        <v/>
      </c>
      <c r="T152" s="45" t="str">
        <f t="shared" si="120"/>
        <v/>
      </c>
      <c r="U152" s="45" t="str">
        <f t="shared" si="120"/>
        <v/>
      </c>
      <c r="V152" s="45" t="str">
        <f t="shared" si="120"/>
        <v/>
      </c>
      <c r="W152" s="45" t="str">
        <f t="shared" si="120"/>
        <v/>
      </c>
      <c r="X152" s="45" t="str">
        <f t="shared" si="120"/>
        <v/>
      </c>
      <c r="Y152" s="45" t="str">
        <f t="shared" si="120"/>
        <v/>
      </c>
      <c r="Z152" s="45" t="str">
        <f t="shared" si="120"/>
        <v/>
      </c>
      <c r="AA152" s="45" t="str">
        <f t="shared" si="120"/>
        <v/>
      </c>
      <c r="AB152" s="45" t="str">
        <f t="shared" si="120"/>
        <v/>
      </c>
      <c r="AC152" s="45" t="str">
        <f t="shared" si="120"/>
        <v/>
      </c>
      <c r="AD152" s="45" t="str">
        <f t="shared" si="120"/>
        <v/>
      </c>
      <c r="AE152" s="45" t="str">
        <f t="shared" si="120"/>
        <v/>
      </c>
      <c r="AF152" s="45" t="str">
        <f t="shared" si="120"/>
        <v/>
      </c>
      <c r="AG152" s="45" t="str">
        <f t="shared" si="120"/>
        <v/>
      </c>
      <c r="AH152" s="45" t="str">
        <f t="shared" si="120"/>
        <v/>
      </c>
      <c r="AI152" s="45" t="str">
        <f t="shared" si="120"/>
        <v/>
      </c>
      <c r="AJ152" s="45" t="str">
        <f t="shared" si="120"/>
        <v/>
      </c>
      <c r="AK152" s="45" t="str">
        <f t="shared" si="120"/>
        <v/>
      </c>
      <c r="AL152" s="45" t="str">
        <f t="shared" si="120"/>
        <v/>
      </c>
      <c r="AM152" s="45" t="str">
        <f t="shared" si="120"/>
        <v/>
      </c>
      <c r="AN152" s="45" t="str">
        <f t="shared" si="120"/>
        <v/>
      </c>
      <c r="AO152" s="45" t="str">
        <f t="shared" si="120"/>
        <v/>
      </c>
      <c r="AP152" s="45" t="str">
        <f t="shared" si="120"/>
        <v/>
      </c>
      <c r="AQ152" s="45" t="str">
        <f t="shared" si="120"/>
        <v/>
      </c>
      <c r="AR152" s="45" t="str">
        <f t="shared" si="120"/>
        <v/>
      </c>
      <c r="AS152" s="45" t="str">
        <f t="shared" si="120"/>
        <v/>
      </c>
      <c r="AT152" s="45" t="str">
        <f t="shared" si="120"/>
        <v/>
      </c>
      <c r="AU152" s="45" t="str">
        <f t="shared" si="120"/>
        <v/>
      </c>
      <c r="AV152" s="45" t="str">
        <f t="shared" si="120"/>
        <v/>
      </c>
      <c r="AW152" s="45" t="str">
        <f t="shared" si="120"/>
        <v/>
      </c>
      <c r="AX152" s="45" t="str">
        <f t="shared" ref="AX152:CC152" si="121">IF(COUNTIFS($E$153:$E$162,"&lt;&gt;",$D$153:$D$162,"A",AX$153:AX$162,"&lt;&gt;")=0,"",IFERROR(SUMPRODUCT(--($E$153:$E$162&lt;&gt;""),--($D$153:$D$162="A"),$O$153:$O$162,AX$153:AX$162)/SUMPRODUCT(--($E$153:$E$162&lt;&gt;""),--($D$153:$D$162="A"),$O$153:$O$162),""))</f>
        <v/>
      </c>
      <c r="AY152" s="45" t="str">
        <f t="shared" si="121"/>
        <v/>
      </c>
      <c r="AZ152" s="45" t="str">
        <f t="shared" si="121"/>
        <v/>
      </c>
      <c r="BA152" s="45" t="str">
        <f t="shared" si="121"/>
        <v/>
      </c>
      <c r="BB152" s="45" t="str">
        <f t="shared" si="121"/>
        <v/>
      </c>
      <c r="BC152" s="45" t="str">
        <f t="shared" si="121"/>
        <v/>
      </c>
      <c r="BD152" s="45" t="str">
        <f t="shared" si="121"/>
        <v/>
      </c>
      <c r="BE152" s="45" t="str">
        <f t="shared" si="121"/>
        <v/>
      </c>
      <c r="BF152" s="45" t="str">
        <f t="shared" si="121"/>
        <v/>
      </c>
      <c r="BG152" s="45" t="str">
        <f t="shared" si="121"/>
        <v/>
      </c>
      <c r="BH152" s="45" t="str">
        <f t="shared" si="121"/>
        <v/>
      </c>
      <c r="BI152" s="45" t="str">
        <f t="shared" si="121"/>
        <v/>
      </c>
      <c r="BJ152" s="45" t="str">
        <f t="shared" si="121"/>
        <v/>
      </c>
      <c r="BK152" s="45" t="str">
        <f t="shared" si="121"/>
        <v/>
      </c>
      <c r="BL152" s="45" t="str">
        <f t="shared" si="121"/>
        <v/>
      </c>
      <c r="BM152" s="45" t="str">
        <f t="shared" si="121"/>
        <v/>
      </c>
      <c r="BN152" s="45" t="str">
        <f t="shared" si="121"/>
        <v/>
      </c>
      <c r="BO152" s="45" t="str">
        <f t="shared" si="121"/>
        <v/>
      </c>
      <c r="BP152" s="45" t="str">
        <f t="shared" si="121"/>
        <v/>
      </c>
      <c r="BQ152" s="45" t="str">
        <f t="shared" si="121"/>
        <v/>
      </c>
      <c r="BR152" s="45" t="str">
        <f t="shared" si="121"/>
        <v/>
      </c>
      <c r="BS152" s="45" t="str">
        <f t="shared" si="121"/>
        <v/>
      </c>
      <c r="BT152" s="45" t="str">
        <f t="shared" si="121"/>
        <v/>
      </c>
      <c r="BU152" s="45" t="str">
        <f t="shared" si="121"/>
        <v/>
      </c>
      <c r="BV152" s="45" t="str">
        <f t="shared" si="121"/>
        <v/>
      </c>
      <c r="BW152" s="45" t="str">
        <f t="shared" si="121"/>
        <v/>
      </c>
      <c r="BX152" s="45" t="str">
        <f t="shared" si="121"/>
        <v/>
      </c>
      <c r="BY152" s="45" t="str">
        <f t="shared" si="121"/>
        <v/>
      </c>
      <c r="BZ152" s="45" t="str">
        <f t="shared" si="121"/>
        <v/>
      </c>
      <c r="CA152" s="45" t="str">
        <f t="shared" si="121"/>
        <v/>
      </c>
      <c r="CB152" s="45" t="str">
        <f t="shared" si="121"/>
        <v/>
      </c>
      <c r="CC152" s="45" t="str">
        <f t="shared" si="121"/>
        <v/>
      </c>
      <c r="CD152" s="45" t="str">
        <f t="shared" ref="CD152:CO152" si="122">IF(COUNTIFS($E$153:$E$162,"&lt;&gt;",$D$153:$D$162,"A",CD$153:CD$162,"&lt;&gt;")=0,"",IFERROR(SUMPRODUCT(--($E$153:$E$162&lt;&gt;""),--($D$153:$D$162="A"),$O$153:$O$162,CD$153:CD$162)/SUMPRODUCT(--($E$153:$E$162&lt;&gt;""),--($D$153:$D$162="A"),$O$153:$O$162),""))</f>
        <v/>
      </c>
      <c r="CE152" s="45" t="str">
        <f t="shared" si="122"/>
        <v/>
      </c>
      <c r="CF152" s="45" t="str">
        <f t="shared" si="122"/>
        <v/>
      </c>
      <c r="CG152" s="45" t="str">
        <f t="shared" si="122"/>
        <v/>
      </c>
      <c r="CH152" s="45" t="str">
        <f t="shared" si="122"/>
        <v/>
      </c>
      <c r="CI152" s="45" t="str">
        <f t="shared" si="122"/>
        <v/>
      </c>
      <c r="CJ152" s="45" t="str">
        <f t="shared" si="122"/>
        <v/>
      </c>
      <c r="CK152" s="45" t="str">
        <f t="shared" si="122"/>
        <v/>
      </c>
      <c r="CL152" s="45" t="str">
        <f t="shared" si="122"/>
        <v/>
      </c>
      <c r="CM152" s="45" t="str">
        <f t="shared" si="122"/>
        <v/>
      </c>
      <c r="CN152" s="45" t="str">
        <f t="shared" si="122"/>
        <v/>
      </c>
      <c r="CO152" s="45" t="str">
        <f t="shared" si="122"/>
        <v/>
      </c>
    </row>
    <row r="153" spans="1:93" outlineLevel="3" x14ac:dyDescent="0.25">
      <c r="A153" s="1" t="s">
        <v>92</v>
      </c>
      <c r="B153" s="1" t="s">
        <v>298</v>
      </c>
      <c r="C153" s="7" t="s">
        <v>299</v>
      </c>
      <c r="D153" s="8" t="s">
        <v>110</v>
      </c>
      <c r="E153" s="1"/>
      <c r="F153" s="1">
        <v>74</v>
      </c>
      <c r="G153" s="1">
        <v>74</v>
      </c>
      <c r="H153" s="1">
        <v>3</v>
      </c>
      <c r="I153" s="9">
        <v>46266.333333333343</v>
      </c>
      <c r="J153" s="9">
        <v>46398.666666666657</v>
      </c>
      <c r="K153" s="9"/>
      <c r="L153" s="9"/>
      <c r="M153" s="3">
        <f t="shared" si="104"/>
        <v>0.99999999999999989</v>
      </c>
      <c r="N153" s="3"/>
      <c r="O153" s="5">
        <f>SUMIFS($O$154:$O$161,$A$154:$A$161,"Activity",$D$154:$D$161,"P")</f>
        <v>400000</v>
      </c>
      <c r="P153" s="4"/>
      <c r="Q153" s="5"/>
      <c r="R153" s="45" t="str">
        <f t="shared" ref="R153:AW153" si="123">IF(COUNTIFS($A$155:$A$162,"Activity",$D$155:$D$162,"P",R$155:R$162,"&lt;&gt;")=0,"",IFERROR(SUMPRODUCT(--($A$155:$A$162="Activity"),--($D$155:$D$162="P"),$O$155:$O$162,R$155:R$162)/SUMPRODUCT(--($A$155:$A$162="Activity"),--($D$155:$D$162="P"),$O$155:$O$162),""))</f>
        <v/>
      </c>
      <c r="S153" s="45" t="str">
        <f t="shared" si="123"/>
        <v/>
      </c>
      <c r="T153" s="45" t="str">
        <f t="shared" si="123"/>
        <v/>
      </c>
      <c r="U153" s="45" t="str">
        <f t="shared" si="123"/>
        <v/>
      </c>
      <c r="V153" s="45" t="str">
        <f t="shared" si="123"/>
        <v/>
      </c>
      <c r="W153" s="45" t="str">
        <f t="shared" si="123"/>
        <v/>
      </c>
      <c r="X153" s="45" t="str">
        <f t="shared" si="123"/>
        <v/>
      </c>
      <c r="Y153" s="45" t="str">
        <f t="shared" si="123"/>
        <v/>
      </c>
      <c r="Z153" s="45" t="str">
        <f t="shared" si="123"/>
        <v/>
      </c>
      <c r="AA153" s="45" t="str">
        <f t="shared" si="123"/>
        <v/>
      </c>
      <c r="AB153" s="45" t="str">
        <f t="shared" si="123"/>
        <v/>
      </c>
      <c r="AC153" s="45" t="str">
        <f t="shared" si="123"/>
        <v/>
      </c>
      <c r="AD153" s="45" t="str">
        <f t="shared" si="123"/>
        <v/>
      </c>
      <c r="AE153" s="45" t="str">
        <f t="shared" si="123"/>
        <v/>
      </c>
      <c r="AF153" s="45" t="str">
        <f t="shared" si="123"/>
        <v/>
      </c>
      <c r="AG153" s="45" t="str">
        <f t="shared" si="123"/>
        <v/>
      </c>
      <c r="AH153" s="45" t="str">
        <f t="shared" si="123"/>
        <v/>
      </c>
      <c r="AI153" s="45" t="str">
        <f t="shared" si="123"/>
        <v/>
      </c>
      <c r="AJ153" s="45" t="str">
        <f t="shared" si="123"/>
        <v/>
      </c>
      <c r="AK153" s="45" t="str">
        <f t="shared" si="123"/>
        <v/>
      </c>
      <c r="AL153" s="45" t="str">
        <f t="shared" si="123"/>
        <v/>
      </c>
      <c r="AM153" s="45" t="str">
        <f t="shared" si="123"/>
        <v/>
      </c>
      <c r="AN153" s="45" t="str">
        <f t="shared" si="123"/>
        <v/>
      </c>
      <c r="AO153" s="45" t="str">
        <f t="shared" si="123"/>
        <v/>
      </c>
      <c r="AP153" s="45" t="str">
        <f t="shared" si="123"/>
        <v/>
      </c>
      <c r="AQ153" s="45" t="str">
        <f t="shared" si="123"/>
        <v/>
      </c>
      <c r="AR153" s="45" t="str">
        <f t="shared" si="123"/>
        <v/>
      </c>
      <c r="AS153" s="45" t="str">
        <f t="shared" si="123"/>
        <v/>
      </c>
      <c r="AT153" s="45" t="str">
        <f t="shared" si="123"/>
        <v/>
      </c>
      <c r="AU153" s="45" t="str">
        <f t="shared" si="123"/>
        <v/>
      </c>
      <c r="AV153" s="45" t="str">
        <f t="shared" si="123"/>
        <v/>
      </c>
      <c r="AW153" s="45" t="str">
        <f t="shared" si="123"/>
        <v/>
      </c>
      <c r="AX153" s="45">
        <f t="shared" ref="AX153:CC153" si="124">IF(COUNTIFS($A$155:$A$162,"Activity",$D$155:$D$162,"P",AX$155:AX$162,"&lt;&gt;")=0,"",IFERROR(SUMPRODUCT(--($A$155:$A$162="Activity"),--($D$155:$D$162="P"),$O$155:$O$162,AX$155:AX$162)/SUMPRODUCT(--($A$155:$A$162="Activity"),--($D$155:$D$162="P"),$O$155:$O$162),""))</f>
        <v>2.3809523809523812E-2</v>
      </c>
      <c r="AY153" s="45">
        <f t="shared" si="124"/>
        <v>4.1666666666666678E-2</v>
      </c>
      <c r="AZ153" s="45">
        <f t="shared" si="124"/>
        <v>4.1666666666666678E-2</v>
      </c>
      <c r="BA153" s="45">
        <f t="shared" si="124"/>
        <v>4.1666666666666678E-2</v>
      </c>
      <c r="BB153" s="45">
        <f t="shared" si="124"/>
        <v>4.1666666666666678E-2</v>
      </c>
      <c r="BC153" s="45">
        <f t="shared" si="124"/>
        <v>4.1666666666666678E-2</v>
      </c>
      <c r="BD153" s="45">
        <f t="shared" si="124"/>
        <v>5.0824175824175762E-2</v>
      </c>
      <c r="BE153" s="45">
        <f t="shared" si="124"/>
        <v>5.7692307692307702E-2</v>
      </c>
      <c r="BF153" s="45">
        <f t="shared" si="124"/>
        <v>5.7692307692307702E-2</v>
      </c>
      <c r="BG153" s="45">
        <f t="shared" si="124"/>
        <v>5.7692307692307702E-2</v>
      </c>
      <c r="BH153" s="45">
        <f t="shared" si="124"/>
        <v>5.7692307692307702E-2</v>
      </c>
      <c r="BI153" s="45">
        <f t="shared" si="124"/>
        <v>5.7692307692307702E-2</v>
      </c>
      <c r="BJ153" s="45">
        <f t="shared" si="124"/>
        <v>5.7692307692307702E-2</v>
      </c>
      <c r="BK153" s="45">
        <f t="shared" si="124"/>
        <v>5.7692307692307702E-2</v>
      </c>
      <c r="BL153" s="45">
        <f t="shared" si="124"/>
        <v>5.7692307692307702E-2</v>
      </c>
      <c r="BM153" s="45">
        <f t="shared" si="124"/>
        <v>5.7692307692307702E-2</v>
      </c>
      <c r="BN153" s="45">
        <f t="shared" si="124"/>
        <v>5.7692307692307702E-2</v>
      </c>
      <c r="BO153" s="45">
        <f t="shared" si="124"/>
        <v>5.7692307692307702E-2</v>
      </c>
      <c r="BP153" s="45">
        <f t="shared" si="124"/>
        <v>5.7692307692307702E-2</v>
      </c>
      <c r="BQ153" s="45">
        <f t="shared" si="124"/>
        <v>2.4725274725274388E-2</v>
      </c>
      <c r="BR153" s="45" t="str">
        <f t="shared" si="124"/>
        <v/>
      </c>
      <c r="BS153" s="45" t="str">
        <f t="shared" si="124"/>
        <v/>
      </c>
      <c r="BT153" s="45" t="str">
        <f t="shared" si="124"/>
        <v/>
      </c>
      <c r="BU153" s="45" t="str">
        <f t="shared" si="124"/>
        <v/>
      </c>
      <c r="BV153" s="45" t="str">
        <f t="shared" si="124"/>
        <v/>
      </c>
      <c r="BW153" s="45" t="str">
        <f t="shared" si="124"/>
        <v/>
      </c>
      <c r="BX153" s="45" t="str">
        <f t="shared" si="124"/>
        <v/>
      </c>
      <c r="BY153" s="45" t="str">
        <f t="shared" si="124"/>
        <v/>
      </c>
      <c r="BZ153" s="45" t="str">
        <f t="shared" si="124"/>
        <v/>
      </c>
      <c r="CA153" s="45" t="str">
        <f t="shared" si="124"/>
        <v/>
      </c>
      <c r="CB153" s="45" t="str">
        <f t="shared" si="124"/>
        <v/>
      </c>
      <c r="CC153" s="45" t="str">
        <f t="shared" si="124"/>
        <v/>
      </c>
      <c r="CD153" s="45" t="str">
        <f t="shared" ref="CD153:CO153" si="125">IF(COUNTIFS($A$155:$A$162,"Activity",$D$155:$D$162,"P",CD$155:CD$162,"&lt;&gt;")=0,"",IFERROR(SUMPRODUCT(--($A$155:$A$162="Activity"),--($D$155:$D$162="P"),$O$155:$O$162,CD$155:CD$162)/SUMPRODUCT(--($A$155:$A$162="Activity"),--($D$155:$D$162="P"),$O$155:$O$162),""))</f>
        <v/>
      </c>
      <c r="CE153" s="45" t="str">
        <f t="shared" si="125"/>
        <v/>
      </c>
      <c r="CF153" s="45" t="str">
        <f t="shared" si="125"/>
        <v/>
      </c>
      <c r="CG153" s="45" t="str">
        <f t="shared" si="125"/>
        <v/>
      </c>
      <c r="CH153" s="45" t="str">
        <f t="shared" si="125"/>
        <v/>
      </c>
      <c r="CI153" s="45" t="str">
        <f t="shared" si="125"/>
        <v/>
      </c>
      <c r="CJ153" s="45" t="str">
        <f t="shared" si="125"/>
        <v/>
      </c>
      <c r="CK153" s="45" t="str">
        <f t="shared" si="125"/>
        <v/>
      </c>
      <c r="CL153" s="45" t="str">
        <f t="shared" si="125"/>
        <v/>
      </c>
      <c r="CM153" s="45" t="str">
        <f t="shared" si="125"/>
        <v/>
      </c>
      <c r="CN153" s="45" t="str">
        <f t="shared" si="125"/>
        <v/>
      </c>
      <c r="CO153" s="45" t="str">
        <f t="shared" si="125"/>
        <v/>
      </c>
    </row>
    <row r="154" spans="1:93" outlineLevel="3" x14ac:dyDescent="0.25">
      <c r="A154" s="1"/>
      <c r="B154" s="1"/>
      <c r="C154" s="7"/>
      <c r="D154" s="8" t="s">
        <v>111</v>
      </c>
      <c r="E154" s="1"/>
      <c r="F154" s="1"/>
      <c r="G154" s="1"/>
      <c r="H154" s="1"/>
      <c r="I154" s="9"/>
      <c r="J154" s="9"/>
      <c r="K154" s="9"/>
      <c r="L154" s="9"/>
      <c r="M154" s="3" t="str">
        <f t="shared" si="104"/>
        <v/>
      </c>
      <c r="N154" s="3"/>
      <c r="O154" s="46">
        <f>O153</f>
        <v>400000</v>
      </c>
      <c r="P154" s="4"/>
      <c r="Q154" s="5"/>
      <c r="R154" s="45" t="str">
        <f t="shared" ref="R154:AW154" si="126">IF(COUNTIFS($E$155:$E$162,"&lt;&gt;",$D$155:$D$162,"A",R$155:R$162,"&lt;&gt;")=0,"",IFERROR(SUMPRODUCT(--($E$155:$E$162&lt;&gt;""),--($D$155:$D$162="A"),$O$155:$O$162,R$155:R$162)/SUMPRODUCT(--($E$155:$E$162&lt;&gt;""),--($D$155:$D$162="A"),$O$155:$O$162),""))</f>
        <v/>
      </c>
      <c r="S154" s="45" t="str">
        <f t="shared" si="126"/>
        <v/>
      </c>
      <c r="T154" s="45" t="str">
        <f t="shared" si="126"/>
        <v/>
      </c>
      <c r="U154" s="45" t="str">
        <f t="shared" si="126"/>
        <v/>
      </c>
      <c r="V154" s="45" t="str">
        <f t="shared" si="126"/>
        <v/>
      </c>
      <c r="W154" s="45" t="str">
        <f t="shared" si="126"/>
        <v/>
      </c>
      <c r="X154" s="45" t="str">
        <f t="shared" si="126"/>
        <v/>
      </c>
      <c r="Y154" s="45" t="str">
        <f t="shared" si="126"/>
        <v/>
      </c>
      <c r="Z154" s="45" t="str">
        <f t="shared" si="126"/>
        <v/>
      </c>
      <c r="AA154" s="45" t="str">
        <f t="shared" si="126"/>
        <v/>
      </c>
      <c r="AB154" s="45" t="str">
        <f t="shared" si="126"/>
        <v/>
      </c>
      <c r="AC154" s="45" t="str">
        <f t="shared" si="126"/>
        <v/>
      </c>
      <c r="AD154" s="45" t="str">
        <f t="shared" si="126"/>
        <v/>
      </c>
      <c r="AE154" s="45" t="str">
        <f t="shared" si="126"/>
        <v/>
      </c>
      <c r="AF154" s="45" t="str">
        <f t="shared" si="126"/>
        <v/>
      </c>
      <c r="AG154" s="45" t="str">
        <f t="shared" si="126"/>
        <v/>
      </c>
      <c r="AH154" s="45" t="str">
        <f t="shared" si="126"/>
        <v/>
      </c>
      <c r="AI154" s="45" t="str">
        <f t="shared" si="126"/>
        <v/>
      </c>
      <c r="AJ154" s="45" t="str">
        <f t="shared" si="126"/>
        <v/>
      </c>
      <c r="AK154" s="45" t="str">
        <f t="shared" si="126"/>
        <v/>
      </c>
      <c r="AL154" s="45" t="str">
        <f t="shared" si="126"/>
        <v/>
      </c>
      <c r="AM154" s="45" t="str">
        <f t="shared" si="126"/>
        <v/>
      </c>
      <c r="AN154" s="45" t="str">
        <f t="shared" si="126"/>
        <v/>
      </c>
      <c r="AO154" s="45" t="str">
        <f t="shared" si="126"/>
        <v/>
      </c>
      <c r="AP154" s="45" t="str">
        <f t="shared" si="126"/>
        <v/>
      </c>
      <c r="AQ154" s="45" t="str">
        <f t="shared" si="126"/>
        <v/>
      </c>
      <c r="AR154" s="45" t="str">
        <f t="shared" si="126"/>
        <v/>
      </c>
      <c r="AS154" s="45" t="str">
        <f t="shared" si="126"/>
        <v/>
      </c>
      <c r="AT154" s="45" t="str">
        <f t="shared" si="126"/>
        <v/>
      </c>
      <c r="AU154" s="45" t="str">
        <f t="shared" si="126"/>
        <v/>
      </c>
      <c r="AV154" s="45" t="str">
        <f t="shared" si="126"/>
        <v/>
      </c>
      <c r="AW154" s="45" t="str">
        <f t="shared" si="126"/>
        <v/>
      </c>
      <c r="AX154" s="45" t="str">
        <f t="shared" ref="AX154:CC154" si="127">IF(COUNTIFS($E$155:$E$162,"&lt;&gt;",$D$155:$D$162,"A",AX$155:AX$162,"&lt;&gt;")=0,"",IFERROR(SUMPRODUCT(--($E$155:$E$162&lt;&gt;""),--($D$155:$D$162="A"),$O$155:$O$162,AX$155:AX$162)/SUMPRODUCT(--($E$155:$E$162&lt;&gt;""),--($D$155:$D$162="A"),$O$155:$O$162),""))</f>
        <v/>
      </c>
      <c r="AY154" s="45" t="str">
        <f t="shared" si="127"/>
        <v/>
      </c>
      <c r="AZ154" s="45" t="str">
        <f t="shared" si="127"/>
        <v/>
      </c>
      <c r="BA154" s="45" t="str">
        <f t="shared" si="127"/>
        <v/>
      </c>
      <c r="BB154" s="45" t="str">
        <f t="shared" si="127"/>
        <v/>
      </c>
      <c r="BC154" s="45" t="str">
        <f t="shared" si="127"/>
        <v/>
      </c>
      <c r="BD154" s="45" t="str">
        <f t="shared" si="127"/>
        <v/>
      </c>
      <c r="BE154" s="45" t="str">
        <f t="shared" si="127"/>
        <v/>
      </c>
      <c r="BF154" s="45" t="str">
        <f t="shared" si="127"/>
        <v/>
      </c>
      <c r="BG154" s="45" t="str">
        <f t="shared" si="127"/>
        <v/>
      </c>
      <c r="BH154" s="45" t="str">
        <f t="shared" si="127"/>
        <v/>
      </c>
      <c r="BI154" s="45" t="str">
        <f t="shared" si="127"/>
        <v/>
      </c>
      <c r="BJ154" s="45" t="str">
        <f t="shared" si="127"/>
        <v/>
      </c>
      <c r="BK154" s="45" t="str">
        <f t="shared" si="127"/>
        <v/>
      </c>
      <c r="BL154" s="45" t="str">
        <f t="shared" si="127"/>
        <v/>
      </c>
      <c r="BM154" s="45" t="str">
        <f t="shared" si="127"/>
        <v/>
      </c>
      <c r="BN154" s="45" t="str">
        <f t="shared" si="127"/>
        <v/>
      </c>
      <c r="BO154" s="45" t="str">
        <f t="shared" si="127"/>
        <v/>
      </c>
      <c r="BP154" s="45" t="str">
        <f t="shared" si="127"/>
        <v/>
      </c>
      <c r="BQ154" s="45" t="str">
        <f t="shared" si="127"/>
        <v/>
      </c>
      <c r="BR154" s="45" t="str">
        <f t="shared" si="127"/>
        <v/>
      </c>
      <c r="BS154" s="45" t="str">
        <f t="shared" si="127"/>
        <v/>
      </c>
      <c r="BT154" s="45" t="str">
        <f t="shared" si="127"/>
        <v/>
      </c>
      <c r="BU154" s="45" t="str">
        <f t="shared" si="127"/>
        <v/>
      </c>
      <c r="BV154" s="45" t="str">
        <f t="shared" si="127"/>
        <v/>
      </c>
      <c r="BW154" s="45" t="str">
        <f t="shared" si="127"/>
        <v/>
      </c>
      <c r="BX154" s="45" t="str">
        <f t="shared" si="127"/>
        <v/>
      </c>
      <c r="BY154" s="45" t="str">
        <f t="shared" si="127"/>
        <v/>
      </c>
      <c r="BZ154" s="45" t="str">
        <f t="shared" si="127"/>
        <v/>
      </c>
      <c r="CA154" s="45" t="str">
        <f t="shared" si="127"/>
        <v/>
      </c>
      <c r="CB154" s="45" t="str">
        <f t="shared" si="127"/>
        <v/>
      </c>
      <c r="CC154" s="45" t="str">
        <f t="shared" si="127"/>
        <v/>
      </c>
      <c r="CD154" s="45" t="str">
        <f t="shared" ref="CD154:CO154" si="128">IF(COUNTIFS($E$155:$E$162,"&lt;&gt;",$D$155:$D$162,"A",CD$155:CD$162,"&lt;&gt;")=0,"",IFERROR(SUMPRODUCT(--($E$155:$E$162&lt;&gt;""),--($D$155:$D$162="A"),$O$155:$O$162,CD$155:CD$162)/SUMPRODUCT(--($E$155:$E$162&lt;&gt;""),--($D$155:$D$162="A"),$O$155:$O$162),""))</f>
        <v/>
      </c>
      <c r="CE154" s="45" t="str">
        <f t="shared" si="128"/>
        <v/>
      </c>
      <c r="CF154" s="45" t="str">
        <f t="shared" si="128"/>
        <v/>
      </c>
      <c r="CG154" s="45" t="str">
        <f t="shared" si="128"/>
        <v/>
      </c>
      <c r="CH154" s="45" t="str">
        <f t="shared" si="128"/>
        <v/>
      </c>
      <c r="CI154" s="45" t="str">
        <f t="shared" si="128"/>
        <v/>
      </c>
      <c r="CJ154" s="45" t="str">
        <f t="shared" si="128"/>
        <v/>
      </c>
      <c r="CK154" s="45" t="str">
        <f t="shared" si="128"/>
        <v/>
      </c>
      <c r="CL154" s="45" t="str">
        <f t="shared" si="128"/>
        <v/>
      </c>
      <c r="CM154" s="45" t="str">
        <f t="shared" si="128"/>
        <v/>
      </c>
      <c r="CN154" s="45" t="str">
        <f t="shared" si="128"/>
        <v/>
      </c>
      <c r="CO154" s="45" t="str">
        <f t="shared" si="128"/>
        <v/>
      </c>
    </row>
    <row r="155" spans="1:93" outlineLevel="4" x14ac:dyDescent="0.25">
      <c r="A155" s="10" t="s">
        <v>116</v>
      </c>
      <c r="B155" s="10" t="s">
        <v>300</v>
      </c>
      <c r="C155" s="24" t="s">
        <v>301</v>
      </c>
      <c r="D155" s="12" t="s">
        <v>110</v>
      </c>
      <c r="E155" s="10" t="s">
        <v>302</v>
      </c>
      <c r="F155" s="10">
        <v>75</v>
      </c>
      <c r="G155" s="10">
        <v>75</v>
      </c>
      <c r="H155" s="10">
        <v>4</v>
      </c>
      <c r="I155" s="13">
        <v>46266.333333333343</v>
      </c>
      <c r="J155" s="13">
        <v>46307.666666666657</v>
      </c>
      <c r="K155" s="13"/>
      <c r="L155" s="13"/>
      <c r="M155" s="14">
        <f t="shared" si="104"/>
        <v>1</v>
      </c>
      <c r="N155" s="14"/>
      <c r="O155" s="16">
        <v>100000</v>
      </c>
      <c r="P155" s="15">
        <v>13.33333333333333</v>
      </c>
      <c r="Q155" s="16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>
        <v>9.5238095238095247E-2</v>
      </c>
      <c r="AY155" s="47">
        <v>0.16666666666666671</v>
      </c>
      <c r="AZ155" s="47">
        <v>0.16666666666666671</v>
      </c>
      <c r="BA155" s="47">
        <v>0.16666666666666671</v>
      </c>
      <c r="BB155" s="47">
        <v>0.16666666666666671</v>
      </c>
      <c r="BC155" s="47">
        <v>0.16666666666666671</v>
      </c>
      <c r="BD155" s="47">
        <v>7.1428571428571175E-2</v>
      </c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</row>
    <row r="156" spans="1:93" outlineLevel="4" x14ac:dyDescent="0.25">
      <c r="A156" s="17"/>
      <c r="B156" s="17"/>
      <c r="C156" s="25"/>
      <c r="D156" s="19" t="s">
        <v>111</v>
      </c>
      <c r="E156" s="17" t="s">
        <v>302</v>
      </c>
      <c r="F156" s="17"/>
      <c r="G156" s="17"/>
      <c r="H156" s="17"/>
      <c r="I156" s="20"/>
      <c r="J156" s="20"/>
      <c r="K156" s="20"/>
      <c r="L156" s="20"/>
      <c r="M156" s="21" t="str">
        <f t="shared" si="104"/>
        <v/>
      </c>
      <c r="N156" s="21">
        <v>0</v>
      </c>
      <c r="O156" s="48">
        <f>O155</f>
        <v>100000</v>
      </c>
      <c r="P156" s="22"/>
      <c r="Q156" s="23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</row>
    <row r="157" spans="1:93" outlineLevel="4" x14ac:dyDescent="0.25">
      <c r="A157" s="10" t="s">
        <v>116</v>
      </c>
      <c r="B157" s="10" t="s">
        <v>303</v>
      </c>
      <c r="C157" s="24" t="s">
        <v>304</v>
      </c>
      <c r="D157" s="12" t="s">
        <v>110</v>
      </c>
      <c r="E157" s="10" t="s">
        <v>305</v>
      </c>
      <c r="F157" s="10">
        <v>76</v>
      </c>
      <c r="G157" s="10">
        <v>76</v>
      </c>
      <c r="H157" s="10">
        <v>4</v>
      </c>
      <c r="I157" s="13">
        <v>46308.333333333343</v>
      </c>
      <c r="J157" s="13">
        <v>46398.666666666657</v>
      </c>
      <c r="K157" s="13"/>
      <c r="L157" s="13"/>
      <c r="M157" s="14">
        <f t="shared" si="104"/>
        <v>1</v>
      </c>
      <c r="N157" s="14"/>
      <c r="O157" s="16">
        <v>100000</v>
      </c>
      <c r="P157" s="15">
        <v>13.33333333333333</v>
      </c>
      <c r="Q157" s="16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>
        <v>4.3956043956043959E-2</v>
      </c>
      <c r="BE157" s="47">
        <v>7.6923076923076941E-2</v>
      </c>
      <c r="BF157" s="47">
        <v>7.6923076923076941E-2</v>
      </c>
      <c r="BG157" s="47">
        <v>7.6923076923076941E-2</v>
      </c>
      <c r="BH157" s="47">
        <v>7.6923076923076941E-2</v>
      </c>
      <c r="BI157" s="47">
        <v>7.6923076923076941E-2</v>
      </c>
      <c r="BJ157" s="47">
        <v>7.6923076923076941E-2</v>
      </c>
      <c r="BK157" s="47">
        <v>7.6923076923076941E-2</v>
      </c>
      <c r="BL157" s="47">
        <v>7.6923076923076941E-2</v>
      </c>
      <c r="BM157" s="47">
        <v>7.6923076923076941E-2</v>
      </c>
      <c r="BN157" s="47">
        <v>7.6923076923076941E-2</v>
      </c>
      <c r="BO157" s="47">
        <v>7.6923076923076941E-2</v>
      </c>
      <c r="BP157" s="47">
        <v>7.6923076923076941E-2</v>
      </c>
      <c r="BQ157" s="47">
        <v>3.2967032967032517E-2</v>
      </c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</row>
    <row r="158" spans="1:93" outlineLevel="4" x14ac:dyDescent="0.25">
      <c r="A158" s="17"/>
      <c r="B158" s="17"/>
      <c r="C158" s="25"/>
      <c r="D158" s="19" t="s">
        <v>111</v>
      </c>
      <c r="E158" s="17" t="s">
        <v>305</v>
      </c>
      <c r="F158" s="17"/>
      <c r="G158" s="17"/>
      <c r="H158" s="17"/>
      <c r="I158" s="20"/>
      <c r="J158" s="20"/>
      <c r="K158" s="20"/>
      <c r="L158" s="20"/>
      <c r="M158" s="21" t="str">
        <f t="shared" si="104"/>
        <v/>
      </c>
      <c r="N158" s="21">
        <v>0</v>
      </c>
      <c r="O158" s="48">
        <f>O157</f>
        <v>100000</v>
      </c>
      <c r="P158" s="22"/>
      <c r="Q158" s="23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</row>
    <row r="159" spans="1:93" outlineLevel="4" x14ac:dyDescent="0.25">
      <c r="A159" s="10" t="s">
        <v>116</v>
      </c>
      <c r="B159" s="10" t="s">
        <v>306</v>
      </c>
      <c r="C159" s="24" t="s">
        <v>307</v>
      </c>
      <c r="D159" s="12" t="s">
        <v>110</v>
      </c>
      <c r="E159" s="10" t="s">
        <v>308</v>
      </c>
      <c r="F159" s="10">
        <v>77</v>
      </c>
      <c r="G159" s="10">
        <v>77</v>
      </c>
      <c r="H159" s="10">
        <v>4</v>
      </c>
      <c r="I159" s="13">
        <v>46308.333333333343</v>
      </c>
      <c r="J159" s="13">
        <v>46398.666666666657</v>
      </c>
      <c r="K159" s="13"/>
      <c r="L159" s="13"/>
      <c r="M159" s="14">
        <f t="shared" si="104"/>
        <v>1</v>
      </c>
      <c r="N159" s="14"/>
      <c r="O159" s="16">
        <v>100000</v>
      </c>
      <c r="P159" s="15">
        <v>13.33333333333333</v>
      </c>
      <c r="Q159" s="16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>
        <v>4.3956043956043959E-2</v>
      </c>
      <c r="BE159" s="47">
        <v>7.6923076923076941E-2</v>
      </c>
      <c r="BF159" s="47">
        <v>7.6923076923076941E-2</v>
      </c>
      <c r="BG159" s="47">
        <v>7.6923076923076941E-2</v>
      </c>
      <c r="BH159" s="47">
        <v>7.6923076923076941E-2</v>
      </c>
      <c r="BI159" s="47">
        <v>7.6923076923076941E-2</v>
      </c>
      <c r="BJ159" s="47">
        <v>7.6923076923076941E-2</v>
      </c>
      <c r="BK159" s="47">
        <v>7.6923076923076941E-2</v>
      </c>
      <c r="BL159" s="47">
        <v>7.6923076923076941E-2</v>
      </c>
      <c r="BM159" s="47">
        <v>7.6923076923076941E-2</v>
      </c>
      <c r="BN159" s="47">
        <v>7.6923076923076941E-2</v>
      </c>
      <c r="BO159" s="47">
        <v>7.6923076923076941E-2</v>
      </c>
      <c r="BP159" s="47">
        <v>7.6923076923076941E-2</v>
      </c>
      <c r="BQ159" s="47">
        <v>3.2967032967032517E-2</v>
      </c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</row>
    <row r="160" spans="1:93" outlineLevel="4" x14ac:dyDescent="0.25">
      <c r="A160" s="17"/>
      <c r="B160" s="17"/>
      <c r="C160" s="25"/>
      <c r="D160" s="19" t="s">
        <v>111</v>
      </c>
      <c r="E160" s="17" t="s">
        <v>308</v>
      </c>
      <c r="F160" s="17"/>
      <c r="G160" s="17"/>
      <c r="H160" s="17"/>
      <c r="I160" s="20"/>
      <c r="J160" s="20"/>
      <c r="K160" s="20"/>
      <c r="L160" s="20"/>
      <c r="M160" s="21" t="str">
        <f t="shared" si="104"/>
        <v/>
      </c>
      <c r="N160" s="21">
        <v>0</v>
      </c>
      <c r="O160" s="48">
        <f>O159</f>
        <v>100000</v>
      </c>
      <c r="P160" s="22"/>
      <c r="Q160" s="23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</row>
    <row r="161" spans="1:93" outlineLevel="4" x14ac:dyDescent="0.25">
      <c r="A161" s="10" t="s">
        <v>116</v>
      </c>
      <c r="B161" s="10" t="s">
        <v>309</v>
      </c>
      <c r="C161" s="24" t="s">
        <v>310</v>
      </c>
      <c r="D161" s="12" t="s">
        <v>110</v>
      </c>
      <c r="E161" s="10" t="s">
        <v>311</v>
      </c>
      <c r="F161" s="10">
        <v>78</v>
      </c>
      <c r="G161" s="10">
        <v>78</v>
      </c>
      <c r="H161" s="10">
        <v>4</v>
      </c>
      <c r="I161" s="13">
        <v>46308.333333333343</v>
      </c>
      <c r="J161" s="13">
        <v>46398.666666666657</v>
      </c>
      <c r="K161" s="13"/>
      <c r="L161" s="13"/>
      <c r="M161" s="14">
        <f t="shared" si="104"/>
        <v>1</v>
      </c>
      <c r="N161" s="14"/>
      <c r="O161" s="16">
        <v>100000</v>
      </c>
      <c r="P161" s="15">
        <v>13.33333333333333</v>
      </c>
      <c r="Q161" s="16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>
        <v>4.3956043956043959E-2</v>
      </c>
      <c r="BE161" s="47">
        <v>7.6923076923076941E-2</v>
      </c>
      <c r="BF161" s="47">
        <v>7.6923076923076941E-2</v>
      </c>
      <c r="BG161" s="47">
        <v>7.6923076923076941E-2</v>
      </c>
      <c r="BH161" s="47">
        <v>7.6923076923076941E-2</v>
      </c>
      <c r="BI161" s="47">
        <v>7.6923076923076941E-2</v>
      </c>
      <c r="BJ161" s="47">
        <v>7.6923076923076941E-2</v>
      </c>
      <c r="BK161" s="47">
        <v>7.6923076923076941E-2</v>
      </c>
      <c r="BL161" s="47">
        <v>7.6923076923076941E-2</v>
      </c>
      <c r="BM161" s="47">
        <v>7.6923076923076941E-2</v>
      </c>
      <c r="BN161" s="47">
        <v>7.6923076923076941E-2</v>
      </c>
      <c r="BO161" s="47">
        <v>7.6923076923076941E-2</v>
      </c>
      <c r="BP161" s="47">
        <v>7.6923076923076941E-2</v>
      </c>
      <c r="BQ161" s="47">
        <v>3.2967032967032517E-2</v>
      </c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</row>
    <row r="162" spans="1:93" outlineLevel="4" x14ac:dyDescent="0.25">
      <c r="A162" s="17"/>
      <c r="B162" s="17"/>
      <c r="C162" s="25"/>
      <c r="D162" s="19" t="s">
        <v>111</v>
      </c>
      <c r="E162" s="17" t="s">
        <v>311</v>
      </c>
      <c r="F162" s="17"/>
      <c r="G162" s="17"/>
      <c r="H162" s="17"/>
      <c r="I162" s="20"/>
      <c r="J162" s="20"/>
      <c r="K162" s="20"/>
      <c r="L162" s="20"/>
      <c r="M162" s="21" t="str">
        <f t="shared" si="104"/>
        <v/>
      </c>
      <c r="N162" s="21">
        <v>0</v>
      </c>
      <c r="O162" s="48">
        <f>O161</f>
        <v>100000</v>
      </c>
      <c r="P162" s="22"/>
      <c r="Q162" s="23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</row>
    <row r="163" spans="1:93" outlineLevel="2" x14ac:dyDescent="0.25">
      <c r="A163" s="1" t="s">
        <v>92</v>
      </c>
      <c r="B163" s="1" t="s">
        <v>312</v>
      </c>
      <c r="C163" s="6" t="s">
        <v>313</v>
      </c>
      <c r="D163" s="8" t="s">
        <v>110</v>
      </c>
      <c r="E163" s="1"/>
      <c r="F163" s="1">
        <v>79</v>
      </c>
      <c r="G163" s="1">
        <v>79</v>
      </c>
      <c r="H163" s="1">
        <v>2</v>
      </c>
      <c r="I163" s="9">
        <v>46269.333333333343</v>
      </c>
      <c r="J163" s="9">
        <v>46525.666666666657</v>
      </c>
      <c r="K163" s="9"/>
      <c r="L163" s="9"/>
      <c r="M163" s="3">
        <f t="shared" si="104"/>
        <v>0.99999999999999989</v>
      </c>
      <c r="N163" s="3"/>
      <c r="O163" s="5">
        <f>SUMIFS($O$164:$O$203,$A$164:$A$203,"Activity",$D$164:$D$203,"P")</f>
        <v>1500000</v>
      </c>
      <c r="P163" s="4"/>
      <c r="Q163" s="5"/>
      <c r="R163" s="45" t="str">
        <f t="shared" ref="R163:AW163" si="129">IF(COUNTIFS($A$165:$A$204,"Activity",$D$165:$D$204,"P",R$165:R$204,"&lt;&gt;")=0,"",IFERROR(SUMPRODUCT(--($A$165:$A$204="Activity"),--($D$165:$D$204="P"),$O$165:$O$204,R$165:R$204)/SUMPRODUCT(--($A$165:$A$204="Activity"),--($D$165:$D$204="P"),$O$165:$O$204),""))</f>
        <v/>
      </c>
      <c r="S163" s="45" t="str">
        <f t="shared" si="129"/>
        <v/>
      </c>
      <c r="T163" s="45" t="str">
        <f t="shared" si="129"/>
        <v/>
      </c>
      <c r="U163" s="45" t="str">
        <f t="shared" si="129"/>
        <v/>
      </c>
      <c r="V163" s="45" t="str">
        <f t="shared" si="129"/>
        <v/>
      </c>
      <c r="W163" s="45" t="str">
        <f t="shared" si="129"/>
        <v/>
      </c>
      <c r="X163" s="45" t="str">
        <f t="shared" si="129"/>
        <v/>
      </c>
      <c r="Y163" s="45" t="str">
        <f t="shared" si="129"/>
        <v/>
      </c>
      <c r="Z163" s="45" t="str">
        <f t="shared" si="129"/>
        <v/>
      </c>
      <c r="AA163" s="45" t="str">
        <f t="shared" si="129"/>
        <v/>
      </c>
      <c r="AB163" s="45" t="str">
        <f t="shared" si="129"/>
        <v/>
      </c>
      <c r="AC163" s="45" t="str">
        <f t="shared" si="129"/>
        <v/>
      </c>
      <c r="AD163" s="45" t="str">
        <f t="shared" si="129"/>
        <v/>
      </c>
      <c r="AE163" s="45" t="str">
        <f t="shared" si="129"/>
        <v/>
      </c>
      <c r="AF163" s="45" t="str">
        <f t="shared" si="129"/>
        <v/>
      </c>
      <c r="AG163" s="45" t="str">
        <f t="shared" si="129"/>
        <v/>
      </c>
      <c r="AH163" s="45" t="str">
        <f t="shared" si="129"/>
        <v/>
      </c>
      <c r="AI163" s="45" t="str">
        <f t="shared" si="129"/>
        <v/>
      </c>
      <c r="AJ163" s="45" t="str">
        <f t="shared" si="129"/>
        <v/>
      </c>
      <c r="AK163" s="45" t="str">
        <f t="shared" si="129"/>
        <v/>
      </c>
      <c r="AL163" s="45" t="str">
        <f t="shared" si="129"/>
        <v/>
      </c>
      <c r="AM163" s="45" t="str">
        <f t="shared" si="129"/>
        <v/>
      </c>
      <c r="AN163" s="45" t="str">
        <f t="shared" si="129"/>
        <v/>
      </c>
      <c r="AO163" s="45" t="str">
        <f t="shared" si="129"/>
        <v/>
      </c>
      <c r="AP163" s="45" t="str">
        <f t="shared" si="129"/>
        <v/>
      </c>
      <c r="AQ163" s="45" t="str">
        <f t="shared" si="129"/>
        <v/>
      </c>
      <c r="AR163" s="45" t="str">
        <f t="shared" si="129"/>
        <v/>
      </c>
      <c r="AS163" s="45" t="str">
        <f t="shared" si="129"/>
        <v/>
      </c>
      <c r="AT163" s="45" t="str">
        <f t="shared" si="129"/>
        <v/>
      </c>
      <c r="AU163" s="45" t="str">
        <f t="shared" si="129"/>
        <v/>
      </c>
      <c r="AV163" s="45" t="str">
        <f t="shared" si="129"/>
        <v/>
      </c>
      <c r="AW163" s="45" t="str">
        <f t="shared" si="129"/>
        <v/>
      </c>
      <c r="AX163" s="45">
        <f t="shared" ref="AX163:CC163" si="130">IF(COUNTIFS($A$165:$A$204,"Activity",$D$165:$D$204,"P",AX$165:AX$204,"&lt;&gt;")=0,"",IFERROR(SUMPRODUCT(--($A$165:$A$204="Activity"),--($D$165:$D$204="P"),$O$165:$O$204,AX$165:AX$204)/SUMPRODUCT(--($A$165:$A$204="Activity"),--($D$165:$D$204="P"),$O$165:$O$204),""))</f>
        <v>3.174603174603175E-3</v>
      </c>
      <c r="AY163" s="45">
        <f t="shared" si="130"/>
        <v>2.222222222222222E-2</v>
      </c>
      <c r="AZ163" s="45">
        <f t="shared" si="130"/>
        <v>2.222222222222222E-2</v>
      </c>
      <c r="BA163" s="45">
        <f t="shared" si="130"/>
        <v>2.222222222222223E-2</v>
      </c>
      <c r="BB163" s="45">
        <f t="shared" si="130"/>
        <v>2.222222222222222E-2</v>
      </c>
      <c r="BC163" s="45">
        <f t="shared" si="130"/>
        <v>2.222222222222222E-2</v>
      </c>
      <c r="BD163" s="45">
        <f t="shared" si="130"/>
        <v>1.9047619047619053E-2</v>
      </c>
      <c r="BE163" s="45" t="str">
        <f t="shared" si="130"/>
        <v/>
      </c>
      <c r="BF163" s="45" t="str">
        <f t="shared" si="130"/>
        <v/>
      </c>
      <c r="BG163" s="45" t="str">
        <f t="shared" si="130"/>
        <v/>
      </c>
      <c r="BH163" s="45">
        <f t="shared" si="130"/>
        <v>1.282051282051282E-2</v>
      </c>
      <c r="BI163" s="45">
        <f t="shared" si="130"/>
        <v>1.8259515651265271E-2</v>
      </c>
      <c r="BJ163" s="45">
        <f t="shared" si="130"/>
        <v>2.0905643063782172E-2</v>
      </c>
      <c r="BK163" s="45">
        <f t="shared" si="130"/>
        <v>2.4208528466431341E-2</v>
      </c>
      <c r="BL163" s="45">
        <f t="shared" si="130"/>
        <v>2.3141195571619269E-2</v>
      </c>
      <c r="BM163" s="45">
        <f t="shared" si="130"/>
        <v>3.1200736918709397E-2</v>
      </c>
      <c r="BN163" s="45">
        <f t="shared" si="130"/>
        <v>3.1200736918709397E-2</v>
      </c>
      <c r="BO163" s="45">
        <f t="shared" si="130"/>
        <v>4.0967813398237102E-2</v>
      </c>
      <c r="BP163" s="45">
        <f t="shared" si="130"/>
        <v>7.8482032739935592E-2</v>
      </c>
      <c r="BQ163" s="45">
        <f t="shared" si="130"/>
        <v>8.629025844839755E-2</v>
      </c>
      <c r="BR163" s="45">
        <f t="shared" si="130"/>
        <v>6.1812917397554602E-2</v>
      </c>
      <c r="BS163" s="45">
        <f t="shared" si="130"/>
        <v>6.5672514619883049E-2</v>
      </c>
      <c r="BT163" s="45">
        <f t="shared" si="130"/>
        <v>6.5672514619883049E-2</v>
      </c>
      <c r="BU163" s="45">
        <f t="shared" si="130"/>
        <v>4.1111111111111112E-2</v>
      </c>
      <c r="BV163" s="45">
        <f t="shared" si="130"/>
        <v>3.6349206349206353E-2</v>
      </c>
      <c r="BW163" s="45">
        <f t="shared" si="130"/>
        <v>2.0634920634920634E-2</v>
      </c>
      <c r="BX163" s="45">
        <f t="shared" si="130"/>
        <v>1.0052910052910062E-2</v>
      </c>
      <c r="BY163" s="45">
        <f t="shared" si="130"/>
        <v>7.4074074074074077E-3</v>
      </c>
      <c r="BZ163" s="45">
        <f t="shared" si="130"/>
        <v>1.216931216931217E-2</v>
      </c>
      <c r="CA163" s="45">
        <f t="shared" si="130"/>
        <v>2.4074074074074074E-2</v>
      </c>
      <c r="CB163" s="45">
        <f t="shared" si="130"/>
        <v>2.4074074074074074E-2</v>
      </c>
      <c r="CC163" s="45">
        <f t="shared" si="130"/>
        <v>2.4074074074074074E-2</v>
      </c>
      <c r="CD163" s="45">
        <f t="shared" ref="CD163:CO163" si="131">IF(COUNTIFS($A$165:$A$204,"Activity",$D$165:$D$204,"P",CD$165:CD$204,"&lt;&gt;")=0,"",IFERROR(SUMPRODUCT(--($A$165:$A$204="Activity"),--($D$165:$D$204="P"),$O$165:$O$204,CD$165:CD$204)/SUMPRODUCT(--($A$165:$A$204="Activity"),--($D$165:$D$204="P"),$O$165:$O$204),""))</f>
        <v>1.9312169312169315E-2</v>
      </c>
      <c r="CE163" s="45">
        <f t="shared" si="131"/>
        <v>7.4074074074074077E-3</v>
      </c>
      <c r="CF163" s="45">
        <f t="shared" si="131"/>
        <v>7.4074074074074077E-3</v>
      </c>
      <c r="CG163" s="45">
        <f t="shared" si="131"/>
        <v>1.9576719576719567E-2</v>
      </c>
      <c r="CH163" s="45">
        <f t="shared" si="131"/>
        <v>3.3333333333333333E-2</v>
      </c>
      <c r="CI163" s="45">
        <f t="shared" si="131"/>
        <v>1.9047619047619046E-2</v>
      </c>
      <c r="CJ163" s="45" t="str">
        <f t="shared" si="131"/>
        <v/>
      </c>
      <c r="CK163" s="45" t="str">
        <f t="shared" si="131"/>
        <v/>
      </c>
      <c r="CL163" s="45" t="str">
        <f t="shared" si="131"/>
        <v/>
      </c>
      <c r="CM163" s="45" t="str">
        <f t="shared" si="131"/>
        <v/>
      </c>
      <c r="CN163" s="45" t="str">
        <f t="shared" si="131"/>
        <v/>
      </c>
      <c r="CO163" s="45" t="str">
        <f t="shared" si="131"/>
        <v/>
      </c>
    </row>
    <row r="164" spans="1:93" outlineLevel="2" x14ac:dyDescent="0.25">
      <c r="A164" s="1"/>
      <c r="B164" s="1"/>
      <c r="C164" s="6"/>
      <c r="D164" s="8" t="s">
        <v>111</v>
      </c>
      <c r="E164" s="1"/>
      <c r="F164" s="1"/>
      <c r="G164" s="1"/>
      <c r="H164" s="1"/>
      <c r="I164" s="9"/>
      <c r="J164" s="9"/>
      <c r="K164" s="9"/>
      <c r="L164" s="9"/>
      <c r="M164" s="3" t="str">
        <f t="shared" si="104"/>
        <v/>
      </c>
      <c r="N164" s="3"/>
      <c r="O164" s="46">
        <f>O163</f>
        <v>1500000</v>
      </c>
      <c r="P164" s="4"/>
      <c r="Q164" s="5"/>
      <c r="R164" s="45" t="str">
        <f t="shared" ref="R164:AW164" si="132">IF(COUNTIFS($E$165:$E$204,"&lt;&gt;",$D$165:$D$204,"A",R$165:R$204,"&lt;&gt;")=0,"",IFERROR(SUMPRODUCT(--($E$165:$E$204&lt;&gt;""),--($D$165:$D$204="A"),$O$165:$O$204,R$165:R$204)/SUMPRODUCT(--($E$165:$E$204&lt;&gt;""),--($D$165:$D$204="A"),$O$165:$O$204),""))</f>
        <v/>
      </c>
      <c r="S164" s="45" t="str">
        <f t="shared" si="132"/>
        <v/>
      </c>
      <c r="T164" s="45" t="str">
        <f t="shared" si="132"/>
        <v/>
      </c>
      <c r="U164" s="45" t="str">
        <f t="shared" si="132"/>
        <v/>
      </c>
      <c r="V164" s="45" t="str">
        <f t="shared" si="132"/>
        <v/>
      </c>
      <c r="W164" s="45" t="str">
        <f t="shared" si="132"/>
        <v/>
      </c>
      <c r="X164" s="45" t="str">
        <f t="shared" si="132"/>
        <v/>
      </c>
      <c r="Y164" s="45" t="str">
        <f t="shared" si="132"/>
        <v/>
      </c>
      <c r="Z164" s="45" t="str">
        <f t="shared" si="132"/>
        <v/>
      </c>
      <c r="AA164" s="45" t="str">
        <f t="shared" si="132"/>
        <v/>
      </c>
      <c r="AB164" s="45" t="str">
        <f t="shared" si="132"/>
        <v/>
      </c>
      <c r="AC164" s="45" t="str">
        <f t="shared" si="132"/>
        <v/>
      </c>
      <c r="AD164" s="45" t="str">
        <f t="shared" si="132"/>
        <v/>
      </c>
      <c r="AE164" s="45" t="str">
        <f t="shared" si="132"/>
        <v/>
      </c>
      <c r="AF164" s="45" t="str">
        <f t="shared" si="132"/>
        <v/>
      </c>
      <c r="AG164" s="45" t="str">
        <f t="shared" si="132"/>
        <v/>
      </c>
      <c r="AH164" s="45" t="str">
        <f t="shared" si="132"/>
        <v/>
      </c>
      <c r="AI164" s="45" t="str">
        <f t="shared" si="132"/>
        <v/>
      </c>
      <c r="AJ164" s="45" t="str">
        <f t="shared" si="132"/>
        <v/>
      </c>
      <c r="AK164" s="45" t="str">
        <f t="shared" si="132"/>
        <v/>
      </c>
      <c r="AL164" s="45" t="str">
        <f t="shared" si="132"/>
        <v/>
      </c>
      <c r="AM164" s="45" t="str">
        <f t="shared" si="132"/>
        <v/>
      </c>
      <c r="AN164" s="45" t="str">
        <f t="shared" si="132"/>
        <v/>
      </c>
      <c r="AO164" s="45" t="str">
        <f t="shared" si="132"/>
        <v/>
      </c>
      <c r="AP164" s="45" t="str">
        <f t="shared" si="132"/>
        <v/>
      </c>
      <c r="AQ164" s="45" t="str">
        <f t="shared" si="132"/>
        <v/>
      </c>
      <c r="AR164" s="45" t="str">
        <f t="shared" si="132"/>
        <v/>
      </c>
      <c r="AS164" s="45" t="str">
        <f t="shared" si="132"/>
        <v/>
      </c>
      <c r="AT164" s="45" t="str">
        <f t="shared" si="132"/>
        <v/>
      </c>
      <c r="AU164" s="45" t="str">
        <f t="shared" si="132"/>
        <v/>
      </c>
      <c r="AV164" s="45" t="str">
        <f t="shared" si="132"/>
        <v/>
      </c>
      <c r="AW164" s="45" t="str">
        <f t="shared" si="132"/>
        <v/>
      </c>
      <c r="AX164" s="45" t="str">
        <f t="shared" ref="AX164:CC164" si="133">IF(COUNTIFS($E$165:$E$204,"&lt;&gt;",$D$165:$D$204,"A",AX$165:AX$204,"&lt;&gt;")=0,"",IFERROR(SUMPRODUCT(--($E$165:$E$204&lt;&gt;""),--($D$165:$D$204="A"),$O$165:$O$204,AX$165:AX$204)/SUMPRODUCT(--($E$165:$E$204&lt;&gt;""),--($D$165:$D$204="A"),$O$165:$O$204),""))</f>
        <v/>
      </c>
      <c r="AY164" s="45" t="str">
        <f t="shared" si="133"/>
        <v/>
      </c>
      <c r="AZ164" s="45" t="str">
        <f t="shared" si="133"/>
        <v/>
      </c>
      <c r="BA164" s="45" t="str">
        <f t="shared" si="133"/>
        <v/>
      </c>
      <c r="BB164" s="45" t="str">
        <f t="shared" si="133"/>
        <v/>
      </c>
      <c r="BC164" s="45" t="str">
        <f t="shared" si="133"/>
        <v/>
      </c>
      <c r="BD164" s="45" t="str">
        <f t="shared" si="133"/>
        <v/>
      </c>
      <c r="BE164" s="45" t="str">
        <f t="shared" si="133"/>
        <v/>
      </c>
      <c r="BF164" s="45" t="str">
        <f t="shared" si="133"/>
        <v/>
      </c>
      <c r="BG164" s="45" t="str">
        <f t="shared" si="133"/>
        <v/>
      </c>
      <c r="BH164" s="45" t="str">
        <f t="shared" si="133"/>
        <v/>
      </c>
      <c r="BI164" s="45" t="str">
        <f t="shared" si="133"/>
        <v/>
      </c>
      <c r="BJ164" s="45" t="str">
        <f t="shared" si="133"/>
        <v/>
      </c>
      <c r="BK164" s="45" t="str">
        <f t="shared" si="133"/>
        <v/>
      </c>
      <c r="BL164" s="45" t="str">
        <f t="shared" si="133"/>
        <v/>
      </c>
      <c r="BM164" s="45" t="str">
        <f t="shared" si="133"/>
        <v/>
      </c>
      <c r="BN164" s="45" t="str">
        <f t="shared" si="133"/>
        <v/>
      </c>
      <c r="BO164" s="45" t="str">
        <f t="shared" si="133"/>
        <v/>
      </c>
      <c r="BP164" s="45" t="str">
        <f t="shared" si="133"/>
        <v/>
      </c>
      <c r="BQ164" s="45" t="str">
        <f t="shared" si="133"/>
        <v/>
      </c>
      <c r="BR164" s="45" t="str">
        <f t="shared" si="133"/>
        <v/>
      </c>
      <c r="BS164" s="45" t="str">
        <f t="shared" si="133"/>
        <v/>
      </c>
      <c r="BT164" s="45" t="str">
        <f t="shared" si="133"/>
        <v/>
      </c>
      <c r="BU164" s="45" t="str">
        <f t="shared" si="133"/>
        <v/>
      </c>
      <c r="BV164" s="45" t="str">
        <f t="shared" si="133"/>
        <v/>
      </c>
      <c r="BW164" s="45" t="str">
        <f t="shared" si="133"/>
        <v/>
      </c>
      <c r="BX164" s="45" t="str">
        <f t="shared" si="133"/>
        <v/>
      </c>
      <c r="BY164" s="45" t="str">
        <f t="shared" si="133"/>
        <v/>
      </c>
      <c r="BZ164" s="45" t="str">
        <f t="shared" si="133"/>
        <v/>
      </c>
      <c r="CA164" s="45" t="str">
        <f t="shared" si="133"/>
        <v/>
      </c>
      <c r="CB164" s="45" t="str">
        <f t="shared" si="133"/>
        <v/>
      </c>
      <c r="CC164" s="45" t="str">
        <f t="shared" si="133"/>
        <v/>
      </c>
      <c r="CD164" s="45" t="str">
        <f t="shared" ref="CD164:CO164" si="134">IF(COUNTIFS($E$165:$E$204,"&lt;&gt;",$D$165:$D$204,"A",CD$165:CD$204,"&lt;&gt;")=0,"",IFERROR(SUMPRODUCT(--($E$165:$E$204&lt;&gt;""),--($D$165:$D$204="A"),$O$165:$O$204,CD$165:CD$204)/SUMPRODUCT(--($E$165:$E$204&lt;&gt;""),--($D$165:$D$204="A"),$O$165:$O$204),""))</f>
        <v/>
      </c>
      <c r="CE164" s="45" t="str">
        <f t="shared" si="134"/>
        <v/>
      </c>
      <c r="CF164" s="45" t="str">
        <f t="shared" si="134"/>
        <v/>
      </c>
      <c r="CG164" s="45" t="str">
        <f t="shared" si="134"/>
        <v/>
      </c>
      <c r="CH164" s="45" t="str">
        <f t="shared" si="134"/>
        <v/>
      </c>
      <c r="CI164" s="45" t="str">
        <f t="shared" si="134"/>
        <v/>
      </c>
      <c r="CJ164" s="45" t="str">
        <f t="shared" si="134"/>
        <v/>
      </c>
      <c r="CK164" s="45" t="str">
        <f t="shared" si="134"/>
        <v/>
      </c>
      <c r="CL164" s="45" t="str">
        <f t="shared" si="134"/>
        <v/>
      </c>
      <c r="CM164" s="45" t="str">
        <f t="shared" si="134"/>
        <v/>
      </c>
      <c r="CN164" s="45" t="str">
        <f t="shared" si="134"/>
        <v/>
      </c>
      <c r="CO164" s="45" t="str">
        <f t="shared" si="134"/>
        <v/>
      </c>
    </row>
    <row r="165" spans="1:93" outlineLevel="3" x14ac:dyDescent="0.25">
      <c r="A165" s="1" t="s">
        <v>92</v>
      </c>
      <c r="B165" s="1" t="s">
        <v>314</v>
      </c>
      <c r="C165" s="7" t="s">
        <v>315</v>
      </c>
      <c r="D165" s="8" t="s">
        <v>110</v>
      </c>
      <c r="E165" s="1"/>
      <c r="F165" s="1">
        <v>80</v>
      </c>
      <c r="G165" s="1">
        <v>80</v>
      </c>
      <c r="H165" s="1">
        <v>3</v>
      </c>
      <c r="I165" s="9">
        <v>46269.333333333343</v>
      </c>
      <c r="J165" s="9">
        <v>46388.666666666657</v>
      </c>
      <c r="K165" s="9"/>
      <c r="L165" s="9"/>
      <c r="M165" s="3">
        <f t="shared" si="104"/>
        <v>1</v>
      </c>
      <c r="N165" s="3"/>
      <c r="O165" s="5">
        <f>SUMIFS($O$166:$O$171,$A$166:$A$171,"Activity",$D$166:$D$171,"P")</f>
        <v>300000</v>
      </c>
      <c r="P165" s="4"/>
      <c r="Q165" s="5"/>
      <c r="R165" s="45" t="str">
        <f t="shared" ref="R165:AW165" si="135">IF(COUNTIFS($A$167:$A$172,"Activity",$D$167:$D$172,"P",R$167:R$172,"&lt;&gt;")=0,"",IFERROR(SUMPRODUCT(--($A$167:$A$172="Activity"),--($D$167:$D$172="P"),$O$167:$O$172,R$167:R$172)/SUMPRODUCT(--($A$167:$A$172="Activity"),--($D$167:$D$172="P"),$O$167:$O$172),""))</f>
        <v/>
      </c>
      <c r="S165" s="45" t="str">
        <f t="shared" si="135"/>
        <v/>
      </c>
      <c r="T165" s="45" t="str">
        <f t="shared" si="135"/>
        <v/>
      </c>
      <c r="U165" s="45" t="str">
        <f t="shared" si="135"/>
        <v/>
      </c>
      <c r="V165" s="45" t="str">
        <f t="shared" si="135"/>
        <v/>
      </c>
      <c r="W165" s="45" t="str">
        <f t="shared" si="135"/>
        <v/>
      </c>
      <c r="X165" s="45" t="str">
        <f t="shared" si="135"/>
        <v/>
      </c>
      <c r="Y165" s="45" t="str">
        <f t="shared" si="135"/>
        <v/>
      </c>
      <c r="Z165" s="45" t="str">
        <f t="shared" si="135"/>
        <v/>
      </c>
      <c r="AA165" s="45" t="str">
        <f t="shared" si="135"/>
        <v/>
      </c>
      <c r="AB165" s="45" t="str">
        <f t="shared" si="135"/>
        <v/>
      </c>
      <c r="AC165" s="45" t="str">
        <f t="shared" si="135"/>
        <v/>
      </c>
      <c r="AD165" s="45" t="str">
        <f t="shared" si="135"/>
        <v/>
      </c>
      <c r="AE165" s="45" t="str">
        <f t="shared" si="135"/>
        <v/>
      </c>
      <c r="AF165" s="45" t="str">
        <f t="shared" si="135"/>
        <v/>
      </c>
      <c r="AG165" s="45" t="str">
        <f t="shared" si="135"/>
        <v/>
      </c>
      <c r="AH165" s="45" t="str">
        <f t="shared" si="135"/>
        <v/>
      </c>
      <c r="AI165" s="45" t="str">
        <f t="shared" si="135"/>
        <v/>
      </c>
      <c r="AJ165" s="45" t="str">
        <f t="shared" si="135"/>
        <v/>
      </c>
      <c r="AK165" s="45" t="str">
        <f t="shared" si="135"/>
        <v/>
      </c>
      <c r="AL165" s="45" t="str">
        <f t="shared" si="135"/>
        <v/>
      </c>
      <c r="AM165" s="45" t="str">
        <f t="shared" si="135"/>
        <v/>
      </c>
      <c r="AN165" s="45" t="str">
        <f t="shared" si="135"/>
        <v/>
      </c>
      <c r="AO165" s="45" t="str">
        <f t="shared" si="135"/>
        <v/>
      </c>
      <c r="AP165" s="45" t="str">
        <f t="shared" si="135"/>
        <v/>
      </c>
      <c r="AQ165" s="45" t="str">
        <f t="shared" si="135"/>
        <v/>
      </c>
      <c r="AR165" s="45" t="str">
        <f t="shared" si="135"/>
        <v/>
      </c>
      <c r="AS165" s="45" t="str">
        <f t="shared" si="135"/>
        <v/>
      </c>
      <c r="AT165" s="45" t="str">
        <f t="shared" si="135"/>
        <v/>
      </c>
      <c r="AU165" s="45" t="str">
        <f t="shared" si="135"/>
        <v/>
      </c>
      <c r="AV165" s="45" t="str">
        <f t="shared" si="135"/>
        <v/>
      </c>
      <c r="AW165" s="45" t="str">
        <f t="shared" si="135"/>
        <v/>
      </c>
      <c r="AX165" s="45">
        <f t="shared" ref="AX165:CC165" si="136">IF(COUNTIFS($A$167:$A$172,"Activity",$D$167:$D$172,"P",AX$167:AX$172,"&lt;&gt;")=0,"",IFERROR(SUMPRODUCT(--($A$167:$A$172="Activity"),--($D$167:$D$172="P"),$O$167:$O$172,AX$167:AX$172)/SUMPRODUCT(--($A$167:$A$172="Activity"),--($D$167:$D$172="P"),$O$167:$O$172),""))</f>
        <v>1.5873015873015876E-2</v>
      </c>
      <c r="AY165" s="45">
        <f t="shared" si="136"/>
        <v>0.11111111111111109</v>
      </c>
      <c r="AZ165" s="45">
        <f t="shared" si="136"/>
        <v>0.11111111111111109</v>
      </c>
      <c r="BA165" s="45">
        <f t="shared" si="136"/>
        <v>9.5238095238095261E-2</v>
      </c>
      <c r="BB165" s="45" t="str">
        <f t="shared" si="136"/>
        <v/>
      </c>
      <c r="BC165" s="45" t="str">
        <f t="shared" si="136"/>
        <v/>
      </c>
      <c r="BD165" s="45" t="str">
        <f t="shared" si="136"/>
        <v/>
      </c>
      <c r="BE165" s="45" t="str">
        <f t="shared" si="136"/>
        <v/>
      </c>
      <c r="BF165" s="45" t="str">
        <f t="shared" si="136"/>
        <v/>
      </c>
      <c r="BG165" s="45" t="str">
        <f t="shared" si="136"/>
        <v/>
      </c>
      <c r="BH165" s="45">
        <f t="shared" si="136"/>
        <v>6.4102564102564097E-2</v>
      </c>
      <c r="BI165" s="45">
        <f t="shared" si="136"/>
        <v>8.9743589743589744E-2</v>
      </c>
      <c r="BJ165" s="45">
        <f t="shared" si="136"/>
        <v>8.9743589743589744E-2</v>
      </c>
      <c r="BK165" s="45">
        <f t="shared" si="136"/>
        <v>8.9743589743589744E-2</v>
      </c>
      <c r="BL165" s="45">
        <f t="shared" si="136"/>
        <v>6.4102564102564097E-2</v>
      </c>
      <c r="BM165" s="45">
        <f t="shared" si="136"/>
        <v>8.9743589743589744E-2</v>
      </c>
      <c r="BN165" s="45">
        <f t="shared" si="136"/>
        <v>8.9743589743589744E-2</v>
      </c>
      <c r="BO165" s="45">
        <f t="shared" si="136"/>
        <v>8.9743589743589744E-2</v>
      </c>
      <c r="BP165" s="45" t="str">
        <f t="shared" si="136"/>
        <v/>
      </c>
      <c r="BQ165" s="45" t="str">
        <f t="shared" si="136"/>
        <v/>
      </c>
      <c r="BR165" s="45" t="str">
        <f t="shared" si="136"/>
        <v/>
      </c>
      <c r="BS165" s="45" t="str">
        <f t="shared" si="136"/>
        <v/>
      </c>
      <c r="BT165" s="45" t="str">
        <f t="shared" si="136"/>
        <v/>
      </c>
      <c r="BU165" s="45" t="str">
        <f t="shared" si="136"/>
        <v/>
      </c>
      <c r="BV165" s="45" t="str">
        <f t="shared" si="136"/>
        <v/>
      </c>
      <c r="BW165" s="45" t="str">
        <f t="shared" si="136"/>
        <v/>
      </c>
      <c r="BX165" s="45" t="str">
        <f t="shared" si="136"/>
        <v/>
      </c>
      <c r="BY165" s="45" t="str">
        <f t="shared" si="136"/>
        <v/>
      </c>
      <c r="BZ165" s="45" t="str">
        <f t="shared" si="136"/>
        <v/>
      </c>
      <c r="CA165" s="45" t="str">
        <f t="shared" si="136"/>
        <v/>
      </c>
      <c r="CB165" s="45" t="str">
        <f t="shared" si="136"/>
        <v/>
      </c>
      <c r="CC165" s="45" t="str">
        <f t="shared" si="136"/>
        <v/>
      </c>
      <c r="CD165" s="45" t="str">
        <f t="shared" ref="CD165:CO165" si="137">IF(COUNTIFS($A$167:$A$172,"Activity",$D$167:$D$172,"P",CD$167:CD$172,"&lt;&gt;")=0,"",IFERROR(SUMPRODUCT(--($A$167:$A$172="Activity"),--($D$167:$D$172="P"),$O$167:$O$172,CD$167:CD$172)/SUMPRODUCT(--($A$167:$A$172="Activity"),--($D$167:$D$172="P"),$O$167:$O$172),""))</f>
        <v/>
      </c>
      <c r="CE165" s="45" t="str">
        <f t="shared" si="137"/>
        <v/>
      </c>
      <c r="CF165" s="45" t="str">
        <f t="shared" si="137"/>
        <v/>
      </c>
      <c r="CG165" s="45" t="str">
        <f t="shared" si="137"/>
        <v/>
      </c>
      <c r="CH165" s="45" t="str">
        <f t="shared" si="137"/>
        <v/>
      </c>
      <c r="CI165" s="45" t="str">
        <f t="shared" si="137"/>
        <v/>
      </c>
      <c r="CJ165" s="45" t="str">
        <f t="shared" si="137"/>
        <v/>
      </c>
      <c r="CK165" s="45" t="str">
        <f t="shared" si="137"/>
        <v/>
      </c>
      <c r="CL165" s="45" t="str">
        <f t="shared" si="137"/>
        <v/>
      </c>
      <c r="CM165" s="45" t="str">
        <f t="shared" si="137"/>
        <v/>
      </c>
      <c r="CN165" s="45" t="str">
        <f t="shared" si="137"/>
        <v/>
      </c>
      <c r="CO165" s="45" t="str">
        <f t="shared" si="137"/>
        <v/>
      </c>
    </row>
    <row r="166" spans="1:93" outlineLevel="3" x14ac:dyDescent="0.25">
      <c r="A166" s="1"/>
      <c r="B166" s="1"/>
      <c r="C166" s="7"/>
      <c r="D166" s="8" t="s">
        <v>111</v>
      </c>
      <c r="E166" s="1"/>
      <c r="F166" s="1"/>
      <c r="G166" s="1"/>
      <c r="H166" s="1"/>
      <c r="I166" s="9"/>
      <c r="J166" s="9"/>
      <c r="K166" s="9"/>
      <c r="L166" s="9"/>
      <c r="M166" s="3" t="str">
        <f t="shared" si="104"/>
        <v/>
      </c>
      <c r="N166" s="3"/>
      <c r="O166" s="46">
        <f>O165</f>
        <v>300000</v>
      </c>
      <c r="P166" s="4"/>
      <c r="Q166" s="5"/>
      <c r="R166" s="45" t="str">
        <f t="shared" ref="R166:AW166" si="138">IF(COUNTIFS($E$167:$E$172,"&lt;&gt;",$D$167:$D$172,"A",R$167:R$172,"&lt;&gt;")=0,"",IFERROR(SUMPRODUCT(--($E$167:$E$172&lt;&gt;""),--($D$167:$D$172="A"),$O$167:$O$172,R$167:R$172)/SUMPRODUCT(--($E$167:$E$172&lt;&gt;""),--($D$167:$D$172="A"),$O$167:$O$172),""))</f>
        <v/>
      </c>
      <c r="S166" s="45" t="str">
        <f t="shared" si="138"/>
        <v/>
      </c>
      <c r="T166" s="45" t="str">
        <f t="shared" si="138"/>
        <v/>
      </c>
      <c r="U166" s="45" t="str">
        <f t="shared" si="138"/>
        <v/>
      </c>
      <c r="V166" s="45" t="str">
        <f t="shared" si="138"/>
        <v/>
      </c>
      <c r="W166" s="45" t="str">
        <f t="shared" si="138"/>
        <v/>
      </c>
      <c r="X166" s="45" t="str">
        <f t="shared" si="138"/>
        <v/>
      </c>
      <c r="Y166" s="45" t="str">
        <f t="shared" si="138"/>
        <v/>
      </c>
      <c r="Z166" s="45" t="str">
        <f t="shared" si="138"/>
        <v/>
      </c>
      <c r="AA166" s="45" t="str">
        <f t="shared" si="138"/>
        <v/>
      </c>
      <c r="AB166" s="45" t="str">
        <f t="shared" si="138"/>
        <v/>
      </c>
      <c r="AC166" s="45" t="str">
        <f t="shared" si="138"/>
        <v/>
      </c>
      <c r="AD166" s="45" t="str">
        <f t="shared" si="138"/>
        <v/>
      </c>
      <c r="AE166" s="45" t="str">
        <f t="shared" si="138"/>
        <v/>
      </c>
      <c r="AF166" s="45" t="str">
        <f t="shared" si="138"/>
        <v/>
      </c>
      <c r="AG166" s="45" t="str">
        <f t="shared" si="138"/>
        <v/>
      </c>
      <c r="AH166" s="45" t="str">
        <f t="shared" si="138"/>
        <v/>
      </c>
      <c r="AI166" s="45" t="str">
        <f t="shared" si="138"/>
        <v/>
      </c>
      <c r="AJ166" s="45" t="str">
        <f t="shared" si="138"/>
        <v/>
      </c>
      <c r="AK166" s="45" t="str">
        <f t="shared" si="138"/>
        <v/>
      </c>
      <c r="AL166" s="45" t="str">
        <f t="shared" si="138"/>
        <v/>
      </c>
      <c r="AM166" s="45" t="str">
        <f t="shared" si="138"/>
        <v/>
      </c>
      <c r="AN166" s="45" t="str">
        <f t="shared" si="138"/>
        <v/>
      </c>
      <c r="AO166" s="45" t="str">
        <f t="shared" si="138"/>
        <v/>
      </c>
      <c r="AP166" s="45" t="str">
        <f t="shared" si="138"/>
        <v/>
      </c>
      <c r="AQ166" s="45" t="str">
        <f t="shared" si="138"/>
        <v/>
      </c>
      <c r="AR166" s="45" t="str">
        <f t="shared" si="138"/>
        <v/>
      </c>
      <c r="AS166" s="45" t="str">
        <f t="shared" si="138"/>
        <v/>
      </c>
      <c r="AT166" s="45" t="str">
        <f t="shared" si="138"/>
        <v/>
      </c>
      <c r="AU166" s="45" t="str">
        <f t="shared" si="138"/>
        <v/>
      </c>
      <c r="AV166" s="45" t="str">
        <f t="shared" si="138"/>
        <v/>
      </c>
      <c r="AW166" s="45" t="str">
        <f t="shared" si="138"/>
        <v/>
      </c>
      <c r="AX166" s="45" t="str">
        <f t="shared" ref="AX166:CC166" si="139">IF(COUNTIFS($E$167:$E$172,"&lt;&gt;",$D$167:$D$172,"A",AX$167:AX$172,"&lt;&gt;")=0,"",IFERROR(SUMPRODUCT(--($E$167:$E$172&lt;&gt;""),--($D$167:$D$172="A"),$O$167:$O$172,AX$167:AX$172)/SUMPRODUCT(--($E$167:$E$172&lt;&gt;""),--($D$167:$D$172="A"),$O$167:$O$172),""))</f>
        <v/>
      </c>
      <c r="AY166" s="45" t="str">
        <f t="shared" si="139"/>
        <v/>
      </c>
      <c r="AZ166" s="45" t="str">
        <f t="shared" si="139"/>
        <v/>
      </c>
      <c r="BA166" s="45" t="str">
        <f t="shared" si="139"/>
        <v/>
      </c>
      <c r="BB166" s="45" t="str">
        <f t="shared" si="139"/>
        <v/>
      </c>
      <c r="BC166" s="45" t="str">
        <f t="shared" si="139"/>
        <v/>
      </c>
      <c r="BD166" s="45" t="str">
        <f t="shared" si="139"/>
        <v/>
      </c>
      <c r="BE166" s="45" t="str">
        <f t="shared" si="139"/>
        <v/>
      </c>
      <c r="BF166" s="45" t="str">
        <f t="shared" si="139"/>
        <v/>
      </c>
      <c r="BG166" s="45" t="str">
        <f t="shared" si="139"/>
        <v/>
      </c>
      <c r="BH166" s="45" t="str">
        <f t="shared" si="139"/>
        <v/>
      </c>
      <c r="BI166" s="45" t="str">
        <f t="shared" si="139"/>
        <v/>
      </c>
      <c r="BJ166" s="45" t="str">
        <f t="shared" si="139"/>
        <v/>
      </c>
      <c r="BK166" s="45" t="str">
        <f t="shared" si="139"/>
        <v/>
      </c>
      <c r="BL166" s="45" t="str">
        <f t="shared" si="139"/>
        <v/>
      </c>
      <c r="BM166" s="45" t="str">
        <f t="shared" si="139"/>
        <v/>
      </c>
      <c r="BN166" s="45" t="str">
        <f t="shared" si="139"/>
        <v/>
      </c>
      <c r="BO166" s="45" t="str">
        <f t="shared" si="139"/>
        <v/>
      </c>
      <c r="BP166" s="45" t="str">
        <f t="shared" si="139"/>
        <v/>
      </c>
      <c r="BQ166" s="45" t="str">
        <f t="shared" si="139"/>
        <v/>
      </c>
      <c r="BR166" s="45" t="str">
        <f t="shared" si="139"/>
        <v/>
      </c>
      <c r="BS166" s="45" t="str">
        <f t="shared" si="139"/>
        <v/>
      </c>
      <c r="BT166" s="45" t="str">
        <f t="shared" si="139"/>
        <v/>
      </c>
      <c r="BU166" s="45" t="str">
        <f t="shared" si="139"/>
        <v/>
      </c>
      <c r="BV166" s="45" t="str">
        <f t="shared" si="139"/>
        <v/>
      </c>
      <c r="BW166" s="45" t="str">
        <f t="shared" si="139"/>
        <v/>
      </c>
      <c r="BX166" s="45" t="str">
        <f t="shared" si="139"/>
        <v/>
      </c>
      <c r="BY166" s="45" t="str">
        <f t="shared" si="139"/>
        <v/>
      </c>
      <c r="BZ166" s="45" t="str">
        <f t="shared" si="139"/>
        <v/>
      </c>
      <c r="CA166" s="45" t="str">
        <f t="shared" si="139"/>
        <v/>
      </c>
      <c r="CB166" s="45" t="str">
        <f t="shared" si="139"/>
        <v/>
      </c>
      <c r="CC166" s="45" t="str">
        <f t="shared" si="139"/>
        <v/>
      </c>
      <c r="CD166" s="45" t="str">
        <f t="shared" ref="CD166:CO166" si="140">IF(COUNTIFS($E$167:$E$172,"&lt;&gt;",$D$167:$D$172,"A",CD$167:CD$172,"&lt;&gt;")=0,"",IFERROR(SUMPRODUCT(--($E$167:$E$172&lt;&gt;""),--($D$167:$D$172="A"),$O$167:$O$172,CD$167:CD$172)/SUMPRODUCT(--($E$167:$E$172&lt;&gt;""),--($D$167:$D$172="A"),$O$167:$O$172),""))</f>
        <v/>
      </c>
      <c r="CE166" s="45" t="str">
        <f t="shared" si="140"/>
        <v/>
      </c>
      <c r="CF166" s="45" t="str">
        <f t="shared" si="140"/>
        <v/>
      </c>
      <c r="CG166" s="45" t="str">
        <f t="shared" si="140"/>
        <v/>
      </c>
      <c r="CH166" s="45" t="str">
        <f t="shared" si="140"/>
        <v/>
      </c>
      <c r="CI166" s="45" t="str">
        <f t="shared" si="140"/>
        <v/>
      </c>
      <c r="CJ166" s="45" t="str">
        <f t="shared" si="140"/>
        <v/>
      </c>
      <c r="CK166" s="45" t="str">
        <f t="shared" si="140"/>
        <v/>
      </c>
      <c r="CL166" s="45" t="str">
        <f t="shared" si="140"/>
        <v/>
      </c>
      <c r="CM166" s="45" t="str">
        <f t="shared" si="140"/>
        <v/>
      </c>
      <c r="CN166" s="45" t="str">
        <f t="shared" si="140"/>
        <v/>
      </c>
      <c r="CO166" s="45" t="str">
        <f t="shared" si="140"/>
        <v/>
      </c>
    </row>
    <row r="167" spans="1:93" outlineLevel="4" x14ac:dyDescent="0.25">
      <c r="A167" s="10" t="s">
        <v>116</v>
      </c>
      <c r="B167" s="10" t="s">
        <v>316</v>
      </c>
      <c r="C167" s="24" t="s">
        <v>317</v>
      </c>
      <c r="D167" s="12" t="s">
        <v>110</v>
      </c>
      <c r="E167" s="10" t="s">
        <v>318</v>
      </c>
      <c r="F167" s="10">
        <v>81</v>
      </c>
      <c r="G167" s="10">
        <v>81</v>
      </c>
      <c r="H167" s="10">
        <v>4</v>
      </c>
      <c r="I167" s="13">
        <v>46335.333333333343</v>
      </c>
      <c r="J167" s="13">
        <v>46360.666666666657</v>
      </c>
      <c r="K167" s="13"/>
      <c r="L167" s="13"/>
      <c r="M167" s="14">
        <f t="shared" si="104"/>
        <v>1</v>
      </c>
      <c r="N167" s="14"/>
      <c r="O167" s="16">
        <v>100000</v>
      </c>
      <c r="P167" s="15">
        <v>1.466666666666667</v>
      </c>
      <c r="Q167" s="16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>
        <v>0.19230769230769229</v>
      </c>
      <c r="BI167" s="47">
        <v>0.26923076923076922</v>
      </c>
      <c r="BJ167" s="47">
        <v>0.26923076923076922</v>
      </c>
      <c r="BK167" s="47">
        <v>0.26923076923076922</v>
      </c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</row>
    <row r="168" spans="1:93" outlineLevel="4" x14ac:dyDescent="0.25">
      <c r="A168" s="17"/>
      <c r="B168" s="17"/>
      <c r="C168" s="25"/>
      <c r="D168" s="19" t="s">
        <v>111</v>
      </c>
      <c r="E168" s="17" t="s">
        <v>318</v>
      </c>
      <c r="F168" s="17"/>
      <c r="G168" s="17"/>
      <c r="H168" s="17"/>
      <c r="I168" s="20"/>
      <c r="J168" s="20"/>
      <c r="K168" s="20"/>
      <c r="L168" s="20"/>
      <c r="M168" s="21" t="str">
        <f t="shared" si="104"/>
        <v/>
      </c>
      <c r="N168" s="21">
        <v>0</v>
      </c>
      <c r="O168" s="48">
        <f>O167</f>
        <v>100000</v>
      </c>
      <c r="P168" s="22"/>
      <c r="Q168" s="23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</row>
    <row r="169" spans="1:93" outlineLevel="4" x14ac:dyDescent="0.25">
      <c r="A169" s="10" t="s">
        <v>116</v>
      </c>
      <c r="B169" s="10" t="s">
        <v>319</v>
      </c>
      <c r="C169" s="24" t="s">
        <v>320</v>
      </c>
      <c r="D169" s="12" t="s">
        <v>110</v>
      </c>
      <c r="E169" s="10" t="s">
        <v>321</v>
      </c>
      <c r="F169" s="10">
        <v>82</v>
      </c>
      <c r="G169" s="10">
        <v>82</v>
      </c>
      <c r="H169" s="10">
        <v>4</v>
      </c>
      <c r="I169" s="13">
        <v>46363.333333333343</v>
      </c>
      <c r="J169" s="13">
        <v>46388.666666666657</v>
      </c>
      <c r="K169" s="13"/>
      <c r="L169" s="13"/>
      <c r="M169" s="14">
        <f t="shared" si="104"/>
        <v>1</v>
      </c>
      <c r="N169" s="14"/>
      <c r="O169" s="16">
        <v>100000</v>
      </c>
      <c r="P169" s="15">
        <v>9.4666666666666668</v>
      </c>
      <c r="Q169" s="16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>
        <v>0.19230769230769229</v>
      </c>
      <c r="BM169" s="47">
        <v>0.26923076923076922</v>
      </c>
      <c r="BN169" s="47">
        <v>0.26923076923076922</v>
      </c>
      <c r="BO169" s="47">
        <v>0.26923076923076922</v>
      </c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</row>
    <row r="170" spans="1:93" outlineLevel="4" x14ac:dyDescent="0.25">
      <c r="A170" s="17"/>
      <c r="B170" s="17"/>
      <c r="C170" s="25"/>
      <c r="D170" s="19" t="s">
        <v>111</v>
      </c>
      <c r="E170" s="17" t="s">
        <v>321</v>
      </c>
      <c r="F170" s="17"/>
      <c r="G170" s="17"/>
      <c r="H170" s="17"/>
      <c r="I170" s="20"/>
      <c r="J170" s="20"/>
      <c r="K170" s="20"/>
      <c r="L170" s="20"/>
      <c r="M170" s="21" t="str">
        <f t="shared" si="104"/>
        <v/>
      </c>
      <c r="N170" s="21">
        <v>0</v>
      </c>
      <c r="O170" s="48">
        <f>O169</f>
        <v>100000</v>
      </c>
      <c r="P170" s="22"/>
      <c r="Q170" s="23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</row>
    <row r="171" spans="1:93" outlineLevel="4" x14ac:dyDescent="0.25">
      <c r="A171" s="10" t="s">
        <v>116</v>
      </c>
      <c r="B171" s="10" t="s">
        <v>322</v>
      </c>
      <c r="C171" s="24" t="s">
        <v>323</v>
      </c>
      <c r="D171" s="12" t="s">
        <v>110</v>
      </c>
      <c r="E171" s="10" t="s">
        <v>324</v>
      </c>
      <c r="F171" s="10">
        <v>83</v>
      </c>
      <c r="G171" s="10">
        <v>83</v>
      </c>
      <c r="H171" s="10">
        <v>4</v>
      </c>
      <c r="I171" s="13">
        <v>46269.333333333343</v>
      </c>
      <c r="J171" s="13">
        <v>46289.666666666657</v>
      </c>
      <c r="K171" s="13"/>
      <c r="L171" s="13"/>
      <c r="M171" s="14">
        <f t="shared" si="104"/>
        <v>1</v>
      </c>
      <c r="N171" s="14"/>
      <c r="O171" s="16">
        <v>100000</v>
      </c>
      <c r="P171" s="15">
        <v>0</v>
      </c>
      <c r="Q171" s="16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>
        <v>4.7619047619047623E-2</v>
      </c>
      <c r="AY171" s="47">
        <v>0.33333333333333331</v>
      </c>
      <c r="AZ171" s="47">
        <v>0.33333333333333331</v>
      </c>
      <c r="BA171" s="47">
        <v>0.28571428571428581</v>
      </c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</row>
    <row r="172" spans="1:93" outlineLevel="4" x14ac:dyDescent="0.25">
      <c r="A172" s="17"/>
      <c r="B172" s="17"/>
      <c r="C172" s="25"/>
      <c r="D172" s="19" t="s">
        <v>111</v>
      </c>
      <c r="E172" s="17" t="s">
        <v>324</v>
      </c>
      <c r="F172" s="17"/>
      <c r="G172" s="17"/>
      <c r="H172" s="17"/>
      <c r="I172" s="20"/>
      <c r="J172" s="20"/>
      <c r="K172" s="20"/>
      <c r="L172" s="20"/>
      <c r="M172" s="21" t="str">
        <f t="shared" si="104"/>
        <v/>
      </c>
      <c r="N172" s="21">
        <v>0</v>
      </c>
      <c r="O172" s="48">
        <f>O171</f>
        <v>100000</v>
      </c>
      <c r="P172" s="22"/>
      <c r="Q172" s="23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</row>
    <row r="173" spans="1:93" outlineLevel="3" x14ac:dyDescent="0.25">
      <c r="A173" s="1" t="s">
        <v>92</v>
      </c>
      <c r="B173" s="1" t="s">
        <v>325</v>
      </c>
      <c r="C173" s="7" t="s">
        <v>326</v>
      </c>
      <c r="D173" s="8" t="s">
        <v>110</v>
      </c>
      <c r="E173" s="1"/>
      <c r="F173" s="1">
        <v>84</v>
      </c>
      <c r="G173" s="1">
        <v>84</v>
      </c>
      <c r="H173" s="1">
        <v>3</v>
      </c>
      <c r="I173" s="9">
        <v>46290.333333333343</v>
      </c>
      <c r="J173" s="9">
        <v>46407.666666666657</v>
      </c>
      <c r="K173" s="9"/>
      <c r="L173" s="9"/>
      <c r="M173" s="3">
        <f t="shared" si="104"/>
        <v>1</v>
      </c>
      <c r="N173" s="3"/>
      <c r="O173" s="5">
        <f>SUMIFS($O$174:$O$179,$A$174:$A$179,"Activity",$D$174:$D$179,"P")</f>
        <v>300000</v>
      </c>
      <c r="P173" s="4"/>
      <c r="Q173" s="5"/>
      <c r="R173" s="45" t="str">
        <f t="shared" ref="R173:AW173" si="141">IF(COUNTIFS($A$175:$A$180,"Activity",$D$175:$D$180,"P",R$175:R$180,"&lt;&gt;")=0,"",IFERROR(SUMPRODUCT(--($A$175:$A$180="Activity"),--($D$175:$D$180="P"),$O$175:$O$180,R$175:R$180)/SUMPRODUCT(--($A$175:$A$180="Activity"),--($D$175:$D$180="P"),$O$175:$O$180),""))</f>
        <v/>
      </c>
      <c r="S173" s="45" t="str">
        <f t="shared" si="141"/>
        <v/>
      </c>
      <c r="T173" s="45" t="str">
        <f t="shared" si="141"/>
        <v/>
      </c>
      <c r="U173" s="45" t="str">
        <f t="shared" si="141"/>
        <v/>
      </c>
      <c r="V173" s="45" t="str">
        <f t="shared" si="141"/>
        <v/>
      </c>
      <c r="W173" s="45" t="str">
        <f t="shared" si="141"/>
        <v/>
      </c>
      <c r="X173" s="45" t="str">
        <f t="shared" si="141"/>
        <v/>
      </c>
      <c r="Y173" s="45" t="str">
        <f t="shared" si="141"/>
        <v/>
      </c>
      <c r="Z173" s="45" t="str">
        <f t="shared" si="141"/>
        <v/>
      </c>
      <c r="AA173" s="45" t="str">
        <f t="shared" si="141"/>
        <v/>
      </c>
      <c r="AB173" s="45" t="str">
        <f t="shared" si="141"/>
        <v/>
      </c>
      <c r="AC173" s="45" t="str">
        <f t="shared" si="141"/>
        <v/>
      </c>
      <c r="AD173" s="45" t="str">
        <f t="shared" si="141"/>
        <v/>
      </c>
      <c r="AE173" s="45" t="str">
        <f t="shared" si="141"/>
        <v/>
      </c>
      <c r="AF173" s="45" t="str">
        <f t="shared" si="141"/>
        <v/>
      </c>
      <c r="AG173" s="45" t="str">
        <f t="shared" si="141"/>
        <v/>
      </c>
      <c r="AH173" s="45" t="str">
        <f t="shared" si="141"/>
        <v/>
      </c>
      <c r="AI173" s="45" t="str">
        <f t="shared" si="141"/>
        <v/>
      </c>
      <c r="AJ173" s="45" t="str">
        <f t="shared" si="141"/>
        <v/>
      </c>
      <c r="AK173" s="45" t="str">
        <f t="shared" si="141"/>
        <v/>
      </c>
      <c r="AL173" s="45" t="str">
        <f t="shared" si="141"/>
        <v/>
      </c>
      <c r="AM173" s="45" t="str">
        <f t="shared" si="141"/>
        <v/>
      </c>
      <c r="AN173" s="45" t="str">
        <f t="shared" si="141"/>
        <v/>
      </c>
      <c r="AO173" s="45" t="str">
        <f t="shared" si="141"/>
        <v/>
      </c>
      <c r="AP173" s="45" t="str">
        <f t="shared" si="141"/>
        <v/>
      </c>
      <c r="AQ173" s="45" t="str">
        <f t="shared" si="141"/>
        <v/>
      </c>
      <c r="AR173" s="45" t="str">
        <f t="shared" si="141"/>
        <v/>
      </c>
      <c r="AS173" s="45" t="str">
        <f t="shared" si="141"/>
        <v/>
      </c>
      <c r="AT173" s="45" t="str">
        <f t="shared" si="141"/>
        <v/>
      </c>
      <c r="AU173" s="45" t="str">
        <f t="shared" si="141"/>
        <v/>
      </c>
      <c r="AV173" s="45" t="str">
        <f t="shared" si="141"/>
        <v/>
      </c>
      <c r="AW173" s="45" t="str">
        <f t="shared" si="141"/>
        <v/>
      </c>
      <c r="AX173" s="45" t="str">
        <f t="shared" ref="AX173:CC173" si="142">IF(COUNTIFS($A$175:$A$180,"Activity",$D$175:$D$180,"P",AX$175:AX$180,"&lt;&gt;")=0,"",IFERROR(SUMPRODUCT(--($A$175:$A$180="Activity"),--($D$175:$D$180="P"),$O$175:$O$180,AX$175:AX$180)/SUMPRODUCT(--($A$175:$A$180="Activity"),--($D$175:$D$180="P"),$O$175:$O$180),""))</f>
        <v/>
      </c>
      <c r="AY173" s="45" t="str">
        <f t="shared" si="142"/>
        <v/>
      </c>
      <c r="AZ173" s="45" t="str">
        <f t="shared" si="142"/>
        <v/>
      </c>
      <c r="BA173" s="45">
        <f t="shared" si="142"/>
        <v>1.5873015873015876E-2</v>
      </c>
      <c r="BB173" s="45">
        <f t="shared" si="142"/>
        <v>0.11111111111111109</v>
      </c>
      <c r="BC173" s="45">
        <f t="shared" si="142"/>
        <v>0.11111111111111109</v>
      </c>
      <c r="BD173" s="45">
        <f t="shared" si="142"/>
        <v>9.5238095238095261E-2</v>
      </c>
      <c r="BE173" s="45" t="str">
        <f t="shared" si="142"/>
        <v/>
      </c>
      <c r="BF173" s="45" t="str">
        <f t="shared" si="142"/>
        <v/>
      </c>
      <c r="BG173" s="45" t="str">
        <f t="shared" si="142"/>
        <v/>
      </c>
      <c r="BH173" s="45" t="str">
        <f t="shared" si="142"/>
        <v/>
      </c>
      <c r="BI173" s="45" t="str">
        <f t="shared" si="142"/>
        <v/>
      </c>
      <c r="BJ173" s="45" t="str">
        <f t="shared" si="142"/>
        <v/>
      </c>
      <c r="BK173" s="45" t="str">
        <f t="shared" si="142"/>
        <v/>
      </c>
      <c r="BL173" s="45" t="str">
        <f t="shared" si="142"/>
        <v/>
      </c>
      <c r="BM173" s="45" t="str">
        <f t="shared" si="142"/>
        <v/>
      </c>
      <c r="BN173" s="45" t="str">
        <f t="shared" si="142"/>
        <v/>
      </c>
      <c r="BO173" s="45">
        <f t="shared" si="142"/>
        <v>3.1746031746031744E-2</v>
      </c>
      <c r="BP173" s="45">
        <f t="shared" si="142"/>
        <v>0.24999999999999994</v>
      </c>
      <c r="BQ173" s="45">
        <f t="shared" si="142"/>
        <v>0.30555555555555552</v>
      </c>
      <c r="BR173" s="45">
        <f t="shared" si="142"/>
        <v>7.9365079365079361E-2</v>
      </c>
      <c r="BS173" s="45" t="str">
        <f t="shared" si="142"/>
        <v/>
      </c>
      <c r="BT173" s="45" t="str">
        <f t="shared" si="142"/>
        <v/>
      </c>
      <c r="BU173" s="45" t="str">
        <f t="shared" si="142"/>
        <v/>
      </c>
      <c r="BV173" s="45" t="str">
        <f t="shared" si="142"/>
        <v/>
      </c>
      <c r="BW173" s="45" t="str">
        <f t="shared" si="142"/>
        <v/>
      </c>
      <c r="BX173" s="45" t="str">
        <f t="shared" si="142"/>
        <v/>
      </c>
      <c r="BY173" s="45" t="str">
        <f t="shared" si="142"/>
        <v/>
      </c>
      <c r="BZ173" s="45" t="str">
        <f t="shared" si="142"/>
        <v/>
      </c>
      <c r="CA173" s="45" t="str">
        <f t="shared" si="142"/>
        <v/>
      </c>
      <c r="CB173" s="45" t="str">
        <f t="shared" si="142"/>
        <v/>
      </c>
      <c r="CC173" s="45" t="str">
        <f t="shared" si="142"/>
        <v/>
      </c>
      <c r="CD173" s="45" t="str">
        <f t="shared" ref="CD173:CO173" si="143">IF(COUNTIFS($A$175:$A$180,"Activity",$D$175:$D$180,"P",CD$175:CD$180,"&lt;&gt;")=0,"",IFERROR(SUMPRODUCT(--($A$175:$A$180="Activity"),--($D$175:$D$180="P"),$O$175:$O$180,CD$175:CD$180)/SUMPRODUCT(--($A$175:$A$180="Activity"),--($D$175:$D$180="P"),$O$175:$O$180),""))</f>
        <v/>
      </c>
      <c r="CE173" s="45" t="str">
        <f t="shared" si="143"/>
        <v/>
      </c>
      <c r="CF173" s="45" t="str">
        <f t="shared" si="143"/>
        <v/>
      </c>
      <c r="CG173" s="45" t="str">
        <f t="shared" si="143"/>
        <v/>
      </c>
      <c r="CH173" s="45" t="str">
        <f t="shared" si="143"/>
        <v/>
      </c>
      <c r="CI173" s="45" t="str">
        <f t="shared" si="143"/>
        <v/>
      </c>
      <c r="CJ173" s="45" t="str">
        <f t="shared" si="143"/>
        <v/>
      </c>
      <c r="CK173" s="45" t="str">
        <f t="shared" si="143"/>
        <v/>
      </c>
      <c r="CL173" s="45" t="str">
        <f t="shared" si="143"/>
        <v/>
      </c>
      <c r="CM173" s="45" t="str">
        <f t="shared" si="143"/>
        <v/>
      </c>
      <c r="CN173" s="45" t="str">
        <f t="shared" si="143"/>
        <v/>
      </c>
      <c r="CO173" s="45" t="str">
        <f t="shared" si="143"/>
        <v/>
      </c>
    </row>
    <row r="174" spans="1:93" outlineLevel="3" x14ac:dyDescent="0.25">
      <c r="A174" s="1"/>
      <c r="B174" s="1"/>
      <c r="C174" s="7"/>
      <c r="D174" s="8" t="s">
        <v>111</v>
      </c>
      <c r="E174" s="1"/>
      <c r="F174" s="1"/>
      <c r="G174" s="1"/>
      <c r="H174" s="1"/>
      <c r="I174" s="9"/>
      <c r="J174" s="9"/>
      <c r="K174" s="9"/>
      <c r="L174" s="9"/>
      <c r="M174" s="3" t="str">
        <f t="shared" si="104"/>
        <v/>
      </c>
      <c r="N174" s="3"/>
      <c r="O174" s="46">
        <f>O173</f>
        <v>300000</v>
      </c>
      <c r="P174" s="4"/>
      <c r="Q174" s="5"/>
      <c r="R174" s="45" t="str">
        <f t="shared" ref="R174:AW174" si="144">IF(COUNTIFS($E$175:$E$180,"&lt;&gt;",$D$175:$D$180,"A",R$175:R$180,"&lt;&gt;")=0,"",IFERROR(SUMPRODUCT(--($E$175:$E$180&lt;&gt;""),--($D$175:$D$180="A"),$O$175:$O$180,R$175:R$180)/SUMPRODUCT(--($E$175:$E$180&lt;&gt;""),--($D$175:$D$180="A"),$O$175:$O$180),""))</f>
        <v/>
      </c>
      <c r="S174" s="45" t="str">
        <f t="shared" si="144"/>
        <v/>
      </c>
      <c r="T174" s="45" t="str">
        <f t="shared" si="144"/>
        <v/>
      </c>
      <c r="U174" s="45" t="str">
        <f t="shared" si="144"/>
        <v/>
      </c>
      <c r="V174" s="45" t="str">
        <f t="shared" si="144"/>
        <v/>
      </c>
      <c r="W174" s="45" t="str">
        <f t="shared" si="144"/>
        <v/>
      </c>
      <c r="X174" s="45" t="str">
        <f t="shared" si="144"/>
        <v/>
      </c>
      <c r="Y174" s="45" t="str">
        <f t="shared" si="144"/>
        <v/>
      </c>
      <c r="Z174" s="45" t="str">
        <f t="shared" si="144"/>
        <v/>
      </c>
      <c r="AA174" s="45" t="str">
        <f t="shared" si="144"/>
        <v/>
      </c>
      <c r="AB174" s="45" t="str">
        <f t="shared" si="144"/>
        <v/>
      </c>
      <c r="AC174" s="45" t="str">
        <f t="shared" si="144"/>
        <v/>
      </c>
      <c r="AD174" s="45" t="str">
        <f t="shared" si="144"/>
        <v/>
      </c>
      <c r="AE174" s="45" t="str">
        <f t="shared" si="144"/>
        <v/>
      </c>
      <c r="AF174" s="45" t="str">
        <f t="shared" si="144"/>
        <v/>
      </c>
      <c r="AG174" s="45" t="str">
        <f t="shared" si="144"/>
        <v/>
      </c>
      <c r="AH174" s="45" t="str">
        <f t="shared" si="144"/>
        <v/>
      </c>
      <c r="AI174" s="45" t="str">
        <f t="shared" si="144"/>
        <v/>
      </c>
      <c r="AJ174" s="45" t="str">
        <f t="shared" si="144"/>
        <v/>
      </c>
      <c r="AK174" s="45" t="str">
        <f t="shared" si="144"/>
        <v/>
      </c>
      <c r="AL174" s="45" t="str">
        <f t="shared" si="144"/>
        <v/>
      </c>
      <c r="AM174" s="45" t="str">
        <f t="shared" si="144"/>
        <v/>
      </c>
      <c r="AN174" s="45" t="str">
        <f t="shared" si="144"/>
        <v/>
      </c>
      <c r="AO174" s="45" t="str">
        <f t="shared" si="144"/>
        <v/>
      </c>
      <c r="AP174" s="45" t="str">
        <f t="shared" si="144"/>
        <v/>
      </c>
      <c r="AQ174" s="45" t="str">
        <f t="shared" si="144"/>
        <v/>
      </c>
      <c r="AR174" s="45" t="str">
        <f t="shared" si="144"/>
        <v/>
      </c>
      <c r="AS174" s="45" t="str">
        <f t="shared" si="144"/>
        <v/>
      </c>
      <c r="AT174" s="45" t="str">
        <f t="shared" si="144"/>
        <v/>
      </c>
      <c r="AU174" s="45" t="str">
        <f t="shared" si="144"/>
        <v/>
      </c>
      <c r="AV174" s="45" t="str">
        <f t="shared" si="144"/>
        <v/>
      </c>
      <c r="AW174" s="45" t="str">
        <f t="shared" si="144"/>
        <v/>
      </c>
      <c r="AX174" s="45" t="str">
        <f t="shared" ref="AX174:CC174" si="145">IF(COUNTIFS($E$175:$E$180,"&lt;&gt;",$D$175:$D$180,"A",AX$175:AX$180,"&lt;&gt;")=0,"",IFERROR(SUMPRODUCT(--($E$175:$E$180&lt;&gt;""),--($D$175:$D$180="A"),$O$175:$O$180,AX$175:AX$180)/SUMPRODUCT(--($E$175:$E$180&lt;&gt;""),--($D$175:$D$180="A"),$O$175:$O$180),""))</f>
        <v/>
      </c>
      <c r="AY174" s="45" t="str">
        <f t="shared" si="145"/>
        <v/>
      </c>
      <c r="AZ174" s="45" t="str">
        <f t="shared" si="145"/>
        <v/>
      </c>
      <c r="BA174" s="45" t="str">
        <f t="shared" si="145"/>
        <v/>
      </c>
      <c r="BB174" s="45" t="str">
        <f t="shared" si="145"/>
        <v/>
      </c>
      <c r="BC174" s="45" t="str">
        <f t="shared" si="145"/>
        <v/>
      </c>
      <c r="BD174" s="45" t="str">
        <f t="shared" si="145"/>
        <v/>
      </c>
      <c r="BE174" s="45" t="str">
        <f t="shared" si="145"/>
        <v/>
      </c>
      <c r="BF174" s="45" t="str">
        <f t="shared" si="145"/>
        <v/>
      </c>
      <c r="BG174" s="45" t="str">
        <f t="shared" si="145"/>
        <v/>
      </c>
      <c r="BH174" s="45" t="str">
        <f t="shared" si="145"/>
        <v/>
      </c>
      <c r="BI174" s="45" t="str">
        <f t="shared" si="145"/>
        <v/>
      </c>
      <c r="BJ174" s="45" t="str">
        <f t="shared" si="145"/>
        <v/>
      </c>
      <c r="BK174" s="45" t="str">
        <f t="shared" si="145"/>
        <v/>
      </c>
      <c r="BL174" s="45" t="str">
        <f t="shared" si="145"/>
        <v/>
      </c>
      <c r="BM174" s="45" t="str">
        <f t="shared" si="145"/>
        <v/>
      </c>
      <c r="BN174" s="45" t="str">
        <f t="shared" si="145"/>
        <v/>
      </c>
      <c r="BO174" s="45" t="str">
        <f t="shared" si="145"/>
        <v/>
      </c>
      <c r="BP174" s="45" t="str">
        <f t="shared" si="145"/>
        <v/>
      </c>
      <c r="BQ174" s="45" t="str">
        <f t="shared" si="145"/>
        <v/>
      </c>
      <c r="BR174" s="45" t="str">
        <f t="shared" si="145"/>
        <v/>
      </c>
      <c r="BS174" s="45" t="str">
        <f t="shared" si="145"/>
        <v/>
      </c>
      <c r="BT174" s="45" t="str">
        <f t="shared" si="145"/>
        <v/>
      </c>
      <c r="BU174" s="45" t="str">
        <f t="shared" si="145"/>
        <v/>
      </c>
      <c r="BV174" s="45" t="str">
        <f t="shared" si="145"/>
        <v/>
      </c>
      <c r="BW174" s="45" t="str">
        <f t="shared" si="145"/>
        <v/>
      </c>
      <c r="BX174" s="45" t="str">
        <f t="shared" si="145"/>
        <v/>
      </c>
      <c r="BY174" s="45" t="str">
        <f t="shared" si="145"/>
        <v/>
      </c>
      <c r="BZ174" s="45" t="str">
        <f t="shared" si="145"/>
        <v/>
      </c>
      <c r="CA174" s="45" t="str">
        <f t="shared" si="145"/>
        <v/>
      </c>
      <c r="CB174" s="45" t="str">
        <f t="shared" si="145"/>
        <v/>
      </c>
      <c r="CC174" s="45" t="str">
        <f t="shared" si="145"/>
        <v/>
      </c>
      <c r="CD174" s="45" t="str">
        <f t="shared" ref="CD174:CO174" si="146">IF(COUNTIFS($E$175:$E$180,"&lt;&gt;",$D$175:$D$180,"A",CD$175:CD$180,"&lt;&gt;")=0,"",IFERROR(SUMPRODUCT(--($E$175:$E$180&lt;&gt;""),--($D$175:$D$180="A"),$O$175:$O$180,CD$175:CD$180)/SUMPRODUCT(--($E$175:$E$180&lt;&gt;""),--($D$175:$D$180="A"),$O$175:$O$180),""))</f>
        <v/>
      </c>
      <c r="CE174" s="45" t="str">
        <f t="shared" si="146"/>
        <v/>
      </c>
      <c r="CF174" s="45" t="str">
        <f t="shared" si="146"/>
        <v/>
      </c>
      <c r="CG174" s="45" t="str">
        <f t="shared" si="146"/>
        <v/>
      </c>
      <c r="CH174" s="45" t="str">
        <f t="shared" si="146"/>
        <v/>
      </c>
      <c r="CI174" s="45" t="str">
        <f t="shared" si="146"/>
        <v/>
      </c>
      <c r="CJ174" s="45" t="str">
        <f t="shared" si="146"/>
        <v/>
      </c>
      <c r="CK174" s="45" t="str">
        <f t="shared" si="146"/>
        <v/>
      </c>
      <c r="CL174" s="45" t="str">
        <f t="shared" si="146"/>
        <v/>
      </c>
      <c r="CM174" s="45" t="str">
        <f t="shared" si="146"/>
        <v/>
      </c>
      <c r="CN174" s="45" t="str">
        <f t="shared" si="146"/>
        <v/>
      </c>
      <c r="CO174" s="45" t="str">
        <f t="shared" si="146"/>
        <v/>
      </c>
    </row>
    <row r="175" spans="1:93" outlineLevel="4" x14ac:dyDescent="0.25">
      <c r="A175" s="10" t="s">
        <v>116</v>
      </c>
      <c r="B175" s="10" t="s">
        <v>327</v>
      </c>
      <c r="C175" s="24" t="s">
        <v>328</v>
      </c>
      <c r="D175" s="12" t="s">
        <v>110</v>
      </c>
      <c r="E175" s="10" t="s">
        <v>329</v>
      </c>
      <c r="F175" s="10">
        <v>85</v>
      </c>
      <c r="G175" s="10">
        <v>85</v>
      </c>
      <c r="H175" s="10">
        <v>4</v>
      </c>
      <c r="I175" s="13">
        <v>46387.333333333343</v>
      </c>
      <c r="J175" s="13">
        <v>46407.666666666657</v>
      </c>
      <c r="K175" s="13"/>
      <c r="L175" s="13"/>
      <c r="M175" s="14">
        <f t="shared" si="104"/>
        <v>1</v>
      </c>
      <c r="N175" s="14"/>
      <c r="O175" s="16">
        <v>100000</v>
      </c>
      <c r="P175" s="15">
        <v>2.4</v>
      </c>
      <c r="Q175" s="16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>
        <v>9.5238095238095233E-2</v>
      </c>
      <c r="BP175" s="47">
        <v>0.33333333333333331</v>
      </c>
      <c r="BQ175" s="47">
        <v>0.33333333333333331</v>
      </c>
      <c r="BR175" s="47">
        <v>0.23809523809523811</v>
      </c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</row>
    <row r="176" spans="1:93" outlineLevel="4" x14ac:dyDescent="0.25">
      <c r="A176" s="17"/>
      <c r="B176" s="17"/>
      <c r="C176" s="25"/>
      <c r="D176" s="19" t="s">
        <v>111</v>
      </c>
      <c r="E176" s="17" t="s">
        <v>329</v>
      </c>
      <c r="F176" s="17"/>
      <c r="G176" s="17"/>
      <c r="H176" s="17"/>
      <c r="I176" s="20"/>
      <c r="J176" s="20"/>
      <c r="K176" s="20"/>
      <c r="L176" s="20"/>
      <c r="M176" s="21" t="str">
        <f t="shared" si="104"/>
        <v/>
      </c>
      <c r="N176" s="21">
        <v>0</v>
      </c>
      <c r="O176" s="48">
        <f>O175</f>
        <v>100000</v>
      </c>
      <c r="P176" s="22"/>
      <c r="Q176" s="23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</row>
    <row r="177" spans="1:93" outlineLevel="4" x14ac:dyDescent="0.25">
      <c r="A177" s="10" t="s">
        <v>116</v>
      </c>
      <c r="B177" s="10" t="s">
        <v>330</v>
      </c>
      <c r="C177" s="24" t="s">
        <v>331</v>
      </c>
      <c r="D177" s="12" t="s">
        <v>110</v>
      </c>
      <c r="E177" s="10" t="s">
        <v>332</v>
      </c>
      <c r="F177" s="10">
        <v>86</v>
      </c>
      <c r="G177" s="10">
        <v>86</v>
      </c>
      <c r="H177" s="10">
        <v>4</v>
      </c>
      <c r="I177" s="13">
        <v>46391.333333333343</v>
      </c>
      <c r="J177" s="13">
        <v>46402.666666666657</v>
      </c>
      <c r="K177" s="13"/>
      <c r="L177" s="13"/>
      <c r="M177" s="14">
        <f t="shared" si="104"/>
        <v>1</v>
      </c>
      <c r="N177" s="14"/>
      <c r="O177" s="16">
        <v>100000</v>
      </c>
      <c r="P177" s="15">
        <v>9.4666666666666668</v>
      </c>
      <c r="Q177" s="16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>
        <v>0.41666666666666657</v>
      </c>
      <c r="BQ177" s="47">
        <v>0.58333333333333337</v>
      </c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</row>
    <row r="178" spans="1:93" outlineLevel="4" x14ac:dyDescent="0.25">
      <c r="A178" s="17"/>
      <c r="B178" s="17"/>
      <c r="C178" s="25"/>
      <c r="D178" s="19" t="s">
        <v>111</v>
      </c>
      <c r="E178" s="17" t="s">
        <v>332</v>
      </c>
      <c r="F178" s="17"/>
      <c r="G178" s="17"/>
      <c r="H178" s="17"/>
      <c r="I178" s="20"/>
      <c r="J178" s="20"/>
      <c r="K178" s="20"/>
      <c r="L178" s="20"/>
      <c r="M178" s="21" t="str">
        <f t="shared" si="104"/>
        <v/>
      </c>
      <c r="N178" s="21">
        <v>0</v>
      </c>
      <c r="O178" s="48">
        <f>O177</f>
        <v>100000</v>
      </c>
      <c r="P178" s="22"/>
      <c r="Q178" s="23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</row>
    <row r="179" spans="1:93" outlineLevel="4" x14ac:dyDescent="0.25">
      <c r="A179" s="10" t="s">
        <v>116</v>
      </c>
      <c r="B179" s="10" t="s">
        <v>333</v>
      </c>
      <c r="C179" s="24" t="s">
        <v>334</v>
      </c>
      <c r="D179" s="12" t="s">
        <v>110</v>
      </c>
      <c r="E179" s="10" t="s">
        <v>335</v>
      </c>
      <c r="F179" s="10">
        <v>87</v>
      </c>
      <c r="G179" s="10">
        <v>87</v>
      </c>
      <c r="H179" s="10">
        <v>4</v>
      </c>
      <c r="I179" s="13">
        <v>46290.333333333343</v>
      </c>
      <c r="J179" s="13">
        <v>46310.666666666657</v>
      </c>
      <c r="K179" s="13"/>
      <c r="L179" s="13"/>
      <c r="M179" s="14">
        <f t="shared" si="104"/>
        <v>1</v>
      </c>
      <c r="N179" s="14"/>
      <c r="O179" s="16">
        <v>100000</v>
      </c>
      <c r="P179" s="15">
        <v>0</v>
      </c>
      <c r="Q179" s="16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>
        <v>4.7619047619047623E-2</v>
      </c>
      <c r="BB179" s="47">
        <v>0.33333333333333331</v>
      </c>
      <c r="BC179" s="47">
        <v>0.33333333333333331</v>
      </c>
      <c r="BD179" s="47">
        <v>0.28571428571428581</v>
      </c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</row>
    <row r="180" spans="1:93" outlineLevel="4" x14ac:dyDescent="0.25">
      <c r="A180" s="17"/>
      <c r="B180" s="17"/>
      <c r="C180" s="25"/>
      <c r="D180" s="19" t="s">
        <v>111</v>
      </c>
      <c r="E180" s="17" t="s">
        <v>335</v>
      </c>
      <c r="F180" s="17"/>
      <c r="G180" s="17"/>
      <c r="H180" s="17"/>
      <c r="I180" s="20"/>
      <c r="J180" s="20"/>
      <c r="K180" s="20"/>
      <c r="L180" s="20"/>
      <c r="M180" s="21" t="str">
        <f t="shared" si="104"/>
        <v/>
      </c>
      <c r="N180" s="21">
        <v>0</v>
      </c>
      <c r="O180" s="48">
        <f>O179</f>
        <v>100000</v>
      </c>
      <c r="P180" s="22"/>
      <c r="Q180" s="23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</row>
    <row r="181" spans="1:93" outlineLevel="3" x14ac:dyDescent="0.25">
      <c r="A181" s="1" t="s">
        <v>92</v>
      </c>
      <c r="B181" s="1" t="s">
        <v>336</v>
      </c>
      <c r="C181" s="7" t="s">
        <v>337</v>
      </c>
      <c r="D181" s="8" t="s">
        <v>110</v>
      </c>
      <c r="E181" s="1"/>
      <c r="F181" s="1">
        <v>88</v>
      </c>
      <c r="G181" s="1">
        <v>88</v>
      </c>
      <c r="H181" s="1">
        <v>3</v>
      </c>
      <c r="I181" s="9">
        <v>46387.333333333343</v>
      </c>
      <c r="J181" s="9">
        <v>46525.666666666657</v>
      </c>
      <c r="K181" s="9"/>
      <c r="L181" s="9"/>
      <c r="M181" s="3">
        <f t="shared" si="104"/>
        <v>1</v>
      </c>
      <c r="N181" s="3"/>
      <c r="O181" s="5">
        <f>SUMIFS($O$182:$O$189,$A$182:$A$189,"Activity",$D$182:$D$189,"P")</f>
        <v>400000</v>
      </c>
      <c r="P181" s="4"/>
      <c r="Q181" s="5"/>
      <c r="R181" s="45" t="str">
        <f t="shared" ref="R181:AW181" si="147">IF(COUNTIFS($A$183:$A$190,"Activity",$D$183:$D$190,"P",R$183:R$190,"&lt;&gt;")=0,"",IFERROR(SUMPRODUCT(--($A$183:$A$190="Activity"),--($D$183:$D$190="P"),$O$183:$O$190,R$183:R$190)/SUMPRODUCT(--($A$183:$A$190="Activity"),--($D$183:$D$190="P"),$O$183:$O$190),""))</f>
        <v/>
      </c>
      <c r="S181" s="45" t="str">
        <f t="shared" si="147"/>
        <v/>
      </c>
      <c r="T181" s="45" t="str">
        <f t="shared" si="147"/>
        <v/>
      </c>
      <c r="U181" s="45" t="str">
        <f t="shared" si="147"/>
        <v/>
      </c>
      <c r="V181" s="45" t="str">
        <f t="shared" si="147"/>
        <v/>
      </c>
      <c r="W181" s="45" t="str">
        <f t="shared" si="147"/>
        <v/>
      </c>
      <c r="X181" s="45" t="str">
        <f t="shared" si="147"/>
        <v/>
      </c>
      <c r="Y181" s="45" t="str">
        <f t="shared" si="147"/>
        <v/>
      </c>
      <c r="Z181" s="45" t="str">
        <f t="shared" si="147"/>
        <v/>
      </c>
      <c r="AA181" s="45" t="str">
        <f t="shared" si="147"/>
        <v/>
      </c>
      <c r="AB181" s="45" t="str">
        <f t="shared" si="147"/>
        <v/>
      </c>
      <c r="AC181" s="45" t="str">
        <f t="shared" si="147"/>
        <v/>
      </c>
      <c r="AD181" s="45" t="str">
        <f t="shared" si="147"/>
        <v/>
      </c>
      <c r="AE181" s="45" t="str">
        <f t="shared" si="147"/>
        <v/>
      </c>
      <c r="AF181" s="45" t="str">
        <f t="shared" si="147"/>
        <v/>
      </c>
      <c r="AG181" s="45" t="str">
        <f t="shared" si="147"/>
        <v/>
      </c>
      <c r="AH181" s="45" t="str">
        <f t="shared" si="147"/>
        <v/>
      </c>
      <c r="AI181" s="45" t="str">
        <f t="shared" si="147"/>
        <v/>
      </c>
      <c r="AJ181" s="45" t="str">
        <f t="shared" si="147"/>
        <v/>
      </c>
      <c r="AK181" s="45" t="str">
        <f t="shared" si="147"/>
        <v/>
      </c>
      <c r="AL181" s="45" t="str">
        <f t="shared" si="147"/>
        <v/>
      </c>
      <c r="AM181" s="45" t="str">
        <f t="shared" si="147"/>
        <v/>
      </c>
      <c r="AN181" s="45" t="str">
        <f t="shared" si="147"/>
        <v/>
      </c>
      <c r="AO181" s="45" t="str">
        <f t="shared" si="147"/>
        <v/>
      </c>
      <c r="AP181" s="45" t="str">
        <f t="shared" si="147"/>
        <v/>
      </c>
      <c r="AQ181" s="45" t="str">
        <f t="shared" si="147"/>
        <v/>
      </c>
      <c r="AR181" s="45" t="str">
        <f t="shared" si="147"/>
        <v/>
      </c>
      <c r="AS181" s="45" t="str">
        <f t="shared" si="147"/>
        <v/>
      </c>
      <c r="AT181" s="45" t="str">
        <f t="shared" si="147"/>
        <v/>
      </c>
      <c r="AU181" s="45" t="str">
        <f t="shared" si="147"/>
        <v/>
      </c>
      <c r="AV181" s="45" t="str">
        <f t="shared" si="147"/>
        <v/>
      </c>
      <c r="AW181" s="45" t="str">
        <f t="shared" si="147"/>
        <v/>
      </c>
      <c r="AX181" s="45" t="str">
        <f t="shared" ref="AX181:CC181" si="148">IF(COUNTIFS($A$183:$A$190,"Activity",$D$183:$D$190,"P",AX$183:AX$190,"&lt;&gt;")=0,"",IFERROR(SUMPRODUCT(--($A$183:$A$190="Activity"),--($D$183:$D$190="P"),$O$183:$O$190,AX$183:AX$190)/SUMPRODUCT(--($A$183:$A$190="Activity"),--($D$183:$D$190="P"),$O$183:$O$190),""))</f>
        <v/>
      </c>
      <c r="AY181" s="45" t="str">
        <f t="shared" si="148"/>
        <v/>
      </c>
      <c r="AZ181" s="45" t="str">
        <f t="shared" si="148"/>
        <v/>
      </c>
      <c r="BA181" s="45" t="str">
        <f t="shared" si="148"/>
        <v/>
      </c>
      <c r="BB181" s="45" t="str">
        <f t="shared" si="148"/>
        <v/>
      </c>
      <c r="BC181" s="45" t="str">
        <f t="shared" si="148"/>
        <v/>
      </c>
      <c r="BD181" s="45" t="str">
        <f t="shared" si="148"/>
        <v/>
      </c>
      <c r="BE181" s="45" t="str">
        <f t="shared" si="148"/>
        <v/>
      </c>
      <c r="BF181" s="45" t="str">
        <f t="shared" si="148"/>
        <v/>
      </c>
      <c r="BG181" s="45" t="str">
        <f t="shared" si="148"/>
        <v/>
      </c>
      <c r="BH181" s="45" t="str">
        <f t="shared" si="148"/>
        <v/>
      </c>
      <c r="BI181" s="45" t="str">
        <f t="shared" si="148"/>
        <v/>
      </c>
      <c r="BJ181" s="45" t="str">
        <f t="shared" si="148"/>
        <v/>
      </c>
      <c r="BK181" s="45" t="str">
        <f t="shared" si="148"/>
        <v/>
      </c>
      <c r="BL181" s="45" t="str">
        <f t="shared" si="148"/>
        <v/>
      </c>
      <c r="BM181" s="45" t="str">
        <f t="shared" si="148"/>
        <v/>
      </c>
      <c r="BN181" s="45" t="str">
        <f t="shared" si="148"/>
        <v/>
      </c>
      <c r="BO181" s="45">
        <f t="shared" si="148"/>
        <v>2.3809523809523808E-2</v>
      </c>
      <c r="BP181" s="45">
        <f t="shared" si="148"/>
        <v>8.3333333333333315E-2</v>
      </c>
      <c r="BQ181" s="45">
        <f t="shared" si="148"/>
        <v>8.3333333333333315E-2</v>
      </c>
      <c r="BR181" s="45">
        <f t="shared" si="148"/>
        <v>0.12531328320802004</v>
      </c>
      <c r="BS181" s="45">
        <f t="shared" si="148"/>
        <v>9.2105263157894732E-2</v>
      </c>
      <c r="BT181" s="45">
        <f t="shared" si="148"/>
        <v>9.2105263157894746E-2</v>
      </c>
      <c r="BU181" s="45" t="str">
        <f t="shared" si="148"/>
        <v/>
      </c>
      <c r="BV181" s="45" t="str">
        <f t="shared" si="148"/>
        <v/>
      </c>
      <c r="BW181" s="45" t="str">
        <f t="shared" si="148"/>
        <v/>
      </c>
      <c r="BX181" s="45" t="str">
        <f t="shared" si="148"/>
        <v/>
      </c>
      <c r="BY181" s="45" t="str">
        <f t="shared" si="148"/>
        <v/>
      </c>
      <c r="BZ181" s="45">
        <f t="shared" si="148"/>
        <v>1.7857142857142856E-2</v>
      </c>
      <c r="CA181" s="45">
        <f t="shared" si="148"/>
        <v>6.25E-2</v>
      </c>
      <c r="CB181" s="45">
        <f t="shared" si="148"/>
        <v>6.25E-2</v>
      </c>
      <c r="CC181" s="45">
        <f t="shared" si="148"/>
        <v>6.25E-2</v>
      </c>
      <c r="CD181" s="45">
        <f t="shared" ref="CD181:CO181" si="149">IF(COUNTIFS($A$183:$A$190,"Activity",$D$183:$D$190,"P",CD$183:CD$190,"&lt;&gt;")=0,"",IFERROR(SUMPRODUCT(--($A$183:$A$190="Activity"),--($D$183:$D$190="P"),$O$183:$O$190,CD$183:CD$190)/SUMPRODUCT(--($A$183:$A$190="Activity"),--($D$183:$D$190="P"),$O$183:$O$190),""))</f>
        <v>4.4642857142857144E-2</v>
      </c>
      <c r="CE181" s="45" t="str">
        <f t="shared" si="149"/>
        <v/>
      </c>
      <c r="CF181" s="45" t="str">
        <f t="shared" si="149"/>
        <v/>
      </c>
      <c r="CG181" s="45">
        <f t="shared" si="149"/>
        <v>5.3571428571428575E-2</v>
      </c>
      <c r="CH181" s="45">
        <f t="shared" si="149"/>
        <v>0.125</v>
      </c>
      <c r="CI181" s="45">
        <f t="shared" si="149"/>
        <v>7.1428571428571425E-2</v>
      </c>
      <c r="CJ181" s="45" t="str">
        <f t="shared" si="149"/>
        <v/>
      </c>
      <c r="CK181" s="45" t="str">
        <f t="shared" si="149"/>
        <v/>
      </c>
      <c r="CL181" s="45" t="str">
        <f t="shared" si="149"/>
        <v/>
      </c>
      <c r="CM181" s="45" t="str">
        <f t="shared" si="149"/>
        <v/>
      </c>
      <c r="CN181" s="45" t="str">
        <f t="shared" si="149"/>
        <v/>
      </c>
      <c r="CO181" s="45" t="str">
        <f t="shared" si="149"/>
        <v/>
      </c>
    </row>
    <row r="182" spans="1:93" outlineLevel="3" x14ac:dyDescent="0.25">
      <c r="A182" s="1"/>
      <c r="B182" s="1"/>
      <c r="C182" s="7"/>
      <c r="D182" s="8" t="s">
        <v>111</v>
      </c>
      <c r="E182" s="1"/>
      <c r="F182" s="1"/>
      <c r="G182" s="1"/>
      <c r="H182" s="1"/>
      <c r="I182" s="9"/>
      <c r="J182" s="9"/>
      <c r="K182" s="9"/>
      <c r="L182" s="9"/>
      <c r="M182" s="3" t="str">
        <f t="shared" si="104"/>
        <v/>
      </c>
      <c r="N182" s="3"/>
      <c r="O182" s="46">
        <f>O181</f>
        <v>400000</v>
      </c>
      <c r="P182" s="4"/>
      <c r="Q182" s="5"/>
      <c r="R182" s="45" t="str">
        <f t="shared" ref="R182:AW182" si="150">IF(COUNTIFS($E$183:$E$190,"&lt;&gt;",$D$183:$D$190,"A",R$183:R$190,"&lt;&gt;")=0,"",IFERROR(SUMPRODUCT(--($E$183:$E$190&lt;&gt;""),--($D$183:$D$190="A"),$O$183:$O$190,R$183:R$190)/SUMPRODUCT(--($E$183:$E$190&lt;&gt;""),--($D$183:$D$190="A"),$O$183:$O$190),""))</f>
        <v/>
      </c>
      <c r="S182" s="45" t="str">
        <f t="shared" si="150"/>
        <v/>
      </c>
      <c r="T182" s="45" t="str">
        <f t="shared" si="150"/>
        <v/>
      </c>
      <c r="U182" s="45" t="str">
        <f t="shared" si="150"/>
        <v/>
      </c>
      <c r="V182" s="45" t="str">
        <f t="shared" si="150"/>
        <v/>
      </c>
      <c r="W182" s="45" t="str">
        <f t="shared" si="150"/>
        <v/>
      </c>
      <c r="X182" s="45" t="str">
        <f t="shared" si="150"/>
        <v/>
      </c>
      <c r="Y182" s="45" t="str">
        <f t="shared" si="150"/>
        <v/>
      </c>
      <c r="Z182" s="45" t="str">
        <f t="shared" si="150"/>
        <v/>
      </c>
      <c r="AA182" s="45" t="str">
        <f t="shared" si="150"/>
        <v/>
      </c>
      <c r="AB182" s="45" t="str">
        <f t="shared" si="150"/>
        <v/>
      </c>
      <c r="AC182" s="45" t="str">
        <f t="shared" si="150"/>
        <v/>
      </c>
      <c r="AD182" s="45" t="str">
        <f t="shared" si="150"/>
        <v/>
      </c>
      <c r="AE182" s="45" t="str">
        <f t="shared" si="150"/>
        <v/>
      </c>
      <c r="AF182" s="45" t="str">
        <f t="shared" si="150"/>
        <v/>
      </c>
      <c r="AG182" s="45" t="str">
        <f t="shared" si="150"/>
        <v/>
      </c>
      <c r="AH182" s="45" t="str">
        <f t="shared" si="150"/>
        <v/>
      </c>
      <c r="AI182" s="45" t="str">
        <f t="shared" si="150"/>
        <v/>
      </c>
      <c r="AJ182" s="45" t="str">
        <f t="shared" si="150"/>
        <v/>
      </c>
      <c r="AK182" s="45" t="str">
        <f t="shared" si="150"/>
        <v/>
      </c>
      <c r="AL182" s="45" t="str">
        <f t="shared" si="150"/>
        <v/>
      </c>
      <c r="AM182" s="45" t="str">
        <f t="shared" si="150"/>
        <v/>
      </c>
      <c r="AN182" s="45" t="str">
        <f t="shared" si="150"/>
        <v/>
      </c>
      <c r="AO182" s="45" t="str">
        <f t="shared" si="150"/>
        <v/>
      </c>
      <c r="AP182" s="45" t="str">
        <f t="shared" si="150"/>
        <v/>
      </c>
      <c r="AQ182" s="45" t="str">
        <f t="shared" si="150"/>
        <v/>
      </c>
      <c r="AR182" s="45" t="str">
        <f t="shared" si="150"/>
        <v/>
      </c>
      <c r="AS182" s="45" t="str">
        <f t="shared" si="150"/>
        <v/>
      </c>
      <c r="AT182" s="45" t="str">
        <f t="shared" si="150"/>
        <v/>
      </c>
      <c r="AU182" s="45" t="str">
        <f t="shared" si="150"/>
        <v/>
      </c>
      <c r="AV182" s="45" t="str">
        <f t="shared" si="150"/>
        <v/>
      </c>
      <c r="AW182" s="45" t="str">
        <f t="shared" si="150"/>
        <v/>
      </c>
      <c r="AX182" s="45" t="str">
        <f t="shared" ref="AX182:CC182" si="151">IF(COUNTIFS($E$183:$E$190,"&lt;&gt;",$D$183:$D$190,"A",AX$183:AX$190,"&lt;&gt;")=0,"",IFERROR(SUMPRODUCT(--($E$183:$E$190&lt;&gt;""),--($D$183:$D$190="A"),$O$183:$O$190,AX$183:AX$190)/SUMPRODUCT(--($E$183:$E$190&lt;&gt;""),--($D$183:$D$190="A"),$O$183:$O$190),""))</f>
        <v/>
      </c>
      <c r="AY182" s="45" t="str">
        <f t="shared" si="151"/>
        <v/>
      </c>
      <c r="AZ182" s="45" t="str">
        <f t="shared" si="151"/>
        <v/>
      </c>
      <c r="BA182" s="45" t="str">
        <f t="shared" si="151"/>
        <v/>
      </c>
      <c r="BB182" s="45" t="str">
        <f t="shared" si="151"/>
        <v/>
      </c>
      <c r="BC182" s="45" t="str">
        <f t="shared" si="151"/>
        <v/>
      </c>
      <c r="BD182" s="45" t="str">
        <f t="shared" si="151"/>
        <v/>
      </c>
      <c r="BE182" s="45" t="str">
        <f t="shared" si="151"/>
        <v/>
      </c>
      <c r="BF182" s="45" t="str">
        <f t="shared" si="151"/>
        <v/>
      </c>
      <c r="BG182" s="45" t="str">
        <f t="shared" si="151"/>
        <v/>
      </c>
      <c r="BH182" s="45" t="str">
        <f t="shared" si="151"/>
        <v/>
      </c>
      <c r="BI182" s="45" t="str">
        <f t="shared" si="151"/>
        <v/>
      </c>
      <c r="BJ182" s="45" t="str">
        <f t="shared" si="151"/>
        <v/>
      </c>
      <c r="BK182" s="45" t="str">
        <f t="shared" si="151"/>
        <v/>
      </c>
      <c r="BL182" s="45" t="str">
        <f t="shared" si="151"/>
        <v/>
      </c>
      <c r="BM182" s="45" t="str">
        <f t="shared" si="151"/>
        <v/>
      </c>
      <c r="BN182" s="45" t="str">
        <f t="shared" si="151"/>
        <v/>
      </c>
      <c r="BO182" s="45" t="str">
        <f t="shared" si="151"/>
        <v/>
      </c>
      <c r="BP182" s="45" t="str">
        <f t="shared" si="151"/>
        <v/>
      </c>
      <c r="BQ182" s="45" t="str">
        <f t="shared" si="151"/>
        <v/>
      </c>
      <c r="BR182" s="45" t="str">
        <f t="shared" si="151"/>
        <v/>
      </c>
      <c r="BS182" s="45" t="str">
        <f t="shared" si="151"/>
        <v/>
      </c>
      <c r="BT182" s="45" t="str">
        <f t="shared" si="151"/>
        <v/>
      </c>
      <c r="BU182" s="45" t="str">
        <f t="shared" si="151"/>
        <v/>
      </c>
      <c r="BV182" s="45" t="str">
        <f t="shared" si="151"/>
        <v/>
      </c>
      <c r="BW182" s="45" t="str">
        <f t="shared" si="151"/>
        <v/>
      </c>
      <c r="BX182" s="45" t="str">
        <f t="shared" si="151"/>
        <v/>
      </c>
      <c r="BY182" s="45" t="str">
        <f t="shared" si="151"/>
        <v/>
      </c>
      <c r="BZ182" s="45" t="str">
        <f t="shared" si="151"/>
        <v/>
      </c>
      <c r="CA182" s="45" t="str">
        <f t="shared" si="151"/>
        <v/>
      </c>
      <c r="CB182" s="45" t="str">
        <f t="shared" si="151"/>
        <v/>
      </c>
      <c r="CC182" s="45" t="str">
        <f t="shared" si="151"/>
        <v/>
      </c>
      <c r="CD182" s="45" t="str">
        <f t="shared" ref="CD182:CO182" si="152">IF(COUNTIFS($E$183:$E$190,"&lt;&gt;",$D$183:$D$190,"A",CD$183:CD$190,"&lt;&gt;")=0,"",IFERROR(SUMPRODUCT(--($E$183:$E$190&lt;&gt;""),--($D$183:$D$190="A"),$O$183:$O$190,CD$183:CD$190)/SUMPRODUCT(--($E$183:$E$190&lt;&gt;""),--($D$183:$D$190="A"),$O$183:$O$190),""))</f>
        <v/>
      </c>
      <c r="CE182" s="45" t="str">
        <f t="shared" si="152"/>
        <v/>
      </c>
      <c r="CF182" s="45" t="str">
        <f t="shared" si="152"/>
        <v/>
      </c>
      <c r="CG182" s="45" t="str">
        <f t="shared" si="152"/>
        <v/>
      </c>
      <c r="CH182" s="45" t="str">
        <f t="shared" si="152"/>
        <v/>
      </c>
      <c r="CI182" s="45" t="str">
        <f t="shared" si="152"/>
        <v/>
      </c>
      <c r="CJ182" s="45" t="str">
        <f t="shared" si="152"/>
        <v/>
      </c>
      <c r="CK182" s="45" t="str">
        <f t="shared" si="152"/>
        <v/>
      </c>
      <c r="CL182" s="45" t="str">
        <f t="shared" si="152"/>
        <v/>
      </c>
      <c r="CM182" s="45" t="str">
        <f t="shared" si="152"/>
        <v/>
      </c>
      <c r="CN182" s="45" t="str">
        <f t="shared" si="152"/>
        <v/>
      </c>
      <c r="CO182" s="45" t="str">
        <f t="shared" si="152"/>
        <v/>
      </c>
    </row>
    <row r="183" spans="1:93" outlineLevel="4" x14ac:dyDescent="0.25">
      <c r="A183" s="10" t="s">
        <v>116</v>
      </c>
      <c r="B183" s="10" t="s">
        <v>338</v>
      </c>
      <c r="C183" s="24" t="s">
        <v>339</v>
      </c>
      <c r="D183" s="12" t="s">
        <v>110</v>
      </c>
      <c r="E183" s="10" t="s">
        <v>340</v>
      </c>
      <c r="F183" s="10">
        <v>89</v>
      </c>
      <c r="G183" s="10">
        <v>89</v>
      </c>
      <c r="H183" s="10">
        <v>4</v>
      </c>
      <c r="I183" s="13">
        <v>46387.333333333343</v>
      </c>
      <c r="J183" s="13">
        <v>46407.666666666657</v>
      </c>
      <c r="K183" s="13"/>
      <c r="L183" s="13"/>
      <c r="M183" s="14">
        <f t="shared" si="104"/>
        <v>1</v>
      </c>
      <c r="N183" s="14"/>
      <c r="O183" s="16">
        <v>100000</v>
      </c>
      <c r="P183" s="15">
        <v>1.7333333333333329</v>
      </c>
      <c r="Q183" s="16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>
        <v>9.5238095238095233E-2</v>
      </c>
      <c r="BP183" s="47">
        <v>0.33333333333333331</v>
      </c>
      <c r="BQ183" s="47">
        <v>0.33333333333333331</v>
      </c>
      <c r="BR183" s="47">
        <v>0.23809523809523811</v>
      </c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</row>
    <row r="184" spans="1:93" outlineLevel="4" x14ac:dyDescent="0.25">
      <c r="A184" s="17"/>
      <c r="B184" s="17"/>
      <c r="C184" s="25"/>
      <c r="D184" s="19" t="s">
        <v>111</v>
      </c>
      <c r="E184" s="17" t="s">
        <v>340</v>
      </c>
      <c r="F184" s="17"/>
      <c r="G184" s="17"/>
      <c r="H184" s="17"/>
      <c r="I184" s="20"/>
      <c r="J184" s="20"/>
      <c r="K184" s="20"/>
      <c r="L184" s="20"/>
      <c r="M184" s="21" t="str">
        <f t="shared" si="104"/>
        <v/>
      </c>
      <c r="N184" s="21">
        <v>0</v>
      </c>
      <c r="O184" s="48">
        <f>O183</f>
        <v>100000</v>
      </c>
      <c r="P184" s="22"/>
      <c r="Q184" s="23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</row>
    <row r="185" spans="1:93" outlineLevel="4" x14ac:dyDescent="0.25">
      <c r="A185" s="10" t="s">
        <v>116</v>
      </c>
      <c r="B185" s="10" t="s">
        <v>341</v>
      </c>
      <c r="C185" s="24" t="s">
        <v>342</v>
      </c>
      <c r="D185" s="12" t="s">
        <v>110</v>
      </c>
      <c r="E185" s="10" t="s">
        <v>343</v>
      </c>
      <c r="F185" s="10">
        <v>90</v>
      </c>
      <c r="G185" s="10">
        <v>90</v>
      </c>
      <c r="H185" s="10">
        <v>4</v>
      </c>
      <c r="I185" s="13">
        <v>46464.333333333343</v>
      </c>
      <c r="J185" s="13">
        <v>46491.666666666657</v>
      </c>
      <c r="K185" s="13"/>
      <c r="L185" s="13"/>
      <c r="M185" s="14">
        <f t="shared" si="104"/>
        <v>1</v>
      </c>
      <c r="N185" s="14"/>
      <c r="O185" s="16">
        <v>100000</v>
      </c>
      <c r="P185" s="15">
        <v>4.4000000000000004</v>
      </c>
      <c r="Q185" s="16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>
        <v>7.1428571428571425E-2</v>
      </c>
      <c r="CA185" s="47">
        <v>0.25</v>
      </c>
      <c r="CB185" s="47">
        <v>0.25</v>
      </c>
      <c r="CC185" s="47">
        <v>0.25</v>
      </c>
      <c r="CD185" s="47">
        <v>0.1785714285714286</v>
      </c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</row>
    <row r="186" spans="1:93" outlineLevel="4" x14ac:dyDescent="0.25">
      <c r="A186" s="17"/>
      <c r="B186" s="17"/>
      <c r="C186" s="25"/>
      <c r="D186" s="19" t="s">
        <v>111</v>
      </c>
      <c r="E186" s="17" t="s">
        <v>343</v>
      </c>
      <c r="F186" s="17"/>
      <c r="G186" s="17"/>
      <c r="H186" s="17"/>
      <c r="I186" s="20"/>
      <c r="J186" s="20"/>
      <c r="K186" s="20"/>
      <c r="L186" s="20"/>
      <c r="M186" s="21" t="str">
        <f t="shared" si="104"/>
        <v/>
      </c>
      <c r="N186" s="21">
        <v>0</v>
      </c>
      <c r="O186" s="48">
        <f>O185</f>
        <v>100000</v>
      </c>
      <c r="P186" s="22"/>
      <c r="Q186" s="23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</row>
    <row r="187" spans="1:93" outlineLevel="4" x14ac:dyDescent="0.25">
      <c r="A187" s="10" t="s">
        <v>116</v>
      </c>
      <c r="B187" s="10" t="s">
        <v>344</v>
      </c>
      <c r="C187" s="24" t="s">
        <v>345</v>
      </c>
      <c r="D187" s="12" t="s">
        <v>110</v>
      </c>
      <c r="E187" s="10" t="s">
        <v>346</v>
      </c>
      <c r="F187" s="10">
        <v>91</v>
      </c>
      <c r="G187" s="10">
        <v>93</v>
      </c>
      <c r="H187" s="10">
        <v>4</v>
      </c>
      <c r="I187" s="13">
        <v>46512.333333333343</v>
      </c>
      <c r="J187" s="13">
        <v>46525.666666666657</v>
      </c>
      <c r="K187" s="13"/>
      <c r="L187" s="13"/>
      <c r="M187" s="14">
        <f t="shared" si="104"/>
        <v>1</v>
      </c>
      <c r="N187" s="14"/>
      <c r="O187" s="16">
        <v>100000</v>
      </c>
      <c r="P187" s="15">
        <v>1.2</v>
      </c>
      <c r="Q187" s="16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>
        <v>0.2142857142857143</v>
      </c>
      <c r="CH187" s="47">
        <v>0.5</v>
      </c>
      <c r="CI187" s="47">
        <v>0.2857142857142857</v>
      </c>
      <c r="CJ187" s="47"/>
      <c r="CK187" s="47"/>
      <c r="CL187" s="47"/>
      <c r="CM187" s="47"/>
      <c r="CN187" s="47"/>
      <c r="CO187" s="47"/>
    </row>
    <row r="188" spans="1:93" outlineLevel="4" x14ac:dyDescent="0.25">
      <c r="A188" s="17"/>
      <c r="B188" s="17"/>
      <c r="C188" s="25"/>
      <c r="D188" s="19" t="s">
        <v>111</v>
      </c>
      <c r="E188" s="17" t="s">
        <v>346</v>
      </c>
      <c r="F188" s="17"/>
      <c r="G188" s="17"/>
      <c r="H188" s="17"/>
      <c r="I188" s="20"/>
      <c r="J188" s="20"/>
      <c r="K188" s="20"/>
      <c r="L188" s="20"/>
      <c r="M188" s="21" t="str">
        <f t="shared" si="104"/>
        <v/>
      </c>
      <c r="N188" s="21">
        <v>0</v>
      </c>
      <c r="O188" s="48">
        <f>O187</f>
        <v>100000</v>
      </c>
      <c r="P188" s="22"/>
      <c r="Q188" s="23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</row>
    <row r="189" spans="1:93" outlineLevel="4" x14ac:dyDescent="0.25">
      <c r="A189" s="10" t="s">
        <v>116</v>
      </c>
      <c r="B189" s="10" t="s">
        <v>347</v>
      </c>
      <c r="C189" s="24" t="s">
        <v>348</v>
      </c>
      <c r="D189" s="12" t="s">
        <v>110</v>
      </c>
      <c r="E189" s="10" t="s">
        <v>349</v>
      </c>
      <c r="F189" s="10">
        <v>92</v>
      </c>
      <c r="G189" s="10">
        <v>95</v>
      </c>
      <c r="H189" s="10">
        <v>4</v>
      </c>
      <c r="I189" s="13">
        <v>46405.333333333343</v>
      </c>
      <c r="J189" s="13">
        <v>46423.666666666657</v>
      </c>
      <c r="K189" s="13"/>
      <c r="L189" s="13"/>
      <c r="M189" s="14">
        <f t="shared" si="104"/>
        <v>1</v>
      </c>
      <c r="N189" s="14"/>
      <c r="O189" s="16">
        <v>100000</v>
      </c>
      <c r="P189" s="15">
        <v>9.4666666666666668</v>
      </c>
      <c r="Q189" s="16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>
        <v>0.26315789473684209</v>
      </c>
      <c r="BS189" s="47">
        <v>0.36842105263157893</v>
      </c>
      <c r="BT189" s="47">
        <v>0.36842105263157898</v>
      </c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</row>
    <row r="190" spans="1:93" outlineLevel="4" x14ac:dyDescent="0.25">
      <c r="A190" s="17"/>
      <c r="B190" s="17"/>
      <c r="C190" s="25"/>
      <c r="D190" s="19" t="s">
        <v>111</v>
      </c>
      <c r="E190" s="17" t="s">
        <v>349</v>
      </c>
      <c r="F190" s="17"/>
      <c r="G190" s="17"/>
      <c r="H190" s="17"/>
      <c r="I190" s="20"/>
      <c r="J190" s="20"/>
      <c r="K190" s="20"/>
      <c r="L190" s="20"/>
      <c r="M190" s="21" t="str">
        <f t="shared" si="104"/>
        <v/>
      </c>
      <c r="N190" s="21">
        <v>0</v>
      </c>
      <c r="O190" s="48">
        <f>O189</f>
        <v>100000</v>
      </c>
      <c r="P190" s="22"/>
      <c r="Q190" s="23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</row>
    <row r="191" spans="1:93" outlineLevel="3" x14ac:dyDescent="0.25">
      <c r="A191" s="1" t="s">
        <v>92</v>
      </c>
      <c r="B191" s="1" t="s">
        <v>350</v>
      </c>
      <c r="C191" s="7" t="s">
        <v>351</v>
      </c>
      <c r="D191" s="8" t="s">
        <v>110</v>
      </c>
      <c r="E191" s="1"/>
      <c r="F191" s="1">
        <v>93</v>
      </c>
      <c r="G191" s="1">
        <v>96</v>
      </c>
      <c r="H191" s="1">
        <v>3</v>
      </c>
      <c r="I191" s="9">
        <v>46408.333333333343</v>
      </c>
      <c r="J191" s="9">
        <v>46435.666666666657</v>
      </c>
      <c r="K191" s="9"/>
      <c r="L191" s="9"/>
      <c r="M191" s="3">
        <f t="shared" si="104"/>
        <v>1</v>
      </c>
      <c r="N191" s="3"/>
      <c r="O191" s="5">
        <f>SUMIFS($O$192:$O$193,$A$192:$A$193,"Activity",$D$192:$D$193,"P")</f>
        <v>100000</v>
      </c>
      <c r="P191" s="4"/>
      <c r="Q191" s="5"/>
      <c r="R191" s="45" t="str">
        <f t="shared" ref="R191:AW191" si="153">IF(COUNTIFS($A$193:$A$194,"Activity",$D$193:$D$194,"P",R$193:R$194,"&lt;&gt;")=0,"",IFERROR(SUMPRODUCT(--($A$193:$A$194="Activity"),--($D$193:$D$194="P"),$O$193:$O$194,R$193:R$194)/SUMPRODUCT(--($A$193:$A$194="Activity"),--($D$193:$D$194="P"),$O$193:$O$194),""))</f>
        <v/>
      </c>
      <c r="S191" s="45" t="str">
        <f t="shared" si="153"/>
        <v/>
      </c>
      <c r="T191" s="45" t="str">
        <f t="shared" si="153"/>
        <v/>
      </c>
      <c r="U191" s="45" t="str">
        <f t="shared" si="153"/>
        <v/>
      </c>
      <c r="V191" s="45" t="str">
        <f t="shared" si="153"/>
        <v/>
      </c>
      <c r="W191" s="45" t="str">
        <f t="shared" si="153"/>
        <v/>
      </c>
      <c r="X191" s="45" t="str">
        <f t="shared" si="153"/>
        <v/>
      </c>
      <c r="Y191" s="45" t="str">
        <f t="shared" si="153"/>
        <v/>
      </c>
      <c r="Z191" s="45" t="str">
        <f t="shared" si="153"/>
        <v/>
      </c>
      <c r="AA191" s="45" t="str">
        <f t="shared" si="153"/>
        <v/>
      </c>
      <c r="AB191" s="45" t="str">
        <f t="shared" si="153"/>
        <v/>
      </c>
      <c r="AC191" s="45" t="str">
        <f t="shared" si="153"/>
        <v/>
      </c>
      <c r="AD191" s="45" t="str">
        <f t="shared" si="153"/>
        <v/>
      </c>
      <c r="AE191" s="45" t="str">
        <f t="shared" si="153"/>
        <v/>
      </c>
      <c r="AF191" s="45" t="str">
        <f t="shared" si="153"/>
        <v/>
      </c>
      <c r="AG191" s="45" t="str">
        <f t="shared" si="153"/>
        <v/>
      </c>
      <c r="AH191" s="45" t="str">
        <f t="shared" si="153"/>
        <v/>
      </c>
      <c r="AI191" s="45" t="str">
        <f t="shared" si="153"/>
        <v/>
      </c>
      <c r="AJ191" s="45" t="str">
        <f t="shared" si="153"/>
        <v/>
      </c>
      <c r="AK191" s="45" t="str">
        <f t="shared" si="153"/>
        <v/>
      </c>
      <c r="AL191" s="45" t="str">
        <f t="shared" si="153"/>
        <v/>
      </c>
      <c r="AM191" s="45" t="str">
        <f t="shared" si="153"/>
        <v/>
      </c>
      <c r="AN191" s="45" t="str">
        <f t="shared" si="153"/>
        <v/>
      </c>
      <c r="AO191" s="45" t="str">
        <f t="shared" si="153"/>
        <v/>
      </c>
      <c r="AP191" s="45" t="str">
        <f t="shared" si="153"/>
        <v/>
      </c>
      <c r="AQ191" s="45" t="str">
        <f t="shared" si="153"/>
        <v/>
      </c>
      <c r="AR191" s="45" t="str">
        <f t="shared" si="153"/>
        <v/>
      </c>
      <c r="AS191" s="45" t="str">
        <f t="shared" si="153"/>
        <v/>
      </c>
      <c r="AT191" s="45" t="str">
        <f t="shared" si="153"/>
        <v/>
      </c>
      <c r="AU191" s="45" t="str">
        <f t="shared" si="153"/>
        <v/>
      </c>
      <c r="AV191" s="45" t="str">
        <f t="shared" si="153"/>
        <v/>
      </c>
      <c r="AW191" s="45" t="str">
        <f t="shared" si="153"/>
        <v/>
      </c>
      <c r="AX191" s="45" t="str">
        <f t="shared" ref="AX191:CC191" si="154">IF(COUNTIFS($A$193:$A$194,"Activity",$D$193:$D$194,"P",AX$193:AX$194,"&lt;&gt;")=0,"",IFERROR(SUMPRODUCT(--($A$193:$A$194="Activity"),--($D$193:$D$194="P"),$O$193:$O$194,AX$193:AX$194)/SUMPRODUCT(--($A$193:$A$194="Activity"),--($D$193:$D$194="P"),$O$193:$O$194),""))</f>
        <v/>
      </c>
      <c r="AY191" s="45" t="str">
        <f t="shared" si="154"/>
        <v/>
      </c>
      <c r="AZ191" s="45" t="str">
        <f t="shared" si="154"/>
        <v/>
      </c>
      <c r="BA191" s="45" t="str">
        <f t="shared" si="154"/>
        <v/>
      </c>
      <c r="BB191" s="45" t="str">
        <f t="shared" si="154"/>
        <v/>
      </c>
      <c r="BC191" s="45" t="str">
        <f t="shared" si="154"/>
        <v/>
      </c>
      <c r="BD191" s="45" t="str">
        <f t="shared" si="154"/>
        <v/>
      </c>
      <c r="BE191" s="45" t="str">
        <f t="shared" si="154"/>
        <v/>
      </c>
      <c r="BF191" s="45" t="str">
        <f t="shared" si="154"/>
        <v/>
      </c>
      <c r="BG191" s="45" t="str">
        <f t="shared" si="154"/>
        <v/>
      </c>
      <c r="BH191" s="45" t="str">
        <f t="shared" si="154"/>
        <v/>
      </c>
      <c r="BI191" s="45" t="str">
        <f t="shared" si="154"/>
        <v/>
      </c>
      <c r="BJ191" s="45" t="str">
        <f t="shared" si="154"/>
        <v/>
      </c>
      <c r="BK191" s="45" t="str">
        <f t="shared" si="154"/>
        <v/>
      </c>
      <c r="BL191" s="45" t="str">
        <f t="shared" si="154"/>
        <v/>
      </c>
      <c r="BM191" s="45" t="str">
        <f t="shared" si="154"/>
        <v/>
      </c>
      <c r="BN191" s="45" t="str">
        <f t="shared" si="154"/>
        <v/>
      </c>
      <c r="BO191" s="45" t="str">
        <f t="shared" si="154"/>
        <v/>
      </c>
      <c r="BP191" s="45" t="str">
        <f t="shared" si="154"/>
        <v/>
      </c>
      <c r="BQ191" s="45" t="str">
        <f t="shared" si="154"/>
        <v/>
      </c>
      <c r="BR191" s="45">
        <f t="shared" si="154"/>
        <v>7.1428571428571425E-2</v>
      </c>
      <c r="BS191" s="45">
        <f t="shared" si="154"/>
        <v>0.25</v>
      </c>
      <c r="BT191" s="45">
        <f t="shared" si="154"/>
        <v>0.25</v>
      </c>
      <c r="BU191" s="45">
        <f t="shared" si="154"/>
        <v>0.25</v>
      </c>
      <c r="BV191" s="45">
        <f t="shared" si="154"/>
        <v>0.17857142857142858</v>
      </c>
      <c r="BW191" s="45" t="str">
        <f t="shared" si="154"/>
        <v/>
      </c>
      <c r="BX191" s="45" t="str">
        <f t="shared" si="154"/>
        <v/>
      </c>
      <c r="BY191" s="45" t="str">
        <f t="shared" si="154"/>
        <v/>
      </c>
      <c r="BZ191" s="45" t="str">
        <f t="shared" si="154"/>
        <v/>
      </c>
      <c r="CA191" s="45" t="str">
        <f t="shared" si="154"/>
        <v/>
      </c>
      <c r="CB191" s="45" t="str">
        <f t="shared" si="154"/>
        <v/>
      </c>
      <c r="CC191" s="45" t="str">
        <f t="shared" si="154"/>
        <v/>
      </c>
      <c r="CD191" s="45" t="str">
        <f t="shared" ref="CD191:CO191" si="155">IF(COUNTIFS($A$193:$A$194,"Activity",$D$193:$D$194,"P",CD$193:CD$194,"&lt;&gt;")=0,"",IFERROR(SUMPRODUCT(--($A$193:$A$194="Activity"),--($D$193:$D$194="P"),$O$193:$O$194,CD$193:CD$194)/SUMPRODUCT(--($A$193:$A$194="Activity"),--($D$193:$D$194="P"),$O$193:$O$194),""))</f>
        <v/>
      </c>
      <c r="CE191" s="45" t="str">
        <f t="shared" si="155"/>
        <v/>
      </c>
      <c r="CF191" s="45" t="str">
        <f t="shared" si="155"/>
        <v/>
      </c>
      <c r="CG191" s="45" t="str">
        <f t="shared" si="155"/>
        <v/>
      </c>
      <c r="CH191" s="45" t="str">
        <f t="shared" si="155"/>
        <v/>
      </c>
      <c r="CI191" s="45" t="str">
        <f t="shared" si="155"/>
        <v/>
      </c>
      <c r="CJ191" s="45" t="str">
        <f t="shared" si="155"/>
        <v/>
      </c>
      <c r="CK191" s="45" t="str">
        <f t="shared" si="155"/>
        <v/>
      </c>
      <c r="CL191" s="45" t="str">
        <f t="shared" si="155"/>
        <v/>
      </c>
      <c r="CM191" s="45" t="str">
        <f t="shared" si="155"/>
        <v/>
      </c>
      <c r="CN191" s="45" t="str">
        <f t="shared" si="155"/>
        <v/>
      </c>
      <c r="CO191" s="45" t="str">
        <f t="shared" si="155"/>
        <v/>
      </c>
    </row>
    <row r="192" spans="1:93" outlineLevel="3" x14ac:dyDescent="0.25">
      <c r="A192" s="1"/>
      <c r="B192" s="1"/>
      <c r="C192" s="7"/>
      <c r="D192" s="8" t="s">
        <v>111</v>
      </c>
      <c r="E192" s="1"/>
      <c r="F192" s="1"/>
      <c r="G192" s="1"/>
      <c r="H192" s="1"/>
      <c r="I192" s="9"/>
      <c r="J192" s="9"/>
      <c r="K192" s="9"/>
      <c r="L192" s="9"/>
      <c r="M192" s="3" t="str">
        <f t="shared" si="104"/>
        <v/>
      </c>
      <c r="N192" s="3"/>
      <c r="O192" s="46">
        <f>O191</f>
        <v>100000</v>
      </c>
      <c r="P192" s="4"/>
      <c r="Q192" s="5"/>
      <c r="R192" s="45" t="str">
        <f t="shared" ref="R192:AW192" si="156">IF(COUNTIFS($E$193:$E$194,"&lt;&gt;",$D$193:$D$194,"A",R$193:R$194,"&lt;&gt;")=0,"",IFERROR(SUMPRODUCT(--($E$193:$E$194&lt;&gt;""),--($D$193:$D$194="A"),$O$193:$O$194,R$193:R$194)/SUMPRODUCT(--($E$193:$E$194&lt;&gt;""),--($D$193:$D$194="A"),$O$193:$O$194),""))</f>
        <v/>
      </c>
      <c r="S192" s="45" t="str">
        <f t="shared" si="156"/>
        <v/>
      </c>
      <c r="T192" s="45" t="str">
        <f t="shared" si="156"/>
        <v/>
      </c>
      <c r="U192" s="45" t="str">
        <f t="shared" si="156"/>
        <v/>
      </c>
      <c r="V192" s="45" t="str">
        <f t="shared" si="156"/>
        <v/>
      </c>
      <c r="W192" s="45" t="str">
        <f t="shared" si="156"/>
        <v/>
      </c>
      <c r="X192" s="45" t="str">
        <f t="shared" si="156"/>
        <v/>
      </c>
      <c r="Y192" s="45" t="str">
        <f t="shared" si="156"/>
        <v/>
      </c>
      <c r="Z192" s="45" t="str">
        <f t="shared" si="156"/>
        <v/>
      </c>
      <c r="AA192" s="45" t="str">
        <f t="shared" si="156"/>
        <v/>
      </c>
      <c r="AB192" s="45" t="str">
        <f t="shared" si="156"/>
        <v/>
      </c>
      <c r="AC192" s="45" t="str">
        <f t="shared" si="156"/>
        <v/>
      </c>
      <c r="AD192" s="45" t="str">
        <f t="shared" si="156"/>
        <v/>
      </c>
      <c r="AE192" s="45" t="str">
        <f t="shared" si="156"/>
        <v/>
      </c>
      <c r="AF192" s="45" t="str">
        <f t="shared" si="156"/>
        <v/>
      </c>
      <c r="AG192" s="45" t="str">
        <f t="shared" si="156"/>
        <v/>
      </c>
      <c r="AH192" s="45" t="str">
        <f t="shared" si="156"/>
        <v/>
      </c>
      <c r="AI192" s="45" t="str">
        <f t="shared" si="156"/>
        <v/>
      </c>
      <c r="AJ192" s="45" t="str">
        <f t="shared" si="156"/>
        <v/>
      </c>
      <c r="AK192" s="45" t="str">
        <f t="shared" si="156"/>
        <v/>
      </c>
      <c r="AL192" s="45" t="str">
        <f t="shared" si="156"/>
        <v/>
      </c>
      <c r="AM192" s="45" t="str">
        <f t="shared" si="156"/>
        <v/>
      </c>
      <c r="AN192" s="45" t="str">
        <f t="shared" si="156"/>
        <v/>
      </c>
      <c r="AO192" s="45" t="str">
        <f t="shared" si="156"/>
        <v/>
      </c>
      <c r="AP192" s="45" t="str">
        <f t="shared" si="156"/>
        <v/>
      </c>
      <c r="AQ192" s="45" t="str">
        <f t="shared" si="156"/>
        <v/>
      </c>
      <c r="AR192" s="45" t="str">
        <f t="shared" si="156"/>
        <v/>
      </c>
      <c r="AS192" s="45" t="str">
        <f t="shared" si="156"/>
        <v/>
      </c>
      <c r="AT192" s="45" t="str">
        <f t="shared" si="156"/>
        <v/>
      </c>
      <c r="AU192" s="45" t="str">
        <f t="shared" si="156"/>
        <v/>
      </c>
      <c r="AV192" s="45" t="str">
        <f t="shared" si="156"/>
        <v/>
      </c>
      <c r="AW192" s="45" t="str">
        <f t="shared" si="156"/>
        <v/>
      </c>
      <c r="AX192" s="45" t="str">
        <f t="shared" ref="AX192:CC192" si="157">IF(COUNTIFS($E$193:$E$194,"&lt;&gt;",$D$193:$D$194,"A",AX$193:AX$194,"&lt;&gt;")=0,"",IFERROR(SUMPRODUCT(--($E$193:$E$194&lt;&gt;""),--($D$193:$D$194="A"),$O$193:$O$194,AX$193:AX$194)/SUMPRODUCT(--($E$193:$E$194&lt;&gt;""),--($D$193:$D$194="A"),$O$193:$O$194),""))</f>
        <v/>
      </c>
      <c r="AY192" s="45" t="str">
        <f t="shared" si="157"/>
        <v/>
      </c>
      <c r="AZ192" s="45" t="str">
        <f t="shared" si="157"/>
        <v/>
      </c>
      <c r="BA192" s="45" t="str">
        <f t="shared" si="157"/>
        <v/>
      </c>
      <c r="BB192" s="45" t="str">
        <f t="shared" si="157"/>
        <v/>
      </c>
      <c r="BC192" s="45" t="str">
        <f t="shared" si="157"/>
        <v/>
      </c>
      <c r="BD192" s="45" t="str">
        <f t="shared" si="157"/>
        <v/>
      </c>
      <c r="BE192" s="45" t="str">
        <f t="shared" si="157"/>
        <v/>
      </c>
      <c r="BF192" s="45" t="str">
        <f t="shared" si="157"/>
        <v/>
      </c>
      <c r="BG192" s="45" t="str">
        <f t="shared" si="157"/>
        <v/>
      </c>
      <c r="BH192" s="45" t="str">
        <f t="shared" si="157"/>
        <v/>
      </c>
      <c r="BI192" s="45" t="str">
        <f t="shared" si="157"/>
        <v/>
      </c>
      <c r="BJ192" s="45" t="str">
        <f t="shared" si="157"/>
        <v/>
      </c>
      <c r="BK192" s="45" t="str">
        <f t="shared" si="157"/>
        <v/>
      </c>
      <c r="BL192" s="45" t="str">
        <f t="shared" si="157"/>
        <v/>
      </c>
      <c r="BM192" s="45" t="str">
        <f t="shared" si="157"/>
        <v/>
      </c>
      <c r="BN192" s="45" t="str">
        <f t="shared" si="157"/>
        <v/>
      </c>
      <c r="BO192" s="45" t="str">
        <f t="shared" si="157"/>
        <v/>
      </c>
      <c r="BP192" s="45" t="str">
        <f t="shared" si="157"/>
        <v/>
      </c>
      <c r="BQ192" s="45" t="str">
        <f t="shared" si="157"/>
        <v/>
      </c>
      <c r="BR192" s="45" t="str">
        <f t="shared" si="157"/>
        <v/>
      </c>
      <c r="BS192" s="45" t="str">
        <f t="shared" si="157"/>
        <v/>
      </c>
      <c r="BT192" s="45" t="str">
        <f t="shared" si="157"/>
        <v/>
      </c>
      <c r="BU192" s="45" t="str">
        <f t="shared" si="157"/>
        <v/>
      </c>
      <c r="BV192" s="45" t="str">
        <f t="shared" si="157"/>
        <v/>
      </c>
      <c r="BW192" s="45" t="str">
        <f t="shared" si="157"/>
        <v/>
      </c>
      <c r="BX192" s="45" t="str">
        <f t="shared" si="157"/>
        <v/>
      </c>
      <c r="BY192" s="45" t="str">
        <f t="shared" si="157"/>
        <v/>
      </c>
      <c r="BZ192" s="45" t="str">
        <f t="shared" si="157"/>
        <v/>
      </c>
      <c r="CA192" s="45" t="str">
        <f t="shared" si="157"/>
        <v/>
      </c>
      <c r="CB192" s="45" t="str">
        <f t="shared" si="157"/>
        <v/>
      </c>
      <c r="CC192" s="45" t="str">
        <f t="shared" si="157"/>
        <v/>
      </c>
      <c r="CD192" s="45" t="str">
        <f t="shared" ref="CD192:CO192" si="158">IF(COUNTIFS($E$193:$E$194,"&lt;&gt;",$D$193:$D$194,"A",CD$193:CD$194,"&lt;&gt;")=0,"",IFERROR(SUMPRODUCT(--($E$193:$E$194&lt;&gt;""),--($D$193:$D$194="A"),$O$193:$O$194,CD$193:CD$194)/SUMPRODUCT(--($E$193:$E$194&lt;&gt;""),--($D$193:$D$194="A"),$O$193:$O$194),""))</f>
        <v/>
      </c>
      <c r="CE192" s="45" t="str">
        <f t="shared" si="158"/>
        <v/>
      </c>
      <c r="CF192" s="45" t="str">
        <f t="shared" si="158"/>
        <v/>
      </c>
      <c r="CG192" s="45" t="str">
        <f t="shared" si="158"/>
        <v/>
      </c>
      <c r="CH192" s="45" t="str">
        <f t="shared" si="158"/>
        <v/>
      </c>
      <c r="CI192" s="45" t="str">
        <f t="shared" si="158"/>
        <v/>
      </c>
      <c r="CJ192" s="45" t="str">
        <f t="shared" si="158"/>
        <v/>
      </c>
      <c r="CK192" s="45" t="str">
        <f t="shared" si="158"/>
        <v/>
      </c>
      <c r="CL192" s="45" t="str">
        <f t="shared" si="158"/>
        <v/>
      </c>
      <c r="CM192" s="45" t="str">
        <f t="shared" si="158"/>
        <v/>
      </c>
      <c r="CN192" s="45" t="str">
        <f t="shared" si="158"/>
        <v/>
      </c>
      <c r="CO192" s="45" t="str">
        <f t="shared" si="158"/>
        <v/>
      </c>
    </row>
    <row r="193" spans="1:93" outlineLevel="4" x14ac:dyDescent="0.25">
      <c r="A193" s="10" t="s">
        <v>116</v>
      </c>
      <c r="B193" s="10" t="s">
        <v>352</v>
      </c>
      <c r="C193" s="24" t="s">
        <v>353</v>
      </c>
      <c r="D193" s="12" t="s">
        <v>110</v>
      </c>
      <c r="E193" s="10" t="s">
        <v>354</v>
      </c>
      <c r="F193" s="10">
        <v>94</v>
      </c>
      <c r="G193" s="10">
        <v>91</v>
      </c>
      <c r="H193" s="10">
        <v>4</v>
      </c>
      <c r="I193" s="13">
        <v>46408.333333333343</v>
      </c>
      <c r="J193" s="13">
        <v>46435.666666666657</v>
      </c>
      <c r="K193" s="13"/>
      <c r="L193" s="13"/>
      <c r="M193" s="14">
        <f t="shared" si="104"/>
        <v>1</v>
      </c>
      <c r="N193" s="14"/>
      <c r="O193" s="16">
        <v>100000</v>
      </c>
      <c r="P193" s="15">
        <v>1.7333333333333329</v>
      </c>
      <c r="Q193" s="16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>
        <v>7.1428571428571425E-2</v>
      </c>
      <c r="BS193" s="47">
        <v>0.25</v>
      </c>
      <c r="BT193" s="47">
        <v>0.25</v>
      </c>
      <c r="BU193" s="47">
        <v>0.25</v>
      </c>
      <c r="BV193" s="47">
        <v>0.1785714285714286</v>
      </c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</row>
    <row r="194" spans="1:93" outlineLevel="4" x14ac:dyDescent="0.25">
      <c r="A194" s="17"/>
      <c r="B194" s="17"/>
      <c r="C194" s="25"/>
      <c r="D194" s="19" t="s">
        <v>111</v>
      </c>
      <c r="E194" s="17" t="s">
        <v>354</v>
      </c>
      <c r="F194" s="17"/>
      <c r="G194" s="17"/>
      <c r="H194" s="17"/>
      <c r="I194" s="20"/>
      <c r="J194" s="20"/>
      <c r="K194" s="20"/>
      <c r="L194" s="20"/>
      <c r="M194" s="21" t="str">
        <f t="shared" si="104"/>
        <v/>
      </c>
      <c r="N194" s="21">
        <v>0</v>
      </c>
      <c r="O194" s="48">
        <f>O193</f>
        <v>100000</v>
      </c>
      <c r="P194" s="22"/>
      <c r="Q194" s="23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</row>
    <row r="195" spans="1:93" outlineLevel="3" x14ac:dyDescent="0.25">
      <c r="A195" s="1" t="s">
        <v>92</v>
      </c>
      <c r="B195" s="1" t="s">
        <v>355</v>
      </c>
      <c r="C195" s="7" t="s">
        <v>356</v>
      </c>
      <c r="D195" s="8" t="s">
        <v>110</v>
      </c>
      <c r="E195" s="1"/>
      <c r="F195" s="1">
        <v>95</v>
      </c>
      <c r="G195" s="1">
        <v>97</v>
      </c>
      <c r="H195" s="1">
        <v>3</v>
      </c>
      <c r="I195" s="9">
        <v>46345.333333333343</v>
      </c>
      <c r="J195" s="9">
        <v>46512.666666666657</v>
      </c>
      <c r="K195" s="9"/>
      <c r="L195" s="9"/>
      <c r="M195" s="3">
        <f t="shared" si="104"/>
        <v>1</v>
      </c>
      <c r="N195" s="3"/>
      <c r="O195" s="5">
        <f>SUMIFS($O$196:$O$203,$A$196:$A$203,"Activity",$D$196:$D$203,"P")</f>
        <v>400000</v>
      </c>
      <c r="P195" s="4"/>
      <c r="Q195" s="5"/>
      <c r="R195" s="45" t="str">
        <f t="shared" ref="R195:AW195" si="159">IF(COUNTIFS($A$197:$A$204,"Activity",$D$197:$D$204,"P",R$197:R$204,"&lt;&gt;")=0,"",IFERROR(SUMPRODUCT(--($A$197:$A$204="Activity"),--($D$197:$D$204="P"),$O$197:$O$204,R$197:R$204)/SUMPRODUCT(--($A$197:$A$204="Activity"),--($D$197:$D$204="P"),$O$197:$O$204),""))</f>
        <v/>
      </c>
      <c r="S195" s="45" t="str">
        <f t="shared" si="159"/>
        <v/>
      </c>
      <c r="T195" s="45" t="str">
        <f t="shared" si="159"/>
        <v/>
      </c>
      <c r="U195" s="45" t="str">
        <f t="shared" si="159"/>
        <v/>
      </c>
      <c r="V195" s="45" t="str">
        <f t="shared" si="159"/>
        <v/>
      </c>
      <c r="W195" s="45" t="str">
        <f t="shared" si="159"/>
        <v/>
      </c>
      <c r="X195" s="45" t="str">
        <f t="shared" si="159"/>
        <v/>
      </c>
      <c r="Y195" s="45" t="str">
        <f t="shared" si="159"/>
        <v/>
      </c>
      <c r="Z195" s="45" t="str">
        <f t="shared" si="159"/>
        <v/>
      </c>
      <c r="AA195" s="45" t="str">
        <f t="shared" si="159"/>
        <v/>
      </c>
      <c r="AB195" s="45" t="str">
        <f t="shared" si="159"/>
        <v/>
      </c>
      <c r="AC195" s="45" t="str">
        <f t="shared" si="159"/>
        <v/>
      </c>
      <c r="AD195" s="45" t="str">
        <f t="shared" si="159"/>
        <v/>
      </c>
      <c r="AE195" s="45" t="str">
        <f t="shared" si="159"/>
        <v/>
      </c>
      <c r="AF195" s="45" t="str">
        <f t="shared" si="159"/>
        <v/>
      </c>
      <c r="AG195" s="45" t="str">
        <f t="shared" si="159"/>
        <v/>
      </c>
      <c r="AH195" s="45" t="str">
        <f t="shared" si="159"/>
        <v/>
      </c>
      <c r="AI195" s="45" t="str">
        <f t="shared" si="159"/>
        <v/>
      </c>
      <c r="AJ195" s="45" t="str">
        <f t="shared" si="159"/>
        <v/>
      </c>
      <c r="AK195" s="45" t="str">
        <f t="shared" si="159"/>
        <v/>
      </c>
      <c r="AL195" s="45" t="str">
        <f t="shared" si="159"/>
        <v/>
      </c>
      <c r="AM195" s="45" t="str">
        <f t="shared" si="159"/>
        <v/>
      </c>
      <c r="AN195" s="45" t="str">
        <f t="shared" si="159"/>
        <v/>
      </c>
      <c r="AO195" s="45" t="str">
        <f t="shared" si="159"/>
        <v/>
      </c>
      <c r="AP195" s="45" t="str">
        <f t="shared" si="159"/>
        <v/>
      </c>
      <c r="AQ195" s="45" t="str">
        <f t="shared" si="159"/>
        <v/>
      </c>
      <c r="AR195" s="45" t="str">
        <f t="shared" si="159"/>
        <v/>
      </c>
      <c r="AS195" s="45" t="str">
        <f t="shared" si="159"/>
        <v/>
      </c>
      <c r="AT195" s="45" t="str">
        <f t="shared" si="159"/>
        <v/>
      </c>
      <c r="AU195" s="45" t="str">
        <f t="shared" si="159"/>
        <v/>
      </c>
      <c r="AV195" s="45" t="str">
        <f t="shared" si="159"/>
        <v/>
      </c>
      <c r="AW195" s="45" t="str">
        <f t="shared" si="159"/>
        <v/>
      </c>
      <c r="AX195" s="45" t="str">
        <f t="shared" ref="AX195:CC195" si="160">IF(COUNTIFS($A$197:$A$204,"Activity",$D$197:$D$204,"P",AX$197:AX$204,"&lt;&gt;")=0,"",IFERROR(SUMPRODUCT(--($A$197:$A$204="Activity"),--($D$197:$D$204="P"),$O$197:$O$204,AX$197:AX$204)/SUMPRODUCT(--($A$197:$A$204="Activity"),--($D$197:$D$204="P"),$O$197:$O$204),""))</f>
        <v/>
      </c>
      <c r="AY195" s="45" t="str">
        <f t="shared" si="160"/>
        <v/>
      </c>
      <c r="AZ195" s="45" t="str">
        <f t="shared" si="160"/>
        <v/>
      </c>
      <c r="BA195" s="45" t="str">
        <f t="shared" si="160"/>
        <v/>
      </c>
      <c r="BB195" s="45" t="str">
        <f t="shared" si="160"/>
        <v/>
      </c>
      <c r="BC195" s="45" t="str">
        <f t="shared" si="160"/>
        <v/>
      </c>
      <c r="BD195" s="45" t="str">
        <f t="shared" si="160"/>
        <v/>
      </c>
      <c r="BE195" s="45" t="str">
        <f t="shared" si="160"/>
        <v/>
      </c>
      <c r="BF195" s="45" t="str">
        <f t="shared" si="160"/>
        <v/>
      </c>
      <c r="BG195" s="45" t="str">
        <f t="shared" si="160"/>
        <v/>
      </c>
      <c r="BH195" s="45" t="str">
        <f t="shared" si="160"/>
        <v/>
      </c>
      <c r="BI195" s="45">
        <f t="shared" si="160"/>
        <v>1.1654913845524592E-3</v>
      </c>
      <c r="BJ195" s="45">
        <f t="shared" si="160"/>
        <v>1.1088469181490831E-2</v>
      </c>
      <c r="BK195" s="45">
        <f t="shared" si="160"/>
        <v>2.3474289441425225E-2</v>
      </c>
      <c r="BL195" s="45">
        <f t="shared" si="160"/>
        <v>3.8702560316649197E-2</v>
      </c>
      <c r="BM195" s="45">
        <f t="shared" si="160"/>
        <v>4.9695071137467933E-2</v>
      </c>
      <c r="BN195" s="45">
        <f t="shared" si="160"/>
        <v>4.9695071137467933E-2</v>
      </c>
      <c r="BO195" s="45">
        <f t="shared" si="160"/>
        <v>3.8702560316649197E-2</v>
      </c>
      <c r="BP195" s="45">
        <f t="shared" si="160"/>
        <v>2.3474289441425225E-2</v>
      </c>
      <c r="BQ195" s="45">
        <f t="shared" si="160"/>
        <v>1.1088469181490831E-2</v>
      </c>
      <c r="BR195" s="45">
        <f t="shared" si="160"/>
        <v>2.9104204651857316E-2</v>
      </c>
      <c r="BS195" s="45">
        <f t="shared" si="160"/>
        <v>9.1666666666666674E-2</v>
      </c>
      <c r="BT195" s="45">
        <f t="shared" si="160"/>
        <v>9.1666666666666674E-2</v>
      </c>
      <c r="BU195" s="45">
        <f t="shared" si="160"/>
        <v>9.1666666666666674E-2</v>
      </c>
      <c r="BV195" s="45">
        <f t="shared" si="160"/>
        <v>9.1666666666666674E-2</v>
      </c>
      <c r="BW195" s="45">
        <f t="shared" si="160"/>
        <v>7.738095238095237E-2</v>
      </c>
      <c r="BX195" s="45">
        <f t="shared" si="160"/>
        <v>3.7698412698412731E-2</v>
      </c>
      <c r="BY195" s="45">
        <f t="shared" si="160"/>
        <v>2.777777777777778E-2</v>
      </c>
      <c r="BZ195" s="45">
        <f t="shared" si="160"/>
        <v>2.777777777777778E-2</v>
      </c>
      <c r="CA195" s="45">
        <f t="shared" si="160"/>
        <v>2.777777777777778E-2</v>
      </c>
      <c r="CB195" s="45">
        <f t="shared" si="160"/>
        <v>2.777777777777778E-2</v>
      </c>
      <c r="CC195" s="45">
        <f t="shared" si="160"/>
        <v>2.777777777777778E-2</v>
      </c>
      <c r="CD195" s="45">
        <f t="shared" ref="CD195:CO195" si="161">IF(COUNTIFS($A$197:$A$204,"Activity",$D$197:$D$204,"P",CD$197:CD$204,"&lt;&gt;")=0,"",IFERROR(SUMPRODUCT(--($A$197:$A$204="Activity"),--($D$197:$D$204="P"),$O$197:$O$204,CD$197:CD$204)/SUMPRODUCT(--($A$197:$A$204="Activity"),--($D$197:$D$204="P"),$O$197:$O$204),""))</f>
        <v>2.777777777777778E-2</v>
      </c>
      <c r="CE195" s="45">
        <f t="shared" si="161"/>
        <v>2.777777777777778E-2</v>
      </c>
      <c r="CF195" s="45">
        <f t="shared" si="161"/>
        <v>2.777777777777778E-2</v>
      </c>
      <c r="CG195" s="45">
        <f t="shared" si="161"/>
        <v>1.9841269841269799E-2</v>
      </c>
      <c r="CH195" s="45" t="str">
        <f t="shared" si="161"/>
        <v/>
      </c>
      <c r="CI195" s="45" t="str">
        <f t="shared" si="161"/>
        <v/>
      </c>
      <c r="CJ195" s="45" t="str">
        <f t="shared" si="161"/>
        <v/>
      </c>
      <c r="CK195" s="45" t="str">
        <f t="shared" si="161"/>
        <v/>
      </c>
      <c r="CL195" s="45" t="str">
        <f t="shared" si="161"/>
        <v/>
      </c>
      <c r="CM195" s="45" t="str">
        <f t="shared" si="161"/>
        <v/>
      </c>
      <c r="CN195" s="45" t="str">
        <f t="shared" si="161"/>
        <v/>
      </c>
      <c r="CO195" s="45" t="str">
        <f t="shared" si="161"/>
        <v/>
      </c>
    </row>
    <row r="196" spans="1:93" outlineLevel="3" x14ac:dyDescent="0.25">
      <c r="A196" s="1"/>
      <c r="B196" s="1"/>
      <c r="C196" s="7"/>
      <c r="D196" s="8" t="s">
        <v>111</v>
      </c>
      <c r="E196" s="1"/>
      <c r="F196" s="1"/>
      <c r="G196" s="1"/>
      <c r="H196" s="1"/>
      <c r="I196" s="9"/>
      <c r="J196" s="9"/>
      <c r="K196" s="9"/>
      <c r="L196" s="9"/>
      <c r="M196" s="3" t="str">
        <f t="shared" si="104"/>
        <v/>
      </c>
      <c r="N196" s="3"/>
      <c r="O196" s="46">
        <f>O195</f>
        <v>400000</v>
      </c>
      <c r="P196" s="4"/>
      <c r="Q196" s="5"/>
      <c r="R196" s="45" t="str">
        <f t="shared" ref="R196:AW196" si="162">IF(COUNTIFS($E$197:$E$204,"&lt;&gt;",$D$197:$D$204,"A",R$197:R$204,"&lt;&gt;")=0,"",IFERROR(SUMPRODUCT(--($E$197:$E$204&lt;&gt;""),--($D$197:$D$204="A"),$O$197:$O$204,R$197:R$204)/SUMPRODUCT(--($E$197:$E$204&lt;&gt;""),--($D$197:$D$204="A"),$O$197:$O$204),""))</f>
        <v/>
      </c>
      <c r="S196" s="45" t="str">
        <f t="shared" si="162"/>
        <v/>
      </c>
      <c r="T196" s="45" t="str">
        <f t="shared" si="162"/>
        <v/>
      </c>
      <c r="U196" s="45" t="str">
        <f t="shared" si="162"/>
        <v/>
      </c>
      <c r="V196" s="45" t="str">
        <f t="shared" si="162"/>
        <v/>
      </c>
      <c r="W196" s="45" t="str">
        <f t="shared" si="162"/>
        <v/>
      </c>
      <c r="X196" s="45" t="str">
        <f t="shared" si="162"/>
        <v/>
      </c>
      <c r="Y196" s="45" t="str">
        <f t="shared" si="162"/>
        <v/>
      </c>
      <c r="Z196" s="45" t="str">
        <f t="shared" si="162"/>
        <v/>
      </c>
      <c r="AA196" s="45" t="str">
        <f t="shared" si="162"/>
        <v/>
      </c>
      <c r="AB196" s="45" t="str">
        <f t="shared" si="162"/>
        <v/>
      </c>
      <c r="AC196" s="45" t="str">
        <f t="shared" si="162"/>
        <v/>
      </c>
      <c r="AD196" s="45" t="str">
        <f t="shared" si="162"/>
        <v/>
      </c>
      <c r="AE196" s="45" t="str">
        <f t="shared" si="162"/>
        <v/>
      </c>
      <c r="AF196" s="45" t="str">
        <f t="shared" si="162"/>
        <v/>
      </c>
      <c r="AG196" s="45" t="str">
        <f t="shared" si="162"/>
        <v/>
      </c>
      <c r="AH196" s="45" t="str">
        <f t="shared" si="162"/>
        <v/>
      </c>
      <c r="AI196" s="45" t="str">
        <f t="shared" si="162"/>
        <v/>
      </c>
      <c r="AJ196" s="45" t="str">
        <f t="shared" si="162"/>
        <v/>
      </c>
      <c r="AK196" s="45" t="str">
        <f t="shared" si="162"/>
        <v/>
      </c>
      <c r="AL196" s="45" t="str">
        <f t="shared" si="162"/>
        <v/>
      </c>
      <c r="AM196" s="45" t="str">
        <f t="shared" si="162"/>
        <v/>
      </c>
      <c r="AN196" s="45" t="str">
        <f t="shared" si="162"/>
        <v/>
      </c>
      <c r="AO196" s="45" t="str">
        <f t="shared" si="162"/>
        <v/>
      </c>
      <c r="AP196" s="45" t="str">
        <f t="shared" si="162"/>
        <v/>
      </c>
      <c r="AQ196" s="45" t="str">
        <f t="shared" si="162"/>
        <v/>
      </c>
      <c r="AR196" s="45" t="str">
        <f t="shared" si="162"/>
        <v/>
      </c>
      <c r="AS196" s="45" t="str">
        <f t="shared" si="162"/>
        <v/>
      </c>
      <c r="AT196" s="45" t="str">
        <f t="shared" si="162"/>
        <v/>
      </c>
      <c r="AU196" s="45" t="str">
        <f t="shared" si="162"/>
        <v/>
      </c>
      <c r="AV196" s="45" t="str">
        <f t="shared" si="162"/>
        <v/>
      </c>
      <c r="AW196" s="45" t="str">
        <f t="shared" si="162"/>
        <v/>
      </c>
      <c r="AX196" s="45" t="str">
        <f t="shared" ref="AX196:CC196" si="163">IF(COUNTIFS($E$197:$E$204,"&lt;&gt;",$D$197:$D$204,"A",AX$197:AX$204,"&lt;&gt;")=0,"",IFERROR(SUMPRODUCT(--($E$197:$E$204&lt;&gt;""),--($D$197:$D$204="A"),$O$197:$O$204,AX$197:AX$204)/SUMPRODUCT(--($E$197:$E$204&lt;&gt;""),--($D$197:$D$204="A"),$O$197:$O$204),""))</f>
        <v/>
      </c>
      <c r="AY196" s="45" t="str">
        <f t="shared" si="163"/>
        <v/>
      </c>
      <c r="AZ196" s="45" t="str">
        <f t="shared" si="163"/>
        <v/>
      </c>
      <c r="BA196" s="45" t="str">
        <f t="shared" si="163"/>
        <v/>
      </c>
      <c r="BB196" s="45" t="str">
        <f t="shared" si="163"/>
        <v/>
      </c>
      <c r="BC196" s="45" t="str">
        <f t="shared" si="163"/>
        <v/>
      </c>
      <c r="BD196" s="45" t="str">
        <f t="shared" si="163"/>
        <v/>
      </c>
      <c r="BE196" s="45" t="str">
        <f t="shared" si="163"/>
        <v/>
      </c>
      <c r="BF196" s="45" t="str">
        <f t="shared" si="163"/>
        <v/>
      </c>
      <c r="BG196" s="45" t="str">
        <f t="shared" si="163"/>
        <v/>
      </c>
      <c r="BH196" s="45" t="str">
        <f t="shared" si="163"/>
        <v/>
      </c>
      <c r="BI196" s="45" t="str">
        <f t="shared" si="163"/>
        <v/>
      </c>
      <c r="BJ196" s="45" t="str">
        <f t="shared" si="163"/>
        <v/>
      </c>
      <c r="BK196" s="45" t="str">
        <f t="shared" si="163"/>
        <v/>
      </c>
      <c r="BL196" s="45" t="str">
        <f t="shared" si="163"/>
        <v/>
      </c>
      <c r="BM196" s="45" t="str">
        <f t="shared" si="163"/>
        <v/>
      </c>
      <c r="BN196" s="45" t="str">
        <f t="shared" si="163"/>
        <v/>
      </c>
      <c r="BO196" s="45" t="str">
        <f t="shared" si="163"/>
        <v/>
      </c>
      <c r="BP196" s="45" t="str">
        <f t="shared" si="163"/>
        <v/>
      </c>
      <c r="BQ196" s="45" t="str">
        <f t="shared" si="163"/>
        <v/>
      </c>
      <c r="BR196" s="45" t="str">
        <f t="shared" si="163"/>
        <v/>
      </c>
      <c r="BS196" s="45" t="str">
        <f t="shared" si="163"/>
        <v/>
      </c>
      <c r="BT196" s="45" t="str">
        <f t="shared" si="163"/>
        <v/>
      </c>
      <c r="BU196" s="45" t="str">
        <f t="shared" si="163"/>
        <v/>
      </c>
      <c r="BV196" s="45" t="str">
        <f t="shared" si="163"/>
        <v/>
      </c>
      <c r="BW196" s="45" t="str">
        <f t="shared" si="163"/>
        <v/>
      </c>
      <c r="BX196" s="45" t="str">
        <f t="shared" si="163"/>
        <v/>
      </c>
      <c r="BY196" s="45" t="str">
        <f t="shared" si="163"/>
        <v/>
      </c>
      <c r="BZ196" s="45" t="str">
        <f t="shared" si="163"/>
        <v/>
      </c>
      <c r="CA196" s="45" t="str">
        <f t="shared" si="163"/>
        <v/>
      </c>
      <c r="CB196" s="45" t="str">
        <f t="shared" si="163"/>
        <v/>
      </c>
      <c r="CC196" s="45" t="str">
        <f t="shared" si="163"/>
        <v/>
      </c>
      <c r="CD196" s="45" t="str">
        <f t="shared" ref="CD196:CO196" si="164">IF(COUNTIFS($E$197:$E$204,"&lt;&gt;",$D$197:$D$204,"A",CD$197:CD$204,"&lt;&gt;")=0,"",IFERROR(SUMPRODUCT(--($E$197:$E$204&lt;&gt;""),--($D$197:$D$204="A"),$O$197:$O$204,CD$197:CD$204)/SUMPRODUCT(--($E$197:$E$204&lt;&gt;""),--($D$197:$D$204="A"),$O$197:$O$204),""))</f>
        <v/>
      </c>
      <c r="CE196" s="45" t="str">
        <f t="shared" si="164"/>
        <v/>
      </c>
      <c r="CF196" s="45" t="str">
        <f t="shared" si="164"/>
        <v/>
      </c>
      <c r="CG196" s="45" t="str">
        <f t="shared" si="164"/>
        <v/>
      </c>
      <c r="CH196" s="45" t="str">
        <f t="shared" si="164"/>
        <v/>
      </c>
      <c r="CI196" s="45" t="str">
        <f t="shared" si="164"/>
        <v/>
      </c>
      <c r="CJ196" s="45" t="str">
        <f t="shared" si="164"/>
        <v/>
      </c>
      <c r="CK196" s="45" t="str">
        <f t="shared" si="164"/>
        <v/>
      </c>
      <c r="CL196" s="45" t="str">
        <f t="shared" si="164"/>
        <v/>
      </c>
      <c r="CM196" s="45" t="str">
        <f t="shared" si="164"/>
        <v/>
      </c>
      <c r="CN196" s="45" t="str">
        <f t="shared" si="164"/>
        <v/>
      </c>
      <c r="CO196" s="45" t="str">
        <f t="shared" si="164"/>
        <v/>
      </c>
    </row>
    <row r="197" spans="1:93" outlineLevel="4" x14ac:dyDescent="0.25">
      <c r="A197" s="10" t="s">
        <v>116</v>
      </c>
      <c r="B197" s="10" t="s">
        <v>357</v>
      </c>
      <c r="C197" s="24" t="s">
        <v>358</v>
      </c>
      <c r="D197" s="12" t="s">
        <v>110</v>
      </c>
      <c r="E197" s="10" t="s">
        <v>359</v>
      </c>
      <c r="F197" s="10">
        <v>96</v>
      </c>
      <c r="G197" s="10">
        <v>98</v>
      </c>
      <c r="H197" s="10">
        <v>4</v>
      </c>
      <c r="I197" s="13">
        <v>46345.333333333343</v>
      </c>
      <c r="J197" s="13">
        <v>46407.666666666657</v>
      </c>
      <c r="K197" s="13"/>
      <c r="L197" s="13"/>
      <c r="M197" s="14">
        <f t="shared" ref="M197:M260" si="165">IF(COUNT(R197:CO197)=0,"",SUM(R197:CO197))</f>
        <v>1</v>
      </c>
      <c r="N197" s="14"/>
      <c r="O197" s="16">
        <v>100000</v>
      </c>
      <c r="P197" s="15">
        <v>2.4</v>
      </c>
      <c r="Q197" s="16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>
        <v>4.6619655382098366E-3</v>
      </c>
      <c r="BJ197" s="47">
        <v>4.4353876725963332E-2</v>
      </c>
      <c r="BK197" s="47">
        <v>9.38971577657009E-2</v>
      </c>
      <c r="BL197" s="47">
        <v>0.15481024126659679</v>
      </c>
      <c r="BM197" s="47">
        <v>0.19878028454987171</v>
      </c>
      <c r="BN197" s="47">
        <v>0.19878028454987171</v>
      </c>
      <c r="BO197" s="47">
        <v>0.15481024126659679</v>
      </c>
      <c r="BP197" s="47">
        <v>9.38971577657009E-2</v>
      </c>
      <c r="BQ197" s="47">
        <v>4.4353876725963332E-2</v>
      </c>
      <c r="BR197" s="47">
        <v>1.165491384552453E-2</v>
      </c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</row>
    <row r="198" spans="1:93" outlineLevel="4" x14ac:dyDescent="0.25">
      <c r="A198" s="17"/>
      <c r="B198" s="17"/>
      <c r="C198" s="25"/>
      <c r="D198" s="19" t="s">
        <v>111</v>
      </c>
      <c r="E198" s="17" t="s">
        <v>359</v>
      </c>
      <c r="F198" s="17"/>
      <c r="G198" s="17"/>
      <c r="H198" s="17"/>
      <c r="I198" s="20"/>
      <c r="J198" s="20"/>
      <c r="K198" s="20"/>
      <c r="L198" s="20"/>
      <c r="M198" s="21" t="str">
        <f t="shared" si="165"/>
        <v/>
      </c>
      <c r="N198" s="21">
        <v>0</v>
      </c>
      <c r="O198" s="48">
        <f>O197</f>
        <v>100000</v>
      </c>
      <c r="P198" s="22"/>
      <c r="Q198" s="23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</row>
    <row r="199" spans="1:93" outlineLevel="4" x14ac:dyDescent="0.25">
      <c r="A199" s="10" t="s">
        <v>116</v>
      </c>
      <c r="B199" s="10" t="s">
        <v>360</v>
      </c>
      <c r="C199" s="24" t="s">
        <v>361</v>
      </c>
      <c r="D199" s="12" t="s">
        <v>110</v>
      </c>
      <c r="E199" s="10" t="s">
        <v>362</v>
      </c>
      <c r="F199" s="10">
        <v>97</v>
      </c>
      <c r="G199" s="10">
        <v>99</v>
      </c>
      <c r="H199" s="10">
        <v>4</v>
      </c>
      <c r="I199" s="13">
        <v>46408.333333333343</v>
      </c>
      <c r="J199" s="13">
        <v>46442.666666666657</v>
      </c>
      <c r="K199" s="13"/>
      <c r="L199" s="13"/>
      <c r="M199" s="14">
        <f t="shared" si="165"/>
        <v>1</v>
      </c>
      <c r="N199" s="14"/>
      <c r="O199" s="16">
        <v>100000</v>
      </c>
      <c r="P199" s="15">
        <v>9.0666666666666664</v>
      </c>
      <c r="Q199" s="16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>
        <v>5.7142857142857148E-2</v>
      </c>
      <c r="BS199" s="47">
        <v>0.2</v>
      </c>
      <c r="BT199" s="47">
        <v>0.2</v>
      </c>
      <c r="BU199" s="47">
        <v>0.2</v>
      </c>
      <c r="BV199" s="47">
        <v>0.2</v>
      </c>
      <c r="BW199" s="47">
        <v>0.14285714285714279</v>
      </c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</row>
    <row r="200" spans="1:93" outlineLevel="4" x14ac:dyDescent="0.25">
      <c r="A200" s="17"/>
      <c r="B200" s="17"/>
      <c r="C200" s="25"/>
      <c r="D200" s="19" t="s">
        <v>111</v>
      </c>
      <c r="E200" s="17" t="s">
        <v>362</v>
      </c>
      <c r="F200" s="17"/>
      <c r="G200" s="17"/>
      <c r="H200" s="17"/>
      <c r="I200" s="20"/>
      <c r="J200" s="20"/>
      <c r="K200" s="20"/>
      <c r="L200" s="20"/>
      <c r="M200" s="21" t="str">
        <f t="shared" si="165"/>
        <v/>
      </c>
      <c r="N200" s="21">
        <v>0</v>
      </c>
      <c r="O200" s="48">
        <f>O199</f>
        <v>100000</v>
      </c>
      <c r="P200" s="22"/>
      <c r="Q200" s="23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</row>
    <row r="201" spans="1:93" outlineLevel="4" x14ac:dyDescent="0.25">
      <c r="A201" s="10" t="s">
        <v>116</v>
      </c>
      <c r="B201" s="10" t="s">
        <v>363</v>
      </c>
      <c r="C201" s="24" t="s">
        <v>364</v>
      </c>
      <c r="D201" s="12" t="s">
        <v>110</v>
      </c>
      <c r="E201" s="10" t="s">
        <v>365</v>
      </c>
      <c r="F201" s="10">
        <v>98</v>
      </c>
      <c r="G201" s="10">
        <v>100</v>
      </c>
      <c r="H201" s="10">
        <v>4</v>
      </c>
      <c r="I201" s="13">
        <v>46408.333333333343</v>
      </c>
      <c r="J201" s="13">
        <v>46449.666666666657</v>
      </c>
      <c r="K201" s="13"/>
      <c r="L201" s="13"/>
      <c r="M201" s="14">
        <f t="shared" si="165"/>
        <v>1.0000000000000004</v>
      </c>
      <c r="N201" s="14"/>
      <c r="O201" s="16">
        <v>100000</v>
      </c>
      <c r="P201" s="15">
        <v>2.4</v>
      </c>
      <c r="Q201" s="16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>
        <v>4.7619047619047609E-2</v>
      </c>
      <c r="BS201" s="47">
        <v>0.16666666666666671</v>
      </c>
      <c r="BT201" s="47">
        <v>0.16666666666666671</v>
      </c>
      <c r="BU201" s="47">
        <v>0.16666666666666671</v>
      </c>
      <c r="BV201" s="47">
        <v>0.16666666666666671</v>
      </c>
      <c r="BW201" s="47">
        <v>0.16666666666666671</v>
      </c>
      <c r="BX201" s="47">
        <v>0.11904761904761919</v>
      </c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</row>
    <row r="202" spans="1:93" outlineLevel="4" x14ac:dyDescent="0.25">
      <c r="A202" s="17"/>
      <c r="B202" s="17"/>
      <c r="C202" s="25"/>
      <c r="D202" s="19" t="s">
        <v>111</v>
      </c>
      <c r="E202" s="17" t="s">
        <v>365</v>
      </c>
      <c r="F202" s="17"/>
      <c r="G202" s="17"/>
      <c r="H202" s="17"/>
      <c r="I202" s="20"/>
      <c r="J202" s="20"/>
      <c r="K202" s="20"/>
      <c r="L202" s="20"/>
      <c r="M202" s="21" t="str">
        <f t="shared" si="165"/>
        <v/>
      </c>
      <c r="N202" s="21">
        <v>0</v>
      </c>
      <c r="O202" s="48">
        <f>O201</f>
        <v>100000</v>
      </c>
      <c r="P202" s="22"/>
      <c r="Q202" s="23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</row>
    <row r="203" spans="1:93" outlineLevel="4" x14ac:dyDescent="0.25">
      <c r="A203" s="10" t="s">
        <v>116</v>
      </c>
      <c r="B203" s="10" t="s">
        <v>366</v>
      </c>
      <c r="C203" s="24" t="s">
        <v>367</v>
      </c>
      <c r="D203" s="12" t="s">
        <v>110</v>
      </c>
      <c r="E203" s="10" t="s">
        <v>368</v>
      </c>
      <c r="F203" s="10">
        <v>99</v>
      </c>
      <c r="G203" s="10">
        <v>101</v>
      </c>
      <c r="H203" s="10">
        <v>4</v>
      </c>
      <c r="I203" s="13">
        <v>46450.333333333343</v>
      </c>
      <c r="J203" s="13">
        <v>46512.666666666657</v>
      </c>
      <c r="K203" s="13"/>
      <c r="L203" s="13"/>
      <c r="M203" s="14">
        <f t="shared" si="165"/>
        <v>0.99999999999999989</v>
      </c>
      <c r="N203" s="14"/>
      <c r="O203" s="16">
        <v>100000</v>
      </c>
      <c r="P203" s="15">
        <v>2.4</v>
      </c>
      <c r="Q203" s="16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>
        <v>3.1746031746031737E-2</v>
      </c>
      <c r="BY203" s="47">
        <v>0.1111111111111111</v>
      </c>
      <c r="BZ203" s="47">
        <v>0.1111111111111111</v>
      </c>
      <c r="CA203" s="47">
        <v>0.1111111111111111</v>
      </c>
      <c r="CB203" s="47">
        <v>0.1111111111111111</v>
      </c>
      <c r="CC203" s="47">
        <v>0.1111111111111111</v>
      </c>
      <c r="CD203" s="47">
        <v>0.1111111111111111</v>
      </c>
      <c r="CE203" s="47">
        <v>0.1111111111111111</v>
      </c>
      <c r="CF203" s="47">
        <v>0.1111111111111111</v>
      </c>
      <c r="CG203" s="47">
        <v>7.9365079365079194E-2</v>
      </c>
      <c r="CH203" s="47"/>
      <c r="CI203" s="47"/>
      <c r="CJ203" s="47"/>
      <c r="CK203" s="47"/>
      <c r="CL203" s="47"/>
      <c r="CM203" s="47"/>
      <c r="CN203" s="47"/>
      <c r="CO203" s="47"/>
    </row>
    <row r="204" spans="1:93" outlineLevel="4" x14ac:dyDescent="0.25">
      <c r="A204" s="17"/>
      <c r="B204" s="17"/>
      <c r="C204" s="25"/>
      <c r="D204" s="19" t="s">
        <v>111</v>
      </c>
      <c r="E204" s="17" t="s">
        <v>368</v>
      </c>
      <c r="F204" s="17"/>
      <c r="G204" s="17"/>
      <c r="H204" s="17"/>
      <c r="I204" s="20"/>
      <c r="J204" s="20"/>
      <c r="K204" s="20"/>
      <c r="L204" s="20"/>
      <c r="M204" s="21" t="str">
        <f t="shared" si="165"/>
        <v/>
      </c>
      <c r="N204" s="21">
        <v>0</v>
      </c>
      <c r="O204" s="48">
        <f>O203</f>
        <v>100000</v>
      </c>
      <c r="P204" s="22"/>
      <c r="Q204" s="23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</row>
    <row r="205" spans="1:93" outlineLevel="2" x14ac:dyDescent="0.25">
      <c r="A205" s="1" t="s">
        <v>92</v>
      </c>
      <c r="B205" s="1" t="s">
        <v>369</v>
      </c>
      <c r="C205" s="6" t="s">
        <v>228</v>
      </c>
      <c r="D205" s="8" t="s">
        <v>110</v>
      </c>
      <c r="E205" s="1"/>
      <c r="F205" s="1">
        <v>100</v>
      </c>
      <c r="G205" s="1">
        <v>102</v>
      </c>
      <c r="H205" s="1">
        <v>2</v>
      </c>
      <c r="I205" s="9">
        <v>46311.333333333343</v>
      </c>
      <c r="J205" s="9">
        <v>46519.666666666657</v>
      </c>
      <c r="K205" s="9"/>
      <c r="L205" s="9"/>
      <c r="M205" s="3">
        <f t="shared" si="165"/>
        <v>0.99999999999999989</v>
      </c>
      <c r="N205" s="3"/>
      <c r="O205" s="5">
        <f>SUMIFS($O$206:$O$237,$A$206:$A$237,"Activity",$D$206:$D$237,"P")</f>
        <v>1100000</v>
      </c>
      <c r="P205" s="4"/>
      <c r="Q205" s="5"/>
      <c r="R205" s="45" t="str">
        <f t="shared" ref="R205:AW205" si="166">IF(COUNTIFS($A$207:$A$238,"Activity",$D$207:$D$238,"P",R$207:R$238,"&lt;&gt;")=0,"",IFERROR(SUMPRODUCT(--($A$207:$A$238="Activity"),--($D$207:$D$238="P"),$O$207:$O$238,R$207:R$238)/SUMPRODUCT(--($A$207:$A$238="Activity"),--($D$207:$D$238="P"),$O$207:$O$238),""))</f>
        <v/>
      </c>
      <c r="S205" s="45" t="str">
        <f t="shared" si="166"/>
        <v/>
      </c>
      <c r="T205" s="45" t="str">
        <f t="shared" si="166"/>
        <v/>
      </c>
      <c r="U205" s="45" t="str">
        <f t="shared" si="166"/>
        <v/>
      </c>
      <c r="V205" s="45" t="str">
        <f t="shared" si="166"/>
        <v/>
      </c>
      <c r="W205" s="45" t="str">
        <f t="shared" si="166"/>
        <v/>
      </c>
      <c r="X205" s="45" t="str">
        <f t="shared" si="166"/>
        <v/>
      </c>
      <c r="Y205" s="45" t="str">
        <f t="shared" si="166"/>
        <v/>
      </c>
      <c r="Z205" s="45" t="str">
        <f t="shared" si="166"/>
        <v/>
      </c>
      <c r="AA205" s="45" t="str">
        <f t="shared" si="166"/>
        <v/>
      </c>
      <c r="AB205" s="45" t="str">
        <f t="shared" si="166"/>
        <v/>
      </c>
      <c r="AC205" s="45" t="str">
        <f t="shared" si="166"/>
        <v/>
      </c>
      <c r="AD205" s="45" t="str">
        <f t="shared" si="166"/>
        <v/>
      </c>
      <c r="AE205" s="45" t="str">
        <f t="shared" si="166"/>
        <v/>
      </c>
      <c r="AF205" s="45" t="str">
        <f t="shared" si="166"/>
        <v/>
      </c>
      <c r="AG205" s="45" t="str">
        <f t="shared" si="166"/>
        <v/>
      </c>
      <c r="AH205" s="45" t="str">
        <f t="shared" si="166"/>
        <v/>
      </c>
      <c r="AI205" s="45" t="str">
        <f t="shared" si="166"/>
        <v/>
      </c>
      <c r="AJ205" s="45" t="str">
        <f t="shared" si="166"/>
        <v/>
      </c>
      <c r="AK205" s="45" t="str">
        <f t="shared" si="166"/>
        <v/>
      </c>
      <c r="AL205" s="45" t="str">
        <f t="shared" si="166"/>
        <v/>
      </c>
      <c r="AM205" s="45" t="str">
        <f t="shared" si="166"/>
        <v/>
      </c>
      <c r="AN205" s="45" t="str">
        <f t="shared" si="166"/>
        <v/>
      </c>
      <c r="AO205" s="45" t="str">
        <f t="shared" si="166"/>
        <v/>
      </c>
      <c r="AP205" s="45" t="str">
        <f t="shared" si="166"/>
        <v/>
      </c>
      <c r="AQ205" s="45" t="str">
        <f t="shared" si="166"/>
        <v/>
      </c>
      <c r="AR205" s="45" t="str">
        <f t="shared" si="166"/>
        <v/>
      </c>
      <c r="AS205" s="45" t="str">
        <f t="shared" si="166"/>
        <v/>
      </c>
      <c r="AT205" s="45" t="str">
        <f t="shared" si="166"/>
        <v/>
      </c>
      <c r="AU205" s="45" t="str">
        <f t="shared" si="166"/>
        <v/>
      </c>
      <c r="AV205" s="45" t="str">
        <f t="shared" si="166"/>
        <v/>
      </c>
      <c r="AW205" s="45" t="str">
        <f t="shared" si="166"/>
        <v/>
      </c>
      <c r="AX205" s="45" t="str">
        <f t="shared" ref="AX205:CC205" si="167">IF(COUNTIFS($A$207:$A$238,"Activity",$D$207:$D$238,"P",AX$207:AX$238,"&lt;&gt;")=0,"",IFERROR(SUMPRODUCT(--($A$207:$A$238="Activity"),--($D$207:$D$238="P"),$O$207:$O$238,AX$207:AX$238)/SUMPRODUCT(--($A$207:$A$238="Activity"),--($D$207:$D$238="P"),$O$207:$O$238),""))</f>
        <v/>
      </c>
      <c r="AY205" s="45" t="str">
        <f t="shared" si="167"/>
        <v/>
      </c>
      <c r="AZ205" s="45" t="str">
        <f t="shared" si="167"/>
        <v/>
      </c>
      <c r="BA205" s="45" t="str">
        <f t="shared" si="167"/>
        <v/>
      </c>
      <c r="BB205" s="45" t="str">
        <f t="shared" si="167"/>
        <v/>
      </c>
      <c r="BC205" s="45" t="str">
        <f t="shared" si="167"/>
        <v/>
      </c>
      <c r="BD205" s="45">
        <f t="shared" si="167"/>
        <v>4.3290043290043299E-3</v>
      </c>
      <c r="BE205" s="45">
        <f t="shared" si="167"/>
        <v>3.0303030303030297E-2</v>
      </c>
      <c r="BF205" s="45">
        <f t="shared" si="167"/>
        <v>3.0303030303030297E-2</v>
      </c>
      <c r="BG205" s="45">
        <f t="shared" si="167"/>
        <v>3.0303030303030311E-2</v>
      </c>
      <c r="BH205" s="45">
        <f t="shared" si="167"/>
        <v>3.0303030303030297E-2</v>
      </c>
      <c r="BI205" s="45">
        <f t="shared" si="167"/>
        <v>3.0303030303030297E-2</v>
      </c>
      <c r="BJ205" s="45">
        <f t="shared" si="167"/>
        <v>2.6156640322585457E-2</v>
      </c>
      <c r="BK205" s="45">
        <f t="shared" si="167"/>
        <v>3.2390610241769683E-3</v>
      </c>
      <c r="BL205" s="45">
        <f t="shared" si="167"/>
        <v>2.4157883095834602E-2</v>
      </c>
      <c r="BM205" s="45">
        <f t="shared" si="167"/>
        <v>3.5664767828976075E-2</v>
      </c>
      <c r="BN205" s="45">
        <f t="shared" si="167"/>
        <v>3.9729959122582308E-2</v>
      </c>
      <c r="BO205" s="45">
        <f t="shared" si="167"/>
        <v>4.1390105668692001E-2</v>
      </c>
      <c r="BP205" s="45">
        <f t="shared" si="167"/>
        <v>3.2736952129575315E-2</v>
      </c>
      <c r="BQ205" s="45">
        <f t="shared" si="167"/>
        <v>3.5664767828976075E-2</v>
      </c>
      <c r="BR205" s="45">
        <f t="shared" si="167"/>
        <v>3.1150890088841591E-2</v>
      </c>
      <c r="BS205" s="45">
        <f t="shared" si="167"/>
        <v>2.771458549970144E-2</v>
      </c>
      <c r="BT205" s="45">
        <f t="shared" si="167"/>
        <v>4.1138976134646871E-2</v>
      </c>
      <c r="BU205" s="45">
        <f t="shared" si="167"/>
        <v>7.4675324675324686E-2</v>
      </c>
      <c r="BV205" s="45">
        <f t="shared" si="167"/>
        <v>6.1802232854864442E-2</v>
      </c>
      <c r="BW205" s="45">
        <f t="shared" si="167"/>
        <v>7.1371610845295058E-2</v>
      </c>
      <c r="BX205" s="45">
        <f t="shared" si="167"/>
        <v>7.1371610845295072E-2</v>
      </c>
      <c r="BY205" s="45">
        <f t="shared" si="167"/>
        <v>4.0043290043290047E-2</v>
      </c>
      <c r="BZ205" s="45">
        <f t="shared" si="167"/>
        <v>4.3290043290043295E-2</v>
      </c>
      <c r="CA205" s="45">
        <f t="shared" si="167"/>
        <v>3.0303030303030297E-2</v>
      </c>
      <c r="CB205" s="45">
        <f t="shared" si="167"/>
        <v>2.1645021645021644E-2</v>
      </c>
      <c r="CC205" s="45" t="str">
        <f t="shared" si="167"/>
        <v/>
      </c>
      <c r="CD205" s="45" t="str">
        <f t="shared" ref="CD205:CO205" si="168">IF(COUNTIFS($A$207:$A$238,"Activity",$D$207:$D$238,"P",CD$207:CD$238,"&lt;&gt;")=0,"",IFERROR(SUMPRODUCT(--($A$207:$A$238="Activity"),--($D$207:$D$238="P"),$O$207:$O$238,CD$207:CD$238)/SUMPRODUCT(--($A$207:$A$238="Activity"),--($D$207:$D$238="P"),$O$207:$O$238),""))</f>
        <v/>
      </c>
      <c r="CE205" s="45" t="str">
        <f t="shared" si="168"/>
        <v/>
      </c>
      <c r="CF205" s="45">
        <f t="shared" si="168"/>
        <v>1.2987012987012981E-2</v>
      </c>
      <c r="CG205" s="45">
        <f t="shared" si="168"/>
        <v>4.5454545454545442E-2</v>
      </c>
      <c r="CH205" s="45">
        <f t="shared" si="168"/>
        <v>3.2467532467532471E-2</v>
      </c>
      <c r="CI205" s="45" t="str">
        <f t="shared" si="168"/>
        <v/>
      </c>
      <c r="CJ205" s="45" t="str">
        <f t="shared" si="168"/>
        <v/>
      </c>
      <c r="CK205" s="45" t="str">
        <f t="shared" si="168"/>
        <v/>
      </c>
      <c r="CL205" s="45" t="str">
        <f t="shared" si="168"/>
        <v/>
      </c>
      <c r="CM205" s="45" t="str">
        <f t="shared" si="168"/>
        <v/>
      </c>
      <c r="CN205" s="45" t="str">
        <f t="shared" si="168"/>
        <v/>
      </c>
      <c r="CO205" s="45" t="str">
        <f t="shared" si="168"/>
        <v/>
      </c>
    </row>
    <row r="206" spans="1:93" outlineLevel="2" x14ac:dyDescent="0.25">
      <c r="A206" s="1"/>
      <c r="B206" s="1"/>
      <c r="C206" s="6"/>
      <c r="D206" s="8" t="s">
        <v>111</v>
      </c>
      <c r="E206" s="1"/>
      <c r="F206" s="1"/>
      <c r="G206" s="1"/>
      <c r="H206" s="1"/>
      <c r="I206" s="9"/>
      <c r="J206" s="9"/>
      <c r="K206" s="9"/>
      <c r="L206" s="9"/>
      <c r="M206" s="3" t="str">
        <f t="shared" si="165"/>
        <v/>
      </c>
      <c r="N206" s="3"/>
      <c r="O206" s="46">
        <f>O205</f>
        <v>1100000</v>
      </c>
      <c r="P206" s="4"/>
      <c r="Q206" s="5"/>
      <c r="R206" s="45" t="str">
        <f t="shared" ref="R206:AW206" si="169">IF(COUNTIFS($E$207:$E$238,"&lt;&gt;",$D$207:$D$238,"A",R$207:R$238,"&lt;&gt;")=0,"",IFERROR(SUMPRODUCT(--($E$207:$E$238&lt;&gt;""),--($D$207:$D$238="A"),$O$207:$O$238,R$207:R$238)/SUMPRODUCT(--($E$207:$E$238&lt;&gt;""),--($D$207:$D$238="A"),$O$207:$O$238),""))</f>
        <v/>
      </c>
      <c r="S206" s="45" t="str">
        <f t="shared" si="169"/>
        <v/>
      </c>
      <c r="T206" s="45" t="str">
        <f t="shared" si="169"/>
        <v/>
      </c>
      <c r="U206" s="45" t="str">
        <f t="shared" si="169"/>
        <v/>
      </c>
      <c r="V206" s="45" t="str">
        <f t="shared" si="169"/>
        <v/>
      </c>
      <c r="W206" s="45" t="str">
        <f t="shared" si="169"/>
        <v/>
      </c>
      <c r="X206" s="45" t="str">
        <f t="shared" si="169"/>
        <v/>
      </c>
      <c r="Y206" s="45" t="str">
        <f t="shared" si="169"/>
        <v/>
      </c>
      <c r="Z206" s="45" t="str">
        <f t="shared" si="169"/>
        <v/>
      </c>
      <c r="AA206" s="45" t="str">
        <f t="shared" si="169"/>
        <v/>
      </c>
      <c r="AB206" s="45" t="str">
        <f t="shared" si="169"/>
        <v/>
      </c>
      <c r="AC206" s="45" t="str">
        <f t="shared" si="169"/>
        <v/>
      </c>
      <c r="AD206" s="45" t="str">
        <f t="shared" si="169"/>
        <v/>
      </c>
      <c r="AE206" s="45" t="str">
        <f t="shared" si="169"/>
        <v/>
      </c>
      <c r="AF206" s="45" t="str">
        <f t="shared" si="169"/>
        <v/>
      </c>
      <c r="AG206" s="45" t="str">
        <f t="shared" si="169"/>
        <v/>
      </c>
      <c r="AH206" s="45" t="str">
        <f t="shared" si="169"/>
        <v/>
      </c>
      <c r="AI206" s="45" t="str">
        <f t="shared" si="169"/>
        <v/>
      </c>
      <c r="AJ206" s="45" t="str">
        <f t="shared" si="169"/>
        <v/>
      </c>
      <c r="AK206" s="45" t="str">
        <f t="shared" si="169"/>
        <v/>
      </c>
      <c r="AL206" s="45" t="str">
        <f t="shared" si="169"/>
        <v/>
      </c>
      <c r="AM206" s="45" t="str">
        <f t="shared" si="169"/>
        <v/>
      </c>
      <c r="AN206" s="45" t="str">
        <f t="shared" si="169"/>
        <v/>
      </c>
      <c r="AO206" s="45" t="str">
        <f t="shared" si="169"/>
        <v/>
      </c>
      <c r="AP206" s="45" t="str">
        <f t="shared" si="169"/>
        <v/>
      </c>
      <c r="AQ206" s="45" t="str">
        <f t="shared" si="169"/>
        <v/>
      </c>
      <c r="AR206" s="45" t="str">
        <f t="shared" si="169"/>
        <v/>
      </c>
      <c r="AS206" s="45" t="str">
        <f t="shared" si="169"/>
        <v/>
      </c>
      <c r="AT206" s="45" t="str">
        <f t="shared" si="169"/>
        <v/>
      </c>
      <c r="AU206" s="45" t="str">
        <f t="shared" si="169"/>
        <v/>
      </c>
      <c r="AV206" s="45" t="str">
        <f t="shared" si="169"/>
        <v/>
      </c>
      <c r="AW206" s="45" t="str">
        <f t="shared" si="169"/>
        <v/>
      </c>
      <c r="AX206" s="45" t="str">
        <f t="shared" ref="AX206:CC206" si="170">IF(COUNTIFS($E$207:$E$238,"&lt;&gt;",$D$207:$D$238,"A",AX$207:AX$238,"&lt;&gt;")=0,"",IFERROR(SUMPRODUCT(--($E$207:$E$238&lt;&gt;""),--($D$207:$D$238="A"),$O$207:$O$238,AX$207:AX$238)/SUMPRODUCT(--($E$207:$E$238&lt;&gt;""),--($D$207:$D$238="A"),$O$207:$O$238),""))</f>
        <v/>
      </c>
      <c r="AY206" s="45" t="str">
        <f t="shared" si="170"/>
        <v/>
      </c>
      <c r="AZ206" s="45" t="str">
        <f t="shared" si="170"/>
        <v/>
      </c>
      <c r="BA206" s="45" t="str">
        <f t="shared" si="170"/>
        <v/>
      </c>
      <c r="BB206" s="45" t="str">
        <f t="shared" si="170"/>
        <v/>
      </c>
      <c r="BC206" s="45" t="str">
        <f t="shared" si="170"/>
        <v/>
      </c>
      <c r="BD206" s="45" t="str">
        <f t="shared" si="170"/>
        <v/>
      </c>
      <c r="BE206" s="45" t="str">
        <f t="shared" si="170"/>
        <v/>
      </c>
      <c r="BF206" s="45" t="str">
        <f t="shared" si="170"/>
        <v/>
      </c>
      <c r="BG206" s="45" t="str">
        <f t="shared" si="170"/>
        <v/>
      </c>
      <c r="BH206" s="45" t="str">
        <f t="shared" si="170"/>
        <v/>
      </c>
      <c r="BI206" s="45" t="str">
        <f t="shared" si="170"/>
        <v/>
      </c>
      <c r="BJ206" s="45" t="str">
        <f t="shared" si="170"/>
        <v/>
      </c>
      <c r="BK206" s="45" t="str">
        <f t="shared" si="170"/>
        <v/>
      </c>
      <c r="BL206" s="45" t="str">
        <f t="shared" si="170"/>
        <v/>
      </c>
      <c r="BM206" s="45" t="str">
        <f t="shared" si="170"/>
        <v/>
      </c>
      <c r="BN206" s="45" t="str">
        <f t="shared" si="170"/>
        <v/>
      </c>
      <c r="BO206" s="45" t="str">
        <f t="shared" si="170"/>
        <v/>
      </c>
      <c r="BP206" s="45" t="str">
        <f t="shared" si="170"/>
        <v/>
      </c>
      <c r="BQ206" s="45" t="str">
        <f t="shared" si="170"/>
        <v/>
      </c>
      <c r="BR206" s="45" t="str">
        <f t="shared" si="170"/>
        <v/>
      </c>
      <c r="BS206" s="45" t="str">
        <f t="shared" si="170"/>
        <v/>
      </c>
      <c r="BT206" s="45" t="str">
        <f t="shared" si="170"/>
        <v/>
      </c>
      <c r="BU206" s="45" t="str">
        <f t="shared" si="170"/>
        <v/>
      </c>
      <c r="BV206" s="45" t="str">
        <f t="shared" si="170"/>
        <v/>
      </c>
      <c r="BW206" s="45" t="str">
        <f t="shared" si="170"/>
        <v/>
      </c>
      <c r="BX206" s="45" t="str">
        <f t="shared" si="170"/>
        <v/>
      </c>
      <c r="BY206" s="45" t="str">
        <f t="shared" si="170"/>
        <v/>
      </c>
      <c r="BZ206" s="45" t="str">
        <f t="shared" si="170"/>
        <v/>
      </c>
      <c r="CA206" s="45" t="str">
        <f t="shared" si="170"/>
        <v/>
      </c>
      <c r="CB206" s="45" t="str">
        <f t="shared" si="170"/>
        <v/>
      </c>
      <c r="CC206" s="45" t="str">
        <f t="shared" si="170"/>
        <v/>
      </c>
      <c r="CD206" s="45" t="str">
        <f t="shared" ref="CD206:CO206" si="171">IF(COUNTIFS($E$207:$E$238,"&lt;&gt;",$D$207:$D$238,"A",CD$207:CD$238,"&lt;&gt;")=0,"",IFERROR(SUMPRODUCT(--($E$207:$E$238&lt;&gt;""),--($D$207:$D$238="A"),$O$207:$O$238,CD$207:CD$238)/SUMPRODUCT(--($E$207:$E$238&lt;&gt;""),--($D$207:$D$238="A"),$O$207:$O$238),""))</f>
        <v/>
      </c>
      <c r="CE206" s="45" t="str">
        <f t="shared" si="171"/>
        <v/>
      </c>
      <c r="CF206" s="45" t="str">
        <f t="shared" si="171"/>
        <v/>
      </c>
      <c r="CG206" s="45" t="str">
        <f t="shared" si="171"/>
        <v/>
      </c>
      <c r="CH206" s="45" t="str">
        <f t="shared" si="171"/>
        <v/>
      </c>
      <c r="CI206" s="45" t="str">
        <f t="shared" si="171"/>
        <v/>
      </c>
      <c r="CJ206" s="45" t="str">
        <f t="shared" si="171"/>
        <v/>
      </c>
      <c r="CK206" s="45" t="str">
        <f t="shared" si="171"/>
        <v/>
      </c>
      <c r="CL206" s="45" t="str">
        <f t="shared" si="171"/>
        <v/>
      </c>
      <c r="CM206" s="45" t="str">
        <f t="shared" si="171"/>
        <v/>
      </c>
      <c r="CN206" s="45" t="str">
        <f t="shared" si="171"/>
        <v/>
      </c>
      <c r="CO206" s="45" t="str">
        <f t="shared" si="171"/>
        <v/>
      </c>
    </row>
    <row r="207" spans="1:93" outlineLevel="3" x14ac:dyDescent="0.25">
      <c r="A207" s="1" t="s">
        <v>92</v>
      </c>
      <c r="B207" s="1" t="s">
        <v>370</v>
      </c>
      <c r="C207" s="7" t="s">
        <v>315</v>
      </c>
      <c r="D207" s="8" t="s">
        <v>110</v>
      </c>
      <c r="E207" s="1"/>
      <c r="F207" s="1">
        <v>101</v>
      </c>
      <c r="G207" s="1">
        <v>103</v>
      </c>
      <c r="H207" s="1">
        <v>3</v>
      </c>
      <c r="I207" s="9">
        <v>46311.333333333343</v>
      </c>
      <c r="J207" s="9">
        <v>46416.666666666657</v>
      </c>
      <c r="K207" s="9"/>
      <c r="L207" s="9"/>
      <c r="M207" s="3">
        <f t="shared" si="165"/>
        <v>1</v>
      </c>
      <c r="N207" s="3"/>
      <c r="O207" s="5">
        <f>SUMIFS($O$208:$O$213,$A$208:$A$213,"Activity",$D$208:$D$213,"P")</f>
        <v>300000</v>
      </c>
      <c r="P207" s="4"/>
      <c r="Q207" s="5"/>
      <c r="R207" s="45" t="str">
        <f t="shared" ref="R207:AW207" si="172">IF(COUNTIFS($A$209:$A$214,"Activity",$D$209:$D$214,"P",R$209:R$214,"&lt;&gt;")=0,"",IFERROR(SUMPRODUCT(--($A$209:$A$214="Activity"),--($D$209:$D$214="P"),$O$209:$O$214,R$209:R$214)/SUMPRODUCT(--($A$209:$A$214="Activity"),--($D$209:$D$214="P"),$O$209:$O$214),""))</f>
        <v/>
      </c>
      <c r="S207" s="45" t="str">
        <f t="shared" si="172"/>
        <v/>
      </c>
      <c r="T207" s="45" t="str">
        <f t="shared" si="172"/>
        <v/>
      </c>
      <c r="U207" s="45" t="str">
        <f t="shared" si="172"/>
        <v/>
      </c>
      <c r="V207" s="45" t="str">
        <f t="shared" si="172"/>
        <v/>
      </c>
      <c r="W207" s="45" t="str">
        <f t="shared" si="172"/>
        <v/>
      </c>
      <c r="X207" s="45" t="str">
        <f t="shared" si="172"/>
        <v/>
      </c>
      <c r="Y207" s="45" t="str">
        <f t="shared" si="172"/>
        <v/>
      </c>
      <c r="Z207" s="45" t="str">
        <f t="shared" si="172"/>
        <v/>
      </c>
      <c r="AA207" s="45" t="str">
        <f t="shared" si="172"/>
        <v/>
      </c>
      <c r="AB207" s="45" t="str">
        <f t="shared" si="172"/>
        <v/>
      </c>
      <c r="AC207" s="45" t="str">
        <f t="shared" si="172"/>
        <v/>
      </c>
      <c r="AD207" s="45" t="str">
        <f t="shared" si="172"/>
        <v/>
      </c>
      <c r="AE207" s="45" t="str">
        <f t="shared" si="172"/>
        <v/>
      </c>
      <c r="AF207" s="45" t="str">
        <f t="shared" si="172"/>
        <v/>
      </c>
      <c r="AG207" s="45" t="str">
        <f t="shared" si="172"/>
        <v/>
      </c>
      <c r="AH207" s="45" t="str">
        <f t="shared" si="172"/>
        <v/>
      </c>
      <c r="AI207" s="45" t="str">
        <f t="shared" si="172"/>
        <v/>
      </c>
      <c r="AJ207" s="45" t="str">
        <f t="shared" si="172"/>
        <v/>
      </c>
      <c r="AK207" s="45" t="str">
        <f t="shared" si="172"/>
        <v/>
      </c>
      <c r="AL207" s="45" t="str">
        <f t="shared" si="172"/>
        <v/>
      </c>
      <c r="AM207" s="45" t="str">
        <f t="shared" si="172"/>
        <v/>
      </c>
      <c r="AN207" s="45" t="str">
        <f t="shared" si="172"/>
        <v/>
      </c>
      <c r="AO207" s="45" t="str">
        <f t="shared" si="172"/>
        <v/>
      </c>
      <c r="AP207" s="45" t="str">
        <f t="shared" si="172"/>
        <v/>
      </c>
      <c r="AQ207" s="45" t="str">
        <f t="shared" si="172"/>
        <v/>
      </c>
      <c r="AR207" s="45" t="str">
        <f t="shared" si="172"/>
        <v/>
      </c>
      <c r="AS207" s="45" t="str">
        <f t="shared" si="172"/>
        <v/>
      </c>
      <c r="AT207" s="45" t="str">
        <f t="shared" si="172"/>
        <v/>
      </c>
      <c r="AU207" s="45" t="str">
        <f t="shared" si="172"/>
        <v/>
      </c>
      <c r="AV207" s="45" t="str">
        <f t="shared" si="172"/>
        <v/>
      </c>
      <c r="AW207" s="45" t="str">
        <f t="shared" si="172"/>
        <v/>
      </c>
      <c r="AX207" s="45" t="str">
        <f t="shared" ref="AX207:CC207" si="173">IF(COUNTIFS($A$209:$A$214,"Activity",$D$209:$D$214,"P",AX$209:AX$214,"&lt;&gt;")=0,"",IFERROR(SUMPRODUCT(--($A$209:$A$214="Activity"),--($D$209:$D$214="P"),$O$209:$O$214,AX$209:AX$214)/SUMPRODUCT(--($A$209:$A$214="Activity"),--($D$209:$D$214="P"),$O$209:$O$214),""))</f>
        <v/>
      </c>
      <c r="AY207" s="45" t="str">
        <f t="shared" si="173"/>
        <v/>
      </c>
      <c r="AZ207" s="45" t="str">
        <f t="shared" si="173"/>
        <v/>
      </c>
      <c r="BA207" s="45" t="str">
        <f t="shared" si="173"/>
        <v/>
      </c>
      <c r="BB207" s="45" t="str">
        <f t="shared" si="173"/>
        <v/>
      </c>
      <c r="BC207" s="45" t="str">
        <f t="shared" si="173"/>
        <v/>
      </c>
      <c r="BD207" s="45">
        <f t="shared" si="173"/>
        <v>1.5873015873015876E-2</v>
      </c>
      <c r="BE207" s="45">
        <f t="shared" si="173"/>
        <v>0.11111111111111109</v>
      </c>
      <c r="BF207" s="45">
        <f t="shared" si="173"/>
        <v>0.11111111111111109</v>
      </c>
      <c r="BG207" s="45">
        <f t="shared" si="173"/>
        <v>9.5238095238095261E-2</v>
      </c>
      <c r="BH207" s="45" t="str">
        <f t="shared" si="173"/>
        <v/>
      </c>
      <c r="BI207" s="45" t="str">
        <f t="shared" si="173"/>
        <v/>
      </c>
      <c r="BJ207" s="45" t="str">
        <f t="shared" si="173"/>
        <v/>
      </c>
      <c r="BK207" s="45" t="str">
        <f t="shared" si="173"/>
        <v/>
      </c>
      <c r="BL207" s="45">
        <f t="shared" si="173"/>
        <v>6.4102564102564097E-2</v>
      </c>
      <c r="BM207" s="45">
        <f t="shared" si="173"/>
        <v>8.9743589743589744E-2</v>
      </c>
      <c r="BN207" s="45">
        <f t="shared" si="173"/>
        <v>8.9743589743589744E-2</v>
      </c>
      <c r="BO207" s="45">
        <f t="shared" si="173"/>
        <v>8.9743589743589744E-2</v>
      </c>
      <c r="BP207" s="45">
        <f t="shared" si="173"/>
        <v>6.4102564102564097E-2</v>
      </c>
      <c r="BQ207" s="45">
        <f t="shared" si="173"/>
        <v>8.9743589743589744E-2</v>
      </c>
      <c r="BR207" s="45">
        <f t="shared" si="173"/>
        <v>8.9743589743589744E-2</v>
      </c>
      <c r="BS207" s="45">
        <f t="shared" si="173"/>
        <v>8.9743589743589744E-2</v>
      </c>
      <c r="BT207" s="45" t="str">
        <f t="shared" si="173"/>
        <v/>
      </c>
      <c r="BU207" s="45" t="str">
        <f t="shared" si="173"/>
        <v/>
      </c>
      <c r="BV207" s="45" t="str">
        <f t="shared" si="173"/>
        <v/>
      </c>
      <c r="BW207" s="45" t="str">
        <f t="shared" si="173"/>
        <v/>
      </c>
      <c r="BX207" s="45" t="str">
        <f t="shared" si="173"/>
        <v/>
      </c>
      <c r="BY207" s="45" t="str">
        <f t="shared" si="173"/>
        <v/>
      </c>
      <c r="BZ207" s="45" t="str">
        <f t="shared" si="173"/>
        <v/>
      </c>
      <c r="CA207" s="45" t="str">
        <f t="shared" si="173"/>
        <v/>
      </c>
      <c r="CB207" s="45" t="str">
        <f t="shared" si="173"/>
        <v/>
      </c>
      <c r="CC207" s="45" t="str">
        <f t="shared" si="173"/>
        <v/>
      </c>
      <c r="CD207" s="45" t="str">
        <f t="shared" ref="CD207:CO207" si="174">IF(COUNTIFS($A$209:$A$214,"Activity",$D$209:$D$214,"P",CD$209:CD$214,"&lt;&gt;")=0,"",IFERROR(SUMPRODUCT(--($A$209:$A$214="Activity"),--($D$209:$D$214="P"),$O$209:$O$214,CD$209:CD$214)/SUMPRODUCT(--($A$209:$A$214="Activity"),--($D$209:$D$214="P"),$O$209:$O$214),""))</f>
        <v/>
      </c>
      <c r="CE207" s="45" t="str">
        <f t="shared" si="174"/>
        <v/>
      </c>
      <c r="CF207" s="45" t="str">
        <f t="shared" si="174"/>
        <v/>
      </c>
      <c r="CG207" s="45" t="str">
        <f t="shared" si="174"/>
        <v/>
      </c>
      <c r="CH207" s="45" t="str">
        <f t="shared" si="174"/>
        <v/>
      </c>
      <c r="CI207" s="45" t="str">
        <f t="shared" si="174"/>
        <v/>
      </c>
      <c r="CJ207" s="45" t="str">
        <f t="shared" si="174"/>
        <v/>
      </c>
      <c r="CK207" s="45" t="str">
        <f t="shared" si="174"/>
        <v/>
      </c>
      <c r="CL207" s="45" t="str">
        <f t="shared" si="174"/>
        <v/>
      </c>
      <c r="CM207" s="45" t="str">
        <f t="shared" si="174"/>
        <v/>
      </c>
      <c r="CN207" s="45" t="str">
        <f t="shared" si="174"/>
        <v/>
      </c>
      <c r="CO207" s="45" t="str">
        <f t="shared" si="174"/>
        <v/>
      </c>
    </row>
    <row r="208" spans="1:93" outlineLevel="3" x14ac:dyDescent="0.25">
      <c r="A208" s="1"/>
      <c r="B208" s="1"/>
      <c r="C208" s="7"/>
      <c r="D208" s="8" t="s">
        <v>111</v>
      </c>
      <c r="E208" s="1"/>
      <c r="F208" s="1"/>
      <c r="G208" s="1"/>
      <c r="H208" s="1"/>
      <c r="I208" s="9"/>
      <c r="J208" s="9"/>
      <c r="K208" s="9"/>
      <c r="L208" s="9"/>
      <c r="M208" s="3" t="str">
        <f t="shared" si="165"/>
        <v/>
      </c>
      <c r="N208" s="3"/>
      <c r="O208" s="46">
        <f>O207</f>
        <v>300000</v>
      </c>
      <c r="P208" s="4"/>
      <c r="Q208" s="5"/>
      <c r="R208" s="45" t="str">
        <f t="shared" ref="R208:AW208" si="175">IF(COUNTIFS($E$209:$E$214,"&lt;&gt;",$D$209:$D$214,"A",R$209:R$214,"&lt;&gt;")=0,"",IFERROR(SUMPRODUCT(--($E$209:$E$214&lt;&gt;""),--($D$209:$D$214="A"),$O$209:$O$214,R$209:R$214)/SUMPRODUCT(--($E$209:$E$214&lt;&gt;""),--($D$209:$D$214="A"),$O$209:$O$214),""))</f>
        <v/>
      </c>
      <c r="S208" s="45" t="str">
        <f t="shared" si="175"/>
        <v/>
      </c>
      <c r="T208" s="45" t="str">
        <f t="shared" si="175"/>
        <v/>
      </c>
      <c r="U208" s="45" t="str">
        <f t="shared" si="175"/>
        <v/>
      </c>
      <c r="V208" s="45" t="str">
        <f t="shared" si="175"/>
        <v/>
      </c>
      <c r="W208" s="45" t="str">
        <f t="shared" si="175"/>
        <v/>
      </c>
      <c r="X208" s="45" t="str">
        <f t="shared" si="175"/>
        <v/>
      </c>
      <c r="Y208" s="45" t="str">
        <f t="shared" si="175"/>
        <v/>
      </c>
      <c r="Z208" s="45" t="str">
        <f t="shared" si="175"/>
        <v/>
      </c>
      <c r="AA208" s="45" t="str">
        <f t="shared" si="175"/>
        <v/>
      </c>
      <c r="AB208" s="45" t="str">
        <f t="shared" si="175"/>
        <v/>
      </c>
      <c r="AC208" s="45" t="str">
        <f t="shared" si="175"/>
        <v/>
      </c>
      <c r="AD208" s="45" t="str">
        <f t="shared" si="175"/>
        <v/>
      </c>
      <c r="AE208" s="45" t="str">
        <f t="shared" si="175"/>
        <v/>
      </c>
      <c r="AF208" s="45" t="str">
        <f t="shared" si="175"/>
        <v/>
      </c>
      <c r="AG208" s="45" t="str">
        <f t="shared" si="175"/>
        <v/>
      </c>
      <c r="AH208" s="45" t="str">
        <f t="shared" si="175"/>
        <v/>
      </c>
      <c r="AI208" s="45" t="str">
        <f t="shared" si="175"/>
        <v/>
      </c>
      <c r="AJ208" s="45" t="str">
        <f t="shared" si="175"/>
        <v/>
      </c>
      <c r="AK208" s="45" t="str">
        <f t="shared" si="175"/>
        <v/>
      </c>
      <c r="AL208" s="45" t="str">
        <f t="shared" si="175"/>
        <v/>
      </c>
      <c r="AM208" s="45" t="str">
        <f t="shared" si="175"/>
        <v/>
      </c>
      <c r="AN208" s="45" t="str">
        <f t="shared" si="175"/>
        <v/>
      </c>
      <c r="AO208" s="45" t="str">
        <f t="shared" si="175"/>
        <v/>
      </c>
      <c r="AP208" s="45" t="str">
        <f t="shared" si="175"/>
        <v/>
      </c>
      <c r="AQ208" s="45" t="str">
        <f t="shared" si="175"/>
        <v/>
      </c>
      <c r="AR208" s="45" t="str">
        <f t="shared" si="175"/>
        <v/>
      </c>
      <c r="AS208" s="45" t="str">
        <f t="shared" si="175"/>
        <v/>
      </c>
      <c r="AT208" s="45" t="str">
        <f t="shared" si="175"/>
        <v/>
      </c>
      <c r="AU208" s="45" t="str">
        <f t="shared" si="175"/>
        <v/>
      </c>
      <c r="AV208" s="45" t="str">
        <f t="shared" si="175"/>
        <v/>
      </c>
      <c r="AW208" s="45" t="str">
        <f t="shared" si="175"/>
        <v/>
      </c>
      <c r="AX208" s="45" t="str">
        <f t="shared" ref="AX208:CC208" si="176">IF(COUNTIFS($E$209:$E$214,"&lt;&gt;",$D$209:$D$214,"A",AX$209:AX$214,"&lt;&gt;")=0,"",IFERROR(SUMPRODUCT(--($E$209:$E$214&lt;&gt;""),--($D$209:$D$214="A"),$O$209:$O$214,AX$209:AX$214)/SUMPRODUCT(--($E$209:$E$214&lt;&gt;""),--($D$209:$D$214="A"),$O$209:$O$214),""))</f>
        <v/>
      </c>
      <c r="AY208" s="45" t="str">
        <f t="shared" si="176"/>
        <v/>
      </c>
      <c r="AZ208" s="45" t="str">
        <f t="shared" si="176"/>
        <v/>
      </c>
      <c r="BA208" s="45" t="str">
        <f t="shared" si="176"/>
        <v/>
      </c>
      <c r="BB208" s="45" t="str">
        <f t="shared" si="176"/>
        <v/>
      </c>
      <c r="BC208" s="45" t="str">
        <f t="shared" si="176"/>
        <v/>
      </c>
      <c r="BD208" s="45" t="str">
        <f t="shared" si="176"/>
        <v/>
      </c>
      <c r="BE208" s="45" t="str">
        <f t="shared" si="176"/>
        <v/>
      </c>
      <c r="BF208" s="45" t="str">
        <f t="shared" si="176"/>
        <v/>
      </c>
      <c r="BG208" s="45" t="str">
        <f t="shared" si="176"/>
        <v/>
      </c>
      <c r="BH208" s="45" t="str">
        <f t="shared" si="176"/>
        <v/>
      </c>
      <c r="BI208" s="45" t="str">
        <f t="shared" si="176"/>
        <v/>
      </c>
      <c r="BJ208" s="45" t="str">
        <f t="shared" si="176"/>
        <v/>
      </c>
      <c r="BK208" s="45" t="str">
        <f t="shared" si="176"/>
        <v/>
      </c>
      <c r="BL208" s="45" t="str">
        <f t="shared" si="176"/>
        <v/>
      </c>
      <c r="BM208" s="45" t="str">
        <f t="shared" si="176"/>
        <v/>
      </c>
      <c r="BN208" s="45" t="str">
        <f t="shared" si="176"/>
        <v/>
      </c>
      <c r="BO208" s="45" t="str">
        <f t="shared" si="176"/>
        <v/>
      </c>
      <c r="BP208" s="45" t="str">
        <f t="shared" si="176"/>
        <v/>
      </c>
      <c r="BQ208" s="45" t="str">
        <f t="shared" si="176"/>
        <v/>
      </c>
      <c r="BR208" s="45" t="str">
        <f t="shared" si="176"/>
        <v/>
      </c>
      <c r="BS208" s="45" t="str">
        <f t="shared" si="176"/>
        <v/>
      </c>
      <c r="BT208" s="45" t="str">
        <f t="shared" si="176"/>
        <v/>
      </c>
      <c r="BU208" s="45" t="str">
        <f t="shared" si="176"/>
        <v/>
      </c>
      <c r="BV208" s="45" t="str">
        <f t="shared" si="176"/>
        <v/>
      </c>
      <c r="BW208" s="45" t="str">
        <f t="shared" si="176"/>
        <v/>
      </c>
      <c r="BX208" s="45" t="str">
        <f t="shared" si="176"/>
        <v/>
      </c>
      <c r="BY208" s="45" t="str">
        <f t="shared" si="176"/>
        <v/>
      </c>
      <c r="BZ208" s="45" t="str">
        <f t="shared" si="176"/>
        <v/>
      </c>
      <c r="CA208" s="45" t="str">
        <f t="shared" si="176"/>
        <v/>
      </c>
      <c r="CB208" s="45" t="str">
        <f t="shared" si="176"/>
        <v/>
      </c>
      <c r="CC208" s="45" t="str">
        <f t="shared" si="176"/>
        <v/>
      </c>
      <c r="CD208" s="45" t="str">
        <f t="shared" ref="CD208:CO208" si="177">IF(COUNTIFS($E$209:$E$214,"&lt;&gt;",$D$209:$D$214,"A",CD$209:CD$214,"&lt;&gt;")=0,"",IFERROR(SUMPRODUCT(--($E$209:$E$214&lt;&gt;""),--($D$209:$D$214="A"),$O$209:$O$214,CD$209:CD$214)/SUMPRODUCT(--($E$209:$E$214&lt;&gt;""),--($D$209:$D$214="A"),$O$209:$O$214),""))</f>
        <v/>
      </c>
      <c r="CE208" s="45" t="str">
        <f t="shared" si="177"/>
        <v/>
      </c>
      <c r="CF208" s="45" t="str">
        <f t="shared" si="177"/>
        <v/>
      </c>
      <c r="CG208" s="45" t="str">
        <f t="shared" si="177"/>
        <v/>
      </c>
      <c r="CH208" s="45" t="str">
        <f t="shared" si="177"/>
        <v/>
      </c>
      <c r="CI208" s="45" t="str">
        <f t="shared" si="177"/>
        <v/>
      </c>
      <c r="CJ208" s="45" t="str">
        <f t="shared" si="177"/>
        <v/>
      </c>
      <c r="CK208" s="45" t="str">
        <f t="shared" si="177"/>
        <v/>
      </c>
      <c r="CL208" s="45" t="str">
        <f t="shared" si="177"/>
        <v/>
      </c>
      <c r="CM208" s="45" t="str">
        <f t="shared" si="177"/>
        <v/>
      </c>
      <c r="CN208" s="45" t="str">
        <f t="shared" si="177"/>
        <v/>
      </c>
      <c r="CO208" s="45" t="str">
        <f t="shared" si="177"/>
        <v/>
      </c>
    </row>
    <row r="209" spans="1:93" outlineLevel="4" x14ac:dyDescent="0.25">
      <c r="A209" s="10" t="s">
        <v>116</v>
      </c>
      <c r="B209" s="10" t="s">
        <v>371</v>
      </c>
      <c r="C209" s="24" t="s">
        <v>317</v>
      </c>
      <c r="D209" s="12" t="s">
        <v>110</v>
      </c>
      <c r="E209" s="10" t="s">
        <v>372</v>
      </c>
      <c r="F209" s="10">
        <v>102</v>
      </c>
      <c r="G209" s="10">
        <v>104</v>
      </c>
      <c r="H209" s="10">
        <v>4</v>
      </c>
      <c r="I209" s="13">
        <v>46363.333333333343</v>
      </c>
      <c r="J209" s="13">
        <v>46388.666666666657</v>
      </c>
      <c r="K209" s="13"/>
      <c r="L209" s="13"/>
      <c r="M209" s="14">
        <f t="shared" si="165"/>
        <v>1</v>
      </c>
      <c r="N209" s="14"/>
      <c r="O209" s="16">
        <v>100000</v>
      </c>
      <c r="P209" s="15">
        <v>1.466666666666667</v>
      </c>
      <c r="Q209" s="16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>
        <v>0.19230769230769229</v>
      </c>
      <c r="BM209" s="47">
        <v>0.26923076923076922</v>
      </c>
      <c r="BN209" s="47">
        <v>0.26923076923076922</v>
      </c>
      <c r="BO209" s="47">
        <v>0.26923076923076922</v>
      </c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</row>
    <row r="210" spans="1:93" outlineLevel="4" x14ac:dyDescent="0.25">
      <c r="A210" s="17"/>
      <c r="B210" s="17"/>
      <c r="C210" s="25"/>
      <c r="D210" s="19" t="s">
        <v>111</v>
      </c>
      <c r="E210" s="17" t="s">
        <v>372</v>
      </c>
      <c r="F210" s="17"/>
      <c r="G210" s="17"/>
      <c r="H210" s="17"/>
      <c r="I210" s="20"/>
      <c r="J210" s="20"/>
      <c r="K210" s="20"/>
      <c r="L210" s="20"/>
      <c r="M210" s="21" t="str">
        <f t="shared" si="165"/>
        <v/>
      </c>
      <c r="N210" s="21">
        <v>0</v>
      </c>
      <c r="O210" s="48">
        <f>O209</f>
        <v>100000</v>
      </c>
      <c r="P210" s="22"/>
      <c r="Q210" s="23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</row>
    <row r="211" spans="1:93" outlineLevel="4" x14ac:dyDescent="0.25">
      <c r="A211" s="10" t="s">
        <v>116</v>
      </c>
      <c r="B211" s="10" t="s">
        <v>373</v>
      </c>
      <c r="C211" s="24" t="s">
        <v>320</v>
      </c>
      <c r="D211" s="12" t="s">
        <v>110</v>
      </c>
      <c r="E211" s="10" t="s">
        <v>374</v>
      </c>
      <c r="F211" s="10">
        <v>103</v>
      </c>
      <c r="G211" s="10">
        <v>105</v>
      </c>
      <c r="H211" s="10">
        <v>4</v>
      </c>
      <c r="I211" s="13">
        <v>46391.333333333343</v>
      </c>
      <c r="J211" s="13">
        <v>46416.666666666657</v>
      </c>
      <c r="K211" s="13"/>
      <c r="L211" s="13"/>
      <c r="M211" s="14">
        <f t="shared" si="165"/>
        <v>1</v>
      </c>
      <c r="N211" s="14"/>
      <c r="O211" s="16">
        <v>100000</v>
      </c>
      <c r="P211" s="15">
        <v>6.8</v>
      </c>
      <c r="Q211" s="16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>
        <v>0.19230769230769229</v>
      </c>
      <c r="BQ211" s="47">
        <v>0.26923076923076922</v>
      </c>
      <c r="BR211" s="47">
        <v>0.26923076923076922</v>
      </c>
      <c r="BS211" s="47">
        <v>0.26923076923076922</v>
      </c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</row>
    <row r="212" spans="1:93" outlineLevel="4" x14ac:dyDescent="0.25">
      <c r="A212" s="17"/>
      <c r="B212" s="17"/>
      <c r="C212" s="25"/>
      <c r="D212" s="19" t="s">
        <v>111</v>
      </c>
      <c r="E212" s="17" t="s">
        <v>374</v>
      </c>
      <c r="F212" s="17"/>
      <c r="G212" s="17"/>
      <c r="H212" s="17"/>
      <c r="I212" s="20"/>
      <c r="J212" s="20"/>
      <c r="K212" s="20"/>
      <c r="L212" s="20"/>
      <c r="M212" s="21" t="str">
        <f t="shared" si="165"/>
        <v/>
      </c>
      <c r="N212" s="21">
        <v>0</v>
      </c>
      <c r="O212" s="48">
        <f>O211</f>
        <v>100000</v>
      </c>
      <c r="P212" s="22"/>
      <c r="Q212" s="23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</row>
    <row r="213" spans="1:93" outlineLevel="4" x14ac:dyDescent="0.25">
      <c r="A213" s="10" t="s">
        <v>116</v>
      </c>
      <c r="B213" s="10" t="s">
        <v>375</v>
      </c>
      <c r="C213" s="24" t="s">
        <v>323</v>
      </c>
      <c r="D213" s="12" t="s">
        <v>110</v>
      </c>
      <c r="E213" s="10" t="s">
        <v>376</v>
      </c>
      <c r="F213" s="10">
        <v>104</v>
      </c>
      <c r="G213" s="10">
        <v>106</v>
      </c>
      <c r="H213" s="10">
        <v>4</v>
      </c>
      <c r="I213" s="13">
        <v>46311.333333333343</v>
      </c>
      <c r="J213" s="13">
        <v>46331.666666666657</v>
      </c>
      <c r="K213" s="13"/>
      <c r="L213" s="13"/>
      <c r="M213" s="14">
        <f t="shared" si="165"/>
        <v>1</v>
      </c>
      <c r="N213" s="14"/>
      <c r="O213" s="16">
        <v>100000</v>
      </c>
      <c r="P213" s="15">
        <v>0</v>
      </c>
      <c r="Q213" s="16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>
        <v>4.7619047619047623E-2</v>
      </c>
      <c r="BE213" s="47">
        <v>0.33333333333333331</v>
      </c>
      <c r="BF213" s="47">
        <v>0.33333333333333331</v>
      </c>
      <c r="BG213" s="47">
        <v>0.28571428571428581</v>
      </c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</row>
    <row r="214" spans="1:93" outlineLevel="4" x14ac:dyDescent="0.25">
      <c r="A214" s="17"/>
      <c r="B214" s="17"/>
      <c r="C214" s="25"/>
      <c r="D214" s="19" t="s">
        <v>111</v>
      </c>
      <c r="E214" s="17" t="s">
        <v>376</v>
      </c>
      <c r="F214" s="17"/>
      <c r="G214" s="17"/>
      <c r="H214" s="17"/>
      <c r="I214" s="20"/>
      <c r="J214" s="20"/>
      <c r="K214" s="20"/>
      <c r="L214" s="20"/>
      <c r="M214" s="21" t="str">
        <f t="shared" si="165"/>
        <v/>
      </c>
      <c r="N214" s="21">
        <v>0</v>
      </c>
      <c r="O214" s="48">
        <f>O213</f>
        <v>100000</v>
      </c>
      <c r="P214" s="22"/>
      <c r="Q214" s="23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</row>
    <row r="215" spans="1:93" outlineLevel="3" x14ac:dyDescent="0.25">
      <c r="A215" s="1" t="s">
        <v>92</v>
      </c>
      <c r="B215" s="1" t="s">
        <v>377</v>
      </c>
      <c r="C215" s="7" t="s">
        <v>326</v>
      </c>
      <c r="D215" s="8" t="s">
        <v>110</v>
      </c>
      <c r="E215" s="1"/>
      <c r="F215" s="1">
        <v>105</v>
      </c>
      <c r="G215" s="1">
        <v>107</v>
      </c>
      <c r="H215" s="1">
        <v>3</v>
      </c>
      <c r="I215" s="9">
        <v>46332.333333333343</v>
      </c>
      <c r="J215" s="9">
        <v>46477.666666666657</v>
      </c>
      <c r="K215" s="9"/>
      <c r="L215" s="9"/>
      <c r="M215" s="3">
        <f t="shared" si="165"/>
        <v>0.99999999999999978</v>
      </c>
      <c r="N215" s="3"/>
      <c r="O215" s="5">
        <f>SUMIFS($O$216:$O$221,$A$216:$A$221,"Activity",$D$216:$D$221,"P")</f>
        <v>300000</v>
      </c>
      <c r="P215" s="4"/>
      <c r="Q215" s="5"/>
      <c r="R215" s="45" t="str">
        <f t="shared" ref="R215:AW215" si="178">IF(COUNTIFS($A$217:$A$222,"Activity",$D$217:$D$222,"P",R$217:R$222,"&lt;&gt;")=0,"",IFERROR(SUMPRODUCT(--($A$217:$A$222="Activity"),--($D$217:$D$222="P"),$O$217:$O$222,R$217:R$222)/SUMPRODUCT(--($A$217:$A$222="Activity"),--($D$217:$D$222="P"),$O$217:$O$222),""))</f>
        <v/>
      </c>
      <c r="S215" s="45" t="str">
        <f t="shared" si="178"/>
        <v/>
      </c>
      <c r="T215" s="45" t="str">
        <f t="shared" si="178"/>
        <v/>
      </c>
      <c r="U215" s="45" t="str">
        <f t="shared" si="178"/>
        <v/>
      </c>
      <c r="V215" s="45" t="str">
        <f t="shared" si="178"/>
        <v/>
      </c>
      <c r="W215" s="45" t="str">
        <f t="shared" si="178"/>
        <v/>
      </c>
      <c r="X215" s="45" t="str">
        <f t="shared" si="178"/>
        <v/>
      </c>
      <c r="Y215" s="45" t="str">
        <f t="shared" si="178"/>
        <v/>
      </c>
      <c r="Z215" s="45" t="str">
        <f t="shared" si="178"/>
        <v/>
      </c>
      <c r="AA215" s="45" t="str">
        <f t="shared" si="178"/>
        <v/>
      </c>
      <c r="AB215" s="45" t="str">
        <f t="shared" si="178"/>
        <v/>
      </c>
      <c r="AC215" s="45" t="str">
        <f t="shared" si="178"/>
        <v/>
      </c>
      <c r="AD215" s="45" t="str">
        <f t="shared" si="178"/>
        <v/>
      </c>
      <c r="AE215" s="45" t="str">
        <f t="shared" si="178"/>
        <v/>
      </c>
      <c r="AF215" s="45" t="str">
        <f t="shared" si="178"/>
        <v/>
      </c>
      <c r="AG215" s="45" t="str">
        <f t="shared" si="178"/>
        <v/>
      </c>
      <c r="AH215" s="45" t="str">
        <f t="shared" si="178"/>
        <v/>
      </c>
      <c r="AI215" s="45" t="str">
        <f t="shared" si="178"/>
        <v/>
      </c>
      <c r="AJ215" s="45" t="str">
        <f t="shared" si="178"/>
        <v/>
      </c>
      <c r="AK215" s="45" t="str">
        <f t="shared" si="178"/>
        <v/>
      </c>
      <c r="AL215" s="45" t="str">
        <f t="shared" si="178"/>
        <v/>
      </c>
      <c r="AM215" s="45" t="str">
        <f t="shared" si="178"/>
        <v/>
      </c>
      <c r="AN215" s="45" t="str">
        <f t="shared" si="178"/>
        <v/>
      </c>
      <c r="AO215" s="45" t="str">
        <f t="shared" si="178"/>
        <v/>
      </c>
      <c r="AP215" s="45" t="str">
        <f t="shared" si="178"/>
        <v/>
      </c>
      <c r="AQ215" s="45" t="str">
        <f t="shared" si="178"/>
        <v/>
      </c>
      <c r="AR215" s="45" t="str">
        <f t="shared" si="178"/>
        <v/>
      </c>
      <c r="AS215" s="45" t="str">
        <f t="shared" si="178"/>
        <v/>
      </c>
      <c r="AT215" s="45" t="str">
        <f t="shared" si="178"/>
        <v/>
      </c>
      <c r="AU215" s="45" t="str">
        <f t="shared" si="178"/>
        <v/>
      </c>
      <c r="AV215" s="45" t="str">
        <f t="shared" si="178"/>
        <v/>
      </c>
      <c r="AW215" s="45" t="str">
        <f t="shared" si="178"/>
        <v/>
      </c>
      <c r="AX215" s="45" t="str">
        <f t="shared" ref="AX215:CC215" si="179">IF(COUNTIFS($A$217:$A$222,"Activity",$D$217:$D$222,"P",AX$217:AX$222,"&lt;&gt;")=0,"",IFERROR(SUMPRODUCT(--($A$217:$A$222="Activity"),--($D$217:$D$222="P"),$O$217:$O$222,AX$217:AX$222)/SUMPRODUCT(--($A$217:$A$222="Activity"),--($D$217:$D$222="P"),$O$217:$O$222),""))</f>
        <v/>
      </c>
      <c r="AY215" s="45" t="str">
        <f t="shared" si="179"/>
        <v/>
      </c>
      <c r="AZ215" s="45" t="str">
        <f t="shared" si="179"/>
        <v/>
      </c>
      <c r="BA215" s="45" t="str">
        <f t="shared" si="179"/>
        <v/>
      </c>
      <c r="BB215" s="45" t="str">
        <f t="shared" si="179"/>
        <v/>
      </c>
      <c r="BC215" s="45" t="str">
        <f t="shared" si="179"/>
        <v/>
      </c>
      <c r="BD215" s="45" t="str">
        <f t="shared" si="179"/>
        <v/>
      </c>
      <c r="BE215" s="45" t="str">
        <f t="shared" si="179"/>
        <v/>
      </c>
      <c r="BF215" s="45" t="str">
        <f t="shared" si="179"/>
        <v/>
      </c>
      <c r="BG215" s="45">
        <f t="shared" si="179"/>
        <v>1.5873015873015876E-2</v>
      </c>
      <c r="BH215" s="45">
        <f t="shared" si="179"/>
        <v>0.11111111111111109</v>
      </c>
      <c r="BI215" s="45">
        <f t="shared" si="179"/>
        <v>0.11111111111111109</v>
      </c>
      <c r="BJ215" s="45">
        <f t="shared" si="179"/>
        <v>9.5238095238095261E-2</v>
      </c>
      <c r="BK215" s="45" t="str">
        <f t="shared" si="179"/>
        <v/>
      </c>
      <c r="BL215" s="45" t="str">
        <f t="shared" si="179"/>
        <v/>
      </c>
      <c r="BM215" s="45" t="str">
        <f t="shared" si="179"/>
        <v/>
      </c>
      <c r="BN215" s="45" t="str">
        <f t="shared" si="179"/>
        <v/>
      </c>
      <c r="BO215" s="45" t="str">
        <f t="shared" si="179"/>
        <v/>
      </c>
      <c r="BP215" s="45" t="str">
        <f t="shared" si="179"/>
        <v/>
      </c>
      <c r="BQ215" s="45" t="str">
        <f t="shared" si="179"/>
        <v/>
      </c>
      <c r="BR215" s="45" t="str">
        <f t="shared" si="179"/>
        <v/>
      </c>
      <c r="BS215" s="45" t="str">
        <f t="shared" si="179"/>
        <v/>
      </c>
      <c r="BT215" s="45">
        <f t="shared" si="179"/>
        <v>0.13888888888888887</v>
      </c>
      <c r="BU215" s="45">
        <f t="shared" si="179"/>
        <v>0.19444444444444445</v>
      </c>
      <c r="BV215" s="45" t="str">
        <f t="shared" si="179"/>
        <v/>
      </c>
      <c r="BW215" s="45" t="str">
        <f t="shared" si="179"/>
        <v/>
      </c>
      <c r="BX215" s="45" t="str">
        <f t="shared" si="179"/>
        <v/>
      </c>
      <c r="BY215" s="45">
        <f t="shared" si="179"/>
        <v>3.1746031746031744E-2</v>
      </c>
      <c r="BZ215" s="45">
        <f t="shared" si="179"/>
        <v>0.11111111111111109</v>
      </c>
      <c r="CA215" s="45">
        <f t="shared" si="179"/>
        <v>0.11111111111111109</v>
      </c>
      <c r="CB215" s="45">
        <f t="shared" si="179"/>
        <v>7.9365079365079361E-2</v>
      </c>
      <c r="CC215" s="45" t="str">
        <f t="shared" si="179"/>
        <v/>
      </c>
      <c r="CD215" s="45" t="str">
        <f t="shared" ref="CD215:CO215" si="180">IF(COUNTIFS($A$217:$A$222,"Activity",$D$217:$D$222,"P",CD$217:CD$222,"&lt;&gt;")=0,"",IFERROR(SUMPRODUCT(--($A$217:$A$222="Activity"),--($D$217:$D$222="P"),$O$217:$O$222,CD$217:CD$222)/SUMPRODUCT(--($A$217:$A$222="Activity"),--($D$217:$D$222="P"),$O$217:$O$222),""))</f>
        <v/>
      </c>
      <c r="CE215" s="45" t="str">
        <f t="shared" si="180"/>
        <v/>
      </c>
      <c r="CF215" s="45" t="str">
        <f t="shared" si="180"/>
        <v/>
      </c>
      <c r="CG215" s="45" t="str">
        <f t="shared" si="180"/>
        <v/>
      </c>
      <c r="CH215" s="45" t="str">
        <f t="shared" si="180"/>
        <v/>
      </c>
      <c r="CI215" s="45" t="str">
        <f t="shared" si="180"/>
        <v/>
      </c>
      <c r="CJ215" s="45" t="str">
        <f t="shared" si="180"/>
        <v/>
      </c>
      <c r="CK215" s="45" t="str">
        <f t="shared" si="180"/>
        <v/>
      </c>
      <c r="CL215" s="45" t="str">
        <f t="shared" si="180"/>
        <v/>
      </c>
      <c r="CM215" s="45" t="str">
        <f t="shared" si="180"/>
        <v/>
      </c>
      <c r="CN215" s="45" t="str">
        <f t="shared" si="180"/>
        <v/>
      </c>
      <c r="CO215" s="45" t="str">
        <f t="shared" si="180"/>
        <v/>
      </c>
    </row>
    <row r="216" spans="1:93" outlineLevel="3" x14ac:dyDescent="0.25">
      <c r="A216" s="1"/>
      <c r="B216" s="1"/>
      <c r="C216" s="7"/>
      <c r="D216" s="8" t="s">
        <v>111</v>
      </c>
      <c r="E216" s="1"/>
      <c r="F216" s="1"/>
      <c r="G216" s="1"/>
      <c r="H216" s="1"/>
      <c r="I216" s="9"/>
      <c r="J216" s="9"/>
      <c r="K216" s="9"/>
      <c r="L216" s="9"/>
      <c r="M216" s="3" t="str">
        <f t="shared" si="165"/>
        <v/>
      </c>
      <c r="N216" s="3"/>
      <c r="O216" s="46">
        <f>O215</f>
        <v>300000</v>
      </c>
      <c r="P216" s="4"/>
      <c r="Q216" s="5"/>
      <c r="R216" s="45" t="str">
        <f t="shared" ref="R216:AW216" si="181">IF(COUNTIFS($E$217:$E$222,"&lt;&gt;",$D$217:$D$222,"A",R$217:R$222,"&lt;&gt;")=0,"",IFERROR(SUMPRODUCT(--($E$217:$E$222&lt;&gt;""),--($D$217:$D$222="A"),$O$217:$O$222,R$217:R$222)/SUMPRODUCT(--($E$217:$E$222&lt;&gt;""),--($D$217:$D$222="A"),$O$217:$O$222),""))</f>
        <v/>
      </c>
      <c r="S216" s="45" t="str">
        <f t="shared" si="181"/>
        <v/>
      </c>
      <c r="T216" s="45" t="str">
        <f t="shared" si="181"/>
        <v/>
      </c>
      <c r="U216" s="45" t="str">
        <f t="shared" si="181"/>
        <v/>
      </c>
      <c r="V216" s="45" t="str">
        <f t="shared" si="181"/>
        <v/>
      </c>
      <c r="W216" s="45" t="str">
        <f t="shared" si="181"/>
        <v/>
      </c>
      <c r="X216" s="45" t="str">
        <f t="shared" si="181"/>
        <v/>
      </c>
      <c r="Y216" s="45" t="str">
        <f t="shared" si="181"/>
        <v/>
      </c>
      <c r="Z216" s="45" t="str">
        <f t="shared" si="181"/>
        <v/>
      </c>
      <c r="AA216" s="45" t="str">
        <f t="shared" si="181"/>
        <v/>
      </c>
      <c r="AB216" s="45" t="str">
        <f t="shared" si="181"/>
        <v/>
      </c>
      <c r="AC216" s="45" t="str">
        <f t="shared" si="181"/>
        <v/>
      </c>
      <c r="AD216" s="45" t="str">
        <f t="shared" si="181"/>
        <v/>
      </c>
      <c r="AE216" s="45" t="str">
        <f t="shared" si="181"/>
        <v/>
      </c>
      <c r="AF216" s="45" t="str">
        <f t="shared" si="181"/>
        <v/>
      </c>
      <c r="AG216" s="45" t="str">
        <f t="shared" si="181"/>
        <v/>
      </c>
      <c r="AH216" s="45" t="str">
        <f t="shared" si="181"/>
        <v/>
      </c>
      <c r="AI216" s="45" t="str">
        <f t="shared" si="181"/>
        <v/>
      </c>
      <c r="AJ216" s="45" t="str">
        <f t="shared" si="181"/>
        <v/>
      </c>
      <c r="AK216" s="45" t="str">
        <f t="shared" si="181"/>
        <v/>
      </c>
      <c r="AL216" s="45" t="str">
        <f t="shared" si="181"/>
        <v/>
      </c>
      <c r="AM216" s="45" t="str">
        <f t="shared" si="181"/>
        <v/>
      </c>
      <c r="AN216" s="45" t="str">
        <f t="shared" si="181"/>
        <v/>
      </c>
      <c r="AO216" s="45" t="str">
        <f t="shared" si="181"/>
        <v/>
      </c>
      <c r="AP216" s="45" t="str">
        <f t="shared" si="181"/>
        <v/>
      </c>
      <c r="AQ216" s="45" t="str">
        <f t="shared" si="181"/>
        <v/>
      </c>
      <c r="AR216" s="45" t="str">
        <f t="shared" si="181"/>
        <v/>
      </c>
      <c r="AS216" s="45" t="str">
        <f t="shared" si="181"/>
        <v/>
      </c>
      <c r="AT216" s="45" t="str">
        <f t="shared" si="181"/>
        <v/>
      </c>
      <c r="AU216" s="45" t="str">
        <f t="shared" si="181"/>
        <v/>
      </c>
      <c r="AV216" s="45" t="str">
        <f t="shared" si="181"/>
        <v/>
      </c>
      <c r="AW216" s="45" t="str">
        <f t="shared" si="181"/>
        <v/>
      </c>
      <c r="AX216" s="45" t="str">
        <f t="shared" ref="AX216:CC216" si="182">IF(COUNTIFS($E$217:$E$222,"&lt;&gt;",$D$217:$D$222,"A",AX$217:AX$222,"&lt;&gt;")=0,"",IFERROR(SUMPRODUCT(--($E$217:$E$222&lt;&gt;""),--($D$217:$D$222="A"),$O$217:$O$222,AX$217:AX$222)/SUMPRODUCT(--($E$217:$E$222&lt;&gt;""),--($D$217:$D$222="A"),$O$217:$O$222),""))</f>
        <v/>
      </c>
      <c r="AY216" s="45" t="str">
        <f t="shared" si="182"/>
        <v/>
      </c>
      <c r="AZ216" s="45" t="str">
        <f t="shared" si="182"/>
        <v/>
      </c>
      <c r="BA216" s="45" t="str">
        <f t="shared" si="182"/>
        <v/>
      </c>
      <c r="BB216" s="45" t="str">
        <f t="shared" si="182"/>
        <v/>
      </c>
      <c r="BC216" s="45" t="str">
        <f t="shared" si="182"/>
        <v/>
      </c>
      <c r="BD216" s="45" t="str">
        <f t="shared" si="182"/>
        <v/>
      </c>
      <c r="BE216" s="45" t="str">
        <f t="shared" si="182"/>
        <v/>
      </c>
      <c r="BF216" s="45" t="str">
        <f t="shared" si="182"/>
        <v/>
      </c>
      <c r="BG216" s="45" t="str">
        <f t="shared" si="182"/>
        <v/>
      </c>
      <c r="BH216" s="45" t="str">
        <f t="shared" si="182"/>
        <v/>
      </c>
      <c r="BI216" s="45" t="str">
        <f t="shared" si="182"/>
        <v/>
      </c>
      <c r="BJ216" s="45" t="str">
        <f t="shared" si="182"/>
        <v/>
      </c>
      <c r="BK216" s="45" t="str">
        <f t="shared" si="182"/>
        <v/>
      </c>
      <c r="BL216" s="45" t="str">
        <f t="shared" si="182"/>
        <v/>
      </c>
      <c r="BM216" s="45" t="str">
        <f t="shared" si="182"/>
        <v/>
      </c>
      <c r="BN216" s="45" t="str">
        <f t="shared" si="182"/>
        <v/>
      </c>
      <c r="BO216" s="45" t="str">
        <f t="shared" si="182"/>
        <v/>
      </c>
      <c r="BP216" s="45" t="str">
        <f t="shared" si="182"/>
        <v/>
      </c>
      <c r="BQ216" s="45" t="str">
        <f t="shared" si="182"/>
        <v/>
      </c>
      <c r="BR216" s="45" t="str">
        <f t="shared" si="182"/>
        <v/>
      </c>
      <c r="BS216" s="45" t="str">
        <f t="shared" si="182"/>
        <v/>
      </c>
      <c r="BT216" s="45" t="str">
        <f t="shared" si="182"/>
        <v/>
      </c>
      <c r="BU216" s="45" t="str">
        <f t="shared" si="182"/>
        <v/>
      </c>
      <c r="BV216" s="45" t="str">
        <f t="shared" si="182"/>
        <v/>
      </c>
      <c r="BW216" s="45" t="str">
        <f t="shared" si="182"/>
        <v/>
      </c>
      <c r="BX216" s="45" t="str">
        <f t="shared" si="182"/>
        <v/>
      </c>
      <c r="BY216" s="45" t="str">
        <f t="shared" si="182"/>
        <v/>
      </c>
      <c r="BZ216" s="45" t="str">
        <f t="shared" si="182"/>
        <v/>
      </c>
      <c r="CA216" s="45" t="str">
        <f t="shared" si="182"/>
        <v/>
      </c>
      <c r="CB216" s="45" t="str">
        <f t="shared" si="182"/>
        <v/>
      </c>
      <c r="CC216" s="45" t="str">
        <f t="shared" si="182"/>
        <v/>
      </c>
      <c r="CD216" s="45" t="str">
        <f t="shared" ref="CD216:CO216" si="183">IF(COUNTIFS($E$217:$E$222,"&lt;&gt;",$D$217:$D$222,"A",CD$217:CD$222,"&lt;&gt;")=0,"",IFERROR(SUMPRODUCT(--($E$217:$E$222&lt;&gt;""),--($D$217:$D$222="A"),$O$217:$O$222,CD$217:CD$222)/SUMPRODUCT(--($E$217:$E$222&lt;&gt;""),--($D$217:$D$222="A"),$O$217:$O$222),""))</f>
        <v/>
      </c>
      <c r="CE216" s="45" t="str">
        <f t="shared" si="183"/>
        <v/>
      </c>
      <c r="CF216" s="45" t="str">
        <f t="shared" si="183"/>
        <v/>
      </c>
      <c r="CG216" s="45" t="str">
        <f t="shared" si="183"/>
        <v/>
      </c>
      <c r="CH216" s="45" t="str">
        <f t="shared" si="183"/>
        <v/>
      </c>
      <c r="CI216" s="45" t="str">
        <f t="shared" si="183"/>
        <v/>
      </c>
      <c r="CJ216" s="45" t="str">
        <f t="shared" si="183"/>
        <v/>
      </c>
      <c r="CK216" s="45" t="str">
        <f t="shared" si="183"/>
        <v/>
      </c>
      <c r="CL216" s="45" t="str">
        <f t="shared" si="183"/>
        <v/>
      </c>
      <c r="CM216" s="45" t="str">
        <f t="shared" si="183"/>
        <v/>
      </c>
      <c r="CN216" s="45" t="str">
        <f t="shared" si="183"/>
        <v/>
      </c>
      <c r="CO216" s="45" t="str">
        <f t="shared" si="183"/>
        <v/>
      </c>
    </row>
    <row r="217" spans="1:93" outlineLevel="4" x14ac:dyDescent="0.25">
      <c r="A217" s="10" t="s">
        <v>116</v>
      </c>
      <c r="B217" s="10" t="s">
        <v>378</v>
      </c>
      <c r="C217" s="24" t="s">
        <v>331</v>
      </c>
      <c r="D217" s="12" t="s">
        <v>110</v>
      </c>
      <c r="E217" s="10" t="s">
        <v>379</v>
      </c>
      <c r="F217" s="10">
        <v>106</v>
      </c>
      <c r="G217" s="10">
        <v>108</v>
      </c>
      <c r="H217" s="10">
        <v>4</v>
      </c>
      <c r="I217" s="13">
        <v>46419.333333333343</v>
      </c>
      <c r="J217" s="13">
        <v>46430.666666666657</v>
      </c>
      <c r="K217" s="13"/>
      <c r="L217" s="13"/>
      <c r="M217" s="14">
        <f t="shared" si="165"/>
        <v>1</v>
      </c>
      <c r="N217" s="14"/>
      <c r="O217" s="16">
        <v>100000</v>
      </c>
      <c r="P217" s="15">
        <v>6.8</v>
      </c>
      <c r="Q217" s="16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>
        <v>0.41666666666666657</v>
      </c>
      <c r="BU217" s="47">
        <v>0.58333333333333337</v>
      </c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</row>
    <row r="218" spans="1:93" outlineLevel="4" x14ac:dyDescent="0.25">
      <c r="A218" s="17"/>
      <c r="B218" s="17"/>
      <c r="C218" s="25"/>
      <c r="D218" s="19" t="s">
        <v>111</v>
      </c>
      <c r="E218" s="17" t="s">
        <v>379</v>
      </c>
      <c r="F218" s="17"/>
      <c r="G218" s="17"/>
      <c r="H218" s="17"/>
      <c r="I218" s="20"/>
      <c r="J218" s="20"/>
      <c r="K218" s="20"/>
      <c r="L218" s="20"/>
      <c r="M218" s="21" t="str">
        <f t="shared" si="165"/>
        <v/>
      </c>
      <c r="N218" s="21">
        <v>0</v>
      </c>
      <c r="O218" s="48">
        <f>O217</f>
        <v>100000</v>
      </c>
      <c r="P218" s="22"/>
      <c r="Q218" s="23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</row>
    <row r="219" spans="1:93" outlineLevel="4" x14ac:dyDescent="0.25">
      <c r="A219" s="10" t="s">
        <v>116</v>
      </c>
      <c r="B219" s="10" t="s">
        <v>380</v>
      </c>
      <c r="C219" s="24" t="s">
        <v>334</v>
      </c>
      <c r="D219" s="12" t="s">
        <v>110</v>
      </c>
      <c r="E219" s="10" t="s">
        <v>381</v>
      </c>
      <c r="F219" s="10">
        <v>107</v>
      </c>
      <c r="G219" s="10">
        <v>109</v>
      </c>
      <c r="H219" s="10">
        <v>4</v>
      </c>
      <c r="I219" s="13">
        <v>46332.333333333343</v>
      </c>
      <c r="J219" s="13">
        <v>46352.666666666657</v>
      </c>
      <c r="K219" s="13"/>
      <c r="L219" s="13"/>
      <c r="M219" s="14">
        <f t="shared" si="165"/>
        <v>1</v>
      </c>
      <c r="N219" s="14"/>
      <c r="O219" s="16">
        <v>100000</v>
      </c>
      <c r="P219" s="15">
        <v>0</v>
      </c>
      <c r="Q219" s="16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>
        <v>4.7619047619047623E-2</v>
      </c>
      <c r="BH219" s="47">
        <v>0.33333333333333331</v>
      </c>
      <c r="BI219" s="47">
        <v>0.33333333333333331</v>
      </c>
      <c r="BJ219" s="47">
        <v>0.28571428571428581</v>
      </c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</row>
    <row r="220" spans="1:93" outlineLevel="4" x14ac:dyDescent="0.25">
      <c r="A220" s="17"/>
      <c r="B220" s="17"/>
      <c r="C220" s="25"/>
      <c r="D220" s="19" t="s">
        <v>111</v>
      </c>
      <c r="E220" s="17" t="s">
        <v>381</v>
      </c>
      <c r="F220" s="17"/>
      <c r="G220" s="17"/>
      <c r="H220" s="17"/>
      <c r="I220" s="20"/>
      <c r="J220" s="20"/>
      <c r="K220" s="20"/>
      <c r="L220" s="20"/>
      <c r="M220" s="21" t="str">
        <f t="shared" si="165"/>
        <v/>
      </c>
      <c r="N220" s="21">
        <v>0</v>
      </c>
      <c r="O220" s="48">
        <f>O219</f>
        <v>100000</v>
      </c>
      <c r="P220" s="22"/>
      <c r="Q220" s="23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</row>
    <row r="221" spans="1:93" outlineLevel="4" x14ac:dyDescent="0.25">
      <c r="A221" s="10" t="s">
        <v>116</v>
      </c>
      <c r="B221" s="10" t="s">
        <v>382</v>
      </c>
      <c r="C221" s="24" t="s">
        <v>383</v>
      </c>
      <c r="D221" s="12" t="s">
        <v>110</v>
      </c>
      <c r="E221" s="10" t="s">
        <v>384</v>
      </c>
      <c r="F221" s="10">
        <v>108</v>
      </c>
      <c r="G221" s="10">
        <v>110</v>
      </c>
      <c r="H221" s="10">
        <v>4</v>
      </c>
      <c r="I221" s="13">
        <v>46457.333333333343</v>
      </c>
      <c r="J221" s="13">
        <v>46477.666666666657</v>
      </c>
      <c r="K221" s="13"/>
      <c r="L221" s="13"/>
      <c r="M221" s="14">
        <f t="shared" si="165"/>
        <v>1</v>
      </c>
      <c r="N221" s="14"/>
      <c r="O221" s="16">
        <v>100000</v>
      </c>
      <c r="P221" s="15">
        <v>5.7333333333333334</v>
      </c>
      <c r="Q221" s="16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>
        <v>9.5238095238095233E-2</v>
      </c>
      <c r="BZ221" s="47">
        <v>0.33333333333333331</v>
      </c>
      <c r="CA221" s="47">
        <v>0.33333333333333331</v>
      </c>
      <c r="CB221" s="47">
        <v>0.23809523809523811</v>
      </c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</row>
    <row r="222" spans="1:93" outlineLevel="4" x14ac:dyDescent="0.25">
      <c r="A222" s="17"/>
      <c r="B222" s="17"/>
      <c r="C222" s="25"/>
      <c r="D222" s="19" t="s">
        <v>111</v>
      </c>
      <c r="E222" s="17" t="s">
        <v>384</v>
      </c>
      <c r="F222" s="17"/>
      <c r="G222" s="17"/>
      <c r="H222" s="17"/>
      <c r="I222" s="20"/>
      <c r="J222" s="20"/>
      <c r="K222" s="20"/>
      <c r="L222" s="20"/>
      <c r="M222" s="21" t="str">
        <f t="shared" si="165"/>
        <v/>
      </c>
      <c r="N222" s="21">
        <v>0</v>
      </c>
      <c r="O222" s="48">
        <f>O221</f>
        <v>100000</v>
      </c>
      <c r="P222" s="22"/>
      <c r="Q222" s="23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</row>
    <row r="223" spans="1:93" outlineLevel="3" x14ac:dyDescent="0.25">
      <c r="A223" s="1" t="s">
        <v>92</v>
      </c>
      <c r="B223" s="1" t="s">
        <v>385</v>
      </c>
      <c r="C223" s="7" t="s">
        <v>386</v>
      </c>
      <c r="D223" s="8" t="s">
        <v>110</v>
      </c>
      <c r="E223" s="1"/>
      <c r="F223" s="1">
        <v>109</v>
      </c>
      <c r="G223" s="1">
        <v>112</v>
      </c>
      <c r="H223" s="1">
        <v>3</v>
      </c>
      <c r="I223" s="9">
        <v>46433.333333333343</v>
      </c>
      <c r="J223" s="9">
        <v>46519.666666666657</v>
      </c>
      <c r="K223" s="9"/>
      <c r="L223" s="9"/>
      <c r="M223" s="3">
        <f t="shared" si="165"/>
        <v>0.99999999999999989</v>
      </c>
      <c r="N223" s="3"/>
      <c r="O223" s="5">
        <f>SUMIFS($O$224:$O$227,$A$224:$A$227,"Activity",$D$224:$D$227,"P")</f>
        <v>200000</v>
      </c>
      <c r="P223" s="4"/>
      <c r="Q223" s="5"/>
      <c r="R223" s="45" t="str">
        <f t="shared" ref="R223:AW223" si="184">IF(COUNTIFS($A$225:$A$228,"Activity",$D$225:$D$228,"P",R$225:R$228,"&lt;&gt;")=0,"",IFERROR(SUMPRODUCT(--($A$225:$A$228="Activity"),--($D$225:$D$228="P"),$O$225:$O$228,R$225:R$228)/SUMPRODUCT(--($A$225:$A$228="Activity"),--($D$225:$D$228="P"),$O$225:$O$228),""))</f>
        <v/>
      </c>
      <c r="S223" s="45" t="str">
        <f t="shared" si="184"/>
        <v/>
      </c>
      <c r="T223" s="45" t="str">
        <f t="shared" si="184"/>
        <v/>
      </c>
      <c r="U223" s="45" t="str">
        <f t="shared" si="184"/>
        <v/>
      </c>
      <c r="V223" s="45" t="str">
        <f t="shared" si="184"/>
        <v/>
      </c>
      <c r="W223" s="45" t="str">
        <f t="shared" si="184"/>
        <v/>
      </c>
      <c r="X223" s="45" t="str">
        <f t="shared" si="184"/>
        <v/>
      </c>
      <c r="Y223" s="45" t="str">
        <f t="shared" si="184"/>
        <v/>
      </c>
      <c r="Z223" s="45" t="str">
        <f t="shared" si="184"/>
        <v/>
      </c>
      <c r="AA223" s="45" t="str">
        <f t="shared" si="184"/>
        <v/>
      </c>
      <c r="AB223" s="45" t="str">
        <f t="shared" si="184"/>
        <v/>
      </c>
      <c r="AC223" s="45" t="str">
        <f t="shared" si="184"/>
        <v/>
      </c>
      <c r="AD223" s="45" t="str">
        <f t="shared" si="184"/>
        <v/>
      </c>
      <c r="AE223" s="45" t="str">
        <f t="shared" si="184"/>
        <v/>
      </c>
      <c r="AF223" s="45" t="str">
        <f t="shared" si="184"/>
        <v/>
      </c>
      <c r="AG223" s="45" t="str">
        <f t="shared" si="184"/>
        <v/>
      </c>
      <c r="AH223" s="45" t="str">
        <f t="shared" si="184"/>
        <v/>
      </c>
      <c r="AI223" s="45" t="str">
        <f t="shared" si="184"/>
        <v/>
      </c>
      <c r="AJ223" s="45" t="str">
        <f t="shared" si="184"/>
        <v/>
      </c>
      <c r="AK223" s="45" t="str">
        <f t="shared" si="184"/>
        <v/>
      </c>
      <c r="AL223" s="45" t="str">
        <f t="shared" si="184"/>
        <v/>
      </c>
      <c r="AM223" s="45" t="str">
        <f t="shared" si="184"/>
        <v/>
      </c>
      <c r="AN223" s="45" t="str">
        <f t="shared" si="184"/>
        <v/>
      </c>
      <c r="AO223" s="45" t="str">
        <f t="shared" si="184"/>
        <v/>
      </c>
      <c r="AP223" s="45" t="str">
        <f t="shared" si="184"/>
        <v/>
      </c>
      <c r="AQ223" s="45" t="str">
        <f t="shared" si="184"/>
        <v/>
      </c>
      <c r="AR223" s="45" t="str">
        <f t="shared" si="184"/>
        <v/>
      </c>
      <c r="AS223" s="45" t="str">
        <f t="shared" si="184"/>
        <v/>
      </c>
      <c r="AT223" s="45" t="str">
        <f t="shared" si="184"/>
        <v/>
      </c>
      <c r="AU223" s="45" t="str">
        <f t="shared" si="184"/>
        <v/>
      </c>
      <c r="AV223" s="45" t="str">
        <f t="shared" si="184"/>
        <v/>
      </c>
      <c r="AW223" s="45" t="str">
        <f t="shared" si="184"/>
        <v/>
      </c>
      <c r="AX223" s="45" t="str">
        <f t="shared" ref="AX223:CC223" si="185">IF(COUNTIFS($A$225:$A$228,"Activity",$D$225:$D$228,"P",AX$225:AX$228,"&lt;&gt;")=0,"",IFERROR(SUMPRODUCT(--($A$225:$A$228="Activity"),--($D$225:$D$228="P"),$O$225:$O$228,AX$225:AX$228)/SUMPRODUCT(--($A$225:$A$228="Activity"),--($D$225:$D$228="P"),$O$225:$O$228),""))</f>
        <v/>
      </c>
      <c r="AY223" s="45" t="str">
        <f t="shared" si="185"/>
        <v/>
      </c>
      <c r="AZ223" s="45" t="str">
        <f t="shared" si="185"/>
        <v/>
      </c>
      <c r="BA223" s="45" t="str">
        <f t="shared" si="185"/>
        <v/>
      </c>
      <c r="BB223" s="45" t="str">
        <f t="shared" si="185"/>
        <v/>
      </c>
      <c r="BC223" s="45" t="str">
        <f t="shared" si="185"/>
        <v/>
      </c>
      <c r="BD223" s="45" t="str">
        <f t="shared" si="185"/>
        <v/>
      </c>
      <c r="BE223" s="45" t="str">
        <f t="shared" si="185"/>
        <v/>
      </c>
      <c r="BF223" s="45" t="str">
        <f t="shared" si="185"/>
        <v/>
      </c>
      <c r="BG223" s="45" t="str">
        <f t="shared" si="185"/>
        <v/>
      </c>
      <c r="BH223" s="45" t="str">
        <f t="shared" si="185"/>
        <v/>
      </c>
      <c r="BI223" s="45" t="str">
        <f t="shared" si="185"/>
        <v/>
      </c>
      <c r="BJ223" s="45" t="str">
        <f t="shared" si="185"/>
        <v/>
      </c>
      <c r="BK223" s="45" t="str">
        <f t="shared" si="185"/>
        <v/>
      </c>
      <c r="BL223" s="45" t="str">
        <f t="shared" si="185"/>
        <v/>
      </c>
      <c r="BM223" s="45" t="str">
        <f t="shared" si="185"/>
        <v/>
      </c>
      <c r="BN223" s="45" t="str">
        <f t="shared" si="185"/>
        <v/>
      </c>
      <c r="BO223" s="45" t="str">
        <f t="shared" si="185"/>
        <v/>
      </c>
      <c r="BP223" s="45" t="str">
        <f t="shared" si="185"/>
        <v/>
      </c>
      <c r="BQ223" s="45" t="str">
        <f t="shared" si="185"/>
        <v/>
      </c>
      <c r="BR223" s="45" t="str">
        <f t="shared" si="185"/>
        <v/>
      </c>
      <c r="BS223" s="45" t="str">
        <f t="shared" si="185"/>
        <v/>
      </c>
      <c r="BT223" s="45" t="str">
        <f t="shared" si="185"/>
        <v/>
      </c>
      <c r="BU223" s="45" t="str">
        <f t="shared" si="185"/>
        <v/>
      </c>
      <c r="BV223" s="45">
        <f t="shared" si="185"/>
        <v>0.13157894736842105</v>
      </c>
      <c r="BW223" s="45">
        <f t="shared" si="185"/>
        <v>0.18421052631578946</v>
      </c>
      <c r="BX223" s="45">
        <f t="shared" si="185"/>
        <v>0.18421052631578949</v>
      </c>
      <c r="BY223" s="45" t="str">
        <f t="shared" si="185"/>
        <v/>
      </c>
      <c r="BZ223" s="45" t="str">
        <f t="shared" si="185"/>
        <v/>
      </c>
      <c r="CA223" s="45" t="str">
        <f t="shared" si="185"/>
        <v/>
      </c>
      <c r="CB223" s="45" t="str">
        <f t="shared" si="185"/>
        <v/>
      </c>
      <c r="CC223" s="45" t="str">
        <f t="shared" si="185"/>
        <v/>
      </c>
      <c r="CD223" s="45" t="str">
        <f t="shared" ref="CD223:CO223" si="186">IF(COUNTIFS($A$225:$A$228,"Activity",$D$225:$D$228,"P",CD$225:CD$228,"&lt;&gt;")=0,"",IFERROR(SUMPRODUCT(--($A$225:$A$228="Activity"),--($D$225:$D$228="P"),$O$225:$O$228,CD$225:CD$228)/SUMPRODUCT(--($A$225:$A$228="Activity"),--($D$225:$D$228="P"),$O$225:$O$228),""))</f>
        <v/>
      </c>
      <c r="CE223" s="45" t="str">
        <f t="shared" si="186"/>
        <v/>
      </c>
      <c r="CF223" s="45">
        <f t="shared" si="186"/>
        <v>7.1428571428571397E-2</v>
      </c>
      <c r="CG223" s="45">
        <f t="shared" si="186"/>
        <v>0.24999999999999992</v>
      </c>
      <c r="CH223" s="45">
        <f t="shared" si="186"/>
        <v>0.17857142857142858</v>
      </c>
      <c r="CI223" s="45" t="str">
        <f t="shared" si="186"/>
        <v/>
      </c>
      <c r="CJ223" s="45" t="str">
        <f t="shared" si="186"/>
        <v/>
      </c>
      <c r="CK223" s="45" t="str">
        <f t="shared" si="186"/>
        <v/>
      </c>
      <c r="CL223" s="45" t="str">
        <f t="shared" si="186"/>
        <v/>
      </c>
      <c r="CM223" s="45" t="str">
        <f t="shared" si="186"/>
        <v/>
      </c>
      <c r="CN223" s="45" t="str">
        <f t="shared" si="186"/>
        <v/>
      </c>
      <c r="CO223" s="45" t="str">
        <f t="shared" si="186"/>
        <v/>
      </c>
    </row>
    <row r="224" spans="1:93" outlineLevel="3" x14ac:dyDescent="0.25">
      <c r="A224" s="1"/>
      <c r="B224" s="1"/>
      <c r="C224" s="7"/>
      <c r="D224" s="8" t="s">
        <v>111</v>
      </c>
      <c r="E224" s="1"/>
      <c r="F224" s="1"/>
      <c r="G224" s="1"/>
      <c r="H224" s="1"/>
      <c r="I224" s="9"/>
      <c r="J224" s="9"/>
      <c r="K224" s="9"/>
      <c r="L224" s="9"/>
      <c r="M224" s="3" t="str">
        <f t="shared" si="165"/>
        <v/>
      </c>
      <c r="N224" s="3"/>
      <c r="O224" s="46">
        <f>O223</f>
        <v>200000</v>
      </c>
      <c r="P224" s="4"/>
      <c r="Q224" s="5"/>
      <c r="R224" s="45" t="str">
        <f t="shared" ref="R224:AW224" si="187">IF(COUNTIFS($E$225:$E$228,"&lt;&gt;",$D$225:$D$228,"A",R$225:R$228,"&lt;&gt;")=0,"",IFERROR(SUMPRODUCT(--($E$225:$E$228&lt;&gt;""),--($D$225:$D$228="A"),$O$225:$O$228,R$225:R$228)/SUMPRODUCT(--($E$225:$E$228&lt;&gt;""),--($D$225:$D$228="A"),$O$225:$O$228),""))</f>
        <v/>
      </c>
      <c r="S224" s="45" t="str">
        <f t="shared" si="187"/>
        <v/>
      </c>
      <c r="T224" s="45" t="str">
        <f t="shared" si="187"/>
        <v/>
      </c>
      <c r="U224" s="45" t="str">
        <f t="shared" si="187"/>
        <v/>
      </c>
      <c r="V224" s="45" t="str">
        <f t="shared" si="187"/>
        <v/>
      </c>
      <c r="W224" s="45" t="str">
        <f t="shared" si="187"/>
        <v/>
      </c>
      <c r="X224" s="45" t="str">
        <f t="shared" si="187"/>
        <v/>
      </c>
      <c r="Y224" s="45" t="str">
        <f t="shared" si="187"/>
        <v/>
      </c>
      <c r="Z224" s="45" t="str">
        <f t="shared" si="187"/>
        <v/>
      </c>
      <c r="AA224" s="45" t="str">
        <f t="shared" si="187"/>
        <v/>
      </c>
      <c r="AB224" s="45" t="str">
        <f t="shared" si="187"/>
        <v/>
      </c>
      <c r="AC224" s="45" t="str">
        <f t="shared" si="187"/>
        <v/>
      </c>
      <c r="AD224" s="45" t="str">
        <f t="shared" si="187"/>
        <v/>
      </c>
      <c r="AE224" s="45" t="str">
        <f t="shared" si="187"/>
        <v/>
      </c>
      <c r="AF224" s="45" t="str">
        <f t="shared" si="187"/>
        <v/>
      </c>
      <c r="AG224" s="45" t="str">
        <f t="shared" si="187"/>
        <v/>
      </c>
      <c r="AH224" s="45" t="str">
        <f t="shared" si="187"/>
        <v/>
      </c>
      <c r="AI224" s="45" t="str">
        <f t="shared" si="187"/>
        <v/>
      </c>
      <c r="AJ224" s="45" t="str">
        <f t="shared" si="187"/>
        <v/>
      </c>
      <c r="AK224" s="45" t="str">
        <f t="shared" si="187"/>
        <v/>
      </c>
      <c r="AL224" s="45" t="str">
        <f t="shared" si="187"/>
        <v/>
      </c>
      <c r="AM224" s="45" t="str">
        <f t="shared" si="187"/>
        <v/>
      </c>
      <c r="AN224" s="45" t="str">
        <f t="shared" si="187"/>
        <v/>
      </c>
      <c r="AO224" s="45" t="str">
        <f t="shared" si="187"/>
        <v/>
      </c>
      <c r="AP224" s="45" t="str">
        <f t="shared" si="187"/>
        <v/>
      </c>
      <c r="AQ224" s="45" t="str">
        <f t="shared" si="187"/>
        <v/>
      </c>
      <c r="AR224" s="45" t="str">
        <f t="shared" si="187"/>
        <v/>
      </c>
      <c r="AS224" s="45" t="str">
        <f t="shared" si="187"/>
        <v/>
      </c>
      <c r="AT224" s="45" t="str">
        <f t="shared" si="187"/>
        <v/>
      </c>
      <c r="AU224" s="45" t="str">
        <f t="shared" si="187"/>
        <v/>
      </c>
      <c r="AV224" s="45" t="str">
        <f t="shared" si="187"/>
        <v/>
      </c>
      <c r="AW224" s="45" t="str">
        <f t="shared" si="187"/>
        <v/>
      </c>
      <c r="AX224" s="45" t="str">
        <f t="shared" ref="AX224:CC224" si="188">IF(COUNTIFS($E$225:$E$228,"&lt;&gt;",$D$225:$D$228,"A",AX$225:AX$228,"&lt;&gt;")=0,"",IFERROR(SUMPRODUCT(--($E$225:$E$228&lt;&gt;""),--($D$225:$D$228="A"),$O$225:$O$228,AX$225:AX$228)/SUMPRODUCT(--($E$225:$E$228&lt;&gt;""),--($D$225:$D$228="A"),$O$225:$O$228),""))</f>
        <v/>
      </c>
      <c r="AY224" s="45" t="str">
        <f t="shared" si="188"/>
        <v/>
      </c>
      <c r="AZ224" s="45" t="str">
        <f t="shared" si="188"/>
        <v/>
      </c>
      <c r="BA224" s="45" t="str">
        <f t="shared" si="188"/>
        <v/>
      </c>
      <c r="BB224" s="45" t="str">
        <f t="shared" si="188"/>
        <v/>
      </c>
      <c r="BC224" s="45" t="str">
        <f t="shared" si="188"/>
        <v/>
      </c>
      <c r="BD224" s="45" t="str">
        <f t="shared" si="188"/>
        <v/>
      </c>
      <c r="BE224" s="45" t="str">
        <f t="shared" si="188"/>
        <v/>
      </c>
      <c r="BF224" s="45" t="str">
        <f t="shared" si="188"/>
        <v/>
      </c>
      <c r="BG224" s="45" t="str">
        <f t="shared" si="188"/>
        <v/>
      </c>
      <c r="BH224" s="45" t="str">
        <f t="shared" si="188"/>
        <v/>
      </c>
      <c r="BI224" s="45" t="str">
        <f t="shared" si="188"/>
        <v/>
      </c>
      <c r="BJ224" s="45" t="str">
        <f t="shared" si="188"/>
        <v/>
      </c>
      <c r="BK224" s="45" t="str">
        <f t="shared" si="188"/>
        <v/>
      </c>
      <c r="BL224" s="45" t="str">
        <f t="shared" si="188"/>
        <v/>
      </c>
      <c r="BM224" s="45" t="str">
        <f t="shared" si="188"/>
        <v/>
      </c>
      <c r="BN224" s="45" t="str">
        <f t="shared" si="188"/>
        <v/>
      </c>
      <c r="BO224" s="45" t="str">
        <f t="shared" si="188"/>
        <v/>
      </c>
      <c r="BP224" s="45" t="str">
        <f t="shared" si="188"/>
        <v/>
      </c>
      <c r="BQ224" s="45" t="str">
        <f t="shared" si="188"/>
        <v/>
      </c>
      <c r="BR224" s="45" t="str">
        <f t="shared" si="188"/>
        <v/>
      </c>
      <c r="BS224" s="45" t="str">
        <f t="shared" si="188"/>
        <v/>
      </c>
      <c r="BT224" s="45" t="str">
        <f t="shared" si="188"/>
        <v/>
      </c>
      <c r="BU224" s="45" t="str">
        <f t="shared" si="188"/>
        <v/>
      </c>
      <c r="BV224" s="45" t="str">
        <f t="shared" si="188"/>
        <v/>
      </c>
      <c r="BW224" s="45" t="str">
        <f t="shared" si="188"/>
        <v/>
      </c>
      <c r="BX224" s="45" t="str">
        <f t="shared" si="188"/>
        <v/>
      </c>
      <c r="BY224" s="45" t="str">
        <f t="shared" si="188"/>
        <v/>
      </c>
      <c r="BZ224" s="45" t="str">
        <f t="shared" si="188"/>
        <v/>
      </c>
      <c r="CA224" s="45" t="str">
        <f t="shared" si="188"/>
        <v/>
      </c>
      <c r="CB224" s="45" t="str">
        <f t="shared" si="188"/>
        <v/>
      </c>
      <c r="CC224" s="45" t="str">
        <f t="shared" si="188"/>
        <v/>
      </c>
      <c r="CD224" s="45" t="str">
        <f t="shared" ref="CD224:CO224" si="189">IF(COUNTIFS($E$225:$E$228,"&lt;&gt;",$D$225:$D$228,"A",CD$225:CD$228,"&lt;&gt;")=0,"",IFERROR(SUMPRODUCT(--($E$225:$E$228&lt;&gt;""),--($D$225:$D$228="A"),$O$225:$O$228,CD$225:CD$228)/SUMPRODUCT(--($E$225:$E$228&lt;&gt;""),--($D$225:$D$228="A"),$O$225:$O$228),""))</f>
        <v/>
      </c>
      <c r="CE224" s="45" t="str">
        <f t="shared" si="189"/>
        <v/>
      </c>
      <c r="CF224" s="45" t="str">
        <f t="shared" si="189"/>
        <v/>
      </c>
      <c r="CG224" s="45" t="str">
        <f t="shared" si="189"/>
        <v/>
      </c>
      <c r="CH224" s="45" t="str">
        <f t="shared" si="189"/>
        <v/>
      </c>
      <c r="CI224" s="45" t="str">
        <f t="shared" si="189"/>
        <v/>
      </c>
      <c r="CJ224" s="45" t="str">
        <f t="shared" si="189"/>
        <v/>
      </c>
      <c r="CK224" s="45" t="str">
        <f t="shared" si="189"/>
        <v/>
      </c>
      <c r="CL224" s="45" t="str">
        <f t="shared" si="189"/>
        <v/>
      </c>
      <c r="CM224" s="45" t="str">
        <f t="shared" si="189"/>
        <v/>
      </c>
      <c r="CN224" s="45" t="str">
        <f t="shared" si="189"/>
        <v/>
      </c>
      <c r="CO224" s="45" t="str">
        <f t="shared" si="189"/>
        <v/>
      </c>
    </row>
    <row r="225" spans="1:93" outlineLevel="4" x14ac:dyDescent="0.25">
      <c r="A225" s="10" t="s">
        <v>116</v>
      </c>
      <c r="B225" s="10" t="s">
        <v>387</v>
      </c>
      <c r="C225" s="24" t="s">
        <v>388</v>
      </c>
      <c r="D225" s="12" t="s">
        <v>110</v>
      </c>
      <c r="E225" s="10" t="s">
        <v>389</v>
      </c>
      <c r="F225" s="10">
        <v>110</v>
      </c>
      <c r="G225" s="10">
        <v>113</v>
      </c>
      <c r="H225" s="10">
        <v>4</v>
      </c>
      <c r="I225" s="13">
        <v>46506.333333333343</v>
      </c>
      <c r="J225" s="13">
        <v>46519.666666666657</v>
      </c>
      <c r="K225" s="13"/>
      <c r="L225" s="13"/>
      <c r="M225" s="14">
        <f t="shared" si="165"/>
        <v>0.99999999999999989</v>
      </c>
      <c r="N225" s="14"/>
      <c r="O225" s="16">
        <v>100000</v>
      </c>
      <c r="P225" s="15">
        <v>1.7333333333333329</v>
      </c>
      <c r="Q225" s="16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>
        <v>0.14285714285714279</v>
      </c>
      <c r="CG225" s="47">
        <v>0.49999999999999989</v>
      </c>
      <c r="CH225" s="47">
        <v>0.35714285714285721</v>
      </c>
      <c r="CI225" s="47"/>
      <c r="CJ225" s="47"/>
      <c r="CK225" s="47"/>
      <c r="CL225" s="47"/>
      <c r="CM225" s="47"/>
      <c r="CN225" s="47"/>
      <c r="CO225" s="47"/>
    </row>
    <row r="226" spans="1:93" outlineLevel="4" x14ac:dyDescent="0.25">
      <c r="A226" s="17"/>
      <c r="B226" s="17"/>
      <c r="C226" s="25"/>
      <c r="D226" s="19" t="s">
        <v>111</v>
      </c>
      <c r="E226" s="17" t="s">
        <v>389</v>
      </c>
      <c r="F226" s="17"/>
      <c r="G226" s="17"/>
      <c r="H226" s="17"/>
      <c r="I226" s="20"/>
      <c r="J226" s="20"/>
      <c r="K226" s="20"/>
      <c r="L226" s="20"/>
      <c r="M226" s="21" t="str">
        <f t="shared" si="165"/>
        <v/>
      </c>
      <c r="N226" s="21">
        <v>0</v>
      </c>
      <c r="O226" s="48">
        <f>O225</f>
        <v>100000</v>
      </c>
      <c r="P226" s="22"/>
      <c r="Q226" s="23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</row>
    <row r="227" spans="1:93" outlineLevel="4" x14ac:dyDescent="0.25">
      <c r="A227" s="10" t="s">
        <v>116</v>
      </c>
      <c r="B227" s="10" t="s">
        <v>390</v>
      </c>
      <c r="C227" s="24" t="s">
        <v>348</v>
      </c>
      <c r="D227" s="12" t="s">
        <v>110</v>
      </c>
      <c r="E227" s="10" t="s">
        <v>391</v>
      </c>
      <c r="F227" s="10">
        <v>111</v>
      </c>
      <c r="G227" s="10">
        <v>115</v>
      </c>
      <c r="H227" s="10">
        <v>4</v>
      </c>
      <c r="I227" s="13">
        <v>46433.333333333343</v>
      </c>
      <c r="J227" s="13">
        <v>46451.666666666657</v>
      </c>
      <c r="K227" s="13"/>
      <c r="L227" s="13"/>
      <c r="M227" s="14">
        <f t="shared" si="165"/>
        <v>1</v>
      </c>
      <c r="N227" s="14"/>
      <c r="O227" s="16">
        <v>100000</v>
      </c>
      <c r="P227" s="15">
        <v>6.8</v>
      </c>
      <c r="Q227" s="16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>
        <v>0.26315789473684209</v>
      </c>
      <c r="BW227" s="47">
        <v>0.36842105263157893</v>
      </c>
      <c r="BX227" s="47">
        <v>0.36842105263157898</v>
      </c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</row>
    <row r="228" spans="1:93" outlineLevel="4" x14ac:dyDescent="0.25">
      <c r="A228" s="17"/>
      <c r="B228" s="17"/>
      <c r="C228" s="25"/>
      <c r="D228" s="19" t="s">
        <v>111</v>
      </c>
      <c r="E228" s="17" t="s">
        <v>391</v>
      </c>
      <c r="F228" s="17"/>
      <c r="G228" s="17"/>
      <c r="H228" s="17"/>
      <c r="I228" s="20"/>
      <c r="J228" s="20"/>
      <c r="K228" s="20"/>
      <c r="L228" s="20"/>
      <c r="M228" s="21" t="str">
        <f t="shared" si="165"/>
        <v/>
      </c>
      <c r="N228" s="21">
        <v>0</v>
      </c>
      <c r="O228" s="48">
        <f>O227</f>
        <v>100000</v>
      </c>
      <c r="P228" s="22"/>
      <c r="Q228" s="23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</row>
    <row r="229" spans="1:93" outlineLevel="3" x14ac:dyDescent="0.25">
      <c r="A229" s="1" t="s">
        <v>92</v>
      </c>
      <c r="B229" s="1" t="s">
        <v>392</v>
      </c>
      <c r="C229" s="7" t="s">
        <v>351</v>
      </c>
      <c r="D229" s="8" t="s">
        <v>110</v>
      </c>
      <c r="E229" s="1"/>
      <c r="F229" s="1">
        <v>112</v>
      </c>
      <c r="G229" s="1">
        <v>116</v>
      </c>
      <c r="H229" s="1">
        <v>3</v>
      </c>
      <c r="I229" s="9">
        <v>46429.333333333343</v>
      </c>
      <c r="J229" s="9">
        <v>46456.666666666657</v>
      </c>
      <c r="K229" s="9"/>
      <c r="L229" s="9"/>
      <c r="M229" s="3">
        <f t="shared" si="165"/>
        <v>1</v>
      </c>
      <c r="N229" s="3"/>
      <c r="O229" s="5">
        <f>SUMIFS($O$230:$O$231,$A$230:$A$231,"Activity",$D$230:$D$231,"P")</f>
        <v>100000</v>
      </c>
      <c r="P229" s="4"/>
      <c r="Q229" s="5"/>
      <c r="R229" s="45" t="str">
        <f t="shared" ref="R229:AW229" si="190">IF(COUNTIFS($A$231:$A$232,"Activity",$D$231:$D$232,"P",R$231:R$232,"&lt;&gt;")=0,"",IFERROR(SUMPRODUCT(--($A$231:$A$232="Activity"),--($D$231:$D$232="P"),$O$231:$O$232,R$231:R$232)/SUMPRODUCT(--($A$231:$A$232="Activity"),--($D$231:$D$232="P"),$O$231:$O$232),""))</f>
        <v/>
      </c>
      <c r="S229" s="45" t="str">
        <f t="shared" si="190"/>
        <v/>
      </c>
      <c r="T229" s="45" t="str">
        <f t="shared" si="190"/>
        <v/>
      </c>
      <c r="U229" s="45" t="str">
        <f t="shared" si="190"/>
        <v/>
      </c>
      <c r="V229" s="45" t="str">
        <f t="shared" si="190"/>
        <v/>
      </c>
      <c r="W229" s="45" t="str">
        <f t="shared" si="190"/>
        <v/>
      </c>
      <c r="X229" s="45" t="str">
        <f t="shared" si="190"/>
        <v/>
      </c>
      <c r="Y229" s="45" t="str">
        <f t="shared" si="190"/>
        <v/>
      </c>
      <c r="Z229" s="45" t="str">
        <f t="shared" si="190"/>
        <v/>
      </c>
      <c r="AA229" s="45" t="str">
        <f t="shared" si="190"/>
        <v/>
      </c>
      <c r="AB229" s="45" t="str">
        <f t="shared" si="190"/>
        <v/>
      </c>
      <c r="AC229" s="45" t="str">
        <f t="shared" si="190"/>
        <v/>
      </c>
      <c r="AD229" s="45" t="str">
        <f t="shared" si="190"/>
        <v/>
      </c>
      <c r="AE229" s="45" t="str">
        <f t="shared" si="190"/>
        <v/>
      </c>
      <c r="AF229" s="45" t="str">
        <f t="shared" si="190"/>
        <v/>
      </c>
      <c r="AG229" s="45" t="str">
        <f t="shared" si="190"/>
        <v/>
      </c>
      <c r="AH229" s="45" t="str">
        <f t="shared" si="190"/>
        <v/>
      </c>
      <c r="AI229" s="45" t="str">
        <f t="shared" si="190"/>
        <v/>
      </c>
      <c r="AJ229" s="45" t="str">
        <f t="shared" si="190"/>
        <v/>
      </c>
      <c r="AK229" s="45" t="str">
        <f t="shared" si="190"/>
        <v/>
      </c>
      <c r="AL229" s="45" t="str">
        <f t="shared" si="190"/>
        <v/>
      </c>
      <c r="AM229" s="45" t="str">
        <f t="shared" si="190"/>
        <v/>
      </c>
      <c r="AN229" s="45" t="str">
        <f t="shared" si="190"/>
        <v/>
      </c>
      <c r="AO229" s="45" t="str">
        <f t="shared" si="190"/>
        <v/>
      </c>
      <c r="AP229" s="45" t="str">
        <f t="shared" si="190"/>
        <v/>
      </c>
      <c r="AQ229" s="45" t="str">
        <f t="shared" si="190"/>
        <v/>
      </c>
      <c r="AR229" s="45" t="str">
        <f t="shared" si="190"/>
        <v/>
      </c>
      <c r="AS229" s="45" t="str">
        <f t="shared" si="190"/>
        <v/>
      </c>
      <c r="AT229" s="45" t="str">
        <f t="shared" si="190"/>
        <v/>
      </c>
      <c r="AU229" s="45" t="str">
        <f t="shared" si="190"/>
        <v/>
      </c>
      <c r="AV229" s="45" t="str">
        <f t="shared" si="190"/>
        <v/>
      </c>
      <c r="AW229" s="45" t="str">
        <f t="shared" si="190"/>
        <v/>
      </c>
      <c r="AX229" s="45" t="str">
        <f t="shared" ref="AX229:CC229" si="191">IF(COUNTIFS($A$231:$A$232,"Activity",$D$231:$D$232,"P",AX$231:AX$232,"&lt;&gt;")=0,"",IFERROR(SUMPRODUCT(--($A$231:$A$232="Activity"),--($D$231:$D$232="P"),$O$231:$O$232,AX$231:AX$232)/SUMPRODUCT(--($A$231:$A$232="Activity"),--($D$231:$D$232="P"),$O$231:$O$232),""))</f>
        <v/>
      </c>
      <c r="AY229" s="45" t="str">
        <f t="shared" si="191"/>
        <v/>
      </c>
      <c r="AZ229" s="45" t="str">
        <f t="shared" si="191"/>
        <v/>
      </c>
      <c r="BA229" s="45" t="str">
        <f t="shared" si="191"/>
        <v/>
      </c>
      <c r="BB229" s="45" t="str">
        <f t="shared" si="191"/>
        <v/>
      </c>
      <c r="BC229" s="45" t="str">
        <f t="shared" si="191"/>
        <v/>
      </c>
      <c r="BD229" s="45" t="str">
        <f t="shared" si="191"/>
        <v/>
      </c>
      <c r="BE229" s="45" t="str">
        <f t="shared" si="191"/>
        <v/>
      </c>
      <c r="BF229" s="45" t="str">
        <f t="shared" si="191"/>
        <v/>
      </c>
      <c r="BG229" s="45" t="str">
        <f t="shared" si="191"/>
        <v/>
      </c>
      <c r="BH229" s="45" t="str">
        <f t="shared" si="191"/>
        <v/>
      </c>
      <c r="BI229" s="45" t="str">
        <f t="shared" si="191"/>
        <v/>
      </c>
      <c r="BJ229" s="45" t="str">
        <f t="shared" si="191"/>
        <v/>
      </c>
      <c r="BK229" s="45" t="str">
        <f t="shared" si="191"/>
        <v/>
      </c>
      <c r="BL229" s="45" t="str">
        <f t="shared" si="191"/>
        <v/>
      </c>
      <c r="BM229" s="45" t="str">
        <f t="shared" si="191"/>
        <v/>
      </c>
      <c r="BN229" s="45" t="str">
        <f t="shared" si="191"/>
        <v/>
      </c>
      <c r="BO229" s="45" t="str">
        <f t="shared" si="191"/>
        <v/>
      </c>
      <c r="BP229" s="45" t="str">
        <f t="shared" si="191"/>
        <v/>
      </c>
      <c r="BQ229" s="45" t="str">
        <f t="shared" si="191"/>
        <v/>
      </c>
      <c r="BR229" s="45" t="str">
        <f t="shared" si="191"/>
        <v/>
      </c>
      <c r="BS229" s="45" t="str">
        <f t="shared" si="191"/>
        <v/>
      </c>
      <c r="BT229" s="45" t="str">
        <f t="shared" si="191"/>
        <v/>
      </c>
      <c r="BU229" s="45">
        <f t="shared" si="191"/>
        <v>7.1428571428571425E-2</v>
      </c>
      <c r="BV229" s="45">
        <f t="shared" si="191"/>
        <v>0.25</v>
      </c>
      <c r="BW229" s="45">
        <f t="shared" si="191"/>
        <v>0.25</v>
      </c>
      <c r="BX229" s="45">
        <f t="shared" si="191"/>
        <v>0.25</v>
      </c>
      <c r="BY229" s="45">
        <f t="shared" si="191"/>
        <v>0.17857142857142858</v>
      </c>
      <c r="BZ229" s="45" t="str">
        <f t="shared" si="191"/>
        <v/>
      </c>
      <c r="CA229" s="45" t="str">
        <f t="shared" si="191"/>
        <v/>
      </c>
      <c r="CB229" s="45" t="str">
        <f t="shared" si="191"/>
        <v/>
      </c>
      <c r="CC229" s="45" t="str">
        <f t="shared" si="191"/>
        <v/>
      </c>
      <c r="CD229" s="45" t="str">
        <f t="shared" ref="CD229:CO229" si="192">IF(COUNTIFS($A$231:$A$232,"Activity",$D$231:$D$232,"P",CD$231:CD$232,"&lt;&gt;")=0,"",IFERROR(SUMPRODUCT(--($A$231:$A$232="Activity"),--($D$231:$D$232="P"),$O$231:$O$232,CD$231:CD$232)/SUMPRODUCT(--($A$231:$A$232="Activity"),--($D$231:$D$232="P"),$O$231:$O$232),""))</f>
        <v/>
      </c>
      <c r="CE229" s="45" t="str">
        <f t="shared" si="192"/>
        <v/>
      </c>
      <c r="CF229" s="45" t="str">
        <f t="shared" si="192"/>
        <v/>
      </c>
      <c r="CG229" s="45" t="str">
        <f t="shared" si="192"/>
        <v/>
      </c>
      <c r="CH229" s="45" t="str">
        <f t="shared" si="192"/>
        <v/>
      </c>
      <c r="CI229" s="45" t="str">
        <f t="shared" si="192"/>
        <v/>
      </c>
      <c r="CJ229" s="45" t="str">
        <f t="shared" si="192"/>
        <v/>
      </c>
      <c r="CK229" s="45" t="str">
        <f t="shared" si="192"/>
        <v/>
      </c>
      <c r="CL229" s="45" t="str">
        <f t="shared" si="192"/>
        <v/>
      </c>
      <c r="CM229" s="45" t="str">
        <f t="shared" si="192"/>
        <v/>
      </c>
      <c r="CN229" s="45" t="str">
        <f t="shared" si="192"/>
        <v/>
      </c>
      <c r="CO229" s="45" t="str">
        <f t="shared" si="192"/>
        <v/>
      </c>
    </row>
    <row r="230" spans="1:93" outlineLevel="3" x14ac:dyDescent="0.25">
      <c r="A230" s="1"/>
      <c r="B230" s="1"/>
      <c r="C230" s="7"/>
      <c r="D230" s="8" t="s">
        <v>111</v>
      </c>
      <c r="E230" s="1"/>
      <c r="F230" s="1"/>
      <c r="G230" s="1"/>
      <c r="H230" s="1"/>
      <c r="I230" s="9"/>
      <c r="J230" s="9"/>
      <c r="K230" s="9"/>
      <c r="L230" s="9"/>
      <c r="M230" s="3" t="str">
        <f t="shared" si="165"/>
        <v/>
      </c>
      <c r="N230" s="3"/>
      <c r="O230" s="46">
        <f>O229</f>
        <v>100000</v>
      </c>
      <c r="P230" s="4"/>
      <c r="Q230" s="5"/>
      <c r="R230" s="45" t="str">
        <f t="shared" ref="R230:AW230" si="193">IF(COUNTIFS($E$231:$E$232,"&lt;&gt;",$D$231:$D$232,"A",R$231:R$232,"&lt;&gt;")=0,"",IFERROR(SUMPRODUCT(--($E$231:$E$232&lt;&gt;""),--($D$231:$D$232="A"),$O$231:$O$232,R$231:R$232)/SUMPRODUCT(--($E$231:$E$232&lt;&gt;""),--($D$231:$D$232="A"),$O$231:$O$232),""))</f>
        <v/>
      </c>
      <c r="S230" s="45" t="str">
        <f t="shared" si="193"/>
        <v/>
      </c>
      <c r="T230" s="45" t="str">
        <f t="shared" si="193"/>
        <v/>
      </c>
      <c r="U230" s="45" t="str">
        <f t="shared" si="193"/>
        <v/>
      </c>
      <c r="V230" s="45" t="str">
        <f t="shared" si="193"/>
        <v/>
      </c>
      <c r="W230" s="45" t="str">
        <f t="shared" si="193"/>
        <v/>
      </c>
      <c r="X230" s="45" t="str">
        <f t="shared" si="193"/>
        <v/>
      </c>
      <c r="Y230" s="45" t="str">
        <f t="shared" si="193"/>
        <v/>
      </c>
      <c r="Z230" s="45" t="str">
        <f t="shared" si="193"/>
        <v/>
      </c>
      <c r="AA230" s="45" t="str">
        <f t="shared" si="193"/>
        <v/>
      </c>
      <c r="AB230" s="45" t="str">
        <f t="shared" si="193"/>
        <v/>
      </c>
      <c r="AC230" s="45" t="str">
        <f t="shared" si="193"/>
        <v/>
      </c>
      <c r="AD230" s="45" t="str">
        <f t="shared" si="193"/>
        <v/>
      </c>
      <c r="AE230" s="45" t="str">
        <f t="shared" si="193"/>
        <v/>
      </c>
      <c r="AF230" s="45" t="str">
        <f t="shared" si="193"/>
        <v/>
      </c>
      <c r="AG230" s="45" t="str">
        <f t="shared" si="193"/>
        <v/>
      </c>
      <c r="AH230" s="45" t="str">
        <f t="shared" si="193"/>
        <v/>
      </c>
      <c r="AI230" s="45" t="str">
        <f t="shared" si="193"/>
        <v/>
      </c>
      <c r="AJ230" s="45" t="str">
        <f t="shared" si="193"/>
        <v/>
      </c>
      <c r="AK230" s="45" t="str">
        <f t="shared" si="193"/>
        <v/>
      </c>
      <c r="AL230" s="45" t="str">
        <f t="shared" si="193"/>
        <v/>
      </c>
      <c r="AM230" s="45" t="str">
        <f t="shared" si="193"/>
        <v/>
      </c>
      <c r="AN230" s="45" t="str">
        <f t="shared" si="193"/>
        <v/>
      </c>
      <c r="AO230" s="45" t="str">
        <f t="shared" si="193"/>
        <v/>
      </c>
      <c r="AP230" s="45" t="str">
        <f t="shared" si="193"/>
        <v/>
      </c>
      <c r="AQ230" s="45" t="str">
        <f t="shared" si="193"/>
        <v/>
      </c>
      <c r="AR230" s="45" t="str">
        <f t="shared" si="193"/>
        <v/>
      </c>
      <c r="AS230" s="45" t="str">
        <f t="shared" si="193"/>
        <v/>
      </c>
      <c r="AT230" s="45" t="str">
        <f t="shared" si="193"/>
        <v/>
      </c>
      <c r="AU230" s="45" t="str">
        <f t="shared" si="193"/>
        <v/>
      </c>
      <c r="AV230" s="45" t="str">
        <f t="shared" si="193"/>
        <v/>
      </c>
      <c r="AW230" s="45" t="str">
        <f t="shared" si="193"/>
        <v/>
      </c>
      <c r="AX230" s="45" t="str">
        <f t="shared" ref="AX230:CC230" si="194">IF(COUNTIFS($E$231:$E$232,"&lt;&gt;",$D$231:$D$232,"A",AX$231:AX$232,"&lt;&gt;")=0,"",IFERROR(SUMPRODUCT(--($E$231:$E$232&lt;&gt;""),--($D$231:$D$232="A"),$O$231:$O$232,AX$231:AX$232)/SUMPRODUCT(--($E$231:$E$232&lt;&gt;""),--($D$231:$D$232="A"),$O$231:$O$232),""))</f>
        <v/>
      </c>
      <c r="AY230" s="45" t="str">
        <f t="shared" si="194"/>
        <v/>
      </c>
      <c r="AZ230" s="45" t="str">
        <f t="shared" si="194"/>
        <v/>
      </c>
      <c r="BA230" s="45" t="str">
        <f t="shared" si="194"/>
        <v/>
      </c>
      <c r="BB230" s="45" t="str">
        <f t="shared" si="194"/>
        <v/>
      </c>
      <c r="BC230" s="45" t="str">
        <f t="shared" si="194"/>
        <v/>
      </c>
      <c r="BD230" s="45" t="str">
        <f t="shared" si="194"/>
        <v/>
      </c>
      <c r="BE230" s="45" t="str">
        <f t="shared" si="194"/>
        <v/>
      </c>
      <c r="BF230" s="45" t="str">
        <f t="shared" si="194"/>
        <v/>
      </c>
      <c r="BG230" s="45" t="str">
        <f t="shared" si="194"/>
        <v/>
      </c>
      <c r="BH230" s="45" t="str">
        <f t="shared" si="194"/>
        <v/>
      </c>
      <c r="BI230" s="45" t="str">
        <f t="shared" si="194"/>
        <v/>
      </c>
      <c r="BJ230" s="45" t="str">
        <f t="shared" si="194"/>
        <v/>
      </c>
      <c r="BK230" s="45" t="str">
        <f t="shared" si="194"/>
        <v/>
      </c>
      <c r="BL230" s="45" t="str">
        <f t="shared" si="194"/>
        <v/>
      </c>
      <c r="BM230" s="45" t="str">
        <f t="shared" si="194"/>
        <v/>
      </c>
      <c r="BN230" s="45" t="str">
        <f t="shared" si="194"/>
        <v/>
      </c>
      <c r="BO230" s="45" t="str">
        <f t="shared" si="194"/>
        <v/>
      </c>
      <c r="BP230" s="45" t="str">
        <f t="shared" si="194"/>
        <v/>
      </c>
      <c r="BQ230" s="45" t="str">
        <f t="shared" si="194"/>
        <v/>
      </c>
      <c r="BR230" s="45" t="str">
        <f t="shared" si="194"/>
        <v/>
      </c>
      <c r="BS230" s="45" t="str">
        <f t="shared" si="194"/>
        <v/>
      </c>
      <c r="BT230" s="45" t="str">
        <f t="shared" si="194"/>
        <v/>
      </c>
      <c r="BU230" s="45" t="str">
        <f t="shared" si="194"/>
        <v/>
      </c>
      <c r="BV230" s="45" t="str">
        <f t="shared" si="194"/>
        <v/>
      </c>
      <c r="BW230" s="45" t="str">
        <f t="shared" si="194"/>
        <v/>
      </c>
      <c r="BX230" s="45" t="str">
        <f t="shared" si="194"/>
        <v/>
      </c>
      <c r="BY230" s="45" t="str">
        <f t="shared" si="194"/>
        <v/>
      </c>
      <c r="BZ230" s="45" t="str">
        <f t="shared" si="194"/>
        <v/>
      </c>
      <c r="CA230" s="45" t="str">
        <f t="shared" si="194"/>
        <v/>
      </c>
      <c r="CB230" s="45" t="str">
        <f t="shared" si="194"/>
        <v/>
      </c>
      <c r="CC230" s="45" t="str">
        <f t="shared" si="194"/>
        <v/>
      </c>
      <c r="CD230" s="45" t="str">
        <f t="shared" ref="CD230:CO230" si="195">IF(COUNTIFS($E$231:$E$232,"&lt;&gt;",$D$231:$D$232,"A",CD$231:CD$232,"&lt;&gt;")=0,"",IFERROR(SUMPRODUCT(--($E$231:$E$232&lt;&gt;""),--($D$231:$D$232="A"),$O$231:$O$232,CD$231:CD$232)/SUMPRODUCT(--($E$231:$E$232&lt;&gt;""),--($D$231:$D$232="A"),$O$231:$O$232),""))</f>
        <v/>
      </c>
      <c r="CE230" s="45" t="str">
        <f t="shared" si="195"/>
        <v/>
      </c>
      <c r="CF230" s="45" t="str">
        <f t="shared" si="195"/>
        <v/>
      </c>
      <c r="CG230" s="45" t="str">
        <f t="shared" si="195"/>
        <v/>
      </c>
      <c r="CH230" s="45" t="str">
        <f t="shared" si="195"/>
        <v/>
      </c>
      <c r="CI230" s="45" t="str">
        <f t="shared" si="195"/>
        <v/>
      </c>
      <c r="CJ230" s="45" t="str">
        <f t="shared" si="195"/>
        <v/>
      </c>
      <c r="CK230" s="45" t="str">
        <f t="shared" si="195"/>
        <v/>
      </c>
      <c r="CL230" s="45" t="str">
        <f t="shared" si="195"/>
        <v/>
      </c>
      <c r="CM230" s="45" t="str">
        <f t="shared" si="195"/>
        <v/>
      </c>
      <c r="CN230" s="45" t="str">
        <f t="shared" si="195"/>
        <v/>
      </c>
      <c r="CO230" s="45" t="str">
        <f t="shared" si="195"/>
        <v/>
      </c>
    </row>
    <row r="231" spans="1:93" outlineLevel="4" x14ac:dyDescent="0.25">
      <c r="A231" s="10" t="s">
        <v>116</v>
      </c>
      <c r="B231" s="10" t="s">
        <v>393</v>
      </c>
      <c r="C231" s="24" t="s">
        <v>353</v>
      </c>
      <c r="D231" s="12" t="s">
        <v>110</v>
      </c>
      <c r="E231" s="10" t="s">
        <v>394</v>
      </c>
      <c r="F231" s="10">
        <v>113</v>
      </c>
      <c r="G231" s="10">
        <v>111</v>
      </c>
      <c r="H231" s="10">
        <v>4</v>
      </c>
      <c r="I231" s="13">
        <v>46429.333333333343</v>
      </c>
      <c r="J231" s="13">
        <v>46456.666666666657</v>
      </c>
      <c r="K231" s="13"/>
      <c r="L231" s="13"/>
      <c r="M231" s="14">
        <f t="shared" si="165"/>
        <v>1</v>
      </c>
      <c r="N231" s="14"/>
      <c r="O231" s="16">
        <v>100000</v>
      </c>
      <c r="P231" s="15">
        <v>1.7333333333333329</v>
      </c>
      <c r="Q231" s="16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>
        <v>7.1428571428571425E-2</v>
      </c>
      <c r="BV231" s="47">
        <v>0.25</v>
      </c>
      <c r="BW231" s="47">
        <v>0.25</v>
      </c>
      <c r="BX231" s="47">
        <v>0.25</v>
      </c>
      <c r="BY231" s="47">
        <v>0.1785714285714286</v>
      </c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</row>
    <row r="232" spans="1:93" outlineLevel="4" x14ac:dyDescent="0.25">
      <c r="A232" s="17"/>
      <c r="B232" s="17"/>
      <c r="C232" s="25"/>
      <c r="D232" s="19" t="s">
        <v>111</v>
      </c>
      <c r="E232" s="17" t="s">
        <v>394</v>
      </c>
      <c r="F232" s="17"/>
      <c r="G232" s="17"/>
      <c r="H232" s="17"/>
      <c r="I232" s="20"/>
      <c r="J232" s="20"/>
      <c r="K232" s="20"/>
      <c r="L232" s="20"/>
      <c r="M232" s="21" t="str">
        <f t="shared" si="165"/>
        <v/>
      </c>
      <c r="N232" s="21">
        <v>0</v>
      </c>
      <c r="O232" s="48">
        <f>O231</f>
        <v>100000</v>
      </c>
      <c r="P232" s="22"/>
      <c r="Q232" s="23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</row>
    <row r="233" spans="1:93" outlineLevel="3" x14ac:dyDescent="0.25">
      <c r="A233" s="1" t="s">
        <v>92</v>
      </c>
      <c r="B233" s="1" t="s">
        <v>395</v>
      </c>
      <c r="C233" s="7" t="s">
        <v>356</v>
      </c>
      <c r="D233" s="8" t="s">
        <v>110</v>
      </c>
      <c r="E233" s="1"/>
      <c r="F233" s="1">
        <v>114</v>
      </c>
      <c r="G233" s="1">
        <v>117</v>
      </c>
      <c r="H233" s="1">
        <v>3</v>
      </c>
      <c r="I233" s="9">
        <v>46353.333333333343</v>
      </c>
      <c r="J233" s="9">
        <v>46464.666666666657</v>
      </c>
      <c r="K233" s="9"/>
      <c r="L233" s="9"/>
      <c r="M233" s="3">
        <f t="shared" si="165"/>
        <v>1</v>
      </c>
      <c r="N233" s="3"/>
      <c r="O233" s="5">
        <f>SUMIFS($O$234:$O$237,$A$234:$A$237,"Activity",$D$234:$D$237,"P")</f>
        <v>200000</v>
      </c>
      <c r="P233" s="4"/>
      <c r="Q233" s="5"/>
      <c r="R233" s="45" t="str">
        <f t="shared" ref="R233:AW233" si="196">IF(COUNTIFS($A$235:$A$238,"Activity",$D$235:$D$238,"P",R$235:R$238,"&lt;&gt;")=0,"",IFERROR(SUMPRODUCT(--($A$235:$A$238="Activity"),--($D$235:$D$238="P"),$O$235:$O$238,R$235:R$238)/SUMPRODUCT(--($A$235:$A$238="Activity"),--($D$235:$D$238="P"),$O$235:$O$238),""))</f>
        <v/>
      </c>
      <c r="S233" s="45" t="str">
        <f t="shared" si="196"/>
        <v/>
      </c>
      <c r="T233" s="45" t="str">
        <f t="shared" si="196"/>
        <v/>
      </c>
      <c r="U233" s="45" t="str">
        <f t="shared" si="196"/>
        <v/>
      </c>
      <c r="V233" s="45" t="str">
        <f t="shared" si="196"/>
        <v/>
      </c>
      <c r="W233" s="45" t="str">
        <f t="shared" si="196"/>
        <v/>
      </c>
      <c r="X233" s="45" t="str">
        <f t="shared" si="196"/>
        <v/>
      </c>
      <c r="Y233" s="45" t="str">
        <f t="shared" si="196"/>
        <v/>
      </c>
      <c r="Z233" s="45" t="str">
        <f t="shared" si="196"/>
        <v/>
      </c>
      <c r="AA233" s="45" t="str">
        <f t="shared" si="196"/>
        <v/>
      </c>
      <c r="AB233" s="45" t="str">
        <f t="shared" si="196"/>
        <v/>
      </c>
      <c r="AC233" s="45" t="str">
        <f t="shared" si="196"/>
        <v/>
      </c>
      <c r="AD233" s="45" t="str">
        <f t="shared" si="196"/>
        <v/>
      </c>
      <c r="AE233" s="45" t="str">
        <f t="shared" si="196"/>
        <v/>
      </c>
      <c r="AF233" s="45" t="str">
        <f t="shared" si="196"/>
        <v/>
      </c>
      <c r="AG233" s="45" t="str">
        <f t="shared" si="196"/>
        <v/>
      </c>
      <c r="AH233" s="45" t="str">
        <f t="shared" si="196"/>
        <v/>
      </c>
      <c r="AI233" s="45" t="str">
        <f t="shared" si="196"/>
        <v/>
      </c>
      <c r="AJ233" s="45" t="str">
        <f t="shared" si="196"/>
        <v/>
      </c>
      <c r="AK233" s="45" t="str">
        <f t="shared" si="196"/>
        <v/>
      </c>
      <c r="AL233" s="45" t="str">
        <f t="shared" si="196"/>
        <v/>
      </c>
      <c r="AM233" s="45" t="str">
        <f t="shared" si="196"/>
        <v/>
      </c>
      <c r="AN233" s="45" t="str">
        <f t="shared" si="196"/>
        <v/>
      </c>
      <c r="AO233" s="45" t="str">
        <f t="shared" si="196"/>
        <v/>
      </c>
      <c r="AP233" s="45" t="str">
        <f t="shared" si="196"/>
        <v/>
      </c>
      <c r="AQ233" s="45" t="str">
        <f t="shared" si="196"/>
        <v/>
      </c>
      <c r="AR233" s="45" t="str">
        <f t="shared" si="196"/>
        <v/>
      </c>
      <c r="AS233" s="45" t="str">
        <f t="shared" si="196"/>
        <v/>
      </c>
      <c r="AT233" s="45" t="str">
        <f t="shared" si="196"/>
        <v/>
      </c>
      <c r="AU233" s="45" t="str">
        <f t="shared" si="196"/>
        <v/>
      </c>
      <c r="AV233" s="45" t="str">
        <f t="shared" si="196"/>
        <v/>
      </c>
      <c r="AW233" s="45" t="str">
        <f t="shared" si="196"/>
        <v/>
      </c>
      <c r="AX233" s="45" t="str">
        <f t="shared" ref="AX233:CC233" si="197">IF(COUNTIFS($A$235:$A$238,"Activity",$D$235:$D$238,"P",AX$235:AX$238,"&lt;&gt;")=0,"",IFERROR(SUMPRODUCT(--($A$235:$A$238="Activity"),--($D$235:$D$238="P"),$O$235:$O$238,AX$235:AX$238)/SUMPRODUCT(--($A$235:$A$238="Activity"),--($D$235:$D$238="P"),$O$235:$O$238),""))</f>
        <v/>
      </c>
      <c r="AY233" s="45" t="str">
        <f t="shared" si="197"/>
        <v/>
      </c>
      <c r="AZ233" s="45" t="str">
        <f t="shared" si="197"/>
        <v/>
      </c>
      <c r="BA233" s="45" t="str">
        <f t="shared" si="197"/>
        <v/>
      </c>
      <c r="BB233" s="45" t="str">
        <f t="shared" si="197"/>
        <v/>
      </c>
      <c r="BC233" s="45" t="str">
        <f t="shared" si="197"/>
        <v/>
      </c>
      <c r="BD233" s="45" t="str">
        <f t="shared" si="197"/>
        <v/>
      </c>
      <c r="BE233" s="45" t="str">
        <f t="shared" si="197"/>
        <v/>
      </c>
      <c r="BF233" s="45" t="str">
        <f t="shared" si="197"/>
        <v/>
      </c>
      <c r="BG233" s="45" t="str">
        <f t="shared" si="197"/>
        <v/>
      </c>
      <c r="BH233" s="45" t="str">
        <f t="shared" si="197"/>
        <v/>
      </c>
      <c r="BI233" s="45" t="str">
        <f t="shared" si="197"/>
        <v/>
      </c>
      <c r="BJ233" s="45">
        <f t="shared" si="197"/>
        <v>1.004378917077123E-3</v>
      </c>
      <c r="BK233" s="45">
        <f t="shared" si="197"/>
        <v>1.7814835632973324E-2</v>
      </c>
      <c r="BL233" s="45">
        <f t="shared" si="197"/>
        <v>3.6714510873244163E-2</v>
      </c>
      <c r="BM233" s="45">
        <f t="shared" si="197"/>
        <v>6.1540838443983802E-2</v>
      </c>
      <c r="BN233" s="45">
        <f t="shared" si="197"/>
        <v>8.3899390558818079E-2</v>
      </c>
      <c r="BO233" s="45">
        <f t="shared" si="197"/>
        <v>9.3030196562421383E-2</v>
      </c>
      <c r="BP233" s="45">
        <f t="shared" si="197"/>
        <v>8.3899390558818079E-2</v>
      </c>
      <c r="BQ233" s="45">
        <f t="shared" si="197"/>
        <v>6.1540838443983802E-2</v>
      </c>
      <c r="BR233" s="45">
        <f t="shared" si="197"/>
        <v>3.6714510873244163E-2</v>
      </c>
      <c r="BS233" s="45">
        <f t="shared" si="197"/>
        <v>1.7814835632973324E-2</v>
      </c>
      <c r="BT233" s="45">
        <f t="shared" si="197"/>
        <v>1.7931035407224502E-2</v>
      </c>
      <c r="BU233" s="45">
        <f t="shared" si="197"/>
        <v>8.3333333333333356E-2</v>
      </c>
      <c r="BV233" s="45">
        <f t="shared" si="197"/>
        <v>8.3333333333333356E-2</v>
      </c>
      <c r="BW233" s="45">
        <f t="shared" si="197"/>
        <v>8.3333333333333356E-2</v>
      </c>
      <c r="BX233" s="45">
        <f t="shared" si="197"/>
        <v>8.3333333333333356E-2</v>
      </c>
      <c r="BY233" s="45">
        <f t="shared" si="197"/>
        <v>8.3333333333333356E-2</v>
      </c>
      <c r="BZ233" s="45">
        <f t="shared" si="197"/>
        <v>7.1428571428571494E-2</v>
      </c>
      <c r="CA233" s="45" t="str">
        <f t="shared" si="197"/>
        <v/>
      </c>
      <c r="CB233" s="45" t="str">
        <f t="shared" si="197"/>
        <v/>
      </c>
      <c r="CC233" s="45" t="str">
        <f t="shared" si="197"/>
        <v/>
      </c>
      <c r="CD233" s="45" t="str">
        <f t="shared" ref="CD233:CO233" si="198">IF(COUNTIFS($A$235:$A$238,"Activity",$D$235:$D$238,"P",CD$235:CD$238,"&lt;&gt;")=0,"",IFERROR(SUMPRODUCT(--($A$235:$A$238="Activity"),--($D$235:$D$238="P"),$O$235:$O$238,CD$235:CD$238)/SUMPRODUCT(--($A$235:$A$238="Activity"),--($D$235:$D$238="P"),$O$235:$O$238),""))</f>
        <v/>
      </c>
      <c r="CE233" s="45" t="str">
        <f t="shared" si="198"/>
        <v/>
      </c>
      <c r="CF233" s="45" t="str">
        <f t="shared" si="198"/>
        <v/>
      </c>
      <c r="CG233" s="45" t="str">
        <f t="shared" si="198"/>
        <v/>
      </c>
      <c r="CH233" s="45" t="str">
        <f t="shared" si="198"/>
        <v/>
      </c>
      <c r="CI233" s="45" t="str">
        <f t="shared" si="198"/>
        <v/>
      </c>
      <c r="CJ233" s="45" t="str">
        <f t="shared" si="198"/>
        <v/>
      </c>
      <c r="CK233" s="45" t="str">
        <f t="shared" si="198"/>
        <v/>
      </c>
      <c r="CL233" s="45" t="str">
        <f t="shared" si="198"/>
        <v/>
      </c>
      <c r="CM233" s="45" t="str">
        <f t="shared" si="198"/>
        <v/>
      </c>
      <c r="CN233" s="45" t="str">
        <f t="shared" si="198"/>
        <v/>
      </c>
      <c r="CO233" s="45" t="str">
        <f t="shared" si="198"/>
        <v/>
      </c>
    </row>
    <row r="234" spans="1:93" outlineLevel="3" x14ac:dyDescent="0.25">
      <c r="A234" s="1"/>
      <c r="B234" s="1"/>
      <c r="C234" s="7"/>
      <c r="D234" s="8" t="s">
        <v>111</v>
      </c>
      <c r="E234" s="1"/>
      <c r="F234" s="1"/>
      <c r="G234" s="1"/>
      <c r="H234" s="1"/>
      <c r="I234" s="9"/>
      <c r="J234" s="9"/>
      <c r="K234" s="9"/>
      <c r="L234" s="9"/>
      <c r="M234" s="3" t="str">
        <f t="shared" si="165"/>
        <v/>
      </c>
      <c r="N234" s="3"/>
      <c r="O234" s="46">
        <f>O233</f>
        <v>200000</v>
      </c>
      <c r="P234" s="4"/>
      <c r="Q234" s="5"/>
      <c r="R234" s="45" t="str">
        <f t="shared" ref="R234:AW234" si="199">IF(COUNTIFS($E$235:$E$238,"&lt;&gt;",$D$235:$D$238,"A",R$235:R$238,"&lt;&gt;")=0,"",IFERROR(SUMPRODUCT(--($E$235:$E$238&lt;&gt;""),--($D$235:$D$238="A"),$O$235:$O$238,R$235:R$238)/SUMPRODUCT(--($E$235:$E$238&lt;&gt;""),--($D$235:$D$238="A"),$O$235:$O$238),""))</f>
        <v/>
      </c>
      <c r="S234" s="45" t="str">
        <f t="shared" si="199"/>
        <v/>
      </c>
      <c r="T234" s="45" t="str">
        <f t="shared" si="199"/>
        <v/>
      </c>
      <c r="U234" s="45" t="str">
        <f t="shared" si="199"/>
        <v/>
      </c>
      <c r="V234" s="45" t="str">
        <f t="shared" si="199"/>
        <v/>
      </c>
      <c r="W234" s="45" t="str">
        <f t="shared" si="199"/>
        <v/>
      </c>
      <c r="X234" s="45" t="str">
        <f t="shared" si="199"/>
        <v/>
      </c>
      <c r="Y234" s="45" t="str">
        <f t="shared" si="199"/>
        <v/>
      </c>
      <c r="Z234" s="45" t="str">
        <f t="shared" si="199"/>
        <v/>
      </c>
      <c r="AA234" s="45" t="str">
        <f t="shared" si="199"/>
        <v/>
      </c>
      <c r="AB234" s="45" t="str">
        <f t="shared" si="199"/>
        <v/>
      </c>
      <c r="AC234" s="45" t="str">
        <f t="shared" si="199"/>
        <v/>
      </c>
      <c r="AD234" s="45" t="str">
        <f t="shared" si="199"/>
        <v/>
      </c>
      <c r="AE234" s="45" t="str">
        <f t="shared" si="199"/>
        <v/>
      </c>
      <c r="AF234" s="45" t="str">
        <f t="shared" si="199"/>
        <v/>
      </c>
      <c r="AG234" s="45" t="str">
        <f t="shared" si="199"/>
        <v/>
      </c>
      <c r="AH234" s="45" t="str">
        <f t="shared" si="199"/>
        <v/>
      </c>
      <c r="AI234" s="45" t="str">
        <f t="shared" si="199"/>
        <v/>
      </c>
      <c r="AJ234" s="45" t="str">
        <f t="shared" si="199"/>
        <v/>
      </c>
      <c r="AK234" s="45" t="str">
        <f t="shared" si="199"/>
        <v/>
      </c>
      <c r="AL234" s="45" t="str">
        <f t="shared" si="199"/>
        <v/>
      </c>
      <c r="AM234" s="45" t="str">
        <f t="shared" si="199"/>
        <v/>
      </c>
      <c r="AN234" s="45" t="str">
        <f t="shared" si="199"/>
        <v/>
      </c>
      <c r="AO234" s="45" t="str">
        <f t="shared" si="199"/>
        <v/>
      </c>
      <c r="AP234" s="45" t="str">
        <f t="shared" si="199"/>
        <v/>
      </c>
      <c r="AQ234" s="45" t="str">
        <f t="shared" si="199"/>
        <v/>
      </c>
      <c r="AR234" s="45" t="str">
        <f t="shared" si="199"/>
        <v/>
      </c>
      <c r="AS234" s="45" t="str">
        <f t="shared" si="199"/>
        <v/>
      </c>
      <c r="AT234" s="45" t="str">
        <f t="shared" si="199"/>
        <v/>
      </c>
      <c r="AU234" s="45" t="str">
        <f t="shared" si="199"/>
        <v/>
      </c>
      <c r="AV234" s="45" t="str">
        <f t="shared" si="199"/>
        <v/>
      </c>
      <c r="AW234" s="45" t="str">
        <f t="shared" si="199"/>
        <v/>
      </c>
      <c r="AX234" s="45" t="str">
        <f t="shared" ref="AX234:CC234" si="200">IF(COUNTIFS($E$235:$E$238,"&lt;&gt;",$D$235:$D$238,"A",AX$235:AX$238,"&lt;&gt;")=0,"",IFERROR(SUMPRODUCT(--($E$235:$E$238&lt;&gt;""),--($D$235:$D$238="A"),$O$235:$O$238,AX$235:AX$238)/SUMPRODUCT(--($E$235:$E$238&lt;&gt;""),--($D$235:$D$238="A"),$O$235:$O$238),""))</f>
        <v/>
      </c>
      <c r="AY234" s="45" t="str">
        <f t="shared" si="200"/>
        <v/>
      </c>
      <c r="AZ234" s="45" t="str">
        <f t="shared" si="200"/>
        <v/>
      </c>
      <c r="BA234" s="45" t="str">
        <f t="shared" si="200"/>
        <v/>
      </c>
      <c r="BB234" s="45" t="str">
        <f t="shared" si="200"/>
        <v/>
      </c>
      <c r="BC234" s="45" t="str">
        <f t="shared" si="200"/>
        <v/>
      </c>
      <c r="BD234" s="45" t="str">
        <f t="shared" si="200"/>
        <v/>
      </c>
      <c r="BE234" s="45" t="str">
        <f t="shared" si="200"/>
        <v/>
      </c>
      <c r="BF234" s="45" t="str">
        <f t="shared" si="200"/>
        <v/>
      </c>
      <c r="BG234" s="45" t="str">
        <f t="shared" si="200"/>
        <v/>
      </c>
      <c r="BH234" s="45" t="str">
        <f t="shared" si="200"/>
        <v/>
      </c>
      <c r="BI234" s="45" t="str">
        <f t="shared" si="200"/>
        <v/>
      </c>
      <c r="BJ234" s="45" t="str">
        <f t="shared" si="200"/>
        <v/>
      </c>
      <c r="BK234" s="45" t="str">
        <f t="shared" si="200"/>
        <v/>
      </c>
      <c r="BL234" s="45" t="str">
        <f t="shared" si="200"/>
        <v/>
      </c>
      <c r="BM234" s="45" t="str">
        <f t="shared" si="200"/>
        <v/>
      </c>
      <c r="BN234" s="45" t="str">
        <f t="shared" si="200"/>
        <v/>
      </c>
      <c r="BO234" s="45" t="str">
        <f t="shared" si="200"/>
        <v/>
      </c>
      <c r="BP234" s="45" t="str">
        <f t="shared" si="200"/>
        <v/>
      </c>
      <c r="BQ234" s="45" t="str">
        <f t="shared" si="200"/>
        <v/>
      </c>
      <c r="BR234" s="45" t="str">
        <f t="shared" si="200"/>
        <v/>
      </c>
      <c r="BS234" s="45" t="str">
        <f t="shared" si="200"/>
        <v/>
      </c>
      <c r="BT234" s="45" t="str">
        <f t="shared" si="200"/>
        <v/>
      </c>
      <c r="BU234" s="45" t="str">
        <f t="shared" si="200"/>
        <v/>
      </c>
      <c r="BV234" s="45" t="str">
        <f t="shared" si="200"/>
        <v/>
      </c>
      <c r="BW234" s="45" t="str">
        <f t="shared" si="200"/>
        <v/>
      </c>
      <c r="BX234" s="45" t="str">
        <f t="shared" si="200"/>
        <v/>
      </c>
      <c r="BY234" s="45" t="str">
        <f t="shared" si="200"/>
        <v/>
      </c>
      <c r="BZ234" s="45" t="str">
        <f t="shared" si="200"/>
        <v/>
      </c>
      <c r="CA234" s="45" t="str">
        <f t="shared" si="200"/>
        <v/>
      </c>
      <c r="CB234" s="45" t="str">
        <f t="shared" si="200"/>
        <v/>
      </c>
      <c r="CC234" s="45" t="str">
        <f t="shared" si="200"/>
        <v/>
      </c>
      <c r="CD234" s="45" t="str">
        <f t="shared" ref="CD234:CO234" si="201">IF(COUNTIFS($E$235:$E$238,"&lt;&gt;",$D$235:$D$238,"A",CD$235:CD$238,"&lt;&gt;")=0,"",IFERROR(SUMPRODUCT(--($E$235:$E$238&lt;&gt;""),--($D$235:$D$238="A"),$O$235:$O$238,CD$235:CD$238)/SUMPRODUCT(--($E$235:$E$238&lt;&gt;""),--($D$235:$D$238="A"),$O$235:$O$238),""))</f>
        <v/>
      </c>
      <c r="CE234" s="45" t="str">
        <f t="shared" si="201"/>
        <v/>
      </c>
      <c r="CF234" s="45" t="str">
        <f t="shared" si="201"/>
        <v/>
      </c>
      <c r="CG234" s="45" t="str">
        <f t="shared" si="201"/>
        <v/>
      </c>
      <c r="CH234" s="45" t="str">
        <f t="shared" si="201"/>
        <v/>
      </c>
      <c r="CI234" s="45" t="str">
        <f t="shared" si="201"/>
        <v/>
      </c>
      <c r="CJ234" s="45" t="str">
        <f t="shared" si="201"/>
        <v/>
      </c>
      <c r="CK234" s="45" t="str">
        <f t="shared" si="201"/>
        <v/>
      </c>
      <c r="CL234" s="45" t="str">
        <f t="shared" si="201"/>
        <v/>
      </c>
      <c r="CM234" s="45" t="str">
        <f t="shared" si="201"/>
        <v/>
      </c>
      <c r="CN234" s="45" t="str">
        <f t="shared" si="201"/>
        <v/>
      </c>
      <c r="CO234" s="45" t="str">
        <f t="shared" si="201"/>
        <v/>
      </c>
    </row>
    <row r="235" spans="1:93" outlineLevel="4" x14ac:dyDescent="0.25">
      <c r="A235" s="10" t="s">
        <v>116</v>
      </c>
      <c r="B235" s="10" t="s">
        <v>396</v>
      </c>
      <c r="C235" s="24" t="s">
        <v>358</v>
      </c>
      <c r="D235" s="12" t="s">
        <v>110</v>
      </c>
      <c r="E235" s="10" t="s">
        <v>397</v>
      </c>
      <c r="F235" s="10">
        <v>115</v>
      </c>
      <c r="G235" s="10">
        <v>118</v>
      </c>
      <c r="H235" s="10">
        <v>4</v>
      </c>
      <c r="I235" s="13">
        <v>46353.333333333343</v>
      </c>
      <c r="J235" s="13">
        <v>46422.666666666657</v>
      </c>
      <c r="K235" s="13"/>
      <c r="L235" s="13"/>
      <c r="M235" s="14">
        <f t="shared" si="165"/>
        <v>0.99999999999999967</v>
      </c>
      <c r="N235" s="14"/>
      <c r="O235" s="16">
        <v>100000</v>
      </c>
      <c r="P235" s="15">
        <v>6.9333333333333336</v>
      </c>
      <c r="Q235" s="16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>
        <v>2.008757834154246E-3</v>
      </c>
      <c r="BK235" s="47">
        <v>3.5629671265946648E-2</v>
      </c>
      <c r="BL235" s="47">
        <v>7.3429021746488327E-2</v>
      </c>
      <c r="BM235" s="47">
        <v>0.1230816768879676</v>
      </c>
      <c r="BN235" s="47">
        <v>0.16779878111763619</v>
      </c>
      <c r="BO235" s="47">
        <v>0.18606039312484279</v>
      </c>
      <c r="BP235" s="47">
        <v>0.16779878111763619</v>
      </c>
      <c r="BQ235" s="47">
        <v>0.1230816768879676</v>
      </c>
      <c r="BR235" s="47">
        <v>7.3429021746488327E-2</v>
      </c>
      <c r="BS235" s="47">
        <v>3.5629671265946648E-2</v>
      </c>
      <c r="BT235" s="47">
        <v>1.2052547004925199E-2</v>
      </c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</row>
    <row r="236" spans="1:93" outlineLevel="4" x14ac:dyDescent="0.25">
      <c r="A236" s="17"/>
      <c r="B236" s="17"/>
      <c r="C236" s="25"/>
      <c r="D236" s="19" t="s">
        <v>111</v>
      </c>
      <c r="E236" s="17" t="s">
        <v>397</v>
      </c>
      <c r="F236" s="17"/>
      <c r="G236" s="17"/>
      <c r="H236" s="17"/>
      <c r="I236" s="20"/>
      <c r="J236" s="20"/>
      <c r="K236" s="20"/>
      <c r="L236" s="20"/>
      <c r="M236" s="21" t="str">
        <f t="shared" si="165"/>
        <v/>
      </c>
      <c r="N236" s="21">
        <v>0</v>
      </c>
      <c r="O236" s="48">
        <f>O235</f>
        <v>100000</v>
      </c>
      <c r="P236" s="22"/>
      <c r="Q236" s="23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</row>
    <row r="237" spans="1:93" outlineLevel="4" x14ac:dyDescent="0.25">
      <c r="A237" s="10" t="s">
        <v>116</v>
      </c>
      <c r="B237" s="10" t="s">
        <v>398</v>
      </c>
      <c r="C237" s="24" t="s">
        <v>361</v>
      </c>
      <c r="D237" s="12" t="s">
        <v>110</v>
      </c>
      <c r="E237" s="10" t="s">
        <v>399</v>
      </c>
      <c r="F237" s="10">
        <v>116</v>
      </c>
      <c r="G237" s="10">
        <v>119</v>
      </c>
      <c r="H237" s="10">
        <v>4</v>
      </c>
      <c r="I237" s="13">
        <v>46423.333333333343</v>
      </c>
      <c r="J237" s="13">
        <v>46464.666666666657</v>
      </c>
      <c r="K237" s="13"/>
      <c r="L237" s="13"/>
      <c r="M237" s="14">
        <f t="shared" si="165"/>
        <v>1.0000000000000004</v>
      </c>
      <c r="N237" s="14"/>
      <c r="O237" s="16">
        <v>100000</v>
      </c>
      <c r="P237" s="15">
        <v>6.9333333333333336</v>
      </c>
      <c r="Q237" s="16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>
        <v>2.3809523809523801E-2</v>
      </c>
      <c r="BU237" s="47">
        <v>0.16666666666666671</v>
      </c>
      <c r="BV237" s="47">
        <v>0.16666666666666671</v>
      </c>
      <c r="BW237" s="47">
        <v>0.16666666666666671</v>
      </c>
      <c r="BX237" s="47">
        <v>0.16666666666666671</v>
      </c>
      <c r="BY237" s="47">
        <v>0.16666666666666671</v>
      </c>
      <c r="BZ237" s="47">
        <v>0.14285714285714299</v>
      </c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</row>
    <row r="238" spans="1:93" outlineLevel="4" x14ac:dyDescent="0.25">
      <c r="A238" s="17"/>
      <c r="B238" s="17"/>
      <c r="C238" s="25"/>
      <c r="D238" s="19" t="s">
        <v>111</v>
      </c>
      <c r="E238" s="17" t="s">
        <v>399</v>
      </c>
      <c r="F238" s="17"/>
      <c r="G238" s="17"/>
      <c r="H238" s="17"/>
      <c r="I238" s="20"/>
      <c r="J238" s="20"/>
      <c r="K238" s="20"/>
      <c r="L238" s="20"/>
      <c r="M238" s="21" t="str">
        <f t="shared" si="165"/>
        <v/>
      </c>
      <c r="N238" s="21">
        <v>0</v>
      </c>
      <c r="O238" s="48">
        <f>O237</f>
        <v>100000</v>
      </c>
      <c r="P238" s="22"/>
      <c r="Q238" s="23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</row>
    <row r="239" spans="1:93" outlineLevel="2" x14ac:dyDescent="0.25">
      <c r="A239" s="1" t="s">
        <v>92</v>
      </c>
      <c r="B239" s="1" t="s">
        <v>400</v>
      </c>
      <c r="C239" s="6" t="s">
        <v>129</v>
      </c>
      <c r="D239" s="8" t="s">
        <v>110</v>
      </c>
      <c r="E239" s="1"/>
      <c r="F239" s="1">
        <v>117</v>
      </c>
      <c r="G239" s="1">
        <v>120</v>
      </c>
      <c r="H239" s="1">
        <v>2</v>
      </c>
      <c r="I239" s="9">
        <v>46353.333333333343</v>
      </c>
      <c r="J239" s="9">
        <v>46520.666666666657</v>
      </c>
      <c r="K239" s="9"/>
      <c r="L239" s="9"/>
      <c r="M239" s="3">
        <f t="shared" si="165"/>
        <v>0.99999999999999967</v>
      </c>
      <c r="N239" s="3"/>
      <c r="O239" s="5">
        <f>SUMIFS($O$240:$O$273,$A$240:$A$273,"Activity",$D$240:$D$273,"P")</f>
        <v>1200000</v>
      </c>
      <c r="P239" s="4"/>
      <c r="Q239" s="5"/>
      <c r="R239" s="45" t="str">
        <f t="shared" ref="R239:AW239" si="202">IF(COUNTIFS($A$241:$A$274,"Activity",$D$241:$D$274,"P",R$241:R$274,"&lt;&gt;")=0,"",IFERROR(SUMPRODUCT(--($A$241:$A$274="Activity"),--($D$241:$D$274="P"),$O$241:$O$274,R$241:R$274)/SUMPRODUCT(--($A$241:$A$274="Activity"),--($D$241:$D$274="P"),$O$241:$O$274),""))</f>
        <v/>
      </c>
      <c r="S239" s="45" t="str">
        <f t="shared" si="202"/>
        <v/>
      </c>
      <c r="T239" s="45" t="str">
        <f t="shared" si="202"/>
        <v/>
      </c>
      <c r="U239" s="45" t="str">
        <f t="shared" si="202"/>
        <v/>
      </c>
      <c r="V239" s="45" t="str">
        <f t="shared" si="202"/>
        <v/>
      </c>
      <c r="W239" s="45" t="str">
        <f t="shared" si="202"/>
        <v/>
      </c>
      <c r="X239" s="45" t="str">
        <f t="shared" si="202"/>
        <v/>
      </c>
      <c r="Y239" s="45" t="str">
        <f t="shared" si="202"/>
        <v/>
      </c>
      <c r="Z239" s="45" t="str">
        <f t="shared" si="202"/>
        <v/>
      </c>
      <c r="AA239" s="45" t="str">
        <f t="shared" si="202"/>
        <v/>
      </c>
      <c r="AB239" s="45" t="str">
        <f t="shared" si="202"/>
        <v/>
      </c>
      <c r="AC239" s="45" t="str">
        <f t="shared" si="202"/>
        <v/>
      </c>
      <c r="AD239" s="45" t="str">
        <f t="shared" si="202"/>
        <v/>
      </c>
      <c r="AE239" s="45" t="str">
        <f t="shared" si="202"/>
        <v/>
      </c>
      <c r="AF239" s="45" t="str">
        <f t="shared" si="202"/>
        <v/>
      </c>
      <c r="AG239" s="45" t="str">
        <f t="shared" si="202"/>
        <v/>
      </c>
      <c r="AH239" s="45" t="str">
        <f t="shared" si="202"/>
        <v/>
      </c>
      <c r="AI239" s="45" t="str">
        <f t="shared" si="202"/>
        <v/>
      </c>
      <c r="AJ239" s="45" t="str">
        <f t="shared" si="202"/>
        <v/>
      </c>
      <c r="AK239" s="45" t="str">
        <f t="shared" si="202"/>
        <v/>
      </c>
      <c r="AL239" s="45" t="str">
        <f t="shared" si="202"/>
        <v/>
      </c>
      <c r="AM239" s="45" t="str">
        <f t="shared" si="202"/>
        <v/>
      </c>
      <c r="AN239" s="45" t="str">
        <f t="shared" si="202"/>
        <v/>
      </c>
      <c r="AO239" s="45" t="str">
        <f t="shared" si="202"/>
        <v/>
      </c>
      <c r="AP239" s="45" t="str">
        <f t="shared" si="202"/>
        <v/>
      </c>
      <c r="AQ239" s="45" t="str">
        <f t="shared" si="202"/>
        <v/>
      </c>
      <c r="AR239" s="45" t="str">
        <f t="shared" si="202"/>
        <v/>
      </c>
      <c r="AS239" s="45" t="str">
        <f t="shared" si="202"/>
        <v/>
      </c>
      <c r="AT239" s="45" t="str">
        <f t="shared" si="202"/>
        <v/>
      </c>
      <c r="AU239" s="45" t="str">
        <f t="shared" si="202"/>
        <v/>
      </c>
      <c r="AV239" s="45" t="str">
        <f t="shared" si="202"/>
        <v/>
      </c>
      <c r="AW239" s="45" t="str">
        <f t="shared" si="202"/>
        <v/>
      </c>
      <c r="AX239" s="45" t="str">
        <f t="shared" ref="AX239:CC239" si="203">IF(COUNTIFS($A$241:$A$274,"Activity",$D$241:$D$274,"P",AX$241:AX$274,"&lt;&gt;")=0,"",IFERROR(SUMPRODUCT(--($A$241:$A$274="Activity"),--($D$241:$D$274="P"),$O$241:$O$274,AX$241:AX$274)/SUMPRODUCT(--($A$241:$A$274="Activity"),--($D$241:$D$274="P"),$O$241:$O$274),""))</f>
        <v/>
      </c>
      <c r="AY239" s="45" t="str">
        <f t="shared" si="203"/>
        <v/>
      </c>
      <c r="AZ239" s="45" t="str">
        <f t="shared" si="203"/>
        <v/>
      </c>
      <c r="BA239" s="45" t="str">
        <f t="shared" si="203"/>
        <v/>
      </c>
      <c r="BB239" s="45" t="str">
        <f t="shared" si="203"/>
        <v/>
      </c>
      <c r="BC239" s="45" t="str">
        <f t="shared" si="203"/>
        <v/>
      </c>
      <c r="BD239" s="45" t="str">
        <f t="shared" si="203"/>
        <v/>
      </c>
      <c r="BE239" s="45" t="str">
        <f t="shared" si="203"/>
        <v/>
      </c>
      <c r="BF239" s="45" t="str">
        <f t="shared" si="203"/>
        <v/>
      </c>
      <c r="BG239" s="45" t="str">
        <f t="shared" si="203"/>
        <v/>
      </c>
      <c r="BH239" s="45" t="str">
        <f t="shared" si="203"/>
        <v/>
      </c>
      <c r="BI239" s="45" t="str">
        <f t="shared" si="203"/>
        <v/>
      </c>
      <c r="BJ239" s="45">
        <f t="shared" si="203"/>
        <v>3.9682539682539689E-3</v>
      </c>
      <c r="BK239" s="45">
        <f t="shared" si="203"/>
        <v>2.7777777777777773E-2</v>
      </c>
      <c r="BL239" s="45">
        <f t="shared" si="203"/>
        <v>2.7777777777777773E-2</v>
      </c>
      <c r="BM239" s="45">
        <f t="shared" si="203"/>
        <v>2.7777777777777787E-2</v>
      </c>
      <c r="BN239" s="45">
        <f t="shared" si="203"/>
        <v>2.7777777777777773E-2</v>
      </c>
      <c r="BO239" s="45">
        <f t="shared" si="203"/>
        <v>2.7777777777777773E-2</v>
      </c>
      <c r="BP239" s="45">
        <f t="shared" si="203"/>
        <v>4.3970815289598335E-2</v>
      </c>
      <c r="BQ239" s="45">
        <f t="shared" si="203"/>
        <v>5.3182814485837435E-2</v>
      </c>
      <c r="BR239" s="45">
        <f t="shared" si="203"/>
        <v>5.6332760359215903E-2</v>
      </c>
      <c r="BS239" s="45">
        <f t="shared" si="203"/>
        <v>5.9478418128942355E-2</v>
      </c>
      <c r="BT239" s="45">
        <f t="shared" si="203"/>
        <v>5.0842206118777385E-2</v>
      </c>
      <c r="BU239" s="45">
        <f t="shared" si="203"/>
        <v>5.877426352963435E-2</v>
      </c>
      <c r="BV239" s="45">
        <f t="shared" si="203"/>
        <v>5.72524625290338E-2</v>
      </c>
      <c r="BW239" s="45">
        <f t="shared" si="203"/>
        <v>5.0549846700370923E-2</v>
      </c>
      <c r="BX239" s="45">
        <f t="shared" si="203"/>
        <v>4.0841307367762904E-2</v>
      </c>
      <c r="BY239" s="45">
        <f t="shared" si="203"/>
        <v>5.1580250383273338E-2</v>
      </c>
      <c r="BZ239" s="45">
        <f t="shared" si="203"/>
        <v>2.4422298716575846E-2</v>
      </c>
      <c r="CA239" s="45">
        <f t="shared" si="203"/>
        <v>4.1118421052631575E-2</v>
      </c>
      <c r="CB239" s="45">
        <f t="shared" si="203"/>
        <v>4.1118421052631582E-2</v>
      </c>
      <c r="CC239" s="45">
        <f t="shared" si="203"/>
        <v>1.0416666666666666E-2</v>
      </c>
      <c r="CD239" s="45">
        <f t="shared" ref="CD239:CO239" si="204">IF(COUNTIFS($A$241:$A$274,"Activity",$D$241:$D$274,"P",CD$241:CD$274,"&lt;&gt;")=0,"",IFERROR(SUMPRODUCT(--($A$241:$A$274="Activity"),--($D$241:$D$274="P"),$O$241:$O$274,CD$241:CD$274)/SUMPRODUCT(--($A$241:$A$274="Activity"),--($D$241:$D$274="P"),$O$241:$O$274),""))</f>
        <v>1.0416666666666666E-2</v>
      </c>
      <c r="CE239" s="45">
        <f t="shared" si="204"/>
        <v>2.0337301587301588E-2</v>
      </c>
      <c r="CF239" s="45">
        <f t="shared" si="204"/>
        <v>7.9861111111111091E-2</v>
      </c>
      <c r="CG239" s="45">
        <f t="shared" si="204"/>
        <v>7.390873015873016E-2</v>
      </c>
      <c r="CH239" s="45">
        <f t="shared" si="204"/>
        <v>3.2738095238095254E-2</v>
      </c>
      <c r="CI239" s="45" t="str">
        <f t="shared" si="204"/>
        <v/>
      </c>
      <c r="CJ239" s="45" t="str">
        <f t="shared" si="204"/>
        <v/>
      </c>
      <c r="CK239" s="45" t="str">
        <f t="shared" si="204"/>
        <v/>
      </c>
      <c r="CL239" s="45" t="str">
        <f t="shared" si="204"/>
        <v/>
      </c>
      <c r="CM239" s="45" t="str">
        <f t="shared" si="204"/>
        <v/>
      </c>
      <c r="CN239" s="45" t="str">
        <f t="shared" si="204"/>
        <v/>
      </c>
      <c r="CO239" s="45" t="str">
        <f t="shared" si="204"/>
        <v/>
      </c>
    </row>
    <row r="240" spans="1:93" outlineLevel="2" x14ac:dyDescent="0.25">
      <c r="A240" s="1"/>
      <c r="B240" s="1"/>
      <c r="C240" s="6"/>
      <c r="D240" s="8" t="s">
        <v>111</v>
      </c>
      <c r="E240" s="1"/>
      <c r="F240" s="1"/>
      <c r="G240" s="1"/>
      <c r="H240" s="1"/>
      <c r="I240" s="9"/>
      <c r="J240" s="9"/>
      <c r="K240" s="9"/>
      <c r="L240" s="9"/>
      <c r="M240" s="3" t="str">
        <f t="shared" si="165"/>
        <v/>
      </c>
      <c r="N240" s="3"/>
      <c r="O240" s="46">
        <f>O239</f>
        <v>1200000</v>
      </c>
      <c r="P240" s="4"/>
      <c r="Q240" s="5"/>
      <c r="R240" s="45" t="str">
        <f t="shared" ref="R240:AW240" si="205">IF(COUNTIFS($E$241:$E$274,"&lt;&gt;",$D$241:$D$274,"A",R$241:R$274,"&lt;&gt;")=0,"",IFERROR(SUMPRODUCT(--($E$241:$E$274&lt;&gt;""),--($D$241:$D$274="A"),$O$241:$O$274,R$241:R$274)/SUMPRODUCT(--($E$241:$E$274&lt;&gt;""),--($D$241:$D$274="A"),$O$241:$O$274),""))</f>
        <v/>
      </c>
      <c r="S240" s="45" t="str">
        <f t="shared" si="205"/>
        <v/>
      </c>
      <c r="T240" s="45" t="str">
        <f t="shared" si="205"/>
        <v/>
      </c>
      <c r="U240" s="45" t="str">
        <f t="shared" si="205"/>
        <v/>
      </c>
      <c r="V240" s="45" t="str">
        <f t="shared" si="205"/>
        <v/>
      </c>
      <c r="W240" s="45" t="str">
        <f t="shared" si="205"/>
        <v/>
      </c>
      <c r="X240" s="45" t="str">
        <f t="shared" si="205"/>
        <v/>
      </c>
      <c r="Y240" s="45" t="str">
        <f t="shared" si="205"/>
        <v/>
      </c>
      <c r="Z240" s="45" t="str">
        <f t="shared" si="205"/>
        <v/>
      </c>
      <c r="AA240" s="45" t="str">
        <f t="shared" si="205"/>
        <v/>
      </c>
      <c r="AB240" s="45" t="str">
        <f t="shared" si="205"/>
        <v/>
      </c>
      <c r="AC240" s="45" t="str">
        <f t="shared" si="205"/>
        <v/>
      </c>
      <c r="AD240" s="45" t="str">
        <f t="shared" si="205"/>
        <v/>
      </c>
      <c r="AE240" s="45" t="str">
        <f t="shared" si="205"/>
        <v/>
      </c>
      <c r="AF240" s="45" t="str">
        <f t="shared" si="205"/>
        <v/>
      </c>
      <c r="AG240" s="45" t="str">
        <f t="shared" si="205"/>
        <v/>
      </c>
      <c r="AH240" s="45" t="str">
        <f t="shared" si="205"/>
        <v/>
      </c>
      <c r="AI240" s="45" t="str">
        <f t="shared" si="205"/>
        <v/>
      </c>
      <c r="AJ240" s="45" t="str">
        <f t="shared" si="205"/>
        <v/>
      </c>
      <c r="AK240" s="45" t="str">
        <f t="shared" si="205"/>
        <v/>
      </c>
      <c r="AL240" s="45" t="str">
        <f t="shared" si="205"/>
        <v/>
      </c>
      <c r="AM240" s="45" t="str">
        <f t="shared" si="205"/>
        <v/>
      </c>
      <c r="AN240" s="45" t="str">
        <f t="shared" si="205"/>
        <v/>
      </c>
      <c r="AO240" s="45" t="str">
        <f t="shared" si="205"/>
        <v/>
      </c>
      <c r="AP240" s="45" t="str">
        <f t="shared" si="205"/>
        <v/>
      </c>
      <c r="AQ240" s="45" t="str">
        <f t="shared" si="205"/>
        <v/>
      </c>
      <c r="AR240" s="45" t="str">
        <f t="shared" si="205"/>
        <v/>
      </c>
      <c r="AS240" s="45" t="str">
        <f t="shared" si="205"/>
        <v/>
      </c>
      <c r="AT240" s="45" t="str">
        <f t="shared" si="205"/>
        <v/>
      </c>
      <c r="AU240" s="45" t="str">
        <f t="shared" si="205"/>
        <v/>
      </c>
      <c r="AV240" s="45" t="str">
        <f t="shared" si="205"/>
        <v/>
      </c>
      <c r="AW240" s="45" t="str">
        <f t="shared" si="205"/>
        <v/>
      </c>
      <c r="AX240" s="45" t="str">
        <f t="shared" ref="AX240:CC240" si="206">IF(COUNTIFS($E$241:$E$274,"&lt;&gt;",$D$241:$D$274,"A",AX$241:AX$274,"&lt;&gt;")=0,"",IFERROR(SUMPRODUCT(--($E$241:$E$274&lt;&gt;""),--($D$241:$D$274="A"),$O$241:$O$274,AX$241:AX$274)/SUMPRODUCT(--($E$241:$E$274&lt;&gt;""),--($D$241:$D$274="A"),$O$241:$O$274),""))</f>
        <v/>
      </c>
      <c r="AY240" s="45" t="str">
        <f t="shared" si="206"/>
        <v/>
      </c>
      <c r="AZ240" s="45" t="str">
        <f t="shared" si="206"/>
        <v/>
      </c>
      <c r="BA240" s="45" t="str">
        <f t="shared" si="206"/>
        <v/>
      </c>
      <c r="BB240" s="45" t="str">
        <f t="shared" si="206"/>
        <v/>
      </c>
      <c r="BC240" s="45" t="str">
        <f t="shared" si="206"/>
        <v/>
      </c>
      <c r="BD240" s="45" t="str">
        <f t="shared" si="206"/>
        <v/>
      </c>
      <c r="BE240" s="45" t="str">
        <f t="shared" si="206"/>
        <v/>
      </c>
      <c r="BF240" s="45" t="str">
        <f t="shared" si="206"/>
        <v/>
      </c>
      <c r="BG240" s="45" t="str">
        <f t="shared" si="206"/>
        <v/>
      </c>
      <c r="BH240" s="45" t="str">
        <f t="shared" si="206"/>
        <v/>
      </c>
      <c r="BI240" s="45" t="str">
        <f t="shared" si="206"/>
        <v/>
      </c>
      <c r="BJ240" s="45" t="str">
        <f t="shared" si="206"/>
        <v/>
      </c>
      <c r="BK240" s="45" t="str">
        <f t="shared" si="206"/>
        <v/>
      </c>
      <c r="BL240" s="45" t="str">
        <f t="shared" si="206"/>
        <v/>
      </c>
      <c r="BM240" s="45" t="str">
        <f t="shared" si="206"/>
        <v/>
      </c>
      <c r="BN240" s="45" t="str">
        <f t="shared" si="206"/>
        <v/>
      </c>
      <c r="BO240" s="45" t="str">
        <f t="shared" si="206"/>
        <v/>
      </c>
      <c r="BP240" s="45" t="str">
        <f t="shared" si="206"/>
        <v/>
      </c>
      <c r="BQ240" s="45" t="str">
        <f t="shared" si="206"/>
        <v/>
      </c>
      <c r="BR240" s="45" t="str">
        <f t="shared" si="206"/>
        <v/>
      </c>
      <c r="BS240" s="45" t="str">
        <f t="shared" si="206"/>
        <v/>
      </c>
      <c r="BT240" s="45" t="str">
        <f t="shared" si="206"/>
        <v/>
      </c>
      <c r="BU240" s="45" t="str">
        <f t="shared" si="206"/>
        <v/>
      </c>
      <c r="BV240" s="45" t="str">
        <f t="shared" si="206"/>
        <v/>
      </c>
      <c r="BW240" s="45" t="str">
        <f t="shared" si="206"/>
        <v/>
      </c>
      <c r="BX240" s="45" t="str">
        <f t="shared" si="206"/>
        <v/>
      </c>
      <c r="BY240" s="45" t="str">
        <f t="shared" si="206"/>
        <v/>
      </c>
      <c r="BZ240" s="45" t="str">
        <f t="shared" si="206"/>
        <v/>
      </c>
      <c r="CA240" s="45" t="str">
        <f t="shared" si="206"/>
        <v/>
      </c>
      <c r="CB240" s="45" t="str">
        <f t="shared" si="206"/>
        <v/>
      </c>
      <c r="CC240" s="45" t="str">
        <f t="shared" si="206"/>
        <v/>
      </c>
      <c r="CD240" s="45" t="str">
        <f t="shared" ref="CD240:CO240" si="207">IF(COUNTIFS($E$241:$E$274,"&lt;&gt;",$D$241:$D$274,"A",CD$241:CD$274,"&lt;&gt;")=0,"",IFERROR(SUMPRODUCT(--($E$241:$E$274&lt;&gt;""),--($D$241:$D$274="A"),$O$241:$O$274,CD$241:CD$274)/SUMPRODUCT(--($E$241:$E$274&lt;&gt;""),--($D$241:$D$274="A"),$O$241:$O$274),""))</f>
        <v/>
      </c>
      <c r="CE240" s="45" t="str">
        <f t="shared" si="207"/>
        <v/>
      </c>
      <c r="CF240" s="45" t="str">
        <f t="shared" si="207"/>
        <v/>
      </c>
      <c r="CG240" s="45" t="str">
        <f t="shared" si="207"/>
        <v/>
      </c>
      <c r="CH240" s="45" t="str">
        <f t="shared" si="207"/>
        <v/>
      </c>
      <c r="CI240" s="45" t="str">
        <f t="shared" si="207"/>
        <v/>
      </c>
      <c r="CJ240" s="45" t="str">
        <f t="shared" si="207"/>
        <v/>
      </c>
      <c r="CK240" s="45" t="str">
        <f t="shared" si="207"/>
        <v/>
      </c>
      <c r="CL240" s="45" t="str">
        <f t="shared" si="207"/>
        <v/>
      </c>
      <c r="CM240" s="45" t="str">
        <f t="shared" si="207"/>
        <v/>
      </c>
      <c r="CN240" s="45" t="str">
        <f t="shared" si="207"/>
        <v/>
      </c>
      <c r="CO240" s="45" t="str">
        <f t="shared" si="207"/>
        <v/>
      </c>
    </row>
    <row r="241" spans="1:93" outlineLevel="3" x14ac:dyDescent="0.25">
      <c r="A241" s="1" t="s">
        <v>92</v>
      </c>
      <c r="B241" s="1" t="s">
        <v>401</v>
      </c>
      <c r="C241" s="7" t="s">
        <v>315</v>
      </c>
      <c r="D241" s="8" t="s">
        <v>110</v>
      </c>
      <c r="E241" s="1"/>
      <c r="F241" s="1">
        <v>118</v>
      </c>
      <c r="G241" s="1">
        <v>121</v>
      </c>
      <c r="H241" s="1">
        <v>3</v>
      </c>
      <c r="I241" s="9">
        <v>46353.333333333343</v>
      </c>
      <c r="J241" s="9">
        <v>46444.666666666657</v>
      </c>
      <c r="K241" s="9"/>
      <c r="L241" s="9"/>
      <c r="M241" s="3">
        <f t="shared" si="165"/>
        <v>1</v>
      </c>
      <c r="N241" s="3"/>
      <c r="O241" s="5">
        <f>SUMIFS($O$242:$O$247,$A$242:$A$247,"Activity",$D$242:$D$247,"P")</f>
        <v>300000</v>
      </c>
      <c r="P241" s="4"/>
      <c r="Q241" s="5"/>
      <c r="R241" s="45" t="str">
        <f t="shared" ref="R241:AW241" si="208">IF(COUNTIFS($A$243:$A$248,"Activity",$D$243:$D$248,"P",R$243:R$248,"&lt;&gt;")=0,"",IFERROR(SUMPRODUCT(--($A$243:$A$248="Activity"),--($D$243:$D$248="P"),$O$243:$O$248,R$243:R$248)/SUMPRODUCT(--($A$243:$A$248="Activity"),--($D$243:$D$248="P"),$O$243:$O$248),""))</f>
        <v/>
      </c>
      <c r="S241" s="45" t="str">
        <f t="shared" si="208"/>
        <v/>
      </c>
      <c r="T241" s="45" t="str">
        <f t="shared" si="208"/>
        <v/>
      </c>
      <c r="U241" s="45" t="str">
        <f t="shared" si="208"/>
        <v/>
      </c>
      <c r="V241" s="45" t="str">
        <f t="shared" si="208"/>
        <v/>
      </c>
      <c r="W241" s="45" t="str">
        <f t="shared" si="208"/>
        <v/>
      </c>
      <c r="X241" s="45" t="str">
        <f t="shared" si="208"/>
        <v/>
      </c>
      <c r="Y241" s="45" t="str">
        <f t="shared" si="208"/>
        <v/>
      </c>
      <c r="Z241" s="45" t="str">
        <f t="shared" si="208"/>
        <v/>
      </c>
      <c r="AA241" s="45" t="str">
        <f t="shared" si="208"/>
        <v/>
      </c>
      <c r="AB241" s="45" t="str">
        <f t="shared" si="208"/>
        <v/>
      </c>
      <c r="AC241" s="45" t="str">
        <f t="shared" si="208"/>
        <v/>
      </c>
      <c r="AD241" s="45" t="str">
        <f t="shared" si="208"/>
        <v/>
      </c>
      <c r="AE241" s="45" t="str">
        <f t="shared" si="208"/>
        <v/>
      </c>
      <c r="AF241" s="45" t="str">
        <f t="shared" si="208"/>
        <v/>
      </c>
      <c r="AG241" s="45" t="str">
        <f t="shared" si="208"/>
        <v/>
      </c>
      <c r="AH241" s="45" t="str">
        <f t="shared" si="208"/>
        <v/>
      </c>
      <c r="AI241" s="45" t="str">
        <f t="shared" si="208"/>
        <v/>
      </c>
      <c r="AJ241" s="45" t="str">
        <f t="shared" si="208"/>
        <v/>
      </c>
      <c r="AK241" s="45" t="str">
        <f t="shared" si="208"/>
        <v/>
      </c>
      <c r="AL241" s="45" t="str">
        <f t="shared" si="208"/>
        <v/>
      </c>
      <c r="AM241" s="45" t="str">
        <f t="shared" si="208"/>
        <v/>
      </c>
      <c r="AN241" s="45" t="str">
        <f t="shared" si="208"/>
        <v/>
      </c>
      <c r="AO241" s="45" t="str">
        <f t="shared" si="208"/>
        <v/>
      </c>
      <c r="AP241" s="45" t="str">
        <f t="shared" si="208"/>
        <v/>
      </c>
      <c r="AQ241" s="45" t="str">
        <f t="shared" si="208"/>
        <v/>
      </c>
      <c r="AR241" s="45" t="str">
        <f t="shared" si="208"/>
        <v/>
      </c>
      <c r="AS241" s="45" t="str">
        <f t="shared" si="208"/>
        <v/>
      </c>
      <c r="AT241" s="45" t="str">
        <f t="shared" si="208"/>
        <v/>
      </c>
      <c r="AU241" s="45" t="str">
        <f t="shared" si="208"/>
        <v/>
      </c>
      <c r="AV241" s="45" t="str">
        <f t="shared" si="208"/>
        <v/>
      </c>
      <c r="AW241" s="45" t="str">
        <f t="shared" si="208"/>
        <v/>
      </c>
      <c r="AX241" s="45" t="str">
        <f t="shared" ref="AX241:CC241" si="209">IF(COUNTIFS($A$243:$A$248,"Activity",$D$243:$D$248,"P",AX$243:AX$248,"&lt;&gt;")=0,"",IFERROR(SUMPRODUCT(--($A$243:$A$248="Activity"),--($D$243:$D$248="P"),$O$243:$O$248,AX$243:AX$248)/SUMPRODUCT(--($A$243:$A$248="Activity"),--($D$243:$D$248="P"),$O$243:$O$248),""))</f>
        <v/>
      </c>
      <c r="AY241" s="45" t="str">
        <f t="shared" si="209"/>
        <v/>
      </c>
      <c r="AZ241" s="45" t="str">
        <f t="shared" si="209"/>
        <v/>
      </c>
      <c r="BA241" s="45" t="str">
        <f t="shared" si="209"/>
        <v/>
      </c>
      <c r="BB241" s="45" t="str">
        <f t="shared" si="209"/>
        <v/>
      </c>
      <c r="BC241" s="45" t="str">
        <f t="shared" si="209"/>
        <v/>
      </c>
      <c r="BD241" s="45" t="str">
        <f t="shared" si="209"/>
        <v/>
      </c>
      <c r="BE241" s="45" t="str">
        <f t="shared" si="209"/>
        <v/>
      </c>
      <c r="BF241" s="45" t="str">
        <f t="shared" si="209"/>
        <v/>
      </c>
      <c r="BG241" s="45" t="str">
        <f t="shared" si="209"/>
        <v/>
      </c>
      <c r="BH241" s="45" t="str">
        <f t="shared" si="209"/>
        <v/>
      </c>
      <c r="BI241" s="45" t="str">
        <f t="shared" si="209"/>
        <v/>
      </c>
      <c r="BJ241" s="45">
        <f t="shared" si="209"/>
        <v>1.5873015873015876E-2</v>
      </c>
      <c r="BK241" s="45">
        <f t="shared" si="209"/>
        <v>0.11111111111111109</v>
      </c>
      <c r="BL241" s="45">
        <f t="shared" si="209"/>
        <v>0.11111111111111109</v>
      </c>
      <c r="BM241" s="45">
        <f t="shared" si="209"/>
        <v>9.5238095238095261E-2</v>
      </c>
      <c r="BN241" s="45" t="str">
        <f t="shared" si="209"/>
        <v/>
      </c>
      <c r="BO241" s="45" t="str">
        <f t="shared" si="209"/>
        <v/>
      </c>
      <c r="BP241" s="45">
        <f t="shared" si="209"/>
        <v>6.4102564102564097E-2</v>
      </c>
      <c r="BQ241" s="45">
        <f t="shared" si="209"/>
        <v>8.9743589743589744E-2</v>
      </c>
      <c r="BR241" s="45">
        <f t="shared" si="209"/>
        <v>8.9743589743589744E-2</v>
      </c>
      <c r="BS241" s="45">
        <f t="shared" si="209"/>
        <v>8.9743589743589744E-2</v>
      </c>
      <c r="BT241" s="45">
        <f t="shared" si="209"/>
        <v>6.4102564102564097E-2</v>
      </c>
      <c r="BU241" s="45">
        <f t="shared" si="209"/>
        <v>8.9743589743589744E-2</v>
      </c>
      <c r="BV241" s="45">
        <f t="shared" si="209"/>
        <v>8.9743589743589744E-2</v>
      </c>
      <c r="BW241" s="45">
        <f t="shared" si="209"/>
        <v>8.9743589743589744E-2</v>
      </c>
      <c r="BX241" s="45" t="str">
        <f t="shared" si="209"/>
        <v/>
      </c>
      <c r="BY241" s="45" t="str">
        <f t="shared" si="209"/>
        <v/>
      </c>
      <c r="BZ241" s="45" t="str">
        <f t="shared" si="209"/>
        <v/>
      </c>
      <c r="CA241" s="45" t="str">
        <f t="shared" si="209"/>
        <v/>
      </c>
      <c r="CB241" s="45" t="str">
        <f t="shared" si="209"/>
        <v/>
      </c>
      <c r="CC241" s="45" t="str">
        <f t="shared" si="209"/>
        <v/>
      </c>
      <c r="CD241" s="45" t="str">
        <f t="shared" ref="CD241:CO241" si="210">IF(COUNTIFS($A$243:$A$248,"Activity",$D$243:$D$248,"P",CD$243:CD$248,"&lt;&gt;")=0,"",IFERROR(SUMPRODUCT(--($A$243:$A$248="Activity"),--($D$243:$D$248="P"),$O$243:$O$248,CD$243:CD$248)/SUMPRODUCT(--($A$243:$A$248="Activity"),--($D$243:$D$248="P"),$O$243:$O$248),""))</f>
        <v/>
      </c>
      <c r="CE241" s="45" t="str">
        <f t="shared" si="210"/>
        <v/>
      </c>
      <c r="CF241" s="45" t="str">
        <f t="shared" si="210"/>
        <v/>
      </c>
      <c r="CG241" s="45" t="str">
        <f t="shared" si="210"/>
        <v/>
      </c>
      <c r="CH241" s="45" t="str">
        <f t="shared" si="210"/>
        <v/>
      </c>
      <c r="CI241" s="45" t="str">
        <f t="shared" si="210"/>
        <v/>
      </c>
      <c r="CJ241" s="45" t="str">
        <f t="shared" si="210"/>
        <v/>
      </c>
      <c r="CK241" s="45" t="str">
        <f t="shared" si="210"/>
        <v/>
      </c>
      <c r="CL241" s="45" t="str">
        <f t="shared" si="210"/>
        <v/>
      </c>
      <c r="CM241" s="45" t="str">
        <f t="shared" si="210"/>
        <v/>
      </c>
      <c r="CN241" s="45" t="str">
        <f t="shared" si="210"/>
        <v/>
      </c>
      <c r="CO241" s="45" t="str">
        <f t="shared" si="210"/>
        <v/>
      </c>
    </row>
    <row r="242" spans="1:93" outlineLevel="3" x14ac:dyDescent="0.25">
      <c r="A242" s="1"/>
      <c r="B242" s="1"/>
      <c r="C242" s="7"/>
      <c r="D242" s="8" t="s">
        <v>111</v>
      </c>
      <c r="E242" s="1"/>
      <c r="F242" s="1"/>
      <c r="G242" s="1"/>
      <c r="H242" s="1"/>
      <c r="I242" s="9"/>
      <c r="J242" s="9"/>
      <c r="K242" s="9"/>
      <c r="L242" s="9"/>
      <c r="M242" s="3" t="str">
        <f t="shared" si="165"/>
        <v/>
      </c>
      <c r="N242" s="3"/>
      <c r="O242" s="46">
        <f>O241</f>
        <v>300000</v>
      </c>
      <c r="P242" s="4"/>
      <c r="Q242" s="5"/>
      <c r="R242" s="45" t="str">
        <f t="shared" ref="R242:AW242" si="211">IF(COUNTIFS($E$243:$E$248,"&lt;&gt;",$D$243:$D$248,"A",R$243:R$248,"&lt;&gt;")=0,"",IFERROR(SUMPRODUCT(--($E$243:$E$248&lt;&gt;""),--($D$243:$D$248="A"),$O$243:$O$248,R$243:R$248)/SUMPRODUCT(--($E$243:$E$248&lt;&gt;""),--($D$243:$D$248="A"),$O$243:$O$248),""))</f>
        <v/>
      </c>
      <c r="S242" s="45" t="str">
        <f t="shared" si="211"/>
        <v/>
      </c>
      <c r="T242" s="45" t="str">
        <f t="shared" si="211"/>
        <v/>
      </c>
      <c r="U242" s="45" t="str">
        <f t="shared" si="211"/>
        <v/>
      </c>
      <c r="V242" s="45" t="str">
        <f t="shared" si="211"/>
        <v/>
      </c>
      <c r="W242" s="45" t="str">
        <f t="shared" si="211"/>
        <v/>
      </c>
      <c r="X242" s="45" t="str">
        <f t="shared" si="211"/>
        <v/>
      </c>
      <c r="Y242" s="45" t="str">
        <f t="shared" si="211"/>
        <v/>
      </c>
      <c r="Z242" s="45" t="str">
        <f t="shared" si="211"/>
        <v/>
      </c>
      <c r="AA242" s="45" t="str">
        <f t="shared" si="211"/>
        <v/>
      </c>
      <c r="AB242" s="45" t="str">
        <f t="shared" si="211"/>
        <v/>
      </c>
      <c r="AC242" s="45" t="str">
        <f t="shared" si="211"/>
        <v/>
      </c>
      <c r="AD242" s="45" t="str">
        <f t="shared" si="211"/>
        <v/>
      </c>
      <c r="AE242" s="45" t="str">
        <f t="shared" si="211"/>
        <v/>
      </c>
      <c r="AF242" s="45" t="str">
        <f t="shared" si="211"/>
        <v/>
      </c>
      <c r="AG242" s="45" t="str">
        <f t="shared" si="211"/>
        <v/>
      </c>
      <c r="AH242" s="45" t="str">
        <f t="shared" si="211"/>
        <v/>
      </c>
      <c r="AI242" s="45" t="str">
        <f t="shared" si="211"/>
        <v/>
      </c>
      <c r="AJ242" s="45" t="str">
        <f t="shared" si="211"/>
        <v/>
      </c>
      <c r="AK242" s="45" t="str">
        <f t="shared" si="211"/>
        <v/>
      </c>
      <c r="AL242" s="45" t="str">
        <f t="shared" si="211"/>
        <v/>
      </c>
      <c r="AM242" s="45" t="str">
        <f t="shared" si="211"/>
        <v/>
      </c>
      <c r="AN242" s="45" t="str">
        <f t="shared" si="211"/>
        <v/>
      </c>
      <c r="AO242" s="45" t="str">
        <f t="shared" si="211"/>
        <v/>
      </c>
      <c r="AP242" s="45" t="str">
        <f t="shared" si="211"/>
        <v/>
      </c>
      <c r="AQ242" s="45" t="str">
        <f t="shared" si="211"/>
        <v/>
      </c>
      <c r="AR242" s="45" t="str">
        <f t="shared" si="211"/>
        <v/>
      </c>
      <c r="AS242" s="45" t="str">
        <f t="shared" si="211"/>
        <v/>
      </c>
      <c r="AT242" s="45" t="str">
        <f t="shared" si="211"/>
        <v/>
      </c>
      <c r="AU242" s="45" t="str">
        <f t="shared" si="211"/>
        <v/>
      </c>
      <c r="AV242" s="45" t="str">
        <f t="shared" si="211"/>
        <v/>
      </c>
      <c r="AW242" s="45" t="str">
        <f t="shared" si="211"/>
        <v/>
      </c>
      <c r="AX242" s="45" t="str">
        <f t="shared" ref="AX242:CC242" si="212">IF(COUNTIFS($E$243:$E$248,"&lt;&gt;",$D$243:$D$248,"A",AX$243:AX$248,"&lt;&gt;")=0,"",IFERROR(SUMPRODUCT(--($E$243:$E$248&lt;&gt;""),--($D$243:$D$248="A"),$O$243:$O$248,AX$243:AX$248)/SUMPRODUCT(--($E$243:$E$248&lt;&gt;""),--($D$243:$D$248="A"),$O$243:$O$248),""))</f>
        <v/>
      </c>
      <c r="AY242" s="45" t="str">
        <f t="shared" si="212"/>
        <v/>
      </c>
      <c r="AZ242" s="45" t="str">
        <f t="shared" si="212"/>
        <v/>
      </c>
      <c r="BA242" s="45" t="str">
        <f t="shared" si="212"/>
        <v/>
      </c>
      <c r="BB242" s="45" t="str">
        <f t="shared" si="212"/>
        <v/>
      </c>
      <c r="BC242" s="45" t="str">
        <f t="shared" si="212"/>
        <v/>
      </c>
      <c r="BD242" s="45" t="str">
        <f t="shared" si="212"/>
        <v/>
      </c>
      <c r="BE242" s="45" t="str">
        <f t="shared" si="212"/>
        <v/>
      </c>
      <c r="BF242" s="45" t="str">
        <f t="shared" si="212"/>
        <v/>
      </c>
      <c r="BG242" s="45" t="str">
        <f t="shared" si="212"/>
        <v/>
      </c>
      <c r="BH242" s="45" t="str">
        <f t="shared" si="212"/>
        <v/>
      </c>
      <c r="BI242" s="45" t="str">
        <f t="shared" si="212"/>
        <v/>
      </c>
      <c r="BJ242" s="45" t="str">
        <f t="shared" si="212"/>
        <v/>
      </c>
      <c r="BK242" s="45" t="str">
        <f t="shared" si="212"/>
        <v/>
      </c>
      <c r="BL242" s="45" t="str">
        <f t="shared" si="212"/>
        <v/>
      </c>
      <c r="BM242" s="45" t="str">
        <f t="shared" si="212"/>
        <v/>
      </c>
      <c r="BN242" s="45" t="str">
        <f t="shared" si="212"/>
        <v/>
      </c>
      <c r="BO242" s="45" t="str">
        <f t="shared" si="212"/>
        <v/>
      </c>
      <c r="BP242" s="45" t="str">
        <f t="shared" si="212"/>
        <v/>
      </c>
      <c r="BQ242" s="45" t="str">
        <f t="shared" si="212"/>
        <v/>
      </c>
      <c r="BR242" s="45" t="str">
        <f t="shared" si="212"/>
        <v/>
      </c>
      <c r="BS242" s="45" t="str">
        <f t="shared" si="212"/>
        <v/>
      </c>
      <c r="BT242" s="45" t="str">
        <f t="shared" si="212"/>
        <v/>
      </c>
      <c r="BU242" s="45" t="str">
        <f t="shared" si="212"/>
        <v/>
      </c>
      <c r="BV242" s="45" t="str">
        <f t="shared" si="212"/>
        <v/>
      </c>
      <c r="BW242" s="45" t="str">
        <f t="shared" si="212"/>
        <v/>
      </c>
      <c r="BX242" s="45" t="str">
        <f t="shared" si="212"/>
        <v/>
      </c>
      <c r="BY242" s="45" t="str">
        <f t="shared" si="212"/>
        <v/>
      </c>
      <c r="BZ242" s="45" t="str">
        <f t="shared" si="212"/>
        <v/>
      </c>
      <c r="CA242" s="45" t="str">
        <f t="shared" si="212"/>
        <v/>
      </c>
      <c r="CB242" s="45" t="str">
        <f t="shared" si="212"/>
        <v/>
      </c>
      <c r="CC242" s="45" t="str">
        <f t="shared" si="212"/>
        <v/>
      </c>
      <c r="CD242" s="45" t="str">
        <f t="shared" ref="CD242:CO242" si="213">IF(COUNTIFS($E$243:$E$248,"&lt;&gt;",$D$243:$D$248,"A",CD$243:CD$248,"&lt;&gt;")=0,"",IFERROR(SUMPRODUCT(--($E$243:$E$248&lt;&gt;""),--($D$243:$D$248="A"),$O$243:$O$248,CD$243:CD$248)/SUMPRODUCT(--($E$243:$E$248&lt;&gt;""),--($D$243:$D$248="A"),$O$243:$O$248),""))</f>
        <v/>
      </c>
      <c r="CE242" s="45" t="str">
        <f t="shared" si="213"/>
        <v/>
      </c>
      <c r="CF242" s="45" t="str">
        <f t="shared" si="213"/>
        <v/>
      </c>
      <c r="CG242" s="45" t="str">
        <f t="shared" si="213"/>
        <v/>
      </c>
      <c r="CH242" s="45" t="str">
        <f t="shared" si="213"/>
        <v/>
      </c>
      <c r="CI242" s="45" t="str">
        <f t="shared" si="213"/>
        <v/>
      </c>
      <c r="CJ242" s="45" t="str">
        <f t="shared" si="213"/>
        <v/>
      </c>
      <c r="CK242" s="45" t="str">
        <f t="shared" si="213"/>
        <v/>
      </c>
      <c r="CL242" s="45" t="str">
        <f t="shared" si="213"/>
        <v/>
      </c>
      <c r="CM242" s="45" t="str">
        <f t="shared" si="213"/>
        <v/>
      </c>
      <c r="CN242" s="45" t="str">
        <f t="shared" si="213"/>
        <v/>
      </c>
      <c r="CO242" s="45" t="str">
        <f t="shared" si="213"/>
        <v/>
      </c>
    </row>
    <row r="243" spans="1:93" outlineLevel="4" x14ac:dyDescent="0.25">
      <c r="A243" s="10" t="s">
        <v>116</v>
      </c>
      <c r="B243" s="10" t="s">
        <v>402</v>
      </c>
      <c r="C243" s="24" t="s">
        <v>317</v>
      </c>
      <c r="D243" s="12" t="s">
        <v>110</v>
      </c>
      <c r="E243" s="10" t="s">
        <v>403</v>
      </c>
      <c r="F243" s="10">
        <v>119</v>
      </c>
      <c r="G243" s="10">
        <v>122</v>
      </c>
      <c r="H243" s="10">
        <v>4</v>
      </c>
      <c r="I243" s="13">
        <v>46391.333333333343</v>
      </c>
      <c r="J243" s="13">
        <v>46416.666666666657</v>
      </c>
      <c r="K243" s="13"/>
      <c r="L243" s="13"/>
      <c r="M243" s="14">
        <f t="shared" si="165"/>
        <v>1</v>
      </c>
      <c r="N243" s="14"/>
      <c r="O243" s="16">
        <v>100000</v>
      </c>
      <c r="P243" s="15">
        <v>1.466666666666667</v>
      </c>
      <c r="Q243" s="16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>
        <v>0.19230769230769229</v>
      </c>
      <c r="BQ243" s="47">
        <v>0.26923076923076922</v>
      </c>
      <c r="BR243" s="47">
        <v>0.26923076923076922</v>
      </c>
      <c r="BS243" s="47">
        <v>0.26923076923076922</v>
      </c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</row>
    <row r="244" spans="1:93" outlineLevel="4" x14ac:dyDescent="0.25">
      <c r="A244" s="17"/>
      <c r="B244" s="17"/>
      <c r="C244" s="25"/>
      <c r="D244" s="19" t="s">
        <v>111</v>
      </c>
      <c r="E244" s="17" t="s">
        <v>403</v>
      </c>
      <c r="F244" s="17"/>
      <c r="G244" s="17"/>
      <c r="H244" s="17"/>
      <c r="I244" s="20"/>
      <c r="J244" s="20"/>
      <c r="K244" s="20"/>
      <c r="L244" s="20"/>
      <c r="M244" s="21" t="str">
        <f t="shared" si="165"/>
        <v/>
      </c>
      <c r="N244" s="21">
        <v>0</v>
      </c>
      <c r="O244" s="48">
        <f>O243</f>
        <v>100000</v>
      </c>
      <c r="P244" s="22"/>
      <c r="Q244" s="23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</row>
    <row r="245" spans="1:93" outlineLevel="4" x14ac:dyDescent="0.25">
      <c r="A245" s="10" t="s">
        <v>116</v>
      </c>
      <c r="B245" s="10" t="s">
        <v>404</v>
      </c>
      <c r="C245" s="24" t="s">
        <v>320</v>
      </c>
      <c r="D245" s="12" t="s">
        <v>110</v>
      </c>
      <c r="E245" s="10" t="s">
        <v>405</v>
      </c>
      <c r="F245" s="10">
        <v>120</v>
      </c>
      <c r="G245" s="10">
        <v>123</v>
      </c>
      <c r="H245" s="10">
        <v>4</v>
      </c>
      <c r="I245" s="13">
        <v>46419.333333333343</v>
      </c>
      <c r="J245" s="13">
        <v>46444.666666666657</v>
      </c>
      <c r="K245" s="13"/>
      <c r="L245" s="13"/>
      <c r="M245" s="14">
        <f t="shared" si="165"/>
        <v>1</v>
      </c>
      <c r="N245" s="14"/>
      <c r="O245" s="16">
        <v>100000</v>
      </c>
      <c r="P245" s="15">
        <v>4.1333333333333337</v>
      </c>
      <c r="Q245" s="16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>
        <v>0.19230769230769229</v>
      </c>
      <c r="BU245" s="47">
        <v>0.26923076923076922</v>
      </c>
      <c r="BV245" s="47">
        <v>0.26923076923076922</v>
      </c>
      <c r="BW245" s="47">
        <v>0.26923076923076922</v>
      </c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</row>
    <row r="246" spans="1:93" outlineLevel="4" x14ac:dyDescent="0.25">
      <c r="A246" s="17"/>
      <c r="B246" s="17"/>
      <c r="C246" s="25"/>
      <c r="D246" s="19" t="s">
        <v>111</v>
      </c>
      <c r="E246" s="17" t="s">
        <v>405</v>
      </c>
      <c r="F246" s="17"/>
      <c r="G246" s="17"/>
      <c r="H246" s="17"/>
      <c r="I246" s="20"/>
      <c r="J246" s="20"/>
      <c r="K246" s="20"/>
      <c r="L246" s="20"/>
      <c r="M246" s="21" t="str">
        <f t="shared" si="165"/>
        <v/>
      </c>
      <c r="N246" s="21">
        <v>0</v>
      </c>
      <c r="O246" s="48">
        <f>O245</f>
        <v>100000</v>
      </c>
      <c r="P246" s="22"/>
      <c r="Q246" s="23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</row>
    <row r="247" spans="1:93" outlineLevel="4" x14ac:dyDescent="0.25">
      <c r="A247" s="10" t="s">
        <v>116</v>
      </c>
      <c r="B247" s="10" t="s">
        <v>406</v>
      </c>
      <c r="C247" s="24" t="s">
        <v>323</v>
      </c>
      <c r="D247" s="12" t="s">
        <v>110</v>
      </c>
      <c r="E247" s="10" t="s">
        <v>407</v>
      </c>
      <c r="F247" s="10">
        <v>121</v>
      </c>
      <c r="G247" s="10">
        <v>124</v>
      </c>
      <c r="H247" s="10">
        <v>4</v>
      </c>
      <c r="I247" s="13">
        <v>46353.333333333343</v>
      </c>
      <c r="J247" s="13">
        <v>46373.666666666657</v>
      </c>
      <c r="K247" s="13"/>
      <c r="L247" s="13"/>
      <c r="M247" s="14">
        <f t="shared" si="165"/>
        <v>1</v>
      </c>
      <c r="N247" s="14"/>
      <c r="O247" s="16">
        <v>100000</v>
      </c>
      <c r="P247" s="15">
        <v>0</v>
      </c>
      <c r="Q247" s="16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>
        <v>4.7619047619047623E-2</v>
      </c>
      <c r="BK247" s="47">
        <v>0.33333333333333331</v>
      </c>
      <c r="BL247" s="47">
        <v>0.33333333333333331</v>
      </c>
      <c r="BM247" s="47">
        <v>0.28571428571428581</v>
      </c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</row>
    <row r="248" spans="1:93" outlineLevel="4" x14ac:dyDescent="0.25">
      <c r="A248" s="17"/>
      <c r="B248" s="17"/>
      <c r="C248" s="25"/>
      <c r="D248" s="19" t="s">
        <v>111</v>
      </c>
      <c r="E248" s="17" t="s">
        <v>407</v>
      </c>
      <c r="F248" s="17"/>
      <c r="G248" s="17"/>
      <c r="H248" s="17"/>
      <c r="I248" s="20"/>
      <c r="J248" s="20"/>
      <c r="K248" s="20"/>
      <c r="L248" s="20"/>
      <c r="M248" s="21" t="str">
        <f t="shared" si="165"/>
        <v/>
      </c>
      <c r="N248" s="21">
        <v>0</v>
      </c>
      <c r="O248" s="48">
        <f>O247</f>
        <v>100000</v>
      </c>
      <c r="P248" s="22"/>
      <c r="Q248" s="23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</row>
    <row r="249" spans="1:93" outlineLevel="3" x14ac:dyDescent="0.25">
      <c r="A249" s="1" t="s">
        <v>92</v>
      </c>
      <c r="B249" s="1" t="s">
        <v>408</v>
      </c>
      <c r="C249" s="7" t="s">
        <v>326</v>
      </c>
      <c r="D249" s="8" t="s">
        <v>110</v>
      </c>
      <c r="E249" s="1"/>
      <c r="F249" s="1">
        <v>122</v>
      </c>
      <c r="G249" s="1">
        <v>125</v>
      </c>
      <c r="H249" s="1">
        <v>3</v>
      </c>
      <c r="I249" s="9">
        <v>46374.333333333343</v>
      </c>
      <c r="J249" s="9">
        <v>46458.666666666657</v>
      </c>
      <c r="K249" s="9"/>
      <c r="L249" s="9"/>
      <c r="M249" s="3">
        <f t="shared" si="165"/>
        <v>1</v>
      </c>
      <c r="N249" s="3"/>
      <c r="O249" s="5">
        <f>SUMIFS($O$250:$O$253,$A$250:$A$253,"Activity",$D$250:$D$253,"P")</f>
        <v>200000</v>
      </c>
      <c r="P249" s="4"/>
      <c r="Q249" s="5"/>
      <c r="R249" s="45" t="str">
        <f t="shared" ref="R249:AW249" si="214">IF(COUNTIFS($A$251:$A$254,"Activity",$D$251:$D$254,"P",R$251:R$254,"&lt;&gt;")=0,"",IFERROR(SUMPRODUCT(--($A$251:$A$254="Activity"),--($D$251:$D$254="P"),$O$251:$O$254,R$251:R$254)/SUMPRODUCT(--($A$251:$A$254="Activity"),--($D$251:$D$254="P"),$O$251:$O$254),""))</f>
        <v/>
      </c>
      <c r="S249" s="45" t="str">
        <f t="shared" si="214"/>
        <v/>
      </c>
      <c r="T249" s="45" t="str">
        <f t="shared" si="214"/>
        <v/>
      </c>
      <c r="U249" s="45" t="str">
        <f t="shared" si="214"/>
        <v/>
      </c>
      <c r="V249" s="45" t="str">
        <f t="shared" si="214"/>
        <v/>
      </c>
      <c r="W249" s="45" t="str">
        <f t="shared" si="214"/>
        <v/>
      </c>
      <c r="X249" s="45" t="str">
        <f t="shared" si="214"/>
        <v/>
      </c>
      <c r="Y249" s="45" t="str">
        <f t="shared" si="214"/>
        <v/>
      </c>
      <c r="Z249" s="45" t="str">
        <f t="shared" si="214"/>
        <v/>
      </c>
      <c r="AA249" s="45" t="str">
        <f t="shared" si="214"/>
        <v/>
      </c>
      <c r="AB249" s="45" t="str">
        <f t="shared" si="214"/>
        <v/>
      </c>
      <c r="AC249" s="45" t="str">
        <f t="shared" si="214"/>
        <v/>
      </c>
      <c r="AD249" s="45" t="str">
        <f t="shared" si="214"/>
        <v/>
      </c>
      <c r="AE249" s="45" t="str">
        <f t="shared" si="214"/>
        <v/>
      </c>
      <c r="AF249" s="45" t="str">
        <f t="shared" si="214"/>
        <v/>
      </c>
      <c r="AG249" s="45" t="str">
        <f t="shared" si="214"/>
        <v/>
      </c>
      <c r="AH249" s="45" t="str">
        <f t="shared" si="214"/>
        <v/>
      </c>
      <c r="AI249" s="45" t="str">
        <f t="shared" si="214"/>
        <v/>
      </c>
      <c r="AJ249" s="45" t="str">
        <f t="shared" si="214"/>
        <v/>
      </c>
      <c r="AK249" s="45" t="str">
        <f t="shared" si="214"/>
        <v/>
      </c>
      <c r="AL249" s="45" t="str">
        <f t="shared" si="214"/>
        <v/>
      </c>
      <c r="AM249" s="45" t="str">
        <f t="shared" si="214"/>
        <v/>
      </c>
      <c r="AN249" s="45" t="str">
        <f t="shared" si="214"/>
        <v/>
      </c>
      <c r="AO249" s="45" t="str">
        <f t="shared" si="214"/>
        <v/>
      </c>
      <c r="AP249" s="45" t="str">
        <f t="shared" si="214"/>
        <v/>
      </c>
      <c r="AQ249" s="45" t="str">
        <f t="shared" si="214"/>
        <v/>
      </c>
      <c r="AR249" s="45" t="str">
        <f t="shared" si="214"/>
        <v/>
      </c>
      <c r="AS249" s="45" t="str">
        <f t="shared" si="214"/>
        <v/>
      </c>
      <c r="AT249" s="45" t="str">
        <f t="shared" si="214"/>
        <v/>
      </c>
      <c r="AU249" s="45" t="str">
        <f t="shared" si="214"/>
        <v/>
      </c>
      <c r="AV249" s="45" t="str">
        <f t="shared" si="214"/>
        <v/>
      </c>
      <c r="AW249" s="45" t="str">
        <f t="shared" si="214"/>
        <v/>
      </c>
      <c r="AX249" s="45" t="str">
        <f t="shared" ref="AX249:CC249" si="215">IF(COUNTIFS($A$251:$A$254,"Activity",$D$251:$D$254,"P",AX$251:AX$254,"&lt;&gt;")=0,"",IFERROR(SUMPRODUCT(--($A$251:$A$254="Activity"),--($D$251:$D$254="P"),$O$251:$O$254,AX$251:AX$254)/SUMPRODUCT(--($A$251:$A$254="Activity"),--($D$251:$D$254="P"),$O$251:$O$254),""))</f>
        <v/>
      </c>
      <c r="AY249" s="45" t="str">
        <f t="shared" si="215"/>
        <v/>
      </c>
      <c r="AZ249" s="45" t="str">
        <f t="shared" si="215"/>
        <v/>
      </c>
      <c r="BA249" s="45" t="str">
        <f t="shared" si="215"/>
        <v/>
      </c>
      <c r="BB249" s="45" t="str">
        <f t="shared" si="215"/>
        <v/>
      </c>
      <c r="BC249" s="45" t="str">
        <f t="shared" si="215"/>
        <v/>
      </c>
      <c r="BD249" s="45" t="str">
        <f t="shared" si="215"/>
        <v/>
      </c>
      <c r="BE249" s="45" t="str">
        <f t="shared" si="215"/>
        <v/>
      </c>
      <c r="BF249" s="45" t="str">
        <f t="shared" si="215"/>
        <v/>
      </c>
      <c r="BG249" s="45" t="str">
        <f t="shared" si="215"/>
        <v/>
      </c>
      <c r="BH249" s="45" t="str">
        <f t="shared" si="215"/>
        <v/>
      </c>
      <c r="BI249" s="45" t="str">
        <f t="shared" si="215"/>
        <v/>
      </c>
      <c r="BJ249" s="45" t="str">
        <f t="shared" si="215"/>
        <v/>
      </c>
      <c r="BK249" s="45" t="str">
        <f t="shared" si="215"/>
        <v/>
      </c>
      <c r="BL249" s="45" t="str">
        <f t="shared" si="215"/>
        <v/>
      </c>
      <c r="BM249" s="45">
        <f t="shared" si="215"/>
        <v>2.3809523809523812E-2</v>
      </c>
      <c r="BN249" s="45">
        <f t="shared" si="215"/>
        <v>0.16666666666666663</v>
      </c>
      <c r="BO249" s="45">
        <f t="shared" si="215"/>
        <v>0.16666666666666663</v>
      </c>
      <c r="BP249" s="45">
        <f t="shared" si="215"/>
        <v>0.1428571428571429</v>
      </c>
      <c r="BQ249" s="45" t="str">
        <f t="shared" si="215"/>
        <v/>
      </c>
      <c r="BR249" s="45" t="str">
        <f t="shared" si="215"/>
        <v/>
      </c>
      <c r="BS249" s="45" t="str">
        <f t="shared" si="215"/>
        <v/>
      </c>
      <c r="BT249" s="45" t="str">
        <f t="shared" si="215"/>
        <v/>
      </c>
      <c r="BU249" s="45" t="str">
        <f t="shared" si="215"/>
        <v/>
      </c>
      <c r="BV249" s="45" t="str">
        <f t="shared" si="215"/>
        <v/>
      </c>
      <c r="BW249" s="45" t="str">
        <f t="shared" si="215"/>
        <v/>
      </c>
      <c r="BX249" s="45">
        <f t="shared" si="215"/>
        <v>0.20833333333333329</v>
      </c>
      <c r="BY249" s="45">
        <f t="shared" si="215"/>
        <v>0.29166666666666669</v>
      </c>
      <c r="BZ249" s="45" t="str">
        <f t="shared" si="215"/>
        <v/>
      </c>
      <c r="CA249" s="45" t="str">
        <f t="shared" si="215"/>
        <v/>
      </c>
      <c r="CB249" s="45" t="str">
        <f t="shared" si="215"/>
        <v/>
      </c>
      <c r="CC249" s="45" t="str">
        <f t="shared" si="215"/>
        <v/>
      </c>
      <c r="CD249" s="45" t="str">
        <f t="shared" ref="CD249:CO249" si="216">IF(COUNTIFS($A$251:$A$254,"Activity",$D$251:$D$254,"P",CD$251:CD$254,"&lt;&gt;")=0,"",IFERROR(SUMPRODUCT(--($A$251:$A$254="Activity"),--($D$251:$D$254="P"),$O$251:$O$254,CD$251:CD$254)/SUMPRODUCT(--($A$251:$A$254="Activity"),--($D$251:$D$254="P"),$O$251:$O$254),""))</f>
        <v/>
      </c>
      <c r="CE249" s="45" t="str">
        <f t="shared" si="216"/>
        <v/>
      </c>
      <c r="CF249" s="45" t="str">
        <f t="shared" si="216"/>
        <v/>
      </c>
      <c r="CG249" s="45" t="str">
        <f t="shared" si="216"/>
        <v/>
      </c>
      <c r="CH249" s="45" t="str">
        <f t="shared" si="216"/>
        <v/>
      </c>
      <c r="CI249" s="45" t="str">
        <f t="shared" si="216"/>
        <v/>
      </c>
      <c r="CJ249" s="45" t="str">
        <f t="shared" si="216"/>
        <v/>
      </c>
      <c r="CK249" s="45" t="str">
        <f t="shared" si="216"/>
        <v/>
      </c>
      <c r="CL249" s="45" t="str">
        <f t="shared" si="216"/>
        <v/>
      </c>
      <c r="CM249" s="45" t="str">
        <f t="shared" si="216"/>
        <v/>
      </c>
      <c r="CN249" s="45" t="str">
        <f t="shared" si="216"/>
        <v/>
      </c>
      <c r="CO249" s="45" t="str">
        <f t="shared" si="216"/>
        <v/>
      </c>
    </row>
    <row r="250" spans="1:93" outlineLevel="3" x14ac:dyDescent="0.25">
      <c r="A250" s="1"/>
      <c r="B250" s="1"/>
      <c r="C250" s="7"/>
      <c r="D250" s="8" t="s">
        <v>111</v>
      </c>
      <c r="E250" s="1"/>
      <c r="F250" s="1"/>
      <c r="G250" s="1"/>
      <c r="H250" s="1"/>
      <c r="I250" s="9"/>
      <c r="J250" s="9"/>
      <c r="K250" s="9"/>
      <c r="L250" s="9"/>
      <c r="M250" s="3" t="str">
        <f t="shared" si="165"/>
        <v/>
      </c>
      <c r="N250" s="3"/>
      <c r="O250" s="46">
        <f>O249</f>
        <v>200000</v>
      </c>
      <c r="P250" s="4"/>
      <c r="Q250" s="5"/>
      <c r="R250" s="45" t="str">
        <f t="shared" ref="R250:AW250" si="217">IF(COUNTIFS($E$251:$E$254,"&lt;&gt;",$D$251:$D$254,"A",R$251:R$254,"&lt;&gt;")=0,"",IFERROR(SUMPRODUCT(--($E$251:$E$254&lt;&gt;""),--($D$251:$D$254="A"),$O$251:$O$254,R$251:R$254)/SUMPRODUCT(--($E$251:$E$254&lt;&gt;""),--($D$251:$D$254="A"),$O$251:$O$254),""))</f>
        <v/>
      </c>
      <c r="S250" s="45" t="str">
        <f t="shared" si="217"/>
        <v/>
      </c>
      <c r="T250" s="45" t="str">
        <f t="shared" si="217"/>
        <v/>
      </c>
      <c r="U250" s="45" t="str">
        <f t="shared" si="217"/>
        <v/>
      </c>
      <c r="V250" s="45" t="str">
        <f t="shared" si="217"/>
        <v/>
      </c>
      <c r="W250" s="45" t="str">
        <f t="shared" si="217"/>
        <v/>
      </c>
      <c r="X250" s="45" t="str">
        <f t="shared" si="217"/>
        <v/>
      </c>
      <c r="Y250" s="45" t="str">
        <f t="shared" si="217"/>
        <v/>
      </c>
      <c r="Z250" s="45" t="str">
        <f t="shared" si="217"/>
        <v/>
      </c>
      <c r="AA250" s="45" t="str">
        <f t="shared" si="217"/>
        <v/>
      </c>
      <c r="AB250" s="45" t="str">
        <f t="shared" si="217"/>
        <v/>
      </c>
      <c r="AC250" s="45" t="str">
        <f t="shared" si="217"/>
        <v/>
      </c>
      <c r="AD250" s="45" t="str">
        <f t="shared" si="217"/>
        <v/>
      </c>
      <c r="AE250" s="45" t="str">
        <f t="shared" si="217"/>
        <v/>
      </c>
      <c r="AF250" s="45" t="str">
        <f t="shared" si="217"/>
        <v/>
      </c>
      <c r="AG250" s="45" t="str">
        <f t="shared" si="217"/>
        <v/>
      </c>
      <c r="AH250" s="45" t="str">
        <f t="shared" si="217"/>
        <v/>
      </c>
      <c r="AI250" s="45" t="str">
        <f t="shared" si="217"/>
        <v/>
      </c>
      <c r="AJ250" s="45" t="str">
        <f t="shared" si="217"/>
        <v/>
      </c>
      <c r="AK250" s="45" t="str">
        <f t="shared" si="217"/>
        <v/>
      </c>
      <c r="AL250" s="45" t="str">
        <f t="shared" si="217"/>
        <v/>
      </c>
      <c r="AM250" s="45" t="str">
        <f t="shared" si="217"/>
        <v/>
      </c>
      <c r="AN250" s="45" t="str">
        <f t="shared" si="217"/>
        <v/>
      </c>
      <c r="AO250" s="45" t="str">
        <f t="shared" si="217"/>
        <v/>
      </c>
      <c r="AP250" s="45" t="str">
        <f t="shared" si="217"/>
        <v/>
      </c>
      <c r="AQ250" s="45" t="str">
        <f t="shared" si="217"/>
        <v/>
      </c>
      <c r="AR250" s="45" t="str">
        <f t="shared" si="217"/>
        <v/>
      </c>
      <c r="AS250" s="45" t="str">
        <f t="shared" si="217"/>
        <v/>
      </c>
      <c r="AT250" s="45" t="str">
        <f t="shared" si="217"/>
        <v/>
      </c>
      <c r="AU250" s="45" t="str">
        <f t="shared" si="217"/>
        <v/>
      </c>
      <c r="AV250" s="45" t="str">
        <f t="shared" si="217"/>
        <v/>
      </c>
      <c r="AW250" s="45" t="str">
        <f t="shared" si="217"/>
        <v/>
      </c>
      <c r="AX250" s="45" t="str">
        <f t="shared" ref="AX250:CC250" si="218">IF(COUNTIFS($E$251:$E$254,"&lt;&gt;",$D$251:$D$254,"A",AX$251:AX$254,"&lt;&gt;")=0,"",IFERROR(SUMPRODUCT(--($E$251:$E$254&lt;&gt;""),--($D$251:$D$254="A"),$O$251:$O$254,AX$251:AX$254)/SUMPRODUCT(--($E$251:$E$254&lt;&gt;""),--($D$251:$D$254="A"),$O$251:$O$254),""))</f>
        <v/>
      </c>
      <c r="AY250" s="45" t="str">
        <f t="shared" si="218"/>
        <v/>
      </c>
      <c r="AZ250" s="45" t="str">
        <f t="shared" si="218"/>
        <v/>
      </c>
      <c r="BA250" s="45" t="str">
        <f t="shared" si="218"/>
        <v/>
      </c>
      <c r="BB250" s="45" t="str">
        <f t="shared" si="218"/>
        <v/>
      </c>
      <c r="BC250" s="45" t="str">
        <f t="shared" si="218"/>
        <v/>
      </c>
      <c r="BD250" s="45" t="str">
        <f t="shared" si="218"/>
        <v/>
      </c>
      <c r="BE250" s="45" t="str">
        <f t="shared" si="218"/>
        <v/>
      </c>
      <c r="BF250" s="45" t="str">
        <f t="shared" si="218"/>
        <v/>
      </c>
      <c r="BG250" s="45" t="str">
        <f t="shared" si="218"/>
        <v/>
      </c>
      <c r="BH250" s="45" t="str">
        <f t="shared" si="218"/>
        <v/>
      </c>
      <c r="BI250" s="45" t="str">
        <f t="shared" si="218"/>
        <v/>
      </c>
      <c r="BJ250" s="45" t="str">
        <f t="shared" si="218"/>
        <v/>
      </c>
      <c r="BK250" s="45" t="str">
        <f t="shared" si="218"/>
        <v/>
      </c>
      <c r="BL250" s="45" t="str">
        <f t="shared" si="218"/>
        <v/>
      </c>
      <c r="BM250" s="45" t="str">
        <f t="shared" si="218"/>
        <v/>
      </c>
      <c r="BN250" s="45" t="str">
        <f t="shared" si="218"/>
        <v/>
      </c>
      <c r="BO250" s="45" t="str">
        <f t="shared" si="218"/>
        <v/>
      </c>
      <c r="BP250" s="45" t="str">
        <f t="shared" si="218"/>
        <v/>
      </c>
      <c r="BQ250" s="45" t="str">
        <f t="shared" si="218"/>
        <v/>
      </c>
      <c r="BR250" s="45" t="str">
        <f t="shared" si="218"/>
        <v/>
      </c>
      <c r="BS250" s="45" t="str">
        <f t="shared" si="218"/>
        <v/>
      </c>
      <c r="BT250" s="45" t="str">
        <f t="shared" si="218"/>
        <v/>
      </c>
      <c r="BU250" s="45" t="str">
        <f t="shared" si="218"/>
        <v/>
      </c>
      <c r="BV250" s="45" t="str">
        <f t="shared" si="218"/>
        <v/>
      </c>
      <c r="BW250" s="45" t="str">
        <f t="shared" si="218"/>
        <v/>
      </c>
      <c r="BX250" s="45" t="str">
        <f t="shared" si="218"/>
        <v/>
      </c>
      <c r="BY250" s="45" t="str">
        <f t="shared" si="218"/>
        <v/>
      </c>
      <c r="BZ250" s="45" t="str">
        <f t="shared" si="218"/>
        <v/>
      </c>
      <c r="CA250" s="45" t="str">
        <f t="shared" si="218"/>
        <v/>
      </c>
      <c r="CB250" s="45" t="str">
        <f t="shared" si="218"/>
        <v/>
      </c>
      <c r="CC250" s="45" t="str">
        <f t="shared" si="218"/>
        <v/>
      </c>
      <c r="CD250" s="45" t="str">
        <f t="shared" ref="CD250:CO250" si="219">IF(COUNTIFS($E$251:$E$254,"&lt;&gt;",$D$251:$D$254,"A",CD$251:CD$254,"&lt;&gt;")=0,"",IFERROR(SUMPRODUCT(--($E$251:$E$254&lt;&gt;""),--($D$251:$D$254="A"),$O$251:$O$254,CD$251:CD$254)/SUMPRODUCT(--($E$251:$E$254&lt;&gt;""),--($D$251:$D$254="A"),$O$251:$O$254),""))</f>
        <v/>
      </c>
      <c r="CE250" s="45" t="str">
        <f t="shared" si="219"/>
        <v/>
      </c>
      <c r="CF250" s="45" t="str">
        <f t="shared" si="219"/>
        <v/>
      </c>
      <c r="CG250" s="45" t="str">
        <f t="shared" si="219"/>
        <v/>
      </c>
      <c r="CH250" s="45" t="str">
        <f t="shared" si="219"/>
        <v/>
      </c>
      <c r="CI250" s="45" t="str">
        <f t="shared" si="219"/>
        <v/>
      </c>
      <c r="CJ250" s="45" t="str">
        <f t="shared" si="219"/>
        <v/>
      </c>
      <c r="CK250" s="45" t="str">
        <f t="shared" si="219"/>
        <v/>
      </c>
      <c r="CL250" s="45" t="str">
        <f t="shared" si="219"/>
        <v/>
      </c>
      <c r="CM250" s="45" t="str">
        <f t="shared" si="219"/>
        <v/>
      </c>
      <c r="CN250" s="45" t="str">
        <f t="shared" si="219"/>
        <v/>
      </c>
      <c r="CO250" s="45" t="str">
        <f t="shared" si="219"/>
        <v/>
      </c>
    </row>
    <row r="251" spans="1:93" outlineLevel="4" x14ac:dyDescent="0.25">
      <c r="A251" s="10" t="s">
        <v>116</v>
      </c>
      <c r="B251" s="10" t="s">
        <v>409</v>
      </c>
      <c r="C251" s="24" t="s">
        <v>331</v>
      </c>
      <c r="D251" s="12" t="s">
        <v>110</v>
      </c>
      <c r="E251" s="10" t="s">
        <v>410</v>
      </c>
      <c r="F251" s="10">
        <v>123</v>
      </c>
      <c r="G251" s="10">
        <v>126</v>
      </c>
      <c r="H251" s="10">
        <v>4</v>
      </c>
      <c r="I251" s="13">
        <v>46447.333333333343</v>
      </c>
      <c r="J251" s="13">
        <v>46458.666666666657</v>
      </c>
      <c r="K251" s="13"/>
      <c r="L251" s="13"/>
      <c r="M251" s="14">
        <f t="shared" si="165"/>
        <v>1</v>
      </c>
      <c r="N251" s="14"/>
      <c r="O251" s="16">
        <v>100000</v>
      </c>
      <c r="P251" s="15">
        <v>4.1333333333333337</v>
      </c>
      <c r="Q251" s="16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>
        <v>0.41666666666666657</v>
      </c>
      <c r="BY251" s="47">
        <v>0.58333333333333337</v>
      </c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</row>
    <row r="252" spans="1:93" outlineLevel="4" x14ac:dyDescent="0.25">
      <c r="A252" s="17"/>
      <c r="B252" s="17"/>
      <c r="C252" s="25"/>
      <c r="D252" s="19" t="s">
        <v>111</v>
      </c>
      <c r="E252" s="17" t="s">
        <v>410</v>
      </c>
      <c r="F252" s="17"/>
      <c r="G252" s="17"/>
      <c r="H252" s="17"/>
      <c r="I252" s="20"/>
      <c r="J252" s="20"/>
      <c r="K252" s="20"/>
      <c r="L252" s="20"/>
      <c r="M252" s="21" t="str">
        <f t="shared" si="165"/>
        <v/>
      </c>
      <c r="N252" s="21">
        <v>0</v>
      </c>
      <c r="O252" s="48">
        <f>O251</f>
        <v>100000</v>
      </c>
      <c r="P252" s="22"/>
      <c r="Q252" s="23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</row>
    <row r="253" spans="1:93" outlineLevel="4" x14ac:dyDescent="0.25">
      <c r="A253" s="10" t="s">
        <v>116</v>
      </c>
      <c r="B253" s="10" t="s">
        <v>411</v>
      </c>
      <c r="C253" s="24" t="s">
        <v>334</v>
      </c>
      <c r="D253" s="12" t="s">
        <v>110</v>
      </c>
      <c r="E253" s="10" t="s">
        <v>412</v>
      </c>
      <c r="F253" s="10">
        <v>124</v>
      </c>
      <c r="G253" s="10">
        <v>127</v>
      </c>
      <c r="H253" s="10">
        <v>4</v>
      </c>
      <c r="I253" s="13">
        <v>46374.333333333343</v>
      </c>
      <c r="J253" s="13">
        <v>46394.666666666657</v>
      </c>
      <c r="K253" s="13"/>
      <c r="L253" s="13"/>
      <c r="M253" s="14">
        <f t="shared" si="165"/>
        <v>1</v>
      </c>
      <c r="N253" s="14"/>
      <c r="O253" s="16">
        <v>100000</v>
      </c>
      <c r="P253" s="15">
        <v>0</v>
      </c>
      <c r="Q253" s="16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>
        <v>4.7619047619047623E-2</v>
      </c>
      <c r="BN253" s="47">
        <v>0.33333333333333331</v>
      </c>
      <c r="BO253" s="47">
        <v>0.33333333333333331</v>
      </c>
      <c r="BP253" s="47">
        <v>0.28571428571428581</v>
      </c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</row>
    <row r="254" spans="1:93" outlineLevel="4" x14ac:dyDescent="0.25">
      <c r="A254" s="17"/>
      <c r="B254" s="17"/>
      <c r="C254" s="25"/>
      <c r="D254" s="19" t="s">
        <v>111</v>
      </c>
      <c r="E254" s="17" t="s">
        <v>412</v>
      </c>
      <c r="F254" s="17"/>
      <c r="G254" s="17"/>
      <c r="H254" s="17"/>
      <c r="I254" s="20"/>
      <c r="J254" s="20"/>
      <c r="K254" s="20"/>
      <c r="L254" s="20"/>
      <c r="M254" s="21" t="str">
        <f t="shared" si="165"/>
        <v/>
      </c>
      <c r="N254" s="21">
        <v>0</v>
      </c>
      <c r="O254" s="48">
        <f>O253</f>
        <v>100000</v>
      </c>
      <c r="P254" s="22"/>
      <c r="Q254" s="23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</row>
    <row r="255" spans="1:93" outlineLevel="3" x14ac:dyDescent="0.25">
      <c r="A255" s="1" t="s">
        <v>92</v>
      </c>
      <c r="B255" s="1" t="s">
        <v>413</v>
      </c>
      <c r="C255" s="7" t="s">
        <v>337</v>
      </c>
      <c r="D255" s="8" t="s">
        <v>110</v>
      </c>
      <c r="E255" s="1"/>
      <c r="F255" s="1">
        <v>125</v>
      </c>
      <c r="G255" s="1">
        <v>128</v>
      </c>
      <c r="H255" s="1">
        <v>3</v>
      </c>
      <c r="I255" s="9">
        <v>46395.333333333343</v>
      </c>
      <c r="J255" s="9">
        <v>46520.666666666657</v>
      </c>
      <c r="K255" s="9"/>
      <c r="L255" s="9"/>
      <c r="M255" s="3">
        <f t="shared" si="165"/>
        <v>1</v>
      </c>
      <c r="N255" s="3"/>
      <c r="O255" s="5">
        <f>SUMIFS($O$256:$O$263,$A$256:$A$263,"Activity",$D$256:$D$263,"P")</f>
        <v>400000</v>
      </c>
      <c r="P255" s="4"/>
      <c r="Q255" s="5"/>
      <c r="R255" s="45" t="str">
        <f t="shared" ref="R255:AW255" si="220">IF(COUNTIFS($A$257:$A$264,"Activity",$D$257:$D$264,"P",R$257:R$264,"&lt;&gt;")=0,"",IFERROR(SUMPRODUCT(--($A$257:$A$264="Activity"),--($D$257:$D$264="P"),$O$257:$O$264,R$257:R$264)/SUMPRODUCT(--($A$257:$A$264="Activity"),--($D$257:$D$264="P"),$O$257:$O$264),""))</f>
        <v/>
      </c>
      <c r="S255" s="45" t="str">
        <f t="shared" si="220"/>
        <v/>
      </c>
      <c r="T255" s="45" t="str">
        <f t="shared" si="220"/>
        <v/>
      </c>
      <c r="U255" s="45" t="str">
        <f t="shared" si="220"/>
        <v/>
      </c>
      <c r="V255" s="45" t="str">
        <f t="shared" si="220"/>
        <v/>
      </c>
      <c r="W255" s="45" t="str">
        <f t="shared" si="220"/>
        <v/>
      </c>
      <c r="X255" s="45" t="str">
        <f t="shared" si="220"/>
        <v/>
      </c>
      <c r="Y255" s="45" t="str">
        <f t="shared" si="220"/>
        <v/>
      </c>
      <c r="Z255" s="45" t="str">
        <f t="shared" si="220"/>
        <v/>
      </c>
      <c r="AA255" s="45" t="str">
        <f t="shared" si="220"/>
        <v/>
      </c>
      <c r="AB255" s="45" t="str">
        <f t="shared" si="220"/>
        <v/>
      </c>
      <c r="AC255" s="45" t="str">
        <f t="shared" si="220"/>
        <v/>
      </c>
      <c r="AD255" s="45" t="str">
        <f t="shared" si="220"/>
        <v/>
      </c>
      <c r="AE255" s="45" t="str">
        <f t="shared" si="220"/>
        <v/>
      </c>
      <c r="AF255" s="45" t="str">
        <f t="shared" si="220"/>
        <v/>
      </c>
      <c r="AG255" s="45" t="str">
        <f t="shared" si="220"/>
        <v/>
      </c>
      <c r="AH255" s="45" t="str">
        <f t="shared" si="220"/>
        <v/>
      </c>
      <c r="AI255" s="45" t="str">
        <f t="shared" si="220"/>
        <v/>
      </c>
      <c r="AJ255" s="45" t="str">
        <f t="shared" si="220"/>
        <v/>
      </c>
      <c r="AK255" s="45" t="str">
        <f t="shared" si="220"/>
        <v/>
      </c>
      <c r="AL255" s="45" t="str">
        <f t="shared" si="220"/>
        <v/>
      </c>
      <c r="AM255" s="45" t="str">
        <f t="shared" si="220"/>
        <v/>
      </c>
      <c r="AN255" s="45" t="str">
        <f t="shared" si="220"/>
        <v/>
      </c>
      <c r="AO255" s="45" t="str">
        <f t="shared" si="220"/>
        <v/>
      </c>
      <c r="AP255" s="45" t="str">
        <f t="shared" si="220"/>
        <v/>
      </c>
      <c r="AQ255" s="45" t="str">
        <f t="shared" si="220"/>
        <v/>
      </c>
      <c r="AR255" s="45" t="str">
        <f t="shared" si="220"/>
        <v/>
      </c>
      <c r="AS255" s="45" t="str">
        <f t="shared" si="220"/>
        <v/>
      </c>
      <c r="AT255" s="45" t="str">
        <f t="shared" si="220"/>
        <v/>
      </c>
      <c r="AU255" s="45" t="str">
        <f t="shared" si="220"/>
        <v/>
      </c>
      <c r="AV255" s="45" t="str">
        <f t="shared" si="220"/>
        <v/>
      </c>
      <c r="AW255" s="45" t="str">
        <f t="shared" si="220"/>
        <v/>
      </c>
      <c r="AX255" s="45" t="str">
        <f t="shared" ref="AX255:CC255" si="221">IF(COUNTIFS($A$257:$A$264,"Activity",$D$257:$D$264,"P",AX$257:AX$264,"&lt;&gt;")=0,"",IFERROR(SUMPRODUCT(--($A$257:$A$264="Activity"),--($D$257:$D$264="P"),$O$257:$O$264,AX$257:AX$264)/SUMPRODUCT(--($A$257:$A$264="Activity"),--($D$257:$D$264="P"),$O$257:$O$264),""))</f>
        <v/>
      </c>
      <c r="AY255" s="45" t="str">
        <f t="shared" si="221"/>
        <v/>
      </c>
      <c r="AZ255" s="45" t="str">
        <f t="shared" si="221"/>
        <v/>
      </c>
      <c r="BA255" s="45" t="str">
        <f t="shared" si="221"/>
        <v/>
      </c>
      <c r="BB255" s="45" t="str">
        <f t="shared" si="221"/>
        <v/>
      </c>
      <c r="BC255" s="45" t="str">
        <f t="shared" si="221"/>
        <v/>
      </c>
      <c r="BD255" s="45" t="str">
        <f t="shared" si="221"/>
        <v/>
      </c>
      <c r="BE255" s="45" t="str">
        <f t="shared" si="221"/>
        <v/>
      </c>
      <c r="BF255" s="45" t="str">
        <f t="shared" si="221"/>
        <v/>
      </c>
      <c r="BG255" s="45" t="str">
        <f t="shared" si="221"/>
        <v/>
      </c>
      <c r="BH255" s="45" t="str">
        <f t="shared" si="221"/>
        <v/>
      </c>
      <c r="BI255" s="45" t="str">
        <f t="shared" si="221"/>
        <v/>
      </c>
      <c r="BJ255" s="45" t="str">
        <f t="shared" si="221"/>
        <v/>
      </c>
      <c r="BK255" s="45" t="str">
        <f t="shared" si="221"/>
        <v/>
      </c>
      <c r="BL255" s="45" t="str">
        <f t="shared" si="221"/>
        <v/>
      </c>
      <c r="BM255" s="45" t="str">
        <f t="shared" si="221"/>
        <v/>
      </c>
      <c r="BN255" s="45" t="str">
        <f t="shared" si="221"/>
        <v/>
      </c>
      <c r="BO255" s="45" t="str">
        <f t="shared" si="221"/>
        <v/>
      </c>
      <c r="BP255" s="45">
        <f t="shared" si="221"/>
        <v>1.1904761904761906E-2</v>
      </c>
      <c r="BQ255" s="45">
        <f t="shared" si="221"/>
        <v>8.3333333333333315E-2</v>
      </c>
      <c r="BR255" s="45">
        <f t="shared" si="221"/>
        <v>8.3333333333333315E-2</v>
      </c>
      <c r="BS255" s="45">
        <f t="shared" si="221"/>
        <v>7.1428571428571452E-2</v>
      </c>
      <c r="BT255" s="45" t="str">
        <f t="shared" si="221"/>
        <v/>
      </c>
      <c r="BU255" s="45" t="str">
        <f t="shared" si="221"/>
        <v/>
      </c>
      <c r="BV255" s="45" t="str">
        <f t="shared" si="221"/>
        <v/>
      </c>
      <c r="BW255" s="45" t="str">
        <f t="shared" si="221"/>
        <v/>
      </c>
      <c r="BX255" s="45" t="str">
        <f t="shared" si="221"/>
        <v/>
      </c>
      <c r="BY255" s="45" t="str">
        <f t="shared" si="221"/>
        <v/>
      </c>
      <c r="BZ255" s="45">
        <f t="shared" si="221"/>
        <v>6.5789473684210523E-2</v>
      </c>
      <c r="CA255" s="45">
        <f t="shared" si="221"/>
        <v>9.2105263157894732E-2</v>
      </c>
      <c r="CB255" s="45">
        <f t="shared" si="221"/>
        <v>9.2105263157894746E-2</v>
      </c>
      <c r="CC255" s="45" t="str">
        <f t="shared" si="221"/>
        <v/>
      </c>
      <c r="CD255" s="45" t="str">
        <f t="shared" ref="CD255:CO255" si="222">IF(COUNTIFS($A$257:$A$264,"Activity",$D$257:$D$264,"P",CD$257:CD$264,"&lt;&gt;")=0,"",IFERROR(SUMPRODUCT(--($A$257:$A$264="Activity"),--($D$257:$D$264="P"),$O$257:$O$264,CD$257:CD$264)/SUMPRODUCT(--($A$257:$A$264="Activity"),--($D$257:$D$264="P"),$O$257:$O$264),""))</f>
        <v/>
      </c>
      <c r="CE255" s="45">
        <f t="shared" si="222"/>
        <v>2.976190476190476E-2</v>
      </c>
      <c r="CF255" s="45">
        <f t="shared" si="222"/>
        <v>0.20833333333333329</v>
      </c>
      <c r="CG255" s="45">
        <f t="shared" si="222"/>
        <v>0.19047619047619047</v>
      </c>
      <c r="CH255" s="45">
        <f t="shared" si="222"/>
        <v>7.1428571428571452E-2</v>
      </c>
      <c r="CI255" s="45" t="str">
        <f t="shared" si="222"/>
        <v/>
      </c>
      <c r="CJ255" s="45" t="str">
        <f t="shared" si="222"/>
        <v/>
      </c>
      <c r="CK255" s="45" t="str">
        <f t="shared" si="222"/>
        <v/>
      </c>
      <c r="CL255" s="45" t="str">
        <f t="shared" si="222"/>
        <v/>
      </c>
      <c r="CM255" s="45" t="str">
        <f t="shared" si="222"/>
        <v/>
      </c>
      <c r="CN255" s="45" t="str">
        <f t="shared" si="222"/>
        <v/>
      </c>
      <c r="CO255" s="45" t="str">
        <f t="shared" si="222"/>
        <v/>
      </c>
    </row>
    <row r="256" spans="1:93" outlineLevel="3" x14ac:dyDescent="0.25">
      <c r="A256" s="1"/>
      <c r="B256" s="1"/>
      <c r="C256" s="7"/>
      <c r="D256" s="8" t="s">
        <v>111</v>
      </c>
      <c r="E256" s="1"/>
      <c r="F256" s="1"/>
      <c r="G256" s="1"/>
      <c r="H256" s="1"/>
      <c r="I256" s="9"/>
      <c r="J256" s="9"/>
      <c r="K256" s="9"/>
      <c r="L256" s="9"/>
      <c r="M256" s="3" t="str">
        <f t="shared" si="165"/>
        <v/>
      </c>
      <c r="N256" s="3"/>
      <c r="O256" s="46">
        <f>O255</f>
        <v>400000</v>
      </c>
      <c r="P256" s="4"/>
      <c r="Q256" s="5"/>
      <c r="R256" s="45" t="str">
        <f t="shared" ref="R256:AW256" si="223">IF(COUNTIFS($E$257:$E$264,"&lt;&gt;",$D$257:$D$264,"A",R$257:R$264,"&lt;&gt;")=0,"",IFERROR(SUMPRODUCT(--($E$257:$E$264&lt;&gt;""),--($D$257:$D$264="A"),$O$257:$O$264,R$257:R$264)/SUMPRODUCT(--($E$257:$E$264&lt;&gt;""),--($D$257:$D$264="A"),$O$257:$O$264),""))</f>
        <v/>
      </c>
      <c r="S256" s="45" t="str">
        <f t="shared" si="223"/>
        <v/>
      </c>
      <c r="T256" s="45" t="str">
        <f t="shared" si="223"/>
        <v/>
      </c>
      <c r="U256" s="45" t="str">
        <f t="shared" si="223"/>
        <v/>
      </c>
      <c r="V256" s="45" t="str">
        <f t="shared" si="223"/>
        <v/>
      </c>
      <c r="W256" s="45" t="str">
        <f t="shared" si="223"/>
        <v/>
      </c>
      <c r="X256" s="45" t="str">
        <f t="shared" si="223"/>
        <v/>
      </c>
      <c r="Y256" s="45" t="str">
        <f t="shared" si="223"/>
        <v/>
      </c>
      <c r="Z256" s="45" t="str">
        <f t="shared" si="223"/>
        <v/>
      </c>
      <c r="AA256" s="45" t="str">
        <f t="shared" si="223"/>
        <v/>
      </c>
      <c r="AB256" s="45" t="str">
        <f t="shared" si="223"/>
        <v/>
      </c>
      <c r="AC256" s="45" t="str">
        <f t="shared" si="223"/>
        <v/>
      </c>
      <c r="AD256" s="45" t="str">
        <f t="shared" si="223"/>
        <v/>
      </c>
      <c r="AE256" s="45" t="str">
        <f t="shared" si="223"/>
        <v/>
      </c>
      <c r="AF256" s="45" t="str">
        <f t="shared" si="223"/>
        <v/>
      </c>
      <c r="AG256" s="45" t="str">
        <f t="shared" si="223"/>
        <v/>
      </c>
      <c r="AH256" s="45" t="str">
        <f t="shared" si="223"/>
        <v/>
      </c>
      <c r="AI256" s="45" t="str">
        <f t="shared" si="223"/>
        <v/>
      </c>
      <c r="AJ256" s="45" t="str">
        <f t="shared" si="223"/>
        <v/>
      </c>
      <c r="AK256" s="45" t="str">
        <f t="shared" si="223"/>
        <v/>
      </c>
      <c r="AL256" s="45" t="str">
        <f t="shared" si="223"/>
        <v/>
      </c>
      <c r="AM256" s="45" t="str">
        <f t="shared" si="223"/>
        <v/>
      </c>
      <c r="AN256" s="45" t="str">
        <f t="shared" si="223"/>
        <v/>
      </c>
      <c r="AO256" s="45" t="str">
        <f t="shared" si="223"/>
        <v/>
      </c>
      <c r="AP256" s="45" t="str">
        <f t="shared" si="223"/>
        <v/>
      </c>
      <c r="AQ256" s="45" t="str">
        <f t="shared" si="223"/>
        <v/>
      </c>
      <c r="AR256" s="45" t="str">
        <f t="shared" si="223"/>
        <v/>
      </c>
      <c r="AS256" s="45" t="str">
        <f t="shared" si="223"/>
        <v/>
      </c>
      <c r="AT256" s="45" t="str">
        <f t="shared" si="223"/>
        <v/>
      </c>
      <c r="AU256" s="45" t="str">
        <f t="shared" si="223"/>
        <v/>
      </c>
      <c r="AV256" s="45" t="str">
        <f t="shared" si="223"/>
        <v/>
      </c>
      <c r="AW256" s="45" t="str">
        <f t="shared" si="223"/>
        <v/>
      </c>
      <c r="AX256" s="45" t="str">
        <f t="shared" ref="AX256:CC256" si="224">IF(COUNTIFS($E$257:$E$264,"&lt;&gt;",$D$257:$D$264,"A",AX$257:AX$264,"&lt;&gt;")=0,"",IFERROR(SUMPRODUCT(--($E$257:$E$264&lt;&gt;""),--($D$257:$D$264="A"),$O$257:$O$264,AX$257:AX$264)/SUMPRODUCT(--($E$257:$E$264&lt;&gt;""),--($D$257:$D$264="A"),$O$257:$O$264),""))</f>
        <v/>
      </c>
      <c r="AY256" s="45" t="str">
        <f t="shared" si="224"/>
        <v/>
      </c>
      <c r="AZ256" s="45" t="str">
        <f t="shared" si="224"/>
        <v/>
      </c>
      <c r="BA256" s="45" t="str">
        <f t="shared" si="224"/>
        <v/>
      </c>
      <c r="BB256" s="45" t="str">
        <f t="shared" si="224"/>
        <v/>
      </c>
      <c r="BC256" s="45" t="str">
        <f t="shared" si="224"/>
        <v/>
      </c>
      <c r="BD256" s="45" t="str">
        <f t="shared" si="224"/>
        <v/>
      </c>
      <c r="BE256" s="45" t="str">
        <f t="shared" si="224"/>
        <v/>
      </c>
      <c r="BF256" s="45" t="str">
        <f t="shared" si="224"/>
        <v/>
      </c>
      <c r="BG256" s="45" t="str">
        <f t="shared" si="224"/>
        <v/>
      </c>
      <c r="BH256" s="45" t="str">
        <f t="shared" si="224"/>
        <v/>
      </c>
      <c r="BI256" s="45" t="str">
        <f t="shared" si="224"/>
        <v/>
      </c>
      <c r="BJ256" s="45" t="str">
        <f t="shared" si="224"/>
        <v/>
      </c>
      <c r="BK256" s="45" t="str">
        <f t="shared" si="224"/>
        <v/>
      </c>
      <c r="BL256" s="45" t="str">
        <f t="shared" si="224"/>
        <v/>
      </c>
      <c r="BM256" s="45" t="str">
        <f t="shared" si="224"/>
        <v/>
      </c>
      <c r="BN256" s="45" t="str">
        <f t="shared" si="224"/>
        <v/>
      </c>
      <c r="BO256" s="45" t="str">
        <f t="shared" si="224"/>
        <v/>
      </c>
      <c r="BP256" s="45" t="str">
        <f t="shared" si="224"/>
        <v/>
      </c>
      <c r="BQ256" s="45" t="str">
        <f t="shared" si="224"/>
        <v/>
      </c>
      <c r="BR256" s="45" t="str">
        <f t="shared" si="224"/>
        <v/>
      </c>
      <c r="BS256" s="45" t="str">
        <f t="shared" si="224"/>
        <v/>
      </c>
      <c r="BT256" s="45" t="str">
        <f t="shared" si="224"/>
        <v/>
      </c>
      <c r="BU256" s="45" t="str">
        <f t="shared" si="224"/>
        <v/>
      </c>
      <c r="BV256" s="45" t="str">
        <f t="shared" si="224"/>
        <v/>
      </c>
      <c r="BW256" s="45" t="str">
        <f t="shared" si="224"/>
        <v/>
      </c>
      <c r="BX256" s="45" t="str">
        <f t="shared" si="224"/>
        <v/>
      </c>
      <c r="BY256" s="45" t="str">
        <f t="shared" si="224"/>
        <v/>
      </c>
      <c r="BZ256" s="45" t="str">
        <f t="shared" si="224"/>
        <v/>
      </c>
      <c r="CA256" s="45" t="str">
        <f t="shared" si="224"/>
        <v/>
      </c>
      <c r="CB256" s="45" t="str">
        <f t="shared" si="224"/>
        <v/>
      </c>
      <c r="CC256" s="45" t="str">
        <f t="shared" si="224"/>
        <v/>
      </c>
      <c r="CD256" s="45" t="str">
        <f t="shared" ref="CD256:CO256" si="225">IF(COUNTIFS($E$257:$E$264,"&lt;&gt;",$D$257:$D$264,"A",CD$257:CD$264,"&lt;&gt;")=0,"",IFERROR(SUMPRODUCT(--($E$257:$E$264&lt;&gt;""),--($D$257:$D$264="A"),$O$257:$O$264,CD$257:CD$264)/SUMPRODUCT(--($E$257:$E$264&lt;&gt;""),--($D$257:$D$264="A"),$O$257:$O$264),""))</f>
        <v/>
      </c>
      <c r="CE256" s="45" t="str">
        <f t="shared" si="225"/>
        <v/>
      </c>
      <c r="CF256" s="45" t="str">
        <f t="shared" si="225"/>
        <v/>
      </c>
      <c r="CG256" s="45" t="str">
        <f t="shared" si="225"/>
        <v/>
      </c>
      <c r="CH256" s="45" t="str">
        <f t="shared" si="225"/>
        <v/>
      </c>
      <c r="CI256" s="45" t="str">
        <f t="shared" si="225"/>
        <v/>
      </c>
      <c r="CJ256" s="45" t="str">
        <f t="shared" si="225"/>
        <v/>
      </c>
      <c r="CK256" s="45" t="str">
        <f t="shared" si="225"/>
        <v/>
      </c>
      <c r="CL256" s="45" t="str">
        <f t="shared" si="225"/>
        <v/>
      </c>
      <c r="CM256" s="45" t="str">
        <f t="shared" si="225"/>
        <v/>
      </c>
      <c r="CN256" s="45" t="str">
        <f t="shared" si="225"/>
        <v/>
      </c>
      <c r="CO256" s="45" t="str">
        <f t="shared" si="225"/>
        <v/>
      </c>
    </row>
    <row r="257" spans="1:93" outlineLevel="4" x14ac:dyDescent="0.25">
      <c r="A257" s="10" t="s">
        <v>116</v>
      </c>
      <c r="B257" s="10" t="s">
        <v>414</v>
      </c>
      <c r="C257" s="24" t="s">
        <v>345</v>
      </c>
      <c r="D257" s="12" t="s">
        <v>110</v>
      </c>
      <c r="E257" s="10" t="s">
        <v>415</v>
      </c>
      <c r="F257" s="10">
        <v>126</v>
      </c>
      <c r="G257" s="10">
        <v>94</v>
      </c>
      <c r="H257" s="10">
        <v>4</v>
      </c>
      <c r="I257" s="13">
        <v>46500.333333333343</v>
      </c>
      <c r="J257" s="13">
        <v>46520.666666666657</v>
      </c>
      <c r="K257" s="13"/>
      <c r="L257" s="13"/>
      <c r="M257" s="14">
        <f t="shared" si="165"/>
        <v>1</v>
      </c>
      <c r="N257" s="14"/>
      <c r="O257" s="16">
        <v>100000</v>
      </c>
      <c r="P257" s="15">
        <v>1.2</v>
      </c>
      <c r="Q257" s="16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>
        <v>4.7619047619047623E-2</v>
      </c>
      <c r="CF257" s="47">
        <v>0.33333333333333331</v>
      </c>
      <c r="CG257" s="47">
        <v>0.33333333333333331</v>
      </c>
      <c r="CH257" s="47">
        <v>0.28571428571428581</v>
      </c>
      <c r="CI257" s="47"/>
      <c r="CJ257" s="47"/>
      <c r="CK257" s="47"/>
      <c r="CL257" s="47"/>
      <c r="CM257" s="47"/>
      <c r="CN257" s="47"/>
      <c r="CO257" s="47"/>
    </row>
    <row r="258" spans="1:93" outlineLevel="4" x14ac:dyDescent="0.25">
      <c r="A258" s="17"/>
      <c r="B258" s="17"/>
      <c r="C258" s="25"/>
      <c r="D258" s="19" t="s">
        <v>111</v>
      </c>
      <c r="E258" s="17" t="s">
        <v>415</v>
      </c>
      <c r="F258" s="17"/>
      <c r="G258" s="17"/>
      <c r="H258" s="17"/>
      <c r="I258" s="20"/>
      <c r="J258" s="20"/>
      <c r="K258" s="20"/>
      <c r="L258" s="20"/>
      <c r="M258" s="21" t="str">
        <f t="shared" si="165"/>
        <v/>
      </c>
      <c r="N258" s="21">
        <v>0</v>
      </c>
      <c r="O258" s="48">
        <f>O257</f>
        <v>100000</v>
      </c>
      <c r="P258" s="22"/>
      <c r="Q258" s="23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</row>
    <row r="259" spans="1:93" outlineLevel="4" x14ac:dyDescent="0.25">
      <c r="A259" s="10" t="s">
        <v>116</v>
      </c>
      <c r="B259" s="10" t="s">
        <v>416</v>
      </c>
      <c r="C259" s="24" t="s">
        <v>417</v>
      </c>
      <c r="D259" s="12" t="s">
        <v>110</v>
      </c>
      <c r="E259" s="10" t="s">
        <v>418</v>
      </c>
      <c r="F259" s="10">
        <v>127</v>
      </c>
      <c r="G259" s="10">
        <v>130</v>
      </c>
      <c r="H259" s="10">
        <v>4</v>
      </c>
      <c r="I259" s="13">
        <v>46395.333333333343</v>
      </c>
      <c r="J259" s="13">
        <v>46415.666666666657</v>
      </c>
      <c r="K259" s="13"/>
      <c r="L259" s="13"/>
      <c r="M259" s="14">
        <f t="shared" si="165"/>
        <v>1</v>
      </c>
      <c r="N259" s="14"/>
      <c r="O259" s="16">
        <v>100000</v>
      </c>
      <c r="P259" s="15">
        <v>1.2</v>
      </c>
      <c r="Q259" s="16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>
        <v>4.7619047619047623E-2</v>
      </c>
      <c r="BQ259" s="47">
        <v>0.33333333333333331</v>
      </c>
      <c r="BR259" s="47">
        <v>0.33333333333333331</v>
      </c>
      <c r="BS259" s="47">
        <v>0.28571428571428581</v>
      </c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</row>
    <row r="260" spans="1:93" outlineLevel="4" x14ac:dyDescent="0.25">
      <c r="A260" s="17"/>
      <c r="B260" s="17"/>
      <c r="C260" s="25"/>
      <c r="D260" s="19" t="s">
        <v>111</v>
      </c>
      <c r="E260" s="17" t="s">
        <v>418</v>
      </c>
      <c r="F260" s="17"/>
      <c r="G260" s="17"/>
      <c r="H260" s="17"/>
      <c r="I260" s="20"/>
      <c r="J260" s="20"/>
      <c r="K260" s="20"/>
      <c r="L260" s="20"/>
      <c r="M260" s="21" t="str">
        <f t="shared" si="165"/>
        <v/>
      </c>
      <c r="N260" s="21">
        <v>0</v>
      </c>
      <c r="O260" s="48">
        <f>O259</f>
        <v>100000</v>
      </c>
      <c r="P260" s="22"/>
      <c r="Q260" s="23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</row>
    <row r="261" spans="1:93" outlineLevel="4" x14ac:dyDescent="0.25">
      <c r="A261" s="10" t="s">
        <v>116</v>
      </c>
      <c r="B261" s="10" t="s">
        <v>419</v>
      </c>
      <c r="C261" s="24" t="s">
        <v>388</v>
      </c>
      <c r="D261" s="12" t="s">
        <v>110</v>
      </c>
      <c r="E261" s="10" t="s">
        <v>420</v>
      </c>
      <c r="F261" s="10">
        <v>128</v>
      </c>
      <c r="G261" s="10">
        <v>131</v>
      </c>
      <c r="H261" s="10">
        <v>4</v>
      </c>
      <c r="I261" s="13">
        <v>46500.333333333343</v>
      </c>
      <c r="J261" s="13">
        <v>46513.666666666657</v>
      </c>
      <c r="K261" s="13"/>
      <c r="L261" s="13"/>
      <c r="M261" s="14">
        <f t="shared" ref="M261:M324" si="226">IF(COUNT(R261:CO261)=0,"",SUM(R261:CO261))</f>
        <v>0.99999999999999989</v>
      </c>
      <c r="N261" s="14"/>
      <c r="O261" s="16">
        <v>100000</v>
      </c>
      <c r="P261" s="15">
        <v>2.2666666666666671</v>
      </c>
      <c r="Q261" s="16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>
        <v>7.1428571428571411E-2</v>
      </c>
      <c r="CF261" s="47">
        <v>0.49999999999999989</v>
      </c>
      <c r="CG261" s="47">
        <v>0.4285714285714286</v>
      </c>
      <c r="CH261" s="47"/>
      <c r="CI261" s="47"/>
      <c r="CJ261" s="47"/>
      <c r="CK261" s="47"/>
      <c r="CL261" s="47"/>
      <c r="CM261" s="47"/>
      <c r="CN261" s="47"/>
      <c r="CO261" s="47"/>
    </row>
    <row r="262" spans="1:93" outlineLevel="4" x14ac:dyDescent="0.25">
      <c r="A262" s="17"/>
      <c r="B262" s="17"/>
      <c r="C262" s="25"/>
      <c r="D262" s="19" t="s">
        <v>111</v>
      </c>
      <c r="E262" s="17" t="s">
        <v>420</v>
      </c>
      <c r="F262" s="17"/>
      <c r="G262" s="17"/>
      <c r="H262" s="17"/>
      <c r="I262" s="20"/>
      <c r="J262" s="20"/>
      <c r="K262" s="20"/>
      <c r="L262" s="20"/>
      <c r="M262" s="21" t="str">
        <f t="shared" si="226"/>
        <v/>
      </c>
      <c r="N262" s="21">
        <v>0</v>
      </c>
      <c r="O262" s="48">
        <f>O261</f>
        <v>100000</v>
      </c>
      <c r="P262" s="22"/>
      <c r="Q262" s="23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</row>
    <row r="263" spans="1:93" outlineLevel="4" x14ac:dyDescent="0.25">
      <c r="A263" s="10" t="s">
        <v>116</v>
      </c>
      <c r="B263" s="10" t="s">
        <v>421</v>
      </c>
      <c r="C263" s="24" t="s">
        <v>348</v>
      </c>
      <c r="D263" s="12" t="s">
        <v>110</v>
      </c>
      <c r="E263" s="10" t="s">
        <v>422</v>
      </c>
      <c r="F263" s="10">
        <v>129</v>
      </c>
      <c r="G263" s="10">
        <v>133</v>
      </c>
      <c r="H263" s="10">
        <v>4</v>
      </c>
      <c r="I263" s="13">
        <v>46461.333333333343</v>
      </c>
      <c r="J263" s="13">
        <v>46479.666666666657</v>
      </c>
      <c r="K263" s="13"/>
      <c r="L263" s="13"/>
      <c r="M263" s="14">
        <f t="shared" si="226"/>
        <v>1</v>
      </c>
      <c r="N263" s="14"/>
      <c r="O263" s="16">
        <v>100000</v>
      </c>
      <c r="P263" s="15">
        <v>4.1333333333333337</v>
      </c>
      <c r="Q263" s="16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>
        <v>0.26315789473684209</v>
      </c>
      <c r="CA263" s="47">
        <v>0.36842105263157893</v>
      </c>
      <c r="CB263" s="47">
        <v>0.36842105263157898</v>
      </c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</row>
    <row r="264" spans="1:93" outlineLevel="4" x14ac:dyDescent="0.25">
      <c r="A264" s="17"/>
      <c r="B264" s="17"/>
      <c r="C264" s="25"/>
      <c r="D264" s="19" t="s">
        <v>111</v>
      </c>
      <c r="E264" s="17" t="s">
        <v>422</v>
      </c>
      <c r="F264" s="17"/>
      <c r="G264" s="17"/>
      <c r="H264" s="17"/>
      <c r="I264" s="20"/>
      <c r="J264" s="20"/>
      <c r="K264" s="20"/>
      <c r="L264" s="20"/>
      <c r="M264" s="21" t="str">
        <f t="shared" si="226"/>
        <v/>
      </c>
      <c r="N264" s="21">
        <v>0</v>
      </c>
      <c r="O264" s="48">
        <f>O263</f>
        <v>100000</v>
      </c>
      <c r="P264" s="22"/>
      <c r="Q264" s="23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</row>
    <row r="265" spans="1:93" outlineLevel="3" x14ac:dyDescent="0.25">
      <c r="A265" s="1" t="s">
        <v>92</v>
      </c>
      <c r="B265" s="1" t="s">
        <v>423</v>
      </c>
      <c r="C265" s="7" t="s">
        <v>351</v>
      </c>
      <c r="D265" s="8" t="s">
        <v>110</v>
      </c>
      <c r="E265" s="1"/>
      <c r="F265" s="1">
        <v>130</v>
      </c>
      <c r="G265" s="1">
        <v>134</v>
      </c>
      <c r="H265" s="1">
        <v>3</v>
      </c>
      <c r="I265" s="9">
        <v>46416.333333333343</v>
      </c>
      <c r="J265" s="9">
        <v>46443.666666666657</v>
      </c>
      <c r="K265" s="9"/>
      <c r="L265" s="9"/>
      <c r="M265" s="3">
        <f t="shared" si="226"/>
        <v>1.0000000000000002</v>
      </c>
      <c r="N265" s="3"/>
      <c r="O265" s="5">
        <f>SUMIFS($O$266:$O$267,$A$266:$A$267,"Activity",$D$266:$D$267,"P")</f>
        <v>100000</v>
      </c>
      <c r="P265" s="4"/>
      <c r="Q265" s="5"/>
      <c r="R265" s="45" t="str">
        <f t="shared" ref="R265:AW265" si="227">IF(COUNTIFS($A$267:$A$268,"Activity",$D$267:$D$268,"P",R$267:R$268,"&lt;&gt;")=0,"",IFERROR(SUMPRODUCT(--($A$267:$A$268="Activity"),--($D$267:$D$268="P"),$O$267:$O$268,R$267:R$268)/SUMPRODUCT(--($A$267:$A$268="Activity"),--($D$267:$D$268="P"),$O$267:$O$268),""))</f>
        <v/>
      </c>
      <c r="S265" s="45" t="str">
        <f t="shared" si="227"/>
        <v/>
      </c>
      <c r="T265" s="45" t="str">
        <f t="shared" si="227"/>
        <v/>
      </c>
      <c r="U265" s="45" t="str">
        <f t="shared" si="227"/>
        <v/>
      </c>
      <c r="V265" s="45" t="str">
        <f t="shared" si="227"/>
        <v/>
      </c>
      <c r="W265" s="45" t="str">
        <f t="shared" si="227"/>
        <v/>
      </c>
      <c r="X265" s="45" t="str">
        <f t="shared" si="227"/>
        <v/>
      </c>
      <c r="Y265" s="45" t="str">
        <f t="shared" si="227"/>
        <v/>
      </c>
      <c r="Z265" s="45" t="str">
        <f t="shared" si="227"/>
        <v/>
      </c>
      <c r="AA265" s="45" t="str">
        <f t="shared" si="227"/>
        <v/>
      </c>
      <c r="AB265" s="45" t="str">
        <f t="shared" si="227"/>
        <v/>
      </c>
      <c r="AC265" s="45" t="str">
        <f t="shared" si="227"/>
        <v/>
      </c>
      <c r="AD265" s="45" t="str">
        <f t="shared" si="227"/>
        <v/>
      </c>
      <c r="AE265" s="45" t="str">
        <f t="shared" si="227"/>
        <v/>
      </c>
      <c r="AF265" s="45" t="str">
        <f t="shared" si="227"/>
        <v/>
      </c>
      <c r="AG265" s="45" t="str">
        <f t="shared" si="227"/>
        <v/>
      </c>
      <c r="AH265" s="45" t="str">
        <f t="shared" si="227"/>
        <v/>
      </c>
      <c r="AI265" s="45" t="str">
        <f t="shared" si="227"/>
        <v/>
      </c>
      <c r="AJ265" s="45" t="str">
        <f t="shared" si="227"/>
        <v/>
      </c>
      <c r="AK265" s="45" t="str">
        <f t="shared" si="227"/>
        <v/>
      </c>
      <c r="AL265" s="45" t="str">
        <f t="shared" si="227"/>
        <v/>
      </c>
      <c r="AM265" s="45" t="str">
        <f t="shared" si="227"/>
        <v/>
      </c>
      <c r="AN265" s="45" t="str">
        <f t="shared" si="227"/>
        <v/>
      </c>
      <c r="AO265" s="45" t="str">
        <f t="shared" si="227"/>
        <v/>
      </c>
      <c r="AP265" s="45" t="str">
        <f t="shared" si="227"/>
        <v/>
      </c>
      <c r="AQ265" s="45" t="str">
        <f t="shared" si="227"/>
        <v/>
      </c>
      <c r="AR265" s="45" t="str">
        <f t="shared" si="227"/>
        <v/>
      </c>
      <c r="AS265" s="45" t="str">
        <f t="shared" si="227"/>
        <v/>
      </c>
      <c r="AT265" s="45" t="str">
        <f t="shared" si="227"/>
        <v/>
      </c>
      <c r="AU265" s="45" t="str">
        <f t="shared" si="227"/>
        <v/>
      </c>
      <c r="AV265" s="45" t="str">
        <f t="shared" si="227"/>
        <v/>
      </c>
      <c r="AW265" s="45" t="str">
        <f t="shared" si="227"/>
        <v/>
      </c>
      <c r="AX265" s="45" t="str">
        <f t="shared" ref="AX265:CC265" si="228">IF(COUNTIFS($A$267:$A$268,"Activity",$D$267:$D$268,"P",AX$267:AX$268,"&lt;&gt;")=0,"",IFERROR(SUMPRODUCT(--($A$267:$A$268="Activity"),--($D$267:$D$268="P"),$O$267:$O$268,AX$267:AX$268)/SUMPRODUCT(--($A$267:$A$268="Activity"),--($D$267:$D$268="P"),$O$267:$O$268),""))</f>
        <v/>
      </c>
      <c r="AY265" s="45" t="str">
        <f t="shared" si="228"/>
        <v/>
      </c>
      <c r="AZ265" s="45" t="str">
        <f t="shared" si="228"/>
        <v/>
      </c>
      <c r="BA265" s="45" t="str">
        <f t="shared" si="228"/>
        <v/>
      </c>
      <c r="BB265" s="45" t="str">
        <f t="shared" si="228"/>
        <v/>
      </c>
      <c r="BC265" s="45" t="str">
        <f t="shared" si="228"/>
        <v/>
      </c>
      <c r="BD265" s="45" t="str">
        <f t="shared" si="228"/>
        <v/>
      </c>
      <c r="BE265" s="45" t="str">
        <f t="shared" si="228"/>
        <v/>
      </c>
      <c r="BF265" s="45" t="str">
        <f t="shared" si="228"/>
        <v/>
      </c>
      <c r="BG265" s="45" t="str">
        <f t="shared" si="228"/>
        <v/>
      </c>
      <c r="BH265" s="45" t="str">
        <f t="shared" si="228"/>
        <v/>
      </c>
      <c r="BI265" s="45" t="str">
        <f t="shared" si="228"/>
        <v/>
      </c>
      <c r="BJ265" s="45" t="str">
        <f t="shared" si="228"/>
        <v/>
      </c>
      <c r="BK265" s="45" t="str">
        <f t="shared" si="228"/>
        <v/>
      </c>
      <c r="BL265" s="45" t="str">
        <f t="shared" si="228"/>
        <v/>
      </c>
      <c r="BM265" s="45" t="str">
        <f t="shared" si="228"/>
        <v/>
      </c>
      <c r="BN265" s="45" t="str">
        <f t="shared" si="228"/>
        <v/>
      </c>
      <c r="BO265" s="45" t="str">
        <f t="shared" si="228"/>
        <v/>
      </c>
      <c r="BP265" s="45" t="str">
        <f t="shared" si="228"/>
        <v/>
      </c>
      <c r="BQ265" s="45" t="str">
        <f t="shared" si="228"/>
        <v/>
      </c>
      <c r="BR265" s="45" t="str">
        <f t="shared" si="228"/>
        <v/>
      </c>
      <c r="BS265" s="45">
        <f t="shared" si="228"/>
        <v>3.5714285714285719E-2</v>
      </c>
      <c r="BT265" s="45">
        <f t="shared" si="228"/>
        <v>0.25000000000000011</v>
      </c>
      <c r="BU265" s="45">
        <f t="shared" si="228"/>
        <v>0.25000000000000011</v>
      </c>
      <c r="BV265" s="45">
        <f t="shared" si="228"/>
        <v>0.25000000000000011</v>
      </c>
      <c r="BW265" s="45">
        <f t="shared" si="228"/>
        <v>0.21428571428571419</v>
      </c>
      <c r="BX265" s="45" t="str">
        <f t="shared" si="228"/>
        <v/>
      </c>
      <c r="BY265" s="45" t="str">
        <f t="shared" si="228"/>
        <v/>
      </c>
      <c r="BZ265" s="45" t="str">
        <f t="shared" si="228"/>
        <v/>
      </c>
      <c r="CA265" s="45" t="str">
        <f t="shared" si="228"/>
        <v/>
      </c>
      <c r="CB265" s="45" t="str">
        <f t="shared" si="228"/>
        <v/>
      </c>
      <c r="CC265" s="45" t="str">
        <f t="shared" si="228"/>
        <v/>
      </c>
      <c r="CD265" s="45" t="str">
        <f t="shared" ref="CD265:CO265" si="229">IF(COUNTIFS($A$267:$A$268,"Activity",$D$267:$D$268,"P",CD$267:CD$268,"&lt;&gt;")=0,"",IFERROR(SUMPRODUCT(--($A$267:$A$268="Activity"),--($D$267:$D$268="P"),$O$267:$O$268,CD$267:CD$268)/SUMPRODUCT(--($A$267:$A$268="Activity"),--($D$267:$D$268="P"),$O$267:$O$268),""))</f>
        <v/>
      </c>
      <c r="CE265" s="45" t="str">
        <f t="shared" si="229"/>
        <v/>
      </c>
      <c r="CF265" s="45" t="str">
        <f t="shared" si="229"/>
        <v/>
      </c>
      <c r="CG265" s="45" t="str">
        <f t="shared" si="229"/>
        <v/>
      </c>
      <c r="CH265" s="45" t="str">
        <f t="shared" si="229"/>
        <v/>
      </c>
      <c r="CI265" s="45" t="str">
        <f t="shared" si="229"/>
        <v/>
      </c>
      <c r="CJ265" s="45" t="str">
        <f t="shared" si="229"/>
        <v/>
      </c>
      <c r="CK265" s="45" t="str">
        <f t="shared" si="229"/>
        <v/>
      </c>
      <c r="CL265" s="45" t="str">
        <f t="shared" si="229"/>
        <v/>
      </c>
      <c r="CM265" s="45" t="str">
        <f t="shared" si="229"/>
        <v/>
      </c>
      <c r="CN265" s="45" t="str">
        <f t="shared" si="229"/>
        <v/>
      </c>
      <c r="CO265" s="45" t="str">
        <f t="shared" si="229"/>
        <v/>
      </c>
    </row>
    <row r="266" spans="1:93" outlineLevel="3" x14ac:dyDescent="0.25">
      <c r="A266" s="1"/>
      <c r="B266" s="1"/>
      <c r="C266" s="7"/>
      <c r="D266" s="8" t="s">
        <v>111</v>
      </c>
      <c r="E266" s="1"/>
      <c r="F266" s="1"/>
      <c r="G266" s="1"/>
      <c r="H266" s="1"/>
      <c r="I266" s="9"/>
      <c r="J266" s="9"/>
      <c r="K266" s="9"/>
      <c r="L266" s="9"/>
      <c r="M266" s="3" t="str">
        <f t="shared" si="226"/>
        <v/>
      </c>
      <c r="N266" s="3"/>
      <c r="O266" s="46">
        <f>O265</f>
        <v>100000</v>
      </c>
      <c r="P266" s="4"/>
      <c r="Q266" s="5"/>
      <c r="R266" s="45" t="str">
        <f t="shared" ref="R266:AW266" si="230">IF(COUNTIFS($E$267:$E$268,"&lt;&gt;",$D$267:$D$268,"A",R$267:R$268,"&lt;&gt;")=0,"",IFERROR(SUMPRODUCT(--($E$267:$E$268&lt;&gt;""),--($D$267:$D$268="A"),$O$267:$O$268,R$267:R$268)/SUMPRODUCT(--($E$267:$E$268&lt;&gt;""),--($D$267:$D$268="A"),$O$267:$O$268),""))</f>
        <v/>
      </c>
      <c r="S266" s="45" t="str">
        <f t="shared" si="230"/>
        <v/>
      </c>
      <c r="T266" s="45" t="str">
        <f t="shared" si="230"/>
        <v/>
      </c>
      <c r="U266" s="45" t="str">
        <f t="shared" si="230"/>
        <v/>
      </c>
      <c r="V266" s="45" t="str">
        <f t="shared" si="230"/>
        <v/>
      </c>
      <c r="W266" s="45" t="str">
        <f t="shared" si="230"/>
        <v/>
      </c>
      <c r="X266" s="45" t="str">
        <f t="shared" si="230"/>
        <v/>
      </c>
      <c r="Y266" s="45" t="str">
        <f t="shared" si="230"/>
        <v/>
      </c>
      <c r="Z266" s="45" t="str">
        <f t="shared" si="230"/>
        <v/>
      </c>
      <c r="AA266" s="45" t="str">
        <f t="shared" si="230"/>
        <v/>
      </c>
      <c r="AB266" s="45" t="str">
        <f t="shared" si="230"/>
        <v/>
      </c>
      <c r="AC266" s="45" t="str">
        <f t="shared" si="230"/>
        <v/>
      </c>
      <c r="AD266" s="45" t="str">
        <f t="shared" si="230"/>
        <v/>
      </c>
      <c r="AE266" s="45" t="str">
        <f t="shared" si="230"/>
        <v/>
      </c>
      <c r="AF266" s="45" t="str">
        <f t="shared" si="230"/>
        <v/>
      </c>
      <c r="AG266" s="45" t="str">
        <f t="shared" si="230"/>
        <v/>
      </c>
      <c r="AH266" s="45" t="str">
        <f t="shared" si="230"/>
        <v/>
      </c>
      <c r="AI266" s="45" t="str">
        <f t="shared" si="230"/>
        <v/>
      </c>
      <c r="AJ266" s="45" t="str">
        <f t="shared" si="230"/>
        <v/>
      </c>
      <c r="AK266" s="45" t="str">
        <f t="shared" si="230"/>
        <v/>
      </c>
      <c r="AL266" s="45" t="str">
        <f t="shared" si="230"/>
        <v/>
      </c>
      <c r="AM266" s="45" t="str">
        <f t="shared" si="230"/>
        <v/>
      </c>
      <c r="AN266" s="45" t="str">
        <f t="shared" si="230"/>
        <v/>
      </c>
      <c r="AO266" s="45" t="str">
        <f t="shared" si="230"/>
        <v/>
      </c>
      <c r="AP266" s="45" t="str">
        <f t="shared" si="230"/>
        <v/>
      </c>
      <c r="AQ266" s="45" t="str">
        <f t="shared" si="230"/>
        <v/>
      </c>
      <c r="AR266" s="45" t="str">
        <f t="shared" si="230"/>
        <v/>
      </c>
      <c r="AS266" s="45" t="str">
        <f t="shared" si="230"/>
        <v/>
      </c>
      <c r="AT266" s="45" t="str">
        <f t="shared" si="230"/>
        <v/>
      </c>
      <c r="AU266" s="45" t="str">
        <f t="shared" si="230"/>
        <v/>
      </c>
      <c r="AV266" s="45" t="str">
        <f t="shared" si="230"/>
        <v/>
      </c>
      <c r="AW266" s="45" t="str">
        <f t="shared" si="230"/>
        <v/>
      </c>
      <c r="AX266" s="45" t="str">
        <f t="shared" ref="AX266:CC266" si="231">IF(COUNTIFS($E$267:$E$268,"&lt;&gt;",$D$267:$D$268,"A",AX$267:AX$268,"&lt;&gt;")=0,"",IFERROR(SUMPRODUCT(--($E$267:$E$268&lt;&gt;""),--($D$267:$D$268="A"),$O$267:$O$268,AX$267:AX$268)/SUMPRODUCT(--($E$267:$E$268&lt;&gt;""),--($D$267:$D$268="A"),$O$267:$O$268),""))</f>
        <v/>
      </c>
      <c r="AY266" s="45" t="str">
        <f t="shared" si="231"/>
        <v/>
      </c>
      <c r="AZ266" s="45" t="str">
        <f t="shared" si="231"/>
        <v/>
      </c>
      <c r="BA266" s="45" t="str">
        <f t="shared" si="231"/>
        <v/>
      </c>
      <c r="BB266" s="45" t="str">
        <f t="shared" si="231"/>
        <v/>
      </c>
      <c r="BC266" s="45" t="str">
        <f t="shared" si="231"/>
        <v/>
      </c>
      <c r="BD266" s="45" t="str">
        <f t="shared" si="231"/>
        <v/>
      </c>
      <c r="BE266" s="45" t="str">
        <f t="shared" si="231"/>
        <v/>
      </c>
      <c r="BF266" s="45" t="str">
        <f t="shared" si="231"/>
        <v/>
      </c>
      <c r="BG266" s="45" t="str">
        <f t="shared" si="231"/>
        <v/>
      </c>
      <c r="BH266" s="45" t="str">
        <f t="shared" si="231"/>
        <v/>
      </c>
      <c r="BI266" s="45" t="str">
        <f t="shared" si="231"/>
        <v/>
      </c>
      <c r="BJ266" s="45" t="str">
        <f t="shared" si="231"/>
        <v/>
      </c>
      <c r="BK266" s="45" t="str">
        <f t="shared" si="231"/>
        <v/>
      </c>
      <c r="BL266" s="45" t="str">
        <f t="shared" si="231"/>
        <v/>
      </c>
      <c r="BM266" s="45" t="str">
        <f t="shared" si="231"/>
        <v/>
      </c>
      <c r="BN266" s="45" t="str">
        <f t="shared" si="231"/>
        <v/>
      </c>
      <c r="BO266" s="45" t="str">
        <f t="shared" si="231"/>
        <v/>
      </c>
      <c r="BP266" s="45" t="str">
        <f t="shared" si="231"/>
        <v/>
      </c>
      <c r="BQ266" s="45" t="str">
        <f t="shared" si="231"/>
        <v/>
      </c>
      <c r="BR266" s="45" t="str">
        <f t="shared" si="231"/>
        <v/>
      </c>
      <c r="BS266" s="45" t="str">
        <f t="shared" si="231"/>
        <v/>
      </c>
      <c r="BT266" s="45" t="str">
        <f t="shared" si="231"/>
        <v/>
      </c>
      <c r="BU266" s="45" t="str">
        <f t="shared" si="231"/>
        <v/>
      </c>
      <c r="BV266" s="45" t="str">
        <f t="shared" si="231"/>
        <v/>
      </c>
      <c r="BW266" s="45" t="str">
        <f t="shared" si="231"/>
        <v/>
      </c>
      <c r="BX266" s="45" t="str">
        <f t="shared" si="231"/>
        <v/>
      </c>
      <c r="BY266" s="45" t="str">
        <f t="shared" si="231"/>
        <v/>
      </c>
      <c r="BZ266" s="45" t="str">
        <f t="shared" si="231"/>
        <v/>
      </c>
      <c r="CA266" s="45" t="str">
        <f t="shared" si="231"/>
        <v/>
      </c>
      <c r="CB266" s="45" t="str">
        <f t="shared" si="231"/>
        <v/>
      </c>
      <c r="CC266" s="45" t="str">
        <f t="shared" si="231"/>
        <v/>
      </c>
      <c r="CD266" s="45" t="str">
        <f t="shared" ref="CD266:CO266" si="232">IF(COUNTIFS($E$267:$E$268,"&lt;&gt;",$D$267:$D$268,"A",CD$267:CD$268,"&lt;&gt;")=0,"",IFERROR(SUMPRODUCT(--($E$267:$E$268&lt;&gt;""),--($D$267:$D$268="A"),$O$267:$O$268,CD$267:CD$268)/SUMPRODUCT(--($E$267:$E$268&lt;&gt;""),--($D$267:$D$268="A"),$O$267:$O$268),""))</f>
        <v/>
      </c>
      <c r="CE266" s="45" t="str">
        <f t="shared" si="232"/>
        <v/>
      </c>
      <c r="CF266" s="45" t="str">
        <f t="shared" si="232"/>
        <v/>
      </c>
      <c r="CG266" s="45" t="str">
        <f t="shared" si="232"/>
        <v/>
      </c>
      <c r="CH266" s="45" t="str">
        <f t="shared" si="232"/>
        <v/>
      </c>
      <c r="CI266" s="45" t="str">
        <f t="shared" si="232"/>
        <v/>
      </c>
      <c r="CJ266" s="45" t="str">
        <f t="shared" si="232"/>
        <v/>
      </c>
      <c r="CK266" s="45" t="str">
        <f t="shared" si="232"/>
        <v/>
      </c>
      <c r="CL266" s="45" t="str">
        <f t="shared" si="232"/>
        <v/>
      </c>
      <c r="CM266" s="45" t="str">
        <f t="shared" si="232"/>
        <v/>
      </c>
      <c r="CN266" s="45" t="str">
        <f t="shared" si="232"/>
        <v/>
      </c>
      <c r="CO266" s="45" t="str">
        <f t="shared" si="232"/>
        <v/>
      </c>
    </row>
    <row r="267" spans="1:93" outlineLevel="4" x14ac:dyDescent="0.25">
      <c r="A267" s="10" t="s">
        <v>116</v>
      </c>
      <c r="B267" s="10" t="s">
        <v>424</v>
      </c>
      <c r="C267" s="24" t="s">
        <v>353</v>
      </c>
      <c r="D267" s="12" t="s">
        <v>110</v>
      </c>
      <c r="E267" s="10" t="s">
        <v>425</v>
      </c>
      <c r="F267" s="10">
        <v>131</v>
      </c>
      <c r="G267" s="10">
        <v>135</v>
      </c>
      <c r="H267" s="10">
        <v>4</v>
      </c>
      <c r="I267" s="13">
        <v>46416.333333333343</v>
      </c>
      <c r="J267" s="13">
        <v>46443.666666666657</v>
      </c>
      <c r="K267" s="13"/>
      <c r="L267" s="13"/>
      <c r="M267" s="14">
        <f t="shared" si="226"/>
        <v>1.0000000000000002</v>
      </c>
      <c r="N267" s="14"/>
      <c r="O267" s="16">
        <v>100000</v>
      </c>
      <c r="P267" s="15">
        <v>1.2</v>
      </c>
      <c r="Q267" s="16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>
        <v>3.5714285714285719E-2</v>
      </c>
      <c r="BT267" s="47">
        <v>0.25000000000000011</v>
      </c>
      <c r="BU267" s="47">
        <v>0.25000000000000011</v>
      </c>
      <c r="BV267" s="47">
        <v>0.25000000000000011</v>
      </c>
      <c r="BW267" s="47">
        <v>0.21428571428571419</v>
      </c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</row>
    <row r="268" spans="1:93" outlineLevel="4" x14ac:dyDescent="0.25">
      <c r="A268" s="17"/>
      <c r="B268" s="17"/>
      <c r="C268" s="25"/>
      <c r="D268" s="19" t="s">
        <v>111</v>
      </c>
      <c r="E268" s="17" t="s">
        <v>425</v>
      </c>
      <c r="F268" s="17"/>
      <c r="G268" s="17"/>
      <c r="H268" s="17"/>
      <c r="I268" s="20"/>
      <c r="J268" s="20"/>
      <c r="K268" s="20"/>
      <c r="L268" s="20"/>
      <c r="M268" s="21" t="str">
        <f t="shared" si="226"/>
        <v/>
      </c>
      <c r="N268" s="21">
        <v>0</v>
      </c>
      <c r="O268" s="48">
        <f>O267</f>
        <v>100000</v>
      </c>
      <c r="P268" s="22"/>
      <c r="Q268" s="23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</row>
    <row r="269" spans="1:93" outlineLevel="3" x14ac:dyDescent="0.25">
      <c r="A269" s="1" t="s">
        <v>92</v>
      </c>
      <c r="B269" s="1" t="s">
        <v>426</v>
      </c>
      <c r="C269" s="7" t="s">
        <v>356</v>
      </c>
      <c r="D269" s="8" t="s">
        <v>110</v>
      </c>
      <c r="E269" s="1"/>
      <c r="F269" s="1">
        <v>132</v>
      </c>
      <c r="G269" s="1">
        <v>136</v>
      </c>
      <c r="H269" s="1">
        <v>3</v>
      </c>
      <c r="I269" s="9">
        <v>46395.333333333343</v>
      </c>
      <c r="J269" s="9">
        <v>46520.666666666657</v>
      </c>
      <c r="K269" s="9"/>
      <c r="L269" s="9"/>
      <c r="M269" s="3">
        <f t="shared" si="226"/>
        <v>0.99999999999999989</v>
      </c>
      <c r="N269" s="3"/>
      <c r="O269" s="5">
        <f>SUMIFS($O$270:$O$273,$A$270:$A$273,"Activity",$D$270:$D$273,"P")</f>
        <v>200000</v>
      </c>
      <c r="P269" s="4"/>
      <c r="Q269" s="5"/>
      <c r="R269" s="45" t="str">
        <f t="shared" ref="R269:AW269" si="233">IF(COUNTIFS($A$271:$A$274,"Activity",$D$271:$D$274,"P",R$271:R$274,"&lt;&gt;")=0,"",IFERROR(SUMPRODUCT(--($A$271:$A$274="Activity"),--($D$271:$D$274="P"),$O$271:$O$274,R$271:R$274)/SUMPRODUCT(--($A$271:$A$274="Activity"),--($D$271:$D$274="P"),$O$271:$O$274),""))</f>
        <v/>
      </c>
      <c r="S269" s="45" t="str">
        <f t="shared" si="233"/>
        <v/>
      </c>
      <c r="T269" s="45" t="str">
        <f t="shared" si="233"/>
        <v/>
      </c>
      <c r="U269" s="45" t="str">
        <f t="shared" si="233"/>
        <v/>
      </c>
      <c r="V269" s="45" t="str">
        <f t="shared" si="233"/>
        <v/>
      </c>
      <c r="W269" s="45" t="str">
        <f t="shared" si="233"/>
        <v/>
      </c>
      <c r="X269" s="45" t="str">
        <f t="shared" si="233"/>
        <v/>
      </c>
      <c r="Y269" s="45" t="str">
        <f t="shared" si="233"/>
        <v/>
      </c>
      <c r="Z269" s="45" t="str">
        <f t="shared" si="233"/>
        <v/>
      </c>
      <c r="AA269" s="45" t="str">
        <f t="shared" si="233"/>
        <v/>
      </c>
      <c r="AB269" s="45" t="str">
        <f t="shared" si="233"/>
        <v/>
      </c>
      <c r="AC269" s="45" t="str">
        <f t="shared" si="233"/>
        <v/>
      </c>
      <c r="AD269" s="45" t="str">
        <f t="shared" si="233"/>
        <v/>
      </c>
      <c r="AE269" s="45" t="str">
        <f t="shared" si="233"/>
        <v/>
      </c>
      <c r="AF269" s="45" t="str">
        <f t="shared" si="233"/>
        <v/>
      </c>
      <c r="AG269" s="45" t="str">
        <f t="shared" si="233"/>
        <v/>
      </c>
      <c r="AH269" s="45" t="str">
        <f t="shared" si="233"/>
        <v/>
      </c>
      <c r="AI269" s="45" t="str">
        <f t="shared" si="233"/>
        <v/>
      </c>
      <c r="AJ269" s="45" t="str">
        <f t="shared" si="233"/>
        <v/>
      </c>
      <c r="AK269" s="45" t="str">
        <f t="shared" si="233"/>
        <v/>
      </c>
      <c r="AL269" s="45" t="str">
        <f t="shared" si="233"/>
        <v/>
      </c>
      <c r="AM269" s="45" t="str">
        <f t="shared" si="233"/>
        <v/>
      </c>
      <c r="AN269" s="45" t="str">
        <f t="shared" si="233"/>
        <v/>
      </c>
      <c r="AO269" s="45" t="str">
        <f t="shared" si="233"/>
        <v/>
      </c>
      <c r="AP269" s="45" t="str">
        <f t="shared" si="233"/>
        <v/>
      </c>
      <c r="AQ269" s="45" t="str">
        <f t="shared" si="233"/>
        <v/>
      </c>
      <c r="AR269" s="45" t="str">
        <f t="shared" si="233"/>
        <v/>
      </c>
      <c r="AS269" s="45" t="str">
        <f t="shared" si="233"/>
        <v/>
      </c>
      <c r="AT269" s="45" t="str">
        <f t="shared" si="233"/>
        <v/>
      </c>
      <c r="AU269" s="45" t="str">
        <f t="shared" si="233"/>
        <v/>
      </c>
      <c r="AV269" s="45" t="str">
        <f t="shared" si="233"/>
        <v/>
      </c>
      <c r="AW269" s="45" t="str">
        <f t="shared" si="233"/>
        <v/>
      </c>
      <c r="AX269" s="45" t="str">
        <f t="shared" ref="AX269:CC269" si="234">IF(COUNTIFS($A$271:$A$274,"Activity",$D$271:$D$274,"P",AX$271:AX$274,"&lt;&gt;")=0,"",IFERROR(SUMPRODUCT(--($A$271:$A$274="Activity"),--($D$271:$D$274="P"),$O$271:$O$274,AX$271:AX$274)/SUMPRODUCT(--($A$271:$A$274="Activity"),--($D$271:$D$274="P"),$O$271:$O$274),""))</f>
        <v/>
      </c>
      <c r="AY269" s="45" t="str">
        <f t="shared" si="234"/>
        <v/>
      </c>
      <c r="AZ269" s="45" t="str">
        <f t="shared" si="234"/>
        <v/>
      </c>
      <c r="BA269" s="45" t="str">
        <f t="shared" si="234"/>
        <v/>
      </c>
      <c r="BB269" s="45" t="str">
        <f t="shared" si="234"/>
        <v/>
      </c>
      <c r="BC269" s="45" t="str">
        <f t="shared" si="234"/>
        <v/>
      </c>
      <c r="BD269" s="45" t="str">
        <f t="shared" si="234"/>
        <v/>
      </c>
      <c r="BE269" s="45" t="str">
        <f t="shared" si="234"/>
        <v/>
      </c>
      <c r="BF269" s="45" t="str">
        <f t="shared" si="234"/>
        <v/>
      </c>
      <c r="BG269" s="45" t="str">
        <f t="shared" si="234"/>
        <v/>
      </c>
      <c r="BH269" s="45" t="str">
        <f t="shared" si="234"/>
        <v/>
      </c>
      <c r="BI269" s="45" t="str">
        <f t="shared" si="234"/>
        <v/>
      </c>
      <c r="BJ269" s="45" t="str">
        <f t="shared" si="234"/>
        <v/>
      </c>
      <c r="BK269" s="45" t="str">
        <f t="shared" si="234"/>
        <v/>
      </c>
      <c r="BL269" s="45" t="str">
        <f t="shared" si="234"/>
        <v/>
      </c>
      <c r="BM269" s="45" t="str">
        <f t="shared" si="234"/>
        <v/>
      </c>
      <c r="BN269" s="45" t="str">
        <f t="shared" si="234"/>
        <v/>
      </c>
      <c r="BO269" s="45" t="str">
        <f t="shared" si="234"/>
        <v/>
      </c>
      <c r="BP269" s="45">
        <f t="shared" si="234"/>
        <v>1.004378917077123E-3</v>
      </c>
      <c r="BQ269" s="45">
        <f t="shared" si="234"/>
        <v>1.7814835632973324E-2</v>
      </c>
      <c r="BR269" s="45">
        <f t="shared" si="234"/>
        <v>3.6714510873244163E-2</v>
      </c>
      <c r="BS269" s="45">
        <f t="shared" si="234"/>
        <v>6.1540838443983802E-2</v>
      </c>
      <c r="BT269" s="45">
        <f t="shared" si="234"/>
        <v>8.3899390558818079E-2</v>
      </c>
      <c r="BU269" s="45">
        <f t="shared" si="234"/>
        <v>9.3030196562421383E-2</v>
      </c>
      <c r="BV269" s="45">
        <f t="shared" si="234"/>
        <v>8.3899390558818079E-2</v>
      </c>
      <c r="BW269" s="45">
        <f t="shared" si="234"/>
        <v>6.1540838443983802E-2</v>
      </c>
      <c r="BX269" s="45">
        <f t="shared" si="234"/>
        <v>3.6714510873244163E-2</v>
      </c>
      <c r="BY269" s="45">
        <f t="shared" si="234"/>
        <v>1.7814835632973324E-2</v>
      </c>
      <c r="BZ269" s="45">
        <f t="shared" si="234"/>
        <v>1.4954844931034031E-2</v>
      </c>
      <c r="CA269" s="45">
        <f t="shared" si="234"/>
        <v>6.25E-2</v>
      </c>
      <c r="CB269" s="45">
        <f t="shared" si="234"/>
        <v>6.25E-2</v>
      </c>
      <c r="CC269" s="45">
        <f t="shared" si="234"/>
        <v>6.25E-2</v>
      </c>
      <c r="CD269" s="45">
        <f t="shared" ref="CD269:CO269" si="235">IF(COUNTIFS($A$271:$A$274,"Activity",$D$271:$D$274,"P",CD$271:CD$274,"&lt;&gt;")=0,"",IFERROR(SUMPRODUCT(--($A$271:$A$274="Activity"),--($D$271:$D$274="P"),$O$271:$O$274,CD$271:CD$274)/SUMPRODUCT(--($A$271:$A$274="Activity"),--($D$271:$D$274="P"),$O$271:$O$274),""))</f>
        <v>6.25E-2</v>
      </c>
      <c r="CE269" s="45">
        <f t="shared" si="235"/>
        <v>6.25E-2</v>
      </c>
      <c r="CF269" s="45">
        <f t="shared" si="235"/>
        <v>6.25E-2</v>
      </c>
      <c r="CG269" s="45">
        <f t="shared" si="235"/>
        <v>6.25E-2</v>
      </c>
      <c r="CH269" s="45">
        <f t="shared" si="235"/>
        <v>5.3571428571428603E-2</v>
      </c>
      <c r="CI269" s="45" t="str">
        <f t="shared" si="235"/>
        <v/>
      </c>
      <c r="CJ269" s="45" t="str">
        <f t="shared" si="235"/>
        <v/>
      </c>
      <c r="CK269" s="45" t="str">
        <f t="shared" si="235"/>
        <v/>
      </c>
      <c r="CL269" s="45" t="str">
        <f t="shared" si="235"/>
        <v/>
      </c>
      <c r="CM269" s="45" t="str">
        <f t="shared" si="235"/>
        <v/>
      </c>
      <c r="CN269" s="45" t="str">
        <f t="shared" si="235"/>
        <v/>
      </c>
      <c r="CO269" s="45" t="str">
        <f t="shared" si="235"/>
        <v/>
      </c>
    </row>
    <row r="270" spans="1:93" outlineLevel="3" x14ac:dyDescent="0.25">
      <c r="A270" s="1"/>
      <c r="B270" s="1"/>
      <c r="C270" s="7"/>
      <c r="D270" s="8" t="s">
        <v>111</v>
      </c>
      <c r="E270" s="1"/>
      <c r="F270" s="1"/>
      <c r="G270" s="1"/>
      <c r="H270" s="1"/>
      <c r="I270" s="9"/>
      <c r="J270" s="9"/>
      <c r="K270" s="9"/>
      <c r="L270" s="9"/>
      <c r="M270" s="3" t="str">
        <f t="shared" si="226"/>
        <v/>
      </c>
      <c r="N270" s="3"/>
      <c r="O270" s="46">
        <f>O269</f>
        <v>200000</v>
      </c>
      <c r="P270" s="4"/>
      <c r="Q270" s="5"/>
      <c r="R270" s="45" t="str">
        <f t="shared" ref="R270:AW270" si="236">IF(COUNTIFS($E$271:$E$274,"&lt;&gt;",$D$271:$D$274,"A",R$271:R$274,"&lt;&gt;")=0,"",IFERROR(SUMPRODUCT(--($E$271:$E$274&lt;&gt;""),--($D$271:$D$274="A"),$O$271:$O$274,R$271:R$274)/SUMPRODUCT(--($E$271:$E$274&lt;&gt;""),--($D$271:$D$274="A"),$O$271:$O$274),""))</f>
        <v/>
      </c>
      <c r="S270" s="45" t="str">
        <f t="shared" si="236"/>
        <v/>
      </c>
      <c r="T270" s="45" t="str">
        <f t="shared" si="236"/>
        <v/>
      </c>
      <c r="U270" s="45" t="str">
        <f t="shared" si="236"/>
        <v/>
      </c>
      <c r="V270" s="45" t="str">
        <f t="shared" si="236"/>
        <v/>
      </c>
      <c r="W270" s="45" t="str">
        <f t="shared" si="236"/>
        <v/>
      </c>
      <c r="X270" s="45" t="str">
        <f t="shared" si="236"/>
        <v/>
      </c>
      <c r="Y270" s="45" t="str">
        <f t="shared" si="236"/>
        <v/>
      </c>
      <c r="Z270" s="45" t="str">
        <f t="shared" si="236"/>
        <v/>
      </c>
      <c r="AA270" s="45" t="str">
        <f t="shared" si="236"/>
        <v/>
      </c>
      <c r="AB270" s="45" t="str">
        <f t="shared" si="236"/>
        <v/>
      </c>
      <c r="AC270" s="45" t="str">
        <f t="shared" si="236"/>
        <v/>
      </c>
      <c r="AD270" s="45" t="str">
        <f t="shared" si="236"/>
        <v/>
      </c>
      <c r="AE270" s="45" t="str">
        <f t="shared" si="236"/>
        <v/>
      </c>
      <c r="AF270" s="45" t="str">
        <f t="shared" si="236"/>
        <v/>
      </c>
      <c r="AG270" s="45" t="str">
        <f t="shared" si="236"/>
        <v/>
      </c>
      <c r="AH270" s="45" t="str">
        <f t="shared" si="236"/>
        <v/>
      </c>
      <c r="AI270" s="45" t="str">
        <f t="shared" si="236"/>
        <v/>
      </c>
      <c r="AJ270" s="45" t="str">
        <f t="shared" si="236"/>
        <v/>
      </c>
      <c r="AK270" s="45" t="str">
        <f t="shared" si="236"/>
        <v/>
      </c>
      <c r="AL270" s="45" t="str">
        <f t="shared" si="236"/>
        <v/>
      </c>
      <c r="AM270" s="45" t="str">
        <f t="shared" si="236"/>
        <v/>
      </c>
      <c r="AN270" s="45" t="str">
        <f t="shared" si="236"/>
        <v/>
      </c>
      <c r="AO270" s="45" t="str">
        <f t="shared" si="236"/>
        <v/>
      </c>
      <c r="AP270" s="45" t="str">
        <f t="shared" si="236"/>
        <v/>
      </c>
      <c r="AQ270" s="45" t="str">
        <f t="shared" si="236"/>
        <v/>
      </c>
      <c r="AR270" s="45" t="str">
        <f t="shared" si="236"/>
        <v/>
      </c>
      <c r="AS270" s="45" t="str">
        <f t="shared" si="236"/>
        <v/>
      </c>
      <c r="AT270" s="45" t="str">
        <f t="shared" si="236"/>
        <v/>
      </c>
      <c r="AU270" s="45" t="str">
        <f t="shared" si="236"/>
        <v/>
      </c>
      <c r="AV270" s="45" t="str">
        <f t="shared" si="236"/>
        <v/>
      </c>
      <c r="AW270" s="45" t="str">
        <f t="shared" si="236"/>
        <v/>
      </c>
      <c r="AX270" s="45" t="str">
        <f t="shared" ref="AX270:CC270" si="237">IF(COUNTIFS($E$271:$E$274,"&lt;&gt;",$D$271:$D$274,"A",AX$271:AX$274,"&lt;&gt;")=0,"",IFERROR(SUMPRODUCT(--($E$271:$E$274&lt;&gt;""),--($D$271:$D$274="A"),$O$271:$O$274,AX$271:AX$274)/SUMPRODUCT(--($E$271:$E$274&lt;&gt;""),--($D$271:$D$274="A"),$O$271:$O$274),""))</f>
        <v/>
      </c>
      <c r="AY270" s="45" t="str">
        <f t="shared" si="237"/>
        <v/>
      </c>
      <c r="AZ270" s="45" t="str">
        <f t="shared" si="237"/>
        <v/>
      </c>
      <c r="BA270" s="45" t="str">
        <f t="shared" si="237"/>
        <v/>
      </c>
      <c r="BB270" s="45" t="str">
        <f t="shared" si="237"/>
        <v/>
      </c>
      <c r="BC270" s="45" t="str">
        <f t="shared" si="237"/>
        <v/>
      </c>
      <c r="BD270" s="45" t="str">
        <f t="shared" si="237"/>
        <v/>
      </c>
      <c r="BE270" s="45" t="str">
        <f t="shared" si="237"/>
        <v/>
      </c>
      <c r="BF270" s="45" t="str">
        <f t="shared" si="237"/>
        <v/>
      </c>
      <c r="BG270" s="45" t="str">
        <f t="shared" si="237"/>
        <v/>
      </c>
      <c r="BH270" s="45" t="str">
        <f t="shared" si="237"/>
        <v/>
      </c>
      <c r="BI270" s="45" t="str">
        <f t="shared" si="237"/>
        <v/>
      </c>
      <c r="BJ270" s="45" t="str">
        <f t="shared" si="237"/>
        <v/>
      </c>
      <c r="BK270" s="45" t="str">
        <f t="shared" si="237"/>
        <v/>
      </c>
      <c r="BL270" s="45" t="str">
        <f t="shared" si="237"/>
        <v/>
      </c>
      <c r="BM270" s="45" t="str">
        <f t="shared" si="237"/>
        <v/>
      </c>
      <c r="BN270" s="45" t="str">
        <f t="shared" si="237"/>
        <v/>
      </c>
      <c r="BO270" s="45" t="str">
        <f t="shared" si="237"/>
        <v/>
      </c>
      <c r="BP270" s="45" t="str">
        <f t="shared" si="237"/>
        <v/>
      </c>
      <c r="BQ270" s="45" t="str">
        <f t="shared" si="237"/>
        <v/>
      </c>
      <c r="BR270" s="45" t="str">
        <f t="shared" si="237"/>
        <v/>
      </c>
      <c r="BS270" s="45" t="str">
        <f t="shared" si="237"/>
        <v/>
      </c>
      <c r="BT270" s="45" t="str">
        <f t="shared" si="237"/>
        <v/>
      </c>
      <c r="BU270" s="45" t="str">
        <f t="shared" si="237"/>
        <v/>
      </c>
      <c r="BV270" s="45" t="str">
        <f t="shared" si="237"/>
        <v/>
      </c>
      <c r="BW270" s="45" t="str">
        <f t="shared" si="237"/>
        <v/>
      </c>
      <c r="BX270" s="45" t="str">
        <f t="shared" si="237"/>
        <v/>
      </c>
      <c r="BY270" s="45" t="str">
        <f t="shared" si="237"/>
        <v/>
      </c>
      <c r="BZ270" s="45" t="str">
        <f t="shared" si="237"/>
        <v/>
      </c>
      <c r="CA270" s="45" t="str">
        <f t="shared" si="237"/>
        <v/>
      </c>
      <c r="CB270" s="45" t="str">
        <f t="shared" si="237"/>
        <v/>
      </c>
      <c r="CC270" s="45" t="str">
        <f t="shared" si="237"/>
        <v/>
      </c>
      <c r="CD270" s="45" t="str">
        <f t="shared" ref="CD270:CO270" si="238">IF(COUNTIFS($E$271:$E$274,"&lt;&gt;",$D$271:$D$274,"A",CD$271:CD$274,"&lt;&gt;")=0,"",IFERROR(SUMPRODUCT(--($E$271:$E$274&lt;&gt;""),--($D$271:$D$274="A"),$O$271:$O$274,CD$271:CD$274)/SUMPRODUCT(--($E$271:$E$274&lt;&gt;""),--($D$271:$D$274="A"),$O$271:$O$274),""))</f>
        <v/>
      </c>
      <c r="CE270" s="45" t="str">
        <f t="shared" si="238"/>
        <v/>
      </c>
      <c r="CF270" s="45" t="str">
        <f t="shared" si="238"/>
        <v/>
      </c>
      <c r="CG270" s="45" t="str">
        <f t="shared" si="238"/>
        <v/>
      </c>
      <c r="CH270" s="45" t="str">
        <f t="shared" si="238"/>
        <v/>
      </c>
      <c r="CI270" s="45" t="str">
        <f t="shared" si="238"/>
        <v/>
      </c>
      <c r="CJ270" s="45" t="str">
        <f t="shared" si="238"/>
        <v/>
      </c>
      <c r="CK270" s="45" t="str">
        <f t="shared" si="238"/>
        <v/>
      </c>
      <c r="CL270" s="45" t="str">
        <f t="shared" si="238"/>
        <v/>
      </c>
      <c r="CM270" s="45" t="str">
        <f t="shared" si="238"/>
        <v/>
      </c>
      <c r="CN270" s="45" t="str">
        <f t="shared" si="238"/>
        <v/>
      </c>
      <c r="CO270" s="45" t="str">
        <f t="shared" si="238"/>
        <v/>
      </c>
    </row>
    <row r="271" spans="1:93" outlineLevel="4" x14ac:dyDescent="0.25">
      <c r="A271" s="10" t="s">
        <v>116</v>
      </c>
      <c r="B271" s="10" t="s">
        <v>427</v>
      </c>
      <c r="C271" s="24" t="s">
        <v>358</v>
      </c>
      <c r="D271" s="12" t="s">
        <v>110</v>
      </c>
      <c r="E271" s="10" t="s">
        <v>428</v>
      </c>
      <c r="F271" s="10">
        <v>133</v>
      </c>
      <c r="G271" s="10">
        <v>137</v>
      </c>
      <c r="H271" s="10">
        <v>4</v>
      </c>
      <c r="I271" s="13">
        <v>46395.333333333343</v>
      </c>
      <c r="J271" s="13">
        <v>46464.666666666657</v>
      </c>
      <c r="K271" s="13"/>
      <c r="L271" s="13"/>
      <c r="M271" s="14">
        <f t="shared" si="226"/>
        <v>0.99999999999999967</v>
      </c>
      <c r="N271" s="14"/>
      <c r="O271" s="16">
        <v>100000</v>
      </c>
      <c r="P271" s="15">
        <v>1.6</v>
      </c>
      <c r="Q271" s="16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>
        <v>2.008757834154246E-3</v>
      </c>
      <c r="BQ271" s="47">
        <v>3.5629671265946648E-2</v>
      </c>
      <c r="BR271" s="47">
        <v>7.3429021746488327E-2</v>
      </c>
      <c r="BS271" s="47">
        <v>0.1230816768879676</v>
      </c>
      <c r="BT271" s="47">
        <v>0.16779878111763619</v>
      </c>
      <c r="BU271" s="47">
        <v>0.18606039312484279</v>
      </c>
      <c r="BV271" s="47">
        <v>0.16779878111763619</v>
      </c>
      <c r="BW271" s="47">
        <v>0.1230816768879676</v>
      </c>
      <c r="BX271" s="47">
        <v>7.3429021746488327E-2</v>
      </c>
      <c r="BY271" s="47">
        <v>3.5629671265946648E-2</v>
      </c>
      <c r="BZ271" s="47">
        <v>1.2052547004925199E-2</v>
      </c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</row>
    <row r="272" spans="1:93" outlineLevel="4" x14ac:dyDescent="0.25">
      <c r="A272" s="17"/>
      <c r="B272" s="17"/>
      <c r="C272" s="25"/>
      <c r="D272" s="19" t="s">
        <v>111</v>
      </c>
      <c r="E272" s="17" t="s">
        <v>428</v>
      </c>
      <c r="F272" s="17"/>
      <c r="G272" s="17"/>
      <c r="H272" s="17"/>
      <c r="I272" s="20"/>
      <c r="J272" s="20"/>
      <c r="K272" s="20"/>
      <c r="L272" s="20"/>
      <c r="M272" s="21" t="str">
        <f t="shared" si="226"/>
        <v/>
      </c>
      <c r="N272" s="21">
        <v>0</v>
      </c>
      <c r="O272" s="48">
        <f>O271</f>
        <v>100000</v>
      </c>
      <c r="P272" s="22"/>
      <c r="Q272" s="23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</row>
    <row r="273" spans="1:93" outlineLevel="4" x14ac:dyDescent="0.25">
      <c r="A273" s="10" t="s">
        <v>116</v>
      </c>
      <c r="B273" s="10" t="s">
        <v>429</v>
      </c>
      <c r="C273" s="24" t="s">
        <v>361</v>
      </c>
      <c r="D273" s="12" t="s">
        <v>110</v>
      </c>
      <c r="E273" s="10" t="s">
        <v>430</v>
      </c>
      <c r="F273" s="10">
        <v>134</v>
      </c>
      <c r="G273" s="10">
        <v>138</v>
      </c>
      <c r="H273" s="10">
        <v>4</v>
      </c>
      <c r="I273" s="13">
        <v>46465.333333333343</v>
      </c>
      <c r="J273" s="13">
        <v>46520.666666666657</v>
      </c>
      <c r="K273" s="13"/>
      <c r="L273" s="13"/>
      <c r="M273" s="14">
        <f t="shared" si="226"/>
        <v>1</v>
      </c>
      <c r="N273" s="14"/>
      <c r="O273" s="16">
        <v>100000</v>
      </c>
      <c r="P273" s="15">
        <v>1.6</v>
      </c>
      <c r="Q273" s="16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>
        <v>1.785714285714286E-2</v>
      </c>
      <c r="CA273" s="47">
        <v>0.125</v>
      </c>
      <c r="CB273" s="47">
        <v>0.125</v>
      </c>
      <c r="CC273" s="47">
        <v>0.125</v>
      </c>
      <c r="CD273" s="47">
        <v>0.125</v>
      </c>
      <c r="CE273" s="47">
        <v>0.125</v>
      </c>
      <c r="CF273" s="47">
        <v>0.125</v>
      </c>
      <c r="CG273" s="47">
        <v>0.125</v>
      </c>
      <c r="CH273" s="47">
        <v>0.10714285714285721</v>
      </c>
      <c r="CI273" s="47"/>
      <c r="CJ273" s="47"/>
      <c r="CK273" s="47"/>
      <c r="CL273" s="47"/>
      <c r="CM273" s="47"/>
      <c r="CN273" s="47"/>
      <c r="CO273" s="47"/>
    </row>
    <row r="274" spans="1:93" outlineLevel="4" x14ac:dyDescent="0.25">
      <c r="A274" s="17"/>
      <c r="B274" s="17"/>
      <c r="C274" s="25"/>
      <c r="D274" s="19" t="s">
        <v>111</v>
      </c>
      <c r="E274" s="17" t="s">
        <v>430</v>
      </c>
      <c r="F274" s="17"/>
      <c r="G274" s="17"/>
      <c r="H274" s="17"/>
      <c r="I274" s="20"/>
      <c r="J274" s="20"/>
      <c r="K274" s="20"/>
      <c r="L274" s="20"/>
      <c r="M274" s="21" t="str">
        <f t="shared" si="226"/>
        <v/>
      </c>
      <c r="N274" s="21">
        <v>0</v>
      </c>
      <c r="O274" s="48">
        <f>O273</f>
        <v>100000</v>
      </c>
      <c r="P274" s="22"/>
      <c r="Q274" s="23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</row>
    <row r="275" spans="1:93" outlineLevel="2" x14ac:dyDescent="0.25">
      <c r="A275" s="1" t="s">
        <v>92</v>
      </c>
      <c r="B275" s="1" t="s">
        <v>431</v>
      </c>
      <c r="C275" s="6" t="s">
        <v>126</v>
      </c>
      <c r="D275" s="8" t="s">
        <v>110</v>
      </c>
      <c r="E275" s="1"/>
      <c r="F275" s="1">
        <v>135</v>
      </c>
      <c r="G275" s="1">
        <v>139</v>
      </c>
      <c r="H275" s="1">
        <v>2</v>
      </c>
      <c r="I275" s="9">
        <v>46395.333333333343</v>
      </c>
      <c r="J275" s="9">
        <v>46538.666666666657</v>
      </c>
      <c r="K275" s="9"/>
      <c r="L275" s="9"/>
      <c r="M275" s="3">
        <f t="shared" si="226"/>
        <v>1</v>
      </c>
      <c r="N275" s="3"/>
      <c r="O275" s="5">
        <f>SUMIFS($O$276:$O$311,$A$276:$A$311,"Activity",$D$276:$D$311,"P")</f>
        <v>1300000</v>
      </c>
      <c r="P275" s="4"/>
      <c r="Q275" s="5"/>
      <c r="R275" s="45" t="str">
        <f t="shared" ref="R275:AW275" si="239">IF(COUNTIFS($A$277:$A$312,"Activity",$D$277:$D$312,"P",R$277:R$312,"&lt;&gt;")=0,"",IFERROR(SUMPRODUCT(--($A$277:$A$312="Activity"),--($D$277:$D$312="P"),$O$277:$O$312,R$277:R$312)/SUMPRODUCT(--($A$277:$A$312="Activity"),--($D$277:$D$312="P"),$O$277:$O$312),""))</f>
        <v/>
      </c>
      <c r="S275" s="45" t="str">
        <f t="shared" si="239"/>
        <v/>
      </c>
      <c r="T275" s="45" t="str">
        <f t="shared" si="239"/>
        <v/>
      </c>
      <c r="U275" s="45" t="str">
        <f t="shared" si="239"/>
        <v/>
      </c>
      <c r="V275" s="45" t="str">
        <f t="shared" si="239"/>
        <v/>
      </c>
      <c r="W275" s="45" t="str">
        <f t="shared" si="239"/>
        <v/>
      </c>
      <c r="X275" s="45" t="str">
        <f t="shared" si="239"/>
        <v/>
      </c>
      <c r="Y275" s="45" t="str">
        <f t="shared" si="239"/>
        <v/>
      </c>
      <c r="Z275" s="45" t="str">
        <f t="shared" si="239"/>
        <v/>
      </c>
      <c r="AA275" s="45" t="str">
        <f t="shared" si="239"/>
        <v/>
      </c>
      <c r="AB275" s="45" t="str">
        <f t="shared" si="239"/>
        <v/>
      </c>
      <c r="AC275" s="45" t="str">
        <f t="shared" si="239"/>
        <v/>
      </c>
      <c r="AD275" s="45" t="str">
        <f t="shared" si="239"/>
        <v/>
      </c>
      <c r="AE275" s="45" t="str">
        <f t="shared" si="239"/>
        <v/>
      </c>
      <c r="AF275" s="45" t="str">
        <f t="shared" si="239"/>
        <v/>
      </c>
      <c r="AG275" s="45" t="str">
        <f t="shared" si="239"/>
        <v/>
      </c>
      <c r="AH275" s="45" t="str">
        <f t="shared" si="239"/>
        <v/>
      </c>
      <c r="AI275" s="45" t="str">
        <f t="shared" si="239"/>
        <v/>
      </c>
      <c r="AJ275" s="45" t="str">
        <f t="shared" si="239"/>
        <v/>
      </c>
      <c r="AK275" s="45" t="str">
        <f t="shared" si="239"/>
        <v/>
      </c>
      <c r="AL275" s="45" t="str">
        <f t="shared" si="239"/>
        <v/>
      </c>
      <c r="AM275" s="45" t="str">
        <f t="shared" si="239"/>
        <v/>
      </c>
      <c r="AN275" s="45" t="str">
        <f t="shared" si="239"/>
        <v/>
      </c>
      <c r="AO275" s="45" t="str">
        <f t="shared" si="239"/>
        <v/>
      </c>
      <c r="AP275" s="45" t="str">
        <f t="shared" si="239"/>
        <v/>
      </c>
      <c r="AQ275" s="45" t="str">
        <f t="shared" si="239"/>
        <v/>
      </c>
      <c r="AR275" s="45" t="str">
        <f t="shared" si="239"/>
        <v/>
      </c>
      <c r="AS275" s="45" t="str">
        <f t="shared" si="239"/>
        <v/>
      </c>
      <c r="AT275" s="45" t="str">
        <f t="shared" si="239"/>
        <v/>
      </c>
      <c r="AU275" s="45" t="str">
        <f t="shared" si="239"/>
        <v/>
      </c>
      <c r="AV275" s="45" t="str">
        <f t="shared" si="239"/>
        <v/>
      </c>
      <c r="AW275" s="45" t="str">
        <f t="shared" si="239"/>
        <v/>
      </c>
      <c r="AX275" s="45" t="str">
        <f t="shared" ref="AX275:CC275" si="240">IF(COUNTIFS($A$277:$A$312,"Activity",$D$277:$D$312,"P",AX$277:AX$312,"&lt;&gt;")=0,"",IFERROR(SUMPRODUCT(--($A$277:$A$312="Activity"),--($D$277:$D$312="P"),$O$277:$O$312,AX$277:AX$312)/SUMPRODUCT(--($A$277:$A$312="Activity"),--($D$277:$D$312="P"),$O$277:$O$312),""))</f>
        <v/>
      </c>
      <c r="AY275" s="45" t="str">
        <f t="shared" si="240"/>
        <v/>
      </c>
      <c r="AZ275" s="45" t="str">
        <f t="shared" si="240"/>
        <v/>
      </c>
      <c r="BA275" s="45" t="str">
        <f t="shared" si="240"/>
        <v/>
      </c>
      <c r="BB275" s="45" t="str">
        <f t="shared" si="240"/>
        <v/>
      </c>
      <c r="BC275" s="45" t="str">
        <f t="shared" si="240"/>
        <v/>
      </c>
      <c r="BD275" s="45" t="str">
        <f t="shared" si="240"/>
        <v/>
      </c>
      <c r="BE275" s="45" t="str">
        <f t="shared" si="240"/>
        <v/>
      </c>
      <c r="BF275" s="45" t="str">
        <f t="shared" si="240"/>
        <v/>
      </c>
      <c r="BG275" s="45" t="str">
        <f t="shared" si="240"/>
        <v/>
      </c>
      <c r="BH275" s="45" t="str">
        <f t="shared" si="240"/>
        <v/>
      </c>
      <c r="BI275" s="45" t="str">
        <f t="shared" si="240"/>
        <v/>
      </c>
      <c r="BJ275" s="45" t="str">
        <f t="shared" si="240"/>
        <v/>
      </c>
      <c r="BK275" s="45" t="str">
        <f t="shared" si="240"/>
        <v/>
      </c>
      <c r="BL275" s="45" t="str">
        <f t="shared" si="240"/>
        <v/>
      </c>
      <c r="BM275" s="45" t="str">
        <f t="shared" si="240"/>
        <v/>
      </c>
      <c r="BN275" s="45" t="str">
        <f t="shared" si="240"/>
        <v/>
      </c>
      <c r="BO275" s="45" t="str">
        <f t="shared" si="240"/>
        <v/>
      </c>
      <c r="BP275" s="45">
        <f t="shared" si="240"/>
        <v>3.6630036630036634E-3</v>
      </c>
      <c r="BQ275" s="45">
        <f t="shared" si="240"/>
        <v>2.5641025641025637E-2</v>
      </c>
      <c r="BR275" s="45">
        <f t="shared" si="240"/>
        <v>2.5641025641025637E-2</v>
      </c>
      <c r="BS275" s="45">
        <f t="shared" si="240"/>
        <v>2.579554547442213E-2</v>
      </c>
      <c r="BT275" s="45">
        <f t="shared" si="240"/>
        <v>4.3174668992844022E-2</v>
      </c>
      <c r="BU275" s="45">
        <f t="shared" si="240"/>
        <v>5.1999471100814675E-2</v>
      </c>
      <c r="BV275" s="45">
        <f t="shared" si="240"/>
        <v>5.5818906111697715E-2</v>
      </c>
      <c r="BW275" s="45">
        <f t="shared" si="240"/>
        <v>5.9258683360133749E-2</v>
      </c>
      <c r="BX275" s="45">
        <f t="shared" si="240"/>
        <v>5.4746262981989882E-2</v>
      </c>
      <c r="BY275" s="45">
        <f t="shared" si="240"/>
        <v>5.8342932444382836E-2</v>
      </c>
      <c r="BZ275" s="45">
        <f t="shared" si="240"/>
        <v>4.9408649701441307E-2</v>
      </c>
      <c r="CA275" s="45">
        <f t="shared" si="240"/>
        <v>4.558921469055828E-2</v>
      </c>
      <c r="CB275" s="45">
        <f t="shared" si="240"/>
        <v>5.5854297057087478E-2</v>
      </c>
      <c r="CC275" s="45">
        <f t="shared" si="240"/>
        <v>8.4718327791587653E-2</v>
      </c>
      <c r="CD275" s="45">
        <f t="shared" ref="CD275:CO275" si="241">IF(COUNTIFS($A$277:$A$312,"Activity",$D$277:$D$312,"P",CD$277:CD$312,"&lt;&gt;")=0,"",IFERROR(SUMPRODUCT(--($A$277:$A$312="Activity"),--($D$277:$D$312="P"),$O$277:$O$312,CD$277:CD$312)/SUMPRODUCT(--($A$277:$A$312="Activity"),--($D$277:$D$312="P"),$O$277:$O$312),""))</f>
        <v>4.6524966261808375E-2</v>
      </c>
      <c r="CE275" s="45">
        <f t="shared" si="241"/>
        <v>5.4622132253711202E-2</v>
      </c>
      <c r="CF275" s="45">
        <f t="shared" si="241"/>
        <v>5.4622132253711216E-2</v>
      </c>
      <c r="CG275" s="45">
        <f t="shared" si="241"/>
        <v>2.6282051282051286E-2</v>
      </c>
      <c r="CH275" s="45">
        <f t="shared" si="241"/>
        <v>2.4450549450549461E-2</v>
      </c>
      <c r="CI275" s="45">
        <f t="shared" si="241"/>
        <v>2.8971028971028968E-2</v>
      </c>
      <c r="CJ275" s="45">
        <f t="shared" si="241"/>
        <v>8.7412587412587395E-2</v>
      </c>
      <c r="CK275" s="45">
        <f t="shared" si="241"/>
        <v>3.7462537462537471E-2</v>
      </c>
      <c r="CL275" s="45" t="str">
        <f t="shared" si="241"/>
        <v/>
      </c>
      <c r="CM275" s="45" t="str">
        <f t="shared" si="241"/>
        <v/>
      </c>
      <c r="CN275" s="45" t="str">
        <f t="shared" si="241"/>
        <v/>
      </c>
      <c r="CO275" s="45" t="str">
        <f t="shared" si="241"/>
        <v/>
      </c>
    </row>
    <row r="276" spans="1:93" outlineLevel="2" x14ac:dyDescent="0.25">
      <c r="A276" s="1"/>
      <c r="B276" s="1"/>
      <c r="C276" s="6"/>
      <c r="D276" s="8" t="s">
        <v>111</v>
      </c>
      <c r="E276" s="1"/>
      <c r="F276" s="1"/>
      <c r="G276" s="1"/>
      <c r="H276" s="1"/>
      <c r="I276" s="9"/>
      <c r="J276" s="9"/>
      <c r="K276" s="9"/>
      <c r="L276" s="9"/>
      <c r="M276" s="3" t="str">
        <f t="shared" si="226"/>
        <v/>
      </c>
      <c r="N276" s="3"/>
      <c r="O276" s="46">
        <f>O275</f>
        <v>1300000</v>
      </c>
      <c r="P276" s="4"/>
      <c r="Q276" s="5"/>
      <c r="R276" s="45" t="str">
        <f t="shared" ref="R276:AW276" si="242">IF(COUNTIFS($E$277:$E$312,"&lt;&gt;",$D$277:$D$312,"A",R$277:R$312,"&lt;&gt;")=0,"",IFERROR(SUMPRODUCT(--($E$277:$E$312&lt;&gt;""),--($D$277:$D$312="A"),$O$277:$O$312,R$277:R$312)/SUMPRODUCT(--($E$277:$E$312&lt;&gt;""),--($D$277:$D$312="A"),$O$277:$O$312),""))</f>
        <v/>
      </c>
      <c r="S276" s="45" t="str">
        <f t="shared" si="242"/>
        <v/>
      </c>
      <c r="T276" s="45" t="str">
        <f t="shared" si="242"/>
        <v/>
      </c>
      <c r="U276" s="45" t="str">
        <f t="shared" si="242"/>
        <v/>
      </c>
      <c r="V276" s="45" t="str">
        <f t="shared" si="242"/>
        <v/>
      </c>
      <c r="W276" s="45" t="str">
        <f t="shared" si="242"/>
        <v/>
      </c>
      <c r="X276" s="45" t="str">
        <f t="shared" si="242"/>
        <v/>
      </c>
      <c r="Y276" s="45" t="str">
        <f t="shared" si="242"/>
        <v/>
      </c>
      <c r="Z276" s="45" t="str">
        <f t="shared" si="242"/>
        <v/>
      </c>
      <c r="AA276" s="45" t="str">
        <f t="shared" si="242"/>
        <v/>
      </c>
      <c r="AB276" s="45" t="str">
        <f t="shared" si="242"/>
        <v/>
      </c>
      <c r="AC276" s="45" t="str">
        <f t="shared" si="242"/>
        <v/>
      </c>
      <c r="AD276" s="45" t="str">
        <f t="shared" si="242"/>
        <v/>
      </c>
      <c r="AE276" s="45" t="str">
        <f t="shared" si="242"/>
        <v/>
      </c>
      <c r="AF276" s="45" t="str">
        <f t="shared" si="242"/>
        <v/>
      </c>
      <c r="AG276" s="45" t="str">
        <f t="shared" si="242"/>
        <v/>
      </c>
      <c r="AH276" s="45" t="str">
        <f t="shared" si="242"/>
        <v/>
      </c>
      <c r="AI276" s="45" t="str">
        <f t="shared" si="242"/>
        <v/>
      </c>
      <c r="AJ276" s="45" t="str">
        <f t="shared" si="242"/>
        <v/>
      </c>
      <c r="AK276" s="45" t="str">
        <f t="shared" si="242"/>
        <v/>
      </c>
      <c r="AL276" s="45" t="str">
        <f t="shared" si="242"/>
        <v/>
      </c>
      <c r="AM276" s="45" t="str">
        <f t="shared" si="242"/>
        <v/>
      </c>
      <c r="AN276" s="45" t="str">
        <f t="shared" si="242"/>
        <v/>
      </c>
      <c r="AO276" s="45" t="str">
        <f t="shared" si="242"/>
        <v/>
      </c>
      <c r="AP276" s="45" t="str">
        <f t="shared" si="242"/>
        <v/>
      </c>
      <c r="AQ276" s="45" t="str">
        <f t="shared" si="242"/>
        <v/>
      </c>
      <c r="AR276" s="45" t="str">
        <f t="shared" si="242"/>
        <v/>
      </c>
      <c r="AS276" s="45" t="str">
        <f t="shared" si="242"/>
        <v/>
      </c>
      <c r="AT276" s="45" t="str">
        <f t="shared" si="242"/>
        <v/>
      </c>
      <c r="AU276" s="45" t="str">
        <f t="shared" si="242"/>
        <v/>
      </c>
      <c r="AV276" s="45" t="str">
        <f t="shared" si="242"/>
        <v/>
      </c>
      <c r="AW276" s="45" t="str">
        <f t="shared" si="242"/>
        <v/>
      </c>
      <c r="AX276" s="45" t="str">
        <f t="shared" ref="AX276:CC276" si="243">IF(COUNTIFS($E$277:$E$312,"&lt;&gt;",$D$277:$D$312,"A",AX$277:AX$312,"&lt;&gt;")=0,"",IFERROR(SUMPRODUCT(--($E$277:$E$312&lt;&gt;""),--($D$277:$D$312="A"),$O$277:$O$312,AX$277:AX$312)/SUMPRODUCT(--($E$277:$E$312&lt;&gt;""),--($D$277:$D$312="A"),$O$277:$O$312),""))</f>
        <v/>
      </c>
      <c r="AY276" s="45" t="str">
        <f t="shared" si="243"/>
        <v/>
      </c>
      <c r="AZ276" s="45" t="str">
        <f t="shared" si="243"/>
        <v/>
      </c>
      <c r="BA276" s="45" t="str">
        <f t="shared" si="243"/>
        <v/>
      </c>
      <c r="BB276" s="45" t="str">
        <f t="shared" si="243"/>
        <v/>
      </c>
      <c r="BC276" s="45" t="str">
        <f t="shared" si="243"/>
        <v/>
      </c>
      <c r="BD276" s="45" t="str">
        <f t="shared" si="243"/>
        <v/>
      </c>
      <c r="BE276" s="45" t="str">
        <f t="shared" si="243"/>
        <v/>
      </c>
      <c r="BF276" s="45" t="str">
        <f t="shared" si="243"/>
        <v/>
      </c>
      <c r="BG276" s="45" t="str">
        <f t="shared" si="243"/>
        <v/>
      </c>
      <c r="BH276" s="45" t="str">
        <f t="shared" si="243"/>
        <v/>
      </c>
      <c r="BI276" s="45" t="str">
        <f t="shared" si="243"/>
        <v/>
      </c>
      <c r="BJ276" s="45" t="str">
        <f t="shared" si="243"/>
        <v/>
      </c>
      <c r="BK276" s="45" t="str">
        <f t="shared" si="243"/>
        <v/>
      </c>
      <c r="BL276" s="45" t="str">
        <f t="shared" si="243"/>
        <v/>
      </c>
      <c r="BM276" s="45" t="str">
        <f t="shared" si="243"/>
        <v/>
      </c>
      <c r="BN276" s="45" t="str">
        <f t="shared" si="243"/>
        <v/>
      </c>
      <c r="BO276" s="45" t="str">
        <f t="shared" si="243"/>
        <v/>
      </c>
      <c r="BP276" s="45" t="str">
        <f t="shared" si="243"/>
        <v/>
      </c>
      <c r="BQ276" s="45" t="str">
        <f t="shared" si="243"/>
        <v/>
      </c>
      <c r="BR276" s="45" t="str">
        <f t="shared" si="243"/>
        <v/>
      </c>
      <c r="BS276" s="45" t="str">
        <f t="shared" si="243"/>
        <v/>
      </c>
      <c r="BT276" s="45" t="str">
        <f t="shared" si="243"/>
        <v/>
      </c>
      <c r="BU276" s="45" t="str">
        <f t="shared" si="243"/>
        <v/>
      </c>
      <c r="BV276" s="45" t="str">
        <f t="shared" si="243"/>
        <v/>
      </c>
      <c r="BW276" s="45" t="str">
        <f t="shared" si="243"/>
        <v/>
      </c>
      <c r="BX276" s="45" t="str">
        <f t="shared" si="243"/>
        <v/>
      </c>
      <c r="BY276" s="45" t="str">
        <f t="shared" si="243"/>
        <v/>
      </c>
      <c r="BZ276" s="45" t="str">
        <f t="shared" si="243"/>
        <v/>
      </c>
      <c r="CA276" s="45" t="str">
        <f t="shared" si="243"/>
        <v/>
      </c>
      <c r="CB276" s="45" t="str">
        <f t="shared" si="243"/>
        <v/>
      </c>
      <c r="CC276" s="45" t="str">
        <f t="shared" si="243"/>
        <v/>
      </c>
      <c r="CD276" s="45" t="str">
        <f t="shared" ref="CD276:CO276" si="244">IF(COUNTIFS($E$277:$E$312,"&lt;&gt;",$D$277:$D$312,"A",CD$277:CD$312,"&lt;&gt;")=0,"",IFERROR(SUMPRODUCT(--($E$277:$E$312&lt;&gt;""),--($D$277:$D$312="A"),$O$277:$O$312,CD$277:CD$312)/SUMPRODUCT(--($E$277:$E$312&lt;&gt;""),--($D$277:$D$312="A"),$O$277:$O$312),""))</f>
        <v/>
      </c>
      <c r="CE276" s="45" t="str">
        <f t="shared" si="244"/>
        <v/>
      </c>
      <c r="CF276" s="45" t="str">
        <f t="shared" si="244"/>
        <v/>
      </c>
      <c r="CG276" s="45" t="str">
        <f t="shared" si="244"/>
        <v/>
      </c>
      <c r="CH276" s="45" t="str">
        <f t="shared" si="244"/>
        <v/>
      </c>
      <c r="CI276" s="45" t="str">
        <f t="shared" si="244"/>
        <v/>
      </c>
      <c r="CJ276" s="45" t="str">
        <f t="shared" si="244"/>
        <v/>
      </c>
      <c r="CK276" s="45" t="str">
        <f t="shared" si="244"/>
        <v/>
      </c>
      <c r="CL276" s="45" t="str">
        <f t="shared" si="244"/>
        <v/>
      </c>
      <c r="CM276" s="45" t="str">
        <f t="shared" si="244"/>
        <v/>
      </c>
      <c r="CN276" s="45" t="str">
        <f t="shared" si="244"/>
        <v/>
      </c>
      <c r="CO276" s="45" t="str">
        <f t="shared" si="244"/>
        <v/>
      </c>
    </row>
    <row r="277" spans="1:93" outlineLevel="3" x14ac:dyDescent="0.25">
      <c r="A277" s="1" t="s">
        <v>92</v>
      </c>
      <c r="B277" s="1" t="s">
        <v>432</v>
      </c>
      <c r="C277" s="7" t="s">
        <v>315</v>
      </c>
      <c r="D277" s="8" t="s">
        <v>110</v>
      </c>
      <c r="E277" s="1"/>
      <c r="F277" s="1">
        <v>136</v>
      </c>
      <c r="G277" s="1">
        <v>140</v>
      </c>
      <c r="H277" s="1">
        <v>3</v>
      </c>
      <c r="I277" s="9">
        <v>46395.333333333343</v>
      </c>
      <c r="J277" s="9">
        <v>46472.666666666657</v>
      </c>
      <c r="K277" s="9"/>
      <c r="L277" s="9"/>
      <c r="M277" s="3">
        <f t="shared" si="226"/>
        <v>1</v>
      </c>
      <c r="N277" s="3"/>
      <c r="O277" s="5">
        <f>SUMIFS($O$278:$O$283,$A$278:$A$283,"Activity",$D$278:$D$283,"P")</f>
        <v>300000</v>
      </c>
      <c r="P277" s="4"/>
      <c r="Q277" s="5"/>
      <c r="R277" s="45" t="str">
        <f t="shared" ref="R277:AW277" si="245">IF(COUNTIFS($A$279:$A$284,"Activity",$D$279:$D$284,"P",R$279:R$284,"&lt;&gt;")=0,"",IFERROR(SUMPRODUCT(--($A$279:$A$284="Activity"),--($D$279:$D$284="P"),$O$279:$O$284,R$279:R$284)/SUMPRODUCT(--($A$279:$A$284="Activity"),--($D$279:$D$284="P"),$O$279:$O$284),""))</f>
        <v/>
      </c>
      <c r="S277" s="45" t="str">
        <f t="shared" si="245"/>
        <v/>
      </c>
      <c r="T277" s="45" t="str">
        <f t="shared" si="245"/>
        <v/>
      </c>
      <c r="U277" s="45" t="str">
        <f t="shared" si="245"/>
        <v/>
      </c>
      <c r="V277" s="45" t="str">
        <f t="shared" si="245"/>
        <v/>
      </c>
      <c r="W277" s="45" t="str">
        <f t="shared" si="245"/>
        <v/>
      </c>
      <c r="X277" s="45" t="str">
        <f t="shared" si="245"/>
        <v/>
      </c>
      <c r="Y277" s="45" t="str">
        <f t="shared" si="245"/>
        <v/>
      </c>
      <c r="Z277" s="45" t="str">
        <f t="shared" si="245"/>
        <v/>
      </c>
      <c r="AA277" s="45" t="str">
        <f t="shared" si="245"/>
        <v/>
      </c>
      <c r="AB277" s="45" t="str">
        <f t="shared" si="245"/>
        <v/>
      </c>
      <c r="AC277" s="45" t="str">
        <f t="shared" si="245"/>
        <v/>
      </c>
      <c r="AD277" s="45" t="str">
        <f t="shared" si="245"/>
        <v/>
      </c>
      <c r="AE277" s="45" t="str">
        <f t="shared" si="245"/>
        <v/>
      </c>
      <c r="AF277" s="45" t="str">
        <f t="shared" si="245"/>
        <v/>
      </c>
      <c r="AG277" s="45" t="str">
        <f t="shared" si="245"/>
        <v/>
      </c>
      <c r="AH277" s="45" t="str">
        <f t="shared" si="245"/>
        <v/>
      </c>
      <c r="AI277" s="45" t="str">
        <f t="shared" si="245"/>
        <v/>
      </c>
      <c r="AJ277" s="45" t="str">
        <f t="shared" si="245"/>
        <v/>
      </c>
      <c r="AK277" s="45" t="str">
        <f t="shared" si="245"/>
        <v/>
      </c>
      <c r="AL277" s="45" t="str">
        <f t="shared" si="245"/>
        <v/>
      </c>
      <c r="AM277" s="45" t="str">
        <f t="shared" si="245"/>
        <v/>
      </c>
      <c r="AN277" s="45" t="str">
        <f t="shared" si="245"/>
        <v/>
      </c>
      <c r="AO277" s="45" t="str">
        <f t="shared" si="245"/>
        <v/>
      </c>
      <c r="AP277" s="45" t="str">
        <f t="shared" si="245"/>
        <v/>
      </c>
      <c r="AQ277" s="45" t="str">
        <f t="shared" si="245"/>
        <v/>
      </c>
      <c r="AR277" s="45" t="str">
        <f t="shared" si="245"/>
        <v/>
      </c>
      <c r="AS277" s="45" t="str">
        <f t="shared" si="245"/>
        <v/>
      </c>
      <c r="AT277" s="45" t="str">
        <f t="shared" si="245"/>
        <v/>
      </c>
      <c r="AU277" s="45" t="str">
        <f t="shared" si="245"/>
        <v/>
      </c>
      <c r="AV277" s="45" t="str">
        <f t="shared" si="245"/>
        <v/>
      </c>
      <c r="AW277" s="45" t="str">
        <f t="shared" si="245"/>
        <v/>
      </c>
      <c r="AX277" s="45" t="str">
        <f t="shared" ref="AX277:CC277" si="246">IF(COUNTIFS($A$279:$A$284,"Activity",$D$279:$D$284,"P",AX$279:AX$284,"&lt;&gt;")=0,"",IFERROR(SUMPRODUCT(--($A$279:$A$284="Activity"),--($D$279:$D$284="P"),$O$279:$O$284,AX$279:AX$284)/SUMPRODUCT(--($A$279:$A$284="Activity"),--($D$279:$D$284="P"),$O$279:$O$284),""))</f>
        <v/>
      </c>
      <c r="AY277" s="45" t="str">
        <f t="shared" si="246"/>
        <v/>
      </c>
      <c r="AZ277" s="45" t="str">
        <f t="shared" si="246"/>
        <v/>
      </c>
      <c r="BA277" s="45" t="str">
        <f t="shared" si="246"/>
        <v/>
      </c>
      <c r="BB277" s="45" t="str">
        <f t="shared" si="246"/>
        <v/>
      </c>
      <c r="BC277" s="45" t="str">
        <f t="shared" si="246"/>
        <v/>
      </c>
      <c r="BD277" s="45" t="str">
        <f t="shared" si="246"/>
        <v/>
      </c>
      <c r="BE277" s="45" t="str">
        <f t="shared" si="246"/>
        <v/>
      </c>
      <c r="BF277" s="45" t="str">
        <f t="shared" si="246"/>
        <v/>
      </c>
      <c r="BG277" s="45" t="str">
        <f t="shared" si="246"/>
        <v/>
      </c>
      <c r="BH277" s="45" t="str">
        <f t="shared" si="246"/>
        <v/>
      </c>
      <c r="BI277" s="45" t="str">
        <f t="shared" si="246"/>
        <v/>
      </c>
      <c r="BJ277" s="45" t="str">
        <f t="shared" si="246"/>
        <v/>
      </c>
      <c r="BK277" s="45" t="str">
        <f t="shared" si="246"/>
        <v/>
      </c>
      <c r="BL277" s="45" t="str">
        <f t="shared" si="246"/>
        <v/>
      </c>
      <c r="BM277" s="45" t="str">
        <f t="shared" si="246"/>
        <v/>
      </c>
      <c r="BN277" s="45" t="str">
        <f t="shared" si="246"/>
        <v/>
      </c>
      <c r="BO277" s="45" t="str">
        <f t="shared" si="246"/>
        <v/>
      </c>
      <c r="BP277" s="45">
        <f t="shared" si="246"/>
        <v>1.5873015873015876E-2</v>
      </c>
      <c r="BQ277" s="45">
        <f t="shared" si="246"/>
        <v>0.11111111111111109</v>
      </c>
      <c r="BR277" s="45">
        <f t="shared" si="246"/>
        <v>0.11111111111111109</v>
      </c>
      <c r="BS277" s="45">
        <f t="shared" si="246"/>
        <v>9.5238095238095261E-2</v>
      </c>
      <c r="BT277" s="45">
        <f t="shared" si="246"/>
        <v>6.4102564102564097E-2</v>
      </c>
      <c r="BU277" s="45">
        <f t="shared" si="246"/>
        <v>8.9743589743589744E-2</v>
      </c>
      <c r="BV277" s="45">
        <f t="shared" si="246"/>
        <v>8.9743589743589744E-2</v>
      </c>
      <c r="BW277" s="45">
        <f t="shared" si="246"/>
        <v>8.9743589743589744E-2</v>
      </c>
      <c r="BX277" s="45">
        <f t="shared" si="246"/>
        <v>6.4102564102564097E-2</v>
      </c>
      <c r="BY277" s="45">
        <f t="shared" si="246"/>
        <v>8.9743589743589744E-2</v>
      </c>
      <c r="BZ277" s="45">
        <f t="shared" si="246"/>
        <v>8.9743589743589744E-2</v>
      </c>
      <c r="CA277" s="45">
        <f t="shared" si="246"/>
        <v>8.9743589743589744E-2</v>
      </c>
      <c r="CB277" s="45" t="str">
        <f t="shared" si="246"/>
        <v/>
      </c>
      <c r="CC277" s="45" t="str">
        <f t="shared" si="246"/>
        <v/>
      </c>
      <c r="CD277" s="45" t="str">
        <f t="shared" ref="CD277:CO277" si="247">IF(COUNTIFS($A$279:$A$284,"Activity",$D$279:$D$284,"P",CD$279:CD$284,"&lt;&gt;")=0,"",IFERROR(SUMPRODUCT(--($A$279:$A$284="Activity"),--($D$279:$D$284="P"),$O$279:$O$284,CD$279:CD$284)/SUMPRODUCT(--($A$279:$A$284="Activity"),--($D$279:$D$284="P"),$O$279:$O$284),""))</f>
        <v/>
      </c>
      <c r="CE277" s="45" t="str">
        <f t="shared" si="247"/>
        <v/>
      </c>
      <c r="CF277" s="45" t="str">
        <f t="shared" si="247"/>
        <v/>
      </c>
      <c r="CG277" s="45" t="str">
        <f t="shared" si="247"/>
        <v/>
      </c>
      <c r="CH277" s="45" t="str">
        <f t="shared" si="247"/>
        <v/>
      </c>
      <c r="CI277" s="45" t="str">
        <f t="shared" si="247"/>
        <v/>
      </c>
      <c r="CJ277" s="45" t="str">
        <f t="shared" si="247"/>
        <v/>
      </c>
      <c r="CK277" s="45" t="str">
        <f t="shared" si="247"/>
        <v/>
      </c>
      <c r="CL277" s="45" t="str">
        <f t="shared" si="247"/>
        <v/>
      </c>
      <c r="CM277" s="45" t="str">
        <f t="shared" si="247"/>
        <v/>
      </c>
      <c r="CN277" s="45" t="str">
        <f t="shared" si="247"/>
        <v/>
      </c>
      <c r="CO277" s="45" t="str">
        <f t="shared" si="247"/>
        <v/>
      </c>
    </row>
    <row r="278" spans="1:93" outlineLevel="3" x14ac:dyDescent="0.25">
      <c r="A278" s="1"/>
      <c r="B278" s="1"/>
      <c r="C278" s="7"/>
      <c r="D278" s="8" t="s">
        <v>111</v>
      </c>
      <c r="E278" s="1"/>
      <c r="F278" s="1"/>
      <c r="G278" s="1"/>
      <c r="H278" s="1"/>
      <c r="I278" s="9"/>
      <c r="J278" s="9"/>
      <c r="K278" s="9"/>
      <c r="L278" s="9"/>
      <c r="M278" s="3" t="str">
        <f t="shared" si="226"/>
        <v/>
      </c>
      <c r="N278" s="3"/>
      <c r="O278" s="46">
        <f>O277</f>
        <v>300000</v>
      </c>
      <c r="P278" s="4"/>
      <c r="Q278" s="5"/>
      <c r="R278" s="45" t="str">
        <f t="shared" ref="R278:AW278" si="248">IF(COUNTIFS($E$279:$E$284,"&lt;&gt;",$D$279:$D$284,"A",R$279:R$284,"&lt;&gt;")=0,"",IFERROR(SUMPRODUCT(--($E$279:$E$284&lt;&gt;""),--($D$279:$D$284="A"),$O$279:$O$284,R$279:R$284)/SUMPRODUCT(--($E$279:$E$284&lt;&gt;""),--($D$279:$D$284="A"),$O$279:$O$284),""))</f>
        <v/>
      </c>
      <c r="S278" s="45" t="str">
        <f t="shared" si="248"/>
        <v/>
      </c>
      <c r="T278" s="45" t="str">
        <f t="shared" si="248"/>
        <v/>
      </c>
      <c r="U278" s="45" t="str">
        <f t="shared" si="248"/>
        <v/>
      </c>
      <c r="V278" s="45" t="str">
        <f t="shared" si="248"/>
        <v/>
      </c>
      <c r="W278" s="45" t="str">
        <f t="shared" si="248"/>
        <v/>
      </c>
      <c r="X278" s="45" t="str">
        <f t="shared" si="248"/>
        <v/>
      </c>
      <c r="Y278" s="45" t="str">
        <f t="shared" si="248"/>
        <v/>
      </c>
      <c r="Z278" s="45" t="str">
        <f t="shared" si="248"/>
        <v/>
      </c>
      <c r="AA278" s="45" t="str">
        <f t="shared" si="248"/>
        <v/>
      </c>
      <c r="AB278" s="45" t="str">
        <f t="shared" si="248"/>
        <v/>
      </c>
      <c r="AC278" s="45" t="str">
        <f t="shared" si="248"/>
        <v/>
      </c>
      <c r="AD278" s="45" t="str">
        <f t="shared" si="248"/>
        <v/>
      </c>
      <c r="AE278" s="45" t="str">
        <f t="shared" si="248"/>
        <v/>
      </c>
      <c r="AF278" s="45" t="str">
        <f t="shared" si="248"/>
        <v/>
      </c>
      <c r="AG278" s="45" t="str">
        <f t="shared" si="248"/>
        <v/>
      </c>
      <c r="AH278" s="45" t="str">
        <f t="shared" si="248"/>
        <v/>
      </c>
      <c r="AI278" s="45" t="str">
        <f t="shared" si="248"/>
        <v/>
      </c>
      <c r="AJ278" s="45" t="str">
        <f t="shared" si="248"/>
        <v/>
      </c>
      <c r="AK278" s="45" t="str">
        <f t="shared" si="248"/>
        <v/>
      </c>
      <c r="AL278" s="45" t="str">
        <f t="shared" si="248"/>
        <v/>
      </c>
      <c r="AM278" s="45" t="str">
        <f t="shared" si="248"/>
        <v/>
      </c>
      <c r="AN278" s="45" t="str">
        <f t="shared" si="248"/>
        <v/>
      </c>
      <c r="AO278" s="45" t="str">
        <f t="shared" si="248"/>
        <v/>
      </c>
      <c r="AP278" s="45" t="str">
        <f t="shared" si="248"/>
        <v/>
      </c>
      <c r="AQ278" s="45" t="str">
        <f t="shared" si="248"/>
        <v/>
      </c>
      <c r="AR278" s="45" t="str">
        <f t="shared" si="248"/>
        <v/>
      </c>
      <c r="AS278" s="45" t="str">
        <f t="shared" si="248"/>
        <v/>
      </c>
      <c r="AT278" s="45" t="str">
        <f t="shared" si="248"/>
        <v/>
      </c>
      <c r="AU278" s="45" t="str">
        <f t="shared" si="248"/>
        <v/>
      </c>
      <c r="AV278" s="45" t="str">
        <f t="shared" si="248"/>
        <v/>
      </c>
      <c r="AW278" s="45" t="str">
        <f t="shared" si="248"/>
        <v/>
      </c>
      <c r="AX278" s="45" t="str">
        <f t="shared" ref="AX278:CC278" si="249">IF(COUNTIFS($E$279:$E$284,"&lt;&gt;",$D$279:$D$284,"A",AX$279:AX$284,"&lt;&gt;")=0,"",IFERROR(SUMPRODUCT(--($E$279:$E$284&lt;&gt;""),--($D$279:$D$284="A"),$O$279:$O$284,AX$279:AX$284)/SUMPRODUCT(--($E$279:$E$284&lt;&gt;""),--($D$279:$D$284="A"),$O$279:$O$284),""))</f>
        <v/>
      </c>
      <c r="AY278" s="45" t="str">
        <f t="shared" si="249"/>
        <v/>
      </c>
      <c r="AZ278" s="45" t="str">
        <f t="shared" si="249"/>
        <v/>
      </c>
      <c r="BA278" s="45" t="str">
        <f t="shared" si="249"/>
        <v/>
      </c>
      <c r="BB278" s="45" t="str">
        <f t="shared" si="249"/>
        <v/>
      </c>
      <c r="BC278" s="45" t="str">
        <f t="shared" si="249"/>
        <v/>
      </c>
      <c r="BD278" s="45" t="str">
        <f t="shared" si="249"/>
        <v/>
      </c>
      <c r="BE278" s="45" t="str">
        <f t="shared" si="249"/>
        <v/>
      </c>
      <c r="BF278" s="45" t="str">
        <f t="shared" si="249"/>
        <v/>
      </c>
      <c r="BG278" s="45" t="str">
        <f t="shared" si="249"/>
        <v/>
      </c>
      <c r="BH278" s="45" t="str">
        <f t="shared" si="249"/>
        <v/>
      </c>
      <c r="BI278" s="45" t="str">
        <f t="shared" si="249"/>
        <v/>
      </c>
      <c r="BJ278" s="45" t="str">
        <f t="shared" si="249"/>
        <v/>
      </c>
      <c r="BK278" s="45" t="str">
        <f t="shared" si="249"/>
        <v/>
      </c>
      <c r="BL278" s="45" t="str">
        <f t="shared" si="249"/>
        <v/>
      </c>
      <c r="BM278" s="45" t="str">
        <f t="shared" si="249"/>
        <v/>
      </c>
      <c r="BN278" s="45" t="str">
        <f t="shared" si="249"/>
        <v/>
      </c>
      <c r="BO278" s="45" t="str">
        <f t="shared" si="249"/>
        <v/>
      </c>
      <c r="BP278" s="45" t="str">
        <f t="shared" si="249"/>
        <v/>
      </c>
      <c r="BQ278" s="45" t="str">
        <f t="shared" si="249"/>
        <v/>
      </c>
      <c r="BR278" s="45" t="str">
        <f t="shared" si="249"/>
        <v/>
      </c>
      <c r="BS278" s="45" t="str">
        <f t="shared" si="249"/>
        <v/>
      </c>
      <c r="BT278" s="45" t="str">
        <f t="shared" si="249"/>
        <v/>
      </c>
      <c r="BU278" s="45" t="str">
        <f t="shared" si="249"/>
        <v/>
      </c>
      <c r="BV278" s="45" t="str">
        <f t="shared" si="249"/>
        <v/>
      </c>
      <c r="BW278" s="45" t="str">
        <f t="shared" si="249"/>
        <v/>
      </c>
      <c r="BX278" s="45" t="str">
        <f t="shared" si="249"/>
        <v/>
      </c>
      <c r="BY278" s="45" t="str">
        <f t="shared" si="249"/>
        <v/>
      </c>
      <c r="BZ278" s="45" t="str">
        <f t="shared" si="249"/>
        <v/>
      </c>
      <c r="CA278" s="45" t="str">
        <f t="shared" si="249"/>
        <v/>
      </c>
      <c r="CB278" s="45" t="str">
        <f t="shared" si="249"/>
        <v/>
      </c>
      <c r="CC278" s="45" t="str">
        <f t="shared" si="249"/>
        <v/>
      </c>
      <c r="CD278" s="45" t="str">
        <f t="shared" ref="CD278:CO278" si="250">IF(COUNTIFS($E$279:$E$284,"&lt;&gt;",$D$279:$D$284,"A",CD$279:CD$284,"&lt;&gt;")=0,"",IFERROR(SUMPRODUCT(--($E$279:$E$284&lt;&gt;""),--($D$279:$D$284="A"),$O$279:$O$284,CD$279:CD$284)/SUMPRODUCT(--($E$279:$E$284&lt;&gt;""),--($D$279:$D$284="A"),$O$279:$O$284),""))</f>
        <v/>
      </c>
      <c r="CE278" s="45" t="str">
        <f t="shared" si="250"/>
        <v/>
      </c>
      <c r="CF278" s="45" t="str">
        <f t="shared" si="250"/>
        <v/>
      </c>
      <c r="CG278" s="45" t="str">
        <f t="shared" si="250"/>
        <v/>
      </c>
      <c r="CH278" s="45" t="str">
        <f t="shared" si="250"/>
        <v/>
      </c>
      <c r="CI278" s="45" t="str">
        <f t="shared" si="250"/>
        <v/>
      </c>
      <c r="CJ278" s="45" t="str">
        <f t="shared" si="250"/>
        <v/>
      </c>
      <c r="CK278" s="45" t="str">
        <f t="shared" si="250"/>
        <v/>
      </c>
      <c r="CL278" s="45" t="str">
        <f t="shared" si="250"/>
        <v/>
      </c>
      <c r="CM278" s="45" t="str">
        <f t="shared" si="250"/>
        <v/>
      </c>
      <c r="CN278" s="45" t="str">
        <f t="shared" si="250"/>
        <v/>
      </c>
      <c r="CO278" s="45" t="str">
        <f t="shared" si="250"/>
        <v/>
      </c>
    </row>
    <row r="279" spans="1:93" outlineLevel="4" x14ac:dyDescent="0.25">
      <c r="A279" s="10" t="s">
        <v>116</v>
      </c>
      <c r="B279" s="10" t="s">
        <v>433</v>
      </c>
      <c r="C279" s="24" t="s">
        <v>317</v>
      </c>
      <c r="D279" s="12" t="s">
        <v>110</v>
      </c>
      <c r="E279" s="10" t="s">
        <v>434</v>
      </c>
      <c r="F279" s="10">
        <v>137</v>
      </c>
      <c r="G279" s="10">
        <v>141</v>
      </c>
      <c r="H279" s="10">
        <v>4</v>
      </c>
      <c r="I279" s="13">
        <v>46419.333333333343</v>
      </c>
      <c r="J279" s="13">
        <v>46444.666666666657</v>
      </c>
      <c r="K279" s="13"/>
      <c r="L279" s="13"/>
      <c r="M279" s="14">
        <f t="shared" si="226"/>
        <v>1</v>
      </c>
      <c r="N279" s="14"/>
      <c r="O279" s="16">
        <v>100000</v>
      </c>
      <c r="P279" s="15">
        <v>1.466666666666667</v>
      </c>
      <c r="Q279" s="16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>
        <v>0.19230769230769229</v>
      </c>
      <c r="BU279" s="47">
        <v>0.26923076923076922</v>
      </c>
      <c r="BV279" s="47">
        <v>0.26923076923076922</v>
      </c>
      <c r="BW279" s="47">
        <v>0.26923076923076922</v>
      </c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</row>
    <row r="280" spans="1:93" outlineLevel="4" x14ac:dyDescent="0.25">
      <c r="A280" s="17"/>
      <c r="B280" s="17"/>
      <c r="C280" s="25"/>
      <c r="D280" s="19" t="s">
        <v>111</v>
      </c>
      <c r="E280" s="17" t="s">
        <v>434</v>
      </c>
      <c r="F280" s="17"/>
      <c r="G280" s="17"/>
      <c r="H280" s="17"/>
      <c r="I280" s="20"/>
      <c r="J280" s="20"/>
      <c r="K280" s="20"/>
      <c r="L280" s="20"/>
      <c r="M280" s="21" t="str">
        <f t="shared" si="226"/>
        <v/>
      </c>
      <c r="N280" s="21">
        <v>0</v>
      </c>
      <c r="O280" s="48">
        <f>O279</f>
        <v>100000</v>
      </c>
      <c r="P280" s="22"/>
      <c r="Q280" s="23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</row>
    <row r="281" spans="1:93" outlineLevel="4" x14ac:dyDescent="0.25">
      <c r="A281" s="10" t="s">
        <v>116</v>
      </c>
      <c r="B281" s="10" t="s">
        <v>435</v>
      </c>
      <c r="C281" s="24" t="s">
        <v>320</v>
      </c>
      <c r="D281" s="12" t="s">
        <v>110</v>
      </c>
      <c r="E281" s="10" t="s">
        <v>436</v>
      </c>
      <c r="F281" s="10">
        <v>138</v>
      </c>
      <c r="G281" s="10">
        <v>142</v>
      </c>
      <c r="H281" s="10">
        <v>4</v>
      </c>
      <c r="I281" s="13">
        <v>46447.333333333343</v>
      </c>
      <c r="J281" s="13">
        <v>46472.666666666657</v>
      </c>
      <c r="K281" s="13"/>
      <c r="L281" s="13"/>
      <c r="M281" s="14">
        <f t="shared" si="226"/>
        <v>1</v>
      </c>
      <c r="N281" s="14"/>
      <c r="O281" s="16">
        <v>100000</v>
      </c>
      <c r="P281" s="15">
        <v>1.466666666666667</v>
      </c>
      <c r="Q281" s="16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>
        <v>0.19230769230769229</v>
      </c>
      <c r="BY281" s="47">
        <v>0.26923076923076922</v>
      </c>
      <c r="BZ281" s="47">
        <v>0.26923076923076922</v>
      </c>
      <c r="CA281" s="47">
        <v>0.26923076923076922</v>
      </c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</row>
    <row r="282" spans="1:93" outlineLevel="4" x14ac:dyDescent="0.25">
      <c r="A282" s="17"/>
      <c r="B282" s="17"/>
      <c r="C282" s="25"/>
      <c r="D282" s="19" t="s">
        <v>111</v>
      </c>
      <c r="E282" s="17" t="s">
        <v>436</v>
      </c>
      <c r="F282" s="17"/>
      <c r="G282" s="17"/>
      <c r="H282" s="17"/>
      <c r="I282" s="20"/>
      <c r="J282" s="20"/>
      <c r="K282" s="20"/>
      <c r="L282" s="20"/>
      <c r="M282" s="21" t="str">
        <f t="shared" si="226"/>
        <v/>
      </c>
      <c r="N282" s="21">
        <v>0</v>
      </c>
      <c r="O282" s="48">
        <f>O281</f>
        <v>100000</v>
      </c>
      <c r="P282" s="22"/>
      <c r="Q282" s="23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</row>
    <row r="283" spans="1:93" outlineLevel="4" x14ac:dyDescent="0.25">
      <c r="A283" s="10" t="s">
        <v>116</v>
      </c>
      <c r="B283" s="10" t="s">
        <v>437</v>
      </c>
      <c r="C283" s="24" t="s">
        <v>323</v>
      </c>
      <c r="D283" s="12" t="s">
        <v>110</v>
      </c>
      <c r="E283" s="10" t="s">
        <v>438</v>
      </c>
      <c r="F283" s="10">
        <v>139</v>
      </c>
      <c r="G283" s="10">
        <v>143</v>
      </c>
      <c r="H283" s="10">
        <v>4</v>
      </c>
      <c r="I283" s="13">
        <v>46395.333333333343</v>
      </c>
      <c r="J283" s="13">
        <v>46415.666666666657</v>
      </c>
      <c r="K283" s="13"/>
      <c r="L283" s="13"/>
      <c r="M283" s="14">
        <f t="shared" si="226"/>
        <v>1</v>
      </c>
      <c r="N283" s="14"/>
      <c r="O283" s="16">
        <v>100000</v>
      </c>
      <c r="P283" s="15">
        <v>0</v>
      </c>
      <c r="Q283" s="16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>
        <v>4.7619047619047623E-2</v>
      </c>
      <c r="BQ283" s="47">
        <v>0.33333333333333331</v>
      </c>
      <c r="BR283" s="47">
        <v>0.33333333333333331</v>
      </c>
      <c r="BS283" s="47">
        <v>0.28571428571428581</v>
      </c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</row>
    <row r="284" spans="1:93" outlineLevel="4" x14ac:dyDescent="0.25">
      <c r="A284" s="17"/>
      <c r="B284" s="17"/>
      <c r="C284" s="25"/>
      <c r="D284" s="19" t="s">
        <v>111</v>
      </c>
      <c r="E284" s="17" t="s">
        <v>438</v>
      </c>
      <c r="F284" s="17"/>
      <c r="G284" s="17"/>
      <c r="H284" s="17"/>
      <c r="I284" s="20"/>
      <c r="J284" s="20"/>
      <c r="K284" s="20"/>
      <c r="L284" s="20"/>
      <c r="M284" s="21" t="str">
        <f t="shared" si="226"/>
        <v/>
      </c>
      <c r="N284" s="21">
        <v>0</v>
      </c>
      <c r="O284" s="48">
        <f>O283</f>
        <v>100000</v>
      </c>
      <c r="P284" s="22"/>
      <c r="Q284" s="23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</row>
    <row r="285" spans="1:93" outlineLevel="3" x14ac:dyDescent="0.25">
      <c r="A285" s="1" t="s">
        <v>92</v>
      </c>
      <c r="B285" s="1" t="s">
        <v>439</v>
      </c>
      <c r="C285" s="7" t="s">
        <v>326</v>
      </c>
      <c r="D285" s="8" t="s">
        <v>110</v>
      </c>
      <c r="E285" s="1"/>
      <c r="F285" s="1">
        <v>140</v>
      </c>
      <c r="G285" s="1">
        <v>144</v>
      </c>
      <c r="H285" s="1">
        <v>3</v>
      </c>
      <c r="I285" s="9">
        <v>46416.333333333343</v>
      </c>
      <c r="J285" s="9">
        <v>46486.666666666657</v>
      </c>
      <c r="K285" s="9"/>
      <c r="L285" s="9"/>
      <c r="M285" s="3">
        <f t="shared" si="226"/>
        <v>1</v>
      </c>
      <c r="N285" s="3"/>
      <c r="O285" s="5">
        <f>SUMIFS($O$286:$O$289,$A$286:$A$289,"Activity",$D$286:$D$289,"P")</f>
        <v>200000</v>
      </c>
      <c r="P285" s="4"/>
      <c r="Q285" s="5"/>
      <c r="R285" s="45" t="str">
        <f t="shared" ref="R285:AW285" si="251">IF(COUNTIFS($A$287:$A$290,"Activity",$D$287:$D$290,"P",R$287:R$290,"&lt;&gt;")=0,"",IFERROR(SUMPRODUCT(--($A$287:$A$290="Activity"),--($D$287:$D$290="P"),$O$287:$O$290,R$287:R$290)/SUMPRODUCT(--($A$287:$A$290="Activity"),--($D$287:$D$290="P"),$O$287:$O$290),""))</f>
        <v/>
      </c>
      <c r="S285" s="45" t="str">
        <f t="shared" si="251"/>
        <v/>
      </c>
      <c r="T285" s="45" t="str">
        <f t="shared" si="251"/>
        <v/>
      </c>
      <c r="U285" s="45" t="str">
        <f t="shared" si="251"/>
        <v/>
      </c>
      <c r="V285" s="45" t="str">
        <f t="shared" si="251"/>
        <v/>
      </c>
      <c r="W285" s="45" t="str">
        <f t="shared" si="251"/>
        <v/>
      </c>
      <c r="X285" s="45" t="str">
        <f t="shared" si="251"/>
        <v/>
      </c>
      <c r="Y285" s="45" t="str">
        <f t="shared" si="251"/>
        <v/>
      </c>
      <c r="Z285" s="45" t="str">
        <f t="shared" si="251"/>
        <v/>
      </c>
      <c r="AA285" s="45" t="str">
        <f t="shared" si="251"/>
        <v/>
      </c>
      <c r="AB285" s="45" t="str">
        <f t="shared" si="251"/>
        <v/>
      </c>
      <c r="AC285" s="45" t="str">
        <f t="shared" si="251"/>
        <v/>
      </c>
      <c r="AD285" s="45" t="str">
        <f t="shared" si="251"/>
        <v/>
      </c>
      <c r="AE285" s="45" t="str">
        <f t="shared" si="251"/>
        <v/>
      </c>
      <c r="AF285" s="45" t="str">
        <f t="shared" si="251"/>
        <v/>
      </c>
      <c r="AG285" s="45" t="str">
        <f t="shared" si="251"/>
        <v/>
      </c>
      <c r="AH285" s="45" t="str">
        <f t="shared" si="251"/>
        <v/>
      </c>
      <c r="AI285" s="45" t="str">
        <f t="shared" si="251"/>
        <v/>
      </c>
      <c r="AJ285" s="45" t="str">
        <f t="shared" si="251"/>
        <v/>
      </c>
      <c r="AK285" s="45" t="str">
        <f t="shared" si="251"/>
        <v/>
      </c>
      <c r="AL285" s="45" t="str">
        <f t="shared" si="251"/>
        <v/>
      </c>
      <c r="AM285" s="45" t="str">
        <f t="shared" si="251"/>
        <v/>
      </c>
      <c r="AN285" s="45" t="str">
        <f t="shared" si="251"/>
        <v/>
      </c>
      <c r="AO285" s="45" t="str">
        <f t="shared" si="251"/>
        <v/>
      </c>
      <c r="AP285" s="45" t="str">
        <f t="shared" si="251"/>
        <v/>
      </c>
      <c r="AQ285" s="45" t="str">
        <f t="shared" si="251"/>
        <v/>
      </c>
      <c r="AR285" s="45" t="str">
        <f t="shared" si="251"/>
        <v/>
      </c>
      <c r="AS285" s="45" t="str">
        <f t="shared" si="251"/>
        <v/>
      </c>
      <c r="AT285" s="45" t="str">
        <f t="shared" si="251"/>
        <v/>
      </c>
      <c r="AU285" s="45" t="str">
        <f t="shared" si="251"/>
        <v/>
      </c>
      <c r="AV285" s="45" t="str">
        <f t="shared" si="251"/>
        <v/>
      </c>
      <c r="AW285" s="45" t="str">
        <f t="shared" si="251"/>
        <v/>
      </c>
      <c r="AX285" s="45" t="str">
        <f t="shared" ref="AX285:CC285" si="252">IF(COUNTIFS($A$287:$A$290,"Activity",$D$287:$D$290,"P",AX$287:AX$290,"&lt;&gt;")=0,"",IFERROR(SUMPRODUCT(--($A$287:$A$290="Activity"),--($D$287:$D$290="P"),$O$287:$O$290,AX$287:AX$290)/SUMPRODUCT(--($A$287:$A$290="Activity"),--($D$287:$D$290="P"),$O$287:$O$290),""))</f>
        <v/>
      </c>
      <c r="AY285" s="45" t="str">
        <f t="shared" si="252"/>
        <v/>
      </c>
      <c r="AZ285" s="45" t="str">
        <f t="shared" si="252"/>
        <v/>
      </c>
      <c r="BA285" s="45" t="str">
        <f t="shared" si="252"/>
        <v/>
      </c>
      <c r="BB285" s="45" t="str">
        <f t="shared" si="252"/>
        <v/>
      </c>
      <c r="BC285" s="45" t="str">
        <f t="shared" si="252"/>
        <v/>
      </c>
      <c r="BD285" s="45" t="str">
        <f t="shared" si="252"/>
        <v/>
      </c>
      <c r="BE285" s="45" t="str">
        <f t="shared" si="252"/>
        <v/>
      </c>
      <c r="BF285" s="45" t="str">
        <f t="shared" si="252"/>
        <v/>
      </c>
      <c r="BG285" s="45" t="str">
        <f t="shared" si="252"/>
        <v/>
      </c>
      <c r="BH285" s="45" t="str">
        <f t="shared" si="252"/>
        <v/>
      </c>
      <c r="BI285" s="45" t="str">
        <f t="shared" si="252"/>
        <v/>
      </c>
      <c r="BJ285" s="45" t="str">
        <f t="shared" si="252"/>
        <v/>
      </c>
      <c r="BK285" s="45" t="str">
        <f t="shared" si="252"/>
        <v/>
      </c>
      <c r="BL285" s="45" t="str">
        <f t="shared" si="252"/>
        <v/>
      </c>
      <c r="BM285" s="45" t="str">
        <f t="shared" si="252"/>
        <v/>
      </c>
      <c r="BN285" s="45" t="str">
        <f t="shared" si="252"/>
        <v/>
      </c>
      <c r="BO285" s="45" t="str">
        <f t="shared" si="252"/>
        <v/>
      </c>
      <c r="BP285" s="45" t="str">
        <f t="shared" si="252"/>
        <v/>
      </c>
      <c r="BQ285" s="45" t="str">
        <f t="shared" si="252"/>
        <v/>
      </c>
      <c r="BR285" s="45" t="str">
        <f t="shared" si="252"/>
        <v/>
      </c>
      <c r="BS285" s="45">
        <f t="shared" si="252"/>
        <v>2.3809523809523812E-2</v>
      </c>
      <c r="BT285" s="45">
        <f t="shared" si="252"/>
        <v>0.16666666666666663</v>
      </c>
      <c r="BU285" s="45">
        <f t="shared" si="252"/>
        <v>0.16666666666666663</v>
      </c>
      <c r="BV285" s="45">
        <f t="shared" si="252"/>
        <v>0.1428571428571429</v>
      </c>
      <c r="BW285" s="45" t="str">
        <f t="shared" si="252"/>
        <v/>
      </c>
      <c r="BX285" s="45" t="str">
        <f t="shared" si="252"/>
        <v/>
      </c>
      <c r="BY285" s="45" t="str">
        <f t="shared" si="252"/>
        <v/>
      </c>
      <c r="BZ285" s="45" t="str">
        <f t="shared" si="252"/>
        <v/>
      </c>
      <c r="CA285" s="45" t="str">
        <f t="shared" si="252"/>
        <v/>
      </c>
      <c r="CB285" s="45">
        <f t="shared" si="252"/>
        <v>0.20833333333333329</v>
      </c>
      <c r="CC285" s="45">
        <f t="shared" si="252"/>
        <v>0.29166666666666669</v>
      </c>
      <c r="CD285" s="45" t="str">
        <f t="shared" ref="CD285:CO285" si="253">IF(COUNTIFS($A$287:$A$290,"Activity",$D$287:$D$290,"P",CD$287:CD$290,"&lt;&gt;")=0,"",IFERROR(SUMPRODUCT(--($A$287:$A$290="Activity"),--($D$287:$D$290="P"),$O$287:$O$290,CD$287:CD$290)/SUMPRODUCT(--($A$287:$A$290="Activity"),--($D$287:$D$290="P"),$O$287:$O$290),""))</f>
        <v/>
      </c>
      <c r="CE285" s="45" t="str">
        <f t="shared" si="253"/>
        <v/>
      </c>
      <c r="CF285" s="45" t="str">
        <f t="shared" si="253"/>
        <v/>
      </c>
      <c r="CG285" s="45" t="str">
        <f t="shared" si="253"/>
        <v/>
      </c>
      <c r="CH285" s="45" t="str">
        <f t="shared" si="253"/>
        <v/>
      </c>
      <c r="CI285" s="45" t="str">
        <f t="shared" si="253"/>
        <v/>
      </c>
      <c r="CJ285" s="45" t="str">
        <f t="shared" si="253"/>
        <v/>
      </c>
      <c r="CK285" s="45" t="str">
        <f t="shared" si="253"/>
        <v/>
      </c>
      <c r="CL285" s="45" t="str">
        <f t="shared" si="253"/>
        <v/>
      </c>
      <c r="CM285" s="45" t="str">
        <f t="shared" si="253"/>
        <v/>
      </c>
      <c r="CN285" s="45" t="str">
        <f t="shared" si="253"/>
        <v/>
      </c>
      <c r="CO285" s="45" t="str">
        <f t="shared" si="253"/>
        <v/>
      </c>
    </row>
    <row r="286" spans="1:93" outlineLevel="3" x14ac:dyDescent="0.25">
      <c r="A286" s="1"/>
      <c r="B286" s="1"/>
      <c r="C286" s="7"/>
      <c r="D286" s="8" t="s">
        <v>111</v>
      </c>
      <c r="E286" s="1"/>
      <c r="F286" s="1"/>
      <c r="G286" s="1"/>
      <c r="H286" s="1"/>
      <c r="I286" s="9"/>
      <c r="J286" s="9"/>
      <c r="K286" s="9"/>
      <c r="L286" s="9"/>
      <c r="M286" s="3" t="str">
        <f t="shared" si="226"/>
        <v/>
      </c>
      <c r="N286" s="3"/>
      <c r="O286" s="46">
        <f>O285</f>
        <v>200000</v>
      </c>
      <c r="P286" s="4"/>
      <c r="Q286" s="5"/>
      <c r="R286" s="45" t="str">
        <f t="shared" ref="R286:AW286" si="254">IF(COUNTIFS($E$287:$E$290,"&lt;&gt;",$D$287:$D$290,"A",R$287:R$290,"&lt;&gt;")=0,"",IFERROR(SUMPRODUCT(--($E$287:$E$290&lt;&gt;""),--($D$287:$D$290="A"),$O$287:$O$290,R$287:R$290)/SUMPRODUCT(--($E$287:$E$290&lt;&gt;""),--($D$287:$D$290="A"),$O$287:$O$290),""))</f>
        <v/>
      </c>
      <c r="S286" s="45" t="str">
        <f t="shared" si="254"/>
        <v/>
      </c>
      <c r="T286" s="45" t="str">
        <f t="shared" si="254"/>
        <v/>
      </c>
      <c r="U286" s="45" t="str">
        <f t="shared" si="254"/>
        <v/>
      </c>
      <c r="V286" s="45" t="str">
        <f t="shared" si="254"/>
        <v/>
      </c>
      <c r="W286" s="45" t="str">
        <f t="shared" si="254"/>
        <v/>
      </c>
      <c r="X286" s="45" t="str">
        <f t="shared" si="254"/>
        <v/>
      </c>
      <c r="Y286" s="45" t="str">
        <f t="shared" si="254"/>
        <v/>
      </c>
      <c r="Z286" s="45" t="str">
        <f t="shared" si="254"/>
        <v/>
      </c>
      <c r="AA286" s="45" t="str">
        <f t="shared" si="254"/>
        <v/>
      </c>
      <c r="AB286" s="45" t="str">
        <f t="shared" si="254"/>
        <v/>
      </c>
      <c r="AC286" s="45" t="str">
        <f t="shared" si="254"/>
        <v/>
      </c>
      <c r="AD286" s="45" t="str">
        <f t="shared" si="254"/>
        <v/>
      </c>
      <c r="AE286" s="45" t="str">
        <f t="shared" si="254"/>
        <v/>
      </c>
      <c r="AF286" s="45" t="str">
        <f t="shared" si="254"/>
        <v/>
      </c>
      <c r="AG286" s="45" t="str">
        <f t="shared" si="254"/>
        <v/>
      </c>
      <c r="AH286" s="45" t="str">
        <f t="shared" si="254"/>
        <v/>
      </c>
      <c r="AI286" s="45" t="str">
        <f t="shared" si="254"/>
        <v/>
      </c>
      <c r="AJ286" s="45" t="str">
        <f t="shared" si="254"/>
        <v/>
      </c>
      <c r="AK286" s="45" t="str">
        <f t="shared" si="254"/>
        <v/>
      </c>
      <c r="AL286" s="45" t="str">
        <f t="shared" si="254"/>
        <v/>
      </c>
      <c r="AM286" s="45" t="str">
        <f t="shared" si="254"/>
        <v/>
      </c>
      <c r="AN286" s="45" t="str">
        <f t="shared" si="254"/>
        <v/>
      </c>
      <c r="AO286" s="45" t="str">
        <f t="shared" si="254"/>
        <v/>
      </c>
      <c r="AP286" s="45" t="str">
        <f t="shared" si="254"/>
        <v/>
      </c>
      <c r="AQ286" s="45" t="str">
        <f t="shared" si="254"/>
        <v/>
      </c>
      <c r="AR286" s="45" t="str">
        <f t="shared" si="254"/>
        <v/>
      </c>
      <c r="AS286" s="45" t="str">
        <f t="shared" si="254"/>
        <v/>
      </c>
      <c r="AT286" s="45" t="str">
        <f t="shared" si="254"/>
        <v/>
      </c>
      <c r="AU286" s="45" t="str">
        <f t="shared" si="254"/>
        <v/>
      </c>
      <c r="AV286" s="45" t="str">
        <f t="shared" si="254"/>
        <v/>
      </c>
      <c r="AW286" s="45" t="str">
        <f t="shared" si="254"/>
        <v/>
      </c>
      <c r="AX286" s="45" t="str">
        <f t="shared" ref="AX286:CC286" si="255">IF(COUNTIFS($E$287:$E$290,"&lt;&gt;",$D$287:$D$290,"A",AX$287:AX$290,"&lt;&gt;")=0,"",IFERROR(SUMPRODUCT(--($E$287:$E$290&lt;&gt;""),--($D$287:$D$290="A"),$O$287:$O$290,AX$287:AX$290)/SUMPRODUCT(--($E$287:$E$290&lt;&gt;""),--($D$287:$D$290="A"),$O$287:$O$290),""))</f>
        <v/>
      </c>
      <c r="AY286" s="45" t="str">
        <f t="shared" si="255"/>
        <v/>
      </c>
      <c r="AZ286" s="45" t="str">
        <f t="shared" si="255"/>
        <v/>
      </c>
      <c r="BA286" s="45" t="str">
        <f t="shared" si="255"/>
        <v/>
      </c>
      <c r="BB286" s="45" t="str">
        <f t="shared" si="255"/>
        <v/>
      </c>
      <c r="BC286" s="45" t="str">
        <f t="shared" si="255"/>
        <v/>
      </c>
      <c r="BD286" s="45" t="str">
        <f t="shared" si="255"/>
        <v/>
      </c>
      <c r="BE286" s="45" t="str">
        <f t="shared" si="255"/>
        <v/>
      </c>
      <c r="BF286" s="45" t="str">
        <f t="shared" si="255"/>
        <v/>
      </c>
      <c r="BG286" s="45" t="str">
        <f t="shared" si="255"/>
        <v/>
      </c>
      <c r="BH286" s="45" t="str">
        <f t="shared" si="255"/>
        <v/>
      </c>
      <c r="BI286" s="45" t="str">
        <f t="shared" si="255"/>
        <v/>
      </c>
      <c r="BJ286" s="45" t="str">
        <f t="shared" si="255"/>
        <v/>
      </c>
      <c r="BK286" s="45" t="str">
        <f t="shared" si="255"/>
        <v/>
      </c>
      <c r="BL286" s="45" t="str">
        <f t="shared" si="255"/>
        <v/>
      </c>
      <c r="BM286" s="45" t="str">
        <f t="shared" si="255"/>
        <v/>
      </c>
      <c r="BN286" s="45" t="str">
        <f t="shared" si="255"/>
        <v/>
      </c>
      <c r="BO286" s="45" t="str">
        <f t="shared" si="255"/>
        <v/>
      </c>
      <c r="BP286" s="45" t="str">
        <f t="shared" si="255"/>
        <v/>
      </c>
      <c r="BQ286" s="45" t="str">
        <f t="shared" si="255"/>
        <v/>
      </c>
      <c r="BR286" s="45" t="str">
        <f t="shared" si="255"/>
        <v/>
      </c>
      <c r="BS286" s="45" t="str">
        <f t="shared" si="255"/>
        <v/>
      </c>
      <c r="BT286" s="45" t="str">
        <f t="shared" si="255"/>
        <v/>
      </c>
      <c r="BU286" s="45" t="str">
        <f t="shared" si="255"/>
        <v/>
      </c>
      <c r="BV286" s="45" t="str">
        <f t="shared" si="255"/>
        <v/>
      </c>
      <c r="BW286" s="45" t="str">
        <f t="shared" si="255"/>
        <v/>
      </c>
      <c r="BX286" s="45" t="str">
        <f t="shared" si="255"/>
        <v/>
      </c>
      <c r="BY286" s="45" t="str">
        <f t="shared" si="255"/>
        <v/>
      </c>
      <c r="BZ286" s="45" t="str">
        <f t="shared" si="255"/>
        <v/>
      </c>
      <c r="CA286" s="45" t="str">
        <f t="shared" si="255"/>
        <v/>
      </c>
      <c r="CB286" s="45" t="str">
        <f t="shared" si="255"/>
        <v/>
      </c>
      <c r="CC286" s="45" t="str">
        <f t="shared" si="255"/>
        <v/>
      </c>
      <c r="CD286" s="45" t="str">
        <f t="shared" ref="CD286:CO286" si="256">IF(COUNTIFS($E$287:$E$290,"&lt;&gt;",$D$287:$D$290,"A",CD$287:CD$290,"&lt;&gt;")=0,"",IFERROR(SUMPRODUCT(--($E$287:$E$290&lt;&gt;""),--($D$287:$D$290="A"),$O$287:$O$290,CD$287:CD$290)/SUMPRODUCT(--($E$287:$E$290&lt;&gt;""),--($D$287:$D$290="A"),$O$287:$O$290),""))</f>
        <v/>
      </c>
      <c r="CE286" s="45" t="str">
        <f t="shared" si="256"/>
        <v/>
      </c>
      <c r="CF286" s="45" t="str">
        <f t="shared" si="256"/>
        <v/>
      </c>
      <c r="CG286" s="45" t="str">
        <f t="shared" si="256"/>
        <v/>
      </c>
      <c r="CH286" s="45" t="str">
        <f t="shared" si="256"/>
        <v/>
      </c>
      <c r="CI286" s="45" t="str">
        <f t="shared" si="256"/>
        <v/>
      </c>
      <c r="CJ286" s="45" t="str">
        <f t="shared" si="256"/>
        <v/>
      </c>
      <c r="CK286" s="45" t="str">
        <f t="shared" si="256"/>
        <v/>
      </c>
      <c r="CL286" s="45" t="str">
        <f t="shared" si="256"/>
        <v/>
      </c>
      <c r="CM286" s="45" t="str">
        <f t="shared" si="256"/>
        <v/>
      </c>
      <c r="CN286" s="45" t="str">
        <f t="shared" si="256"/>
        <v/>
      </c>
      <c r="CO286" s="45" t="str">
        <f t="shared" si="256"/>
        <v/>
      </c>
    </row>
    <row r="287" spans="1:93" outlineLevel="4" x14ac:dyDescent="0.25">
      <c r="A287" s="10" t="s">
        <v>116</v>
      </c>
      <c r="B287" s="10" t="s">
        <v>440</v>
      </c>
      <c r="C287" s="24" t="s">
        <v>331</v>
      </c>
      <c r="D287" s="12" t="s">
        <v>110</v>
      </c>
      <c r="E287" s="10" t="s">
        <v>441</v>
      </c>
      <c r="F287" s="10">
        <v>141</v>
      </c>
      <c r="G287" s="10">
        <v>145</v>
      </c>
      <c r="H287" s="10">
        <v>4</v>
      </c>
      <c r="I287" s="13">
        <v>46475.333333333343</v>
      </c>
      <c r="J287" s="13">
        <v>46486.666666666657</v>
      </c>
      <c r="K287" s="13"/>
      <c r="L287" s="13"/>
      <c r="M287" s="14">
        <f t="shared" si="226"/>
        <v>1</v>
      </c>
      <c r="N287" s="14"/>
      <c r="O287" s="16">
        <v>100000</v>
      </c>
      <c r="P287" s="15">
        <v>1.466666666666667</v>
      </c>
      <c r="Q287" s="16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>
        <v>0.41666666666666657</v>
      </c>
      <c r="CC287" s="47">
        <v>0.58333333333333337</v>
      </c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</row>
    <row r="288" spans="1:93" outlineLevel="4" x14ac:dyDescent="0.25">
      <c r="A288" s="17"/>
      <c r="B288" s="17"/>
      <c r="C288" s="25"/>
      <c r="D288" s="19" t="s">
        <v>111</v>
      </c>
      <c r="E288" s="17" t="s">
        <v>441</v>
      </c>
      <c r="F288" s="17"/>
      <c r="G288" s="17"/>
      <c r="H288" s="17"/>
      <c r="I288" s="20"/>
      <c r="J288" s="20"/>
      <c r="K288" s="20"/>
      <c r="L288" s="20"/>
      <c r="M288" s="21" t="str">
        <f t="shared" si="226"/>
        <v/>
      </c>
      <c r="N288" s="21">
        <v>0</v>
      </c>
      <c r="O288" s="48">
        <f>O287</f>
        <v>100000</v>
      </c>
      <c r="P288" s="22"/>
      <c r="Q288" s="23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</row>
    <row r="289" spans="1:93" outlineLevel="4" x14ac:dyDescent="0.25">
      <c r="A289" s="10" t="s">
        <v>116</v>
      </c>
      <c r="B289" s="10" t="s">
        <v>442</v>
      </c>
      <c r="C289" s="24" t="s">
        <v>334</v>
      </c>
      <c r="D289" s="12" t="s">
        <v>110</v>
      </c>
      <c r="E289" s="10" t="s">
        <v>443</v>
      </c>
      <c r="F289" s="10">
        <v>142</v>
      </c>
      <c r="G289" s="10">
        <v>146</v>
      </c>
      <c r="H289" s="10">
        <v>4</v>
      </c>
      <c r="I289" s="13">
        <v>46416.333333333343</v>
      </c>
      <c r="J289" s="13">
        <v>46436.666666666657</v>
      </c>
      <c r="K289" s="13"/>
      <c r="L289" s="13"/>
      <c r="M289" s="14">
        <f t="shared" si="226"/>
        <v>1</v>
      </c>
      <c r="N289" s="14"/>
      <c r="O289" s="16">
        <v>100000</v>
      </c>
      <c r="P289" s="15">
        <v>0</v>
      </c>
      <c r="Q289" s="16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>
        <v>4.7619047619047623E-2</v>
      </c>
      <c r="BT289" s="47">
        <v>0.33333333333333331</v>
      </c>
      <c r="BU289" s="47">
        <v>0.33333333333333331</v>
      </c>
      <c r="BV289" s="47">
        <v>0.28571428571428581</v>
      </c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</row>
    <row r="290" spans="1:93" outlineLevel="4" x14ac:dyDescent="0.25">
      <c r="A290" s="17"/>
      <c r="B290" s="17"/>
      <c r="C290" s="25"/>
      <c r="D290" s="19" t="s">
        <v>111</v>
      </c>
      <c r="E290" s="17" t="s">
        <v>443</v>
      </c>
      <c r="F290" s="17"/>
      <c r="G290" s="17"/>
      <c r="H290" s="17"/>
      <c r="I290" s="20"/>
      <c r="J290" s="20"/>
      <c r="K290" s="20"/>
      <c r="L290" s="20"/>
      <c r="M290" s="21" t="str">
        <f t="shared" si="226"/>
        <v/>
      </c>
      <c r="N290" s="21">
        <v>0</v>
      </c>
      <c r="O290" s="48">
        <f>O289</f>
        <v>100000</v>
      </c>
      <c r="P290" s="22"/>
      <c r="Q290" s="23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</row>
    <row r="291" spans="1:93" outlineLevel="3" x14ac:dyDescent="0.25">
      <c r="A291" s="1" t="s">
        <v>92</v>
      </c>
      <c r="B291" s="1" t="s">
        <v>444</v>
      </c>
      <c r="C291" s="7" t="s">
        <v>337</v>
      </c>
      <c r="D291" s="8" t="s">
        <v>110</v>
      </c>
      <c r="E291" s="1"/>
      <c r="F291" s="1">
        <v>143</v>
      </c>
      <c r="G291" s="1">
        <v>147</v>
      </c>
      <c r="H291" s="1">
        <v>3</v>
      </c>
      <c r="I291" s="9">
        <v>46437.333333333343</v>
      </c>
      <c r="J291" s="9">
        <v>46538.666666666657</v>
      </c>
      <c r="K291" s="9"/>
      <c r="L291" s="9"/>
      <c r="M291" s="3">
        <f t="shared" si="226"/>
        <v>1</v>
      </c>
      <c r="N291" s="3"/>
      <c r="O291" s="5">
        <f>SUMIFS($O$292:$O$299,$A$292:$A$299,"Activity",$D$292:$D$299,"P")</f>
        <v>400000</v>
      </c>
      <c r="P291" s="4"/>
      <c r="Q291" s="5"/>
      <c r="R291" s="45" t="str">
        <f t="shared" ref="R291:AW291" si="257">IF(COUNTIFS($A$293:$A$300,"Activity",$D$293:$D$300,"P",R$293:R$300,"&lt;&gt;")=0,"",IFERROR(SUMPRODUCT(--($A$293:$A$300="Activity"),--($D$293:$D$300="P"),$O$293:$O$300,R$293:R$300)/SUMPRODUCT(--($A$293:$A$300="Activity"),--($D$293:$D$300="P"),$O$293:$O$300),""))</f>
        <v/>
      </c>
      <c r="S291" s="45" t="str">
        <f t="shared" si="257"/>
        <v/>
      </c>
      <c r="T291" s="45" t="str">
        <f t="shared" si="257"/>
        <v/>
      </c>
      <c r="U291" s="45" t="str">
        <f t="shared" si="257"/>
        <v/>
      </c>
      <c r="V291" s="45" t="str">
        <f t="shared" si="257"/>
        <v/>
      </c>
      <c r="W291" s="45" t="str">
        <f t="shared" si="257"/>
        <v/>
      </c>
      <c r="X291" s="45" t="str">
        <f t="shared" si="257"/>
        <v/>
      </c>
      <c r="Y291" s="45" t="str">
        <f t="shared" si="257"/>
        <v/>
      </c>
      <c r="Z291" s="45" t="str">
        <f t="shared" si="257"/>
        <v/>
      </c>
      <c r="AA291" s="45" t="str">
        <f t="shared" si="257"/>
        <v/>
      </c>
      <c r="AB291" s="45" t="str">
        <f t="shared" si="257"/>
        <v/>
      </c>
      <c r="AC291" s="45" t="str">
        <f t="shared" si="257"/>
        <v/>
      </c>
      <c r="AD291" s="45" t="str">
        <f t="shared" si="257"/>
        <v/>
      </c>
      <c r="AE291" s="45" t="str">
        <f t="shared" si="257"/>
        <v/>
      </c>
      <c r="AF291" s="45" t="str">
        <f t="shared" si="257"/>
        <v/>
      </c>
      <c r="AG291" s="45" t="str">
        <f t="shared" si="257"/>
        <v/>
      </c>
      <c r="AH291" s="45" t="str">
        <f t="shared" si="257"/>
        <v/>
      </c>
      <c r="AI291" s="45" t="str">
        <f t="shared" si="257"/>
        <v/>
      </c>
      <c r="AJ291" s="45" t="str">
        <f t="shared" si="257"/>
        <v/>
      </c>
      <c r="AK291" s="45" t="str">
        <f t="shared" si="257"/>
        <v/>
      </c>
      <c r="AL291" s="45" t="str">
        <f t="shared" si="257"/>
        <v/>
      </c>
      <c r="AM291" s="45" t="str">
        <f t="shared" si="257"/>
        <v/>
      </c>
      <c r="AN291" s="45" t="str">
        <f t="shared" si="257"/>
        <v/>
      </c>
      <c r="AO291" s="45" t="str">
        <f t="shared" si="257"/>
        <v/>
      </c>
      <c r="AP291" s="45" t="str">
        <f t="shared" si="257"/>
        <v/>
      </c>
      <c r="AQ291" s="45" t="str">
        <f t="shared" si="257"/>
        <v/>
      </c>
      <c r="AR291" s="45" t="str">
        <f t="shared" si="257"/>
        <v/>
      </c>
      <c r="AS291" s="45" t="str">
        <f t="shared" si="257"/>
        <v/>
      </c>
      <c r="AT291" s="45" t="str">
        <f t="shared" si="257"/>
        <v/>
      </c>
      <c r="AU291" s="45" t="str">
        <f t="shared" si="257"/>
        <v/>
      </c>
      <c r="AV291" s="45" t="str">
        <f t="shared" si="257"/>
        <v/>
      </c>
      <c r="AW291" s="45" t="str">
        <f t="shared" si="257"/>
        <v/>
      </c>
      <c r="AX291" s="45" t="str">
        <f t="shared" ref="AX291:CC291" si="258">IF(COUNTIFS($A$293:$A$300,"Activity",$D$293:$D$300,"P",AX$293:AX$300,"&lt;&gt;")=0,"",IFERROR(SUMPRODUCT(--($A$293:$A$300="Activity"),--($D$293:$D$300="P"),$O$293:$O$300,AX$293:AX$300)/SUMPRODUCT(--($A$293:$A$300="Activity"),--($D$293:$D$300="P"),$O$293:$O$300),""))</f>
        <v/>
      </c>
      <c r="AY291" s="45" t="str">
        <f t="shared" si="258"/>
        <v/>
      </c>
      <c r="AZ291" s="45" t="str">
        <f t="shared" si="258"/>
        <v/>
      </c>
      <c r="BA291" s="45" t="str">
        <f t="shared" si="258"/>
        <v/>
      </c>
      <c r="BB291" s="45" t="str">
        <f t="shared" si="258"/>
        <v/>
      </c>
      <c r="BC291" s="45" t="str">
        <f t="shared" si="258"/>
        <v/>
      </c>
      <c r="BD291" s="45" t="str">
        <f t="shared" si="258"/>
        <v/>
      </c>
      <c r="BE291" s="45" t="str">
        <f t="shared" si="258"/>
        <v/>
      </c>
      <c r="BF291" s="45" t="str">
        <f t="shared" si="258"/>
        <v/>
      </c>
      <c r="BG291" s="45" t="str">
        <f t="shared" si="258"/>
        <v/>
      </c>
      <c r="BH291" s="45" t="str">
        <f t="shared" si="258"/>
        <v/>
      </c>
      <c r="BI291" s="45" t="str">
        <f t="shared" si="258"/>
        <v/>
      </c>
      <c r="BJ291" s="45" t="str">
        <f t="shared" si="258"/>
        <v/>
      </c>
      <c r="BK291" s="45" t="str">
        <f t="shared" si="258"/>
        <v/>
      </c>
      <c r="BL291" s="45" t="str">
        <f t="shared" si="258"/>
        <v/>
      </c>
      <c r="BM291" s="45" t="str">
        <f t="shared" si="258"/>
        <v/>
      </c>
      <c r="BN291" s="45" t="str">
        <f t="shared" si="258"/>
        <v/>
      </c>
      <c r="BO291" s="45" t="str">
        <f t="shared" si="258"/>
        <v/>
      </c>
      <c r="BP291" s="45" t="str">
        <f t="shared" si="258"/>
        <v/>
      </c>
      <c r="BQ291" s="45" t="str">
        <f t="shared" si="258"/>
        <v/>
      </c>
      <c r="BR291" s="45" t="str">
        <f t="shared" si="258"/>
        <v/>
      </c>
      <c r="BS291" s="45" t="str">
        <f t="shared" si="258"/>
        <v/>
      </c>
      <c r="BT291" s="45" t="str">
        <f t="shared" si="258"/>
        <v/>
      </c>
      <c r="BU291" s="45" t="str">
        <f t="shared" si="258"/>
        <v/>
      </c>
      <c r="BV291" s="45">
        <f t="shared" si="258"/>
        <v>1.1904761904761906E-2</v>
      </c>
      <c r="BW291" s="45">
        <f t="shared" si="258"/>
        <v>8.3333333333333315E-2</v>
      </c>
      <c r="BX291" s="45">
        <f t="shared" si="258"/>
        <v>8.3333333333333315E-2</v>
      </c>
      <c r="BY291" s="45">
        <f t="shared" si="258"/>
        <v>7.1428571428571452E-2</v>
      </c>
      <c r="BZ291" s="45" t="str">
        <f t="shared" si="258"/>
        <v/>
      </c>
      <c r="CA291" s="45" t="str">
        <f t="shared" si="258"/>
        <v/>
      </c>
      <c r="CB291" s="45" t="str">
        <f t="shared" si="258"/>
        <v/>
      </c>
      <c r="CC291" s="45" t="str">
        <f t="shared" si="258"/>
        <v/>
      </c>
      <c r="CD291" s="45">
        <f t="shared" ref="CD291:CO291" si="259">IF(COUNTIFS($A$293:$A$300,"Activity",$D$293:$D$300,"P",CD$293:CD$300,"&lt;&gt;")=0,"",IFERROR(SUMPRODUCT(--($A$293:$A$300="Activity"),--($D$293:$D$300="P"),$O$293:$O$300,CD$293:CD$300)/SUMPRODUCT(--($A$293:$A$300="Activity"),--($D$293:$D$300="P"),$O$293:$O$300),""))</f>
        <v>6.5789473684210523E-2</v>
      </c>
      <c r="CE291" s="45">
        <f t="shared" si="259"/>
        <v>9.2105263157894732E-2</v>
      </c>
      <c r="CF291" s="45">
        <f t="shared" si="259"/>
        <v>9.2105263157894746E-2</v>
      </c>
      <c r="CG291" s="45" t="str">
        <f t="shared" si="259"/>
        <v/>
      </c>
      <c r="CH291" s="45" t="str">
        <f t="shared" si="259"/>
        <v/>
      </c>
      <c r="CI291" s="45">
        <f t="shared" si="259"/>
        <v>9.4155844155844146E-2</v>
      </c>
      <c r="CJ291" s="45">
        <f t="shared" si="259"/>
        <v>0.28409090909090906</v>
      </c>
      <c r="CK291" s="45">
        <f t="shared" si="259"/>
        <v>0.12175324675324678</v>
      </c>
      <c r="CL291" s="45" t="str">
        <f t="shared" si="259"/>
        <v/>
      </c>
      <c r="CM291" s="45" t="str">
        <f t="shared" si="259"/>
        <v/>
      </c>
      <c r="CN291" s="45" t="str">
        <f t="shared" si="259"/>
        <v/>
      </c>
      <c r="CO291" s="45" t="str">
        <f t="shared" si="259"/>
        <v/>
      </c>
    </row>
    <row r="292" spans="1:93" outlineLevel="3" x14ac:dyDescent="0.25">
      <c r="A292" s="1"/>
      <c r="B292" s="1"/>
      <c r="C292" s="7"/>
      <c r="D292" s="8" t="s">
        <v>111</v>
      </c>
      <c r="E292" s="1"/>
      <c r="F292" s="1"/>
      <c r="G292" s="1"/>
      <c r="H292" s="1"/>
      <c r="I292" s="9"/>
      <c r="J292" s="9"/>
      <c r="K292" s="9"/>
      <c r="L292" s="9"/>
      <c r="M292" s="3" t="str">
        <f t="shared" si="226"/>
        <v/>
      </c>
      <c r="N292" s="3"/>
      <c r="O292" s="46">
        <f>O291</f>
        <v>400000</v>
      </c>
      <c r="P292" s="4"/>
      <c r="Q292" s="5"/>
      <c r="R292" s="45" t="str">
        <f t="shared" ref="R292:AW292" si="260">IF(COUNTIFS($E$293:$E$300,"&lt;&gt;",$D$293:$D$300,"A",R$293:R$300,"&lt;&gt;")=0,"",IFERROR(SUMPRODUCT(--($E$293:$E$300&lt;&gt;""),--($D$293:$D$300="A"),$O$293:$O$300,R$293:R$300)/SUMPRODUCT(--($E$293:$E$300&lt;&gt;""),--($D$293:$D$300="A"),$O$293:$O$300),""))</f>
        <v/>
      </c>
      <c r="S292" s="45" t="str">
        <f t="shared" si="260"/>
        <v/>
      </c>
      <c r="T292" s="45" t="str">
        <f t="shared" si="260"/>
        <v/>
      </c>
      <c r="U292" s="45" t="str">
        <f t="shared" si="260"/>
        <v/>
      </c>
      <c r="V292" s="45" t="str">
        <f t="shared" si="260"/>
        <v/>
      </c>
      <c r="W292" s="45" t="str">
        <f t="shared" si="260"/>
        <v/>
      </c>
      <c r="X292" s="45" t="str">
        <f t="shared" si="260"/>
        <v/>
      </c>
      <c r="Y292" s="45" t="str">
        <f t="shared" si="260"/>
        <v/>
      </c>
      <c r="Z292" s="45" t="str">
        <f t="shared" si="260"/>
        <v/>
      </c>
      <c r="AA292" s="45" t="str">
        <f t="shared" si="260"/>
        <v/>
      </c>
      <c r="AB292" s="45" t="str">
        <f t="shared" si="260"/>
        <v/>
      </c>
      <c r="AC292" s="45" t="str">
        <f t="shared" si="260"/>
        <v/>
      </c>
      <c r="AD292" s="45" t="str">
        <f t="shared" si="260"/>
        <v/>
      </c>
      <c r="AE292" s="45" t="str">
        <f t="shared" si="260"/>
        <v/>
      </c>
      <c r="AF292" s="45" t="str">
        <f t="shared" si="260"/>
        <v/>
      </c>
      <c r="AG292" s="45" t="str">
        <f t="shared" si="260"/>
        <v/>
      </c>
      <c r="AH292" s="45" t="str">
        <f t="shared" si="260"/>
        <v/>
      </c>
      <c r="AI292" s="45" t="str">
        <f t="shared" si="260"/>
        <v/>
      </c>
      <c r="AJ292" s="45" t="str">
        <f t="shared" si="260"/>
        <v/>
      </c>
      <c r="AK292" s="45" t="str">
        <f t="shared" si="260"/>
        <v/>
      </c>
      <c r="AL292" s="45" t="str">
        <f t="shared" si="260"/>
        <v/>
      </c>
      <c r="AM292" s="45" t="str">
        <f t="shared" si="260"/>
        <v/>
      </c>
      <c r="AN292" s="45" t="str">
        <f t="shared" si="260"/>
        <v/>
      </c>
      <c r="AO292" s="45" t="str">
        <f t="shared" si="260"/>
        <v/>
      </c>
      <c r="AP292" s="45" t="str">
        <f t="shared" si="260"/>
        <v/>
      </c>
      <c r="AQ292" s="45" t="str">
        <f t="shared" si="260"/>
        <v/>
      </c>
      <c r="AR292" s="45" t="str">
        <f t="shared" si="260"/>
        <v/>
      </c>
      <c r="AS292" s="45" t="str">
        <f t="shared" si="260"/>
        <v/>
      </c>
      <c r="AT292" s="45" t="str">
        <f t="shared" si="260"/>
        <v/>
      </c>
      <c r="AU292" s="45" t="str">
        <f t="shared" si="260"/>
        <v/>
      </c>
      <c r="AV292" s="45" t="str">
        <f t="shared" si="260"/>
        <v/>
      </c>
      <c r="AW292" s="45" t="str">
        <f t="shared" si="260"/>
        <v/>
      </c>
      <c r="AX292" s="45" t="str">
        <f t="shared" ref="AX292:CC292" si="261">IF(COUNTIFS($E$293:$E$300,"&lt;&gt;",$D$293:$D$300,"A",AX$293:AX$300,"&lt;&gt;")=0,"",IFERROR(SUMPRODUCT(--($E$293:$E$300&lt;&gt;""),--($D$293:$D$300="A"),$O$293:$O$300,AX$293:AX$300)/SUMPRODUCT(--($E$293:$E$300&lt;&gt;""),--($D$293:$D$300="A"),$O$293:$O$300),""))</f>
        <v/>
      </c>
      <c r="AY292" s="45" t="str">
        <f t="shared" si="261"/>
        <v/>
      </c>
      <c r="AZ292" s="45" t="str">
        <f t="shared" si="261"/>
        <v/>
      </c>
      <c r="BA292" s="45" t="str">
        <f t="shared" si="261"/>
        <v/>
      </c>
      <c r="BB292" s="45" t="str">
        <f t="shared" si="261"/>
        <v/>
      </c>
      <c r="BC292" s="45" t="str">
        <f t="shared" si="261"/>
        <v/>
      </c>
      <c r="BD292" s="45" t="str">
        <f t="shared" si="261"/>
        <v/>
      </c>
      <c r="BE292" s="45" t="str">
        <f t="shared" si="261"/>
        <v/>
      </c>
      <c r="BF292" s="45" t="str">
        <f t="shared" si="261"/>
        <v/>
      </c>
      <c r="BG292" s="45" t="str">
        <f t="shared" si="261"/>
        <v/>
      </c>
      <c r="BH292" s="45" t="str">
        <f t="shared" si="261"/>
        <v/>
      </c>
      <c r="BI292" s="45" t="str">
        <f t="shared" si="261"/>
        <v/>
      </c>
      <c r="BJ292" s="45" t="str">
        <f t="shared" si="261"/>
        <v/>
      </c>
      <c r="BK292" s="45" t="str">
        <f t="shared" si="261"/>
        <v/>
      </c>
      <c r="BL292" s="45" t="str">
        <f t="shared" si="261"/>
        <v/>
      </c>
      <c r="BM292" s="45" t="str">
        <f t="shared" si="261"/>
        <v/>
      </c>
      <c r="BN292" s="45" t="str">
        <f t="shared" si="261"/>
        <v/>
      </c>
      <c r="BO292" s="45" t="str">
        <f t="shared" si="261"/>
        <v/>
      </c>
      <c r="BP292" s="45" t="str">
        <f t="shared" si="261"/>
        <v/>
      </c>
      <c r="BQ292" s="45" t="str">
        <f t="shared" si="261"/>
        <v/>
      </c>
      <c r="BR292" s="45" t="str">
        <f t="shared" si="261"/>
        <v/>
      </c>
      <c r="BS292" s="45" t="str">
        <f t="shared" si="261"/>
        <v/>
      </c>
      <c r="BT292" s="45" t="str">
        <f t="shared" si="261"/>
        <v/>
      </c>
      <c r="BU292" s="45" t="str">
        <f t="shared" si="261"/>
        <v/>
      </c>
      <c r="BV292" s="45" t="str">
        <f t="shared" si="261"/>
        <v/>
      </c>
      <c r="BW292" s="45" t="str">
        <f t="shared" si="261"/>
        <v/>
      </c>
      <c r="BX292" s="45" t="str">
        <f t="shared" si="261"/>
        <v/>
      </c>
      <c r="BY292" s="45" t="str">
        <f t="shared" si="261"/>
        <v/>
      </c>
      <c r="BZ292" s="45" t="str">
        <f t="shared" si="261"/>
        <v/>
      </c>
      <c r="CA292" s="45" t="str">
        <f t="shared" si="261"/>
        <v/>
      </c>
      <c r="CB292" s="45" t="str">
        <f t="shared" si="261"/>
        <v/>
      </c>
      <c r="CC292" s="45" t="str">
        <f t="shared" si="261"/>
        <v/>
      </c>
      <c r="CD292" s="45" t="str">
        <f t="shared" ref="CD292:CO292" si="262">IF(COUNTIFS($E$293:$E$300,"&lt;&gt;",$D$293:$D$300,"A",CD$293:CD$300,"&lt;&gt;")=0,"",IFERROR(SUMPRODUCT(--($E$293:$E$300&lt;&gt;""),--($D$293:$D$300="A"),$O$293:$O$300,CD$293:CD$300)/SUMPRODUCT(--($E$293:$E$300&lt;&gt;""),--($D$293:$D$300="A"),$O$293:$O$300),""))</f>
        <v/>
      </c>
      <c r="CE292" s="45" t="str">
        <f t="shared" si="262"/>
        <v/>
      </c>
      <c r="CF292" s="45" t="str">
        <f t="shared" si="262"/>
        <v/>
      </c>
      <c r="CG292" s="45" t="str">
        <f t="shared" si="262"/>
        <v/>
      </c>
      <c r="CH292" s="45" t="str">
        <f t="shared" si="262"/>
        <v/>
      </c>
      <c r="CI292" s="45" t="str">
        <f t="shared" si="262"/>
        <v/>
      </c>
      <c r="CJ292" s="45" t="str">
        <f t="shared" si="262"/>
        <v/>
      </c>
      <c r="CK292" s="45" t="str">
        <f t="shared" si="262"/>
        <v/>
      </c>
      <c r="CL292" s="45" t="str">
        <f t="shared" si="262"/>
        <v/>
      </c>
      <c r="CM292" s="45" t="str">
        <f t="shared" si="262"/>
        <v/>
      </c>
      <c r="CN292" s="45" t="str">
        <f t="shared" si="262"/>
        <v/>
      </c>
      <c r="CO292" s="45" t="str">
        <f t="shared" si="262"/>
        <v/>
      </c>
    </row>
    <row r="293" spans="1:93" outlineLevel="4" x14ac:dyDescent="0.25">
      <c r="A293" s="10" t="s">
        <v>116</v>
      </c>
      <c r="B293" s="10" t="s">
        <v>445</v>
      </c>
      <c r="C293" s="24" t="s">
        <v>417</v>
      </c>
      <c r="D293" s="12" t="s">
        <v>110</v>
      </c>
      <c r="E293" s="10" t="s">
        <v>446</v>
      </c>
      <c r="F293" s="10">
        <v>144</v>
      </c>
      <c r="G293" s="10">
        <v>148</v>
      </c>
      <c r="H293" s="10">
        <v>4</v>
      </c>
      <c r="I293" s="13">
        <v>46437.333333333343</v>
      </c>
      <c r="J293" s="13">
        <v>46457.666666666657</v>
      </c>
      <c r="K293" s="13"/>
      <c r="L293" s="13"/>
      <c r="M293" s="14">
        <f t="shared" si="226"/>
        <v>1</v>
      </c>
      <c r="N293" s="14"/>
      <c r="O293" s="16">
        <v>100000</v>
      </c>
      <c r="P293" s="15">
        <v>0</v>
      </c>
      <c r="Q293" s="16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>
        <v>4.7619047619047623E-2</v>
      </c>
      <c r="BW293" s="47">
        <v>0.33333333333333331</v>
      </c>
      <c r="BX293" s="47">
        <v>0.33333333333333331</v>
      </c>
      <c r="BY293" s="47">
        <v>0.28571428571428581</v>
      </c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</row>
    <row r="294" spans="1:93" outlineLevel="4" x14ac:dyDescent="0.25">
      <c r="A294" s="17"/>
      <c r="B294" s="17"/>
      <c r="C294" s="25"/>
      <c r="D294" s="19" t="s">
        <v>111</v>
      </c>
      <c r="E294" s="17" t="s">
        <v>446</v>
      </c>
      <c r="F294" s="17"/>
      <c r="G294" s="17"/>
      <c r="H294" s="17"/>
      <c r="I294" s="20"/>
      <c r="J294" s="20"/>
      <c r="K294" s="20"/>
      <c r="L294" s="20"/>
      <c r="M294" s="21" t="str">
        <f t="shared" si="226"/>
        <v/>
      </c>
      <c r="N294" s="21">
        <v>0</v>
      </c>
      <c r="O294" s="48">
        <f>O293</f>
        <v>100000</v>
      </c>
      <c r="P294" s="22"/>
      <c r="Q294" s="23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</row>
    <row r="295" spans="1:93" outlineLevel="4" x14ac:dyDescent="0.25">
      <c r="A295" s="10" t="s">
        <v>116</v>
      </c>
      <c r="B295" s="10" t="s">
        <v>447</v>
      </c>
      <c r="C295" s="24" t="s">
        <v>388</v>
      </c>
      <c r="D295" s="12" t="s">
        <v>110</v>
      </c>
      <c r="E295" s="10" t="s">
        <v>448</v>
      </c>
      <c r="F295" s="10">
        <v>145</v>
      </c>
      <c r="G295" s="10">
        <v>149</v>
      </c>
      <c r="H295" s="10">
        <v>4</v>
      </c>
      <c r="I295" s="13">
        <v>46528.333333333343</v>
      </c>
      <c r="J295" s="13">
        <v>46538.666666666657</v>
      </c>
      <c r="K295" s="13"/>
      <c r="L295" s="13"/>
      <c r="M295" s="14">
        <f t="shared" si="226"/>
        <v>1</v>
      </c>
      <c r="N295" s="14"/>
      <c r="O295" s="16">
        <v>100000</v>
      </c>
      <c r="P295" s="15">
        <v>0</v>
      </c>
      <c r="Q295" s="16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>
        <v>9.0909090909090898E-2</v>
      </c>
      <c r="CJ295" s="47">
        <v>0.63636363636363624</v>
      </c>
      <c r="CK295" s="47">
        <v>0.27272727272727282</v>
      </c>
      <c r="CL295" s="47"/>
      <c r="CM295" s="47"/>
      <c r="CN295" s="47"/>
      <c r="CO295" s="47"/>
    </row>
    <row r="296" spans="1:93" outlineLevel="4" x14ac:dyDescent="0.25">
      <c r="A296" s="17"/>
      <c r="B296" s="17"/>
      <c r="C296" s="25"/>
      <c r="D296" s="19" t="s">
        <v>111</v>
      </c>
      <c r="E296" s="17" t="s">
        <v>448</v>
      </c>
      <c r="F296" s="17"/>
      <c r="G296" s="17"/>
      <c r="H296" s="17"/>
      <c r="I296" s="20"/>
      <c r="J296" s="20"/>
      <c r="K296" s="20"/>
      <c r="L296" s="20"/>
      <c r="M296" s="21" t="str">
        <f t="shared" si="226"/>
        <v/>
      </c>
      <c r="N296" s="21">
        <v>0</v>
      </c>
      <c r="O296" s="48">
        <f>O295</f>
        <v>100000</v>
      </c>
      <c r="P296" s="22"/>
      <c r="Q296" s="23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</row>
    <row r="297" spans="1:93" outlineLevel="4" x14ac:dyDescent="0.25">
      <c r="A297" s="10" t="s">
        <v>116</v>
      </c>
      <c r="B297" s="10" t="s">
        <v>449</v>
      </c>
      <c r="C297" s="24" t="s">
        <v>345</v>
      </c>
      <c r="D297" s="12" t="s">
        <v>110</v>
      </c>
      <c r="E297" s="10" t="s">
        <v>450</v>
      </c>
      <c r="F297" s="10">
        <v>146</v>
      </c>
      <c r="G297" s="10">
        <v>151</v>
      </c>
      <c r="H297" s="10">
        <v>4</v>
      </c>
      <c r="I297" s="13">
        <v>46525.333333333343</v>
      </c>
      <c r="J297" s="13">
        <v>46538.666666666657</v>
      </c>
      <c r="K297" s="13"/>
      <c r="L297" s="13"/>
      <c r="M297" s="14">
        <f t="shared" si="226"/>
        <v>1</v>
      </c>
      <c r="N297" s="14"/>
      <c r="O297" s="16">
        <v>100000</v>
      </c>
      <c r="P297" s="15">
        <v>0</v>
      </c>
      <c r="Q297" s="16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>
        <v>0.2857142857142857</v>
      </c>
      <c r="CJ297" s="47">
        <v>0.5</v>
      </c>
      <c r="CK297" s="47">
        <v>0.2142857142857143</v>
      </c>
      <c r="CL297" s="47"/>
      <c r="CM297" s="47"/>
      <c r="CN297" s="47"/>
      <c r="CO297" s="47"/>
    </row>
    <row r="298" spans="1:93" outlineLevel="4" x14ac:dyDescent="0.25">
      <c r="A298" s="17"/>
      <c r="B298" s="17"/>
      <c r="C298" s="25"/>
      <c r="D298" s="19" t="s">
        <v>111</v>
      </c>
      <c r="E298" s="17" t="s">
        <v>450</v>
      </c>
      <c r="F298" s="17"/>
      <c r="G298" s="17"/>
      <c r="H298" s="17"/>
      <c r="I298" s="20"/>
      <c r="J298" s="20"/>
      <c r="K298" s="20"/>
      <c r="L298" s="20"/>
      <c r="M298" s="21" t="str">
        <f t="shared" si="226"/>
        <v/>
      </c>
      <c r="N298" s="21">
        <v>0</v>
      </c>
      <c r="O298" s="48">
        <f>O297</f>
        <v>100000</v>
      </c>
      <c r="P298" s="22"/>
      <c r="Q298" s="23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</row>
    <row r="299" spans="1:93" outlineLevel="4" x14ac:dyDescent="0.25">
      <c r="A299" s="10" t="s">
        <v>116</v>
      </c>
      <c r="B299" s="10" t="s">
        <v>451</v>
      </c>
      <c r="C299" s="24" t="s">
        <v>348</v>
      </c>
      <c r="D299" s="12" t="s">
        <v>110</v>
      </c>
      <c r="E299" s="10" t="s">
        <v>452</v>
      </c>
      <c r="F299" s="10">
        <v>147</v>
      </c>
      <c r="G299" s="10">
        <v>153</v>
      </c>
      <c r="H299" s="10">
        <v>4</v>
      </c>
      <c r="I299" s="13">
        <v>46489.333333333343</v>
      </c>
      <c r="J299" s="13">
        <v>46507.666666666657</v>
      </c>
      <c r="K299" s="13"/>
      <c r="L299" s="13"/>
      <c r="M299" s="14">
        <f t="shared" si="226"/>
        <v>1</v>
      </c>
      <c r="N299" s="14"/>
      <c r="O299" s="16">
        <v>100000</v>
      </c>
      <c r="P299" s="15">
        <v>1.466666666666667</v>
      </c>
      <c r="Q299" s="16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>
        <v>0.26315789473684209</v>
      </c>
      <c r="CE299" s="47">
        <v>0.36842105263157893</v>
      </c>
      <c r="CF299" s="47">
        <v>0.36842105263157898</v>
      </c>
      <c r="CG299" s="47"/>
      <c r="CH299" s="47"/>
      <c r="CI299" s="47"/>
      <c r="CJ299" s="47"/>
      <c r="CK299" s="47"/>
      <c r="CL299" s="47"/>
      <c r="CM299" s="47"/>
      <c r="CN299" s="47"/>
      <c r="CO299" s="47"/>
    </row>
    <row r="300" spans="1:93" outlineLevel="4" x14ac:dyDescent="0.25">
      <c r="A300" s="17"/>
      <c r="B300" s="17"/>
      <c r="C300" s="25"/>
      <c r="D300" s="19" t="s">
        <v>111</v>
      </c>
      <c r="E300" s="17" t="s">
        <v>452</v>
      </c>
      <c r="F300" s="17"/>
      <c r="G300" s="17"/>
      <c r="H300" s="17"/>
      <c r="I300" s="20"/>
      <c r="J300" s="20"/>
      <c r="K300" s="20"/>
      <c r="L300" s="20"/>
      <c r="M300" s="21" t="str">
        <f t="shared" si="226"/>
        <v/>
      </c>
      <c r="N300" s="21">
        <v>0</v>
      </c>
      <c r="O300" s="48">
        <f>O299</f>
        <v>100000</v>
      </c>
      <c r="P300" s="22"/>
      <c r="Q300" s="23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</row>
    <row r="301" spans="1:93" outlineLevel="3" x14ac:dyDescent="0.25">
      <c r="A301" s="1" t="s">
        <v>92</v>
      </c>
      <c r="B301" s="1" t="s">
        <v>453</v>
      </c>
      <c r="C301" s="7" t="s">
        <v>351</v>
      </c>
      <c r="D301" s="8" t="s">
        <v>110</v>
      </c>
      <c r="E301" s="1"/>
      <c r="F301" s="1">
        <v>148</v>
      </c>
      <c r="G301" s="1">
        <v>154</v>
      </c>
      <c r="H301" s="1">
        <v>3</v>
      </c>
      <c r="I301" s="9">
        <v>46458.333333333343</v>
      </c>
      <c r="J301" s="9">
        <v>46485.666666666657</v>
      </c>
      <c r="K301" s="9"/>
      <c r="L301" s="9"/>
      <c r="M301" s="3">
        <f t="shared" si="226"/>
        <v>1.0000000000000002</v>
      </c>
      <c r="N301" s="3"/>
      <c r="O301" s="5">
        <f>SUMIFS($O$302:$O$303,$A$302:$A$303,"Activity",$D$302:$D$303,"P")</f>
        <v>100000</v>
      </c>
      <c r="P301" s="4"/>
      <c r="Q301" s="5"/>
      <c r="R301" s="45" t="str">
        <f t="shared" ref="R301:AW301" si="263">IF(COUNTIFS($A$303:$A$304,"Activity",$D$303:$D$304,"P",R$303:R$304,"&lt;&gt;")=0,"",IFERROR(SUMPRODUCT(--($A$303:$A$304="Activity"),--($D$303:$D$304="P"),$O$303:$O$304,R$303:R$304)/SUMPRODUCT(--($A$303:$A$304="Activity"),--($D$303:$D$304="P"),$O$303:$O$304),""))</f>
        <v/>
      </c>
      <c r="S301" s="45" t="str">
        <f t="shared" si="263"/>
        <v/>
      </c>
      <c r="T301" s="45" t="str">
        <f t="shared" si="263"/>
        <v/>
      </c>
      <c r="U301" s="45" t="str">
        <f t="shared" si="263"/>
        <v/>
      </c>
      <c r="V301" s="45" t="str">
        <f t="shared" si="263"/>
        <v/>
      </c>
      <c r="W301" s="45" t="str">
        <f t="shared" si="263"/>
        <v/>
      </c>
      <c r="X301" s="45" t="str">
        <f t="shared" si="263"/>
        <v/>
      </c>
      <c r="Y301" s="45" t="str">
        <f t="shared" si="263"/>
        <v/>
      </c>
      <c r="Z301" s="45" t="str">
        <f t="shared" si="263"/>
        <v/>
      </c>
      <c r="AA301" s="45" t="str">
        <f t="shared" si="263"/>
        <v/>
      </c>
      <c r="AB301" s="45" t="str">
        <f t="shared" si="263"/>
        <v/>
      </c>
      <c r="AC301" s="45" t="str">
        <f t="shared" si="263"/>
        <v/>
      </c>
      <c r="AD301" s="45" t="str">
        <f t="shared" si="263"/>
        <v/>
      </c>
      <c r="AE301" s="45" t="str">
        <f t="shared" si="263"/>
        <v/>
      </c>
      <c r="AF301" s="45" t="str">
        <f t="shared" si="263"/>
        <v/>
      </c>
      <c r="AG301" s="45" t="str">
        <f t="shared" si="263"/>
        <v/>
      </c>
      <c r="AH301" s="45" t="str">
        <f t="shared" si="263"/>
        <v/>
      </c>
      <c r="AI301" s="45" t="str">
        <f t="shared" si="263"/>
        <v/>
      </c>
      <c r="AJ301" s="45" t="str">
        <f t="shared" si="263"/>
        <v/>
      </c>
      <c r="AK301" s="45" t="str">
        <f t="shared" si="263"/>
        <v/>
      </c>
      <c r="AL301" s="45" t="str">
        <f t="shared" si="263"/>
        <v/>
      </c>
      <c r="AM301" s="45" t="str">
        <f t="shared" si="263"/>
        <v/>
      </c>
      <c r="AN301" s="45" t="str">
        <f t="shared" si="263"/>
        <v/>
      </c>
      <c r="AO301" s="45" t="str">
        <f t="shared" si="263"/>
        <v/>
      </c>
      <c r="AP301" s="45" t="str">
        <f t="shared" si="263"/>
        <v/>
      </c>
      <c r="AQ301" s="45" t="str">
        <f t="shared" si="263"/>
        <v/>
      </c>
      <c r="AR301" s="45" t="str">
        <f t="shared" si="263"/>
        <v/>
      </c>
      <c r="AS301" s="45" t="str">
        <f t="shared" si="263"/>
        <v/>
      </c>
      <c r="AT301" s="45" t="str">
        <f t="shared" si="263"/>
        <v/>
      </c>
      <c r="AU301" s="45" t="str">
        <f t="shared" si="263"/>
        <v/>
      </c>
      <c r="AV301" s="45" t="str">
        <f t="shared" si="263"/>
        <v/>
      </c>
      <c r="AW301" s="45" t="str">
        <f t="shared" si="263"/>
        <v/>
      </c>
      <c r="AX301" s="45" t="str">
        <f t="shared" ref="AX301:CC301" si="264">IF(COUNTIFS($A$303:$A$304,"Activity",$D$303:$D$304,"P",AX$303:AX$304,"&lt;&gt;")=0,"",IFERROR(SUMPRODUCT(--($A$303:$A$304="Activity"),--($D$303:$D$304="P"),$O$303:$O$304,AX$303:AX$304)/SUMPRODUCT(--($A$303:$A$304="Activity"),--($D$303:$D$304="P"),$O$303:$O$304),""))</f>
        <v/>
      </c>
      <c r="AY301" s="45" t="str">
        <f t="shared" si="264"/>
        <v/>
      </c>
      <c r="AZ301" s="45" t="str">
        <f t="shared" si="264"/>
        <v/>
      </c>
      <c r="BA301" s="45" t="str">
        <f t="shared" si="264"/>
        <v/>
      </c>
      <c r="BB301" s="45" t="str">
        <f t="shared" si="264"/>
        <v/>
      </c>
      <c r="BC301" s="45" t="str">
        <f t="shared" si="264"/>
        <v/>
      </c>
      <c r="BD301" s="45" t="str">
        <f t="shared" si="264"/>
        <v/>
      </c>
      <c r="BE301" s="45" t="str">
        <f t="shared" si="264"/>
        <v/>
      </c>
      <c r="BF301" s="45" t="str">
        <f t="shared" si="264"/>
        <v/>
      </c>
      <c r="BG301" s="45" t="str">
        <f t="shared" si="264"/>
        <v/>
      </c>
      <c r="BH301" s="45" t="str">
        <f t="shared" si="264"/>
        <v/>
      </c>
      <c r="BI301" s="45" t="str">
        <f t="shared" si="264"/>
        <v/>
      </c>
      <c r="BJ301" s="45" t="str">
        <f t="shared" si="264"/>
        <v/>
      </c>
      <c r="BK301" s="45" t="str">
        <f t="shared" si="264"/>
        <v/>
      </c>
      <c r="BL301" s="45" t="str">
        <f t="shared" si="264"/>
        <v/>
      </c>
      <c r="BM301" s="45" t="str">
        <f t="shared" si="264"/>
        <v/>
      </c>
      <c r="BN301" s="45" t="str">
        <f t="shared" si="264"/>
        <v/>
      </c>
      <c r="BO301" s="45" t="str">
        <f t="shared" si="264"/>
        <v/>
      </c>
      <c r="BP301" s="45" t="str">
        <f t="shared" si="264"/>
        <v/>
      </c>
      <c r="BQ301" s="45" t="str">
        <f t="shared" si="264"/>
        <v/>
      </c>
      <c r="BR301" s="45" t="str">
        <f t="shared" si="264"/>
        <v/>
      </c>
      <c r="BS301" s="45" t="str">
        <f t="shared" si="264"/>
        <v/>
      </c>
      <c r="BT301" s="45" t="str">
        <f t="shared" si="264"/>
        <v/>
      </c>
      <c r="BU301" s="45" t="str">
        <f t="shared" si="264"/>
        <v/>
      </c>
      <c r="BV301" s="45" t="str">
        <f t="shared" si="264"/>
        <v/>
      </c>
      <c r="BW301" s="45" t="str">
        <f t="shared" si="264"/>
        <v/>
      </c>
      <c r="BX301" s="45" t="str">
        <f t="shared" si="264"/>
        <v/>
      </c>
      <c r="BY301" s="45">
        <f t="shared" si="264"/>
        <v>3.5714285714285719E-2</v>
      </c>
      <c r="BZ301" s="45">
        <f t="shared" si="264"/>
        <v>0.25000000000000011</v>
      </c>
      <c r="CA301" s="45">
        <f t="shared" si="264"/>
        <v>0.25000000000000011</v>
      </c>
      <c r="CB301" s="45">
        <f t="shared" si="264"/>
        <v>0.25000000000000011</v>
      </c>
      <c r="CC301" s="45">
        <f t="shared" si="264"/>
        <v>0.21428571428571419</v>
      </c>
      <c r="CD301" s="45" t="str">
        <f t="shared" ref="CD301:CO301" si="265">IF(COUNTIFS($A$303:$A$304,"Activity",$D$303:$D$304,"P",CD$303:CD$304,"&lt;&gt;")=0,"",IFERROR(SUMPRODUCT(--($A$303:$A$304="Activity"),--($D$303:$D$304="P"),$O$303:$O$304,CD$303:CD$304)/SUMPRODUCT(--($A$303:$A$304="Activity"),--($D$303:$D$304="P"),$O$303:$O$304),""))</f>
        <v/>
      </c>
      <c r="CE301" s="45" t="str">
        <f t="shared" si="265"/>
        <v/>
      </c>
      <c r="CF301" s="45" t="str">
        <f t="shared" si="265"/>
        <v/>
      </c>
      <c r="CG301" s="45" t="str">
        <f t="shared" si="265"/>
        <v/>
      </c>
      <c r="CH301" s="45" t="str">
        <f t="shared" si="265"/>
        <v/>
      </c>
      <c r="CI301" s="45" t="str">
        <f t="shared" si="265"/>
        <v/>
      </c>
      <c r="CJ301" s="45" t="str">
        <f t="shared" si="265"/>
        <v/>
      </c>
      <c r="CK301" s="45" t="str">
        <f t="shared" si="265"/>
        <v/>
      </c>
      <c r="CL301" s="45" t="str">
        <f t="shared" si="265"/>
        <v/>
      </c>
      <c r="CM301" s="45" t="str">
        <f t="shared" si="265"/>
        <v/>
      </c>
      <c r="CN301" s="45" t="str">
        <f t="shared" si="265"/>
        <v/>
      </c>
      <c r="CO301" s="45" t="str">
        <f t="shared" si="265"/>
        <v/>
      </c>
    </row>
    <row r="302" spans="1:93" outlineLevel="3" x14ac:dyDescent="0.25">
      <c r="A302" s="1"/>
      <c r="B302" s="1"/>
      <c r="C302" s="7"/>
      <c r="D302" s="8" t="s">
        <v>111</v>
      </c>
      <c r="E302" s="1"/>
      <c r="F302" s="1"/>
      <c r="G302" s="1"/>
      <c r="H302" s="1"/>
      <c r="I302" s="9"/>
      <c r="J302" s="9"/>
      <c r="K302" s="9"/>
      <c r="L302" s="9"/>
      <c r="M302" s="3" t="str">
        <f t="shared" si="226"/>
        <v/>
      </c>
      <c r="N302" s="3"/>
      <c r="O302" s="46">
        <f>O301</f>
        <v>100000</v>
      </c>
      <c r="P302" s="4"/>
      <c r="Q302" s="5"/>
      <c r="R302" s="45" t="str">
        <f t="shared" ref="R302:AW302" si="266">IF(COUNTIFS($E$303:$E$304,"&lt;&gt;",$D$303:$D$304,"A",R$303:R$304,"&lt;&gt;")=0,"",IFERROR(SUMPRODUCT(--($E$303:$E$304&lt;&gt;""),--($D$303:$D$304="A"),$O$303:$O$304,R$303:R$304)/SUMPRODUCT(--($E$303:$E$304&lt;&gt;""),--($D$303:$D$304="A"),$O$303:$O$304),""))</f>
        <v/>
      </c>
      <c r="S302" s="45" t="str">
        <f t="shared" si="266"/>
        <v/>
      </c>
      <c r="T302" s="45" t="str">
        <f t="shared" si="266"/>
        <v/>
      </c>
      <c r="U302" s="45" t="str">
        <f t="shared" si="266"/>
        <v/>
      </c>
      <c r="V302" s="45" t="str">
        <f t="shared" si="266"/>
        <v/>
      </c>
      <c r="W302" s="45" t="str">
        <f t="shared" si="266"/>
        <v/>
      </c>
      <c r="X302" s="45" t="str">
        <f t="shared" si="266"/>
        <v/>
      </c>
      <c r="Y302" s="45" t="str">
        <f t="shared" si="266"/>
        <v/>
      </c>
      <c r="Z302" s="45" t="str">
        <f t="shared" si="266"/>
        <v/>
      </c>
      <c r="AA302" s="45" t="str">
        <f t="shared" si="266"/>
        <v/>
      </c>
      <c r="AB302" s="45" t="str">
        <f t="shared" si="266"/>
        <v/>
      </c>
      <c r="AC302" s="45" t="str">
        <f t="shared" si="266"/>
        <v/>
      </c>
      <c r="AD302" s="45" t="str">
        <f t="shared" si="266"/>
        <v/>
      </c>
      <c r="AE302" s="45" t="str">
        <f t="shared" si="266"/>
        <v/>
      </c>
      <c r="AF302" s="45" t="str">
        <f t="shared" si="266"/>
        <v/>
      </c>
      <c r="AG302" s="45" t="str">
        <f t="shared" si="266"/>
        <v/>
      </c>
      <c r="AH302" s="45" t="str">
        <f t="shared" si="266"/>
        <v/>
      </c>
      <c r="AI302" s="45" t="str">
        <f t="shared" si="266"/>
        <v/>
      </c>
      <c r="AJ302" s="45" t="str">
        <f t="shared" si="266"/>
        <v/>
      </c>
      <c r="AK302" s="45" t="str">
        <f t="shared" si="266"/>
        <v/>
      </c>
      <c r="AL302" s="45" t="str">
        <f t="shared" si="266"/>
        <v/>
      </c>
      <c r="AM302" s="45" t="str">
        <f t="shared" si="266"/>
        <v/>
      </c>
      <c r="AN302" s="45" t="str">
        <f t="shared" si="266"/>
        <v/>
      </c>
      <c r="AO302" s="45" t="str">
        <f t="shared" si="266"/>
        <v/>
      </c>
      <c r="AP302" s="45" t="str">
        <f t="shared" si="266"/>
        <v/>
      </c>
      <c r="AQ302" s="45" t="str">
        <f t="shared" si="266"/>
        <v/>
      </c>
      <c r="AR302" s="45" t="str">
        <f t="shared" si="266"/>
        <v/>
      </c>
      <c r="AS302" s="45" t="str">
        <f t="shared" si="266"/>
        <v/>
      </c>
      <c r="AT302" s="45" t="str">
        <f t="shared" si="266"/>
        <v/>
      </c>
      <c r="AU302" s="45" t="str">
        <f t="shared" si="266"/>
        <v/>
      </c>
      <c r="AV302" s="45" t="str">
        <f t="shared" si="266"/>
        <v/>
      </c>
      <c r="AW302" s="45" t="str">
        <f t="shared" si="266"/>
        <v/>
      </c>
      <c r="AX302" s="45" t="str">
        <f t="shared" ref="AX302:CC302" si="267">IF(COUNTIFS($E$303:$E$304,"&lt;&gt;",$D$303:$D$304,"A",AX$303:AX$304,"&lt;&gt;")=0,"",IFERROR(SUMPRODUCT(--($E$303:$E$304&lt;&gt;""),--($D$303:$D$304="A"),$O$303:$O$304,AX$303:AX$304)/SUMPRODUCT(--($E$303:$E$304&lt;&gt;""),--($D$303:$D$304="A"),$O$303:$O$304),""))</f>
        <v/>
      </c>
      <c r="AY302" s="45" t="str">
        <f t="shared" si="267"/>
        <v/>
      </c>
      <c r="AZ302" s="45" t="str">
        <f t="shared" si="267"/>
        <v/>
      </c>
      <c r="BA302" s="45" t="str">
        <f t="shared" si="267"/>
        <v/>
      </c>
      <c r="BB302" s="45" t="str">
        <f t="shared" si="267"/>
        <v/>
      </c>
      <c r="BC302" s="45" t="str">
        <f t="shared" si="267"/>
        <v/>
      </c>
      <c r="BD302" s="45" t="str">
        <f t="shared" si="267"/>
        <v/>
      </c>
      <c r="BE302" s="45" t="str">
        <f t="shared" si="267"/>
        <v/>
      </c>
      <c r="BF302" s="45" t="str">
        <f t="shared" si="267"/>
        <v/>
      </c>
      <c r="BG302" s="45" t="str">
        <f t="shared" si="267"/>
        <v/>
      </c>
      <c r="BH302" s="45" t="str">
        <f t="shared" si="267"/>
        <v/>
      </c>
      <c r="BI302" s="45" t="str">
        <f t="shared" si="267"/>
        <v/>
      </c>
      <c r="BJ302" s="45" t="str">
        <f t="shared" si="267"/>
        <v/>
      </c>
      <c r="BK302" s="45" t="str">
        <f t="shared" si="267"/>
        <v/>
      </c>
      <c r="BL302" s="45" t="str">
        <f t="shared" si="267"/>
        <v/>
      </c>
      <c r="BM302" s="45" t="str">
        <f t="shared" si="267"/>
        <v/>
      </c>
      <c r="BN302" s="45" t="str">
        <f t="shared" si="267"/>
        <v/>
      </c>
      <c r="BO302" s="45" t="str">
        <f t="shared" si="267"/>
        <v/>
      </c>
      <c r="BP302" s="45" t="str">
        <f t="shared" si="267"/>
        <v/>
      </c>
      <c r="BQ302" s="45" t="str">
        <f t="shared" si="267"/>
        <v/>
      </c>
      <c r="BR302" s="45" t="str">
        <f t="shared" si="267"/>
        <v/>
      </c>
      <c r="BS302" s="45" t="str">
        <f t="shared" si="267"/>
        <v/>
      </c>
      <c r="BT302" s="45" t="str">
        <f t="shared" si="267"/>
        <v/>
      </c>
      <c r="BU302" s="45" t="str">
        <f t="shared" si="267"/>
        <v/>
      </c>
      <c r="BV302" s="45" t="str">
        <f t="shared" si="267"/>
        <v/>
      </c>
      <c r="BW302" s="45" t="str">
        <f t="shared" si="267"/>
        <v/>
      </c>
      <c r="BX302" s="45" t="str">
        <f t="shared" si="267"/>
        <v/>
      </c>
      <c r="BY302" s="45" t="str">
        <f t="shared" si="267"/>
        <v/>
      </c>
      <c r="BZ302" s="45" t="str">
        <f t="shared" si="267"/>
        <v/>
      </c>
      <c r="CA302" s="45" t="str">
        <f t="shared" si="267"/>
        <v/>
      </c>
      <c r="CB302" s="45" t="str">
        <f t="shared" si="267"/>
        <v/>
      </c>
      <c r="CC302" s="45" t="str">
        <f t="shared" si="267"/>
        <v/>
      </c>
      <c r="CD302" s="45" t="str">
        <f t="shared" ref="CD302:CO302" si="268">IF(COUNTIFS($E$303:$E$304,"&lt;&gt;",$D$303:$D$304,"A",CD$303:CD$304,"&lt;&gt;")=0,"",IFERROR(SUMPRODUCT(--($E$303:$E$304&lt;&gt;""),--($D$303:$D$304="A"),$O$303:$O$304,CD$303:CD$304)/SUMPRODUCT(--($E$303:$E$304&lt;&gt;""),--($D$303:$D$304="A"),$O$303:$O$304),""))</f>
        <v/>
      </c>
      <c r="CE302" s="45" t="str">
        <f t="shared" si="268"/>
        <v/>
      </c>
      <c r="CF302" s="45" t="str">
        <f t="shared" si="268"/>
        <v/>
      </c>
      <c r="CG302" s="45" t="str">
        <f t="shared" si="268"/>
        <v/>
      </c>
      <c r="CH302" s="45" t="str">
        <f t="shared" si="268"/>
        <v/>
      </c>
      <c r="CI302" s="45" t="str">
        <f t="shared" si="268"/>
        <v/>
      </c>
      <c r="CJ302" s="45" t="str">
        <f t="shared" si="268"/>
        <v/>
      </c>
      <c r="CK302" s="45" t="str">
        <f t="shared" si="268"/>
        <v/>
      </c>
      <c r="CL302" s="45" t="str">
        <f t="shared" si="268"/>
        <v/>
      </c>
      <c r="CM302" s="45" t="str">
        <f t="shared" si="268"/>
        <v/>
      </c>
      <c r="CN302" s="45" t="str">
        <f t="shared" si="268"/>
        <v/>
      </c>
      <c r="CO302" s="45" t="str">
        <f t="shared" si="268"/>
        <v/>
      </c>
    </row>
    <row r="303" spans="1:93" outlineLevel="4" x14ac:dyDescent="0.25">
      <c r="A303" s="10" t="s">
        <v>116</v>
      </c>
      <c r="B303" s="10" t="s">
        <v>454</v>
      </c>
      <c r="C303" s="24" t="s">
        <v>353</v>
      </c>
      <c r="D303" s="12" t="s">
        <v>110</v>
      </c>
      <c r="E303" s="10" t="s">
        <v>455</v>
      </c>
      <c r="F303" s="10">
        <v>149</v>
      </c>
      <c r="G303" s="10">
        <v>155</v>
      </c>
      <c r="H303" s="10">
        <v>4</v>
      </c>
      <c r="I303" s="13">
        <v>46458.333333333343</v>
      </c>
      <c r="J303" s="13">
        <v>46485.666666666657</v>
      </c>
      <c r="K303" s="13"/>
      <c r="L303" s="13"/>
      <c r="M303" s="14">
        <f t="shared" si="226"/>
        <v>1.0000000000000002</v>
      </c>
      <c r="N303" s="14"/>
      <c r="O303" s="16">
        <v>100000</v>
      </c>
      <c r="P303" s="15">
        <v>0</v>
      </c>
      <c r="Q303" s="16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>
        <v>3.5714285714285719E-2</v>
      </c>
      <c r="BZ303" s="47">
        <v>0.25000000000000011</v>
      </c>
      <c r="CA303" s="47">
        <v>0.25000000000000011</v>
      </c>
      <c r="CB303" s="47">
        <v>0.25000000000000011</v>
      </c>
      <c r="CC303" s="47">
        <v>0.21428571428571419</v>
      </c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</row>
    <row r="304" spans="1:93" outlineLevel="4" x14ac:dyDescent="0.25">
      <c r="A304" s="17"/>
      <c r="B304" s="17"/>
      <c r="C304" s="25"/>
      <c r="D304" s="19" t="s">
        <v>111</v>
      </c>
      <c r="E304" s="17" t="s">
        <v>455</v>
      </c>
      <c r="F304" s="17"/>
      <c r="G304" s="17"/>
      <c r="H304" s="17"/>
      <c r="I304" s="20"/>
      <c r="J304" s="20"/>
      <c r="K304" s="20"/>
      <c r="L304" s="20"/>
      <c r="M304" s="21" t="str">
        <f t="shared" si="226"/>
        <v/>
      </c>
      <c r="N304" s="21">
        <v>0</v>
      </c>
      <c r="O304" s="48">
        <f>O303</f>
        <v>100000</v>
      </c>
      <c r="P304" s="22"/>
      <c r="Q304" s="23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</row>
    <row r="305" spans="1:93" outlineLevel="3" x14ac:dyDescent="0.25">
      <c r="A305" s="1" t="s">
        <v>92</v>
      </c>
      <c r="B305" s="1" t="s">
        <v>456</v>
      </c>
      <c r="C305" s="7" t="s">
        <v>356</v>
      </c>
      <c r="D305" s="8" t="s">
        <v>110</v>
      </c>
      <c r="E305" s="1"/>
      <c r="F305" s="1">
        <v>150</v>
      </c>
      <c r="G305" s="1">
        <v>156</v>
      </c>
      <c r="H305" s="1">
        <v>3</v>
      </c>
      <c r="I305" s="9">
        <v>46416.333333333343</v>
      </c>
      <c r="J305" s="9">
        <v>46521.666666666657</v>
      </c>
      <c r="K305" s="9"/>
      <c r="L305" s="9"/>
      <c r="M305" s="3">
        <f t="shared" si="226"/>
        <v>1</v>
      </c>
      <c r="N305" s="3"/>
      <c r="O305" s="5">
        <f>SUMIFS($O$306:$O$311,$A$306:$A$311,"Activity",$D$306:$D$311,"P")</f>
        <v>300000</v>
      </c>
      <c r="P305" s="4"/>
      <c r="Q305" s="5"/>
      <c r="R305" s="45" t="str">
        <f t="shared" ref="R305:AW305" si="269">IF(COUNTIFS($A$307:$A$312,"Activity",$D$307:$D$312,"P",R$307:R$312,"&lt;&gt;")=0,"",IFERROR(SUMPRODUCT(--($A$307:$A$312="Activity"),--($D$307:$D$312="P"),$O$307:$O$312,R$307:R$312)/SUMPRODUCT(--($A$307:$A$312="Activity"),--($D$307:$D$312="P"),$O$307:$O$312),""))</f>
        <v/>
      </c>
      <c r="S305" s="45" t="str">
        <f t="shared" si="269"/>
        <v/>
      </c>
      <c r="T305" s="45" t="str">
        <f t="shared" si="269"/>
        <v/>
      </c>
      <c r="U305" s="45" t="str">
        <f t="shared" si="269"/>
        <v/>
      </c>
      <c r="V305" s="45" t="str">
        <f t="shared" si="269"/>
        <v/>
      </c>
      <c r="W305" s="45" t="str">
        <f t="shared" si="269"/>
        <v/>
      </c>
      <c r="X305" s="45" t="str">
        <f t="shared" si="269"/>
        <v/>
      </c>
      <c r="Y305" s="45" t="str">
        <f t="shared" si="269"/>
        <v/>
      </c>
      <c r="Z305" s="45" t="str">
        <f t="shared" si="269"/>
        <v/>
      </c>
      <c r="AA305" s="45" t="str">
        <f t="shared" si="269"/>
        <v/>
      </c>
      <c r="AB305" s="45" t="str">
        <f t="shared" si="269"/>
        <v/>
      </c>
      <c r="AC305" s="45" t="str">
        <f t="shared" si="269"/>
        <v/>
      </c>
      <c r="AD305" s="45" t="str">
        <f t="shared" si="269"/>
        <v/>
      </c>
      <c r="AE305" s="45" t="str">
        <f t="shared" si="269"/>
        <v/>
      </c>
      <c r="AF305" s="45" t="str">
        <f t="shared" si="269"/>
        <v/>
      </c>
      <c r="AG305" s="45" t="str">
        <f t="shared" si="269"/>
        <v/>
      </c>
      <c r="AH305" s="45" t="str">
        <f t="shared" si="269"/>
        <v/>
      </c>
      <c r="AI305" s="45" t="str">
        <f t="shared" si="269"/>
        <v/>
      </c>
      <c r="AJ305" s="45" t="str">
        <f t="shared" si="269"/>
        <v/>
      </c>
      <c r="AK305" s="45" t="str">
        <f t="shared" si="269"/>
        <v/>
      </c>
      <c r="AL305" s="45" t="str">
        <f t="shared" si="269"/>
        <v/>
      </c>
      <c r="AM305" s="45" t="str">
        <f t="shared" si="269"/>
        <v/>
      </c>
      <c r="AN305" s="45" t="str">
        <f t="shared" si="269"/>
        <v/>
      </c>
      <c r="AO305" s="45" t="str">
        <f t="shared" si="269"/>
        <v/>
      </c>
      <c r="AP305" s="45" t="str">
        <f t="shared" si="269"/>
        <v/>
      </c>
      <c r="AQ305" s="45" t="str">
        <f t="shared" si="269"/>
        <v/>
      </c>
      <c r="AR305" s="45" t="str">
        <f t="shared" si="269"/>
        <v/>
      </c>
      <c r="AS305" s="45" t="str">
        <f t="shared" si="269"/>
        <v/>
      </c>
      <c r="AT305" s="45" t="str">
        <f t="shared" si="269"/>
        <v/>
      </c>
      <c r="AU305" s="45" t="str">
        <f t="shared" si="269"/>
        <v/>
      </c>
      <c r="AV305" s="45" t="str">
        <f t="shared" si="269"/>
        <v/>
      </c>
      <c r="AW305" s="45" t="str">
        <f t="shared" si="269"/>
        <v/>
      </c>
      <c r="AX305" s="45" t="str">
        <f t="shared" ref="AX305:CC305" si="270">IF(COUNTIFS($A$307:$A$312,"Activity",$D$307:$D$312,"P",AX$307:AX$312,"&lt;&gt;")=0,"",IFERROR(SUMPRODUCT(--($A$307:$A$312="Activity"),--($D$307:$D$312="P"),$O$307:$O$312,AX$307:AX$312)/SUMPRODUCT(--($A$307:$A$312="Activity"),--($D$307:$D$312="P"),$O$307:$O$312),""))</f>
        <v/>
      </c>
      <c r="AY305" s="45" t="str">
        <f t="shared" si="270"/>
        <v/>
      </c>
      <c r="AZ305" s="45" t="str">
        <f t="shared" si="270"/>
        <v/>
      </c>
      <c r="BA305" s="45" t="str">
        <f t="shared" si="270"/>
        <v/>
      </c>
      <c r="BB305" s="45" t="str">
        <f t="shared" si="270"/>
        <v/>
      </c>
      <c r="BC305" s="45" t="str">
        <f t="shared" si="270"/>
        <v/>
      </c>
      <c r="BD305" s="45" t="str">
        <f t="shared" si="270"/>
        <v/>
      </c>
      <c r="BE305" s="45" t="str">
        <f t="shared" si="270"/>
        <v/>
      </c>
      <c r="BF305" s="45" t="str">
        <f t="shared" si="270"/>
        <v/>
      </c>
      <c r="BG305" s="45" t="str">
        <f t="shared" si="270"/>
        <v/>
      </c>
      <c r="BH305" s="45" t="str">
        <f t="shared" si="270"/>
        <v/>
      </c>
      <c r="BI305" s="45" t="str">
        <f t="shared" si="270"/>
        <v/>
      </c>
      <c r="BJ305" s="45" t="str">
        <f t="shared" si="270"/>
        <v/>
      </c>
      <c r="BK305" s="45" t="str">
        <f t="shared" si="270"/>
        <v/>
      </c>
      <c r="BL305" s="45" t="str">
        <f t="shared" si="270"/>
        <v/>
      </c>
      <c r="BM305" s="45" t="str">
        <f t="shared" si="270"/>
        <v/>
      </c>
      <c r="BN305" s="45" t="str">
        <f t="shared" si="270"/>
        <v/>
      </c>
      <c r="BO305" s="45" t="str">
        <f t="shared" si="270"/>
        <v/>
      </c>
      <c r="BP305" s="45" t="str">
        <f t="shared" si="270"/>
        <v/>
      </c>
      <c r="BQ305" s="45" t="str">
        <f t="shared" si="270"/>
        <v/>
      </c>
      <c r="BR305" s="45" t="str">
        <f t="shared" si="270"/>
        <v/>
      </c>
      <c r="BS305" s="45">
        <f t="shared" si="270"/>
        <v>6.6958594471808197E-4</v>
      </c>
      <c r="BT305" s="45">
        <f t="shared" si="270"/>
        <v>1.1876557088648883E-2</v>
      </c>
      <c r="BU305" s="45">
        <f t="shared" si="270"/>
        <v>2.4476340582162776E-2</v>
      </c>
      <c r="BV305" s="45">
        <f t="shared" si="270"/>
        <v>4.1027225629322532E-2</v>
      </c>
      <c r="BW305" s="45">
        <f t="shared" si="270"/>
        <v>5.5932927039212058E-2</v>
      </c>
      <c r="BX305" s="45">
        <f t="shared" si="270"/>
        <v>6.202013104161426E-2</v>
      </c>
      <c r="BY305" s="45">
        <f t="shared" si="270"/>
        <v>5.5932927039212058E-2</v>
      </c>
      <c r="BZ305" s="45">
        <f t="shared" si="270"/>
        <v>4.1027225629322532E-2</v>
      </c>
      <c r="CA305" s="45">
        <f t="shared" si="270"/>
        <v>2.4476340582162776E-2</v>
      </c>
      <c r="CB305" s="45">
        <f t="shared" si="270"/>
        <v>1.9813065025156819E-2</v>
      </c>
      <c r="CC305" s="45">
        <f t="shared" si="270"/>
        <v>0.10123973789053065</v>
      </c>
      <c r="CD305" s="45">
        <f t="shared" ref="CD305:CO305" si="271">IF(COUNTIFS($A$307:$A$312,"Activity",$D$307:$D$312,"P",CD$307:CD$312,"&lt;&gt;")=0,"",IFERROR(SUMPRODUCT(--($A$307:$A$312="Activity"),--($D$307:$D$312="P"),$O$307:$O$312,CD$307:CD$312)/SUMPRODUCT(--($A$307:$A$312="Activity"),--($D$307:$D$312="P"),$O$307:$O$312),""))</f>
        <v>0.1138888888888889</v>
      </c>
      <c r="CE305" s="45">
        <f t="shared" si="271"/>
        <v>0.1138888888888889</v>
      </c>
      <c r="CF305" s="45">
        <f t="shared" si="271"/>
        <v>0.1138888888888889</v>
      </c>
      <c r="CG305" s="45">
        <f t="shared" si="271"/>
        <v>0.1138888888888889</v>
      </c>
      <c r="CH305" s="45">
        <f t="shared" si="271"/>
        <v>0.10595238095238099</v>
      </c>
      <c r="CI305" s="45" t="str">
        <f t="shared" si="271"/>
        <v/>
      </c>
      <c r="CJ305" s="45" t="str">
        <f t="shared" si="271"/>
        <v/>
      </c>
      <c r="CK305" s="45" t="str">
        <f t="shared" si="271"/>
        <v/>
      </c>
      <c r="CL305" s="45" t="str">
        <f t="shared" si="271"/>
        <v/>
      </c>
      <c r="CM305" s="45" t="str">
        <f t="shared" si="271"/>
        <v/>
      </c>
      <c r="CN305" s="45" t="str">
        <f t="shared" si="271"/>
        <v/>
      </c>
      <c r="CO305" s="45" t="str">
        <f t="shared" si="271"/>
        <v/>
      </c>
    </row>
    <row r="306" spans="1:93" outlineLevel="3" x14ac:dyDescent="0.25">
      <c r="A306" s="1"/>
      <c r="B306" s="1"/>
      <c r="C306" s="7"/>
      <c r="D306" s="8" t="s">
        <v>111</v>
      </c>
      <c r="E306" s="1"/>
      <c r="F306" s="1"/>
      <c r="G306" s="1"/>
      <c r="H306" s="1"/>
      <c r="I306" s="9"/>
      <c r="J306" s="9"/>
      <c r="K306" s="9"/>
      <c r="L306" s="9"/>
      <c r="M306" s="3" t="str">
        <f t="shared" si="226"/>
        <v/>
      </c>
      <c r="N306" s="3"/>
      <c r="O306" s="46">
        <f>O305</f>
        <v>300000</v>
      </c>
      <c r="P306" s="4"/>
      <c r="Q306" s="5"/>
      <c r="R306" s="45" t="str">
        <f t="shared" ref="R306:AW306" si="272">IF(COUNTIFS($E$307:$E$312,"&lt;&gt;",$D$307:$D$312,"A",R$307:R$312,"&lt;&gt;")=0,"",IFERROR(SUMPRODUCT(--($E$307:$E$312&lt;&gt;""),--($D$307:$D$312="A"),$O$307:$O$312,R$307:R$312)/SUMPRODUCT(--($E$307:$E$312&lt;&gt;""),--($D$307:$D$312="A"),$O$307:$O$312),""))</f>
        <v/>
      </c>
      <c r="S306" s="45" t="str">
        <f t="shared" si="272"/>
        <v/>
      </c>
      <c r="T306" s="45" t="str">
        <f t="shared" si="272"/>
        <v/>
      </c>
      <c r="U306" s="45" t="str">
        <f t="shared" si="272"/>
        <v/>
      </c>
      <c r="V306" s="45" t="str">
        <f t="shared" si="272"/>
        <v/>
      </c>
      <c r="W306" s="45" t="str">
        <f t="shared" si="272"/>
        <v/>
      </c>
      <c r="X306" s="45" t="str">
        <f t="shared" si="272"/>
        <v/>
      </c>
      <c r="Y306" s="45" t="str">
        <f t="shared" si="272"/>
        <v/>
      </c>
      <c r="Z306" s="45" t="str">
        <f t="shared" si="272"/>
        <v/>
      </c>
      <c r="AA306" s="45" t="str">
        <f t="shared" si="272"/>
        <v/>
      </c>
      <c r="AB306" s="45" t="str">
        <f t="shared" si="272"/>
        <v/>
      </c>
      <c r="AC306" s="45" t="str">
        <f t="shared" si="272"/>
        <v/>
      </c>
      <c r="AD306" s="45" t="str">
        <f t="shared" si="272"/>
        <v/>
      </c>
      <c r="AE306" s="45" t="str">
        <f t="shared" si="272"/>
        <v/>
      </c>
      <c r="AF306" s="45" t="str">
        <f t="shared" si="272"/>
        <v/>
      </c>
      <c r="AG306" s="45" t="str">
        <f t="shared" si="272"/>
        <v/>
      </c>
      <c r="AH306" s="45" t="str">
        <f t="shared" si="272"/>
        <v/>
      </c>
      <c r="AI306" s="45" t="str">
        <f t="shared" si="272"/>
        <v/>
      </c>
      <c r="AJ306" s="45" t="str">
        <f t="shared" si="272"/>
        <v/>
      </c>
      <c r="AK306" s="45" t="str">
        <f t="shared" si="272"/>
        <v/>
      </c>
      <c r="AL306" s="45" t="str">
        <f t="shared" si="272"/>
        <v/>
      </c>
      <c r="AM306" s="45" t="str">
        <f t="shared" si="272"/>
        <v/>
      </c>
      <c r="AN306" s="45" t="str">
        <f t="shared" si="272"/>
        <v/>
      </c>
      <c r="AO306" s="45" t="str">
        <f t="shared" si="272"/>
        <v/>
      </c>
      <c r="AP306" s="45" t="str">
        <f t="shared" si="272"/>
        <v/>
      </c>
      <c r="AQ306" s="45" t="str">
        <f t="shared" si="272"/>
        <v/>
      </c>
      <c r="AR306" s="45" t="str">
        <f t="shared" si="272"/>
        <v/>
      </c>
      <c r="AS306" s="45" t="str">
        <f t="shared" si="272"/>
        <v/>
      </c>
      <c r="AT306" s="45" t="str">
        <f t="shared" si="272"/>
        <v/>
      </c>
      <c r="AU306" s="45" t="str">
        <f t="shared" si="272"/>
        <v/>
      </c>
      <c r="AV306" s="45" t="str">
        <f t="shared" si="272"/>
        <v/>
      </c>
      <c r="AW306" s="45" t="str">
        <f t="shared" si="272"/>
        <v/>
      </c>
      <c r="AX306" s="45" t="str">
        <f t="shared" ref="AX306:CC306" si="273">IF(COUNTIFS($E$307:$E$312,"&lt;&gt;",$D$307:$D$312,"A",AX$307:AX$312,"&lt;&gt;")=0,"",IFERROR(SUMPRODUCT(--($E$307:$E$312&lt;&gt;""),--($D$307:$D$312="A"),$O$307:$O$312,AX$307:AX$312)/SUMPRODUCT(--($E$307:$E$312&lt;&gt;""),--($D$307:$D$312="A"),$O$307:$O$312),""))</f>
        <v/>
      </c>
      <c r="AY306" s="45" t="str">
        <f t="shared" si="273"/>
        <v/>
      </c>
      <c r="AZ306" s="45" t="str">
        <f t="shared" si="273"/>
        <v/>
      </c>
      <c r="BA306" s="45" t="str">
        <f t="shared" si="273"/>
        <v/>
      </c>
      <c r="BB306" s="45" t="str">
        <f t="shared" si="273"/>
        <v/>
      </c>
      <c r="BC306" s="45" t="str">
        <f t="shared" si="273"/>
        <v/>
      </c>
      <c r="BD306" s="45" t="str">
        <f t="shared" si="273"/>
        <v/>
      </c>
      <c r="BE306" s="45" t="str">
        <f t="shared" si="273"/>
        <v/>
      </c>
      <c r="BF306" s="45" t="str">
        <f t="shared" si="273"/>
        <v/>
      </c>
      <c r="BG306" s="45" t="str">
        <f t="shared" si="273"/>
        <v/>
      </c>
      <c r="BH306" s="45" t="str">
        <f t="shared" si="273"/>
        <v/>
      </c>
      <c r="BI306" s="45" t="str">
        <f t="shared" si="273"/>
        <v/>
      </c>
      <c r="BJ306" s="45" t="str">
        <f t="shared" si="273"/>
        <v/>
      </c>
      <c r="BK306" s="45" t="str">
        <f t="shared" si="273"/>
        <v/>
      </c>
      <c r="BL306" s="45" t="str">
        <f t="shared" si="273"/>
        <v/>
      </c>
      <c r="BM306" s="45" t="str">
        <f t="shared" si="273"/>
        <v/>
      </c>
      <c r="BN306" s="45" t="str">
        <f t="shared" si="273"/>
        <v/>
      </c>
      <c r="BO306" s="45" t="str">
        <f t="shared" si="273"/>
        <v/>
      </c>
      <c r="BP306" s="45" t="str">
        <f t="shared" si="273"/>
        <v/>
      </c>
      <c r="BQ306" s="45" t="str">
        <f t="shared" si="273"/>
        <v/>
      </c>
      <c r="BR306" s="45" t="str">
        <f t="shared" si="273"/>
        <v/>
      </c>
      <c r="BS306" s="45" t="str">
        <f t="shared" si="273"/>
        <v/>
      </c>
      <c r="BT306" s="45" t="str">
        <f t="shared" si="273"/>
        <v/>
      </c>
      <c r="BU306" s="45" t="str">
        <f t="shared" si="273"/>
        <v/>
      </c>
      <c r="BV306" s="45" t="str">
        <f t="shared" si="273"/>
        <v/>
      </c>
      <c r="BW306" s="45" t="str">
        <f t="shared" si="273"/>
        <v/>
      </c>
      <c r="BX306" s="45" t="str">
        <f t="shared" si="273"/>
        <v/>
      </c>
      <c r="BY306" s="45" t="str">
        <f t="shared" si="273"/>
        <v/>
      </c>
      <c r="BZ306" s="45" t="str">
        <f t="shared" si="273"/>
        <v/>
      </c>
      <c r="CA306" s="45" t="str">
        <f t="shared" si="273"/>
        <v/>
      </c>
      <c r="CB306" s="45" t="str">
        <f t="shared" si="273"/>
        <v/>
      </c>
      <c r="CC306" s="45" t="str">
        <f t="shared" si="273"/>
        <v/>
      </c>
      <c r="CD306" s="45" t="str">
        <f t="shared" ref="CD306:CO306" si="274">IF(COUNTIFS($E$307:$E$312,"&lt;&gt;",$D$307:$D$312,"A",CD$307:CD$312,"&lt;&gt;")=0,"",IFERROR(SUMPRODUCT(--($E$307:$E$312&lt;&gt;""),--($D$307:$D$312="A"),$O$307:$O$312,CD$307:CD$312)/SUMPRODUCT(--($E$307:$E$312&lt;&gt;""),--($D$307:$D$312="A"),$O$307:$O$312),""))</f>
        <v/>
      </c>
      <c r="CE306" s="45" t="str">
        <f t="shared" si="274"/>
        <v/>
      </c>
      <c r="CF306" s="45" t="str">
        <f t="shared" si="274"/>
        <v/>
      </c>
      <c r="CG306" s="45" t="str">
        <f t="shared" si="274"/>
        <v/>
      </c>
      <c r="CH306" s="45" t="str">
        <f t="shared" si="274"/>
        <v/>
      </c>
      <c r="CI306" s="45" t="str">
        <f t="shared" si="274"/>
        <v/>
      </c>
      <c r="CJ306" s="45" t="str">
        <f t="shared" si="274"/>
        <v/>
      </c>
      <c r="CK306" s="45" t="str">
        <f t="shared" si="274"/>
        <v/>
      </c>
      <c r="CL306" s="45" t="str">
        <f t="shared" si="274"/>
        <v/>
      </c>
      <c r="CM306" s="45" t="str">
        <f t="shared" si="274"/>
        <v/>
      </c>
      <c r="CN306" s="45" t="str">
        <f t="shared" si="274"/>
        <v/>
      </c>
      <c r="CO306" s="45" t="str">
        <f t="shared" si="274"/>
        <v/>
      </c>
    </row>
    <row r="307" spans="1:93" outlineLevel="4" x14ac:dyDescent="0.25">
      <c r="A307" s="10" t="s">
        <v>116</v>
      </c>
      <c r="B307" s="10" t="s">
        <v>457</v>
      </c>
      <c r="C307" s="24" t="s">
        <v>358</v>
      </c>
      <c r="D307" s="12" t="s">
        <v>110</v>
      </c>
      <c r="E307" s="10" t="s">
        <v>458</v>
      </c>
      <c r="F307" s="10">
        <v>151</v>
      </c>
      <c r="G307" s="10">
        <v>157</v>
      </c>
      <c r="H307" s="10">
        <v>4</v>
      </c>
      <c r="I307" s="13">
        <v>46416.333333333343</v>
      </c>
      <c r="J307" s="13">
        <v>46485.666666666657</v>
      </c>
      <c r="K307" s="13"/>
      <c r="L307" s="13"/>
      <c r="M307" s="14">
        <f t="shared" si="226"/>
        <v>0.99999999999999967</v>
      </c>
      <c r="N307" s="14"/>
      <c r="O307" s="16">
        <v>100000</v>
      </c>
      <c r="P307" s="15">
        <v>1.466666666666667</v>
      </c>
      <c r="Q307" s="16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>
        <v>2.008757834154246E-3</v>
      </c>
      <c r="BT307" s="47">
        <v>3.5629671265946648E-2</v>
      </c>
      <c r="BU307" s="47">
        <v>7.3429021746488327E-2</v>
      </c>
      <c r="BV307" s="47">
        <v>0.1230816768879676</v>
      </c>
      <c r="BW307" s="47">
        <v>0.16779878111763619</v>
      </c>
      <c r="BX307" s="47">
        <v>0.18606039312484279</v>
      </c>
      <c r="BY307" s="47">
        <v>0.16779878111763619</v>
      </c>
      <c r="BZ307" s="47">
        <v>0.1230816768879676</v>
      </c>
      <c r="CA307" s="47">
        <v>7.3429021746488327E-2</v>
      </c>
      <c r="CB307" s="47">
        <v>3.5629671265946648E-2</v>
      </c>
      <c r="CC307" s="47">
        <v>1.2052547004925199E-2</v>
      </c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</row>
    <row r="308" spans="1:93" outlineLevel="4" x14ac:dyDescent="0.25">
      <c r="A308" s="17"/>
      <c r="B308" s="17"/>
      <c r="C308" s="25"/>
      <c r="D308" s="19" t="s">
        <v>111</v>
      </c>
      <c r="E308" s="17" t="s">
        <v>458</v>
      </c>
      <c r="F308" s="17"/>
      <c r="G308" s="17"/>
      <c r="H308" s="17"/>
      <c r="I308" s="20"/>
      <c r="J308" s="20"/>
      <c r="K308" s="20"/>
      <c r="L308" s="20"/>
      <c r="M308" s="21" t="str">
        <f t="shared" si="226"/>
        <v/>
      </c>
      <c r="N308" s="21">
        <v>0</v>
      </c>
      <c r="O308" s="48">
        <f>O307</f>
        <v>100000</v>
      </c>
      <c r="P308" s="22"/>
      <c r="Q308" s="23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</row>
    <row r="309" spans="1:93" outlineLevel="4" x14ac:dyDescent="0.25">
      <c r="A309" s="10" t="s">
        <v>116</v>
      </c>
      <c r="B309" s="10" t="s">
        <v>459</v>
      </c>
      <c r="C309" s="24" t="s">
        <v>361</v>
      </c>
      <c r="D309" s="12" t="s">
        <v>110</v>
      </c>
      <c r="E309" s="10" t="s">
        <v>460</v>
      </c>
      <c r="F309" s="10">
        <v>152</v>
      </c>
      <c r="G309" s="10">
        <v>158</v>
      </c>
      <c r="H309" s="10">
        <v>4</v>
      </c>
      <c r="I309" s="13">
        <v>46479.333333333343</v>
      </c>
      <c r="J309" s="13">
        <v>46520.666666666657</v>
      </c>
      <c r="K309" s="13"/>
      <c r="L309" s="13"/>
      <c r="M309" s="14">
        <f t="shared" si="226"/>
        <v>1.0000000000000004</v>
      </c>
      <c r="N309" s="14"/>
      <c r="O309" s="16">
        <v>100000</v>
      </c>
      <c r="P309" s="15">
        <v>1.6</v>
      </c>
      <c r="Q309" s="16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>
        <v>2.3809523809523801E-2</v>
      </c>
      <c r="CC309" s="47">
        <v>0.16666666666666671</v>
      </c>
      <c r="CD309" s="47">
        <v>0.16666666666666671</v>
      </c>
      <c r="CE309" s="47">
        <v>0.16666666666666671</v>
      </c>
      <c r="CF309" s="47">
        <v>0.16666666666666671</v>
      </c>
      <c r="CG309" s="47">
        <v>0.16666666666666671</v>
      </c>
      <c r="CH309" s="47">
        <v>0.14285714285714299</v>
      </c>
      <c r="CI309" s="47"/>
      <c r="CJ309" s="47"/>
      <c r="CK309" s="47"/>
      <c r="CL309" s="47"/>
      <c r="CM309" s="47"/>
      <c r="CN309" s="47"/>
      <c r="CO309" s="47"/>
    </row>
    <row r="310" spans="1:93" outlineLevel="4" x14ac:dyDescent="0.25">
      <c r="A310" s="17"/>
      <c r="B310" s="17"/>
      <c r="C310" s="25"/>
      <c r="D310" s="19" t="s">
        <v>111</v>
      </c>
      <c r="E310" s="17" t="s">
        <v>460</v>
      </c>
      <c r="F310" s="17"/>
      <c r="G310" s="17"/>
      <c r="H310" s="17"/>
      <c r="I310" s="20"/>
      <c r="J310" s="20"/>
      <c r="K310" s="20"/>
      <c r="L310" s="20"/>
      <c r="M310" s="21" t="str">
        <f t="shared" si="226"/>
        <v/>
      </c>
      <c r="N310" s="21">
        <v>0</v>
      </c>
      <c r="O310" s="48">
        <f>O309</f>
        <v>100000</v>
      </c>
      <c r="P310" s="22"/>
      <c r="Q310" s="23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</row>
    <row r="311" spans="1:93" outlineLevel="4" x14ac:dyDescent="0.25">
      <c r="A311" s="10" t="s">
        <v>116</v>
      </c>
      <c r="B311" s="10" t="s">
        <v>461</v>
      </c>
      <c r="C311" s="24" t="s">
        <v>462</v>
      </c>
      <c r="D311" s="12" t="s">
        <v>110</v>
      </c>
      <c r="E311" s="10" t="s">
        <v>463</v>
      </c>
      <c r="F311" s="10">
        <v>153</v>
      </c>
      <c r="G311" s="10">
        <v>159</v>
      </c>
      <c r="H311" s="10">
        <v>4</v>
      </c>
      <c r="I311" s="13">
        <v>46482.333333333343</v>
      </c>
      <c r="J311" s="13">
        <v>46521.666666666657</v>
      </c>
      <c r="K311" s="13"/>
      <c r="L311" s="13"/>
      <c r="M311" s="14">
        <f t="shared" si="226"/>
        <v>1</v>
      </c>
      <c r="N311" s="14"/>
      <c r="O311" s="16">
        <v>100000</v>
      </c>
      <c r="P311" s="15">
        <v>1.466666666666667</v>
      </c>
      <c r="Q311" s="16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>
        <v>0.125</v>
      </c>
      <c r="CD311" s="47">
        <v>0.17499999999999999</v>
      </c>
      <c r="CE311" s="47">
        <v>0.17499999999999999</v>
      </c>
      <c r="CF311" s="47">
        <v>0.17499999999999999</v>
      </c>
      <c r="CG311" s="47">
        <v>0.17499999999999999</v>
      </c>
      <c r="CH311" s="47">
        <v>0.17499999999999999</v>
      </c>
      <c r="CI311" s="47"/>
      <c r="CJ311" s="47"/>
      <c r="CK311" s="47"/>
      <c r="CL311" s="47"/>
      <c r="CM311" s="47"/>
      <c r="CN311" s="47"/>
      <c r="CO311" s="47"/>
    </row>
    <row r="312" spans="1:93" outlineLevel="4" x14ac:dyDescent="0.25">
      <c r="A312" s="17"/>
      <c r="B312" s="17"/>
      <c r="C312" s="25"/>
      <c r="D312" s="19" t="s">
        <v>111</v>
      </c>
      <c r="E312" s="17" t="s">
        <v>463</v>
      </c>
      <c r="F312" s="17"/>
      <c r="G312" s="17"/>
      <c r="H312" s="17"/>
      <c r="I312" s="20"/>
      <c r="J312" s="20"/>
      <c r="K312" s="20"/>
      <c r="L312" s="20"/>
      <c r="M312" s="21" t="str">
        <f t="shared" si="226"/>
        <v/>
      </c>
      <c r="N312" s="21">
        <v>0</v>
      </c>
      <c r="O312" s="48">
        <f>O311</f>
        <v>100000</v>
      </c>
      <c r="P312" s="22"/>
      <c r="Q312" s="23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</row>
    <row r="313" spans="1:93" outlineLevel="2" x14ac:dyDescent="0.25">
      <c r="A313" s="1" t="s">
        <v>92</v>
      </c>
      <c r="B313" s="1" t="s">
        <v>464</v>
      </c>
      <c r="C313" s="6" t="s">
        <v>465</v>
      </c>
      <c r="D313" s="8" t="s">
        <v>110</v>
      </c>
      <c r="E313" s="1"/>
      <c r="F313" s="1">
        <v>154</v>
      </c>
      <c r="G313" s="1">
        <v>160</v>
      </c>
      <c r="H313" s="1">
        <v>2</v>
      </c>
      <c r="I313" s="9">
        <v>46437.333333333343</v>
      </c>
      <c r="J313" s="9">
        <v>46534.666666666657</v>
      </c>
      <c r="K313" s="9"/>
      <c r="L313" s="9"/>
      <c r="M313" s="3">
        <f t="shared" si="226"/>
        <v>0.99999999999999989</v>
      </c>
      <c r="N313" s="3"/>
      <c r="O313" s="5">
        <f>SUMIFS($O$314:$O$345,$A$314:$A$345,"Activity",$D$314:$D$345,"P")</f>
        <v>1100000</v>
      </c>
      <c r="P313" s="4"/>
      <c r="Q313" s="5"/>
      <c r="R313" s="45" t="str">
        <f t="shared" ref="R313:AW313" si="275">IF(COUNTIFS($A$315:$A$346,"Activity",$D$315:$D$346,"P",R$315:R$346,"&lt;&gt;")=0,"",IFERROR(SUMPRODUCT(--($A$315:$A$346="Activity"),--($D$315:$D$346="P"),$O$315:$O$346,R$315:R$346)/SUMPRODUCT(--($A$315:$A$346="Activity"),--($D$315:$D$346="P"),$O$315:$O$346),""))</f>
        <v/>
      </c>
      <c r="S313" s="45" t="str">
        <f t="shared" si="275"/>
        <v/>
      </c>
      <c r="T313" s="45" t="str">
        <f t="shared" si="275"/>
        <v/>
      </c>
      <c r="U313" s="45" t="str">
        <f t="shared" si="275"/>
        <v/>
      </c>
      <c r="V313" s="45" t="str">
        <f t="shared" si="275"/>
        <v/>
      </c>
      <c r="W313" s="45" t="str">
        <f t="shared" si="275"/>
        <v/>
      </c>
      <c r="X313" s="45" t="str">
        <f t="shared" si="275"/>
        <v/>
      </c>
      <c r="Y313" s="45" t="str">
        <f t="shared" si="275"/>
        <v/>
      </c>
      <c r="Z313" s="45" t="str">
        <f t="shared" si="275"/>
        <v/>
      </c>
      <c r="AA313" s="45" t="str">
        <f t="shared" si="275"/>
        <v/>
      </c>
      <c r="AB313" s="45" t="str">
        <f t="shared" si="275"/>
        <v/>
      </c>
      <c r="AC313" s="45" t="str">
        <f t="shared" si="275"/>
        <v/>
      </c>
      <c r="AD313" s="45" t="str">
        <f t="shared" si="275"/>
        <v/>
      </c>
      <c r="AE313" s="45" t="str">
        <f t="shared" si="275"/>
        <v/>
      </c>
      <c r="AF313" s="45" t="str">
        <f t="shared" si="275"/>
        <v/>
      </c>
      <c r="AG313" s="45" t="str">
        <f t="shared" si="275"/>
        <v/>
      </c>
      <c r="AH313" s="45" t="str">
        <f t="shared" si="275"/>
        <v/>
      </c>
      <c r="AI313" s="45" t="str">
        <f t="shared" si="275"/>
        <v/>
      </c>
      <c r="AJ313" s="45" t="str">
        <f t="shared" si="275"/>
        <v/>
      </c>
      <c r="AK313" s="45" t="str">
        <f t="shared" si="275"/>
        <v/>
      </c>
      <c r="AL313" s="45" t="str">
        <f t="shared" si="275"/>
        <v/>
      </c>
      <c r="AM313" s="45" t="str">
        <f t="shared" si="275"/>
        <v/>
      </c>
      <c r="AN313" s="45" t="str">
        <f t="shared" si="275"/>
        <v/>
      </c>
      <c r="AO313" s="45" t="str">
        <f t="shared" si="275"/>
        <v/>
      </c>
      <c r="AP313" s="45" t="str">
        <f t="shared" si="275"/>
        <v/>
      </c>
      <c r="AQ313" s="45" t="str">
        <f t="shared" si="275"/>
        <v/>
      </c>
      <c r="AR313" s="45" t="str">
        <f t="shared" si="275"/>
        <v/>
      </c>
      <c r="AS313" s="45" t="str">
        <f t="shared" si="275"/>
        <v/>
      </c>
      <c r="AT313" s="45" t="str">
        <f t="shared" si="275"/>
        <v/>
      </c>
      <c r="AU313" s="45" t="str">
        <f t="shared" si="275"/>
        <v/>
      </c>
      <c r="AV313" s="45" t="str">
        <f t="shared" si="275"/>
        <v/>
      </c>
      <c r="AW313" s="45" t="str">
        <f t="shared" si="275"/>
        <v/>
      </c>
      <c r="AX313" s="45" t="str">
        <f t="shared" ref="AX313:CC313" si="276">IF(COUNTIFS($A$315:$A$346,"Activity",$D$315:$D$346,"P",AX$315:AX$346,"&lt;&gt;")=0,"",IFERROR(SUMPRODUCT(--($A$315:$A$346="Activity"),--($D$315:$D$346="P"),$O$315:$O$346,AX$315:AX$346)/SUMPRODUCT(--($A$315:$A$346="Activity"),--($D$315:$D$346="P"),$O$315:$O$346),""))</f>
        <v/>
      </c>
      <c r="AY313" s="45" t="str">
        <f t="shared" si="276"/>
        <v/>
      </c>
      <c r="AZ313" s="45" t="str">
        <f t="shared" si="276"/>
        <v/>
      </c>
      <c r="BA313" s="45" t="str">
        <f t="shared" si="276"/>
        <v/>
      </c>
      <c r="BB313" s="45" t="str">
        <f t="shared" si="276"/>
        <v/>
      </c>
      <c r="BC313" s="45" t="str">
        <f t="shared" si="276"/>
        <v/>
      </c>
      <c r="BD313" s="45" t="str">
        <f t="shared" si="276"/>
        <v/>
      </c>
      <c r="BE313" s="45" t="str">
        <f t="shared" si="276"/>
        <v/>
      </c>
      <c r="BF313" s="45" t="str">
        <f t="shared" si="276"/>
        <v/>
      </c>
      <c r="BG313" s="45" t="str">
        <f t="shared" si="276"/>
        <v/>
      </c>
      <c r="BH313" s="45" t="str">
        <f t="shared" si="276"/>
        <v/>
      </c>
      <c r="BI313" s="45" t="str">
        <f t="shared" si="276"/>
        <v/>
      </c>
      <c r="BJ313" s="45" t="str">
        <f t="shared" si="276"/>
        <v/>
      </c>
      <c r="BK313" s="45" t="str">
        <f t="shared" si="276"/>
        <v/>
      </c>
      <c r="BL313" s="45" t="str">
        <f t="shared" si="276"/>
        <v/>
      </c>
      <c r="BM313" s="45" t="str">
        <f t="shared" si="276"/>
        <v/>
      </c>
      <c r="BN313" s="45" t="str">
        <f t="shared" si="276"/>
        <v/>
      </c>
      <c r="BO313" s="45" t="str">
        <f t="shared" si="276"/>
        <v/>
      </c>
      <c r="BP313" s="45" t="str">
        <f t="shared" si="276"/>
        <v/>
      </c>
      <c r="BQ313" s="45" t="str">
        <f t="shared" si="276"/>
        <v/>
      </c>
      <c r="BR313" s="45" t="str">
        <f t="shared" si="276"/>
        <v/>
      </c>
      <c r="BS313" s="45" t="str">
        <f t="shared" si="276"/>
        <v/>
      </c>
      <c r="BT313" s="45" t="str">
        <f t="shared" si="276"/>
        <v/>
      </c>
      <c r="BU313" s="45" t="str">
        <f t="shared" si="276"/>
        <v/>
      </c>
      <c r="BV313" s="45">
        <f t="shared" si="276"/>
        <v>6.4935064935064922E-3</v>
      </c>
      <c r="BW313" s="45">
        <f t="shared" si="276"/>
        <v>4.5454545454545442E-2</v>
      </c>
      <c r="BX313" s="45">
        <f t="shared" si="276"/>
        <v>8.4081759335569398E-2</v>
      </c>
      <c r="BY313" s="45">
        <f t="shared" si="276"/>
        <v>0.12196433692409554</v>
      </c>
      <c r="BZ313" s="45">
        <f t="shared" si="276"/>
        <v>0.12204446534827772</v>
      </c>
      <c r="CA313" s="45">
        <f t="shared" si="276"/>
        <v>0.12196433692409554</v>
      </c>
      <c r="CB313" s="45">
        <f t="shared" si="276"/>
        <v>5.2109603632463967E-2</v>
      </c>
      <c r="CC313" s="45">
        <f t="shared" si="276"/>
        <v>6.0606060606060594E-2</v>
      </c>
      <c r="CD313" s="45">
        <f t="shared" ref="CD313:CO313" si="277">IF(COUNTIFS($A$315:$A$346,"Activity",$D$315:$D$346,"P",CD$315:CD$346,"&lt;&gt;")=0,"",IFERROR(SUMPRODUCT(--($A$315:$A$346="Activity"),--($D$315:$D$346="P"),$O$315:$O$346,CD$315:CD$346)/SUMPRODUCT(--($A$315:$A$346="Activity"),--($D$315:$D$346="P"),$O$315:$O$346),""))</f>
        <v>6.9264069264069264E-2</v>
      </c>
      <c r="CE313" s="45">
        <f t="shared" si="277"/>
        <v>6.7099567099567117E-2</v>
      </c>
      <c r="CF313" s="45">
        <f t="shared" si="277"/>
        <v>1.5151515151515155E-2</v>
      </c>
      <c r="CG313" s="45">
        <f t="shared" si="277"/>
        <v>2.5974025974025979E-2</v>
      </c>
      <c r="CH313" s="45">
        <f t="shared" si="277"/>
        <v>9.0909090909090898E-2</v>
      </c>
      <c r="CI313" s="45">
        <f t="shared" si="277"/>
        <v>8.4415584415584416E-2</v>
      </c>
      <c r="CJ313" s="45">
        <f t="shared" si="277"/>
        <v>3.2467532467532451E-2</v>
      </c>
      <c r="CK313" s="45" t="str">
        <f t="shared" si="277"/>
        <v/>
      </c>
      <c r="CL313" s="45" t="str">
        <f t="shared" si="277"/>
        <v/>
      </c>
      <c r="CM313" s="45" t="str">
        <f t="shared" si="277"/>
        <v/>
      </c>
      <c r="CN313" s="45" t="str">
        <f t="shared" si="277"/>
        <v/>
      </c>
      <c r="CO313" s="45" t="str">
        <f t="shared" si="277"/>
        <v/>
      </c>
    </row>
    <row r="314" spans="1:93" outlineLevel="2" x14ac:dyDescent="0.25">
      <c r="A314" s="1"/>
      <c r="B314" s="1"/>
      <c r="C314" s="6"/>
      <c r="D314" s="8" t="s">
        <v>111</v>
      </c>
      <c r="E314" s="1"/>
      <c r="F314" s="1"/>
      <c r="G314" s="1"/>
      <c r="H314" s="1"/>
      <c r="I314" s="9"/>
      <c r="J314" s="9"/>
      <c r="K314" s="9"/>
      <c r="L314" s="9"/>
      <c r="M314" s="3" t="str">
        <f t="shared" si="226"/>
        <v/>
      </c>
      <c r="N314" s="3"/>
      <c r="O314" s="46">
        <f>O313</f>
        <v>1100000</v>
      </c>
      <c r="P314" s="4"/>
      <c r="Q314" s="5"/>
      <c r="R314" s="45" t="str">
        <f t="shared" ref="R314:AW314" si="278">IF(COUNTIFS($E$315:$E$346,"&lt;&gt;",$D$315:$D$346,"A",R$315:R$346,"&lt;&gt;")=0,"",IFERROR(SUMPRODUCT(--($E$315:$E$346&lt;&gt;""),--($D$315:$D$346="A"),$O$315:$O$346,R$315:R$346)/SUMPRODUCT(--($E$315:$E$346&lt;&gt;""),--($D$315:$D$346="A"),$O$315:$O$346),""))</f>
        <v/>
      </c>
      <c r="S314" s="45" t="str">
        <f t="shared" si="278"/>
        <v/>
      </c>
      <c r="T314" s="45" t="str">
        <f t="shared" si="278"/>
        <v/>
      </c>
      <c r="U314" s="45" t="str">
        <f t="shared" si="278"/>
        <v/>
      </c>
      <c r="V314" s="45" t="str">
        <f t="shared" si="278"/>
        <v/>
      </c>
      <c r="W314" s="45" t="str">
        <f t="shared" si="278"/>
        <v/>
      </c>
      <c r="X314" s="45" t="str">
        <f t="shared" si="278"/>
        <v/>
      </c>
      <c r="Y314" s="45" t="str">
        <f t="shared" si="278"/>
        <v/>
      </c>
      <c r="Z314" s="45" t="str">
        <f t="shared" si="278"/>
        <v/>
      </c>
      <c r="AA314" s="45" t="str">
        <f t="shared" si="278"/>
        <v/>
      </c>
      <c r="AB314" s="45" t="str">
        <f t="shared" si="278"/>
        <v/>
      </c>
      <c r="AC314" s="45" t="str">
        <f t="shared" si="278"/>
        <v/>
      </c>
      <c r="AD314" s="45" t="str">
        <f t="shared" si="278"/>
        <v/>
      </c>
      <c r="AE314" s="45" t="str">
        <f t="shared" si="278"/>
        <v/>
      </c>
      <c r="AF314" s="45" t="str">
        <f t="shared" si="278"/>
        <v/>
      </c>
      <c r="AG314" s="45" t="str">
        <f t="shared" si="278"/>
        <v/>
      </c>
      <c r="AH314" s="45" t="str">
        <f t="shared" si="278"/>
        <v/>
      </c>
      <c r="AI314" s="45" t="str">
        <f t="shared" si="278"/>
        <v/>
      </c>
      <c r="AJ314" s="45" t="str">
        <f t="shared" si="278"/>
        <v/>
      </c>
      <c r="AK314" s="45" t="str">
        <f t="shared" si="278"/>
        <v/>
      </c>
      <c r="AL314" s="45" t="str">
        <f t="shared" si="278"/>
        <v/>
      </c>
      <c r="AM314" s="45" t="str">
        <f t="shared" si="278"/>
        <v/>
      </c>
      <c r="AN314" s="45" t="str">
        <f t="shared" si="278"/>
        <v/>
      </c>
      <c r="AO314" s="45" t="str">
        <f t="shared" si="278"/>
        <v/>
      </c>
      <c r="AP314" s="45" t="str">
        <f t="shared" si="278"/>
        <v/>
      </c>
      <c r="AQ314" s="45" t="str">
        <f t="shared" si="278"/>
        <v/>
      </c>
      <c r="AR314" s="45" t="str">
        <f t="shared" si="278"/>
        <v/>
      </c>
      <c r="AS314" s="45" t="str">
        <f t="shared" si="278"/>
        <v/>
      </c>
      <c r="AT314" s="45" t="str">
        <f t="shared" si="278"/>
        <v/>
      </c>
      <c r="AU314" s="45" t="str">
        <f t="shared" si="278"/>
        <v/>
      </c>
      <c r="AV314" s="45" t="str">
        <f t="shared" si="278"/>
        <v/>
      </c>
      <c r="AW314" s="45" t="str">
        <f t="shared" si="278"/>
        <v/>
      </c>
      <c r="AX314" s="45" t="str">
        <f t="shared" ref="AX314:CC314" si="279">IF(COUNTIFS($E$315:$E$346,"&lt;&gt;",$D$315:$D$346,"A",AX$315:AX$346,"&lt;&gt;")=0,"",IFERROR(SUMPRODUCT(--($E$315:$E$346&lt;&gt;""),--($D$315:$D$346="A"),$O$315:$O$346,AX$315:AX$346)/SUMPRODUCT(--($E$315:$E$346&lt;&gt;""),--($D$315:$D$346="A"),$O$315:$O$346),""))</f>
        <v/>
      </c>
      <c r="AY314" s="45" t="str">
        <f t="shared" si="279"/>
        <v/>
      </c>
      <c r="AZ314" s="45" t="str">
        <f t="shared" si="279"/>
        <v/>
      </c>
      <c r="BA314" s="45" t="str">
        <f t="shared" si="279"/>
        <v/>
      </c>
      <c r="BB314" s="45" t="str">
        <f t="shared" si="279"/>
        <v/>
      </c>
      <c r="BC314" s="45" t="str">
        <f t="shared" si="279"/>
        <v/>
      </c>
      <c r="BD314" s="45" t="str">
        <f t="shared" si="279"/>
        <v/>
      </c>
      <c r="BE314" s="45" t="str">
        <f t="shared" si="279"/>
        <v/>
      </c>
      <c r="BF314" s="45" t="str">
        <f t="shared" si="279"/>
        <v/>
      </c>
      <c r="BG314" s="45" t="str">
        <f t="shared" si="279"/>
        <v/>
      </c>
      <c r="BH314" s="45" t="str">
        <f t="shared" si="279"/>
        <v/>
      </c>
      <c r="BI314" s="45" t="str">
        <f t="shared" si="279"/>
        <v/>
      </c>
      <c r="BJ314" s="45" t="str">
        <f t="shared" si="279"/>
        <v/>
      </c>
      <c r="BK314" s="45" t="str">
        <f t="shared" si="279"/>
        <v/>
      </c>
      <c r="BL314" s="45" t="str">
        <f t="shared" si="279"/>
        <v/>
      </c>
      <c r="BM314" s="45" t="str">
        <f t="shared" si="279"/>
        <v/>
      </c>
      <c r="BN314" s="45" t="str">
        <f t="shared" si="279"/>
        <v/>
      </c>
      <c r="BO314" s="45" t="str">
        <f t="shared" si="279"/>
        <v/>
      </c>
      <c r="BP314" s="45" t="str">
        <f t="shared" si="279"/>
        <v/>
      </c>
      <c r="BQ314" s="45" t="str">
        <f t="shared" si="279"/>
        <v/>
      </c>
      <c r="BR314" s="45" t="str">
        <f t="shared" si="279"/>
        <v/>
      </c>
      <c r="BS314" s="45" t="str">
        <f t="shared" si="279"/>
        <v/>
      </c>
      <c r="BT314" s="45" t="str">
        <f t="shared" si="279"/>
        <v/>
      </c>
      <c r="BU314" s="45" t="str">
        <f t="shared" si="279"/>
        <v/>
      </c>
      <c r="BV314" s="45" t="str">
        <f t="shared" si="279"/>
        <v/>
      </c>
      <c r="BW314" s="45" t="str">
        <f t="shared" si="279"/>
        <v/>
      </c>
      <c r="BX314" s="45" t="str">
        <f t="shared" si="279"/>
        <v/>
      </c>
      <c r="BY314" s="45" t="str">
        <f t="shared" si="279"/>
        <v/>
      </c>
      <c r="BZ314" s="45" t="str">
        <f t="shared" si="279"/>
        <v/>
      </c>
      <c r="CA314" s="45" t="str">
        <f t="shared" si="279"/>
        <v/>
      </c>
      <c r="CB314" s="45" t="str">
        <f t="shared" si="279"/>
        <v/>
      </c>
      <c r="CC314" s="45" t="str">
        <f t="shared" si="279"/>
        <v/>
      </c>
      <c r="CD314" s="45" t="str">
        <f t="shared" ref="CD314:CO314" si="280">IF(COUNTIFS($E$315:$E$346,"&lt;&gt;",$D$315:$D$346,"A",CD$315:CD$346,"&lt;&gt;")=0,"",IFERROR(SUMPRODUCT(--($E$315:$E$346&lt;&gt;""),--($D$315:$D$346="A"),$O$315:$O$346,CD$315:CD$346)/SUMPRODUCT(--($E$315:$E$346&lt;&gt;""),--($D$315:$D$346="A"),$O$315:$O$346),""))</f>
        <v/>
      </c>
      <c r="CE314" s="45" t="str">
        <f t="shared" si="280"/>
        <v/>
      </c>
      <c r="CF314" s="45" t="str">
        <f t="shared" si="280"/>
        <v/>
      </c>
      <c r="CG314" s="45" t="str">
        <f t="shared" si="280"/>
        <v/>
      </c>
      <c r="CH314" s="45" t="str">
        <f t="shared" si="280"/>
        <v/>
      </c>
      <c r="CI314" s="45" t="str">
        <f t="shared" si="280"/>
        <v/>
      </c>
      <c r="CJ314" s="45" t="str">
        <f t="shared" si="280"/>
        <v/>
      </c>
      <c r="CK314" s="45" t="str">
        <f t="shared" si="280"/>
        <v/>
      </c>
      <c r="CL314" s="45" t="str">
        <f t="shared" si="280"/>
        <v/>
      </c>
      <c r="CM314" s="45" t="str">
        <f t="shared" si="280"/>
        <v/>
      </c>
      <c r="CN314" s="45" t="str">
        <f t="shared" si="280"/>
        <v/>
      </c>
      <c r="CO314" s="45" t="str">
        <f t="shared" si="280"/>
        <v/>
      </c>
    </row>
    <row r="315" spans="1:93" outlineLevel="3" x14ac:dyDescent="0.25">
      <c r="A315" s="1" t="s">
        <v>92</v>
      </c>
      <c r="B315" s="1" t="s">
        <v>466</v>
      </c>
      <c r="C315" s="7" t="s">
        <v>315</v>
      </c>
      <c r="D315" s="8" t="s">
        <v>110</v>
      </c>
      <c r="E315" s="1"/>
      <c r="F315" s="1">
        <v>155</v>
      </c>
      <c r="G315" s="1">
        <v>161</v>
      </c>
      <c r="H315" s="1">
        <v>3</v>
      </c>
      <c r="I315" s="9">
        <v>46437.333333333343</v>
      </c>
      <c r="J315" s="9">
        <v>46458.666666666657</v>
      </c>
      <c r="K315" s="9"/>
      <c r="L315" s="9"/>
      <c r="M315" s="3">
        <f t="shared" si="226"/>
        <v>1</v>
      </c>
      <c r="N315" s="3"/>
      <c r="O315" s="5">
        <f>SUMIFS($O$316:$O$319,$A$316:$A$319,"Activity",$D$316:$D$319,"P")</f>
        <v>200000</v>
      </c>
      <c r="P315" s="4"/>
      <c r="Q315" s="5"/>
      <c r="R315" s="45" t="str">
        <f t="shared" ref="R315:AW315" si="281">IF(COUNTIFS($A$317:$A$320,"Activity",$D$317:$D$320,"P",R$317:R$320,"&lt;&gt;")=0,"",IFERROR(SUMPRODUCT(--($A$317:$A$320="Activity"),--($D$317:$D$320="P"),$O$317:$O$320,R$317:R$320)/SUMPRODUCT(--($A$317:$A$320="Activity"),--($D$317:$D$320="P"),$O$317:$O$320),""))</f>
        <v/>
      </c>
      <c r="S315" s="45" t="str">
        <f t="shared" si="281"/>
        <v/>
      </c>
      <c r="T315" s="45" t="str">
        <f t="shared" si="281"/>
        <v/>
      </c>
      <c r="U315" s="45" t="str">
        <f t="shared" si="281"/>
        <v/>
      </c>
      <c r="V315" s="45" t="str">
        <f t="shared" si="281"/>
        <v/>
      </c>
      <c r="W315" s="45" t="str">
        <f t="shared" si="281"/>
        <v/>
      </c>
      <c r="X315" s="45" t="str">
        <f t="shared" si="281"/>
        <v/>
      </c>
      <c r="Y315" s="45" t="str">
        <f t="shared" si="281"/>
        <v/>
      </c>
      <c r="Z315" s="45" t="str">
        <f t="shared" si="281"/>
        <v/>
      </c>
      <c r="AA315" s="45" t="str">
        <f t="shared" si="281"/>
        <v/>
      </c>
      <c r="AB315" s="45" t="str">
        <f t="shared" si="281"/>
        <v/>
      </c>
      <c r="AC315" s="45" t="str">
        <f t="shared" si="281"/>
        <v/>
      </c>
      <c r="AD315" s="45" t="str">
        <f t="shared" si="281"/>
        <v/>
      </c>
      <c r="AE315" s="45" t="str">
        <f t="shared" si="281"/>
        <v/>
      </c>
      <c r="AF315" s="45" t="str">
        <f t="shared" si="281"/>
        <v/>
      </c>
      <c r="AG315" s="45" t="str">
        <f t="shared" si="281"/>
        <v/>
      </c>
      <c r="AH315" s="45" t="str">
        <f t="shared" si="281"/>
        <v/>
      </c>
      <c r="AI315" s="45" t="str">
        <f t="shared" si="281"/>
        <v/>
      </c>
      <c r="AJ315" s="45" t="str">
        <f t="shared" si="281"/>
        <v/>
      </c>
      <c r="AK315" s="45" t="str">
        <f t="shared" si="281"/>
        <v/>
      </c>
      <c r="AL315" s="45" t="str">
        <f t="shared" si="281"/>
        <v/>
      </c>
      <c r="AM315" s="45" t="str">
        <f t="shared" si="281"/>
        <v/>
      </c>
      <c r="AN315" s="45" t="str">
        <f t="shared" si="281"/>
        <v/>
      </c>
      <c r="AO315" s="45" t="str">
        <f t="shared" si="281"/>
        <v/>
      </c>
      <c r="AP315" s="45" t="str">
        <f t="shared" si="281"/>
        <v/>
      </c>
      <c r="AQ315" s="45" t="str">
        <f t="shared" si="281"/>
        <v/>
      </c>
      <c r="AR315" s="45" t="str">
        <f t="shared" si="281"/>
        <v/>
      </c>
      <c r="AS315" s="45" t="str">
        <f t="shared" si="281"/>
        <v/>
      </c>
      <c r="AT315" s="45" t="str">
        <f t="shared" si="281"/>
        <v/>
      </c>
      <c r="AU315" s="45" t="str">
        <f t="shared" si="281"/>
        <v/>
      </c>
      <c r="AV315" s="45" t="str">
        <f t="shared" si="281"/>
        <v/>
      </c>
      <c r="AW315" s="45" t="str">
        <f t="shared" si="281"/>
        <v/>
      </c>
      <c r="AX315" s="45" t="str">
        <f t="shared" ref="AX315:CC315" si="282">IF(COUNTIFS($A$317:$A$320,"Activity",$D$317:$D$320,"P",AX$317:AX$320,"&lt;&gt;")=0,"",IFERROR(SUMPRODUCT(--($A$317:$A$320="Activity"),--($D$317:$D$320="P"),$O$317:$O$320,AX$317:AX$320)/SUMPRODUCT(--($A$317:$A$320="Activity"),--($D$317:$D$320="P"),$O$317:$O$320),""))</f>
        <v/>
      </c>
      <c r="AY315" s="45" t="str">
        <f t="shared" si="282"/>
        <v/>
      </c>
      <c r="AZ315" s="45" t="str">
        <f t="shared" si="282"/>
        <v/>
      </c>
      <c r="BA315" s="45" t="str">
        <f t="shared" si="282"/>
        <v/>
      </c>
      <c r="BB315" s="45" t="str">
        <f t="shared" si="282"/>
        <v/>
      </c>
      <c r="BC315" s="45" t="str">
        <f t="shared" si="282"/>
        <v/>
      </c>
      <c r="BD315" s="45" t="str">
        <f t="shared" si="282"/>
        <v/>
      </c>
      <c r="BE315" s="45" t="str">
        <f t="shared" si="282"/>
        <v/>
      </c>
      <c r="BF315" s="45" t="str">
        <f t="shared" si="282"/>
        <v/>
      </c>
      <c r="BG315" s="45" t="str">
        <f t="shared" si="282"/>
        <v/>
      </c>
      <c r="BH315" s="45" t="str">
        <f t="shared" si="282"/>
        <v/>
      </c>
      <c r="BI315" s="45" t="str">
        <f t="shared" si="282"/>
        <v/>
      </c>
      <c r="BJ315" s="45" t="str">
        <f t="shared" si="282"/>
        <v/>
      </c>
      <c r="BK315" s="45" t="str">
        <f t="shared" si="282"/>
        <v/>
      </c>
      <c r="BL315" s="45" t="str">
        <f t="shared" si="282"/>
        <v/>
      </c>
      <c r="BM315" s="45" t="str">
        <f t="shared" si="282"/>
        <v/>
      </c>
      <c r="BN315" s="45" t="str">
        <f t="shared" si="282"/>
        <v/>
      </c>
      <c r="BO315" s="45" t="str">
        <f t="shared" si="282"/>
        <v/>
      </c>
      <c r="BP315" s="45" t="str">
        <f t="shared" si="282"/>
        <v/>
      </c>
      <c r="BQ315" s="45" t="str">
        <f t="shared" si="282"/>
        <v/>
      </c>
      <c r="BR315" s="45" t="str">
        <f t="shared" si="282"/>
        <v/>
      </c>
      <c r="BS315" s="45" t="str">
        <f t="shared" si="282"/>
        <v/>
      </c>
      <c r="BT315" s="45" t="str">
        <f t="shared" si="282"/>
        <v/>
      </c>
      <c r="BU315" s="45" t="str">
        <f t="shared" si="282"/>
        <v/>
      </c>
      <c r="BV315" s="45">
        <f t="shared" si="282"/>
        <v>3.5714285714285705E-2</v>
      </c>
      <c r="BW315" s="45">
        <f t="shared" si="282"/>
        <v>0.24999999999999992</v>
      </c>
      <c r="BX315" s="45">
        <f t="shared" si="282"/>
        <v>0.42261904761904762</v>
      </c>
      <c r="BY315" s="45">
        <f t="shared" si="282"/>
        <v>0.29166666666666669</v>
      </c>
      <c r="BZ315" s="45" t="str">
        <f t="shared" si="282"/>
        <v/>
      </c>
      <c r="CA315" s="45" t="str">
        <f t="shared" si="282"/>
        <v/>
      </c>
      <c r="CB315" s="45" t="str">
        <f t="shared" si="282"/>
        <v/>
      </c>
      <c r="CC315" s="45" t="str">
        <f t="shared" si="282"/>
        <v/>
      </c>
      <c r="CD315" s="45" t="str">
        <f t="shared" ref="CD315:CO315" si="283">IF(COUNTIFS($A$317:$A$320,"Activity",$D$317:$D$320,"P",CD$317:CD$320,"&lt;&gt;")=0,"",IFERROR(SUMPRODUCT(--($A$317:$A$320="Activity"),--($D$317:$D$320="P"),$O$317:$O$320,CD$317:CD$320)/SUMPRODUCT(--($A$317:$A$320="Activity"),--($D$317:$D$320="P"),$O$317:$O$320),""))</f>
        <v/>
      </c>
      <c r="CE315" s="45" t="str">
        <f t="shared" si="283"/>
        <v/>
      </c>
      <c r="CF315" s="45" t="str">
        <f t="shared" si="283"/>
        <v/>
      </c>
      <c r="CG315" s="45" t="str">
        <f t="shared" si="283"/>
        <v/>
      </c>
      <c r="CH315" s="45" t="str">
        <f t="shared" si="283"/>
        <v/>
      </c>
      <c r="CI315" s="45" t="str">
        <f t="shared" si="283"/>
        <v/>
      </c>
      <c r="CJ315" s="45" t="str">
        <f t="shared" si="283"/>
        <v/>
      </c>
      <c r="CK315" s="45" t="str">
        <f t="shared" si="283"/>
        <v/>
      </c>
      <c r="CL315" s="45" t="str">
        <f t="shared" si="283"/>
        <v/>
      </c>
      <c r="CM315" s="45" t="str">
        <f t="shared" si="283"/>
        <v/>
      </c>
      <c r="CN315" s="45" t="str">
        <f t="shared" si="283"/>
        <v/>
      </c>
      <c r="CO315" s="45" t="str">
        <f t="shared" si="283"/>
        <v/>
      </c>
    </row>
    <row r="316" spans="1:93" outlineLevel="3" x14ac:dyDescent="0.25">
      <c r="A316" s="1"/>
      <c r="B316" s="1"/>
      <c r="C316" s="7"/>
      <c r="D316" s="8" t="s">
        <v>111</v>
      </c>
      <c r="E316" s="1"/>
      <c r="F316" s="1"/>
      <c r="G316" s="1"/>
      <c r="H316" s="1"/>
      <c r="I316" s="9"/>
      <c r="J316" s="9"/>
      <c r="K316" s="9"/>
      <c r="L316" s="9"/>
      <c r="M316" s="3" t="str">
        <f t="shared" si="226"/>
        <v/>
      </c>
      <c r="N316" s="3"/>
      <c r="O316" s="46">
        <f>O315</f>
        <v>200000</v>
      </c>
      <c r="P316" s="4"/>
      <c r="Q316" s="5"/>
      <c r="R316" s="45" t="str">
        <f t="shared" ref="R316:AW316" si="284">IF(COUNTIFS($E$317:$E$320,"&lt;&gt;",$D$317:$D$320,"A",R$317:R$320,"&lt;&gt;")=0,"",IFERROR(SUMPRODUCT(--($E$317:$E$320&lt;&gt;""),--($D$317:$D$320="A"),$O$317:$O$320,R$317:R$320)/SUMPRODUCT(--($E$317:$E$320&lt;&gt;""),--($D$317:$D$320="A"),$O$317:$O$320),""))</f>
        <v/>
      </c>
      <c r="S316" s="45" t="str">
        <f t="shared" si="284"/>
        <v/>
      </c>
      <c r="T316" s="45" t="str">
        <f t="shared" si="284"/>
        <v/>
      </c>
      <c r="U316" s="45" t="str">
        <f t="shared" si="284"/>
        <v/>
      </c>
      <c r="V316" s="45" t="str">
        <f t="shared" si="284"/>
        <v/>
      </c>
      <c r="W316" s="45" t="str">
        <f t="shared" si="284"/>
        <v/>
      </c>
      <c r="X316" s="45" t="str">
        <f t="shared" si="284"/>
        <v/>
      </c>
      <c r="Y316" s="45" t="str">
        <f t="shared" si="284"/>
        <v/>
      </c>
      <c r="Z316" s="45" t="str">
        <f t="shared" si="284"/>
        <v/>
      </c>
      <c r="AA316" s="45" t="str">
        <f t="shared" si="284"/>
        <v/>
      </c>
      <c r="AB316" s="45" t="str">
        <f t="shared" si="284"/>
        <v/>
      </c>
      <c r="AC316" s="45" t="str">
        <f t="shared" si="284"/>
        <v/>
      </c>
      <c r="AD316" s="45" t="str">
        <f t="shared" si="284"/>
        <v/>
      </c>
      <c r="AE316" s="45" t="str">
        <f t="shared" si="284"/>
        <v/>
      </c>
      <c r="AF316" s="45" t="str">
        <f t="shared" si="284"/>
        <v/>
      </c>
      <c r="AG316" s="45" t="str">
        <f t="shared" si="284"/>
        <v/>
      </c>
      <c r="AH316" s="45" t="str">
        <f t="shared" si="284"/>
        <v/>
      </c>
      <c r="AI316" s="45" t="str">
        <f t="shared" si="284"/>
        <v/>
      </c>
      <c r="AJ316" s="45" t="str">
        <f t="shared" si="284"/>
        <v/>
      </c>
      <c r="AK316" s="45" t="str">
        <f t="shared" si="284"/>
        <v/>
      </c>
      <c r="AL316" s="45" t="str">
        <f t="shared" si="284"/>
        <v/>
      </c>
      <c r="AM316" s="45" t="str">
        <f t="shared" si="284"/>
        <v/>
      </c>
      <c r="AN316" s="45" t="str">
        <f t="shared" si="284"/>
        <v/>
      </c>
      <c r="AO316" s="45" t="str">
        <f t="shared" si="284"/>
        <v/>
      </c>
      <c r="AP316" s="45" t="str">
        <f t="shared" si="284"/>
        <v/>
      </c>
      <c r="AQ316" s="45" t="str">
        <f t="shared" si="284"/>
        <v/>
      </c>
      <c r="AR316" s="45" t="str">
        <f t="shared" si="284"/>
        <v/>
      </c>
      <c r="AS316" s="45" t="str">
        <f t="shared" si="284"/>
        <v/>
      </c>
      <c r="AT316" s="45" t="str">
        <f t="shared" si="284"/>
        <v/>
      </c>
      <c r="AU316" s="45" t="str">
        <f t="shared" si="284"/>
        <v/>
      </c>
      <c r="AV316" s="45" t="str">
        <f t="shared" si="284"/>
        <v/>
      </c>
      <c r="AW316" s="45" t="str">
        <f t="shared" si="284"/>
        <v/>
      </c>
      <c r="AX316" s="45" t="str">
        <f t="shared" ref="AX316:CC316" si="285">IF(COUNTIFS($E$317:$E$320,"&lt;&gt;",$D$317:$D$320,"A",AX$317:AX$320,"&lt;&gt;")=0,"",IFERROR(SUMPRODUCT(--($E$317:$E$320&lt;&gt;""),--($D$317:$D$320="A"),$O$317:$O$320,AX$317:AX$320)/SUMPRODUCT(--($E$317:$E$320&lt;&gt;""),--($D$317:$D$320="A"),$O$317:$O$320),""))</f>
        <v/>
      </c>
      <c r="AY316" s="45" t="str">
        <f t="shared" si="285"/>
        <v/>
      </c>
      <c r="AZ316" s="45" t="str">
        <f t="shared" si="285"/>
        <v/>
      </c>
      <c r="BA316" s="45" t="str">
        <f t="shared" si="285"/>
        <v/>
      </c>
      <c r="BB316" s="45" t="str">
        <f t="shared" si="285"/>
        <v/>
      </c>
      <c r="BC316" s="45" t="str">
        <f t="shared" si="285"/>
        <v/>
      </c>
      <c r="BD316" s="45" t="str">
        <f t="shared" si="285"/>
        <v/>
      </c>
      <c r="BE316" s="45" t="str">
        <f t="shared" si="285"/>
        <v/>
      </c>
      <c r="BF316" s="45" t="str">
        <f t="shared" si="285"/>
        <v/>
      </c>
      <c r="BG316" s="45" t="str">
        <f t="shared" si="285"/>
        <v/>
      </c>
      <c r="BH316" s="45" t="str">
        <f t="shared" si="285"/>
        <v/>
      </c>
      <c r="BI316" s="45" t="str">
        <f t="shared" si="285"/>
        <v/>
      </c>
      <c r="BJ316" s="45" t="str">
        <f t="shared" si="285"/>
        <v/>
      </c>
      <c r="BK316" s="45" t="str">
        <f t="shared" si="285"/>
        <v/>
      </c>
      <c r="BL316" s="45" t="str">
        <f t="shared" si="285"/>
        <v/>
      </c>
      <c r="BM316" s="45" t="str">
        <f t="shared" si="285"/>
        <v/>
      </c>
      <c r="BN316" s="45" t="str">
        <f t="shared" si="285"/>
        <v/>
      </c>
      <c r="BO316" s="45" t="str">
        <f t="shared" si="285"/>
        <v/>
      </c>
      <c r="BP316" s="45" t="str">
        <f t="shared" si="285"/>
        <v/>
      </c>
      <c r="BQ316" s="45" t="str">
        <f t="shared" si="285"/>
        <v/>
      </c>
      <c r="BR316" s="45" t="str">
        <f t="shared" si="285"/>
        <v/>
      </c>
      <c r="BS316" s="45" t="str">
        <f t="shared" si="285"/>
        <v/>
      </c>
      <c r="BT316" s="45" t="str">
        <f t="shared" si="285"/>
        <v/>
      </c>
      <c r="BU316" s="45" t="str">
        <f t="shared" si="285"/>
        <v/>
      </c>
      <c r="BV316" s="45" t="str">
        <f t="shared" si="285"/>
        <v/>
      </c>
      <c r="BW316" s="45" t="str">
        <f t="shared" si="285"/>
        <v/>
      </c>
      <c r="BX316" s="45" t="str">
        <f t="shared" si="285"/>
        <v/>
      </c>
      <c r="BY316" s="45" t="str">
        <f t="shared" si="285"/>
        <v/>
      </c>
      <c r="BZ316" s="45" t="str">
        <f t="shared" si="285"/>
        <v/>
      </c>
      <c r="CA316" s="45" t="str">
        <f t="shared" si="285"/>
        <v/>
      </c>
      <c r="CB316" s="45" t="str">
        <f t="shared" si="285"/>
        <v/>
      </c>
      <c r="CC316" s="45" t="str">
        <f t="shared" si="285"/>
        <v/>
      </c>
      <c r="CD316" s="45" t="str">
        <f t="shared" ref="CD316:CO316" si="286">IF(COUNTIFS($E$317:$E$320,"&lt;&gt;",$D$317:$D$320,"A",CD$317:CD$320,"&lt;&gt;")=0,"",IFERROR(SUMPRODUCT(--($E$317:$E$320&lt;&gt;""),--($D$317:$D$320="A"),$O$317:$O$320,CD$317:CD$320)/SUMPRODUCT(--($E$317:$E$320&lt;&gt;""),--($D$317:$D$320="A"),$O$317:$O$320),""))</f>
        <v/>
      </c>
      <c r="CE316" s="45" t="str">
        <f t="shared" si="286"/>
        <v/>
      </c>
      <c r="CF316" s="45" t="str">
        <f t="shared" si="286"/>
        <v/>
      </c>
      <c r="CG316" s="45" t="str">
        <f t="shared" si="286"/>
        <v/>
      </c>
      <c r="CH316" s="45" t="str">
        <f t="shared" si="286"/>
        <v/>
      </c>
      <c r="CI316" s="45" t="str">
        <f t="shared" si="286"/>
        <v/>
      </c>
      <c r="CJ316" s="45" t="str">
        <f t="shared" si="286"/>
        <v/>
      </c>
      <c r="CK316" s="45" t="str">
        <f t="shared" si="286"/>
        <v/>
      </c>
      <c r="CL316" s="45" t="str">
        <f t="shared" si="286"/>
        <v/>
      </c>
      <c r="CM316" s="45" t="str">
        <f t="shared" si="286"/>
        <v/>
      </c>
      <c r="CN316" s="45" t="str">
        <f t="shared" si="286"/>
        <v/>
      </c>
      <c r="CO316" s="45" t="str">
        <f t="shared" si="286"/>
        <v/>
      </c>
    </row>
    <row r="317" spans="1:93" outlineLevel="4" x14ac:dyDescent="0.25">
      <c r="A317" s="10" t="s">
        <v>116</v>
      </c>
      <c r="B317" s="10" t="s">
        <v>467</v>
      </c>
      <c r="C317" s="24" t="s">
        <v>317</v>
      </c>
      <c r="D317" s="12" t="s">
        <v>110</v>
      </c>
      <c r="E317" s="10" t="s">
        <v>468</v>
      </c>
      <c r="F317" s="10">
        <v>156</v>
      </c>
      <c r="G317" s="10">
        <v>162</v>
      </c>
      <c r="H317" s="10">
        <v>4</v>
      </c>
      <c r="I317" s="13">
        <v>46447.333333333343</v>
      </c>
      <c r="J317" s="13">
        <v>46458.666666666657</v>
      </c>
      <c r="K317" s="13"/>
      <c r="L317" s="13"/>
      <c r="M317" s="14">
        <f t="shared" si="226"/>
        <v>1</v>
      </c>
      <c r="N317" s="14"/>
      <c r="O317" s="16">
        <v>100000</v>
      </c>
      <c r="P317" s="15">
        <v>6.1333333333333337</v>
      </c>
      <c r="Q317" s="16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>
        <v>0.41666666666666657</v>
      </c>
      <c r="BY317" s="47">
        <v>0.58333333333333337</v>
      </c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</row>
    <row r="318" spans="1:93" outlineLevel="4" x14ac:dyDescent="0.25">
      <c r="A318" s="17"/>
      <c r="B318" s="17"/>
      <c r="C318" s="25"/>
      <c r="D318" s="19" t="s">
        <v>111</v>
      </c>
      <c r="E318" s="17" t="s">
        <v>468</v>
      </c>
      <c r="F318" s="17"/>
      <c r="G318" s="17"/>
      <c r="H318" s="17"/>
      <c r="I318" s="20"/>
      <c r="J318" s="20"/>
      <c r="K318" s="20"/>
      <c r="L318" s="20"/>
      <c r="M318" s="21" t="str">
        <f t="shared" si="226"/>
        <v/>
      </c>
      <c r="N318" s="21">
        <v>0</v>
      </c>
      <c r="O318" s="48">
        <f>O317</f>
        <v>100000</v>
      </c>
      <c r="P318" s="22"/>
      <c r="Q318" s="23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</row>
    <row r="319" spans="1:93" outlineLevel="4" x14ac:dyDescent="0.25">
      <c r="A319" s="10" t="s">
        <v>116</v>
      </c>
      <c r="B319" s="10" t="s">
        <v>469</v>
      </c>
      <c r="C319" s="24" t="s">
        <v>323</v>
      </c>
      <c r="D319" s="12" t="s">
        <v>110</v>
      </c>
      <c r="E319" s="10" t="s">
        <v>470</v>
      </c>
      <c r="F319" s="10">
        <v>157</v>
      </c>
      <c r="G319" s="10">
        <v>163</v>
      </c>
      <c r="H319" s="10">
        <v>4</v>
      </c>
      <c r="I319" s="13">
        <v>46437.333333333343</v>
      </c>
      <c r="J319" s="13">
        <v>46450.666666666657</v>
      </c>
      <c r="K319" s="13"/>
      <c r="L319" s="13"/>
      <c r="M319" s="14">
        <f t="shared" si="226"/>
        <v>0.99999999999999989</v>
      </c>
      <c r="N319" s="14"/>
      <c r="O319" s="16">
        <v>100000</v>
      </c>
      <c r="P319" s="15">
        <v>0</v>
      </c>
      <c r="Q319" s="16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>
        <v>7.1428571428571411E-2</v>
      </c>
      <c r="BW319" s="47">
        <v>0.49999999999999989</v>
      </c>
      <c r="BX319" s="47">
        <v>0.4285714285714286</v>
      </c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</row>
    <row r="320" spans="1:93" outlineLevel="4" x14ac:dyDescent="0.25">
      <c r="A320" s="17"/>
      <c r="B320" s="17"/>
      <c r="C320" s="25"/>
      <c r="D320" s="19" t="s">
        <v>111</v>
      </c>
      <c r="E320" s="17" t="s">
        <v>470</v>
      </c>
      <c r="F320" s="17"/>
      <c r="G320" s="17"/>
      <c r="H320" s="17"/>
      <c r="I320" s="20"/>
      <c r="J320" s="20"/>
      <c r="K320" s="20"/>
      <c r="L320" s="20"/>
      <c r="M320" s="21" t="str">
        <f t="shared" si="226"/>
        <v/>
      </c>
      <c r="N320" s="21">
        <v>0</v>
      </c>
      <c r="O320" s="48">
        <f>O319</f>
        <v>100000</v>
      </c>
      <c r="P320" s="22"/>
      <c r="Q320" s="23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</row>
    <row r="321" spans="1:93" outlineLevel="3" x14ac:dyDescent="0.25">
      <c r="A321" s="1" t="s">
        <v>92</v>
      </c>
      <c r="B321" s="1" t="s">
        <v>471</v>
      </c>
      <c r="C321" s="7" t="s">
        <v>326</v>
      </c>
      <c r="D321" s="8" t="s">
        <v>110</v>
      </c>
      <c r="E321" s="1"/>
      <c r="F321" s="1">
        <v>158</v>
      </c>
      <c r="G321" s="1">
        <v>164</v>
      </c>
      <c r="H321" s="1">
        <v>3</v>
      </c>
      <c r="I321" s="9">
        <v>46451.333333333343</v>
      </c>
      <c r="J321" s="9">
        <v>46472.666666666657</v>
      </c>
      <c r="K321" s="9"/>
      <c r="L321" s="9"/>
      <c r="M321" s="3">
        <f t="shared" si="226"/>
        <v>1</v>
      </c>
      <c r="N321" s="3"/>
      <c r="O321" s="5">
        <f>SUMIFS($O$322:$O$325,$A$322:$A$325,"Activity",$D$322:$D$325,"P")</f>
        <v>200000</v>
      </c>
      <c r="P321" s="4"/>
      <c r="Q321" s="5"/>
      <c r="R321" s="45" t="str">
        <f t="shared" ref="R321:AW321" si="287">IF(COUNTIFS($A$323:$A$326,"Activity",$D$323:$D$326,"P",R$323:R$326,"&lt;&gt;")=0,"",IFERROR(SUMPRODUCT(--($A$323:$A$326="Activity"),--($D$323:$D$326="P"),$O$323:$O$326,R$323:R$326)/SUMPRODUCT(--($A$323:$A$326="Activity"),--($D$323:$D$326="P"),$O$323:$O$326),""))</f>
        <v/>
      </c>
      <c r="S321" s="45" t="str">
        <f t="shared" si="287"/>
        <v/>
      </c>
      <c r="T321" s="45" t="str">
        <f t="shared" si="287"/>
        <v/>
      </c>
      <c r="U321" s="45" t="str">
        <f t="shared" si="287"/>
        <v/>
      </c>
      <c r="V321" s="45" t="str">
        <f t="shared" si="287"/>
        <v/>
      </c>
      <c r="W321" s="45" t="str">
        <f t="shared" si="287"/>
        <v/>
      </c>
      <c r="X321" s="45" t="str">
        <f t="shared" si="287"/>
        <v/>
      </c>
      <c r="Y321" s="45" t="str">
        <f t="shared" si="287"/>
        <v/>
      </c>
      <c r="Z321" s="45" t="str">
        <f t="shared" si="287"/>
        <v/>
      </c>
      <c r="AA321" s="45" t="str">
        <f t="shared" si="287"/>
        <v/>
      </c>
      <c r="AB321" s="45" t="str">
        <f t="shared" si="287"/>
        <v/>
      </c>
      <c r="AC321" s="45" t="str">
        <f t="shared" si="287"/>
        <v/>
      </c>
      <c r="AD321" s="45" t="str">
        <f t="shared" si="287"/>
        <v/>
      </c>
      <c r="AE321" s="45" t="str">
        <f t="shared" si="287"/>
        <v/>
      </c>
      <c r="AF321" s="45" t="str">
        <f t="shared" si="287"/>
        <v/>
      </c>
      <c r="AG321" s="45" t="str">
        <f t="shared" si="287"/>
        <v/>
      </c>
      <c r="AH321" s="45" t="str">
        <f t="shared" si="287"/>
        <v/>
      </c>
      <c r="AI321" s="45" t="str">
        <f t="shared" si="287"/>
        <v/>
      </c>
      <c r="AJ321" s="45" t="str">
        <f t="shared" si="287"/>
        <v/>
      </c>
      <c r="AK321" s="45" t="str">
        <f t="shared" si="287"/>
        <v/>
      </c>
      <c r="AL321" s="45" t="str">
        <f t="shared" si="287"/>
        <v/>
      </c>
      <c r="AM321" s="45" t="str">
        <f t="shared" si="287"/>
        <v/>
      </c>
      <c r="AN321" s="45" t="str">
        <f t="shared" si="287"/>
        <v/>
      </c>
      <c r="AO321" s="45" t="str">
        <f t="shared" si="287"/>
        <v/>
      </c>
      <c r="AP321" s="45" t="str">
        <f t="shared" si="287"/>
        <v/>
      </c>
      <c r="AQ321" s="45" t="str">
        <f t="shared" si="287"/>
        <v/>
      </c>
      <c r="AR321" s="45" t="str">
        <f t="shared" si="287"/>
        <v/>
      </c>
      <c r="AS321" s="45" t="str">
        <f t="shared" si="287"/>
        <v/>
      </c>
      <c r="AT321" s="45" t="str">
        <f t="shared" si="287"/>
        <v/>
      </c>
      <c r="AU321" s="45" t="str">
        <f t="shared" si="287"/>
        <v/>
      </c>
      <c r="AV321" s="45" t="str">
        <f t="shared" si="287"/>
        <v/>
      </c>
      <c r="AW321" s="45" t="str">
        <f t="shared" si="287"/>
        <v/>
      </c>
      <c r="AX321" s="45" t="str">
        <f t="shared" ref="AX321:CC321" si="288">IF(COUNTIFS($A$323:$A$326,"Activity",$D$323:$D$326,"P",AX$323:AX$326,"&lt;&gt;")=0,"",IFERROR(SUMPRODUCT(--($A$323:$A$326="Activity"),--($D$323:$D$326="P"),$O$323:$O$326,AX$323:AX$326)/SUMPRODUCT(--($A$323:$A$326="Activity"),--($D$323:$D$326="P"),$O$323:$O$326),""))</f>
        <v/>
      </c>
      <c r="AY321" s="45" t="str">
        <f t="shared" si="288"/>
        <v/>
      </c>
      <c r="AZ321" s="45" t="str">
        <f t="shared" si="288"/>
        <v/>
      </c>
      <c r="BA321" s="45" t="str">
        <f t="shared" si="288"/>
        <v/>
      </c>
      <c r="BB321" s="45" t="str">
        <f t="shared" si="288"/>
        <v/>
      </c>
      <c r="BC321" s="45" t="str">
        <f t="shared" si="288"/>
        <v/>
      </c>
      <c r="BD321" s="45" t="str">
        <f t="shared" si="288"/>
        <v/>
      </c>
      <c r="BE321" s="45" t="str">
        <f t="shared" si="288"/>
        <v/>
      </c>
      <c r="BF321" s="45" t="str">
        <f t="shared" si="288"/>
        <v/>
      </c>
      <c r="BG321" s="45" t="str">
        <f t="shared" si="288"/>
        <v/>
      </c>
      <c r="BH321" s="45" t="str">
        <f t="shared" si="288"/>
        <v/>
      </c>
      <c r="BI321" s="45" t="str">
        <f t="shared" si="288"/>
        <v/>
      </c>
      <c r="BJ321" s="45" t="str">
        <f t="shared" si="288"/>
        <v/>
      </c>
      <c r="BK321" s="45" t="str">
        <f t="shared" si="288"/>
        <v/>
      </c>
      <c r="BL321" s="45" t="str">
        <f t="shared" si="288"/>
        <v/>
      </c>
      <c r="BM321" s="45" t="str">
        <f t="shared" si="288"/>
        <v/>
      </c>
      <c r="BN321" s="45" t="str">
        <f t="shared" si="288"/>
        <v/>
      </c>
      <c r="BO321" s="45" t="str">
        <f t="shared" si="288"/>
        <v/>
      </c>
      <c r="BP321" s="45" t="str">
        <f t="shared" si="288"/>
        <v/>
      </c>
      <c r="BQ321" s="45" t="str">
        <f t="shared" si="288"/>
        <v/>
      </c>
      <c r="BR321" s="45" t="str">
        <f t="shared" si="288"/>
        <v/>
      </c>
      <c r="BS321" s="45" t="str">
        <f t="shared" si="288"/>
        <v/>
      </c>
      <c r="BT321" s="45" t="str">
        <f t="shared" si="288"/>
        <v/>
      </c>
      <c r="BU321" s="45" t="str">
        <f t="shared" si="288"/>
        <v/>
      </c>
      <c r="BV321" s="45" t="str">
        <f t="shared" si="288"/>
        <v/>
      </c>
      <c r="BW321" s="45" t="str">
        <f t="shared" si="288"/>
        <v/>
      </c>
      <c r="BX321" s="45">
        <f t="shared" si="288"/>
        <v>3.5714285714285705E-2</v>
      </c>
      <c r="BY321" s="45">
        <f t="shared" si="288"/>
        <v>0.24999999999999992</v>
      </c>
      <c r="BZ321" s="45">
        <f t="shared" si="288"/>
        <v>0.42261904761904762</v>
      </c>
      <c r="CA321" s="45">
        <f t="shared" si="288"/>
        <v>0.29166666666666669</v>
      </c>
      <c r="CB321" s="45" t="str">
        <f t="shared" si="288"/>
        <v/>
      </c>
      <c r="CC321" s="45" t="str">
        <f t="shared" si="288"/>
        <v/>
      </c>
      <c r="CD321" s="45" t="str">
        <f t="shared" ref="CD321:CO321" si="289">IF(COUNTIFS($A$323:$A$326,"Activity",$D$323:$D$326,"P",CD$323:CD$326,"&lt;&gt;")=0,"",IFERROR(SUMPRODUCT(--($A$323:$A$326="Activity"),--($D$323:$D$326="P"),$O$323:$O$326,CD$323:CD$326)/SUMPRODUCT(--($A$323:$A$326="Activity"),--($D$323:$D$326="P"),$O$323:$O$326),""))</f>
        <v/>
      </c>
      <c r="CE321" s="45" t="str">
        <f t="shared" si="289"/>
        <v/>
      </c>
      <c r="CF321" s="45" t="str">
        <f t="shared" si="289"/>
        <v/>
      </c>
      <c r="CG321" s="45" t="str">
        <f t="shared" si="289"/>
        <v/>
      </c>
      <c r="CH321" s="45" t="str">
        <f t="shared" si="289"/>
        <v/>
      </c>
      <c r="CI321" s="45" t="str">
        <f t="shared" si="289"/>
        <v/>
      </c>
      <c r="CJ321" s="45" t="str">
        <f t="shared" si="289"/>
        <v/>
      </c>
      <c r="CK321" s="45" t="str">
        <f t="shared" si="289"/>
        <v/>
      </c>
      <c r="CL321" s="45" t="str">
        <f t="shared" si="289"/>
        <v/>
      </c>
      <c r="CM321" s="45" t="str">
        <f t="shared" si="289"/>
        <v/>
      </c>
      <c r="CN321" s="45" t="str">
        <f t="shared" si="289"/>
        <v/>
      </c>
      <c r="CO321" s="45" t="str">
        <f t="shared" si="289"/>
        <v/>
      </c>
    </row>
    <row r="322" spans="1:93" outlineLevel="3" x14ac:dyDescent="0.25">
      <c r="A322" s="1"/>
      <c r="B322" s="1"/>
      <c r="C322" s="7"/>
      <c r="D322" s="8" t="s">
        <v>111</v>
      </c>
      <c r="E322" s="1"/>
      <c r="F322" s="1"/>
      <c r="G322" s="1"/>
      <c r="H322" s="1"/>
      <c r="I322" s="9"/>
      <c r="J322" s="9"/>
      <c r="K322" s="9"/>
      <c r="L322" s="9"/>
      <c r="M322" s="3" t="str">
        <f t="shared" si="226"/>
        <v/>
      </c>
      <c r="N322" s="3"/>
      <c r="O322" s="46">
        <f>O321</f>
        <v>200000</v>
      </c>
      <c r="P322" s="4"/>
      <c r="Q322" s="5"/>
      <c r="R322" s="45" t="str">
        <f t="shared" ref="R322:AW322" si="290">IF(COUNTIFS($E$323:$E$326,"&lt;&gt;",$D$323:$D$326,"A",R$323:R$326,"&lt;&gt;")=0,"",IFERROR(SUMPRODUCT(--($E$323:$E$326&lt;&gt;""),--($D$323:$D$326="A"),$O$323:$O$326,R$323:R$326)/SUMPRODUCT(--($E$323:$E$326&lt;&gt;""),--($D$323:$D$326="A"),$O$323:$O$326),""))</f>
        <v/>
      </c>
      <c r="S322" s="45" t="str">
        <f t="shared" si="290"/>
        <v/>
      </c>
      <c r="T322" s="45" t="str">
        <f t="shared" si="290"/>
        <v/>
      </c>
      <c r="U322" s="45" t="str">
        <f t="shared" si="290"/>
        <v/>
      </c>
      <c r="V322" s="45" t="str">
        <f t="shared" si="290"/>
        <v/>
      </c>
      <c r="W322" s="45" t="str">
        <f t="shared" si="290"/>
        <v/>
      </c>
      <c r="X322" s="45" t="str">
        <f t="shared" si="290"/>
        <v/>
      </c>
      <c r="Y322" s="45" t="str">
        <f t="shared" si="290"/>
        <v/>
      </c>
      <c r="Z322" s="45" t="str">
        <f t="shared" si="290"/>
        <v/>
      </c>
      <c r="AA322" s="45" t="str">
        <f t="shared" si="290"/>
        <v/>
      </c>
      <c r="AB322" s="45" t="str">
        <f t="shared" si="290"/>
        <v/>
      </c>
      <c r="AC322" s="45" t="str">
        <f t="shared" si="290"/>
        <v/>
      </c>
      <c r="AD322" s="45" t="str">
        <f t="shared" si="290"/>
        <v/>
      </c>
      <c r="AE322" s="45" t="str">
        <f t="shared" si="290"/>
        <v/>
      </c>
      <c r="AF322" s="45" t="str">
        <f t="shared" si="290"/>
        <v/>
      </c>
      <c r="AG322" s="45" t="str">
        <f t="shared" si="290"/>
        <v/>
      </c>
      <c r="AH322" s="45" t="str">
        <f t="shared" si="290"/>
        <v/>
      </c>
      <c r="AI322" s="45" t="str">
        <f t="shared" si="290"/>
        <v/>
      </c>
      <c r="AJ322" s="45" t="str">
        <f t="shared" si="290"/>
        <v/>
      </c>
      <c r="AK322" s="45" t="str">
        <f t="shared" si="290"/>
        <v/>
      </c>
      <c r="AL322" s="45" t="str">
        <f t="shared" si="290"/>
        <v/>
      </c>
      <c r="AM322" s="45" t="str">
        <f t="shared" si="290"/>
        <v/>
      </c>
      <c r="AN322" s="45" t="str">
        <f t="shared" si="290"/>
        <v/>
      </c>
      <c r="AO322" s="45" t="str">
        <f t="shared" si="290"/>
        <v/>
      </c>
      <c r="AP322" s="45" t="str">
        <f t="shared" si="290"/>
        <v/>
      </c>
      <c r="AQ322" s="45" t="str">
        <f t="shared" si="290"/>
        <v/>
      </c>
      <c r="AR322" s="45" t="str">
        <f t="shared" si="290"/>
        <v/>
      </c>
      <c r="AS322" s="45" t="str">
        <f t="shared" si="290"/>
        <v/>
      </c>
      <c r="AT322" s="45" t="str">
        <f t="shared" si="290"/>
        <v/>
      </c>
      <c r="AU322" s="45" t="str">
        <f t="shared" si="290"/>
        <v/>
      </c>
      <c r="AV322" s="45" t="str">
        <f t="shared" si="290"/>
        <v/>
      </c>
      <c r="AW322" s="45" t="str">
        <f t="shared" si="290"/>
        <v/>
      </c>
      <c r="AX322" s="45" t="str">
        <f t="shared" ref="AX322:CC322" si="291">IF(COUNTIFS($E$323:$E$326,"&lt;&gt;",$D$323:$D$326,"A",AX$323:AX$326,"&lt;&gt;")=0,"",IFERROR(SUMPRODUCT(--($E$323:$E$326&lt;&gt;""),--($D$323:$D$326="A"),$O$323:$O$326,AX$323:AX$326)/SUMPRODUCT(--($E$323:$E$326&lt;&gt;""),--($D$323:$D$326="A"),$O$323:$O$326),""))</f>
        <v/>
      </c>
      <c r="AY322" s="45" t="str">
        <f t="shared" si="291"/>
        <v/>
      </c>
      <c r="AZ322" s="45" t="str">
        <f t="shared" si="291"/>
        <v/>
      </c>
      <c r="BA322" s="45" t="str">
        <f t="shared" si="291"/>
        <v/>
      </c>
      <c r="BB322" s="45" t="str">
        <f t="shared" si="291"/>
        <v/>
      </c>
      <c r="BC322" s="45" t="str">
        <f t="shared" si="291"/>
        <v/>
      </c>
      <c r="BD322" s="45" t="str">
        <f t="shared" si="291"/>
        <v/>
      </c>
      <c r="BE322" s="45" t="str">
        <f t="shared" si="291"/>
        <v/>
      </c>
      <c r="BF322" s="45" t="str">
        <f t="shared" si="291"/>
        <v/>
      </c>
      <c r="BG322" s="45" t="str">
        <f t="shared" si="291"/>
        <v/>
      </c>
      <c r="BH322" s="45" t="str">
        <f t="shared" si="291"/>
        <v/>
      </c>
      <c r="BI322" s="45" t="str">
        <f t="shared" si="291"/>
        <v/>
      </c>
      <c r="BJ322" s="45" t="str">
        <f t="shared" si="291"/>
        <v/>
      </c>
      <c r="BK322" s="45" t="str">
        <f t="shared" si="291"/>
        <v/>
      </c>
      <c r="BL322" s="45" t="str">
        <f t="shared" si="291"/>
        <v/>
      </c>
      <c r="BM322" s="45" t="str">
        <f t="shared" si="291"/>
        <v/>
      </c>
      <c r="BN322" s="45" t="str">
        <f t="shared" si="291"/>
        <v/>
      </c>
      <c r="BO322" s="45" t="str">
        <f t="shared" si="291"/>
        <v/>
      </c>
      <c r="BP322" s="45" t="str">
        <f t="shared" si="291"/>
        <v/>
      </c>
      <c r="BQ322" s="45" t="str">
        <f t="shared" si="291"/>
        <v/>
      </c>
      <c r="BR322" s="45" t="str">
        <f t="shared" si="291"/>
        <v/>
      </c>
      <c r="BS322" s="45" t="str">
        <f t="shared" si="291"/>
        <v/>
      </c>
      <c r="BT322" s="45" t="str">
        <f t="shared" si="291"/>
        <v/>
      </c>
      <c r="BU322" s="45" t="str">
        <f t="shared" si="291"/>
        <v/>
      </c>
      <c r="BV322" s="45" t="str">
        <f t="shared" si="291"/>
        <v/>
      </c>
      <c r="BW322" s="45" t="str">
        <f t="shared" si="291"/>
        <v/>
      </c>
      <c r="BX322" s="45" t="str">
        <f t="shared" si="291"/>
        <v/>
      </c>
      <c r="BY322" s="45" t="str">
        <f t="shared" si="291"/>
        <v/>
      </c>
      <c r="BZ322" s="45" t="str">
        <f t="shared" si="291"/>
        <v/>
      </c>
      <c r="CA322" s="45" t="str">
        <f t="shared" si="291"/>
        <v/>
      </c>
      <c r="CB322" s="45" t="str">
        <f t="shared" si="291"/>
        <v/>
      </c>
      <c r="CC322" s="45" t="str">
        <f t="shared" si="291"/>
        <v/>
      </c>
      <c r="CD322" s="45" t="str">
        <f t="shared" ref="CD322:CO322" si="292">IF(COUNTIFS($E$323:$E$326,"&lt;&gt;",$D$323:$D$326,"A",CD$323:CD$326,"&lt;&gt;")=0,"",IFERROR(SUMPRODUCT(--($E$323:$E$326&lt;&gt;""),--($D$323:$D$326="A"),$O$323:$O$326,CD$323:CD$326)/SUMPRODUCT(--($E$323:$E$326&lt;&gt;""),--($D$323:$D$326="A"),$O$323:$O$326),""))</f>
        <v/>
      </c>
      <c r="CE322" s="45" t="str">
        <f t="shared" si="292"/>
        <v/>
      </c>
      <c r="CF322" s="45" t="str">
        <f t="shared" si="292"/>
        <v/>
      </c>
      <c r="CG322" s="45" t="str">
        <f t="shared" si="292"/>
        <v/>
      </c>
      <c r="CH322" s="45" t="str">
        <f t="shared" si="292"/>
        <v/>
      </c>
      <c r="CI322" s="45" t="str">
        <f t="shared" si="292"/>
        <v/>
      </c>
      <c r="CJ322" s="45" t="str">
        <f t="shared" si="292"/>
        <v/>
      </c>
      <c r="CK322" s="45" t="str">
        <f t="shared" si="292"/>
        <v/>
      </c>
      <c r="CL322" s="45" t="str">
        <f t="shared" si="292"/>
        <v/>
      </c>
      <c r="CM322" s="45" t="str">
        <f t="shared" si="292"/>
        <v/>
      </c>
      <c r="CN322" s="45" t="str">
        <f t="shared" si="292"/>
        <v/>
      </c>
      <c r="CO322" s="45" t="str">
        <f t="shared" si="292"/>
        <v/>
      </c>
    </row>
    <row r="323" spans="1:93" outlineLevel="4" x14ac:dyDescent="0.25">
      <c r="A323" s="10" t="s">
        <v>116</v>
      </c>
      <c r="B323" s="10" t="s">
        <v>472</v>
      </c>
      <c r="C323" s="24" t="s">
        <v>473</v>
      </c>
      <c r="D323" s="12" t="s">
        <v>110</v>
      </c>
      <c r="E323" s="10" t="s">
        <v>474</v>
      </c>
      <c r="F323" s="10">
        <v>159</v>
      </c>
      <c r="G323" s="10">
        <v>165</v>
      </c>
      <c r="H323" s="10">
        <v>4</v>
      </c>
      <c r="I323" s="13">
        <v>46461.333333333343</v>
      </c>
      <c r="J323" s="13">
        <v>46472.666666666657</v>
      </c>
      <c r="K323" s="13"/>
      <c r="L323" s="13"/>
      <c r="M323" s="14">
        <f t="shared" si="226"/>
        <v>1</v>
      </c>
      <c r="N323" s="14"/>
      <c r="O323" s="16">
        <v>100000</v>
      </c>
      <c r="P323" s="15">
        <v>6.1333333333333337</v>
      </c>
      <c r="Q323" s="16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>
        <v>0.41666666666666657</v>
      </c>
      <c r="CA323" s="47">
        <v>0.58333333333333337</v>
      </c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</row>
    <row r="324" spans="1:93" outlineLevel="4" x14ac:dyDescent="0.25">
      <c r="A324" s="17"/>
      <c r="B324" s="17"/>
      <c r="C324" s="25"/>
      <c r="D324" s="19" t="s">
        <v>111</v>
      </c>
      <c r="E324" s="17" t="s">
        <v>474</v>
      </c>
      <c r="F324" s="17"/>
      <c r="G324" s="17"/>
      <c r="H324" s="17"/>
      <c r="I324" s="20"/>
      <c r="J324" s="20"/>
      <c r="K324" s="20"/>
      <c r="L324" s="20"/>
      <c r="M324" s="21" t="str">
        <f t="shared" si="226"/>
        <v/>
      </c>
      <c r="N324" s="21">
        <v>0</v>
      </c>
      <c r="O324" s="48">
        <f>O323</f>
        <v>100000</v>
      </c>
      <c r="P324" s="22"/>
      <c r="Q324" s="23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</row>
    <row r="325" spans="1:93" outlineLevel="4" x14ac:dyDescent="0.25">
      <c r="A325" s="10" t="s">
        <v>116</v>
      </c>
      <c r="B325" s="10" t="s">
        <v>475</v>
      </c>
      <c r="C325" s="24" t="s">
        <v>334</v>
      </c>
      <c r="D325" s="12" t="s">
        <v>110</v>
      </c>
      <c r="E325" s="10" t="s">
        <v>476</v>
      </c>
      <c r="F325" s="10">
        <v>160</v>
      </c>
      <c r="G325" s="10">
        <v>166</v>
      </c>
      <c r="H325" s="10">
        <v>4</v>
      </c>
      <c r="I325" s="13">
        <v>46451.333333333343</v>
      </c>
      <c r="J325" s="13">
        <v>46464.666666666657</v>
      </c>
      <c r="K325" s="13"/>
      <c r="L325" s="13"/>
      <c r="M325" s="14">
        <f t="shared" ref="M325:M388" si="293">IF(COUNT(R325:CO325)=0,"",SUM(R325:CO325))</f>
        <v>0.99999999999999989</v>
      </c>
      <c r="N325" s="14"/>
      <c r="O325" s="16">
        <v>100000</v>
      </c>
      <c r="P325" s="15">
        <v>0</v>
      </c>
      <c r="Q325" s="16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>
        <v>7.1428571428571411E-2</v>
      </c>
      <c r="BY325" s="47">
        <v>0.49999999999999989</v>
      </c>
      <c r="BZ325" s="47">
        <v>0.4285714285714286</v>
      </c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</row>
    <row r="326" spans="1:93" outlineLevel="4" x14ac:dyDescent="0.25">
      <c r="A326" s="17"/>
      <c r="B326" s="17"/>
      <c r="C326" s="25"/>
      <c r="D326" s="19" t="s">
        <v>111</v>
      </c>
      <c r="E326" s="17" t="s">
        <v>476</v>
      </c>
      <c r="F326" s="17"/>
      <c r="G326" s="17"/>
      <c r="H326" s="17"/>
      <c r="I326" s="20"/>
      <c r="J326" s="20"/>
      <c r="K326" s="20"/>
      <c r="L326" s="20"/>
      <c r="M326" s="21" t="str">
        <f t="shared" si="293"/>
        <v/>
      </c>
      <c r="N326" s="21">
        <v>0</v>
      </c>
      <c r="O326" s="48">
        <f>O325</f>
        <v>100000</v>
      </c>
      <c r="P326" s="22"/>
      <c r="Q326" s="23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</row>
    <row r="327" spans="1:93" outlineLevel="3" x14ac:dyDescent="0.25">
      <c r="A327" s="1" t="s">
        <v>92</v>
      </c>
      <c r="B327" s="1" t="s">
        <v>477</v>
      </c>
      <c r="C327" s="7" t="s">
        <v>337</v>
      </c>
      <c r="D327" s="8" t="s">
        <v>110</v>
      </c>
      <c r="E327" s="1"/>
      <c r="F327" s="1">
        <v>161</v>
      </c>
      <c r="G327" s="1">
        <v>167</v>
      </c>
      <c r="H327" s="1">
        <v>3</v>
      </c>
      <c r="I327" s="9">
        <v>46465.333333333343</v>
      </c>
      <c r="J327" s="9">
        <v>46534.666666666657</v>
      </c>
      <c r="K327" s="9"/>
      <c r="L327" s="9"/>
      <c r="M327" s="3">
        <f t="shared" si="293"/>
        <v>0.99999999999999989</v>
      </c>
      <c r="N327" s="3"/>
      <c r="O327" s="5">
        <f>SUMIFS($O$328:$O$333,$A$328:$A$333,"Activity",$D$328:$D$333,"P")</f>
        <v>300000</v>
      </c>
      <c r="P327" s="4"/>
      <c r="Q327" s="5"/>
      <c r="R327" s="45" t="str">
        <f t="shared" ref="R327:AW327" si="294">IF(COUNTIFS($A$329:$A$334,"Activity",$D$329:$D$334,"P",R$329:R$334,"&lt;&gt;")=0,"",IFERROR(SUMPRODUCT(--($A$329:$A$334="Activity"),--($D$329:$D$334="P"),$O$329:$O$334,R$329:R$334)/SUMPRODUCT(--($A$329:$A$334="Activity"),--($D$329:$D$334="P"),$O$329:$O$334),""))</f>
        <v/>
      </c>
      <c r="S327" s="45" t="str">
        <f t="shared" si="294"/>
        <v/>
      </c>
      <c r="T327" s="45" t="str">
        <f t="shared" si="294"/>
        <v/>
      </c>
      <c r="U327" s="45" t="str">
        <f t="shared" si="294"/>
        <v/>
      </c>
      <c r="V327" s="45" t="str">
        <f t="shared" si="294"/>
        <v/>
      </c>
      <c r="W327" s="45" t="str">
        <f t="shared" si="294"/>
        <v/>
      </c>
      <c r="X327" s="45" t="str">
        <f t="shared" si="294"/>
        <v/>
      </c>
      <c r="Y327" s="45" t="str">
        <f t="shared" si="294"/>
        <v/>
      </c>
      <c r="Z327" s="45" t="str">
        <f t="shared" si="294"/>
        <v/>
      </c>
      <c r="AA327" s="45" t="str">
        <f t="shared" si="294"/>
        <v/>
      </c>
      <c r="AB327" s="45" t="str">
        <f t="shared" si="294"/>
        <v/>
      </c>
      <c r="AC327" s="45" t="str">
        <f t="shared" si="294"/>
        <v/>
      </c>
      <c r="AD327" s="45" t="str">
        <f t="shared" si="294"/>
        <v/>
      </c>
      <c r="AE327" s="45" t="str">
        <f t="shared" si="294"/>
        <v/>
      </c>
      <c r="AF327" s="45" t="str">
        <f t="shared" si="294"/>
        <v/>
      </c>
      <c r="AG327" s="45" t="str">
        <f t="shared" si="294"/>
        <v/>
      </c>
      <c r="AH327" s="45" t="str">
        <f t="shared" si="294"/>
        <v/>
      </c>
      <c r="AI327" s="45" t="str">
        <f t="shared" si="294"/>
        <v/>
      </c>
      <c r="AJ327" s="45" t="str">
        <f t="shared" si="294"/>
        <v/>
      </c>
      <c r="AK327" s="45" t="str">
        <f t="shared" si="294"/>
        <v/>
      </c>
      <c r="AL327" s="45" t="str">
        <f t="shared" si="294"/>
        <v/>
      </c>
      <c r="AM327" s="45" t="str">
        <f t="shared" si="294"/>
        <v/>
      </c>
      <c r="AN327" s="45" t="str">
        <f t="shared" si="294"/>
        <v/>
      </c>
      <c r="AO327" s="45" t="str">
        <f t="shared" si="294"/>
        <v/>
      </c>
      <c r="AP327" s="45" t="str">
        <f t="shared" si="294"/>
        <v/>
      </c>
      <c r="AQ327" s="45" t="str">
        <f t="shared" si="294"/>
        <v/>
      </c>
      <c r="AR327" s="45" t="str">
        <f t="shared" si="294"/>
        <v/>
      </c>
      <c r="AS327" s="45" t="str">
        <f t="shared" si="294"/>
        <v/>
      </c>
      <c r="AT327" s="45" t="str">
        <f t="shared" si="294"/>
        <v/>
      </c>
      <c r="AU327" s="45" t="str">
        <f t="shared" si="294"/>
        <v/>
      </c>
      <c r="AV327" s="45" t="str">
        <f t="shared" si="294"/>
        <v/>
      </c>
      <c r="AW327" s="45" t="str">
        <f t="shared" si="294"/>
        <v/>
      </c>
      <c r="AX327" s="45" t="str">
        <f t="shared" ref="AX327:CC327" si="295">IF(COUNTIFS($A$329:$A$334,"Activity",$D$329:$D$334,"P",AX$329:AX$334,"&lt;&gt;")=0,"",IFERROR(SUMPRODUCT(--($A$329:$A$334="Activity"),--($D$329:$D$334="P"),$O$329:$O$334,AX$329:AX$334)/SUMPRODUCT(--($A$329:$A$334="Activity"),--($D$329:$D$334="P"),$O$329:$O$334),""))</f>
        <v/>
      </c>
      <c r="AY327" s="45" t="str">
        <f t="shared" si="295"/>
        <v/>
      </c>
      <c r="AZ327" s="45" t="str">
        <f t="shared" si="295"/>
        <v/>
      </c>
      <c r="BA327" s="45" t="str">
        <f t="shared" si="295"/>
        <v/>
      </c>
      <c r="BB327" s="45" t="str">
        <f t="shared" si="295"/>
        <v/>
      </c>
      <c r="BC327" s="45" t="str">
        <f t="shared" si="295"/>
        <v/>
      </c>
      <c r="BD327" s="45" t="str">
        <f t="shared" si="295"/>
        <v/>
      </c>
      <c r="BE327" s="45" t="str">
        <f t="shared" si="295"/>
        <v/>
      </c>
      <c r="BF327" s="45" t="str">
        <f t="shared" si="295"/>
        <v/>
      </c>
      <c r="BG327" s="45" t="str">
        <f t="shared" si="295"/>
        <v/>
      </c>
      <c r="BH327" s="45" t="str">
        <f t="shared" si="295"/>
        <v/>
      </c>
      <c r="BI327" s="45" t="str">
        <f t="shared" si="295"/>
        <v/>
      </c>
      <c r="BJ327" s="45" t="str">
        <f t="shared" si="295"/>
        <v/>
      </c>
      <c r="BK327" s="45" t="str">
        <f t="shared" si="295"/>
        <v/>
      </c>
      <c r="BL327" s="45" t="str">
        <f t="shared" si="295"/>
        <v/>
      </c>
      <c r="BM327" s="45" t="str">
        <f t="shared" si="295"/>
        <v/>
      </c>
      <c r="BN327" s="45" t="str">
        <f t="shared" si="295"/>
        <v/>
      </c>
      <c r="BO327" s="45" t="str">
        <f t="shared" si="295"/>
        <v/>
      </c>
      <c r="BP327" s="45" t="str">
        <f t="shared" si="295"/>
        <v/>
      </c>
      <c r="BQ327" s="45" t="str">
        <f t="shared" si="295"/>
        <v/>
      </c>
      <c r="BR327" s="45" t="str">
        <f t="shared" si="295"/>
        <v/>
      </c>
      <c r="BS327" s="45" t="str">
        <f t="shared" si="295"/>
        <v/>
      </c>
      <c r="BT327" s="45" t="str">
        <f t="shared" si="295"/>
        <v/>
      </c>
      <c r="BU327" s="45" t="str">
        <f t="shared" si="295"/>
        <v/>
      </c>
      <c r="BV327" s="45" t="str">
        <f t="shared" si="295"/>
        <v/>
      </c>
      <c r="BW327" s="45" t="str">
        <f t="shared" si="295"/>
        <v/>
      </c>
      <c r="BX327" s="45" t="str">
        <f t="shared" si="295"/>
        <v/>
      </c>
      <c r="BY327" s="45" t="str">
        <f t="shared" si="295"/>
        <v/>
      </c>
      <c r="BZ327" s="45">
        <f t="shared" si="295"/>
        <v>2.3809523809523805E-2</v>
      </c>
      <c r="CA327" s="45">
        <f t="shared" si="295"/>
        <v>0.16666666666666663</v>
      </c>
      <c r="CB327" s="45">
        <f t="shared" si="295"/>
        <v>0.14285714285714288</v>
      </c>
      <c r="CC327" s="45" t="str">
        <f t="shared" si="295"/>
        <v/>
      </c>
      <c r="CD327" s="45" t="str">
        <f t="shared" ref="CD327:CO327" si="296">IF(COUNTIFS($A$329:$A$334,"Activity",$D$329:$D$334,"P",CD$329:CD$334,"&lt;&gt;")=0,"",IFERROR(SUMPRODUCT(--($A$329:$A$334="Activity"),--($D$329:$D$334="P"),$O$329:$O$334,CD$329:CD$334)/SUMPRODUCT(--($A$329:$A$334="Activity"),--($D$329:$D$334="P"),$O$329:$O$334),""))</f>
        <v/>
      </c>
      <c r="CE327" s="45" t="str">
        <f t="shared" si="296"/>
        <v/>
      </c>
      <c r="CF327" s="45" t="str">
        <f t="shared" si="296"/>
        <v/>
      </c>
      <c r="CG327" s="45">
        <f t="shared" si="296"/>
        <v>3.968253968253968E-2</v>
      </c>
      <c r="CH327" s="45">
        <f t="shared" si="296"/>
        <v>0.27777777777777773</v>
      </c>
      <c r="CI327" s="45">
        <f t="shared" si="296"/>
        <v>0.25396825396825395</v>
      </c>
      <c r="CJ327" s="45">
        <f t="shared" si="296"/>
        <v>9.5238095238095261E-2</v>
      </c>
      <c r="CK327" s="45" t="str">
        <f t="shared" si="296"/>
        <v/>
      </c>
      <c r="CL327" s="45" t="str">
        <f t="shared" si="296"/>
        <v/>
      </c>
      <c r="CM327" s="45" t="str">
        <f t="shared" si="296"/>
        <v/>
      </c>
      <c r="CN327" s="45" t="str">
        <f t="shared" si="296"/>
        <v/>
      </c>
      <c r="CO327" s="45" t="str">
        <f t="shared" si="296"/>
        <v/>
      </c>
    </row>
    <row r="328" spans="1:93" outlineLevel="3" x14ac:dyDescent="0.25">
      <c r="A328" s="1"/>
      <c r="B328" s="1"/>
      <c r="C328" s="7"/>
      <c r="D328" s="8" t="s">
        <v>111</v>
      </c>
      <c r="E328" s="1"/>
      <c r="F328" s="1"/>
      <c r="G328" s="1"/>
      <c r="H328" s="1"/>
      <c r="I328" s="9"/>
      <c r="J328" s="9"/>
      <c r="K328" s="9"/>
      <c r="L328" s="9"/>
      <c r="M328" s="3" t="str">
        <f t="shared" si="293"/>
        <v/>
      </c>
      <c r="N328" s="3"/>
      <c r="O328" s="46">
        <f>O327</f>
        <v>300000</v>
      </c>
      <c r="P328" s="4"/>
      <c r="Q328" s="5"/>
      <c r="R328" s="45" t="str">
        <f t="shared" ref="R328:AW328" si="297">IF(COUNTIFS($E$329:$E$334,"&lt;&gt;",$D$329:$D$334,"A",R$329:R$334,"&lt;&gt;")=0,"",IFERROR(SUMPRODUCT(--($E$329:$E$334&lt;&gt;""),--($D$329:$D$334="A"),$O$329:$O$334,R$329:R$334)/SUMPRODUCT(--($E$329:$E$334&lt;&gt;""),--($D$329:$D$334="A"),$O$329:$O$334),""))</f>
        <v/>
      </c>
      <c r="S328" s="45" t="str">
        <f t="shared" si="297"/>
        <v/>
      </c>
      <c r="T328" s="45" t="str">
        <f t="shared" si="297"/>
        <v/>
      </c>
      <c r="U328" s="45" t="str">
        <f t="shared" si="297"/>
        <v/>
      </c>
      <c r="V328" s="45" t="str">
        <f t="shared" si="297"/>
        <v/>
      </c>
      <c r="W328" s="45" t="str">
        <f t="shared" si="297"/>
        <v/>
      </c>
      <c r="X328" s="45" t="str">
        <f t="shared" si="297"/>
        <v/>
      </c>
      <c r="Y328" s="45" t="str">
        <f t="shared" si="297"/>
        <v/>
      </c>
      <c r="Z328" s="45" t="str">
        <f t="shared" si="297"/>
        <v/>
      </c>
      <c r="AA328" s="45" t="str">
        <f t="shared" si="297"/>
        <v/>
      </c>
      <c r="AB328" s="45" t="str">
        <f t="shared" si="297"/>
        <v/>
      </c>
      <c r="AC328" s="45" t="str">
        <f t="shared" si="297"/>
        <v/>
      </c>
      <c r="AD328" s="45" t="str">
        <f t="shared" si="297"/>
        <v/>
      </c>
      <c r="AE328" s="45" t="str">
        <f t="shared" si="297"/>
        <v/>
      </c>
      <c r="AF328" s="45" t="str">
        <f t="shared" si="297"/>
        <v/>
      </c>
      <c r="AG328" s="45" t="str">
        <f t="shared" si="297"/>
        <v/>
      </c>
      <c r="AH328" s="45" t="str">
        <f t="shared" si="297"/>
        <v/>
      </c>
      <c r="AI328" s="45" t="str">
        <f t="shared" si="297"/>
        <v/>
      </c>
      <c r="AJ328" s="45" t="str">
        <f t="shared" si="297"/>
        <v/>
      </c>
      <c r="AK328" s="45" t="str">
        <f t="shared" si="297"/>
        <v/>
      </c>
      <c r="AL328" s="45" t="str">
        <f t="shared" si="297"/>
        <v/>
      </c>
      <c r="AM328" s="45" t="str">
        <f t="shared" si="297"/>
        <v/>
      </c>
      <c r="AN328" s="45" t="str">
        <f t="shared" si="297"/>
        <v/>
      </c>
      <c r="AO328" s="45" t="str">
        <f t="shared" si="297"/>
        <v/>
      </c>
      <c r="AP328" s="45" t="str">
        <f t="shared" si="297"/>
        <v/>
      </c>
      <c r="AQ328" s="45" t="str">
        <f t="shared" si="297"/>
        <v/>
      </c>
      <c r="AR328" s="45" t="str">
        <f t="shared" si="297"/>
        <v/>
      </c>
      <c r="AS328" s="45" t="str">
        <f t="shared" si="297"/>
        <v/>
      </c>
      <c r="AT328" s="45" t="str">
        <f t="shared" si="297"/>
        <v/>
      </c>
      <c r="AU328" s="45" t="str">
        <f t="shared" si="297"/>
        <v/>
      </c>
      <c r="AV328" s="45" t="str">
        <f t="shared" si="297"/>
        <v/>
      </c>
      <c r="AW328" s="45" t="str">
        <f t="shared" si="297"/>
        <v/>
      </c>
      <c r="AX328" s="45" t="str">
        <f t="shared" ref="AX328:CC328" si="298">IF(COUNTIFS($E$329:$E$334,"&lt;&gt;",$D$329:$D$334,"A",AX$329:AX$334,"&lt;&gt;")=0,"",IFERROR(SUMPRODUCT(--($E$329:$E$334&lt;&gt;""),--($D$329:$D$334="A"),$O$329:$O$334,AX$329:AX$334)/SUMPRODUCT(--($E$329:$E$334&lt;&gt;""),--($D$329:$D$334="A"),$O$329:$O$334),""))</f>
        <v/>
      </c>
      <c r="AY328" s="45" t="str">
        <f t="shared" si="298"/>
        <v/>
      </c>
      <c r="AZ328" s="45" t="str">
        <f t="shared" si="298"/>
        <v/>
      </c>
      <c r="BA328" s="45" t="str">
        <f t="shared" si="298"/>
        <v/>
      </c>
      <c r="BB328" s="45" t="str">
        <f t="shared" si="298"/>
        <v/>
      </c>
      <c r="BC328" s="45" t="str">
        <f t="shared" si="298"/>
        <v/>
      </c>
      <c r="BD328" s="45" t="str">
        <f t="shared" si="298"/>
        <v/>
      </c>
      <c r="BE328" s="45" t="str">
        <f t="shared" si="298"/>
        <v/>
      </c>
      <c r="BF328" s="45" t="str">
        <f t="shared" si="298"/>
        <v/>
      </c>
      <c r="BG328" s="45" t="str">
        <f t="shared" si="298"/>
        <v/>
      </c>
      <c r="BH328" s="45" t="str">
        <f t="shared" si="298"/>
        <v/>
      </c>
      <c r="BI328" s="45" t="str">
        <f t="shared" si="298"/>
        <v/>
      </c>
      <c r="BJ328" s="45" t="str">
        <f t="shared" si="298"/>
        <v/>
      </c>
      <c r="BK328" s="45" t="str">
        <f t="shared" si="298"/>
        <v/>
      </c>
      <c r="BL328" s="45" t="str">
        <f t="shared" si="298"/>
        <v/>
      </c>
      <c r="BM328" s="45" t="str">
        <f t="shared" si="298"/>
        <v/>
      </c>
      <c r="BN328" s="45" t="str">
        <f t="shared" si="298"/>
        <v/>
      </c>
      <c r="BO328" s="45" t="str">
        <f t="shared" si="298"/>
        <v/>
      </c>
      <c r="BP328" s="45" t="str">
        <f t="shared" si="298"/>
        <v/>
      </c>
      <c r="BQ328" s="45" t="str">
        <f t="shared" si="298"/>
        <v/>
      </c>
      <c r="BR328" s="45" t="str">
        <f t="shared" si="298"/>
        <v/>
      </c>
      <c r="BS328" s="45" t="str">
        <f t="shared" si="298"/>
        <v/>
      </c>
      <c r="BT328" s="45" t="str">
        <f t="shared" si="298"/>
        <v/>
      </c>
      <c r="BU328" s="45" t="str">
        <f t="shared" si="298"/>
        <v/>
      </c>
      <c r="BV328" s="45" t="str">
        <f t="shared" si="298"/>
        <v/>
      </c>
      <c r="BW328" s="45" t="str">
        <f t="shared" si="298"/>
        <v/>
      </c>
      <c r="BX328" s="45" t="str">
        <f t="shared" si="298"/>
        <v/>
      </c>
      <c r="BY328" s="45" t="str">
        <f t="shared" si="298"/>
        <v/>
      </c>
      <c r="BZ328" s="45" t="str">
        <f t="shared" si="298"/>
        <v/>
      </c>
      <c r="CA328" s="45" t="str">
        <f t="shared" si="298"/>
        <v/>
      </c>
      <c r="CB328" s="45" t="str">
        <f t="shared" si="298"/>
        <v/>
      </c>
      <c r="CC328" s="45" t="str">
        <f t="shared" si="298"/>
        <v/>
      </c>
      <c r="CD328" s="45" t="str">
        <f t="shared" ref="CD328:CO328" si="299">IF(COUNTIFS($E$329:$E$334,"&lt;&gt;",$D$329:$D$334,"A",CD$329:CD$334,"&lt;&gt;")=0,"",IFERROR(SUMPRODUCT(--($E$329:$E$334&lt;&gt;""),--($D$329:$D$334="A"),$O$329:$O$334,CD$329:CD$334)/SUMPRODUCT(--($E$329:$E$334&lt;&gt;""),--($D$329:$D$334="A"),$O$329:$O$334),""))</f>
        <v/>
      </c>
      <c r="CE328" s="45" t="str">
        <f t="shared" si="299"/>
        <v/>
      </c>
      <c r="CF328" s="45" t="str">
        <f t="shared" si="299"/>
        <v/>
      </c>
      <c r="CG328" s="45" t="str">
        <f t="shared" si="299"/>
        <v/>
      </c>
      <c r="CH328" s="45" t="str">
        <f t="shared" si="299"/>
        <v/>
      </c>
      <c r="CI328" s="45" t="str">
        <f t="shared" si="299"/>
        <v/>
      </c>
      <c r="CJ328" s="45" t="str">
        <f t="shared" si="299"/>
        <v/>
      </c>
      <c r="CK328" s="45" t="str">
        <f t="shared" si="299"/>
        <v/>
      </c>
      <c r="CL328" s="45" t="str">
        <f t="shared" si="299"/>
        <v/>
      </c>
      <c r="CM328" s="45" t="str">
        <f t="shared" si="299"/>
        <v/>
      </c>
      <c r="CN328" s="45" t="str">
        <f t="shared" si="299"/>
        <v/>
      </c>
      <c r="CO328" s="45" t="str">
        <f t="shared" si="299"/>
        <v/>
      </c>
    </row>
    <row r="329" spans="1:93" outlineLevel="4" x14ac:dyDescent="0.25">
      <c r="A329" s="10" t="s">
        <v>116</v>
      </c>
      <c r="B329" s="10" t="s">
        <v>478</v>
      </c>
      <c r="C329" s="24" t="s">
        <v>417</v>
      </c>
      <c r="D329" s="12" t="s">
        <v>110</v>
      </c>
      <c r="E329" s="10" t="s">
        <v>479</v>
      </c>
      <c r="F329" s="10">
        <v>162</v>
      </c>
      <c r="G329" s="10">
        <v>168</v>
      </c>
      <c r="H329" s="10">
        <v>4</v>
      </c>
      <c r="I329" s="13">
        <v>46465.333333333343</v>
      </c>
      <c r="J329" s="13">
        <v>46478.666666666657</v>
      </c>
      <c r="K329" s="13"/>
      <c r="L329" s="13"/>
      <c r="M329" s="14">
        <f t="shared" si="293"/>
        <v>0.99999999999999989</v>
      </c>
      <c r="N329" s="14"/>
      <c r="O329" s="16">
        <v>100000</v>
      </c>
      <c r="P329" s="15">
        <v>0.26666666666666672</v>
      </c>
      <c r="Q329" s="16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>
        <v>7.1428571428571411E-2</v>
      </c>
      <c r="CA329" s="47">
        <v>0.49999999999999989</v>
      </c>
      <c r="CB329" s="47">
        <v>0.4285714285714286</v>
      </c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</row>
    <row r="330" spans="1:93" outlineLevel="4" x14ac:dyDescent="0.25">
      <c r="A330" s="17"/>
      <c r="B330" s="17"/>
      <c r="C330" s="25"/>
      <c r="D330" s="19" t="s">
        <v>111</v>
      </c>
      <c r="E330" s="17" t="s">
        <v>479</v>
      </c>
      <c r="F330" s="17"/>
      <c r="G330" s="17"/>
      <c r="H330" s="17"/>
      <c r="I330" s="20"/>
      <c r="J330" s="20"/>
      <c r="K330" s="20"/>
      <c r="L330" s="20"/>
      <c r="M330" s="21" t="str">
        <f t="shared" si="293"/>
        <v/>
      </c>
      <c r="N330" s="21">
        <v>0</v>
      </c>
      <c r="O330" s="48">
        <f>O329</f>
        <v>100000</v>
      </c>
      <c r="P330" s="22"/>
      <c r="Q330" s="23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</row>
    <row r="331" spans="1:93" outlineLevel="4" x14ac:dyDescent="0.25">
      <c r="A331" s="10" t="s">
        <v>116</v>
      </c>
      <c r="B331" s="10" t="s">
        <v>480</v>
      </c>
      <c r="C331" s="24" t="s">
        <v>388</v>
      </c>
      <c r="D331" s="12" t="s">
        <v>110</v>
      </c>
      <c r="E331" s="10" t="s">
        <v>481</v>
      </c>
      <c r="F331" s="10">
        <v>163</v>
      </c>
      <c r="G331" s="10">
        <v>169</v>
      </c>
      <c r="H331" s="10">
        <v>4</v>
      </c>
      <c r="I331" s="13">
        <v>46514.333333333343</v>
      </c>
      <c r="J331" s="13">
        <v>46527.666666666657</v>
      </c>
      <c r="K331" s="13"/>
      <c r="L331" s="13"/>
      <c r="M331" s="14">
        <f t="shared" si="293"/>
        <v>0.99999999999999989</v>
      </c>
      <c r="N331" s="14"/>
      <c r="O331" s="16">
        <v>100000</v>
      </c>
      <c r="P331" s="15">
        <v>0.93333333333333335</v>
      </c>
      <c r="Q331" s="16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>
        <v>7.1428571428571411E-2</v>
      </c>
      <c r="CH331" s="47">
        <v>0.49999999999999989</v>
      </c>
      <c r="CI331" s="47">
        <v>0.4285714285714286</v>
      </c>
      <c r="CJ331" s="47"/>
      <c r="CK331" s="47"/>
      <c r="CL331" s="47"/>
      <c r="CM331" s="47"/>
      <c r="CN331" s="47"/>
      <c r="CO331" s="47"/>
    </row>
    <row r="332" spans="1:93" outlineLevel="4" x14ac:dyDescent="0.25">
      <c r="A332" s="17"/>
      <c r="B332" s="17"/>
      <c r="C332" s="25"/>
      <c r="D332" s="19" t="s">
        <v>111</v>
      </c>
      <c r="E332" s="17" t="s">
        <v>481</v>
      </c>
      <c r="F332" s="17"/>
      <c r="G332" s="17"/>
      <c r="H332" s="17"/>
      <c r="I332" s="20"/>
      <c r="J332" s="20"/>
      <c r="K332" s="20"/>
      <c r="L332" s="20"/>
      <c r="M332" s="21" t="str">
        <f t="shared" si="293"/>
        <v/>
      </c>
      <c r="N332" s="21">
        <v>0</v>
      </c>
      <c r="O332" s="48">
        <f>O331</f>
        <v>100000</v>
      </c>
      <c r="P332" s="22"/>
      <c r="Q332" s="23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</row>
    <row r="333" spans="1:93" outlineLevel="4" x14ac:dyDescent="0.25">
      <c r="A333" s="10" t="s">
        <v>116</v>
      </c>
      <c r="B333" s="10" t="s">
        <v>482</v>
      </c>
      <c r="C333" s="24" t="s">
        <v>345</v>
      </c>
      <c r="D333" s="12" t="s">
        <v>110</v>
      </c>
      <c r="E333" s="10" t="s">
        <v>483</v>
      </c>
      <c r="F333" s="10">
        <v>164</v>
      </c>
      <c r="G333" s="10">
        <v>171</v>
      </c>
      <c r="H333" s="10">
        <v>4</v>
      </c>
      <c r="I333" s="13">
        <v>46514.333333333343</v>
      </c>
      <c r="J333" s="13">
        <v>46534.666666666657</v>
      </c>
      <c r="K333" s="13"/>
      <c r="L333" s="13"/>
      <c r="M333" s="14">
        <f t="shared" si="293"/>
        <v>1</v>
      </c>
      <c r="N333" s="14"/>
      <c r="O333" s="16">
        <v>100000</v>
      </c>
      <c r="P333" s="15">
        <v>0.26666666666666672</v>
      </c>
      <c r="Q333" s="16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>
        <v>4.7619047619047623E-2</v>
      </c>
      <c r="CH333" s="47">
        <v>0.33333333333333331</v>
      </c>
      <c r="CI333" s="47">
        <v>0.33333333333333331</v>
      </c>
      <c r="CJ333" s="47">
        <v>0.28571428571428581</v>
      </c>
      <c r="CK333" s="47"/>
      <c r="CL333" s="47"/>
      <c r="CM333" s="47"/>
      <c r="CN333" s="47"/>
      <c r="CO333" s="47"/>
    </row>
    <row r="334" spans="1:93" outlineLevel="4" x14ac:dyDescent="0.25">
      <c r="A334" s="17"/>
      <c r="B334" s="17"/>
      <c r="C334" s="25"/>
      <c r="D334" s="19" t="s">
        <v>111</v>
      </c>
      <c r="E334" s="17" t="s">
        <v>483</v>
      </c>
      <c r="F334" s="17"/>
      <c r="G334" s="17"/>
      <c r="H334" s="17"/>
      <c r="I334" s="20"/>
      <c r="J334" s="20"/>
      <c r="K334" s="20"/>
      <c r="L334" s="20"/>
      <c r="M334" s="21" t="str">
        <f t="shared" si="293"/>
        <v/>
      </c>
      <c r="N334" s="21">
        <v>0</v>
      </c>
      <c r="O334" s="48">
        <f>O333</f>
        <v>100000</v>
      </c>
      <c r="P334" s="22"/>
      <c r="Q334" s="23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</row>
    <row r="335" spans="1:93" outlineLevel="3" x14ac:dyDescent="0.25">
      <c r="A335" s="1" t="s">
        <v>92</v>
      </c>
      <c r="B335" s="1" t="s">
        <v>484</v>
      </c>
      <c r="C335" s="7" t="s">
        <v>351</v>
      </c>
      <c r="D335" s="8" t="s">
        <v>110</v>
      </c>
      <c r="E335" s="1"/>
      <c r="F335" s="1">
        <v>165</v>
      </c>
      <c r="G335" s="1">
        <v>172</v>
      </c>
      <c r="H335" s="1">
        <v>3</v>
      </c>
      <c r="I335" s="9">
        <v>46479.333333333343</v>
      </c>
      <c r="J335" s="9">
        <v>46499.666666666657</v>
      </c>
      <c r="K335" s="9"/>
      <c r="L335" s="9"/>
      <c r="M335" s="3">
        <f t="shared" si="293"/>
        <v>1</v>
      </c>
      <c r="N335" s="3"/>
      <c r="O335" s="5">
        <f>SUMIFS($O$336:$O$337,$A$336:$A$337,"Activity",$D$336:$D$337,"P")</f>
        <v>100000</v>
      </c>
      <c r="P335" s="4"/>
      <c r="Q335" s="5"/>
      <c r="R335" s="45" t="str">
        <f t="shared" ref="R335:AW335" si="300">IF(COUNTIFS($A$337:$A$338,"Activity",$D$337:$D$338,"P",R$337:R$338,"&lt;&gt;")=0,"",IFERROR(SUMPRODUCT(--($A$337:$A$338="Activity"),--($D$337:$D$338="P"),$O$337:$O$338,R$337:R$338)/SUMPRODUCT(--($A$337:$A$338="Activity"),--($D$337:$D$338="P"),$O$337:$O$338),""))</f>
        <v/>
      </c>
      <c r="S335" s="45" t="str">
        <f t="shared" si="300"/>
        <v/>
      </c>
      <c r="T335" s="45" t="str">
        <f t="shared" si="300"/>
        <v/>
      </c>
      <c r="U335" s="45" t="str">
        <f t="shared" si="300"/>
        <v/>
      </c>
      <c r="V335" s="45" t="str">
        <f t="shared" si="300"/>
        <v/>
      </c>
      <c r="W335" s="45" t="str">
        <f t="shared" si="300"/>
        <v/>
      </c>
      <c r="X335" s="45" t="str">
        <f t="shared" si="300"/>
        <v/>
      </c>
      <c r="Y335" s="45" t="str">
        <f t="shared" si="300"/>
        <v/>
      </c>
      <c r="Z335" s="45" t="str">
        <f t="shared" si="300"/>
        <v/>
      </c>
      <c r="AA335" s="45" t="str">
        <f t="shared" si="300"/>
        <v/>
      </c>
      <c r="AB335" s="45" t="str">
        <f t="shared" si="300"/>
        <v/>
      </c>
      <c r="AC335" s="45" t="str">
        <f t="shared" si="300"/>
        <v/>
      </c>
      <c r="AD335" s="45" t="str">
        <f t="shared" si="300"/>
        <v/>
      </c>
      <c r="AE335" s="45" t="str">
        <f t="shared" si="300"/>
        <v/>
      </c>
      <c r="AF335" s="45" t="str">
        <f t="shared" si="300"/>
        <v/>
      </c>
      <c r="AG335" s="45" t="str">
        <f t="shared" si="300"/>
        <v/>
      </c>
      <c r="AH335" s="45" t="str">
        <f t="shared" si="300"/>
        <v/>
      </c>
      <c r="AI335" s="45" t="str">
        <f t="shared" si="300"/>
        <v/>
      </c>
      <c r="AJ335" s="45" t="str">
        <f t="shared" si="300"/>
        <v/>
      </c>
      <c r="AK335" s="45" t="str">
        <f t="shared" si="300"/>
        <v/>
      </c>
      <c r="AL335" s="45" t="str">
        <f t="shared" si="300"/>
        <v/>
      </c>
      <c r="AM335" s="45" t="str">
        <f t="shared" si="300"/>
        <v/>
      </c>
      <c r="AN335" s="45" t="str">
        <f t="shared" si="300"/>
        <v/>
      </c>
      <c r="AO335" s="45" t="str">
        <f t="shared" si="300"/>
        <v/>
      </c>
      <c r="AP335" s="45" t="str">
        <f t="shared" si="300"/>
        <v/>
      </c>
      <c r="AQ335" s="45" t="str">
        <f t="shared" si="300"/>
        <v/>
      </c>
      <c r="AR335" s="45" t="str">
        <f t="shared" si="300"/>
        <v/>
      </c>
      <c r="AS335" s="45" t="str">
        <f t="shared" si="300"/>
        <v/>
      </c>
      <c r="AT335" s="45" t="str">
        <f t="shared" si="300"/>
        <v/>
      </c>
      <c r="AU335" s="45" t="str">
        <f t="shared" si="300"/>
        <v/>
      </c>
      <c r="AV335" s="45" t="str">
        <f t="shared" si="300"/>
        <v/>
      </c>
      <c r="AW335" s="45" t="str">
        <f t="shared" si="300"/>
        <v/>
      </c>
      <c r="AX335" s="45" t="str">
        <f t="shared" ref="AX335:CC335" si="301">IF(COUNTIFS($A$337:$A$338,"Activity",$D$337:$D$338,"P",AX$337:AX$338,"&lt;&gt;")=0,"",IFERROR(SUMPRODUCT(--($A$337:$A$338="Activity"),--($D$337:$D$338="P"),$O$337:$O$338,AX$337:AX$338)/SUMPRODUCT(--($A$337:$A$338="Activity"),--($D$337:$D$338="P"),$O$337:$O$338),""))</f>
        <v/>
      </c>
      <c r="AY335" s="45" t="str">
        <f t="shared" si="301"/>
        <v/>
      </c>
      <c r="AZ335" s="45" t="str">
        <f t="shared" si="301"/>
        <v/>
      </c>
      <c r="BA335" s="45" t="str">
        <f t="shared" si="301"/>
        <v/>
      </c>
      <c r="BB335" s="45" t="str">
        <f t="shared" si="301"/>
        <v/>
      </c>
      <c r="BC335" s="45" t="str">
        <f t="shared" si="301"/>
        <v/>
      </c>
      <c r="BD335" s="45" t="str">
        <f t="shared" si="301"/>
        <v/>
      </c>
      <c r="BE335" s="45" t="str">
        <f t="shared" si="301"/>
        <v/>
      </c>
      <c r="BF335" s="45" t="str">
        <f t="shared" si="301"/>
        <v/>
      </c>
      <c r="BG335" s="45" t="str">
        <f t="shared" si="301"/>
        <v/>
      </c>
      <c r="BH335" s="45" t="str">
        <f t="shared" si="301"/>
        <v/>
      </c>
      <c r="BI335" s="45" t="str">
        <f t="shared" si="301"/>
        <v/>
      </c>
      <c r="BJ335" s="45" t="str">
        <f t="shared" si="301"/>
        <v/>
      </c>
      <c r="BK335" s="45" t="str">
        <f t="shared" si="301"/>
        <v/>
      </c>
      <c r="BL335" s="45" t="str">
        <f t="shared" si="301"/>
        <v/>
      </c>
      <c r="BM335" s="45" t="str">
        <f t="shared" si="301"/>
        <v/>
      </c>
      <c r="BN335" s="45" t="str">
        <f t="shared" si="301"/>
        <v/>
      </c>
      <c r="BO335" s="45" t="str">
        <f t="shared" si="301"/>
        <v/>
      </c>
      <c r="BP335" s="45" t="str">
        <f t="shared" si="301"/>
        <v/>
      </c>
      <c r="BQ335" s="45" t="str">
        <f t="shared" si="301"/>
        <v/>
      </c>
      <c r="BR335" s="45" t="str">
        <f t="shared" si="301"/>
        <v/>
      </c>
      <c r="BS335" s="45" t="str">
        <f t="shared" si="301"/>
        <v/>
      </c>
      <c r="BT335" s="45" t="str">
        <f t="shared" si="301"/>
        <v/>
      </c>
      <c r="BU335" s="45" t="str">
        <f t="shared" si="301"/>
        <v/>
      </c>
      <c r="BV335" s="45" t="str">
        <f t="shared" si="301"/>
        <v/>
      </c>
      <c r="BW335" s="45" t="str">
        <f t="shared" si="301"/>
        <v/>
      </c>
      <c r="BX335" s="45" t="str">
        <f t="shared" si="301"/>
        <v/>
      </c>
      <c r="BY335" s="45" t="str">
        <f t="shared" si="301"/>
        <v/>
      </c>
      <c r="BZ335" s="45" t="str">
        <f t="shared" si="301"/>
        <v/>
      </c>
      <c r="CA335" s="45" t="str">
        <f t="shared" si="301"/>
        <v/>
      </c>
      <c r="CB335" s="45">
        <f t="shared" si="301"/>
        <v>4.7619047619047623E-2</v>
      </c>
      <c r="CC335" s="45">
        <f t="shared" si="301"/>
        <v>0.33333333333333326</v>
      </c>
      <c r="CD335" s="45">
        <f t="shared" ref="CD335:CO335" si="302">IF(COUNTIFS($A$337:$A$338,"Activity",$D$337:$D$338,"P",CD$337:CD$338,"&lt;&gt;")=0,"",IFERROR(SUMPRODUCT(--($A$337:$A$338="Activity"),--($D$337:$D$338="P"),$O$337:$O$338,CD$337:CD$338)/SUMPRODUCT(--($A$337:$A$338="Activity"),--($D$337:$D$338="P"),$O$337:$O$338),""))</f>
        <v>0.33333333333333326</v>
      </c>
      <c r="CE335" s="45">
        <f t="shared" si="302"/>
        <v>0.28571428571428581</v>
      </c>
      <c r="CF335" s="45" t="str">
        <f t="shared" si="302"/>
        <v/>
      </c>
      <c r="CG335" s="45" t="str">
        <f t="shared" si="302"/>
        <v/>
      </c>
      <c r="CH335" s="45" t="str">
        <f t="shared" si="302"/>
        <v/>
      </c>
      <c r="CI335" s="45" t="str">
        <f t="shared" si="302"/>
        <v/>
      </c>
      <c r="CJ335" s="45" t="str">
        <f t="shared" si="302"/>
        <v/>
      </c>
      <c r="CK335" s="45" t="str">
        <f t="shared" si="302"/>
        <v/>
      </c>
      <c r="CL335" s="45" t="str">
        <f t="shared" si="302"/>
        <v/>
      </c>
      <c r="CM335" s="45" t="str">
        <f t="shared" si="302"/>
        <v/>
      </c>
      <c r="CN335" s="45" t="str">
        <f t="shared" si="302"/>
        <v/>
      </c>
      <c r="CO335" s="45" t="str">
        <f t="shared" si="302"/>
        <v/>
      </c>
    </row>
    <row r="336" spans="1:93" outlineLevel="3" x14ac:dyDescent="0.25">
      <c r="A336" s="1"/>
      <c r="B336" s="1"/>
      <c r="C336" s="7"/>
      <c r="D336" s="8" t="s">
        <v>111</v>
      </c>
      <c r="E336" s="1"/>
      <c r="F336" s="1"/>
      <c r="G336" s="1"/>
      <c r="H336" s="1"/>
      <c r="I336" s="9"/>
      <c r="J336" s="9"/>
      <c r="K336" s="9"/>
      <c r="L336" s="9"/>
      <c r="M336" s="3" t="str">
        <f t="shared" si="293"/>
        <v/>
      </c>
      <c r="N336" s="3"/>
      <c r="O336" s="46">
        <f>O335</f>
        <v>100000</v>
      </c>
      <c r="P336" s="4"/>
      <c r="Q336" s="5"/>
      <c r="R336" s="45" t="str">
        <f t="shared" ref="R336:AW336" si="303">IF(COUNTIFS($E$337:$E$338,"&lt;&gt;",$D$337:$D$338,"A",R$337:R$338,"&lt;&gt;")=0,"",IFERROR(SUMPRODUCT(--($E$337:$E$338&lt;&gt;""),--($D$337:$D$338="A"),$O$337:$O$338,R$337:R$338)/SUMPRODUCT(--($E$337:$E$338&lt;&gt;""),--($D$337:$D$338="A"),$O$337:$O$338),""))</f>
        <v/>
      </c>
      <c r="S336" s="45" t="str">
        <f t="shared" si="303"/>
        <v/>
      </c>
      <c r="T336" s="45" t="str">
        <f t="shared" si="303"/>
        <v/>
      </c>
      <c r="U336" s="45" t="str">
        <f t="shared" si="303"/>
        <v/>
      </c>
      <c r="V336" s="45" t="str">
        <f t="shared" si="303"/>
        <v/>
      </c>
      <c r="W336" s="45" t="str">
        <f t="shared" si="303"/>
        <v/>
      </c>
      <c r="X336" s="45" t="str">
        <f t="shared" si="303"/>
        <v/>
      </c>
      <c r="Y336" s="45" t="str">
        <f t="shared" si="303"/>
        <v/>
      </c>
      <c r="Z336" s="45" t="str">
        <f t="shared" si="303"/>
        <v/>
      </c>
      <c r="AA336" s="45" t="str">
        <f t="shared" si="303"/>
        <v/>
      </c>
      <c r="AB336" s="45" t="str">
        <f t="shared" si="303"/>
        <v/>
      </c>
      <c r="AC336" s="45" t="str">
        <f t="shared" si="303"/>
        <v/>
      </c>
      <c r="AD336" s="45" t="str">
        <f t="shared" si="303"/>
        <v/>
      </c>
      <c r="AE336" s="45" t="str">
        <f t="shared" si="303"/>
        <v/>
      </c>
      <c r="AF336" s="45" t="str">
        <f t="shared" si="303"/>
        <v/>
      </c>
      <c r="AG336" s="45" t="str">
        <f t="shared" si="303"/>
        <v/>
      </c>
      <c r="AH336" s="45" t="str">
        <f t="shared" si="303"/>
        <v/>
      </c>
      <c r="AI336" s="45" t="str">
        <f t="shared" si="303"/>
        <v/>
      </c>
      <c r="AJ336" s="45" t="str">
        <f t="shared" si="303"/>
        <v/>
      </c>
      <c r="AK336" s="45" t="str">
        <f t="shared" si="303"/>
        <v/>
      </c>
      <c r="AL336" s="45" t="str">
        <f t="shared" si="303"/>
        <v/>
      </c>
      <c r="AM336" s="45" t="str">
        <f t="shared" si="303"/>
        <v/>
      </c>
      <c r="AN336" s="45" t="str">
        <f t="shared" si="303"/>
        <v/>
      </c>
      <c r="AO336" s="45" t="str">
        <f t="shared" si="303"/>
        <v/>
      </c>
      <c r="AP336" s="45" t="str">
        <f t="shared" si="303"/>
        <v/>
      </c>
      <c r="AQ336" s="45" t="str">
        <f t="shared" si="303"/>
        <v/>
      </c>
      <c r="AR336" s="45" t="str">
        <f t="shared" si="303"/>
        <v/>
      </c>
      <c r="AS336" s="45" t="str">
        <f t="shared" si="303"/>
        <v/>
      </c>
      <c r="AT336" s="45" t="str">
        <f t="shared" si="303"/>
        <v/>
      </c>
      <c r="AU336" s="45" t="str">
        <f t="shared" si="303"/>
        <v/>
      </c>
      <c r="AV336" s="45" t="str">
        <f t="shared" si="303"/>
        <v/>
      </c>
      <c r="AW336" s="45" t="str">
        <f t="shared" si="303"/>
        <v/>
      </c>
      <c r="AX336" s="45" t="str">
        <f t="shared" ref="AX336:CC336" si="304">IF(COUNTIFS($E$337:$E$338,"&lt;&gt;",$D$337:$D$338,"A",AX$337:AX$338,"&lt;&gt;")=0,"",IFERROR(SUMPRODUCT(--($E$337:$E$338&lt;&gt;""),--($D$337:$D$338="A"),$O$337:$O$338,AX$337:AX$338)/SUMPRODUCT(--($E$337:$E$338&lt;&gt;""),--($D$337:$D$338="A"),$O$337:$O$338),""))</f>
        <v/>
      </c>
      <c r="AY336" s="45" t="str">
        <f t="shared" si="304"/>
        <v/>
      </c>
      <c r="AZ336" s="45" t="str">
        <f t="shared" si="304"/>
        <v/>
      </c>
      <c r="BA336" s="45" t="str">
        <f t="shared" si="304"/>
        <v/>
      </c>
      <c r="BB336" s="45" t="str">
        <f t="shared" si="304"/>
        <v/>
      </c>
      <c r="BC336" s="45" t="str">
        <f t="shared" si="304"/>
        <v/>
      </c>
      <c r="BD336" s="45" t="str">
        <f t="shared" si="304"/>
        <v/>
      </c>
      <c r="BE336" s="45" t="str">
        <f t="shared" si="304"/>
        <v/>
      </c>
      <c r="BF336" s="45" t="str">
        <f t="shared" si="304"/>
        <v/>
      </c>
      <c r="BG336" s="45" t="str">
        <f t="shared" si="304"/>
        <v/>
      </c>
      <c r="BH336" s="45" t="str">
        <f t="shared" si="304"/>
        <v/>
      </c>
      <c r="BI336" s="45" t="str">
        <f t="shared" si="304"/>
        <v/>
      </c>
      <c r="BJ336" s="45" t="str">
        <f t="shared" si="304"/>
        <v/>
      </c>
      <c r="BK336" s="45" t="str">
        <f t="shared" si="304"/>
        <v/>
      </c>
      <c r="BL336" s="45" t="str">
        <f t="shared" si="304"/>
        <v/>
      </c>
      <c r="BM336" s="45" t="str">
        <f t="shared" si="304"/>
        <v/>
      </c>
      <c r="BN336" s="45" t="str">
        <f t="shared" si="304"/>
        <v/>
      </c>
      <c r="BO336" s="45" t="str">
        <f t="shared" si="304"/>
        <v/>
      </c>
      <c r="BP336" s="45" t="str">
        <f t="shared" si="304"/>
        <v/>
      </c>
      <c r="BQ336" s="45" t="str">
        <f t="shared" si="304"/>
        <v/>
      </c>
      <c r="BR336" s="45" t="str">
        <f t="shared" si="304"/>
        <v/>
      </c>
      <c r="BS336" s="45" t="str">
        <f t="shared" si="304"/>
        <v/>
      </c>
      <c r="BT336" s="45" t="str">
        <f t="shared" si="304"/>
        <v/>
      </c>
      <c r="BU336" s="45" t="str">
        <f t="shared" si="304"/>
        <v/>
      </c>
      <c r="BV336" s="45" t="str">
        <f t="shared" si="304"/>
        <v/>
      </c>
      <c r="BW336" s="45" t="str">
        <f t="shared" si="304"/>
        <v/>
      </c>
      <c r="BX336" s="45" t="str">
        <f t="shared" si="304"/>
        <v/>
      </c>
      <c r="BY336" s="45" t="str">
        <f t="shared" si="304"/>
        <v/>
      </c>
      <c r="BZ336" s="45" t="str">
        <f t="shared" si="304"/>
        <v/>
      </c>
      <c r="CA336" s="45" t="str">
        <f t="shared" si="304"/>
        <v/>
      </c>
      <c r="CB336" s="45" t="str">
        <f t="shared" si="304"/>
        <v/>
      </c>
      <c r="CC336" s="45" t="str">
        <f t="shared" si="304"/>
        <v/>
      </c>
      <c r="CD336" s="45" t="str">
        <f t="shared" ref="CD336:CO336" si="305">IF(COUNTIFS($E$337:$E$338,"&lt;&gt;",$D$337:$D$338,"A",CD$337:CD$338,"&lt;&gt;")=0,"",IFERROR(SUMPRODUCT(--($E$337:$E$338&lt;&gt;""),--($D$337:$D$338="A"),$O$337:$O$338,CD$337:CD$338)/SUMPRODUCT(--($E$337:$E$338&lt;&gt;""),--($D$337:$D$338="A"),$O$337:$O$338),""))</f>
        <v/>
      </c>
      <c r="CE336" s="45" t="str">
        <f t="shared" si="305"/>
        <v/>
      </c>
      <c r="CF336" s="45" t="str">
        <f t="shared" si="305"/>
        <v/>
      </c>
      <c r="CG336" s="45" t="str">
        <f t="shared" si="305"/>
        <v/>
      </c>
      <c r="CH336" s="45" t="str">
        <f t="shared" si="305"/>
        <v/>
      </c>
      <c r="CI336" s="45" t="str">
        <f t="shared" si="305"/>
        <v/>
      </c>
      <c r="CJ336" s="45" t="str">
        <f t="shared" si="305"/>
        <v/>
      </c>
      <c r="CK336" s="45" t="str">
        <f t="shared" si="305"/>
        <v/>
      </c>
      <c r="CL336" s="45" t="str">
        <f t="shared" si="305"/>
        <v/>
      </c>
      <c r="CM336" s="45" t="str">
        <f t="shared" si="305"/>
        <v/>
      </c>
      <c r="CN336" s="45" t="str">
        <f t="shared" si="305"/>
        <v/>
      </c>
      <c r="CO336" s="45" t="str">
        <f t="shared" si="305"/>
        <v/>
      </c>
    </row>
    <row r="337" spans="1:93" outlineLevel="4" x14ac:dyDescent="0.25">
      <c r="A337" s="10" t="s">
        <v>116</v>
      </c>
      <c r="B337" s="10" t="s">
        <v>485</v>
      </c>
      <c r="C337" s="24" t="s">
        <v>353</v>
      </c>
      <c r="D337" s="12" t="s">
        <v>110</v>
      </c>
      <c r="E337" s="10" t="s">
        <v>486</v>
      </c>
      <c r="F337" s="10">
        <v>166</v>
      </c>
      <c r="G337" s="10">
        <v>173</v>
      </c>
      <c r="H337" s="10">
        <v>4</v>
      </c>
      <c r="I337" s="13">
        <v>46479.333333333343</v>
      </c>
      <c r="J337" s="13">
        <v>46499.666666666657</v>
      </c>
      <c r="K337" s="13"/>
      <c r="L337" s="13"/>
      <c r="M337" s="14">
        <f t="shared" si="293"/>
        <v>1</v>
      </c>
      <c r="N337" s="14"/>
      <c r="O337" s="16">
        <v>100000</v>
      </c>
      <c r="P337" s="15">
        <v>0.26666666666666672</v>
      </c>
      <c r="Q337" s="16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>
        <v>4.7619047619047623E-2</v>
      </c>
      <c r="CC337" s="47">
        <v>0.33333333333333331</v>
      </c>
      <c r="CD337" s="47">
        <v>0.33333333333333331</v>
      </c>
      <c r="CE337" s="47">
        <v>0.28571428571428581</v>
      </c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</row>
    <row r="338" spans="1:93" outlineLevel="4" x14ac:dyDescent="0.25">
      <c r="A338" s="17"/>
      <c r="B338" s="17"/>
      <c r="C338" s="25"/>
      <c r="D338" s="19" t="s">
        <v>111</v>
      </c>
      <c r="E338" s="17" t="s">
        <v>486</v>
      </c>
      <c r="F338" s="17"/>
      <c r="G338" s="17"/>
      <c r="H338" s="17"/>
      <c r="I338" s="20"/>
      <c r="J338" s="20"/>
      <c r="K338" s="20"/>
      <c r="L338" s="20"/>
      <c r="M338" s="21" t="str">
        <f t="shared" si="293"/>
        <v/>
      </c>
      <c r="N338" s="21">
        <v>0</v>
      </c>
      <c r="O338" s="48">
        <f>O337</f>
        <v>100000</v>
      </c>
      <c r="P338" s="22"/>
      <c r="Q338" s="23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</row>
    <row r="339" spans="1:93" outlineLevel="3" x14ac:dyDescent="0.25">
      <c r="A339" s="1" t="s">
        <v>92</v>
      </c>
      <c r="B339" s="1" t="s">
        <v>487</v>
      </c>
      <c r="C339" s="7" t="s">
        <v>356</v>
      </c>
      <c r="D339" s="8" t="s">
        <v>110</v>
      </c>
      <c r="E339" s="1"/>
      <c r="F339" s="1">
        <v>167</v>
      </c>
      <c r="G339" s="1">
        <v>174</v>
      </c>
      <c r="H339" s="1">
        <v>3</v>
      </c>
      <c r="I339" s="9">
        <v>46451.333333333343</v>
      </c>
      <c r="J339" s="9">
        <v>46531.666666666657</v>
      </c>
      <c r="K339" s="9"/>
      <c r="L339" s="9"/>
      <c r="M339" s="3">
        <f t="shared" si="293"/>
        <v>1</v>
      </c>
      <c r="N339" s="3"/>
      <c r="O339" s="5">
        <f>SUMIFS($O$340:$O$345,$A$340:$A$345,"Activity",$D$340:$D$345,"P")</f>
        <v>300000</v>
      </c>
      <c r="P339" s="4"/>
      <c r="Q339" s="5"/>
      <c r="R339" s="45" t="str">
        <f t="shared" ref="R339:AW339" si="306">IF(COUNTIFS($A$341:$A$346,"Activity",$D$341:$D$346,"P",R$341:R$346,"&lt;&gt;")=0,"",IFERROR(SUMPRODUCT(--($A$341:$A$346="Activity"),--($D$341:$D$346="P"),$O$341:$O$346,R$341:R$346)/SUMPRODUCT(--($A$341:$A$346="Activity"),--($D$341:$D$346="P"),$O$341:$O$346),""))</f>
        <v/>
      </c>
      <c r="S339" s="45" t="str">
        <f t="shared" si="306"/>
        <v/>
      </c>
      <c r="T339" s="45" t="str">
        <f t="shared" si="306"/>
        <v/>
      </c>
      <c r="U339" s="45" t="str">
        <f t="shared" si="306"/>
        <v/>
      </c>
      <c r="V339" s="45" t="str">
        <f t="shared" si="306"/>
        <v/>
      </c>
      <c r="W339" s="45" t="str">
        <f t="shared" si="306"/>
        <v/>
      </c>
      <c r="X339" s="45" t="str">
        <f t="shared" si="306"/>
        <v/>
      </c>
      <c r="Y339" s="45" t="str">
        <f t="shared" si="306"/>
        <v/>
      </c>
      <c r="Z339" s="45" t="str">
        <f t="shared" si="306"/>
        <v/>
      </c>
      <c r="AA339" s="45" t="str">
        <f t="shared" si="306"/>
        <v/>
      </c>
      <c r="AB339" s="45" t="str">
        <f t="shared" si="306"/>
        <v/>
      </c>
      <c r="AC339" s="45" t="str">
        <f t="shared" si="306"/>
        <v/>
      </c>
      <c r="AD339" s="45" t="str">
        <f t="shared" si="306"/>
        <v/>
      </c>
      <c r="AE339" s="45" t="str">
        <f t="shared" si="306"/>
        <v/>
      </c>
      <c r="AF339" s="45" t="str">
        <f t="shared" si="306"/>
        <v/>
      </c>
      <c r="AG339" s="45" t="str">
        <f t="shared" si="306"/>
        <v/>
      </c>
      <c r="AH339" s="45" t="str">
        <f t="shared" si="306"/>
        <v/>
      </c>
      <c r="AI339" s="45" t="str">
        <f t="shared" si="306"/>
        <v/>
      </c>
      <c r="AJ339" s="45" t="str">
        <f t="shared" si="306"/>
        <v/>
      </c>
      <c r="AK339" s="45" t="str">
        <f t="shared" si="306"/>
        <v/>
      </c>
      <c r="AL339" s="45" t="str">
        <f t="shared" si="306"/>
        <v/>
      </c>
      <c r="AM339" s="45" t="str">
        <f t="shared" si="306"/>
        <v/>
      </c>
      <c r="AN339" s="45" t="str">
        <f t="shared" si="306"/>
        <v/>
      </c>
      <c r="AO339" s="45" t="str">
        <f t="shared" si="306"/>
        <v/>
      </c>
      <c r="AP339" s="45" t="str">
        <f t="shared" si="306"/>
        <v/>
      </c>
      <c r="AQ339" s="45" t="str">
        <f t="shared" si="306"/>
        <v/>
      </c>
      <c r="AR339" s="45" t="str">
        <f t="shared" si="306"/>
        <v/>
      </c>
      <c r="AS339" s="45" t="str">
        <f t="shared" si="306"/>
        <v/>
      </c>
      <c r="AT339" s="45" t="str">
        <f t="shared" si="306"/>
        <v/>
      </c>
      <c r="AU339" s="45" t="str">
        <f t="shared" si="306"/>
        <v/>
      </c>
      <c r="AV339" s="45" t="str">
        <f t="shared" si="306"/>
        <v/>
      </c>
      <c r="AW339" s="45" t="str">
        <f t="shared" si="306"/>
        <v/>
      </c>
      <c r="AX339" s="45" t="str">
        <f t="shared" ref="AX339:CC339" si="307">IF(COUNTIFS($A$341:$A$346,"Activity",$D$341:$D$346,"P",AX$341:AX$346,"&lt;&gt;")=0,"",IFERROR(SUMPRODUCT(--($A$341:$A$346="Activity"),--($D$341:$D$346="P"),$O$341:$O$346,AX$341:AX$346)/SUMPRODUCT(--($A$341:$A$346="Activity"),--($D$341:$D$346="P"),$O$341:$O$346),""))</f>
        <v/>
      </c>
      <c r="AY339" s="45" t="str">
        <f t="shared" si="307"/>
        <v/>
      </c>
      <c r="AZ339" s="45" t="str">
        <f t="shared" si="307"/>
        <v/>
      </c>
      <c r="BA339" s="45" t="str">
        <f t="shared" si="307"/>
        <v/>
      </c>
      <c r="BB339" s="45" t="str">
        <f t="shared" si="307"/>
        <v/>
      </c>
      <c r="BC339" s="45" t="str">
        <f t="shared" si="307"/>
        <v/>
      </c>
      <c r="BD339" s="45" t="str">
        <f t="shared" si="307"/>
        <v/>
      </c>
      <c r="BE339" s="45" t="str">
        <f t="shared" si="307"/>
        <v/>
      </c>
      <c r="BF339" s="45" t="str">
        <f t="shared" si="307"/>
        <v/>
      </c>
      <c r="BG339" s="45" t="str">
        <f t="shared" si="307"/>
        <v/>
      </c>
      <c r="BH339" s="45" t="str">
        <f t="shared" si="307"/>
        <v/>
      </c>
      <c r="BI339" s="45" t="str">
        <f t="shared" si="307"/>
        <v/>
      </c>
      <c r="BJ339" s="45" t="str">
        <f t="shared" si="307"/>
        <v/>
      </c>
      <c r="BK339" s="45" t="str">
        <f t="shared" si="307"/>
        <v/>
      </c>
      <c r="BL339" s="45" t="str">
        <f t="shared" si="307"/>
        <v/>
      </c>
      <c r="BM339" s="45" t="str">
        <f t="shared" si="307"/>
        <v/>
      </c>
      <c r="BN339" s="45" t="str">
        <f t="shared" si="307"/>
        <v/>
      </c>
      <c r="BO339" s="45" t="str">
        <f t="shared" si="307"/>
        <v/>
      </c>
      <c r="BP339" s="45" t="str">
        <f t="shared" si="307"/>
        <v/>
      </c>
      <c r="BQ339" s="45" t="str">
        <f t="shared" si="307"/>
        <v/>
      </c>
      <c r="BR339" s="45" t="str">
        <f t="shared" si="307"/>
        <v/>
      </c>
      <c r="BS339" s="45" t="str">
        <f t="shared" si="307"/>
        <v/>
      </c>
      <c r="BT339" s="45" t="str">
        <f t="shared" si="307"/>
        <v/>
      </c>
      <c r="BU339" s="45" t="str">
        <f t="shared" si="307"/>
        <v/>
      </c>
      <c r="BV339" s="45" t="str">
        <f t="shared" si="307"/>
        <v/>
      </c>
      <c r="BW339" s="45" t="str">
        <f t="shared" si="307"/>
        <v/>
      </c>
      <c r="BX339" s="45">
        <f t="shared" si="307"/>
        <v>2.744228674865545E-3</v>
      </c>
      <c r="BY339" s="45">
        <f t="shared" si="307"/>
        <v>8.6091457610572575E-2</v>
      </c>
      <c r="BZ339" s="45">
        <f t="shared" si="307"/>
        <v>0.14194081738812939</v>
      </c>
      <c r="CA339" s="45">
        <f t="shared" si="307"/>
        <v>8.6091457610572575E-2</v>
      </c>
      <c r="CB339" s="45">
        <f t="shared" si="307"/>
        <v>3.2338387922209132E-2</v>
      </c>
      <c r="CC339" s="45">
        <f t="shared" si="307"/>
        <v>0.11111111111111109</v>
      </c>
      <c r="CD339" s="45">
        <f t="shared" ref="CD339:CO339" si="308">IF(COUNTIFS($A$341:$A$346,"Activity",$D$341:$D$346,"P",CD$341:CD$346,"&lt;&gt;")=0,"",IFERROR(SUMPRODUCT(--($A$341:$A$346="Activity"),--($D$341:$D$346="P"),$O$341:$O$346,CD$341:CD$346)/SUMPRODUCT(--($A$341:$A$346="Activity"),--($D$341:$D$346="P"),$O$341:$O$346),""))</f>
        <v>0.14285714285714285</v>
      </c>
      <c r="CE339" s="45">
        <f t="shared" si="308"/>
        <v>0.15079365079365084</v>
      </c>
      <c r="CF339" s="45">
        <f t="shared" si="308"/>
        <v>5.5555555555555573E-2</v>
      </c>
      <c r="CG339" s="45">
        <f t="shared" si="308"/>
        <v>5.5555555555555573E-2</v>
      </c>
      <c r="CH339" s="45">
        <f t="shared" si="308"/>
        <v>5.5555555555555573E-2</v>
      </c>
      <c r="CI339" s="45">
        <f t="shared" si="308"/>
        <v>5.5555555555555573E-2</v>
      </c>
      <c r="CJ339" s="45">
        <f t="shared" si="308"/>
        <v>2.3809523809523725E-2</v>
      </c>
      <c r="CK339" s="45" t="str">
        <f t="shared" si="308"/>
        <v/>
      </c>
      <c r="CL339" s="45" t="str">
        <f t="shared" si="308"/>
        <v/>
      </c>
      <c r="CM339" s="45" t="str">
        <f t="shared" si="308"/>
        <v/>
      </c>
      <c r="CN339" s="45" t="str">
        <f t="shared" si="308"/>
        <v/>
      </c>
      <c r="CO339" s="45" t="str">
        <f t="shared" si="308"/>
        <v/>
      </c>
    </row>
    <row r="340" spans="1:93" outlineLevel="3" x14ac:dyDescent="0.25">
      <c r="A340" s="1"/>
      <c r="B340" s="1"/>
      <c r="C340" s="7"/>
      <c r="D340" s="8" t="s">
        <v>111</v>
      </c>
      <c r="E340" s="1"/>
      <c r="F340" s="1"/>
      <c r="G340" s="1"/>
      <c r="H340" s="1"/>
      <c r="I340" s="9"/>
      <c r="J340" s="9"/>
      <c r="K340" s="9"/>
      <c r="L340" s="9"/>
      <c r="M340" s="3" t="str">
        <f t="shared" si="293"/>
        <v/>
      </c>
      <c r="N340" s="3"/>
      <c r="O340" s="46">
        <f>O339</f>
        <v>300000</v>
      </c>
      <c r="P340" s="4"/>
      <c r="Q340" s="5"/>
      <c r="R340" s="45" t="str">
        <f t="shared" ref="R340:AW340" si="309">IF(COUNTIFS($E$341:$E$346,"&lt;&gt;",$D$341:$D$346,"A",R$341:R$346,"&lt;&gt;")=0,"",IFERROR(SUMPRODUCT(--($E$341:$E$346&lt;&gt;""),--($D$341:$D$346="A"),$O$341:$O$346,R$341:R$346)/SUMPRODUCT(--($E$341:$E$346&lt;&gt;""),--($D$341:$D$346="A"),$O$341:$O$346),""))</f>
        <v/>
      </c>
      <c r="S340" s="45" t="str">
        <f t="shared" si="309"/>
        <v/>
      </c>
      <c r="T340" s="45" t="str">
        <f t="shared" si="309"/>
        <v/>
      </c>
      <c r="U340" s="45" t="str">
        <f t="shared" si="309"/>
        <v/>
      </c>
      <c r="V340" s="45" t="str">
        <f t="shared" si="309"/>
        <v/>
      </c>
      <c r="W340" s="45" t="str">
        <f t="shared" si="309"/>
        <v/>
      </c>
      <c r="X340" s="45" t="str">
        <f t="shared" si="309"/>
        <v/>
      </c>
      <c r="Y340" s="45" t="str">
        <f t="shared" si="309"/>
        <v/>
      </c>
      <c r="Z340" s="45" t="str">
        <f t="shared" si="309"/>
        <v/>
      </c>
      <c r="AA340" s="45" t="str">
        <f t="shared" si="309"/>
        <v/>
      </c>
      <c r="AB340" s="45" t="str">
        <f t="shared" si="309"/>
        <v/>
      </c>
      <c r="AC340" s="45" t="str">
        <f t="shared" si="309"/>
        <v/>
      </c>
      <c r="AD340" s="45" t="str">
        <f t="shared" si="309"/>
        <v/>
      </c>
      <c r="AE340" s="45" t="str">
        <f t="shared" si="309"/>
        <v/>
      </c>
      <c r="AF340" s="45" t="str">
        <f t="shared" si="309"/>
        <v/>
      </c>
      <c r="AG340" s="45" t="str">
        <f t="shared" si="309"/>
        <v/>
      </c>
      <c r="AH340" s="45" t="str">
        <f t="shared" si="309"/>
        <v/>
      </c>
      <c r="AI340" s="45" t="str">
        <f t="shared" si="309"/>
        <v/>
      </c>
      <c r="AJ340" s="45" t="str">
        <f t="shared" si="309"/>
        <v/>
      </c>
      <c r="AK340" s="45" t="str">
        <f t="shared" si="309"/>
        <v/>
      </c>
      <c r="AL340" s="45" t="str">
        <f t="shared" si="309"/>
        <v/>
      </c>
      <c r="AM340" s="45" t="str">
        <f t="shared" si="309"/>
        <v/>
      </c>
      <c r="AN340" s="45" t="str">
        <f t="shared" si="309"/>
        <v/>
      </c>
      <c r="AO340" s="45" t="str">
        <f t="shared" si="309"/>
        <v/>
      </c>
      <c r="AP340" s="45" t="str">
        <f t="shared" si="309"/>
        <v/>
      </c>
      <c r="AQ340" s="45" t="str">
        <f t="shared" si="309"/>
        <v/>
      </c>
      <c r="AR340" s="45" t="str">
        <f t="shared" si="309"/>
        <v/>
      </c>
      <c r="AS340" s="45" t="str">
        <f t="shared" si="309"/>
        <v/>
      </c>
      <c r="AT340" s="45" t="str">
        <f t="shared" si="309"/>
        <v/>
      </c>
      <c r="AU340" s="45" t="str">
        <f t="shared" si="309"/>
        <v/>
      </c>
      <c r="AV340" s="45" t="str">
        <f t="shared" si="309"/>
        <v/>
      </c>
      <c r="AW340" s="45" t="str">
        <f t="shared" si="309"/>
        <v/>
      </c>
      <c r="AX340" s="45" t="str">
        <f t="shared" ref="AX340:CC340" si="310">IF(COUNTIFS($E$341:$E$346,"&lt;&gt;",$D$341:$D$346,"A",AX$341:AX$346,"&lt;&gt;")=0,"",IFERROR(SUMPRODUCT(--($E$341:$E$346&lt;&gt;""),--($D$341:$D$346="A"),$O$341:$O$346,AX$341:AX$346)/SUMPRODUCT(--($E$341:$E$346&lt;&gt;""),--($D$341:$D$346="A"),$O$341:$O$346),""))</f>
        <v/>
      </c>
      <c r="AY340" s="45" t="str">
        <f t="shared" si="310"/>
        <v/>
      </c>
      <c r="AZ340" s="45" t="str">
        <f t="shared" si="310"/>
        <v/>
      </c>
      <c r="BA340" s="45" t="str">
        <f t="shared" si="310"/>
        <v/>
      </c>
      <c r="BB340" s="45" t="str">
        <f t="shared" si="310"/>
        <v/>
      </c>
      <c r="BC340" s="45" t="str">
        <f t="shared" si="310"/>
        <v/>
      </c>
      <c r="BD340" s="45" t="str">
        <f t="shared" si="310"/>
        <v/>
      </c>
      <c r="BE340" s="45" t="str">
        <f t="shared" si="310"/>
        <v/>
      </c>
      <c r="BF340" s="45" t="str">
        <f t="shared" si="310"/>
        <v/>
      </c>
      <c r="BG340" s="45" t="str">
        <f t="shared" si="310"/>
        <v/>
      </c>
      <c r="BH340" s="45" t="str">
        <f t="shared" si="310"/>
        <v/>
      </c>
      <c r="BI340" s="45" t="str">
        <f t="shared" si="310"/>
        <v/>
      </c>
      <c r="BJ340" s="45" t="str">
        <f t="shared" si="310"/>
        <v/>
      </c>
      <c r="BK340" s="45" t="str">
        <f t="shared" si="310"/>
        <v/>
      </c>
      <c r="BL340" s="45" t="str">
        <f t="shared" si="310"/>
        <v/>
      </c>
      <c r="BM340" s="45" t="str">
        <f t="shared" si="310"/>
        <v/>
      </c>
      <c r="BN340" s="45" t="str">
        <f t="shared" si="310"/>
        <v/>
      </c>
      <c r="BO340" s="45" t="str">
        <f t="shared" si="310"/>
        <v/>
      </c>
      <c r="BP340" s="45" t="str">
        <f t="shared" si="310"/>
        <v/>
      </c>
      <c r="BQ340" s="45" t="str">
        <f t="shared" si="310"/>
        <v/>
      </c>
      <c r="BR340" s="45" t="str">
        <f t="shared" si="310"/>
        <v/>
      </c>
      <c r="BS340" s="45" t="str">
        <f t="shared" si="310"/>
        <v/>
      </c>
      <c r="BT340" s="45" t="str">
        <f t="shared" si="310"/>
        <v/>
      </c>
      <c r="BU340" s="45" t="str">
        <f t="shared" si="310"/>
        <v/>
      </c>
      <c r="BV340" s="45" t="str">
        <f t="shared" si="310"/>
        <v/>
      </c>
      <c r="BW340" s="45" t="str">
        <f t="shared" si="310"/>
        <v/>
      </c>
      <c r="BX340" s="45" t="str">
        <f t="shared" si="310"/>
        <v/>
      </c>
      <c r="BY340" s="45" t="str">
        <f t="shared" si="310"/>
        <v/>
      </c>
      <c r="BZ340" s="45" t="str">
        <f t="shared" si="310"/>
        <v/>
      </c>
      <c r="CA340" s="45" t="str">
        <f t="shared" si="310"/>
        <v/>
      </c>
      <c r="CB340" s="45" t="str">
        <f t="shared" si="310"/>
        <v/>
      </c>
      <c r="CC340" s="45" t="str">
        <f t="shared" si="310"/>
        <v/>
      </c>
      <c r="CD340" s="45" t="str">
        <f t="shared" ref="CD340:CO340" si="311">IF(COUNTIFS($E$341:$E$346,"&lt;&gt;",$D$341:$D$346,"A",CD$341:CD$346,"&lt;&gt;")=0,"",IFERROR(SUMPRODUCT(--($E$341:$E$346&lt;&gt;""),--($D$341:$D$346="A"),$O$341:$O$346,CD$341:CD$346)/SUMPRODUCT(--($E$341:$E$346&lt;&gt;""),--($D$341:$D$346="A"),$O$341:$O$346),""))</f>
        <v/>
      </c>
      <c r="CE340" s="45" t="str">
        <f t="shared" si="311"/>
        <v/>
      </c>
      <c r="CF340" s="45" t="str">
        <f t="shared" si="311"/>
        <v/>
      </c>
      <c r="CG340" s="45" t="str">
        <f t="shared" si="311"/>
        <v/>
      </c>
      <c r="CH340" s="45" t="str">
        <f t="shared" si="311"/>
        <v/>
      </c>
      <c r="CI340" s="45" t="str">
        <f t="shared" si="311"/>
        <v/>
      </c>
      <c r="CJ340" s="45" t="str">
        <f t="shared" si="311"/>
        <v/>
      </c>
      <c r="CK340" s="45" t="str">
        <f t="shared" si="311"/>
        <v/>
      </c>
      <c r="CL340" s="45" t="str">
        <f t="shared" si="311"/>
        <v/>
      </c>
      <c r="CM340" s="45" t="str">
        <f t="shared" si="311"/>
        <v/>
      </c>
      <c r="CN340" s="45" t="str">
        <f t="shared" si="311"/>
        <v/>
      </c>
      <c r="CO340" s="45" t="str">
        <f t="shared" si="311"/>
        <v/>
      </c>
    </row>
    <row r="341" spans="1:93" outlineLevel="4" x14ac:dyDescent="0.25">
      <c r="A341" s="10" t="s">
        <v>116</v>
      </c>
      <c r="B341" s="10" t="s">
        <v>488</v>
      </c>
      <c r="C341" s="24" t="s">
        <v>358</v>
      </c>
      <c r="D341" s="12" t="s">
        <v>110</v>
      </c>
      <c r="E341" s="10" t="s">
        <v>489</v>
      </c>
      <c r="F341" s="10">
        <v>168</v>
      </c>
      <c r="G341" s="10">
        <v>175</v>
      </c>
      <c r="H341" s="10">
        <v>4</v>
      </c>
      <c r="I341" s="13">
        <v>46451.333333333343</v>
      </c>
      <c r="J341" s="13">
        <v>46478.666666666657</v>
      </c>
      <c r="K341" s="13"/>
      <c r="L341" s="13"/>
      <c r="M341" s="14">
        <f t="shared" si="293"/>
        <v>1</v>
      </c>
      <c r="N341" s="14"/>
      <c r="O341" s="16">
        <v>100000</v>
      </c>
      <c r="P341" s="15">
        <v>0.66666666666666663</v>
      </c>
      <c r="Q341" s="16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>
        <v>8.232686024596635E-3</v>
      </c>
      <c r="BY341" s="47">
        <v>0.25827437283171772</v>
      </c>
      <c r="BZ341" s="47">
        <v>0.42582245216438819</v>
      </c>
      <c r="CA341" s="47">
        <v>0.25827437283171772</v>
      </c>
      <c r="CB341" s="47">
        <v>4.9396116147579772E-2</v>
      </c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</row>
    <row r="342" spans="1:93" outlineLevel="4" x14ac:dyDescent="0.25">
      <c r="A342" s="17"/>
      <c r="B342" s="17"/>
      <c r="C342" s="25"/>
      <c r="D342" s="19" t="s">
        <v>111</v>
      </c>
      <c r="E342" s="17" t="s">
        <v>489</v>
      </c>
      <c r="F342" s="17"/>
      <c r="G342" s="17"/>
      <c r="H342" s="17"/>
      <c r="I342" s="20"/>
      <c r="J342" s="20"/>
      <c r="K342" s="20"/>
      <c r="L342" s="20"/>
      <c r="M342" s="21" t="str">
        <f t="shared" si="293"/>
        <v/>
      </c>
      <c r="N342" s="21">
        <v>0</v>
      </c>
      <c r="O342" s="48">
        <f>O341</f>
        <v>100000</v>
      </c>
      <c r="P342" s="22"/>
      <c r="Q342" s="23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</row>
    <row r="343" spans="1:93" outlineLevel="4" x14ac:dyDescent="0.25">
      <c r="A343" s="10" t="s">
        <v>116</v>
      </c>
      <c r="B343" s="10" t="s">
        <v>490</v>
      </c>
      <c r="C343" s="24" t="s">
        <v>361</v>
      </c>
      <c r="D343" s="12" t="s">
        <v>110</v>
      </c>
      <c r="E343" s="10" t="s">
        <v>491</v>
      </c>
      <c r="F343" s="10">
        <v>169</v>
      </c>
      <c r="G343" s="10">
        <v>176</v>
      </c>
      <c r="H343" s="10">
        <v>4</v>
      </c>
      <c r="I343" s="13">
        <v>46479.333333333343</v>
      </c>
      <c r="J343" s="13">
        <v>46499.666666666657</v>
      </c>
      <c r="K343" s="13"/>
      <c r="L343" s="13"/>
      <c r="M343" s="14">
        <f t="shared" si="293"/>
        <v>1</v>
      </c>
      <c r="N343" s="14"/>
      <c r="O343" s="16">
        <v>100000</v>
      </c>
      <c r="P343" s="15">
        <v>0.66666666666666663</v>
      </c>
      <c r="Q343" s="16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>
        <v>4.7619047619047623E-2</v>
      </c>
      <c r="CC343" s="47">
        <v>0.33333333333333331</v>
      </c>
      <c r="CD343" s="47">
        <v>0.33333333333333331</v>
      </c>
      <c r="CE343" s="47">
        <v>0.28571428571428581</v>
      </c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</row>
    <row r="344" spans="1:93" outlineLevel="4" x14ac:dyDescent="0.25">
      <c r="A344" s="17"/>
      <c r="B344" s="17"/>
      <c r="C344" s="25"/>
      <c r="D344" s="19" t="s">
        <v>111</v>
      </c>
      <c r="E344" s="17" t="s">
        <v>491</v>
      </c>
      <c r="F344" s="17"/>
      <c r="G344" s="17"/>
      <c r="H344" s="17"/>
      <c r="I344" s="20"/>
      <c r="J344" s="20"/>
      <c r="K344" s="20"/>
      <c r="L344" s="20"/>
      <c r="M344" s="21" t="str">
        <f t="shared" si="293"/>
        <v/>
      </c>
      <c r="N344" s="21">
        <v>0</v>
      </c>
      <c r="O344" s="48">
        <f>O343</f>
        <v>100000</v>
      </c>
      <c r="P344" s="22"/>
      <c r="Q344" s="23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</row>
    <row r="345" spans="1:93" outlineLevel="4" x14ac:dyDescent="0.25">
      <c r="A345" s="10" t="s">
        <v>116</v>
      </c>
      <c r="B345" s="10" t="s">
        <v>492</v>
      </c>
      <c r="C345" s="24" t="s">
        <v>493</v>
      </c>
      <c r="D345" s="12" t="s">
        <v>110</v>
      </c>
      <c r="E345" s="10" t="s">
        <v>494</v>
      </c>
      <c r="F345" s="10">
        <v>170</v>
      </c>
      <c r="G345" s="10">
        <v>177</v>
      </c>
      <c r="H345" s="10">
        <v>4</v>
      </c>
      <c r="I345" s="13">
        <v>46490.333333333343</v>
      </c>
      <c r="J345" s="13">
        <v>46531.666666666657</v>
      </c>
      <c r="K345" s="13"/>
      <c r="L345" s="13"/>
      <c r="M345" s="14">
        <f t="shared" si="293"/>
        <v>1</v>
      </c>
      <c r="N345" s="14"/>
      <c r="O345" s="16">
        <v>100000</v>
      </c>
      <c r="P345" s="15">
        <v>0.66666666666666663</v>
      </c>
      <c r="Q345" s="16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>
        <v>9.5238095238095247E-2</v>
      </c>
      <c r="CE345" s="47">
        <v>0.16666666666666671</v>
      </c>
      <c r="CF345" s="47">
        <v>0.16666666666666671</v>
      </c>
      <c r="CG345" s="47">
        <v>0.16666666666666671</v>
      </c>
      <c r="CH345" s="47">
        <v>0.16666666666666671</v>
      </c>
      <c r="CI345" s="47">
        <v>0.16666666666666671</v>
      </c>
      <c r="CJ345" s="47">
        <v>7.1428571428571175E-2</v>
      </c>
      <c r="CK345" s="47"/>
      <c r="CL345" s="47"/>
      <c r="CM345" s="47"/>
      <c r="CN345" s="47"/>
      <c r="CO345" s="47"/>
    </row>
    <row r="346" spans="1:93" outlineLevel="4" x14ac:dyDescent="0.25">
      <c r="A346" s="17"/>
      <c r="B346" s="17"/>
      <c r="C346" s="25"/>
      <c r="D346" s="19" t="s">
        <v>111</v>
      </c>
      <c r="E346" s="17" t="s">
        <v>494</v>
      </c>
      <c r="F346" s="17"/>
      <c r="G346" s="17"/>
      <c r="H346" s="17"/>
      <c r="I346" s="20"/>
      <c r="J346" s="20"/>
      <c r="K346" s="20"/>
      <c r="L346" s="20"/>
      <c r="M346" s="21" t="str">
        <f t="shared" si="293"/>
        <v/>
      </c>
      <c r="N346" s="21">
        <v>0</v>
      </c>
      <c r="O346" s="48">
        <f>O345</f>
        <v>100000</v>
      </c>
      <c r="P346" s="22"/>
      <c r="Q346" s="23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</row>
    <row r="347" spans="1:93" outlineLevel="2" x14ac:dyDescent="0.25">
      <c r="A347" s="1" t="s">
        <v>92</v>
      </c>
      <c r="B347" s="1" t="s">
        <v>495</v>
      </c>
      <c r="C347" s="6" t="s">
        <v>496</v>
      </c>
      <c r="D347" s="8" t="s">
        <v>110</v>
      </c>
      <c r="E347" s="1"/>
      <c r="F347" s="1">
        <v>171</v>
      </c>
      <c r="G347" s="1">
        <v>178</v>
      </c>
      <c r="H347" s="1">
        <v>2</v>
      </c>
      <c r="I347" s="9">
        <v>46335.333333333343</v>
      </c>
      <c r="J347" s="9">
        <v>46423.666666666657</v>
      </c>
      <c r="K347" s="9"/>
      <c r="L347" s="9"/>
      <c r="M347" s="3">
        <f t="shared" si="293"/>
        <v>1.0000000000000002</v>
      </c>
      <c r="N347" s="3"/>
      <c r="O347" s="5">
        <f>SUMIFS($O$348:$O$361,$A$348:$A$361,"Activity",$D$348:$D$361,"P")</f>
        <v>500000</v>
      </c>
      <c r="P347" s="4"/>
      <c r="Q347" s="5"/>
      <c r="R347" s="45" t="str">
        <f t="shared" ref="R347:AW347" si="312">IF(COUNTIFS($A$349:$A$362,"Activity",$D$349:$D$362,"P",R$349:R$362,"&lt;&gt;")=0,"",IFERROR(SUMPRODUCT(--($A$349:$A$362="Activity"),--($D$349:$D$362="P"),$O$349:$O$362,R$349:R$362)/SUMPRODUCT(--($A$349:$A$362="Activity"),--($D$349:$D$362="P"),$O$349:$O$362),""))</f>
        <v/>
      </c>
      <c r="S347" s="45" t="str">
        <f t="shared" si="312"/>
        <v/>
      </c>
      <c r="T347" s="45" t="str">
        <f t="shared" si="312"/>
        <v/>
      </c>
      <c r="U347" s="45" t="str">
        <f t="shared" si="312"/>
        <v/>
      </c>
      <c r="V347" s="45" t="str">
        <f t="shared" si="312"/>
        <v/>
      </c>
      <c r="W347" s="45" t="str">
        <f t="shared" si="312"/>
        <v/>
      </c>
      <c r="X347" s="45" t="str">
        <f t="shared" si="312"/>
        <v/>
      </c>
      <c r="Y347" s="45" t="str">
        <f t="shared" si="312"/>
        <v/>
      </c>
      <c r="Z347" s="45" t="str">
        <f t="shared" si="312"/>
        <v/>
      </c>
      <c r="AA347" s="45" t="str">
        <f t="shared" si="312"/>
        <v/>
      </c>
      <c r="AB347" s="45" t="str">
        <f t="shared" si="312"/>
        <v/>
      </c>
      <c r="AC347" s="45" t="str">
        <f t="shared" si="312"/>
        <v/>
      </c>
      <c r="AD347" s="45" t="str">
        <f t="shared" si="312"/>
        <v/>
      </c>
      <c r="AE347" s="45" t="str">
        <f t="shared" si="312"/>
        <v/>
      </c>
      <c r="AF347" s="45" t="str">
        <f t="shared" si="312"/>
        <v/>
      </c>
      <c r="AG347" s="45" t="str">
        <f t="shared" si="312"/>
        <v/>
      </c>
      <c r="AH347" s="45" t="str">
        <f t="shared" si="312"/>
        <v/>
      </c>
      <c r="AI347" s="45" t="str">
        <f t="shared" si="312"/>
        <v/>
      </c>
      <c r="AJ347" s="45" t="str">
        <f t="shared" si="312"/>
        <v/>
      </c>
      <c r="AK347" s="45" t="str">
        <f t="shared" si="312"/>
        <v/>
      </c>
      <c r="AL347" s="45" t="str">
        <f t="shared" si="312"/>
        <v/>
      </c>
      <c r="AM347" s="45" t="str">
        <f t="shared" si="312"/>
        <v/>
      </c>
      <c r="AN347" s="45" t="str">
        <f t="shared" si="312"/>
        <v/>
      </c>
      <c r="AO347" s="45" t="str">
        <f t="shared" si="312"/>
        <v/>
      </c>
      <c r="AP347" s="45" t="str">
        <f t="shared" si="312"/>
        <v/>
      </c>
      <c r="AQ347" s="45" t="str">
        <f t="shared" si="312"/>
        <v/>
      </c>
      <c r="AR347" s="45" t="str">
        <f t="shared" si="312"/>
        <v/>
      </c>
      <c r="AS347" s="45" t="str">
        <f t="shared" si="312"/>
        <v/>
      </c>
      <c r="AT347" s="45" t="str">
        <f t="shared" si="312"/>
        <v/>
      </c>
      <c r="AU347" s="45" t="str">
        <f t="shared" si="312"/>
        <v/>
      </c>
      <c r="AV347" s="45" t="str">
        <f t="shared" si="312"/>
        <v/>
      </c>
      <c r="AW347" s="45" t="str">
        <f t="shared" si="312"/>
        <v/>
      </c>
      <c r="AX347" s="45" t="str">
        <f t="shared" ref="AX347:CC347" si="313">IF(COUNTIFS($A$349:$A$362,"Activity",$D$349:$D$362,"P",AX$349:AX$362,"&lt;&gt;")=0,"",IFERROR(SUMPRODUCT(--($A$349:$A$362="Activity"),--($D$349:$D$362="P"),$O$349:$O$362,AX$349:AX$362)/SUMPRODUCT(--($A$349:$A$362="Activity"),--($D$349:$D$362="P"),$O$349:$O$362),""))</f>
        <v/>
      </c>
      <c r="AY347" s="45" t="str">
        <f t="shared" si="313"/>
        <v/>
      </c>
      <c r="AZ347" s="45" t="str">
        <f t="shared" si="313"/>
        <v/>
      </c>
      <c r="BA347" s="45" t="str">
        <f t="shared" si="313"/>
        <v/>
      </c>
      <c r="BB347" s="45" t="str">
        <f t="shared" si="313"/>
        <v/>
      </c>
      <c r="BC347" s="45" t="str">
        <f t="shared" si="313"/>
        <v/>
      </c>
      <c r="BD347" s="45" t="str">
        <f t="shared" si="313"/>
        <v/>
      </c>
      <c r="BE347" s="45" t="str">
        <f t="shared" si="313"/>
        <v/>
      </c>
      <c r="BF347" s="45" t="str">
        <f t="shared" si="313"/>
        <v/>
      </c>
      <c r="BG347" s="45" t="str">
        <f t="shared" si="313"/>
        <v/>
      </c>
      <c r="BH347" s="45">
        <f t="shared" si="313"/>
        <v>5.2631578947368418E-2</v>
      </c>
      <c r="BI347" s="45">
        <f t="shared" si="313"/>
        <v>7.3684210526315783E-2</v>
      </c>
      <c r="BJ347" s="45">
        <f t="shared" si="313"/>
        <v>7.3684210526315796E-2</v>
      </c>
      <c r="BK347" s="45">
        <f t="shared" si="313"/>
        <v>7.7631578947368426E-2</v>
      </c>
      <c r="BL347" s="45">
        <f t="shared" si="313"/>
        <v>0.10868421052631579</v>
      </c>
      <c r="BM347" s="45">
        <f t="shared" si="313"/>
        <v>0.1086842105263158</v>
      </c>
      <c r="BN347" s="45">
        <f t="shared" si="313"/>
        <v>0.11833333333333332</v>
      </c>
      <c r="BO347" s="45">
        <f t="shared" si="313"/>
        <v>0.1516666666666667</v>
      </c>
      <c r="BP347" s="45">
        <f t="shared" si="313"/>
        <v>6.5303030303030293E-2</v>
      </c>
      <c r="BQ347" s="45">
        <f t="shared" si="313"/>
        <v>4.242424242424242E-2</v>
      </c>
      <c r="BR347" s="45">
        <f t="shared" si="313"/>
        <v>4.242424242424242E-2</v>
      </c>
      <c r="BS347" s="45">
        <f t="shared" si="313"/>
        <v>4.242424242424242E-2</v>
      </c>
      <c r="BT347" s="45">
        <f t="shared" si="313"/>
        <v>4.2424242424242392E-2</v>
      </c>
      <c r="BU347" s="45" t="str">
        <f t="shared" si="313"/>
        <v/>
      </c>
      <c r="BV347" s="45" t="str">
        <f t="shared" si="313"/>
        <v/>
      </c>
      <c r="BW347" s="45" t="str">
        <f t="shared" si="313"/>
        <v/>
      </c>
      <c r="BX347" s="45" t="str">
        <f t="shared" si="313"/>
        <v/>
      </c>
      <c r="BY347" s="45" t="str">
        <f t="shared" si="313"/>
        <v/>
      </c>
      <c r="BZ347" s="45" t="str">
        <f t="shared" si="313"/>
        <v/>
      </c>
      <c r="CA347" s="45" t="str">
        <f t="shared" si="313"/>
        <v/>
      </c>
      <c r="CB347" s="45" t="str">
        <f t="shared" si="313"/>
        <v/>
      </c>
      <c r="CC347" s="45" t="str">
        <f t="shared" si="313"/>
        <v/>
      </c>
      <c r="CD347" s="45" t="str">
        <f t="shared" ref="CD347:CO347" si="314">IF(COUNTIFS($A$349:$A$362,"Activity",$D$349:$D$362,"P",CD$349:CD$362,"&lt;&gt;")=0,"",IFERROR(SUMPRODUCT(--($A$349:$A$362="Activity"),--($D$349:$D$362="P"),$O$349:$O$362,CD$349:CD$362)/SUMPRODUCT(--($A$349:$A$362="Activity"),--($D$349:$D$362="P"),$O$349:$O$362),""))</f>
        <v/>
      </c>
      <c r="CE347" s="45" t="str">
        <f t="shared" si="314"/>
        <v/>
      </c>
      <c r="CF347" s="45" t="str">
        <f t="shared" si="314"/>
        <v/>
      </c>
      <c r="CG347" s="45" t="str">
        <f t="shared" si="314"/>
        <v/>
      </c>
      <c r="CH347" s="45" t="str">
        <f t="shared" si="314"/>
        <v/>
      </c>
      <c r="CI347" s="45" t="str">
        <f t="shared" si="314"/>
        <v/>
      </c>
      <c r="CJ347" s="45" t="str">
        <f t="shared" si="314"/>
        <v/>
      </c>
      <c r="CK347" s="45" t="str">
        <f t="shared" si="314"/>
        <v/>
      </c>
      <c r="CL347" s="45" t="str">
        <f t="shared" si="314"/>
        <v/>
      </c>
      <c r="CM347" s="45" t="str">
        <f t="shared" si="314"/>
        <v/>
      </c>
      <c r="CN347" s="45" t="str">
        <f t="shared" si="314"/>
        <v/>
      </c>
      <c r="CO347" s="45" t="str">
        <f t="shared" si="314"/>
        <v/>
      </c>
    </row>
    <row r="348" spans="1:93" outlineLevel="2" x14ac:dyDescent="0.25">
      <c r="A348" s="1"/>
      <c r="B348" s="1"/>
      <c r="C348" s="6"/>
      <c r="D348" s="8" t="s">
        <v>111</v>
      </c>
      <c r="E348" s="1"/>
      <c r="F348" s="1"/>
      <c r="G348" s="1"/>
      <c r="H348" s="1"/>
      <c r="I348" s="9"/>
      <c r="J348" s="9"/>
      <c r="K348" s="9"/>
      <c r="L348" s="9"/>
      <c r="M348" s="3" t="str">
        <f t="shared" si="293"/>
        <v/>
      </c>
      <c r="N348" s="3"/>
      <c r="O348" s="46">
        <f>O347</f>
        <v>500000</v>
      </c>
      <c r="P348" s="4"/>
      <c r="Q348" s="5"/>
      <c r="R348" s="45" t="str">
        <f t="shared" ref="R348:AW348" si="315">IF(COUNTIFS($E$349:$E$362,"&lt;&gt;",$D$349:$D$362,"A",R$349:R$362,"&lt;&gt;")=0,"",IFERROR(SUMPRODUCT(--($E$349:$E$362&lt;&gt;""),--($D$349:$D$362="A"),$O$349:$O$362,R$349:R$362)/SUMPRODUCT(--($E$349:$E$362&lt;&gt;""),--($D$349:$D$362="A"),$O$349:$O$362),""))</f>
        <v/>
      </c>
      <c r="S348" s="45" t="str">
        <f t="shared" si="315"/>
        <v/>
      </c>
      <c r="T348" s="45" t="str">
        <f t="shared" si="315"/>
        <v/>
      </c>
      <c r="U348" s="45" t="str">
        <f t="shared" si="315"/>
        <v/>
      </c>
      <c r="V348" s="45" t="str">
        <f t="shared" si="315"/>
        <v/>
      </c>
      <c r="W348" s="45" t="str">
        <f t="shared" si="315"/>
        <v/>
      </c>
      <c r="X348" s="45" t="str">
        <f t="shared" si="315"/>
        <v/>
      </c>
      <c r="Y348" s="45" t="str">
        <f t="shared" si="315"/>
        <v/>
      </c>
      <c r="Z348" s="45" t="str">
        <f t="shared" si="315"/>
        <v/>
      </c>
      <c r="AA348" s="45" t="str">
        <f t="shared" si="315"/>
        <v/>
      </c>
      <c r="AB348" s="45" t="str">
        <f t="shared" si="315"/>
        <v/>
      </c>
      <c r="AC348" s="45" t="str">
        <f t="shared" si="315"/>
        <v/>
      </c>
      <c r="AD348" s="45" t="str">
        <f t="shared" si="315"/>
        <v/>
      </c>
      <c r="AE348" s="45" t="str">
        <f t="shared" si="315"/>
        <v/>
      </c>
      <c r="AF348" s="45" t="str">
        <f t="shared" si="315"/>
        <v/>
      </c>
      <c r="AG348" s="45" t="str">
        <f t="shared" si="315"/>
        <v/>
      </c>
      <c r="AH348" s="45" t="str">
        <f t="shared" si="315"/>
        <v/>
      </c>
      <c r="AI348" s="45" t="str">
        <f t="shared" si="315"/>
        <v/>
      </c>
      <c r="AJ348" s="45" t="str">
        <f t="shared" si="315"/>
        <v/>
      </c>
      <c r="AK348" s="45" t="str">
        <f t="shared" si="315"/>
        <v/>
      </c>
      <c r="AL348" s="45" t="str">
        <f t="shared" si="315"/>
        <v/>
      </c>
      <c r="AM348" s="45" t="str">
        <f t="shared" si="315"/>
        <v/>
      </c>
      <c r="AN348" s="45" t="str">
        <f t="shared" si="315"/>
        <v/>
      </c>
      <c r="AO348" s="45" t="str">
        <f t="shared" si="315"/>
        <v/>
      </c>
      <c r="AP348" s="45" t="str">
        <f t="shared" si="315"/>
        <v/>
      </c>
      <c r="AQ348" s="45" t="str">
        <f t="shared" si="315"/>
        <v/>
      </c>
      <c r="AR348" s="45" t="str">
        <f t="shared" si="315"/>
        <v/>
      </c>
      <c r="AS348" s="45" t="str">
        <f t="shared" si="315"/>
        <v/>
      </c>
      <c r="AT348" s="45" t="str">
        <f t="shared" si="315"/>
        <v/>
      </c>
      <c r="AU348" s="45" t="str">
        <f t="shared" si="315"/>
        <v/>
      </c>
      <c r="AV348" s="45" t="str">
        <f t="shared" si="315"/>
        <v/>
      </c>
      <c r="AW348" s="45" t="str">
        <f t="shared" si="315"/>
        <v/>
      </c>
      <c r="AX348" s="45" t="str">
        <f t="shared" ref="AX348:CC348" si="316">IF(COUNTIFS($E$349:$E$362,"&lt;&gt;",$D$349:$D$362,"A",AX$349:AX$362,"&lt;&gt;")=0,"",IFERROR(SUMPRODUCT(--($E$349:$E$362&lt;&gt;""),--($D$349:$D$362="A"),$O$349:$O$362,AX$349:AX$362)/SUMPRODUCT(--($E$349:$E$362&lt;&gt;""),--($D$349:$D$362="A"),$O$349:$O$362),""))</f>
        <v/>
      </c>
      <c r="AY348" s="45" t="str">
        <f t="shared" si="316"/>
        <v/>
      </c>
      <c r="AZ348" s="45" t="str">
        <f t="shared" si="316"/>
        <v/>
      </c>
      <c r="BA348" s="45" t="str">
        <f t="shared" si="316"/>
        <v/>
      </c>
      <c r="BB348" s="45" t="str">
        <f t="shared" si="316"/>
        <v/>
      </c>
      <c r="BC348" s="45" t="str">
        <f t="shared" si="316"/>
        <v/>
      </c>
      <c r="BD348" s="45" t="str">
        <f t="shared" si="316"/>
        <v/>
      </c>
      <c r="BE348" s="45" t="str">
        <f t="shared" si="316"/>
        <v/>
      </c>
      <c r="BF348" s="45" t="str">
        <f t="shared" si="316"/>
        <v/>
      </c>
      <c r="BG348" s="45" t="str">
        <f t="shared" si="316"/>
        <v/>
      </c>
      <c r="BH348" s="45" t="str">
        <f t="shared" si="316"/>
        <v/>
      </c>
      <c r="BI348" s="45" t="str">
        <f t="shared" si="316"/>
        <v/>
      </c>
      <c r="BJ348" s="45" t="str">
        <f t="shared" si="316"/>
        <v/>
      </c>
      <c r="BK348" s="45" t="str">
        <f t="shared" si="316"/>
        <v/>
      </c>
      <c r="BL348" s="45" t="str">
        <f t="shared" si="316"/>
        <v/>
      </c>
      <c r="BM348" s="45" t="str">
        <f t="shared" si="316"/>
        <v/>
      </c>
      <c r="BN348" s="45" t="str">
        <f t="shared" si="316"/>
        <v/>
      </c>
      <c r="BO348" s="45" t="str">
        <f t="shared" si="316"/>
        <v/>
      </c>
      <c r="BP348" s="45" t="str">
        <f t="shared" si="316"/>
        <v/>
      </c>
      <c r="BQ348" s="45" t="str">
        <f t="shared" si="316"/>
        <v/>
      </c>
      <c r="BR348" s="45" t="str">
        <f t="shared" si="316"/>
        <v/>
      </c>
      <c r="BS348" s="45" t="str">
        <f t="shared" si="316"/>
        <v/>
      </c>
      <c r="BT348" s="45" t="str">
        <f t="shared" si="316"/>
        <v/>
      </c>
      <c r="BU348" s="45" t="str">
        <f t="shared" si="316"/>
        <v/>
      </c>
      <c r="BV348" s="45" t="str">
        <f t="shared" si="316"/>
        <v/>
      </c>
      <c r="BW348" s="45" t="str">
        <f t="shared" si="316"/>
        <v/>
      </c>
      <c r="BX348" s="45" t="str">
        <f t="shared" si="316"/>
        <v/>
      </c>
      <c r="BY348" s="45" t="str">
        <f t="shared" si="316"/>
        <v/>
      </c>
      <c r="BZ348" s="45" t="str">
        <f t="shared" si="316"/>
        <v/>
      </c>
      <c r="CA348" s="45" t="str">
        <f t="shared" si="316"/>
        <v/>
      </c>
      <c r="CB348" s="45" t="str">
        <f t="shared" si="316"/>
        <v/>
      </c>
      <c r="CC348" s="45" t="str">
        <f t="shared" si="316"/>
        <v/>
      </c>
      <c r="CD348" s="45" t="str">
        <f t="shared" ref="CD348:CO348" si="317">IF(COUNTIFS($E$349:$E$362,"&lt;&gt;",$D$349:$D$362,"A",CD$349:CD$362,"&lt;&gt;")=0,"",IFERROR(SUMPRODUCT(--($E$349:$E$362&lt;&gt;""),--($D$349:$D$362="A"),$O$349:$O$362,CD$349:CD$362)/SUMPRODUCT(--($E$349:$E$362&lt;&gt;""),--($D$349:$D$362="A"),$O$349:$O$362),""))</f>
        <v/>
      </c>
      <c r="CE348" s="45" t="str">
        <f t="shared" si="317"/>
        <v/>
      </c>
      <c r="CF348" s="45" t="str">
        <f t="shared" si="317"/>
        <v/>
      </c>
      <c r="CG348" s="45" t="str">
        <f t="shared" si="317"/>
        <v/>
      </c>
      <c r="CH348" s="45" t="str">
        <f t="shared" si="317"/>
        <v/>
      </c>
      <c r="CI348" s="45" t="str">
        <f t="shared" si="317"/>
        <v/>
      </c>
      <c r="CJ348" s="45" t="str">
        <f t="shared" si="317"/>
        <v/>
      </c>
      <c r="CK348" s="45" t="str">
        <f t="shared" si="317"/>
        <v/>
      </c>
      <c r="CL348" s="45" t="str">
        <f t="shared" si="317"/>
        <v/>
      </c>
      <c r="CM348" s="45" t="str">
        <f t="shared" si="317"/>
        <v/>
      </c>
      <c r="CN348" s="45" t="str">
        <f t="shared" si="317"/>
        <v/>
      </c>
      <c r="CO348" s="45" t="str">
        <f t="shared" si="317"/>
        <v/>
      </c>
    </row>
    <row r="349" spans="1:93" outlineLevel="3" x14ac:dyDescent="0.25">
      <c r="A349" s="1" t="s">
        <v>92</v>
      </c>
      <c r="B349" s="1" t="s">
        <v>497</v>
      </c>
      <c r="C349" s="7" t="s">
        <v>498</v>
      </c>
      <c r="D349" s="8" t="s">
        <v>110</v>
      </c>
      <c r="E349" s="1"/>
      <c r="F349" s="1">
        <v>172</v>
      </c>
      <c r="G349" s="1">
        <v>179</v>
      </c>
      <c r="H349" s="1">
        <v>3</v>
      </c>
      <c r="I349" s="9">
        <v>46335.333333333343</v>
      </c>
      <c r="J349" s="9">
        <v>46395.666666666657</v>
      </c>
      <c r="K349" s="9"/>
      <c r="L349" s="9"/>
      <c r="M349" s="3">
        <f t="shared" si="293"/>
        <v>1</v>
      </c>
      <c r="N349" s="3"/>
      <c r="O349" s="5">
        <f>SUMIFS($O$350:$O$353,$A$350:$A$353,"Activity",$D$350:$D$353,"P")</f>
        <v>200000</v>
      </c>
      <c r="P349" s="4"/>
      <c r="Q349" s="5"/>
      <c r="R349" s="45" t="str">
        <f t="shared" ref="R349:AW349" si="318">IF(COUNTIFS($A$351:$A$354,"Activity",$D$351:$D$354,"P",R$351:R$354,"&lt;&gt;")=0,"",IFERROR(SUMPRODUCT(--($A$351:$A$354="Activity"),--($D$351:$D$354="P"),$O$351:$O$354,R$351:R$354)/SUMPRODUCT(--($A$351:$A$354="Activity"),--($D$351:$D$354="P"),$O$351:$O$354),""))</f>
        <v/>
      </c>
      <c r="S349" s="45" t="str">
        <f t="shared" si="318"/>
        <v/>
      </c>
      <c r="T349" s="45" t="str">
        <f t="shared" si="318"/>
        <v/>
      </c>
      <c r="U349" s="45" t="str">
        <f t="shared" si="318"/>
        <v/>
      </c>
      <c r="V349" s="45" t="str">
        <f t="shared" si="318"/>
        <v/>
      </c>
      <c r="W349" s="45" t="str">
        <f t="shared" si="318"/>
        <v/>
      </c>
      <c r="X349" s="45" t="str">
        <f t="shared" si="318"/>
        <v/>
      </c>
      <c r="Y349" s="45" t="str">
        <f t="shared" si="318"/>
        <v/>
      </c>
      <c r="Z349" s="45" t="str">
        <f t="shared" si="318"/>
        <v/>
      </c>
      <c r="AA349" s="45" t="str">
        <f t="shared" si="318"/>
        <v/>
      </c>
      <c r="AB349" s="45" t="str">
        <f t="shared" si="318"/>
        <v/>
      </c>
      <c r="AC349" s="45" t="str">
        <f t="shared" si="318"/>
        <v/>
      </c>
      <c r="AD349" s="45" t="str">
        <f t="shared" si="318"/>
        <v/>
      </c>
      <c r="AE349" s="45" t="str">
        <f t="shared" si="318"/>
        <v/>
      </c>
      <c r="AF349" s="45" t="str">
        <f t="shared" si="318"/>
        <v/>
      </c>
      <c r="AG349" s="45" t="str">
        <f t="shared" si="318"/>
        <v/>
      </c>
      <c r="AH349" s="45" t="str">
        <f t="shared" si="318"/>
        <v/>
      </c>
      <c r="AI349" s="45" t="str">
        <f t="shared" si="318"/>
        <v/>
      </c>
      <c r="AJ349" s="45" t="str">
        <f t="shared" si="318"/>
        <v/>
      </c>
      <c r="AK349" s="45" t="str">
        <f t="shared" si="318"/>
        <v/>
      </c>
      <c r="AL349" s="45" t="str">
        <f t="shared" si="318"/>
        <v/>
      </c>
      <c r="AM349" s="45" t="str">
        <f t="shared" si="318"/>
        <v/>
      </c>
      <c r="AN349" s="45" t="str">
        <f t="shared" si="318"/>
        <v/>
      </c>
      <c r="AO349" s="45" t="str">
        <f t="shared" si="318"/>
        <v/>
      </c>
      <c r="AP349" s="45" t="str">
        <f t="shared" si="318"/>
        <v/>
      </c>
      <c r="AQ349" s="45" t="str">
        <f t="shared" si="318"/>
        <v/>
      </c>
      <c r="AR349" s="45" t="str">
        <f t="shared" si="318"/>
        <v/>
      </c>
      <c r="AS349" s="45" t="str">
        <f t="shared" si="318"/>
        <v/>
      </c>
      <c r="AT349" s="45" t="str">
        <f t="shared" si="318"/>
        <v/>
      </c>
      <c r="AU349" s="45" t="str">
        <f t="shared" si="318"/>
        <v/>
      </c>
      <c r="AV349" s="45" t="str">
        <f t="shared" si="318"/>
        <v/>
      </c>
      <c r="AW349" s="45" t="str">
        <f t="shared" si="318"/>
        <v/>
      </c>
      <c r="AX349" s="45" t="str">
        <f t="shared" ref="AX349:CC349" si="319">IF(COUNTIFS($A$351:$A$354,"Activity",$D$351:$D$354,"P",AX$351:AX$354,"&lt;&gt;")=0,"",IFERROR(SUMPRODUCT(--($A$351:$A$354="Activity"),--($D$351:$D$354="P"),$O$351:$O$354,AX$351:AX$354)/SUMPRODUCT(--($A$351:$A$354="Activity"),--($D$351:$D$354="P"),$O$351:$O$354),""))</f>
        <v/>
      </c>
      <c r="AY349" s="45" t="str">
        <f t="shared" si="319"/>
        <v/>
      </c>
      <c r="AZ349" s="45" t="str">
        <f t="shared" si="319"/>
        <v/>
      </c>
      <c r="BA349" s="45" t="str">
        <f t="shared" si="319"/>
        <v/>
      </c>
      <c r="BB349" s="45" t="str">
        <f t="shared" si="319"/>
        <v/>
      </c>
      <c r="BC349" s="45" t="str">
        <f t="shared" si="319"/>
        <v/>
      </c>
      <c r="BD349" s="45" t="str">
        <f t="shared" si="319"/>
        <v/>
      </c>
      <c r="BE349" s="45" t="str">
        <f t="shared" si="319"/>
        <v/>
      </c>
      <c r="BF349" s="45" t="str">
        <f t="shared" si="319"/>
        <v/>
      </c>
      <c r="BG349" s="45" t="str">
        <f t="shared" si="319"/>
        <v/>
      </c>
      <c r="BH349" s="45">
        <f t="shared" si="319"/>
        <v>0.13157894736842105</v>
      </c>
      <c r="BI349" s="45">
        <f t="shared" si="319"/>
        <v>0.18421052631578946</v>
      </c>
      <c r="BJ349" s="45">
        <f t="shared" si="319"/>
        <v>0.18421052631578949</v>
      </c>
      <c r="BK349" s="45">
        <f t="shared" si="319"/>
        <v>6.25E-2</v>
      </c>
      <c r="BL349" s="45">
        <f t="shared" si="319"/>
        <v>8.7499999999999994E-2</v>
      </c>
      <c r="BM349" s="45">
        <f t="shared" si="319"/>
        <v>8.7499999999999994E-2</v>
      </c>
      <c r="BN349" s="45">
        <f t="shared" si="319"/>
        <v>8.7499999999999994E-2</v>
      </c>
      <c r="BO349" s="45">
        <f t="shared" si="319"/>
        <v>8.7499999999999994E-2</v>
      </c>
      <c r="BP349" s="45">
        <f t="shared" si="319"/>
        <v>8.7499999999999994E-2</v>
      </c>
      <c r="BQ349" s="45" t="str">
        <f t="shared" si="319"/>
        <v/>
      </c>
      <c r="BR349" s="45" t="str">
        <f t="shared" si="319"/>
        <v/>
      </c>
      <c r="BS349" s="45" t="str">
        <f t="shared" si="319"/>
        <v/>
      </c>
      <c r="BT349" s="45" t="str">
        <f t="shared" si="319"/>
        <v/>
      </c>
      <c r="BU349" s="45" t="str">
        <f t="shared" si="319"/>
        <v/>
      </c>
      <c r="BV349" s="45" t="str">
        <f t="shared" si="319"/>
        <v/>
      </c>
      <c r="BW349" s="45" t="str">
        <f t="shared" si="319"/>
        <v/>
      </c>
      <c r="BX349" s="45" t="str">
        <f t="shared" si="319"/>
        <v/>
      </c>
      <c r="BY349" s="45" t="str">
        <f t="shared" si="319"/>
        <v/>
      </c>
      <c r="BZ349" s="45" t="str">
        <f t="shared" si="319"/>
        <v/>
      </c>
      <c r="CA349" s="45" t="str">
        <f t="shared" si="319"/>
        <v/>
      </c>
      <c r="CB349" s="45" t="str">
        <f t="shared" si="319"/>
        <v/>
      </c>
      <c r="CC349" s="45" t="str">
        <f t="shared" si="319"/>
        <v/>
      </c>
      <c r="CD349" s="45" t="str">
        <f t="shared" ref="CD349:CO349" si="320">IF(COUNTIFS($A$351:$A$354,"Activity",$D$351:$D$354,"P",CD$351:CD$354,"&lt;&gt;")=0,"",IFERROR(SUMPRODUCT(--($A$351:$A$354="Activity"),--($D$351:$D$354="P"),$O$351:$O$354,CD$351:CD$354)/SUMPRODUCT(--($A$351:$A$354="Activity"),--($D$351:$D$354="P"),$O$351:$O$354),""))</f>
        <v/>
      </c>
      <c r="CE349" s="45" t="str">
        <f t="shared" si="320"/>
        <v/>
      </c>
      <c r="CF349" s="45" t="str">
        <f t="shared" si="320"/>
        <v/>
      </c>
      <c r="CG349" s="45" t="str">
        <f t="shared" si="320"/>
        <v/>
      </c>
      <c r="CH349" s="45" t="str">
        <f t="shared" si="320"/>
        <v/>
      </c>
      <c r="CI349" s="45" t="str">
        <f t="shared" si="320"/>
        <v/>
      </c>
      <c r="CJ349" s="45" t="str">
        <f t="shared" si="320"/>
        <v/>
      </c>
      <c r="CK349" s="45" t="str">
        <f t="shared" si="320"/>
        <v/>
      </c>
      <c r="CL349" s="45" t="str">
        <f t="shared" si="320"/>
        <v/>
      </c>
      <c r="CM349" s="45" t="str">
        <f t="shared" si="320"/>
        <v/>
      </c>
      <c r="CN349" s="45" t="str">
        <f t="shared" si="320"/>
        <v/>
      </c>
      <c r="CO349" s="45" t="str">
        <f t="shared" si="320"/>
        <v/>
      </c>
    </row>
    <row r="350" spans="1:93" outlineLevel="3" x14ac:dyDescent="0.25">
      <c r="A350" s="1"/>
      <c r="B350" s="1"/>
      <c r="C350" s="7"/>
      <c r="D350" s="8" t="s">
        <v>111</v>
      </c>
      <c r="E350" s="1"/>
      <c r="F350" s="1"/>
      <c r="G350" s="1"/>
      <c r="H350" s="1"/>
      <c r="I350" s="9"/>
      <c r="J350" s="9"/>
      <c r="K350" s="9"/>
      <c r="L350" s="9"/>
      <c r="M350" s="3" t="str">
        <f t="shared" si="293"/>
        <v/>
      </c>
      <c r="N350" s="3"/>
      <c r="O350" s="46">
        <f>O349</f>
        <v>200000</v>
      </c>
      <c r="P350" s="4"/>
      <c r="Q350" s="5"/>
      <c r="R350" s="45" t="str">
        <f t="shared" ref="R350:AW350" si="321">IF(COUNTIFS($E$351:$E$354,"&lt;&gt;",$D$351:$D$354,"A",R$351:R$354,"&lt;&gt;")=0,"",IFERROR(SUMPRODUCT(--($E$351:$E$354&lt;&gt;""),--($D$351:$D$354="A"),$O$351:$O$354,R$351:R$354)/SUMPRODUCT(--($E$351:$E$354&lt;&gt;""),--($D$351:$D$354="A"),$O$351:$O$354),""))</f>
        <v/>
      </c>
      <c r="S350" s="45" t="str">
        <f t="shared" si="321"/>
        <v/>
      </c>
      <c r="T350" s="45" t="str">
        <f t="shared" si="321"/>
        <v/>
      </c>
      <c r="U350" s="45" t="str">
        <f t="shared" si="321"/>
        <v/>
      </c>
      <c r="V350" s="45" t="str">
        <f t="shared" si="321"/>
        <v/>
      </c>
      <c r="W350" s="45" t="str">
        <f t="shared" si="321"/>
        <v/>
      </c>
      <c r="X350" s="45" t="str">
        <f t="shared" si="321"/>
        <v/>
      </c>
      <c r="Y350" s="45" t="str">
        <f t="shared" si="321"/>
        <v/>
      </c>
      <c r="Z350" s="45" t="str">
        <f t="shared" si="321"/>
        <v/>
      </c>
      <c r="AA350" s="45" t="str">
        <f t="shared" si="321"/>
        <v/>
      </c>
      <c r="AB350" s="45" t="str">
        <f t="shared" si="321"/>
        <v/>
      </c>
      <c r="AC350" s="45" t="str">
        <f t="shared" si="321"/>
        <v/>
      </c>
      <c r="AD350" s="45" t="str">
        <f t="shared" si="321"/>
        <v/>
      </c>
      <c r="AE350" s="45" t="str">
        <f t="shared" si="321"/>
        <v/>
      </c>
      <c r="AF350" s="45" t="str">
        <f t="shared" si="321"/>
        <v/>
      </c>
      <c r="AG350" s="45" t="str">
        <f t="shared" si="321"/>
        <v/>
      </c>
      <c r="AH350" s="45" t="str">
        <f t="shared" si="321"/>
        <v/>
      </c>
      <c r="AI350" s="45" t="str">
        <f t="shared" si="321"/>
        <v/>
      </c>
      <c r="AJ350" s="45" t="str">
        <f t="shared" si="321"/>
        <v/>
      </c>
      <c r="AK350" s="45" t="str">
        <f t="shared" si="321"/>
        <v/>
      </c>
      <c r="AL350" s="45" t="str">
        <f t="shared" si="321"/>
        <v/>
      </c>
      <c r="AM350" s="45" t="str">
        <f t="shared" si="321"/>
        <v/>
      </c>
      <c r="AN350" s="45" t="str">
        <f t="shared" si="321"/>
        <v/>
      </c>
      <c r="AO350" s="45" t="str">
        <f t="shared" si="321"/>
        <v/>
      </c>
      <c r="AP350" s="45" t="str">
        <f t="shared" si="321"/>
        <v/>
      </c>
      <c r="AQ350" s="45" t="str">
        <f t="shared" si="321"/>
        <v/>
      </c>
      <c r="AR350" s="45" t="str">
        <f t="shared" si="321"/>
        <v/>
      </c>
      <c r="AS350" s="45" t="str">
        <f t="shared" si="321"/>
        <v/>
      </c>
      <c r="AT350" s="45" t="str">
        <f t="shared" si="321"/>
        <v/>
      </c>
      <c r="AU350" s="45" t="str">
        <f t="shared" si="321"/>
        <v/>
      </c>
      <c r="AV350" s="45" t="str">
        <f t="shared" si="321"/>
        <v/>
      </c>
      <c r="AW350" s="45" t="str">
        <f t="shared" si="321"/>
        <v/>
      </c>
      <c r="AX350" s="45" t="str">
        <f t="shared" ref="AX350:CC350" si="322">IF(COUNTIFS($E$351:$E$354,"&lt;&gt;",$D$351:$D$354,"A",AX$351:AX$354,"&lt;&gt;")=0,"",IFERROR(SUMPRODUCT(--($E$351:$E$354&lt;&gt;""),--($D$351:$D$354="A"),$O$351:$O$354,AX$351:AX$354)/SUMPRODUCT(--($E$351:$E$354&lt;&gt;""),--($D$351:$D$354="A"),$O$351:$O$354),""))</f>
        <v/>
      </c>
      <c r="AY350" s="45" t="str">
        <f t="shared" si="322"/>
        <v/>
      </c>
      <c r="AZ350" s="45" t="str">
        <f t="shared" si="322"/>
        <v/>
      </c>
      <c r="BA350" s="45" t="str">
        <f t="shared" si="322"/>
        <v/>
      </c>
      <c r="BB350" s="45" t="str">
        <f t="shared" si="322"/>
        <v/>
      </c>
      <c r="BC350" s="45" t="str">
        <f t="shared" si="322"/>
        <v/>
      </c>
      <c r="BD350" s="45" t="str">
        <f t="shared" si="322"/>
        <v/>
      </c>
      <c r="BE350" s="45" t="str">
        <f t="shared" si="322"/>
        <v/>
      </c>
      <c r="BF350" s="45" t="str">
        <f t="shared" si="322"/>
        <v/>
      </c>
      <c r="BG350" s="45" t="str">
        <f t="shared" si="322"/>
        <v/>
      </c>
      <c r="BH350" s="45" t="str">
        <f t="shared" si="322"/>
        <v/>
      </c>
      <c r="BI350" s="45" t="str">
        <f t="shared" si="322"/>
        <v/>
      </c>
      <c r="BJ350" s="45" t="str">
        <f t="shared" si="322"/>
        <v/>
      </c>
      <c r="BK350" s="45" t="str">
        <f t="shared" si="322"/>
        <v/>
      </c>
      <c r="BL350" s="45" t="str">
        <f t="shared" si="322"/>
        <v/>
      </c>
      <c r="BM350" s="45" t="str">
        <f t="shared" si="322"/>
        <v/>
      </c>
      <c r="BN350" s="45" t="str">
        <f t="shared" si="322"/>
        <v/>
      </c>
      <c r="BO350" s="45" t="str">
        <f t="shared" si="322"/>
        <v/>
      </c>
      <c r="BP350" s="45" t="str">
        <f t="shared" si="322"/>
        <v/>
      </c>
      <c r="BQ350" s="45" t="str">
        <f t="shared" si="322"/>
        <v/>
      </c>
      <c r="BR350" s="45" t="str">
        <f t="shared" si="322"/>
        <v/>
      </c>
      <c r="BS350" s="45" t="str">
        <f t="shared" si="322"/>
        <v/>
      </c>
      <c r="BT350" s="45" t="str">
        <f t="shared" si="322"/>
        <v/>
      </c>
      <c r="BU350" s="45" t="str">
        <f t="shared" si="322"/>
        <v/>
      </c>
      <c r="BV350" s="45" t="str">
        <f t="shared" si="322"/>
        <v/>
      </c>
      <c r="BW350" s="45" t="str">
        <f t="shared" si="322"/>
        <v/>
      </c>
      <c r="BX350" s="45" t="str">
        <f t="shared" si="322"/>
        <v/>
      </c>
      <c r="BY350" s="45" t="str">
        <f t="shared" si="322"/>
        <v/>
      </c>
      <c r="BZ350" s="45" t="str">
        <f t="shared" si="322"/>
        <v/>
      </c>
      <c r="CA350" s="45" t="str">
        <f t="shared" si="322"/>
        <v/>
      </c>
      <c r="CB350" s="45" t="str">
        <f t="shared" si="322"/>
        <v/>
      </c>
      <c r="CC350" s="45" t="str">
        <f t="shared" si="322"/>
        <v/>
      </c>
      <c r="CD350" s="45" t="str">
        <f t="shared" ref="CD350:CO350" si="323">IF(COUNTIFS($E$351:$E$354,"&lt;&gt;",$D$351:$D$354,"A",CD$351:CD$354,"&lt;&gt;")=0,"",IFERROR(SUMPRODUCT(--($E$351:$E$354&lt;&gt;""),--($D$351:$D$354="A"),$O$351:$O$354,CD$351:CD$354)/SUMPRODUCT(--($E$351:$E$354&lt;&gt;""),--($D$351:$D$354="A"),$O$351:$O$354),""))</f>
        <v/>
      </c>
      <c r="CE350" s="45" t="str">
        <f t="shared" si="323"/>
        <v/>
      </c>
      <c r="CF350" s="45" t="str">
        <f t="shared" si="323"/>
        <v/>
      </c>
      <c r="CG350" s="45" t="str">
        <f t="shared" si="323"/>
        <v/>
      </c>
      <c r="CH350" s="45" t="str">
        <f t="shared" si="323"/>
        <v/>
      </c>
      <c r="CI350" s="45" t="str">
        <f t="shared" si="323"/>
        <v/>
      </c>
      <c r="CJ350" s="45" t="str">
        <f t="shared" si="323"/>
        <v/>
      </c>
      <c r="CK350" s="45" t="str">
        <f t="shared" si="323"/>
        <v/>
      </c>
      <c r="CL350" s="45" t="str">
        <f t="shared" si="323"/>
        <v/>
      </c>
      <c r="CM350" s="45" t="str">
        <f t="shared" si="323"/>
        <v/>
      </c>
      <c r="CN350" s="45" t="str">
        <f t="shared" si="323"/>
        <v/>
      </c>
      <c r="CO350" s="45" t="str">
        <f t="shared" si="323"/>
        <v/>
      </c>
    </row>
    <row r="351" spans="1:93" outlineLevel="4" x14ac:dyDescent="0.25">
      <c r="A351" s="10" t="s">
        <v>116</v>
      </c>
      <c r="B351" s="10" t="s">
        <v>499</v>
      </c>
      <c r="C351" s="24" t="s">
        <v>500</v>
      </c>
      <c r="D351" s="12" t="s">
        <v>110</v>
      </c>
      <c r="E351" s="10" t="s">
        <v>501</v>
      </c>
      <c r="F351" s="10">
        <v>173</v>
      </c>
      <c r="G351" s="10">
        <v>180</v>
      </c>
      <c r="H351" s="10">
        <v>4</v>
      </c>
      <c r="I351" s="13">
        <v>46335.333333333343</v>
      </c>
      <c r="J351" s="13">
        <v>46353.666666666657</v>
      </c>
      <c r="K351" s="13"/>
      <c r="L351" s="13"/>
      <c r="M351" s="14">
        <f t="shared" si="293"/>
        <v>1</v>
      </c>
      <c r="N351" s="14"/>
      <c r="O351" s="16">
        <v>100000</v>
      </c>
      <c r="P351" s="15">
        <v>7.4666666666666668</v>
      </c>
      <c r="Q351" s="16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>
        <v>0.26315789473684209</v>
      </c>
      <c r="BI351" s="47">
        <v>0.36842105263157893</v>
      </c>
      <c r="BJ351" s="47">
        <v>0.36842105263157898</v>
      </c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</row>
    <row r="352" spans="1:93" outlineLevel="4" x14ac:dyDescent="0.25">
      <c r="A352" s="17"/>
      <c r="B352" s="17"/>
      <c r="C352" s="25"/>
      <c r="D352" s="19" t="s">
        <v>111</v>
      </c>
      <c r="E352" s="17" t="s">
        <v>501</v>
      </c>
      <c r="F352" s="17"/>
      <c r="G352" s="17"/>
      <c r="H352" s="17"/>
      <c r="I352" s="20"/>
      <c r="J352" s="20"/>
      <c r="K352" s="20"/>
      <c r="L352" s="20"/>
      <c r="M352" s="21" t="str">
        <f t="shared" si="293"/>
        <v/>
      </c>
      <c r="N352" s="21">
        <v>0</v>
      </c>
      <c r="O352" s="48">
        <f>O351</f>
        <v>100000</v>
      </c>
      <c r="P352" s="22"/>
      <c r="Q352" s="23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</row>
    <row r="353" spans="1:93" outlineLevel="4" x14ac:dyDescent="0.25">
      <c r="A353" s="10" t="s">
        <v>116</v>
      </c>
      <c r="B353" s="10" t="s">
        <v>502</v>
      </c>
      <c r="C353" s="24" t="s">
        <v>503</v>
      </c>
      <c r="D353" s="12" t="s">
        <v>110</v>
      </c>
      <c r="E353" s="10" t="s">
        <v>504</v>
      </c>
      <c r="F353" s="10">
        <v>174</v>
      </c>
      <c r="G353" s="10">
        <v>181</v>
      </c>
      <c r="H353" s="10">
        <v>4</v>
      </c>
      <c r="I353" s="13">
        <v>46356.333333333343</v>
      </c>
      <c r="J353" s="13">
        <v>46395.666666666657</v>
      </c>
      <c r="K353" s="13"/>
      <c r="L353" s="13"/>
      <c r="M353" s="14">
        <f t="shared" si="293"/>
        <v>1</v>
      </c>
      <c r="N353" s="14"/>
      <c r="O353" s="16">
        <v>100000</v>
      </c>
      <c r="P353" s="15">
        <v>7.4666666666666668</v>
      </c>
      <c r="Q353" s="16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>
        <v>0.125</v>
      </c>
      <c r="BL353" s="47">
        <v>0.17499999999999999</v>
      </c>
      <c r="BM353" s="47">
        <v>0.17499999999999999</v>
      </c>
      <c r="BN353" s="47">
        <v>0.17499999999999999</v>
      </c>
      <c r="BO353" s="47">
        <v>0.17499999999999999</v>
      </c>
      <c r="BP353" s="47">
        <v>0.17499999999999999</v>
      </c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</row>
    <row r="354" spans="1:93" outlineLevel="4" x14ac:dyDescent="0.25">
      <c r="A354" s="17"/>
      <c r="B354" s="17"/>
      <c r="C354" s="25"/>
      <c r="D354" s="19" t="s">
        <v>111</v>
      </c>
      <c r="E354" s="17" t="s">
        <v>504</v>
      </c>
      <c r="F354" s="17"/>
      <c r="G354" s="17"/>
      <c r="H354" s="17"/>
      <c r="I354" s="20"/>
      <c r="J354" s="20"/>
      <c r="K354" s="20"/>
      <c r="L354" s="20"/>
      <c r="M354" s="21" t="str">
        <f t="shared" si="293"/>
        <v/>
      </c>
      <c r="N354" s="21">
        <v>0</v>
      </c>
      <c r="O354" s="48">
        <f>O353</f>
        <v>100000</v>
      </c>
      <c r="P354" s="22"/>
      <c r="Q354" s="23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</row>
    <row r="355" spans="1:93" outlineLevel="3" x14ac:dyDescent="0.25">
      <c r="A355" s="1" t="s">
        <v>92</v>
      </c>
      <c r="B355" s="1" t="s">
        <v>505</v>
      </c>
      <c r="C355" s="7" t="s">
        <v>506</v>
      </c>
      <c r="D355" s="8" t="s">
        <v>110</v>
      </c>
      <c r="E355" s="1"/>
      <c r="F355" s="1">
        <v>175</v>
      </c>
      <c r="G355" s="1">
        <v>182</v>
      </c>
      <c r="H355" s="1">
        <v>3</v>
      </c>
      <c r="I355" s="9">
        <v>46356.333333333343</v>
      </c>
      <c r="J355" s="9">
        <v>46423.666666666657</v>
      </c>
      <c r="K355" s="9"/>
      <c r="L355" s="9"/>
      <c r="M355" s="3">
        <f t="shared" si="293"/>
        <v>1</v>
      </c>
      <c r="N355" s="3"/>
      <c r="O355" s="5">
        <f>SUMIFS($O$356:$O$361,$A$356:$A$361,"Activity",$D$356:$D$361,"P")</f>
        <v>300000</v>
      </c>
      <c r="P355" s="4"/>
      <c r="Q355" s="5"/>
      <c r="R355" s="45" t="str">
        <f t="shared" ref="R355:AW355" si="324">IF(COUNTIFS($A$357:$A$362,"Activity",$D$357:$D$362,"P",R$357:R$362,"&lt;&gt;")=0,"",IFERROR(SUMPRODUCT(--($A$357:$A$362="Activity"),--($D$357:$D$362="P"),$O$357:$O$362,R$357:R$362)/SUMPRODUCT(--($A$357:$A$362="Activity"),--($D$357:$D$362="P"),$O$357:$O$362),""))</f>
        <v/>
      </c>
      <c r="S355" s="45" t="str">
        <f t="shared" si="324"/>
        <v/>
      </c>
      <c r="T355" s="45" t="str">
        <f t="shared" si="324"/>
        <v/>
      </c>
      <c r="U355" s="45" t="str">
        <f t="shared" si="324"/>
        <v/>
      </c>
      <c r="V355" s="45" t="str">
        <f t="shared" si="324"/>
        <v/>
      </c>
      <c r="W355" s="45" t="str">
        <f t="shared" si="324"/>
        <v/>
      </c>
      <c r="X355" s="45" t="str">
        <f t="shared" si="324"/>
        <v/>
      </c>
      <c r="Y355" s="45" t="str">
        <f t="shared" si="324"/>
        <v/>
      </c>
      <c r="Z355" s="45" t="str">
        <f t="shared" si="324"/>
        <v/>
      </c>
      <c r="AA355" s="45" t="str">
        <f t="shared" si="324"/>
        <v/>
      </c>
      <c r="AB355" s="45" t="str">
        <f t="shared" si="324"/>
        <v/>
      </c>
      <c r="AC355" s="45" t="str">
        <f t="shared" si="324"/>
        <v/>
      </c>
      <c r="AD355" s="45" t="str">
        <f t="shared" si="324"/>
        <v/>
      </c>
      <c r="AE355" s="45" t="str">
        <f t="shared" si="324"/>
        <v/>
      </c>
      <c r="AF355" s="45" t="str">
        <f t="shared" si="324"/>
        <v/>
      </c>
      <c r="AG355" s="45" t="str">
        <f t="shared" si="324"/>
        <v/>
      </c>
      <c r="AH355" s="45" t="str">
        <f t="shared" si="324"/>
        <v/>
      </c>
      <c r="AI355" s="45" t="str">
        <f t="shared" si="324"/>
        <v/>
      </c>
      <c r="AJ355" s="45" t="str">
        <f t="shared" si="324"/>
        <v/>
      </c>
      <c r="AK355" s="45" t="str">
        <f t="shared" si="324"/>
        <v/>
      </c>
      <c r="AL355" s="45" t="str">
        <f t="shared" si="324"/>
        <v/>
      </c>
      <c r="AM355" s="45" t="str">
        <f t="shared" si="324"/>
        <v/>
      </c>
      <c r="AN355" s="45" t="str">
        <f t="shared" si="324"/>
        <v/>
      </c>
      <c r="AO355" s="45" t="str">
        <f t="shared" si="324"/>
        <v/>
      </c>
      <c r="AP355" s="45" t="str">
        <f t="shared" si="324"/>
        <v/>
      </c>
      <c r="AQ355" s="45" t="str">
        <f t="shared" si="324"/>
        <v/>
      </c>
      <c r="AR355" s="45" t="str">
        <f t="shared" si="324"/>
        <v/>
      </c>
      <c r="AS355" s="45" t="str">
        <f t="shared" si="324"/>
        <v/>
      </c>
      <c r="AT355" s="45" t="str">
        <f t="shared" si="324"/>
        <v/>
      </c>
      <c r="AU355" s="45" t="str">
        <f t="shared" si="324"/>
        <v/>
      </c>
      <c r="AV355" s="45" t="str">
        <f t="shared" si="324"/>
        <v/>
      </c>
      <c r="AW355" s="45" t="str">
        <f t="shared" si="324"/>
        <v/>
      </c>
      <c r="AX355" s="45" t="str">
        <f t="shared" ref="AX355:CC355" si="325">IF(COUNTIFS($A$357:$A$362,"Activity",$D$357:$D$362,"P",AX$357:AX$362,"&lt;&gt;")=0,"",IFERROR(SUMPRODUCT(--($A$357:$A$362="Activity"),--($D$357:$D$362="P"),$O$357:$O$362,AX$357:AX$362)/SUMPRODUCT(--($A$357:$A$362="Activity"),--($D$357:$D$362="P"),$O$357:$O$362),""))</f>
        <v/>
      </c>
      <c r="AY355" s="45" t="str">
        <f t="shared" si="325"/>
        <v/>
      </c>
      <c r="AZ355" s="45" t="str">
        <f t="shared" si="325"/>
        <v/>
      </c>
      <c r="BA355" s="45" t="str">
        <f t="shared" si="325"/>
        <v/>
      </c>
      <c r="BB355" s="45" t="str">
        <f t="shared" si="325"/>
        <v/>
      </c>
      <c r="BC355" s="45" t="str">
        <f t="shared" si="325"/>
        <v/>
      </c>
      <c r="BD355" s="45" t="str">
        <f t="shared" si="325"/>
        <v/>
      </c>
      <c r="BE355" s="45" t="str">
        <f t="shared" si="325"/>
        <v/>
      </c>
      <c r="BF355" s="45" t="str">
        <f t="shared" si="325"/>
        <v/>
      </c>
      <c r="BG355" s="45" t="str">
        <f t="shared" si="325"/>
        <v/>
      </c>
      <c r="BH355" s="45" t="str">
        <f t="shared" si="325"/>
        <v/>
      </c>
      <c r="BI355" s="45" t="str">
        <f t="shared" si="325"/>
        <v/>
      </c>
      <c r="BJ355" s="45" t="str">
        <f t="shared" si="325"/>
        <v/>
      </c>
      <c r="BK355" s="45">
        <f t="shared" si="325"/>
        <v>8.771929824561403E-2</v>
      </c>
      <c r="BL355" s="45">
        <f t="shared" si="325"/>
        <v>0.12280701754385964</v>
      </c>
      <c r="BM355" s="45">
        <f t="shared" si="325"/>
        <v>0.12280701754385967</v>
      </c>
      <c r="BN355" s="45">
        <f t="shared" si="325"/>
        <v>0.13888888888888887</v>
      </c>
      <c r="BO355" s="45">
        <f t="shared" si="325"/>
        <v>0.19444444444444445</v>
      </c>
      <c r="BP355" s="45">
        <f t="shared" si="325"/>
        <v>5.0505050505050497E-2</v>
      </c>
      <c r="BQ355" s="45">
        <f t="shared" si="325"/>
        <v>7.0707070707070691E-2</v>
      </c>
      <c r="BR355" s="45">
        <f t="shared" si="325"/>
        <v>7.0707070707070691E-2</v>
      </c>
      <c r="BS355" s="45">
        <f t="shared" si="325"/>
        <v>7.0707070707070691E-2</v>
      </c>
      <c r="BT355" s="45">
        <f t="shared" si="325"/>
        <v>7.0707070707070663E-2</v>
      </c>
      <c r="BU355" s="45" t="str">
        <f t="shared" si="325"/>
        <v/>
      </c>
      <c r="BV355" s="45" t="str">
        <f t="shared" si="325"/>
        <v/>
      </c>
      <c r="BW355" s="45" t="str">
        <f t="shared" si="325"/>
        <v/>
      </c>
      <c r="BX355" s="45" t="str">
        <f t="shared" si="325"/>
        <v/>
      </c>
      <c r="BY355" s="45" t="str">
        <f t="shared" si="325"/>
        <v/>
      </c>
      <c r="BZ355" s="45" t="str">
        <f t="shared" si="325"/>
        <v/>
      </c>
      <c r="CA355" s="45" t="str">
        <f t="shared" si="325"/>
        <v/>
      </c>
      <c r="CB355" s="45" t="str">
        <f t="shared" si="325"/>
        <v/>
      </c>
      <c r="CC355" s="45" t="str">
        <f t="shared" si="325"/>
        <v/>
      </c>
      <c r="CD355" s="45" t="str">
        <f t="shared" ref="CD355:CO355" si="326">IF(COUNTIFS($A$357:$A$362,"Activity",$D$357:$D$362,"P",CD$357:CD$362,"&lt;&gt;")=0,"",IFERROR(SUMPRODUCT(--($A$357:$A$362="Activity"),--($D$357:$D$362="P"),$O$357:$O$362,CD$357:CD$362)/SUMPRODUCT(--($A$357:$A$362="Activity"),--($D$357:$D$362="P"),$O$357:$O$362),""))</f>
        <v/>
      </c>
      <c r="CE355" s="45" t="str">
        <f t="shared" si="326"/>
        <v/>
      </c>
      <c r="CF355" s="45" t="str">
        <f t="shared" si="326"/>
        <v/>
      </c>
      <c r="CG355" s="45" t="str">
        <f t="shared" si="326"/>
        <v/>
      </c>
      <c r="CH355" s="45" t="str">
        <f t="shared" si="326"/>
        <v/>
      </c>
      <c r="CI355" s="45" t="str">
        <f t="shared" si="326"/>
        <v/>
      </c>
      <c r="CJ355" s="45" t="str">
        <f t="shared" si="326"/>
        <v/>
      </c>
      <c r="CK355" s="45" t="str">
        <f t="shared" si="326"/>
        <v/>
      </c>
      <c r="CL355" s="45" t="str">
        <f t="shared" si="326"/>
        <v/>
      </c>
      <c r="CM355" s="45" t="str">
        <f t="shared" si="326"/>
        <v/>
      </c>
      <c r="CN355" s="45" t="str">
        <f t="shared" si="326"/>
        <v/>
      </c>
      <c r="CO355" s="45" t="str">
        <f t="shared" si="326"/>
        <v/>
      </c>
    </row>
    <row r="356" spans="1:93" outlineLevel="3" x14ac:dyDescent="0.25">
      <c r="A356" s="1"/>
      <c r="B356" s="1"/>
      <c r="C356" s="7"/>
      <c r="D356" s="8" t="s">
        <v>111</v>
      </c>
      <c r="E356" s="1"/>
      <c r="F356" s="1"/>
      <c r="G356" s="1"/>
      <c r="H356" s="1"/>
      <c r="I356" s="9"/>
      <c r="J356" s="9"/>
      <c r="K356" s="9"/>
      <c r="L356" s="9"/>
      <c r="M356" s="3" t="str">
        <f t="shared" si="293"/>
        <v/>
      </c>
      <c r="N356" s="3"/>
      <c r="O356" s="46">
        <f>O355</f>
        <v>300000</v>
      </c>
      <c r="P356" s="4"/>
      <c r="Q356" s="5"/>
      <c r="R356" s="45" t="str">
        <f t="shared" ref="R356:AW356" si="327">IF(COUNTIFS($E$357:$E$362,"&lt;&gt;",$D$357:$D$362,"A",R$357:R$362,"&lt;&gt;")=0,"",IFERROR(SUMPRODUCT(--($E$357:$E$362&lt;&gt;""),--($D$357:$D$362="A"),$O$357:$O$362,R$357:R$362)/SUMPRODUCT(--($E$357:$E$362&lt;&gt;""),--($D$357:$D$362="A"),$O$357:$O$362),""))</f>
        <v/>
      </c>
      <c r="S356" s="45" t="str">
        <f t="shared" si="327"/>
        <v/>
      </c>
      <c r="T356" s="45" t="str">
        <f t="shared" si="327"/>
        <v/>
      </c>
      <c r="U356" s="45" t="str">
        <f t="shared" si="327"/>
        <v/>
      </c>
      <c r="V356" s="45" t="str">
        <f t="shared" si="327"/>
        <v/>
      </c>
      <c r="W356" s="45" t="str">
        <f t="shared" si="327"/>
        <v/>
      </c>
      <c r="X356" s="45" t="str">
        <f t="shared" si="327"/>
        <v/>
      </c>
      <c r="Y356" s="45" t="str">
        <f t="shared" si="327"/>
        <v/>
      </c>
      <c r="Z356" s="45" t="str">
        <f t="shared" si="327"/>
        <v/>
      </c>
      <c r="AA356" s="45" t="str">
        <f t="shared" si="327"/>
        <v/>
      </c>
      <c r="AB356" s="45" t="str">
        <f t="shared" si="327"/>
        <v/>
      </c>
      <c r="AC356" s="45" t="str">
        <f t="shared" si="327"/>
        <v/>
      </c>
      <c r="AD356" s="45" t="str">
        <f t="shared" si="327"/>
        <v/>
      </c>
      <c r="AE356" s="45" t="str">
        <f t="shared" si="327"/>
        <v/>
      </c>
      <c r="AF356" s="45" t="str">
        <f t="shared" si="327"/>
        <v/>
      </c>
      <c r="AG356" s="45" t="str">
        <f t="shared" si="327"/>
        <v/>
      </c>
      <c r="AH356" s="45" t="str">
        <f t="shared" si="327"/>
        <v/>
      </c>
      <c r="AI356" s="45" t="str">
        <f t="shared" si="327"/>
        <v/>
      </c>
      <c r="AJ356" s="45" t="str">
        <f t="shared" si="327"/>
        <v/>
      </c>
      <c r="AK356" s="45" t="str">
        <f t="shared" si="327"/>
        <v/>
      </c>
      <c r="AL356" s="45" t="str">
        <f t="shared" si="327"/>
        <v/>
      </c>
      <c r="AM356" s="45" t="str">
        <f t="shared" si="327"/>
        <v/>
      </c>
      <c r="AN356" s="45" t="str">
        <f t="shared" si="327"/>
        <v/>
      </c>
      <c r="AO356" s="45" t="str">
        <f t="shared" si="327"/>
        <v/>
      </c>
      <c r="AP356" s="45" t="str">
        <f t="shared" si="327"/>
        <v/>
      </c>
      <c r="AQ356" s="45" t="str">
        <f t="shared" si="327"/>
        <v/>
      </c>
      <c r="AR356" s="45" t="str">
        <f t="shared" si="327"/>
        <v/>
      </c>
      <c r="AS356" s="45" t="str">
        <f t="shared" si="327"/>
        <v/>
      </c>
      <c r="AT356" s="45" t="str">
        <f t="shared" si="327"/>
        <v/>
      </c>
      <c r="AU356" s="45" t="str">
        <f t="shared" si="327"/>
        <v/>
      </c>
      <c r="AV356" s="45" t="str">
        <f t="shared" si="327"/>
        <v/>
      </c>
      <c r="AW356" s="45" t="str">
        <f t="shared" si="327"/>
        <v/>
      </c>
      <c r="AX356" s="45" t="str">
        <f t="shared" ref="AX356:CC356" si="328">IF(COUNTIFS($E$357:$E$362,"&lt;&gt;",$D$357:$D$362,"A",AX$357:AX$362,"&lt;&gt;")=0,"",IFERROR(SUMPRODUCT(--($E$357:$E$362&lt;&gt;""),--($D$357:$D$362="A"),$O$357:$O$362,AX$357:AX$362)/SUMPRODUCT(--($E$357:$E$362&lt;&gt;""),--($D$357:$D$362="A"),$O$357:$O$362),""))</f>
        <v/>
      </c>
      <c r="AY356" s="45" t="str">
        <f t="shared" si="328"/>
        <v/>
      </c>
      <c r="AZ356" s="45" t="str">
        <f t="shared" si="328"/>
        <v/>
      </c>
      <c r="BA356" s="45" t="str">
        <f t="shared" si="328"/>
        <v/>
      </c>
      <c r="BB356" s="45" t="str">
        <f t="shared" si="328"/>
        <v/>
      </c>
      <c r="BC356" s="45" t="str">
        <f t="shared" si="328"/>
        <v/>
      </c>
      <c r="BD356" s="45" t="str">
        <f t="shared" si="328"/>
        <v/>
      </c>
      <c r="BE356" s="45" t="str">
        <f t="shared" si="328"/>
        <v/>
      </c>
      <c r="BF356" s="45" t="str">
        <f t="shared" si="328"/>
        <v/>
      </c>
      <c r="BG356" s="45" t="str">
        <f t="shared" si="328"/>
        <v/>
      </c>
      <c r="BH356" s="45" t="str">
        <f t="shared" si="328"/>
        <v/>
      </c>
      <c r="BI356" s="45" t="str">
        <f t="shared" si="328"/>
        <v/>
      </c>
      <c r="BJ356" s="45" t="str">
        <f t="shared" si="328"/>
        <v/>
      </c>
      <c r="BK356" s="45" t="str">
        <f t="shared" si="328"/>
        <v/>
      </c>
      <c r="BL356" s="45" t="str">
        <f t="shared" si="328"/>
        <v/>
      </c>
      <c r="BM356" s="45" t="str">
        <f t="shared" si="328"/>
        <v/>
      </c>
      <c r="BN356" s="45" t="str">
        <f t="shared" si="328"/>
        <v/>
      </c>
      <c r="BO356" s="45" t="str">
        <f t="shared" si="328"/>
        <v/>
      </c>
      <c r="BP356" s="45" t="str">
        <f t="shared" si="328"/>
        <v/>
      </c>
      <c r="BQ356" s="45" t="str">
        <f t="shared" si="328"/>
        <v/>
      </c>
      <c r="BR356" s="45" t="str">
        <f t="shared" si="328"/>
        <v/>
      </c>
      <c r="BS356" s="45" t="str">
        <f t="shared" si="328"/>
        <v/>
      </c>
      <c r="BT356" s="45" t="str">
        <f t="shared" si="328"/>
        <v/>
      </c>
      <c r="BU356" s="45" t="str">
        <f t="shared" si="328"/>
        <v/>
      </c>
      <c r="BV356" s="45" t="str">
        <f t="shared" si="328"/>
        <v/>
      </c>
      <c r="BW356" s="45" t="str">
        <f t="shared" si="328"/>
        <v/>
      </c>
      <c r="BX356" s="45" t="str">
        <f t="shared" si="328"/>
        <v/>
      </c>
      <c r="BY356" s="45" t="str">
        <f t="shared" si="328"/>
        <v/>
      </c>
      <c r="BZ356" s="45" t="str">
        <f t="shared" si="328"/>
        <v/>
      </c>
      <c r="CA356" s="45" t="str">
        <f t="shared" si="328"/>
        <v/>
      </c>
      <c r="CB356" s="45" t="str">
        <f t="shared" si="328"/>
        <v/>
      </c>
      <c r="CC356" s="45" t="str">
        <f t="shared" si="328"/>
        <v/>
      </c>
      <c r="CD356" s="45" t="str">
        <f t="shared" ref="CD356:CO356" si="329">IF(COUNTIFS($E$357:$E$362,"&lt;&gt;",$D$357:$D$362,"A",CD$357:CD$362,"&lt;&gt;")=0,"",IFERROR(SUMPRODUCT(--($E$357:$E$362&lt;&gt;""),--($D$357:$D$362="A"),$O$357:$O$362,CD$357:CD$362)/SUMPRODUCT(--($E$357:$E$362&lt;&gt;""),--($D$357:$D$362="A"),$O$357:$O$362),""))</f>
        <v/>
      </c>
      <c r="CE356" s="45" t="str">
        <f t="shared" si="329"/>
        <v/>
      </c>
      <c r="CF356" s="45" t="str">
        <f t="shared" si="329"/>
        <v/>
      </c>
      <c r="CG356" s="45" t="str">
        <f t="shared" si="329"/>
        <v/>
      </c>
      <c r="CH356" s="45" t="str">
        <f t="shared" si="329"/>
        <v/>
      </c>
      <c r="CI356" s="45" t="str">
        <f t="shared" si="329"/>
        <v/>
      </c>
      <c r="CJ356" s="45" t="str">
        <f t="shared" si="329"/>
        <v/>
      </c>
      <c r="CK356" s="45" t="str">
        <f t="shared" si="329"/>
        <v/>
      </c>
      <c r="CL356" s="45" t="str">
        <f t="shared" si="329"/>
        <v/>
      </c>
      <c r="CM356" s="45" t="str">
        <f t="shared" si="329"/>
        <v/>
      </c>
      <c r="CN356" s="45" t="str">
        <f t="shared" si="329"/>
        <v/>
      </c>
      <c r="CO356" s="45" t="str">
        <f t="shared" si="329"/>
        <v/>
      </c>
    </row>
    <row r="357" spans="1:93" outlineLevel="4" x14ac:dyDescent="0.25">
      <c r="A357" s="10" t="s">
        <v>116</v>
      </c>
      <c r="B357" s="10" t="s">
        <v>507</v>
      </c>
      <c r="C357" s="24" t="s">
        <v>508</v>
      </c>
      <c r="D357" s="12" t="s">
        <v>110</v>
      </c>
      <c r="E357" s="10" t="s">
        <v>509</v>
      </c>
      <c r="F357" s="10">
        <v>176</v>
      </c>
      <c r="G357" s="10">
        <v>183</v>
      </c>
      <c r="H357" s="10">
        <v>4</v>
      </c>
      <c r="I357" s="13">
        <v>46356.333333333343</v>
      </c>
      <c r="J357" s="13">
        <v>46374.666666666657</v>
      </c>
      <c r="K357" s="13"/>
      <c r="L357" s="13"/>
      <c r="M357" s="14">
        <f t="shared" si="293"/>
        <v>1</v>
      </c>
      <c r="N357" s="14"/>
      <c r="O357" s="16">
        <v>100000</v>
      </c>
      <c r="P357" s="15">
        <v>10.8</v>
      </c>
      <c r="Q357" s="16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>
        <v>0.26315789473684209</v>
      </c>
      <c r="BL357" s="47">
        <v>0.36842105263157893</v>
      </c>
      <c r="BM357" s="47">
        <v>0.36842105263157898</v>
      </c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</row>
    <row r="358" spans="1:93" outlineLevel="4" x14ac:dyDescent="0.25">
      <c r="A358" s="17"/>
      <c r="B358" s="17"/>
      <c r="C358" s="25"/>
      <c r="D358" s="19" t="s">
        <v>111</v>
      </c>
      <c r="E358" s="17" t="s">
        <v>509</v>
      </c>
      <c r="F358" s="17"/>
      <c r="G358" s="17"/>
      <c r="H358" s="17"/>
      <c r="I358" s="20"/>
      <c r="J358" s="20"/>
      <c r="K358" s="20"/>
      <c r="L358" s="20"/>
      <c r="M358" s="21" t="str">
        <f t="shared" si="293"/>
        <v/>
      </c>
      <c r="N358" s="21">
        <v>0</v>
      </c>
      <c r="O358" s="48">
        <f>O357</f>
        <v>100000</v>
      </c>
      <c r="P358" s="22"/>
      <c r="Q358" s="23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</row>
    <row r="359" spans="1:93" outlineLevel="4" x14ac:dyDescent="0.25">
      <c r="A359" s="10" t="s">
        <v>116</v>
      </c>
      <c r="B359" s="10" t="s">
        <v>510</v>
      </c>
      <c r="C359" s="24" t="s">
        <v>511</v>
      </c>
      <c r="D359" s="12" t="s">
        <v>110</v>
      </c>
      <c r="E359" s="10" t="s">
        <v>512</v>
      </c>
      <c r="F359" s="10">
        <v>177</v>
      </c>
      <c r="G359" s="10">
        <v>184</v>
      </c>
      <c r="H359" s="10">
        <v>4</v>
      </c>
      <c r="I359" s="13">
        <v>46377.333333333343</v>
      </c>
      <c r="J359" s="13">
        <v>46388.666666666657</v>
      </c>
      <c r="K359" s="13"/>
      <c r="L359" s="13"/>
      <c r="M359" s="14">
        <f t="shared" si="293"/>
        <v>1</v>
      </c>
      <c r="N359" s="14"/>
      <c r="O359" s="16">
        <v>100000</v>
      </c>
      <c r="P359" s="15">
        <v>10.8</v>
      </c>
      <c r="Q359" s="16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>
        <v>0.41666666666666657</v>
      </c>
      <c r="BO359" s="47">
        <v>0.58333333333333337</v>
      </c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</row>
    <row r="360" spans="1:93" outlineLevel="4" x14ac:dyDescent="0.25">
      <c r="A360" s="17"/>
      <c r="B360" s="17"/>
      <c r="C360" s="25"/>
      <c r="D360" s="19" t="s">
        <v>111</v>
      </c>
      <c r="E360" s="17" t="s">
        <v>512</v>
      </c>
      <c r="F360" s="17"/>
      <c r="G360" s="17"/>
      <c r="H360" s="17"/>
      <c r="I360" s="20"/>
      <c r="J360" s="20"/>
      <c r="K360" s="20"/>
      <c r="L360" s="20"/>
      <c r="M360" s="21" t="str">
        <f t="shared" si="293"/>
        <v/>
      </c>
      <c r="N360" s="21">
        <v>0</v>
      </c>
      <c r="O360" s="48">
        <f>O359</f>
        <v>100000</v>
      </c>
      <c r="P360" s="22"/>
      <c r="Q360" s="23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</row>
    <row r="361" spans="1:93" outlineLevel="4" x14ac:dyDescent="0.25">
      <c r="A361" s="10" t="s">
        <v>116</v>
      </c>
      <c r="B361" s="10" t="s">
        <v>513</v>
      </c>
      <c r="C361" s="24" t="s">
        <v>514</v>
      </c>
      <c r="D361" s="12" t="s">
        <v>110</v>
      </c>
      <c r="E361" s="10" t="s">
        <v>515</v>
      </c>
      <c r="F361" s="10">
        <v>178</v>
      </c>
      <c r="G361" s="10">
        <v>185</v>
      </c>
      <c r="H361" s="10">
        <v>4</v>
      </c>
      <c r="I361" s="13">
        <v>46391.333333333343</v>
      </c>
      <c r="J361" s="13">
        <v>46423.666666666657</v>
      </c>
      <c r="K361" s="13"/>
      <c r="L361" s="13"/>
      <c r="M361" s="14">
        <f t="shared" si="293"/>
        <v>0.99999999999999978</v>
      </c>
      <c r="N361" s="14"/>
      <c r="O361" s="16">
        <v>100000</v>
      </c>
      <c r="P361" s="15">
        <v>10.8</v>
      </c>
      <c r="Q361" s="16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>
        <v>0.15151515151515149</v>
      </c>
      <c r="BQ361" s="47">
        <v>0.2121212121212121</v>
      </c>
      <c r="BR361" s="47">
        <v>0.2121212121212121</v>
      </c>
      <c r="BS361" s="47">
        <v>0.2121212121212121</v>
      </c>
      <c r="BT361" s="47">
        <v>0.21212121212121199</v>
      </c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</row>
    <row r="362" spans="1:93" outlineLevel="4" x14ac:dyDescent="0.25">
      <c r="A362" s="17"/>
      <c r="B362" s="17"/>
      <c r="C362" s="25"/>
      <c r="D362" s="19" t="s">
        <v>111</v>
      </c>
      <c r="E362" s="17" t="s">
        <v>515</v>
      </c>
      <c r="F362" s="17"/>
      <c r="G362" s="17"/>
      <c r="H362" s="17"/>
      <c r="I362" s="20"/>
      <c r="J362" s="20"/>
      <c r="K362" s="20"/>
      <c r="L362" s="20"/>
      <c r="M362" s="21" t="str">
        <f t="shared" si="293"/>
        <v/>
      </c>
      <c r="N362" s="21">
        <v>0</v>
      </c>
      <c r="O362" s="48">
        <f>O361</f>
        <v>100000</v>
      </c>
      <c r="P362" s="22"/>
      <c r="Q362" s="23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</row>
    <row r="363" spans="1:93" outlineLevel="2" x14ac:dyDescent="0.25">
      <c r="A363" s="1" t="s">
        <v>92</v>
      </c>
      <c r="B363" s="1" t="s">
        <v>516</v>
      </c>
      <c r="C363" s="6" t="s">
        <v>517</v>
      </c>
      <c r="D363" s="8" t="s">
        <v>110</v>
      </c>
      <c r="E363" s="1"/>
      <c r="F363" s="1">
        <v>179</v>
      </c>
      <c r="G363" s="1">
        <v>186</v>
      </c>
      <c r="H363" s="1">
        <v>2</v>
      </c>
      <c r="I363" s="9">
        <v>46465.333333333343</v>
      </c>
      <c r="J363" s="9">
        <v>46538.666666666657</v>
      </c>
      <c r="K363" s="9"/>
      <c r="L363" s="9"/>
      <c r="M363" s="3">
        <f t="shared" si="293"/>
        <v>1</v>
      </c>
      <c r="N363" s="3"/>
      <c r="O363" s="5">
        <f>SUMIFS($O$364:$O$387,$A$364:$A$387,"Activity",$D$364:$D$387,"P")</f>
        <v>900000</v>
      </c>
      <c r="P363" s="4"/>
      <c r="Q363" s="5"/>
      <c r="R363" s="45" t="str">
        <f t="shared" ref="R363:AW363" si="330">IF(COUNTIFS($A$365:$A$388,"Activity",$D$365:$D$388,"P",R$365:R$388,"&lt;&gt;")=0,"",IFERROR(SUMPRODUCT(--($A$365:$A$388="Activity"),--($D$365:$D$388="P"),$O$365:$O$388,R$365:R$388)/SUMPRODUCT(--($A$365:$A$388="Activity"),--($D$365:$D$388="P"),$O$365:$O$388),""))</f>
        <v/>
      </c>
      <c r="S363" s="45" t="str">
        <f t="shared" si="330"/>
        <v/>
      </c>
      <c r="T363" s="45" t="str">
        <f t="shared" si="330"/>
        <v/>
      </c>
      <c r="U363" s="45" t="str">
        <f t="shared" si="330"/>
        <v/>
      </c>
      <c r="V363" s="45" t="str">
        <f t="shared" si="330"/>
        <v/>
      </c>
      <c r="W363" s="45" t="str">
        <f t="shared" si="330"/>
        <v/>
      </c>
      <c r="X363" s="45" t="str">
        <f t="shared" si="330"/>
        <v/>
      </c>
      <c r="Y363" s="45" t="str">
        <f t="shared" si="330"/>
        <v/>
      </c>
      <c r="Z363" s="45" t="str">
        <f t="shared" si="330"/>
        <v/>
      </c>
      <c r="AA363" s="45" t="str">
        <f t="shared" si="330"/>
        <v/>
      </c>
      <c r="AB363" s="45" t="str">
        <f t="shared" si="330"/>
        <v/>
      </c>
      <c r="AC363" s="45" t="str">
        <f t="shared" si="330"/>
        <v/>
      </c>
      <c r="AD363" s="45" t="str">
        <f t="shared" si="330"/>
        <v/>
      </c>
      <c r="AE363" s="45" t="str">
        <f t="shared" si="330"/>
        <v/>
      </c>
      <c r="AF363" s="45" t="str">
        <f t="shared" si="330"/>
        <v/>
      </c>
      <c r="AG363" s="45" t="str">
        <f t="shared" si="330"/>
        <v/>
      </c>
      <c r="AH363" s="45" t="str">
        <f t="shared" si="330"/>
        <v/>
      </c>
      <c r="AI363" s="45" t="str">
        <f t="shared" si="330"/>
        <v/>
      </c>
      <c r="AJ363" s="45" t="str">
        <f t="shared" si="330"/>
        <v/>
      </c>
      <c r="AK363" s="45" t="str">
        <f t="shared" si="330"/>
        <v/>
      </c>
      <c r="AL363" s="45" t="str">
        <f t="shared" si="330"/>
        <v/>
      </c>
      <c r="AM363" s="45" t="str">
        <f t="shared" si="330"/>
        <v/>
      </c>
      <c r="AN363" s="45" t="str">
        <f t="shared" si="330"/>
        <v/>
      </c>
      <c r="AO363" s="45" t="str">
        <f t="shared" si="330"/>
        <v/>
      </c>
      <c r="AP363" s="45" t="str">
        <f t="shared" si="330"/>
        <v/>
      </c>
      <c r="AQ363" s="45" t="str">
        <f t="shared" si="330"/>
        <v/>
      </c>
      <c r="AR363" s="45" t="str">
        <f t="shared" si="330"/>
        <v/>
      </c>
      <c r="AS363" s="45" t="str">
        <f t="shared" si="330"/>
        <v/>
      </c>
      <c r="AT363" s="45" t="str">
        <f t="shared" si="330"/>
        <v/>
      </c>
      <c r="AU363" s="45" t="str">
        <f t="shared" si="330"/>
        <v/>
      </c>
      <c r="AV363" s="45" t="str">
        <f t="shared" si="330"/>
        <v/>
      </c>
      <c r="AW363" s="45" t="str">
        <f t="shared" si="330"/>
        <v/>
      </c>
      <c r="AX363" s="45" t="str">
        <f t="shared" ref="AX363:CC363" si="331">IF(COUNTIFS($A$365:$A$388,"Activity",$D$365:$D$388,"P",AX$365:AX$388,"&lt;&gt;")=0,"",IFERROR(SUMPRODUCT(--($A$365:$A$388="Activity"),--($D$365:$D$388="P"),$O$365:$O$388,AX$365:AX$388)/SUMPRODUCT(--($A$365:$A$388="Activity"),--($D$365:$D$388="P"),$O$365:$O$388),""))</f>
        <v/>
      </c>
      <c r="AY363" s="45" t="str">
        <f t="shared" si="331"/>
        <v/>
      </c>
      <c r="AZ363" s="45" t="str">
        <f t="shared" si="331"/>
        <v/>
      </c>
      <c r="BA363" s="45" t="str">
        <f t="shared" si="331"/>
        <v/>
      </c>
      <c r="BB363" s="45" t="str">
        <f t="shared" si="331"/>
        <v/>
      </c>
      <c r="BC363" s="45" t="str">
        <f t="shared" si="331"/>
        <v/>
      </c>
      <c r="BD363" s="45" t="str">
        <f t="shared" si="331"/>
        <v/>
      </c>
      <c r="BE363" s="45" t="str">
        <f t="shared" si="331"/>
        <v/>
      </c>
      <c r="BF363" s="45" t="str">
        <f t="shared" si="331"/>
        <v/>
      </c>
      <c r="BG363" s="45" t="str">
        <f t="shared" si="331"/>
        <v/>
      </c>
      <c r="BH363" s="45" t="str">
        <f t="shared" si="331"/>
        <v/>
      </c>
      <c r="BI363" s="45" t="str">
        <f t="shared" si="331"/>
        <v/>
      </c>
      <c r="BJ363" s="45" t="str">
        <f t="shared" si="331"/>
        <v/>
      </c>
      <c r="BK363" s="45" t="str">
        <f t="shared" si="331"/>
        <v/>
      </c>
      <c r="BL363" s="45" t="str">
        <f t="shared" si="331"/>
        <v/>
      </c>
      <c r="BM363" s="45" t="str">
        <f t="shared" si="331"/>
        <v/>
      </c>
      <c r="BN363" s="45" t="str">
        <f t="shared" si="331"/>
        <v/>
      </c>
      <c r="BO363" s="45" t="str">
        <f t="shared" si="331"/>
        <v/>
      </c>
      <c r="BP363" s="45" t="str">
        <f t="shared" si="331"/>
        <v/>
      </c>
      <c r="BQ363" s="45" t="str">
        <f t="shared" si="331"/>
        <v/>
      </c>
      <c r="BR363" s="45" t="str">
        <f t="shared" si="331"/>
        <v/>
      </c>
      <c r="BS363" s="45" t="str">
        <f t="shared" si="331"/>
        <v/>
      </c>
      <c r="BT363" s="45" t="str">
        <f t="shared" si="331"/>
        <v/>
      </c>
      <c r="BU363" s="45" t="str">
        <f t="shared" si="331"/>
        <v/>
      </c>
      <c r="BV363" s="45" t="str">
        <f t="shared" si="331"/>
        <v/>
      </c>
      <c r="BW363" s="45" t="str">
        <f t="shared" si="331"/>
        <v/>
      </c>
      <c r="BX363" s="45" t="str">
        <f t="shared" si="331"/>
        <v/>
      </c>
      <c r="BY363" s="45" t="str">
        <f t="shared" si="331"/>
        <v/>
      </c>
      <c r="BZ363" s="45">
        <f t="shared" si="331"/>
        <v>7.9365079365079343E-3</v>
      </c>
      <c r="CA363" s="45">
        <f t="shared" si="331"/>
        <v>5.5555555555555539E-2</v>
      </c>
      <c r="CB363" s="45">
        <f t="shared" si="331"/>
        <v>6.746031746031747E-2</v>
      </c>
      <c r="CC363" s="45">
        <f t="shared" si="331"/>
        <v>5.555555555555558E-2</v>
      </c>
      <c r="CD363" s="45">
        <f t="shared" ref="CD363:CO363" si="332">IF(COUNTIFS($A$365:$A$388,"Activity",$D$365:$D$388,"P",CD$365:CD$388,"&lt;&gt;")=0,"",IFERROR(SUMPRODUCT(--($A$365:$A$388="Activity"),--($D$365:$D$388="P"),$O$365:$O$388,CD$365:CD$388)/SUMPRODUCT(--($A$365:$A$388="Activity"),--($D$365:$D$388="P"),$O$365:$O$388),""))</f>
        <v>5.555555555555558E-2</v>
      </c>
      <c r="CE363" s="45">
        <f t="shared" si="332"/>
        <v>5.555555555555558E-2</v>
      </c>
      <c r="CF363" s="45">
        <f t="shared" si="332"/>
        <v>0.1124338624338624</v>
      </c>
      <c r="CG363" s="45">
        <f t="shared" si="332"/>
        <v>0.20370370370370369</v>
      </c>
      <c r="CH363" s="45">
        <f t="shared" si="332"/>
        <v>0.16402116402116404</v>
      </c>
      <c r="CI363" s="45">
        <f t="shared" si="332"/>
        <v>8.7301587301587311E-2</v>
      </c>
      <c r="CJ363" s="45">
        <f t="shared" si="332"/>
        <v>8.7301587301587297E-2</v>
      </c>
      <c r="CK363" s="45">
        <f t="shared" si="332"/>
        <v>4.7619047619047623E-2</v>
      </c>
      <c r="CL363" s="45" t="str">
        <f t="shared" si="332"/>
        <v/>
      </c>
      <c r="CM363" s="45" t="str">
        <f t="shared" si="332"/>
        <v/>
      </c>
      <c r="CN363" s="45" t="str">
        <f t="shared" si="332"/>
        <v/>
      </c>
      <c r="CO363" s="45" t="str">
        <f t="shared" si="332"/>
        <v/>
      </c>
    </row>
    <row r="364" spans="1:93" outlineLevel="2" x14ac:dyDescent="0.25">
      <c r="A364" s="1"/>
      <c r="B364" s="1"/>
      <c r="C364" s="6"/>
      <c r="D364" s="8" t="s">
        <v>111</v>
      </c>
      <c r="E364" s="1"/>
      <c r="F364" s="1"/>
      <c r="G364" s="1"/>
      <c r="H364" s="1"/>
      <c r="I364" s="9"/>
      <c r="J364" s="9"/>
      <c r="K364" s="9"/>
      <c r="L364" s="9"/>
      <c r="M364" s="3" t="str">
        <f t="shared" si="293"/>
        <v/>
      </c>
      <c r="N364" s="3"/>
      <c r="O364" s="46">
        <f>O363</f>
        <v>900000</v>
      </c>
      <c r="P364" s="4"/>
      <c r="Q364" s="5"/>
      <c r="R364" s="45" t="str">
        <f t="shared" ref="R364:AW364" si="333">IF(COUNTIFS($E$365:$E$388,"&lt;&gt;",$D$365:$D$388,"A",R$365:R$388,"&lt;&gt;")=0,"",IFERROR(SUMPRODUCT(--($E$365:$E$388&lt;&gt;""),--($D$365:$D$388="A"),$O$365:$O$388,R$365:R$388)/SUMPRODUCT(--($E$365:$E$388&lt;&gt;""),--($D$365:$D$388="A"),$O$365:$O$388),""))</f>
        <v/>
      </c>
      <c r="S364" s="45" t="str">
        <f t="shared" si="333"/>
        <v/>
      </c>
      <c r="T364" s="45" t="str">
        <f t="shared" si="333"/>
        <v/>
      </c>
      <c r="U364" s="45" t="str">
        <f t="shared" si="333"/>
        <v/>
      </c>
      <c r="V364" s="45" t="str">
        <f t="shared" si="333"/>
        <v/>
      </c>
      <c r="W364" s="45" t="str">
        <f t="shared" si="333"/>
        <v/>
      </c>
      <c r="X364" s="45" t="str">
        <f t="shared" si="333"/>
        <v/>
      </c>
      <c r="Y364" s="45" t="str">
        <f t="shared" si="333"/>
        <v/>
      </c>
      <c r="Z364" s="45" t="str">
        <f t="shared" si="333"/>
        <v/>
      </c>
      <c r="AA364" s="45" t="str">
        <f t="shared" si="333"/>
        <v/>
      </c>
      <c r="AB364" s="45" t="str">
        <f t="shared" si="333"/>
        <v/>
      </c>
      <c r="AC364" s="45" t="str">
        <f t="shared" si="333"/>
        <v/>
      </c>
      <c r="AD364" s="45" t="str">
        <f t="shared" si="333"/>
        <v/>
      </c>
      <c r="AE364" s="45" t="str">
        <f t="shared" si="333"/>
        <v/>
      </c>
      <c r="AF364" s="45" t="str">
        <f t="shared" si="333"/>
        <v/>
      </c>
      <c r="AG364" s="45" t="str">
        <f t="shared" si="333"/>
        <v/>
      </c>
      <c r="AH364" s="45" t="str">
        <f t="shared" si="333"/>
        <v/>
      </c>
      <c r="AI364" s="45" t="str">
        <f t="shared" si="333"/>
        <v/>
      </c>
      <c r="AJ364" s="45" t="str">
        <f t="shared" si="333"/>
        <v/>
      </c>
      <c r="AK364" s="45" t="str">
        <f t="shared" si="333"/>
        <v/>
      </c>
      <c r="AL364" s="45" t="str">
        <f t="shared" si="333"/>
        <v/>
      </c>
      <c r="AM364" s="45" t="str">
        <f t="shared" si="333"/>
        <v/>
      </c>
      <c r="AN364" s="45" t="str">
        <f t="shared" si="333"/>
        <v/>
      </c>
      <c r="AO364" s="45" t="str">
        <f t="shared" si="333"/>
        <v/>
      </c>
      <c r="AP364" s="45" t="str">
        <f t="shared" si="333"/>
        <v/>
      </c>
      <c r="AQ364" s="45" t="str">
        <f t="shared" si="333"/>
        <v/>
      </c>
      <c r="AR364" s="45" t="str">
        <f t="shared" si="333"/>
        <v/>
      </c>
      <c r="AS364" s="45" t="str">
        <f t="shared" si="333"/>
        <v/>
      </c>
      <c r="AT364" s="45" t="str">
        <f t="shared" si="333"/>
        <v/>
      </c>
      <c r="AU364" s="45" t="str">
        <f t="shared" si="333"/>
        <v/>
      </c>
      <c r="AV364" s="45" t="str">
        <f t="shared" si="333"/>
        <v/>
      </c>
      <c r="AW364" s="45" t="str">
        <f t="shared" si="333"/>
        <v/>
      </c>
      <c r="AX364" s="45" t="str">
        <f t="shared" ref="AX364:CC364" si="334">IF(COUNTIFS($E$365:$E$388,"&lt;&gt;",$D$365:$D$388,"A",AX$365:AX$388,"&lt;&gt;")=0,"",IFERROR(SUMPRODUCT(--($E$365:$E$388&lt;&gt;""),--($D$365:$D$388="A"),$O$365:$O$388,AX$365:AX$388)/SUMPRODUCT(--($E$365:$E$388&lt;&gt;""),--($D$365:$D$388="A"),$O$365:$O$388),""))</f>
        <v/>
      </c>
      <c r="AY364" s="45" t="str">
        <f t="shared" si="334"/>
        <v/>
      </c>
      <c r="AZ364" s="45" t="str">
        <f t="shared" si="334"/>
        <v/>
      </c>
      <c r="BA364" s="45" t="str">
        <f t="shared" si="334"/>
        <v/>
      </c>
      <c r="BB364" s="45" t="str">
        <f t="shared" si="334"/>
        <v/>
      </c>
      <c r="BC364" s="45" t="str">
        <f t="shared" si="334"/>
        <v/>
      </c>
      <c r="BD364" s="45" t="str">
        <f t="shared" si="334"/>
        <v/>
      </c>
      <c r="BE364" s="45" t="str">
        <f t="shared" si="334"/>
        <v/>
      </c>
      <c r="BF364" s="45" t="str">
        <f t="shared" si="334"/>
        <v/>
      </c>
      <c r="BG364" s="45" t="str">
        <f t="shared" si="334"/>
        <v/>
      </c>
      <c r="BH364" s="45" t="str">
        <f t="shared" si="334"/>
        <v/>
      </c>
      <c r="BI364" s="45" t="str">
        <f t="shared" si="334"/>
        <v/>
      </c>
      <c r="BJ364" s="45" t="str">
        <f t="shared" si="334"/>
        <v/>
      </c>
      <c r="BK364" s="45" t="str">
        <f t="shared" si="334"/>
        <v/>
      </c>
      <c r="BL364" s="45" t="str">
        <f t="shared" si="334"/>
        <v/>
      </c>
      <c r="BM364" s="45" t="str">
        <f t="shared" si="334"/>
        <v/>
      </c>
      <c r="BN364" s="45" t="str">
        <f t="shared" si="334"/>
        <v/>
      </c>
      <c r="BO364" s="45" t="str">
        <f t="shared" si="334"/>
        <v/>
      </c>
      <c r="BP364" s="45" t="str">
        <f t="shared" si="334"/>
        <v/>
      </c>
      <c r="BQ364" s="45" t="str">
        <f t="shared" si="334"/>
        <v/>
      </c>
      <c r="BR364" s="45" t="str">
        <f t="shared" si="334"/>
        <v/>
      </c>
      <c r="BS364" s="45" t="str">
        <f t="shared" si="334"/>
        <v/>
      </c>
      <c r="BT364" s="45" t="str">
        <f t="shared" si="334"/>
        <v/>
      </c>
      <c r="BU364" s="45" t="str">
        <f t="shared" si="334"/>
        <v/>
      </c>
      <c r="BV364" s="45" t="str">
        <f t="shared" si="334"/>
        <v/>
      </c>
      <c r="BW364" s="45" t="str">
        <f t="shared" si="334"/>
        <v/>
      </c>
      <c r="BX364" s="45" t="str">
        <f t="shared" si="334"/>
        <v/>
      </c>
      <c r="BY364" s="45" t="str">
        <f t="shared" si="334"/>
        <v/>
      </c>
      <c r="BZ364" s="45" t="str">
        <f t="shared" si="334"/>
        <v/>
      </c>
      <c r="CA364" s="45" t="str">
        <f t="shared" si="334"/>
        <v/>
      </c>
      <c r="CB364" s="45" t="str">
        <f t="shared" si="334"/>
        <v/>
      </c>
      <c r="CC364" s="45" t="str">
        <f t="shared" si="334"/>
        <v/>
      </c>
      <c r="CD364" s="45" t="str">
        <f t="shared" ref="CD364:CO364" si="335">IF(COUNTIFS($E$365:$E$388,"&lt;&gt;",$D$365:$D$388,"A",CD$365:CD$388,"&lt;&gt;")=0,"",IFERROR(SUMPRODUCT(--($E$365:$E$388&lt;&gt;""),--($D$365:$D$388="A"),$O$365:$O$388,CD$365:CD$388)/SUMPRODUCT(--($E$365:$E$388&lt;&gt;""),--($D$365:$D$388="A"),$O$365:$O$388),""))</f>
        <v/>
      </c>
      <c r="CE364" s="45" t="str">
        <f t="shared" si="335"/>
        <v/>
      </c>
      <c r="CF364" s="45" t="str">
        <f t="shared" si="335"/>
        <v/>
      </c>
      <c r="CG364" s="45" t="str">
        <f t="shared" si="335"/>
        <v/>
      </c>
      <c r="CH364" s="45" t="str">
        <f t="shared" si="335"/>
        <v/>
      </c>
      <c r="CI364" s="45" t="str">
        <f t="shared" si="335"/>
        <v/>
      </c>
      <c r="CJ364" s="45" t="str">
        <f t="shared" si="335"/>
        <v/>
      </c>
      <c r="CK364" s="45" t="str">
        <f t="shared" si="335"/>
        <v/>
      </c>
      <c r="CL364" s="45" t="str">
        <f t="shared" si="335"/>
        <v/>
      </c>
      <c r="CM364" s="45" t="str">
        <f t="shared" si="335"/>
        <v/>
      </c>
      <c r="CN364" s="45" t="str">
        <f t="shared" si="335"/>
        <v/>
      </c>
      <c r="CO364" s="45" t="str">
        <f t="shared" si="335"/>
        <v/>
      </c>
    </row>
    <row r="365" spans="1:93" outlineLevel="3" x14ac:dyDescent="0.25">
      <c r="A365" s="1" t="s">
        <v>92</v>
      </c>
      <c r="B365" s="1" t="s">
        <v>518</v>
      </c>
      <c r="C365" s="7" t="s">
        <v>519</v>
      </c>
      <c r="D365" s="8" t="s">
        <v>110</v>
      </c>
      <c r="E365" s="1"/>
      <c r="F365" s="1">
        <v>180</v>
      </c>
      <c r="G365" s="1">
        <v>187</v>
      </c>
      <c r="H365" s="1">
        <v>3</v>
      </c>
      <c r="I365" s="9">
        <v>46465.333333333343</v>
      </c>
      <c r="J365" s="9">
        <v>46527.666666666657</v>
      </c>
      <c r="K365" s="9"/>
      <c r="L365" s="9"/>
      <c r="M365" s="3">
        <f t="shared" si="293"/>
        <v>0.99999999999999978</v>
      </c>
      <c r="N365" s="3"/>
      <c r="O365" s="5">
        <f>SUMIFS($O$366:$O$373,$A$366:$A$373,"Activity",$D$366:$D$373,"P")</f>
        <v>400000</v>
      </c>
      <c r="P365" s="4"/>
      <c r="Q365" s="5"/>
      <c r="R365" s="45" t="str">
        <f t="shared" ref="R365:AW365" si="336">IF(COUNTIFS($A$367:$A$374,"Activity",$D$367:$D$374,"P",R$367:R$374,"&lt;&gt;")=0,"",IFERROR(SUMPRODUCT(--($A$367:$A$374="Activity"),--($D$367:$D$374="P"),$O$367:$O$374,R$367:R$374)/SUMPRODUCT(--($A$367:$A$374="Activity"),--($D$367:$D$374="P"),$O$367:$O$374),""))</f>
        <v/>
      </c>
      <c r="S365" s="45" t="str">
        <f t="shared" si="336"/>
        <v/>
      </c>
      <c r="T365" s="45" t="str">
        <f t="shared" si="336"/>
        <v/>
      </c>
      <c r="U365" s="45" t="str">
        <f t="shared" si="336"/>
        <v/>
      </c>
      <c r="V365" s="45" t="str">
        <f t="shared" si="336"/>
        <v/>
      </c>
      <c r="W365" s="45" t="str">
        <f t="shared" si="336"/>
        <v/>
      </c>
      <c r="X365" s="45" t="str">
        <f t="shared" si="336"/>
        <v/>
      </c>
      <c r="Y365" s="45" t="str">
        <f t="shared" si="336"/>
        <v/>
      </c>
      <c r="Z365" s="45" t="str">
        <f t="shared" si="336"/>
        <v/>
      </c>
      <c r="AA365" s="45" t="str">
        <f t="shared" si="336"/>
        <v/>
      </c>
      <c r="AB365" s="45" t="str">
        <f t="shared" si="336"/>
        <v/>
      </c>
      <c r="AC365" s="45" t="str">
        <f t="shared" si="336"/>
        <v/>
      </c>
      <c r="AD365" s="45" t="str">
        <f t="shared" si="336"/>
        <v/>
      </c>
      <c r="AE365" s="45" t="str">
        <f t="shared" si="336"/>
        <v/>
      </c>
      <c r="AF365" s="45" t="str">
        <f t="shared" si="336"/>
        <v/>
      </c>
      <c r="AG365" s="45" t="str">
        <f t="shared" si="336"/>
        <v/>
      </c>
      <c r="AH365" s="45" t="str">
        <f t="shared" si="336"/>
        <v/>
      </c>
      <c r="AI365" s="45" t="str">
        <f t="shared" si="336"/>
        <v/>
      </c>
      <c r="AJ365" s="45" t="str">
        <f t="shared" si="336"/>
        <v/>
      </c>
      <c r="AK365" s="45" t="str">
        <f t="shared" si="336"/>
        <v/>
      </c>
      <c r="AL365" s="45" t="str">
        <f t="shared" si="336"/>
        <v/>
      </c>
      <c r="AM365" s="45" t="str">
        <f t="shared" si="336"/>
        <v/>
      </c>
      <c r="AN365" s="45" t="str">
        <f t="shared" si="336"/>
        <v/>
      </c>
      <c r="AO365" s="45" t="str">
        <f t="shared" si="336"/>
        <v/>
      </c>
      <c r="AP365" s="45" t="str">
        <f t="shared" si="336"/>
        <v/>
      </c>
      <c r="AQ365" s="45" t="str">
        <f t="shared" si="336"/>
        <v/>
      </c>
      <c r="AR365" s="45" t="str">
        <f t="shared" si="336"/>
        <v/>
      </c>
      <c r="AS365" s="45" t="str">
        <f t="shared" si="336"/>
        <v/>
      </c>
      <c r="AT365" s="45" t="str">
        <f t="shared" si="336"/>
        <v/>
      </c>
      <c r="AU365" s="45" t="str">
        <f t="shared" si="336"/>
        <v/>
      </c>
      <c r="AV365" s="45" t="str">
        <f t="shared" si="336"/>
        <v/>
      </c>
      <c r="AW365" s="45" t="str">
        <f t="shared" si="336"/>
        <v/>
      </c>
      <c r="AX365" s="45" t="str">
        <f t="shared" ref="AX365:CC365" si="337">IF(COUNTIFS($A$367:$A$374,"Activity",$D$367:$D$374,"P",AX$367:AX$374,"&lt;&gt;")=0,"",IFERROR(SUMPRODUCT(--($A$367:$A$374="Activity"),--($D$367:$D$374="P"),$O$367:$O$374,AX$367:AX$374)/SUMPRODUCT(--($A$367:$A$374="Activity"),--($D$367:$D$374="P"),$O$367:$O$374),""))</f>
        <v/>
      </c>
      <c r="AY365" s="45" t="str">
        <f t="shared" si="337"/>
        <v/>
      </c>
      <c r="AZ365" s="45" t="str">
        <f t="shared" si="337"/>
        <v/>
      </c>
      <c r="BA365" s="45" t="str">
        <f t="shared" si="337"/>
        <v/>
      </c>
      <c r="BB365" s="45" t="str">
        <f t="shared" si="337"/>
        <v/>
      </c>
      <c r="BC365" s="45" t="str">
        <f t="shared" si="337"/>
        <v/>
      </c>
      <c r="BD365" s="45" t="str">
        <f t="shared" si="337"/>
        <v/>
      </c>
      <c r="BE365" s="45" t="str">
        <f t="shared" si="337"/>
        <v/>
      </c>
      <c r="BF365" s="45" t="str">
        <f t="shared" si="337"/>
        <v/>
      </c>
      <c r="BG365" s="45" t="str">
        <f t="shared" si="337"/>
        <v/>
      </c>
      <c r="BH365" s="45" t="str">
        <f t="shared" si="337"/>
        <v/>
      </c>
      <c r="BI365" s="45" t="str">
        <f t="shared" si="337"/>
        <v/>
      </c>
      <c r="BJ365" s="45" t="str">
        <f t="shared" si="337"/>
        <v/>
      </c>
      <c r="BK365" s="45" t="str">
        <f t="shared" si="337"/>
        <v/>
      </c>
      <c r="BL365" s="45" t="str">
        <f t="shared" si="337"/>
        <v/>
      </c>
      <c r="BM365" s="45" t="str">
        <f t="shared" si="337"/>
        <v/>
      </c>
      <c r="BN365" s="45" t="str">
        <f t="shared" si="337"/>
        <v/>
      </c>
      <c r="BO365" s="45" t="str">
        <f t="shared" si="337"/>
        <v/>
      </c>
      <c r="BP365" s="45" t="str">
        <f t="shared" si="337"/>
        <v/>
      </c>
      <c r="BQ365" s="45" t="str">
        <f t="shared" si="337"/>
        <v/>
      </c>
      <c r="BR365" s="45" t="str">
        <f t="shared" si="337"/>
        <v/>
      </c>
      <c r="BS365" s="45" t="str">
        <f t="shared" si="337"/>
        <v/>
      </c>
      <c r="BT365" s="45" t="str">
        <f t="shared" si="337"/>
        <v/>
      </c>
      <c r="BU365" s="45" t="str">
        <f t="shared" si="337"/>
        <v/>
      </c>
      <c r="BV365" s="45" t="str">
        <f t="shared" si="337"/>
        <v/>
      </c>
      <c r="BW365" s="45" t="str">
        <f t="shared" si="337"/>
        <v/>
      </c>
      <c r="BX365" s="45" t="str">
        <f t="shared" si="337"/>
        <v/>
      </c>
      <c r="BY365" s="45" t="str">
        <f t="shared" si="337"/>
        <v/>
      </c>
      <c r="BZ365" s="45">
        <f t="shared" si="337"/>
        <v>1.7857142857142853E-2</v>
      </c>
      <c r="CA365" s="45">
        <f t="shared" si="337"/>
        <v>0.12499999999999996</v>
      </c>
      <c r="CB365" s="45">
        <f t="shared" si="337"/>
        <v>0.11607142857142859</v>
      </c>
      <c r="CC365" s="45">
        <f t="shared" si="337"/>
        <v>6.2500000000000028E-2</v>
      </c>
      <c r="CD365" s="45">
        <f t="shared" ref="CD365:CO365" si="338">IF(COUNTIFS($A$367:$A$374,"Activity",$D$367:$D$374,"P",CD$367:CD$374,"&lt;&gt;")=0,"",IFERROR(SUMPRODUCT(--($A$367:$A$374="Activity"),--($D$367:$D$374="P"),$O$367:$O$374,CD$367:CD$374)/SUMPRODUCT(--($A$367:$A$374="Activity"),--($D$367:$D$374="P"),$O$367:$O$374),""))</f>
        <v>6.2500000000000028E-2</v>
      </c>
      <c r="CE365" s="45">
        <f t="shared" si="338"/>
        <v>6.2500000000000028E-2</v>
      </c>
      <c r="CF365" s="45">
        <f t="shared" si="338"/>
        <v>8.3333333333333315E-2</v>
      </c>
      <c r="CG365" s="45">
        <f t="shared" si="338"/>
        <v>0.20833333333333329</v>
      </c>
      <c r="CH365" s="45">
        <f t="shared" si="338"/>
        <v>0.19047619047619047</v>
      </c>
      <c r="CI365" s="45">
        <f t="shared" si="338"/>
        <v>7.1428571428571452E-2</v>
      </c>
      <c r="CJ365" s="45" t="str">
        <f t="shared" si="338"/>
        <v/>
      </c>
      <c r="CK365" s="45" t="str">
        <f t="shared" si="338"/>
        <v/>
      </c>
      <c r="CL365" s="45" t="str">
        <f t="shared" si="338"/>
        <v/>
      </c>
      <c r="CM365" s="45" t="str">
        <f t="shared" si="338"/>
        <v/>
      </c>
      <c r="CN365" s="45" t="str">
        <f t="shared" si="338"/>
        <v/>
      </c>
      <c r="CO365" s="45" t="str">
        <f t="shared" si="338"/>
        <v/>
      </c>
    </row>
    <row r="366" spans="1:93" outlineLevel="3" x14ac:dyDescent="0.25">
      <c r="A366" s="1"/>
      <c r="B366" s="1"/>
      <c r="C366" s="7"/>
      <c r="D366" s="8" t="s">
        <v>111</v>
      </c>
      <c r="E366" s="1"/>
      <c r="F366" s="1"/>
      <c r="G366" s="1"/>
      <c r="H366" s="1"/>
      <c r="I366" s="9"/>
      <c r="J366" s="9"/>
      <c r="K366" s="9"/>
      <c r="L366" s="9"/>
      <c r="M366" s="3" t="str">
        <f t="shared" si="293"/>
        <v/>
      </c>
      <c r="N366" s="3"/>
      <c r="O366" s="46">
        <f>O365</f>
        <v>400000</v>
      </c>
      <c r="P366" s="4"/>
      <c r="Q366" s="5"/>
      <c r="R366" s="45" t="str">
        <f t="shared" ref="R366:AW366" si="339">IF(COUNTIFS($E$367:$E$374,"&lt;&gt;",$D$367:$D$374,"A",R$367:R$374,"&lt;&gt;")=0,"",IFERROR(SUMPRODUCT(--($E$367:$E$374&lt;&gt;""),--($D$367:$D$374="A"),$O$367:$O$374,R$367:R$374)/SUMPRODUCT(--($E$367:$E$374&lt;&gt;""),--($D$367:$D$374="A"),$O$367:$O$374),""))</f>
        <v/>
      </c>
      <c r="S366" s="45" t="str">
        <f t="shared" si="339"/>
        <v/>
      </c>
      <c r="T366" s="45" t="str">
        <f t="shared" si="339"/>
        <v/>
      </c>
      <c r="U366" s="45" t="str">
        <f t="shared" si="339"/>
        <v/>
      </c>
      <c r="V366" s="45" t="str">
        <f t="shared" si="339"/>
        <v/>
      </c>
      <c r="W366" s="45" t="str">
        <f t="shared" si="339"/>
        <v/>
      </c>
      <c r="X366" s="45" t="str">
        <f t="shared" si="339"/>
        <v/>
      </c>
      <c r="Y366" s="45" t="str">
        <f t="shared" si="339"/>
        <v/>
      </c>
      <c r="Z366" s="45" t="str">
        <f t="shared" si="339"/>
        <v/>
      </c>
      <c r="AA366" s="45" t="str">
        <f t="shared" si="339"/>
        <v/>
      </c>
      <c r="AB366" s="45" t="str">
        <f t="shared" si="339"/>
        <v/>
      </c>
      <c r="AC366" s="45" t="str">
        <f t="shared" si="339"/>
        <v/>
      </c>
      <c r="AD366" s="45" t="str">
        <f t="shared" si="339"/>
        <v/>
      </c>
      <c r="AE366" s="45" t="str">
        <f t="shared" si="339"/>
        <v/>
      </c>
      <c r="AF366" s="45" t="str">
        <f t="shared" si="339"/>
        <v/>
      </c>
      <c r="AG366" s="45" t="str">
        <f t="shared" si="339"/>
        <v/>
      </c>
      <c r="AH366" s="45" t="str">
        <f t="shared" si="339"/>
        <v/>
      </c>
      <c r="AI366" s="45" t="str">
        <f t="shared" si="339"/>
        <v/>
      </c>
      <c r="AJ366" s="45" t="str">
        <f t="shared" si="339"/>
        <v/>
      </c>
      <c r="AK366" s="45" t="str">
        <f t="shared" si="339"/>
        <v/>
      </c>
      <c r="AL366" s="45" t="str">
        <f t="shared" si="339"/>
        <v/>
      </c>
      <c r="AM366" s="45" t="str">
        <f t="shared" si="339"/>
        <v/>
      </c>
      <c r="AN366" s="45" t="str">
        <f t="shared" si="339"/>
        <v/>
      </c>
      <c r="AO366" s="45" t="str">
        <f t="shared" si="339"/>
        <v/>
      </c>
      <c r="AP366" s="45" t="str">
        <f t="shared" si="339"/>
        <v/>
      </c>
      <c r="AQ366" s="45" t="str">
        <f t="shared" si="339"/>
        <v/>
      </c>
      <c r="AR366" s="45" t="str">
        <f t="shared" si="339"/>
        <v/>
      </c>
      <c r="AS366" s="45" t="str">
        <f t="shared" si="339"/>
        <v/>
      </c>
      <c r="AT366" s="45" t="str">
        <f t="shared" si="339"/>
        <v/>
      </c>
      <c r="AU366" s="45" t="str">
        <f t="shared" si="339"/>
        <v/>
      </c>
      <c r="AV366" s="45" t="str">
        <f t="shared" si="339"/>
        <v/>
      </c>
      <c r="AW366" s="45" t="str">
        <f t="shared" si="339"/>
        <v/>
      </c>
      <c r="AX366" s="45" t="str">
        <f t="shared" ref="AX366:CC366" si="340">IF(COUNTIFS($E$367:$E$374,"&lt;&gt;",$D$367:$D$374,"A",AX$367:AX$374,"&lt;&gt;")=0,"",IFERROR(SUMPRODUCT(--($E$367:$E$374&lt;&gt;""),--($D$367:$D$374="A"),$O$367:$O$374,AX$367:AX$374)/SUMPRODUCT(--($E$367:$E$374&lt;&gt;""),--($D$367:$D$374="A"),$O$367:$O$374),""))</f>
        <v/>
      </c>
      <c r="AY366" s="45" t="str">
        <f t="shared" si="340"/>
        <v/>
      </c>
      <c r="AZ366" s="45" t="str">
        <f t="shared" si="340"/>
        <v/>
      </c>
      <c r="BA366" s="45" t="str">
        <f t="shared" si="340"/>
        <v/>
      </c>
      <c r="BB366" s="45" t="str">
        <f t="shared" si="340"/>
        <v/>
      </c>
      <c r="BC366" s="45" t="str">
        <f t="shared" si="340"/>
        <v/>
      </c>
      <c r="BD366" s="45" t="str">
        <f t="shared" si="340"/>
        <v/>
      </c>
      <c r="BE366" s="45" t="str">
        <f t="shared" si="340"/>
        <v/>
      </c>
      <c r="BF366" s="45" t="str">
        <f t="shared" si="340"/>
        <v/>
      </c>
      <c r="BG366" s="45" t="str">
        <f t="shared" si="340"/>
        <v/>
      </c>
      <c r="BH366" s="45" t="str">
        <f t="shared" si="340"/>
        <v/>
      </c>
      <c r="BI366" s="45" t="str">
        <f t="shared" si="340"/>
        <v/>
      </c>
      <c r="BJ366" s="45" t="str">
        <f t="shared" si="340"/>
        <v/>
      </c>
      <c r="BK366" s="45" t="str">
        <f t="shared" si="340"/>
        <v/>
      </c>
      <c r="BL366" s="45" t="str">
        <f t="shared" si="340"/>
        <v/>
      </c>
      <c r="BM366" s="45" t="str">
        <f t="shared" si="340"/>
        <v/>
      </c>
      <c r="BN366" s="45" t="str">
        <f t="shared" si="340"/>
        <v/>
      </c>
      <c r="BO366" s="45" t="str">
        <f t="shared" si="340"/>
        <v/>
      </c>
      <c r="BP366" s="45" t="str">
        <f t="shared" si="340"/>
        <v/>
      </c>
      <c r="BQ366" s="45" t="str">
        <f t="shared" si="340"/>
        <v/>
      </c>
      <c r="BR366" s="45" t="str">
        <f t="shared" si="340"/>
        <v/>
      </c>
      <c r="BS366" s="45" t="str">
        <f t="shared" si="340"/>
        <v/>
      </c>
      <c r="BT366" s="45" t="str">
        <f t="shared" si="340"/>
        <v/>
      </c>
      <c r="BU366" s="45" t="str">
        <f t="shared" si="340"/>
        <v/>
      </c>
      <c r="BV366" s="45" t="str">
        <f t="shared" si="340"/>
        <v/>
      </c>
      <c r="BW366" s="45" t="str">
        <f t="shared" si="340"/>
        <v/>
      </c>
      <c r="BX366" s="45" t="str">
        <f t="shared" si="340"/>
        <v/>
      </c>
      <c r="BY366" s="45" t="str">
        <f t="shared" si="340"/>
        <v/>
      </c>
      <c r="BZ366" s="45" t="str">
        <f t="shared" si="340"/>
        <v/>
      </c>
      <c r="CA366" s="45" t="str">
        <f t="shared" si="340"/>
        <v/>
      </c>
      <c r="CB366" s="45" t="str">
        <f t="shared" si="340"/>
        <v/>
      </c>
      <c r="CC366" s="45" t="str">
        <f t="shared" si="340"/>
        <v/>
      </c>
      <c r="CD366" s="45" t="str">
        <f t="shared" ref="CD366:CO366" si="341">IF(COUNTIFS($E$367:$E$374,"&lt;&gt;",$D$367:$D$374,"A",CD$367:CD$374,"&lt;&gt;")=0,"",IFERROR(SUMPRODUCT(--($E$367:$E$374&lt;&gt;""),--($D$367:$D$374="A"),$O$367:$O$374,CD$367:CD$374)/SUMPRODUCT(--($E$367:$E$374&lt;&gt;""),--($D$367:$D$374="A"),$O$367:$O$374),""))</f>
        <v/>
      </c>
      <c r="CE366" s="45" t="str">
        <f t="shared" si="341"/>
        <v/>
      </c>
      <c r="CF366" s="45" t="str">
        <f t="shared" si="341"/>
        <v/>
      </c>
      <c r="CG366" s="45" t="str">
        <f t="shared" si="341"/>
        <v/>
      </c>
      <c r="CH366" s="45" t="str">
        <f t="shared" si="341"/>
        <v/>
      </c>
      <c r="CI366" s="45" t="str">
        <f t="shared" si="341"/>
        <v/>
      </c>
      <c r="CJ366" s="45" t="str">
        <f t="shared" si="341"/>
        <v/>
      </c>
      <c r="CK366" s="45" t="str">
        <f t="shared" si="341"/>
        <v/>
      </c>
      <c r="CL366" s="45" t="str">
        <f t="shared" si="341"/>
        <v/>
      </c>
      <c r="CM366" s="45" t="str">
        <f t="shared" si="341"/>
        <v/>
      </c>
      <c r="CN366" s="45" t="str">
        <f t="shared" si="341"/>
        <v/>
      </c>
      <c r="CO366" s="45" t="str">
        <f t="shared" si="341"/>
        <v/>
      </c>
    </row>
    <row r="367" spans="1:93" outlineLevel="4" x14ac:dyDescent="0.25">
      <c r="A367" s="10" t="s">
        <v>116</v>
      </c>
      <c r="B367" s="10" t="s">
        <v>520</v>
      </c>
      <c r="C367" s="24" t="s">
        <v>521</v>
      </c>
      <c r="D367" s="12" t="s">
        <v>110</v>
      </c>
      <c r="E367" s="10" t="s">
        <v>522</v>
      </c>
      <c r="F367" s="10">
        <v>181</v>
      </c>
      <c r="G367" s="10">
        <v>188</v>
      </c>
      <c r="H367" s="10">
        <v>4</v>
      </c>
      <c r="I367" s="13">
        <v>46465.333333333343</v>
      </c>
      <c r="J367" s="13">
        <v>46478.666666666657</v>
      </c>
      <c r="K367" s="13"/>
      <c r="L367" s="13"/>
      <c r="M367" s="14">
        <f t="shared" si="293"/>
        <v>0.99999999999999989</v>
      </c>
      <c r="N367" s="14"/>
      <c r="O367" s="16">
        <v>100000</v>
      </c>
      <c r="P367" s="15">
        <v>0</v>
      </c>
      <c r="Q367" s="16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  <c r="BT367" s="47"/>
      <c r="BU367" s="47"/>
      <c r="BV367" s="47"/>
      <c r="BW367" s="47"/>
      <c r="BX367" s="47"/>
      <c r="BY367" s="47"/>
      <c r="BZ367" s="47">
        <v>7.1428571428571411E-2</v>
      </c>
      <c r="CA367" s="47">
        <v>0.49999999999999989</v>
      </c>
      <c r="CB367" s="47">
        <v>0.4285714285714286</v>
      </c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  <c r="CO367" s="47"/>
    </row>
    <row r="368" spans="1:93" outlineLevel="4" x14ac:dyDescent="0.25">
      <c r="A368" s="17"/>
      <c r="B368" s="17"/>
      <c r="C368" s="25"/>
      <c r="D368" s="19" t="s">
        <v>111</v>
      </c>
      <c r="E368" s="17" t="s">
        <v>522</v>
      </c>
      <c r="F368" s="17"/>
      <c r="G368" s="17"/>
      <c r="H368" s="17"/>
      <c r="I368" s="20"/>
      <c r="J368" s="20"/>
      <c r="K368" s="20"/>
      <c r="L368" s="20"/>
      <c r="M368" s="21" t="str">
        <f t="shared" si="293"/>
        <v/>
      </c>
      <c r="N368" s="21">
        <v>0</v>
      </c>
      <c r="O368" s="48">
        <f>O367</f>
        <v>100000</v>
      </c>
      <c r="P368" s="22"/>
      <c r="Q368" s="23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  <c r="CO368" s="47"/>
    </row>
    <row r="369" spans="1:93" outlineLevel="4" x14ac:dyDescent="0.25">
      <c r="A369" s="10" t="s">
        <v>116</v>
      </c>
      <c r="B369" s="10" t="s">
        <v>523</v>
      </c>
      <c r="C369" s="24" t="s">
        <v>524</v>
      </c>
      <c r="D369" s="12" t="s">
        <v>110</v>
      </c>
      <c r="E369" s="10" t="s">
        <v>525</v>
      </c>
      <c r="F369" s="10">
        <v>182</v>
      </c>
      <c r="G369" s="10">
        <v>189</v>
      </c>
      <c r="H369" s="10">
        <v>4</v>
      </c>
      <c r="I369" s="13">
        <v>46479.333333333343</v>
      </c>
      <c r="J369" s="13">
        <v>46506.666666666657</v>
      </c>
      <c r="K369" s="13"/>
      <c r="L369" s="13"/>
      <c r="M369" s="14">
        <f t="shared" si="293"/>
        <v>1.0000000000000002</v>
      </c>
      <c r="N369" s="14"/>
      <c r="O369" s="16">
        <v>100000</v>
      </c>
      <c r="P369" s="15">
        <v>0.93333333333333335</v>
      </c>
      <c r="Q369" s="16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>
        <v>3.5714285714285719E-2</v>
      </c>
      <c r="CC369" s="47">
        <v>0.25000000000000011</v>
      </c>
      <c r="CD369" s="47">
        <v>0.25000000000000011</v>
      </c>
      <c r="CE369" s="47">
        <v>0.25000000000000011</v>
      </c>
      <c r="CF369" s="47">
        <v>0.21428571428571419</v>
      </c>
      <c r="CG369" s="47"/>
      <c r="CH369" s="47"/>
      <c r="CI369" s="47"/>
      <c r="CJ369" s="47"/>
      <c r="CK369" s="47"/>
      <c r="CL369" s="47"/>
      <c r="CM369" s="47"/>
      <c r="CN369" s="47"/>
      <c r="CO369" s="47"/>
    </row>
    <row r="370" spans="1:93" outlineLevel="4" x14ac:dyDescent="0.25">
      <c r="A370" s="17"/>
      <c r="B370" s="17"/>
      <c r="C370" s="25"/>
      <c r="D370" s="19" t="s">
        <v>111</v>
      </c>
      <c r="E370" s="17" t="s">
        <v>525</v>
      </c>
      <c r="F370" s="17"/>
      <c r="G370" s="17"/>
      <c r="H370" s="17"/>
      <c r="I370" s="20"/>
      <c r="J370" s="20"/>
      <c r="K370" s="20"/>
      <c r="L370" s="20"/>
      <c r="M370" s="21" t="str">
        <f t="shared" si="293"/>
        <v/>
      </c>
      <c r="N370" s="21">
        <v>0</v>
      </c>
      <c r="O370" s="48">
        <f>O369</f>
        <v>100000</v>
      </c>
      <c r="P370" s="22"/>
      <c r="Q370" s="23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  <c r="CO370" s="47"/>
    </row>
    <row r="371" spans="1:93" outlineLevel="4" x14ac:dyDescent="0.25">
      <c r="A371" s="10" t="s">
        <v>116</v>
      </c>
      <c r="B371" s="10" t="s">
        <v>526</v>
      </c>
      <c r="C371" s="24" t="s">
        <v>527</v>
      </c>
      <c r="D371" s="12" t="s">
        <v>110</v>
      </c>
      <c r="E371" s="10" t="s">
        <v>528</v>
      </c>
      <c r="F371" s="10">
        <v>183</v>
      </c>
      <c r="G371" s="10">
        <v>190</v>
      </c>
      <c r="H371" s="10">
        <v>4</v>
      </c>
      <c r="I371" s="13">
        <v>46507.333333333343</v>
      </c>
      <c r="J371" s="13">
        <v>46527.666666666657</v>
      </c>
      <c r="K371" s="13"/>
      <c r="L371" s="13"/>
      <c r="M371" s="14">
        <f t="shared" si="293"/>
        <v>1</v>
      </c>
      <c r="N371" s="14"/>
      <c r="O371" s="16">
        <v>100000</v>
      </c>
      <c r="P371" s="15">
        <v>0.93333333333333335</v>
      </c>
      <c r="Q371" s="16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>
        <v>4.7619047619047623E-2</v>
      </c>
      <c r="CG371" s="47">
        <v>0.33333333333333331</v>
      </c>
      <c r="CH371" s="47">
        <v>0.33333333333333331</v>
      </c>
      <c r="CI371" s="47">
        <v>0.28571428571428581</v>
      </c>
      <c r="CJ371" s="47"/>
      <c r="CK371" s="47"/>
      <c r="CL371" s="47"/>
      <c r="CM371" s="47"/>
      <c r="CN371" s="47"/>
      <c r="CO371" s="47"/>
    </row>
    <row r="372" spans="1:93" outlineLevel="4" x14ac:dyDescent="0.25">
      <c r="A372" s="17"/>
      <c r="B372" s="17"/>
      <c r="C372" s="25"/>
      <c r="D372" s="19" t="s">
        <v>111</v>
      </c>
      <c r="E372" s="17" t="s">
        <v>528</v>
      </c>
      <c r="F372" s="17"/>
      <c r="G372" s="17"/>
      <c r="H372" s="17"/>
      <c r="I372" s="20"/>
      <c r="J372" s="20"/>
      <c r="K372" s="20"/>
      <c r="L372" s="20"/>
      <c r="M372" s="21" t="str">
        <f t="shared" si="293"/>
        <v/>
      </c>
      <c r="N372" s="21">
        <v>0</v>
      </c>
      <c r="O372" s="48">
        <f>O371</f>
        <v>100000</v>
      </c>
      <c r="P372" s="22"/>
      <c r="Q372" s="23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  <c r="CO372" s="47"/>
    </row>
    <row r="373" spans="1:93" outlineLevel="4" x14ac:dyDescent="0.25">
      <c r="A373" s="10" t="s">
        <v>116</v>
      </c>
      <c r="B373" s="10" t="s">
        <v>529</v>
      </c>
      <c r="C373" s="24" t="s">
        <v>530</v>
      </c>
      <c r="D373" s="12" t="s">
        <v>110</v>
      </c>
      <c r="E373" s="10" t="s">
        <v>531</v>
      </c>
      <c r="F373" s="10">
        <v>184</v>
      </c>
      <c r="G373" s="10">
        <v>191</v>
      </c>
      <c r="H373" s="10">
        <v>4</v>
      </c>
      <c r="I373" s="13">
        <v>46507.333333333343</v>
      </c>
      <c r="J373" s="13">
        <v>46520.666666666657</v>
      </c>
      <c r="K373" s="13"/>
      <c r="L373" s="13"/>
      <c r="M373" s="14">
        <f t="shared" si="293"/>
        <v>0.99999999999999989</v>
      </c>
      <c r="N373" s="14"/>
      <c r="O373" s="16">
        <v>100000</v>
      </c>
      <c r="P373" s="15">
        <v>1.6</v>
      </c>
      <c r="Q373" s="16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>
        <v>7.1428571428571411E-2</v>
      </c>
      <c r="CG373" s="47">
        <v>0.49999999999999989</v>
      </c>
      <c r="CH373" s="47">
        <v>0.4285714285714286</v>
      </c>
      <c r="CI373" s="47"/>
      <c r="CJ373" s="47"/>
      <c r="CK373" s="47"/>
      <c r="CL373" s="47"/>
      <c r="CM373" s="47"/>
      <c r="CN373" s="47"/>
      <c r="CO373" s="47"/>
    </row>
    <row r="374" spans="1:93" outlineLevel="4" x14ac:dyDescent="0.25">
      <c r="A374" s="17"/>
      <c r="B374" s="17"/>
      <c r="C374" s="25"/>
      <c r="D374" s="19" t="s">
        <v>111</v>
      </c>
      <c r="E374" s="17" t="s">
        <v>531</v>
      </c>
      <c r="F374" s="17"/>
      <c r="G374" s="17"/>
      <c r="H374" s="17"/>
      <c r="I374" s="20"/>
      <c r="J374" s="20"/>
      <c r="K374" s="20"/>
      <c r="L374" s="20"/>
      <c r="M374" s="21" t="str">
        <f t="shared" si="293"/>
        <v/>
      </c>
      <c r="N374" s="21">
        <v>0</v>
      </c>
      <c r="O374" s="48">
        <f>O373</f>
        <v>100000</v>
      </c>
      <c r="P374" s="22"/>
      <c r="Q374" s="23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  <c r="CO374" s="47"/>
    </row>
    <row r="375" spans="1:93" outlineLevel="3" x14ac:dyDescent="0.25">
      <c r="A375" s="1" t="s">
        <v>92</v>
      </c>
      <c r="B375" s="1" t="s">
        <v>532</v>
      </c>
      <c r="C375" s="7" t="s">
        <v>533</v>
      </c>
      <c r="D375" s="8" t="s">
        <v>110</v>
      </c>
      <c r="E375" s="1"/>
      <c r="F375" s="1">
        <v>185</v>
      </c>
      <c r="G375" s="1">
        <v>192</v>
      </c>
      <c r="H375" s="1">
        <v>3</v>
      </c>
      <c r="I375" s="9">
        <v>46476.333333333343</v>
      </c>
      <c r="J375" s="9">
        <v>46517.666666666657</v>
      </c>
      <c r="K375" s="9"/>
      <c r="L375" s="9"/>
      <c r="M375" s="3">
        <f t="shared" si="293"/>
        <v>1.0000000000000002</v>
      </c>
      <c r="N375" s="3"/>
      <c r="O375" s="5">
        <f>SUMIFS($O$376:$O$379,$A$376:$A$379,"Activity",$D$376:$D$379,"P")</f>
        <v>200000</v>
      </c>
      <c r="P375" s="4"/>
      <c r="Q375" s="5"/>
      <c r="R375" s="45" t="str">
        <f t="shared" ref="R375:AW375" si="342">IF(COUNTIFS($A$377:$A$380,"Activity",$D$377:$D$380,"P",R$377:R$380,"&lt;&gt;")=0,"",IFERROR(SUMPRODUCT(--($A$377:$A$380="Activity"),--($D$377:$D$380="P"),$O$377:$O$380,R$377:R$380)/SUMPRODUCT(--($A$377:$A$380="Activity"),--($D$377:$D$380="P"),$O$377:$O$380),""))</f>
        <v/>
      </c>
      <c r="S375" s="45" t="str">
        <f t="shared" si="342"/>
        <v/>
      </c>
      <c r="T375" s="45" t="str">
        <f t="shared" si="342"/>
        <v/>
      </c>
      <c r="U375" s="45" t="str">
        <f t="shared" si="342"/>
        <v/>
      </c>
      <c r="V375" s="45" t="str">
        <f t="shared" si="342"/>
        <v/>
      </c>
      <c r="W375" s="45" t="str">
        <f t="shared" si="342"/>
        <v/>
      </c>
      <c r="X375" s="45" t="str">
        <f t="shared" si="342"/>
        <v/>
      </c>
      <c r="Y375" s="45" t="str">
        <f t="shared" si="342"/>
        <v/>
      </c>
      <c r="Z375" s="45" t="str">
        <f t="shared" si="342"/>
        <v/>
      </c>
      <c r="AA375" s="45" t="str">
        <f t="shared" si="342"/>
        <v/>
      </c>
      <c r="AB375" s="45" t="str">
        <f t="shared" si="342"/>
        <v/>
      </c>
      <c r="AC375" s="45" t="str">
        <f t="shared" si="342"/>
        <v/>
      </c>
      <c r="AD375" s="45" t="str">
        <f t="shared" si="342"/>
        <v/>
      </c>
      <c r="AE375" s="45" t="str">
        <f t="shared" si="342"/>
        <v/>
      </c>
      <c r="AF375" s="45" t="str">
        <f t="shared" si="342"/>
        <v/>
      </c>
      <c r="AG375" s="45" t="str">
        <f t="shared" si="342"/>
        <v/>
      </c>
      <c r="AH375" s="45" t="str">
        <f t="shared" si="342"/>
        <v/>
      </c>
      <c r="AI375" s="45" t="str">
        <f t="shared" si="342"/>
        <v/>
      </c>
      <c r="AJ375" s="45" t="str">
        <f t="shared" si="342"/>
        <v/>
      </c>
      <c r="AK375" s="45" t="str">
        <f t="shared" si="342"/>
        <v/>
      </c>
      <c r="AL375" s="45" t="str">
        <f t="shared" si="342"/>
        <v/>
      </c>
      <c r="AM375" s="45" t="str">
        <f t="shared" si="342"/>
        <v/>
      </c>
      <c r="AN375" s="45" t="str">
        <f t="shared" si="342"/>
        <v/>
      </c>
      <c r="AO375" s="45" t="str">
        <f t="shared" si="342"/>
        <v/>
      </c>
      <c r="AP375" s="45" t="str">
        <f t="shared" si="342"/>
        <v/>
      </c>
      <c r="AQ375" s="45" t="str">
        <f t="shared" si="342"/>
        <v/>
      </c>
      <c r="AR375" s="45" t="str">
        <f t="shared" si="342"/>
        <v/>
      </c>
      <c r="AS375" s="45" t="str">
        <f t="shared" si="342"/>
        <v/>
      </c>
      <c r="AT375" s="45" t="str">
        <f t="shared" si="342"/>
        <v/>
      </c>
      <c r="AU375" s="45" t="str">
        <f t="shared" si="342"/>
        <v/>
      </c>
      <c r="AV375" s="45" t="str">
        <f t="shared" si="342"/>
        <v/>
      </c>
      <c r="AW375" s="45" t="str">
        <f t="shared" si="342"/>
        <v/>
      </c>
      <c r="AX375" s="45" t="str">
        <f t="shared" ref="AX375:CC375" si="343">IF(COUNTIFS($A$377:$A$380,"Activity",$D$377:$D$380,"P",AX$377:AX$380,"&lt;&gt;")=0,"",IFERROR(SUMPRODUCT(--($A$377:$A$380="Activity"),--($D$377:$D$380="P"),$O$377:$O$380,AX$377:AX$380)/SUMPRODUCT(--($A$377:$A$380="Activity"),--($D$377:$D$380="P"),$O$377:$O$380),""))</f>
        <v/>
      </c>
      <c r="AY375" s="45" t="str">
        <f t="shared" si="343"/>
        <v/>
      </c>
      <c r="AZ375" s="45" t="str">
        <f t="shared" si="343"/>
        <v/>
      </c>
      <c r="BA375" s="45" t="str">
        <f t="shared" si="343"/>
        <v/>
      </c>
      <c r="BB375" s="45" t="str">
        <f t="shared" si="343"/>
        <v/>
      </c>
      <c r="BC375" s="45" t="str">
        <f t="shared" si="343"/>
        <v/>
      </c>
      <c r="BD375" s="45" t="str">
        <f t="shared" si="343"/>
        <v/>
      </c>
      <c r="BE375" s="45" t="str">
        <f t="shared" si="343"/>
        <v/>
      </c>
      <c r="BF375" s="45" t="str">
        <f t="shared" si="343"/>
        <v/>
      </c>
      <c r="BG375" s="45" t="str">
        <f t="shared" si="343"/>
        <v/>
      </c>
      <c r="BH375" s="45" t="str">
        <f t="shared" si="343"/>
        <v/>
      </c>
      <c r="BI375" s="45" t="str">
        <f t="shared" si="343"/>
        <v/>
      </c>
      <c r="BJ375" s="45" t="str">
        <f t="shared" si="343"/>
        <v/>
      </c>
      <c r="BK375" s="45" t="str">
        <f t="shared" si="343"/>
        <v/>
      </c>
      <c r="BL375" s="45" t="str">
        <f t="shared" si="343"/>
        <v/>
      </c>
      <c r="BM375" s="45" t="str">
        <f t="shared" si="343"/>
        <v/>
      </c>
      <c r="BN375" s="45" t="str">
        <f t="shared" si="343"/>
        <v/>
      </c>
      <c r="BO375" s="45" t="str">
        <f t="shared" si="343"/>
        <v/>
      </c>
      <c r="BP375" s="45" t="str">
        <f t="shared" si="343"/>
        <v/>
      </c>
      <c r="BQ375" s="45" t="str">
        <f t="shared" si="343"/>
        <v/>
      </c>
      <c r="BR375" s="45" t="str">
        <f t="shared" si="343"/>
        <v/>
      </c>
      <c r="BS375" s="45" t="str">
        <f t="shared" si="343"/>
        <v/>
      </c>
      <c r="BT375" s="45" t="str">
        <f t="shared" si="343"/>
        <v/>
      </c>
      <c r="BU375" s="45" t="str">
        <f t="shared" si="343"/>
        <v/>
      </c>
      <c r="BV375" s="45" t="str">
        <f t="shared" si="343"/>
        <v/>
      </c>
      <c r="BW375" s="45" t="str">
        <f t="shared" si="343"/>
        <v/>
      </c>
      <c r="BX375" s="45" t="str">
        <f t="shared" si="343"/>
        <v/>
      </c>
      <c r="BY375" s="45" t="str">
        <f t="shared" si="343"/>
        <v/>
      </c>
      <c r="BZ375" s="45" t="str">
        <f t="shared" si="343"/>
        <v/>
      </c>
      <c r="CA375" s="45" t="str">
        <f t="shared" si="343"/>
        <v/>
      </c>
      <c r="CB375" s="45">
        <f t="shared" si="343"/>
        <v>7.1428571428571452E-2</v>
      </c>
      <c r="CC375" s="45">
        <f t="shared" si="343"/>
        <v>0.12500000000000006</v>
      </c>
      <c r="CD375" s="45">
        <f t="shared" ref="CD375:CO375" si="344">IF(COUNTIFS($A$377:$A$380,"Activity",$D$377:$D$380,"P",CD$377:CD$380,"&lt;&gt;")=0,"",IFERROR(SUMPRODUCT(--($A$377:$A$380="Activity"),--($D$377:$D$380="P"),$O$377:$O$380,CD$377:CD$380)/SUMPRODUCT(--($A$377:$A$380="Activity"),--($D$377:$D$380="P"),$O$377:$O$380),""))</f>
        <v>0.12500000000000006</v>
      </c>
      <c r="CE375" s="45">
        <f t="shared" si="344"/>
        <v>0.12500000000000006</v>
      </c>
      <c r="CF375" s="45">
        <f t="shared" si="344"/>
        <v>0.19642857142857134</v>
      </c>
      <c r="CG375" s="45">
        <f t="shared" si="344"/>
        <v>0.25</v>
      </c>
      <c r="CH375" s="45">
        <f t="shared" si="344"/>
        <v>0.10714285714285715</v>
      </c>
      <c r="CI375" s="45" t="str">
        <f t="shared" si="344"/>
        <v/>
      </c>
      <c r="CJ375" s="45" t="str">
        <f t="shared" si="344"/>
        <v/>
      </c>
      <c r="CK375" s="45" t="str">
        <f t="shared" si="344"/>
        <v/>
      </c>
      <c r="CL375" s="45" t="str">
        <f t="shared" si="344"/>
        <v/>
      </c>
      <c r="CM375" s="45" t="str">
        <f t="shared" si="344"/>
        <v/>
      </c>
      <c r="CN375" s="45" t="str">
        <f t="shared" si="344"/>
        <v/>
      </c>
      <c r="CO375" s="45" t="str">
        <f t="shared" si="344"/>
        <v/>
      </c>
    </row>
    <row r="376" spans="1:93" outlineLevel="3" x14ac:dyDescent="0.25">
      <c r="A376" s="1"/>
      <c r="B376" s="1"/>
      <c r="C376" s="7"/>
      <c r="D376" s="8" t="s">
        <v>111</v>
      </c>
      <c r="E376" s="1"/>
      <c r="F376" s="1"/>
      <c r="G376" s="1"/>
      <c r="H376" s="1"/>
      <c r="I376" s="9"/>
      <c r="J376" s="9"/>
      <c r="K376" s="9"/>
      <c r="L376" s="9"/>
      <c r="M376" s="3" t="str">
        <f t="shared" si="293"/>
        <v/>
      </c>
      <c r="N376" s="3"/>
      <c r="O376" s="46">
        <f>O375</f>
        <v>200000</v>
      </c>
      <c r="P376" s="4"/>
      <c r="Q376" s="5"/>
      <c r="R376" s="45" t="str">
        <f t="shared" ref="R376:AW376" si="345">IF(COUNTIFS($E$377:$E$380,"&lt;&gt;",$D$377:$D$380,"A",R$377:R$380,"&lt;&gt;")=0,"",IFERROR(SUMPRODUCT(--($E$377:$E$380&lt;&gt;""),--($D$377:$D$380="A"),$O$377:$O$380,R$377:R$380)/SUMPRODUCT(--($E$377:$E$380&lt;&gt;""),--($D$377:$D$380="A"),$O$377:$O$380),""))</f>
        <v/>
      </c>
      <c r="S376" s="45" t="str">
        <f t="shared" si="345"/>
        <v/>
      </c>
      <c r="T376" s="45" t="str">
        <f t="shared" si="345"/>
        <v/>
      </c>
      <c r="U376" s="45" t="str">
        <f t="shared" si="345"/>
        <v/>
      </c>
      <c r="V376" s="45" t="str">
        <f t="shared" si="345"/>
        <v/>
      </c>
      <c r="W376" s="45" t="str">
        <f t="shared" si="345"/>
        <v/>
      </c>
      <c r="X376" s="45" t="str">
        <f t="shared" si="345"/>
        <v/>
      </c>
      <c r="Y376" s="45" t="str">
        <f t="shared" si="345"/>
        <v/>
      </c>
      <c r="Z376" s="45" t="str">
        <f t="shared" si="345"/>
        <v/>
      </c>
      <c r="AA376" s="45" t="str">
        <f t="shared" si="345"/>
        <v/>
      </c>
      <c r="AB376" s="45" t="str">
        <f t="shared" si="345"/>
        <v/>
      </c>
      <c r="AC376" s="45" t="str">
        <f t="shared" si="345"/>
        <v/>
      </c>
      <c r="AD376" s="45" t="str">
        <f t="shared" si="345"/>
        <v/>
      </c>
      <c r="AE376" s="45" t="str">
        <f t="shared" si="345"/>
        <v/>
      </c>
      <c r="AF376" s="45" t="str">
        <f t="shared" si="345"/>
        <v/>
      </c>
      <c r="AG376" s="45" t="str">
        <f t="shared" si="345"/>
        <v/>
      </c>
      <c r="AH376" s="45" t="str">
        <f t="shared" si="345"/>
        <v/>
      </c>
      <c r="AI376" s="45" t="str">
        <f t="shared" si="345"/>
        <v/>
      </c>
      <c r="AJ376" s="45" t="str">
        <f t="shared" si="345"/>
        <v/>
      </c>
      <c r="AK376" s="45" t="str">
        <f t="shared" si="345"/>
        <v/>
      </c>
      <c r="AL376" s="45" t="str">
        <f t="shared" si="345"/>
        <v/>
      </c>
      <c r="AM376" s="45" t="str">
        <f t="shared" si="345"/>
        <v/>
      </c>
      <c r="AN376" s="45" t="str">
        <f t="shared" si="345"/>
        <v/>
      </c>
      <c r="AO376" s="45" t="str">
        <f t="shared" si="345"/>
        <v/>
      </c>
      <c r="AP376" s="45" t="str">
        <f t="shared" si="345"/>
        <v/>
      </c>
      <c r="AQ376" s="45" t="str">
        <f t="shared" si="345"/>
        <v/>
      </c>
      <c r="AR376" s="45" t="str">
        <f t="shared" si="345"/>
        <v/>
      </c>
      <c r="AS376" s="45" t="str">
        <f t="shared" si="345"/>
        <v/>
      </c>
      <c r="AT376" s="45" t="str">
        <f t="shared" si="345"/>
        <v/>
      </c>
      <c r="AU376" s="45" t="str">
        <f t="shared" si="345"/>
        <v/>
      </c>
      <c r="AV376" s="45" t="str">
        <f t="shared" si="345"/>
        <v/>
      </c>
      <c r="AW376" s="45" t="str">
        <f t="shared" si="345"/>
        <v/>
      </c>
      <c r="AX376" s="45" t="str">
        <f t="shared" ref="AX376:CC376" si="346">IF(COUNTIFS($E$377:$E$380,"&lt;&gt;",$D$377:$D$380,"A",AX$377:AX$380,"&lt;&gt;")=0,"",IFERROR(SUMPRODUCT(--($E$377:$E$380&lt;&gt;""),--($D$377:$D$380="A"),$O$377:$O$380,AX$377:AX$380)/SUMPRODUCT(--($E$377:$E$380&lt;&gt;""),--($D$377:$D$380="A"),$O$377:$O$380),""))</f>
        <v/>
      </c>
      <c r="AY376" s="45" t="str">
        <f t="shared" si="346"/>
        <v/>
      </c>
      <c r="AZ376" s="45" t="str">
        <f t="shared" si="346"/>
        <v/>
      </c>
      <c r="BA376" s="45" t="str">
        <f t="shared" si="346"/>
        <v/>
      </c>
      <c r="BB376" s="45" t="str">
        <f t="shared" si="346"/>
        <v/>
      </c>
      <c r="BC376" s="45" t="str">
        <f t="shared" si="346"/>
        <v/>
      </c>
      <c r="BD376" s="45" t="str">
        <f t="shared" si="346"/>
        <v/>
      </c>
      <c r="BE376" s="45" t="str">
        <f t="shared" si="346"/>
        <v/>
      </c>
      <c r="BF376" s="45" t="str">
        <f t="shared" si="346"/>
        <v/>
      </c>
      <c r="BG376" s="45" t="str">
        <f t="shared" si="346"/>
        <v/>
      </c>
      <c r="BH376" s="45" t="str">
        <f t="shared" si="346"/>
        <v/>
      </c>
      <c r="BI376" s="45" t="str">
        <f t="shared" si="346"/>
        <v/>
      </c>
      <c r="BJ376" s="45" t="str">
        <f t="shared" si="346"/>
        <v/>
      </c>
      <c r="BK376" s="45" t="str">
        <f t="shared" si="346"/>
        <v/>
      </c>
      <c r="BL376" s="45" t="str">
        <f t="shared" si="346"/>
        <v/>
      </c>
      <c r="BM376" s="45" t="str">
        <f t="shared" si="346"/>
        <v/>
      </c>
      <c r="BN376" s="45" t="str">
        <f t="shared" si="346"/>
        <v/>
      </c>
      <c r="BO376" s="45" t="str">
        <f t="shared" si="346"/>
        <v/>
      </c>
      <c r="BP376" s="45" t="str">
        <f t="shared" si="346"/>
        <v/>
      </c>
      <c r="BQ376" s="45" t="str">
        <f t="shared" si="346"/>
        <v/>
      </c>
      <c r="BR376" s="45" t="str">
        <f t="shared" si="346"/>
        <v/>
      </c>
      <c r="BS376" s="45" t="str">
        <f t="shared" si="346"/>
        <v/>
      </c>
      <c r="BT376" s="45" t="str">
        <f t="shared" si="346"/>
        <v/>
      </c>
      <c r="BU376" s="45" t="str">
        <f t="shared" si="346"/>
        <v/>
      </c>
      <c r="BV376" s="45" t="str">
        <f t="shared" si="346"/>
        <v/>
      </c>
      <c r="BW376" s="45" t="str">
        <f t="shared" si="346"/>
        <v/>
      </c>
      <c r="BX376" s="45" t="str">
        <f t="shared" si="346"/>
        <v/>
      </c>
      <c r="BY376" s="45" t="str">
        <f t="shared" si="346"/>
        <v/>
      </c>
      <c r="BZ376" s="45" t="str">
        <f t="shared" si="346"/>
        <v/>
      </c>
      <c r="CA376" s="45" t="str">
        <f t="shared" si="346"/>
        <v/>
      </c>
      <c r="CB376" s="45" t="str">
        <f t="shared" si="346"/>
        <v/>
      </c>
      <c r="CC376" s="45" t="str">
        <f t="shared" si="346"/>
        <v/>
      </c>
      <c r="CD376" s="45" t="str">
        <f t="shared" ref="CD376:CO376" si="347">IF(COUNTIFS($E$377:$E$380,"&lt;&gt;",$D$377:$D$380,"A",CD$377:CD$380,"&lt;&gt;")=0,"",IFERROR(SUMPRODUCT(--($E$377:$E$380&lt;&gt;""),--($D$377:$D$380="A"),$O$377:$O$380,CD$377:CD$380)/SUMPRODUCT(--($E$377:$E$380&lt;&gt;""),--($D$377:$D$380="A"),$O$377:$O$380),""))</f>
        <v/>
      </c>
      <c r="CE376" s="45" t="str">
        <f t="shared" si="347"/>
        <v/>
      </c>
      <c r="CF376" s="45" t="str">
        <f t="shared" si="347"/>
        <v/>
      </c>
      <c r="CG376" s="45" t="str">
        <f t="shared" si="347"/>
        <v/>
      </c>
      <c r="CH376" s="45" t="str">
        <f t="shared" si="347"/>
        <v/>
      </c>
      <c r="CI376" s="45" t="str">
        <f t="shared" si="347"/>
        <v/>
      </c>
      <c r="CJ376" s="45" t="str">
        <f t="shared" si="347"/>
        <v/>
      </c>
      <c r="CK376" s="45" t="str">
        <f t="shared" si="347"/>
        <v/>
      </c>
      <c r="CL376" s="45" t="str">
        <f t="shared" si="347"/>
        <v/>
      </c>
      <c r="CM376" s="45" t="str">
        <f t="shared" si="347"/>
        <v/>
      </c>
      <c r="CN376" s="45" t="str">
        <f t="shared" si="347"/>
        <v/>
      </c>
      <c r="CO376" s="45" t="str">
        <f t="shared" si="347"/>
        <v/>
      </c>
    </row>
    <row r="377" spans="1:93" outlineLevel="4" x14ac:dyDescent="0.25">
      <c r="A377" s="10" t="s">
        <v>116</v>
      </c>
      <c r="B377" s="10" t="s">
        <v>534</v>
      </c>
      <c r="C377" s="24" t="s">
        <v>521</v>
      </c>
      <c r="D377" s="12" t="s">
        <v>110</v>
      </c>
      <c r="E377" s="10" t="s">
        <v>535</v>
      </c>
      <c r="F377" s="10">
        <v>186</v>
      </c>
      <c r="G377" s="10">
        <v>193</v>
      </c>
      <c r="H377" s="10">
        <v>4</v>
      </c>
      <c r="I377" s="13">
        <v>46476.333333333343</v>
      </c>
      <c r="J377" s="13">
        <v>46503.666666666657</v>
      </c>
      <c r="K377" s="13"/>
      <c r="L377" s="13"/>
      <c r="M377" s="14">
        <f t="shared" si="293"/>
        <v>1.0000000000000002</v>
      </c>
      <c r="N377" s="14"/>
      <c r="O377" s="16">
        <v>100000</v>
      </c>
      <c r="P377" s="15">
        <v>0</v>
      </c>
      <c r="Q377" s="16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>
        <v>0.1428571428571429</v>
      </c>
      <c r="CC377" s="47">
        <v>0.25000000000000011</v>
      </c>
      <c r="CD377" s="47">
        <v>0.25000000000000011</v>
      </c>
      <c r="CE377" s="47">
        <v>0.25000000000000011</v>
      </c>
      <c r="CF377" s="47">
        <v>0.107142857142857</v>
      </c>
      <c r="CG377" s="47"/>
      <c r="CH377" s="47"/>
      <c r="CI377" s="47"/>
      <c r="CJ377" s="47"/>
      <c r="CK377" s="47"/>
      <c r="CL377" s="47"/>
      <c r="CM377" s="47"/>
      <c r="CN377" s="47"/>
      <c r="CO377" s="47"/>
    </row>
    <row r="378" spans="1:93" outlineLevel="4" x14ac:dyDescent="0.25">
      <c r="A378" s="17"/>
      <c r="B378" s="17"/>
      <c r="C378" s="25"/>
      <c r="D378" s="19" t="s">
        <v>111</v>
      </c>
      <c r="E378" s="17" t="s">
        <v>535</v>
      </c>
      <c r="F378" s="17"/>
      <c r="G378" s="17"/>
      <c r="H378" s="17"/>
      <c r="I378" s="20"/>
      <c r="J378" s="20"/>
      <c r="K378" s="20"/>
      <c r="L378" s="20"/>
      <c r="M378" s="21" t="str">
        <f t="shared" si="293"/>
        <v/>
      </c>
      <c r="N378" s="21">
        <v>0</v>
      </c>
      <c r="O378" s="48">
        <f>O377</f>
        <v>100000</v>
      </c>
      <c r="P378" s="22"/>
      <c r="Q378" s="23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  <c r="CO378" s="47"/>
    </row>
    <row r="379" spans="1:93" outlineLevel="4" x14ac:dyDescent="0.25">
      <c r="A379" s="10" t="s">
        <v>116</v>
      </c>
      <c r="B379" s="10" t="s">
        <v>536</v>
      </c>
      <c r="C379" s="24" t="s">
        <v>530</v>
      </c>
      <c r="D379" s="12" t="s">
        <v>110</v>
      </c>
      <c r="E379" s="10" t="s">
        <v>537</v>
      </c>
      <c r="F379" s="10">
        <v>187</v>
      </c>
      <c r="G379" s="10">
        <v>194</v>
      </c>
      <c r="H379" s="10">
        <v>4</v>
      </c>
      <c r="I379" s="13">
        <v>46504.333333333343</v>
      </c>
      <c r="J379" s="13">
        <v>46517.666666666657</v>
      </c>
      <c r="K379" s="13"/>
      <c r="L379" s="13"/>
      <c r="M379" s="14">
        <f t="shared" si="293"/>
        <v>1</v>
      </c>
      <c r="N379" s="14"/>
      <c r="O379" s="16">
        <v>100000</v>
      </c>
      <c r="P379" s="15">
        <v>2</v>
      </c>
      <c r="Q379" s="16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>
        <v>0.2857142857142857</v>
      </c>
      <c r="CG379" s="47">
        <v>0.5</v>
      </c>
      <c r="CH379" s="47">
        <v>0.2142857142857143</v>
      </c>
      <c r="CI379" s="47"/>
      <c r="CJ379" s="47"/>
      <c r="CK379" s="47"/>
      <c r="CL379" s="47"/>
      <c r="CM379" s="47"/>
      <c r="CN379" s="47"/>
      <c r="CO379" s="47"/>
    </row>
    <row r="380" spans="1:93" outlineLevel="4" x14ac:dyDescent="0.25">
      <c r="A380" s="17"/>
      <c r="B380" s="17"/>
      <c r="C380" s="25"/>
      <c r="D380" s="19" t="s">
        <v>111</v>
      </c>
      <c r="E380" s="17" t="s">
        <v>537</v>
      </c>
      <c r="F380" s="17"/>
      <c r="G380" s="17"/>
      <c r="H380" s="17"/>
      <c r="I380" s="20"/>
      <c r="J380" s="20"/>
      <c r="K380" s="20"/>
      <c r="L380" s="20"/>
      <c r="M380" s="21" t="str">
        <f t="shared" si="293"/>
        <v/>
      </c>
      <c r="N380" s="21">
        <v>0</v>
      </c>
      <c r="O380" s="48">
        <f>O379</f>
        <v>100000</v>
      </c>
      <c r="P380" s="22"/>
      <c r="Q380" s="23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  <c r="CO380" s="47"/>
    </row>
    <row r="381" spans="1:93" outlineLevel="3" x14ac:dyDescent="0.25">
      <c r="A381" s="1" t="s">
        <v>92</v>
      </c>
      <c r="B381" s="1" t="s">
        <v>538</v>
      </c>
      <c r="C381" s="7" t="s">
        <v>539</v>
      </c>
      <c r="D381" s="8" t="s">
        <v>110</v>
      </c>
      <c r="E381" s="1"/>
      <c r="F381" s="1">
        <v>188</v>
      </c>
      <c r="G381" s="1">
        <v>195</v>
      </c>
      <c r="H381" s="1">
        <v>3</v>
      </c>
      <c r="I381" s="9">
        <v>46504.333333333343</v>
      </c>
      <c r="J381" s="9">
        <v>46538.666666666657</v>
      </c>
      <c r="K381" s="9"/>
      <c r="L381" s="9"/>
      <c r="M381" s="3">
        <f t="shared" si="293"/>
        <v>0.99999999999999989</v>
      </c>
      <c r="N381" s="3"/>
      <c r="O381" s="5">
        <f>SUMIFS($O$382:$O$387,$A$382:$A$387,"Activity",$D$382:$D$387,"P")</f>
        <v>300000</v>
      </c>
      <c r="P381" s="4"/>
      <c r="Q381" s="5"/>
      <c r="R381" s="45" t="str">
        <f t="shared" ref="R381:AW381" si="348">IF(COUNTIFS($A$383:$A$388,"Activity",$D$383:$D$388,"P",R$383:R$388,"&lt;&gt;")=0,"",IFERROR(SUMPRODUCT(--($A$383:$A$388="Activity"),--($D$383:$D$388="P"),$O$383:$O$388,R$383:R$388)/SUMPRODUCT(--($A$383:$A$388="Activity"),--($D$383:$D$388="P"),$O$383:$O$388),""))</f>
        <v/>
      </c>
      <c r="S381" s="45" t="str">
        <f t="shared" si="348"/>
        <v/>
      </c>
      <c r="T381" s="45" t="str">
        <f t="shared" si="348"/>
        <v/>
      </c>
      <c r="U381" s="45" t="str">
        <f t="shared" si="348"/>
        <v/>
      </c>
      <c r="V381" s="45" t="str">
        <f t="shared" si="348"/>
        <v/>
      </c>
      <c r="W381" s="45" t="str">
        <f t="shared" si="348"/>
        <v/>
      </c>
      <c r="X381" s="45" t="str">
        <f t="shared" si="348"/>
        <v/>
      </c>
      <c r="Y381" s="45" t="str">
        <f t="shared" si="348"/>
        <v/>
      </c>
      <c r="Z381" s="45" t="str">
        <f t="shared" si="348"/>
        <v/>
      </c>
      <c r="AA381" s="45" t="str">
        <f t="shared" si="348"/>
        <v/>
      </c>
      <c r="AB381" s="45" t="str">
        <f t="shared" si="348"/>
        <v/>
      </c>
      <c r="AC381" s="45" t="str">
        <f t="shared" si="348"/>
        <v/>
      </c>
      <c r="AD381" s="45" t="str">
        <f t="shared" si="348"/>
        <v/>
      </c>
      <c r="AE381" s="45" t="str">
        <f t="shared" si="348"/>
        <v/>
      </c>
      <c r="AF381" s="45" t="str">
        <f t="shared" si="348"/>
        <v/>
      </c>
      <c r="AG381" s="45" t="str">
        <f t="shared" si="348"/>
        <v/>
      </c>
      <c r="AH381" s="45" t="str">
        <f t="shared" si="348"/>
        <v/>
      </c>
      <c r="AI381" s="45" t="str">
        <f t="shared" si="348"/>
        <v/>
      </c>
      <c r="AJ381" s="45" t="str">
        <f t="shared" si="348"/>
        <v/>
      </c>
      <c r="AK381" s="45" t="str">
        <f t="shared" si="348"/>
        <v/>
      </c>
      <c r="AL381" s="45" t="str">
        <f t="shared" si="348"/>
        <v/>
      </c>
      <c r="AM381" s="45" t="str">
        <f t="shared" si="348"/>
        <v/>
      </c>
      <c r="AN381" s="45" t="str">
        <f t="shared" si="348"/>
        <v/>
      </c>
      <c r="AO381" s="45" t="str">
        <f t="shared" si="348"/>
        <v/>
      </c>
      <c r="AP381" s="45" t="str">
        <f t="shared" si="348"/>
        <v/>
      </c>
      <c r="AQ381" s="45" t="str">
        <f t="shared" si="348"/>
        <v/>
      </c>
      <c r="AR381" s="45" t="str">
        <f t="shared" si="348"/>
        <v/>
      </c>
      <c r="AS381" s="45" t="str">
        <f t="shared" si="348"/>
        <v/>
      </c>
      <c r="AT381" s="45" t="str">
        <f t="shared" si="348"/>
        <v/>
      </c>
      <c r="AU381" s="45" t="str">
        <f t="shared" si="348"/>
        <v/>
      </c>
      <c r="AV381" s="45" t="str">
        <f t="shared" si="348"/>
        <v/>
      </c>
      <c r="AW381" s="45" t="str">
        <f t="shared" si="348"/>
        <v/>
      </c>
      <c r="AX381" s="45" t="str">
        <f t="shared" ref="AX381:CC381" si="349">IF(COUNTIFS($A$383:$A$388,"Activity",$D$383:$D$388,"P",AX$383:AX$388,"&lt;&gt;")=0,"",IFERROR(SUMPRODUCT(--($A$383:$A$388="Activity"),--($D$383:$D$388="P"),$O$383:$O$388,AX$383:AX$388)/SUMPRODUCT(--($A$383:$A$388="Activity"),--($D$383:$D$388="P"),$O$383:$O$388),""))</f>
        <v/>
      </c>
      <c r="AY381" s="45" t="str">
        <f t="shared" si="349"/>
        <v/>
      </c>
      <c r="AZ381" s="45" t="str">
        <f t="shared" si="349"/>
        <v/>
      </c>
      <c r="BA381" s="45" t="str">
        <f t="shared" si="349"/>
        <v/>
      </c>
      <c r="BB381" s="45" t="str">
        <f t="shared" si="349"/>
        <v/>
      </c>
      <c r="BC381" s="45" t="str">
        <f t="shared" si="349"/>
        <v/>
      </c>
      <c r="BD381" s="45" t="str">
        <f t="shared" si="349"/>
        <v/>
      </c>
      <c r="BE381" s="45" t="str">
        <f t="shared" si="349"/>
        <v/>
      </c>
      <c r="BF381" s="45" t="str">
        <f t="shared" si="349"/>
        <v/>
      </c>
      <c r="BG381" s="45" t="str">
        <f t="shared" si="349"/>
        <v/>
      </c>
      <c r="BH381" s="45" t="str">
        <f t="shared" si="349"/>
        <v/>
      </c>
      <c r="BI381" s="45" t="str">
        <f t="shared" si="349"/>
        <v/>
      </c>
      <c r="BJ381" s="45" t="str">
        <f t="shared" si="349"/>
        <v/>
      </c>
      <c r="BK381" s="45" t="str">
        <f t="shared" si="349"/>
        <v/>
      </c>
      <c r="BL381" s="45" t="str">
        <f t="shared" si="349"/>
        <v/>
      </c>
      <c r="BM381" s="45" t="str">
        <f t="shared" si="349"/>
        <v/>
      </c>
      <c r="BN381" s="45" t="str">
        <f t="shared" si="349"/>
        <v/>
      </c>
      <c r="BO381" s="45" t="str">
        <f t="shared" si="349"/>
        <v/>
      </c>
      <c r="BP381" s="45" t="str">
        <f t="shared" si="349"/>
        <v/>
      </c>
      <c r="BQ381" s="45" t="str">
        <f t="shared" si="349"/>
        <v/>
      </c>
      <c r="BR381" s="45" t="str">
        <f t="shared" si="349"/>
        <v/>
      </c>
      <c r="BS381" s="45" t="str">
        <f t="shared" si="349"/>
        <v/>
      </c>
      <c r="BT381" s="45" t="str">
        <f t="shared" si="349"/>
        <v/>
      </c>
      <c r="BU381" s="45" t="str">
        <f t="shared" si="349"/>
        <v/>
      </c>
      <c r="BV381" s="45" t="str">
        <f t="shared" si="349"/>
        <v/>
      </c>
      <c r="BW381" s="45" t="str">
        <f t="shared" si="349"/>
        <v/>
      </c>
      <c r="BX381" s="45" t="str">
        <f t="shared" si="349"/>
        <v/>
      </c>
      <c r="BY381" s="45" t="str">
        <f t="shared" si="349"/>
        <v/>
      </c>
      <c r="BZ381" s="45" t="str">
        <f t="shared" si="349"/>
        <v/>
      </c>
      <c r="CA381" s="45" t="str">
        <f t="shared" si="349"/>
        <v/>
      </c>
      <c r="CB381" s="45" t="str">
        <f t="shared" si="349"/>
        <v/>
      </c>
      <c r="CC381" s="45" t="str">
        <f t="shared" si="349"/>
        <v/>
      </c>
      <c r="CD381" s="45" t="str">
        <f t="shared" ref="CD381:CO381" si="350">IF(COUNTIFS($A$383:$A$388,"Activity",$D$383:$D$388,"P",CD$383:CD$388,"&lt;&gt;")=0,"",IFERROR(SUMPRODUCT(--($A$383:$A$388="Activity"),--($D$383:$D$388="P"),$O$383:$O$388,CD$383:CD$388)/SUMPRODUCT(--($A$383:$A$388="Activity"),--($D$383:$D$388="P"),$O$383:$O$388),""))</f>
        <v/>
      </c>
      <c r="CE381" s="45" t="str">
        <f t="shared" si="350"/>
        <v/>
      </c>
      <c r="CF381" s="45">
        <f t="shared" si="350"/>
        <v>9.5238095238095233E-2</v>
      </c>
      <c r="CG381" s="45">
        <f t="shared" si="350"/>
        <v>0.16666666666666666</v>
      </c>
      <c r="CH381" s="45">
        <f t="shared" si="350"/>
        <v>0.16666666666666666</v>
      </c>
      <c r="CI381" s="45">
        <f t="shared" si="350"/>
        <v>0.16666666666666666</v>
      </c>
      <c r="CJ381" s="45">
        <f t="shared" si="350"/>
        <v>0.26190476190476186</v>
      </c>
      <c r="CK381" s="45">
        <f t="shared" si="350"/>
        <v>0.14285714285714288</v>
      </c>
      <c r="CL381" s="45" t="str">
        <f t="shared" si="350"/>
        <v/>
      </c>
      <c r="CM381" s="45" t="str">
        <f t="shared" si="350"/>
        <v/>
      </c>
      <c r="CN381" s="45" t="str">
        <f t="shared" si="350"/>
        <v/>
      </c>
      <c r="CO381" s="45" t="str">
        <f t="shared" si="350"/>
        <v/>
      </c>
    </row>
    <row r="382" spans="1:93" outlineLevel="3" x14ac:dyDescent="0.25">
      <c r="A382" s="1"/>
      <c r="B382" s="1"/>
      <c r="C382" s="7"/>
      <c r="D382" s="8" t="s">
        <v>111</v>
      </c>
      <c r="E382" s="1"/>
      <c r="F382" s="1"/>
      <c r="G382" s="1"/>
      <c r="H382" s="1"/>
      <c r="I382" s="9"/>
      <c r="J382" s="9"/>
      <c r="K382" s="9"/>
      <c r="L382" s="9"/>
      <c r="M382" s="3" t="str">
        <f t="shared" si="293"/>
        <v/>
      </c>
      <c r="N382" s="3"/>
      <c r="O382" s="46">
        <f>O381</f>
        <v>300000</v>
      </c>
      <c r="P382" s="4"/>
      <c r="Q382" s="5"/>
      <c r="R382" s="45" t="str">
        <f t="shared" ref="R382:AW382" si="351">IF(COUNTIFS($E$383:$E$388,"&lt;&gt;",$D$383:$D$388,"A",R$383:R$388,"&lt;&gt;")=0,"",IFERROR(SUMPRODUCT(--($E$383:$E$388&lt;&gt;""),--($D$383:$D$388="A"),$O$383:$O$388,R$383:R$388)/SUMPRODUCT(--($E$383:$E$388&lt;&gt;""),--($D$383:$D$388="A"),$O$383:$O$388),""))</f>
        <v/>
      </c>
      <c r="S382" s="45" t="str">
        <f t="shared" si="351"/>
        <v/>
      </c>
      <c r="T382" s="45" t="str">
        <f t="shared" si="351"/>
        <v/>
      </c>
      <c r="U382" s="45" t="str">
        <f t="shared" si="351"/>
        <v/>
      </c>
      <c r="V382" s="45" t="str">
        <f t="shared" si="351"/>
        <v/>
      </c>
      <c r="W382" s="45" t="str">
        <f t="shared" si="351"/>
        <v/>
      </c>
      <c r="X382" s="45" t="str">
        <f t="shared" si="351"/>
        <v/>
      </c>
      <c r="Y382" s="45" t="str">
        <f t="shared" si="351"/>
        <v/>
      </c>
      <c r="Z382" s="45" t="str">
        <f t="shared" si="351"/>
        <v/>
      </c>
      <c r="AA382" s="45" t="str">
        <f t="shared" si="351"/>
        <v/>
      </c>
      <c r="AB382" s="45" t="str">
        <f t="shared" si="351"/>
        <v/>
      </c>
      <c r="AC382" s="45" t="str">
        <f t="shared" si="351"/>
        <v/>
      </c>
      <c r="AD382" s="45" t="str">
        <f t="shared" si="351"/>
        <v/>
      </c>
      <c r="AE382" s="45" t="str">
        <f t="shared" si="351"/>
        <v/>
      </c>
      <c r="AF382" s="45" t="str">
        <f t="shared" si="351"/>
        <v/>
      </c>
      <c r="AG382" s="45" t="str">
        <f t="shared" si="351"/>
        <v/>
      </c>
      <c r="AH382" s="45" t="str">
        <f t="shared" si="351"/>
        <v/>
      </c>
      <c r="AI382" s="45" t="str">
        <f t="shared" si="351"/>
        <v/>
      </c>
      <c r="AJ382" s="45" t="str">
        <f t="shared" si="351"/>
        <v/>
      </c>
      <c r="AK382" s="45" t="str">
        <f t="shared" si="351"/>
        <v/>
      </c>
      <c r="AL382" s="45" t="str">
        <f t="shared" si="351"/>
        <v/>
      </c>
      <c r="AM382" s="45" t="str">
        <f t="shared" si="351"/>
        <v/>
      </c>
      <c r="AN382" s="45" t="str">
        <f t="shared" si="351"/>
        <v/>
      </c>
      <c r="AO382" s="45" t="str">
        <f t="shared" si="351"/>
        <v/>
      </c>
      <c r="AP382" s="45" t="str">
        <f t="shared" si="351"/>
        <v/>
      </c>
      <c r="AQ382" s="45" t="str">
        <f t="shared" si="351"/>
        <v/>
      </c>
      <c r="AR382" s="45" t="str">
        <f t="shared" si="351"/>
        <v/>
      </c>
      <c r="AS382" s="45" t="str">
        <f t="shared" si="351"/>
        <v/>
      </c>
      <c r="AT382" s="45" t="str">
        <f t="shared" si="351"/>
        <v/>
      </c>
      <c r="AU382" s="45" t="str">
        <f t="shared" si="351"/>
        <v/>
      </c>
      <c r="AV382" s="45" t="str">
        <f t="shared" si="351"/>
        <v/>
      </c>
      <c r="AW382" s="45" t="str">
        <f t="shared" si="351"/>
        <v/>
      </c>
      <c r="AX382" s="45" t="str">
        <f t="shared" ref="AX382:CC382" si="352">IF(COUNTIFS($E$383:$E$388,"&lt;&gt;",$D$383:$D$388,"A",AX$383:AX$388,"&lt;&gt;")=0,"",IFERROR(SUMPRODUCT(--($E$383:$E$388&lt;&gt;""),--($D$383:$D$388="A"),$O$383:$O$388,AX$383:AX$388)/SUMPRODUCT(--($E$383:$E$388&lt;&gt;""),--($D$383:$D$388="A"),$O$383:$O$388),""))</f>
        <v/>
      </c>
      <c r="AY382" s="45" t="str">
        <f t="shared" si="352"/>
        <v/>
      </c>
      <c r="AZ382" s="45" t="str">
        <f t="shared" si="352"/>
        <v/>
      </c>
      <c r="BA382" s="45" t="str">
        <f t="shared" si="352"/>
        <v/>
      </c>
      <c r="BB382" s="45" t="str">
        <f t="shared" si="352"/>
        <v/>
      </c>
      <c r="BC382" s="45" t="str">
        <f t="shared" si="352"/>
        <v/>
      </c>
      <c r="BD382" s="45" t="str">
        <f t="shared" si="352"/>
        <v/>
      </c>
      <c r="BE382" s="45" t="str">
        <f t="shared" si="352"/>
        <v/>
      </c>
      <c r="BF382" s="45" t="str">
        <f t="shared" si="352"/>
        <v/>
      </c>
      <c r="BG382" s="45" t="str">
        <f t="shared" si="352"/>
        <v/>
      </c>
      <c r="BH382" s="45" t="str">
        <f t="shared" si="352"/>
        <v/>
      </c>
      <c r="BI382" s="45" t="str">
        <f t="shared" si="352"/>
        <v/>
      </c>
      <c r="BJ382" s="45" t="str">
        <f t="shared" si="352"/>
        <v/>
      </c>
      <c r="BK382" s="45" t="str">
        <f t="shared" si="352"/>
        <v/>
      </c>
      <c r="BL382" s="45" t="str">
        <f t="shared" si="352"/>
        <v/>
      </c>
      <c r="BM382" s="45" t="str">
        <f t="shared" si="352"/>
        <v/>
      </c>
      <c r="BN382" s="45" t="str">
        <f t="shared" si="352"/>
        <v/>
      </c>
      <c r="BO382" s="45" t="str">
        <f t="shared" si="352"/>
        <v/>
      </c>
      <c r="BP382" s="45" t="str">
        <f t="shared" si="352"/>
        <v/>
      </c>
      <c r="BQ382" s="45" t="str">
        <f t="shared" si="352"/>
        <v/>
      </c>
      <c r="BR382" s="45" t="str">
        <f t="shared" si="352"/>
        <v/>
      </c>
      <c r="BS382" s="45" t="str">
        <f t="shared" si="352"/>
        <v/>
      </c>
      <c r="BT382" s="45" t="str">
        <f t="shared" si="352"/>
        <v/>
      </c>
      <c r="BU382" s="45" t="str">
        <f t="shared" si="352"/>
        <v/>
      </c>
      <c r="BV382" s="45" t="str">
        <f t="shared" si="352"/>
        <v/>
      </c>
      <c r="BW382" s="45" t="str">
        <f t="shared" si="352"/>
        <v/>
      </c>
      <c r="BX382" s="45" t="str">
        <f t="shared" si="352"/>
        <v/>
      </c>
      <c r="BY382" s="45" t="str">
        <f t="shared" si="352"/>
        <v/>
      </c>
      <c r="BZ382" s="45" t="str">
        <f t="shared" si="352"/>
        <v/>
      </c>
      <c r="CA382" s="45" t="str">
        <f t="shared" si="352"/>
        <v/>
      </c>
      <c r="CB382" s="45" t="str">
        <f t="shared" si="352"/>
        <v/>
      </c>
      <c r="CC382" s="45" t="str">
        <f t="shared" si="352"/>
        <v/>
      </c>
      <c r="CD382" s="45" t="str">
        <f t="shared" ref="CD382:CO382" si="353">IF(COUNTIFS($E$383:$E$388,"&lt;&gt;",$D$383:$D$388,"A",CD$383:CD$388,"&lt;&gt;")=0,"",IFERROR(SUMPRODUCT(--($E$383:$E$388&lt;&gt;""),--($D$383:$D$388="A"),$O$383:$O$388,CD$383:CD$388)/SUMPRODUCT(--($E$383:$E$388&lt;&gt;""),--($D$383:$D$388="A"),$O$383:$O$388),""))</f>
        <v/>
      </c>
      <c r="CE382" s="45" t="str">
        <f t="shared" si="353"/>
        <v/>
      </c>
      <c r="CF382" s="45" t="str">
        <f t="shared" si="353"/>
        <v/>
      </c>
      <c r="CG382" s="45" t="str">
        <f t="shared" si="353"/>
        <v/>
      </c>
      <c r="CH382" s="45" t="str">
        <f t="shared" si="353"/>
        <v/>
      </c>
      <c r="CI382" s="45" t="str">
        <f t="shared" si="353"/>
        <v/>
      </c>
      <c r="CJ382" s="45" t="str">
        <f t="shared" si="353"/>
        <v/>
      </c>
      <c r="CK382" s="45" t="str">
        <f t="shared" si="353"/>
        <v/>
      </c>
      <c r="CL382" s="45" t="str">
        <f t="shared" si="353"/>
        <v/>
      </c>
      <c r="CM382" s="45" t="str">
        <f t="shared" si="353"/>
        <v/>
      </c>
      <c r="CN382" s="45" t="str">
        <f t="shared" si="353"/>
        <v/>
      </c>
      <c r="CO382" s="45" t="str">
        <f t="shared" si="353"/>
        <v/>
      </c>
    </row>
    <row r="383" spans="1:93" outlineLevel="4" x14ac:dyDescent="0.25">
      <c r="A383" s="10" t="s">
        <v>116</v>
      </c>
      <c r="B383" s="10" t="s">
        <v>540</v>
      </c>
      <c r="C383" s="24" t="s">
        <v>521</v>
      </c>
      <c r="D383" s="12" t="s">
        <v>110</v>
      </c>
      <c r="E383" s="10" t="s">
        <v>541</v>
      </c>
      <c r="F383" s="10">
        <v>189</v>
      </c>
      <c r="G383" s="10">
        <v>196</v>
      </c>
      <c r="H383" s="10">
        <v>4</v>
      </c>
      <c r="I383" s="13">
        <v>46504.333333333343</v>
      </c>
      <c r="J383" s="13">
        <v>46517.666666666657</v>
      </c>
      <c r="K383" s="13"/>
      <c r="L383" s="13"/>
      <c r="M383" s="14">
        <f t="shared" si="293"/>
        <v>1</v>
      </c>
      <c r="N383" s="14"/>
      <c r="O383" s="16">
        <v>100000</v>
      </c>
      <c r="P383" s="15">
        <v>0</v>
      </c>
      <c r="Q383" s="16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>
        <v>0.2857142857142857</v>
      </c>
      <c r="CG383" s="47">
        <v>0.5</v>
      </c>
      <c r="CH383" s="47">
        <v>0.2142857142857143</v>
      </c>
      <c r="CI383" s="47"/>
      <c r="CJ383" s="47"/>
      <c r="CK383" s="47"/>
      <c r="CL383" s="47"/>
      <c r="CM383" s="47"/>
      <c r="CN383" s="47"/>
      <c r="CO383" s="47"/>
    </row>
    <row r="384" spans="1:93" outlineLevel="4" x14ac:dyDescent="0.25">
      <c r="A384" s="17"/>
      <c r="B384" s="17"/>
      <c r="C384" s="25"/>
      <c r="D384" s="19" t="s">
        <v>111</v>
      </c>
      <c r="E384" s="17" t="s">
        <v>541</v>
      </c>
      <c r="F384" s="17"/>
      <c r="G384" s="17"/>
      <c r="H384" s="17"/>
      <c r="I384" s="20"/>
      <c r="J384" s="20"/>
      <c r="K384" s="20"/>
      <c r="L384" s="20"/>
      <c r="M384" s="21" t="str">
        <f t="shared" si="293"/>
        <v/>
      </c>
      <c r="N384" s="21">
        <v>0</v>
      </c>
      <c r="O384" s="48">
        <f>O383</f>
        <v>100000</v>
      </c>
      <c r="P384" s="22"/>
      <c r="Q384" s="23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</row>
    <row r="385" spans="1:93" outlineLevel="4" x14ac:dyDescent="0.25">
      <c r="A385" s="10" t="s">
        <v>116</v>
      </c>
      <c r="B385" s="10" t="s">
        <v>542</v>
      </c>
      <c r="C385" s="24" t="s">
        <v>524</v>
      </c>
      <c r="D385" s="12" t="s">
        <v>110</v>
      </c>
      <c r="E385" s="10" t="s">
        <v>543</v>
      </c>
      <c r="F385" s="10">
        <v>190</v>
      </c>
      <c r="G385" s="10">
        <v>197</v>
      </c>
      <c r="H385" s="10">
        <v>4</v>
      </c>
      <c r="I385" s="13">
        <v>46518.333333333343</v>
      </c>
      <c r="J385" s="13">
        <v>46531.666666666657</v>
      </c>
      <c r="K385" s="13"/>
      <c r="L385" s="13"/>
      <c r="M385" s="14">
        <f t="shared" si="293"/>
        <v>1</v>
      </c>
      <c r="N385" s="14"/>
      <c r="O385" s="16">
        <v>100000</v>
      </c>
      <c r="P385" s="15">
        <v>0</v>
      </c>
      <c r="Q385" s="16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>
        <v>0.2857142857142857</v>
      </c>
      <c r="CI385" s="47">
        <v>0.5</v>
      </c>
      <c r="CJ385" s="47">
        <v>0.2142857142857143</v>
      </c>
      <c r="CK385" s="47"/>
      <c r="CL385" s="47"/>
      <c r="CM385" s="47"/>
      <c r="CN385" s="47"/>
      <c r="CO385" s="47"/>
    </row>
    <row r="386" spans="1:93" outlineLevel="4" x14ac:dyDescent="0.25">
      <c r="A386" s="17"/>
      <c r="B386" s="17"/>
      <c r="C386" s="25"/>
      <c r="D386" s="19" t="s">
        <v>111</v>
      </c>
      <c r="E386" s="17" t="s">
        <v>543</v>
      </c>
      <c r="F386" s="17"/>
      <c r="G386" s="17"/>
      <c r="H386" s="17"/>
      <c r="I386" s="20"/>
      <c r="J386" s="20"/>
      <c r="K386" s="20"/>
      <c r="L386" s="20"/>
      <c r="M386" s="21" t="str">
        <f t="shared" si="293"/>
        <v/>
      </c>
      <c r="N386" s="21">
        <v>0</v>
      </c>
      <c r="O386" s="48">
        <f>O385</f>
        <v>100000</v>
      </c>
      <c r="P386" s="22"/>
      <c r="Q386" s="23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</row>
    <row r="387" spans="1:93" outlineLevel="4" x14ac:dyDescent="0.25">
      <c r="A387" s="10" t="s">
        <v>116</v>
      </c>
      <c r="B387" s="10" t="s">
        <v>544</v>
      </c>
      <c r="C387" s="24" t="s">
        <v>530</v>
      </c>
      <c r="D387" s="12" t="s">
        <v>110</v>
      </c>
      <c r="E387" s="10" t="s">
        <v>545</v>
      </c>
      <c r="F387" s="10">
        <v>191</v>
      </c>
      <c r="G387" s="10">
        <v>198</v>
      </c>
      <c r="H387" s="10">
        <v>4</v>
      </c>
      <c r="I387" s="13">
        <v>46532.333333333343</v>
      </c>
      <c r="J387" s="13">
        <v>46538.666666666657</v>
      </c>
      <c r="K387" s="13"/>
      <c r="L387" s="13"/>
      <c r="M387" s="14">
        <f t="shared" si="293"/>
        <v>1</v>
      </c>
      <c r="N387" s="14"/>
      <c r="O387" s="16">
        <v>100000</v>
      </c>
      <c r="P387" s="15">
        <v>0</v>
      </c>
      <c r="Q387" s="16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>
        <v>0.5714285714285714</v>
      </c>
      <c r="CK387" s="47">
        <v>0.4285714285714286</v>
      </c>
      <c r="CL387" s="47"/>
      <c r="CM387" s="47"/>
      <c r="CN387" s="47"/>
      <c r="CO387" s="47"/>
    </row>
    <row r="388" spans="1:93" outlineLevel="4" x14ac:dyDescent="0.25">
      <c r="A388" s="17"/>
      <c r="B388" s="17"/>
      <c r="C388" s="25"/>
      <c r="D388" s="19" t="s">
        <v>111</v>
      </c>
      <c r="E388" s="17" t="s">
        <v>545</v>
      </c>
      <c r="F388" s="17"/>
      <c r="G388" s="17"/>
      <c r="H388" s="17"/>
      <c r="I388" s="20"/>
      <c r="J388" s="20"/>
      <c r="K388" s="20"/>
      <c r="L388" s="20"/>
      <c r="M388" s="21" t="str">
        <f t="shared" si="293"/>
        <v/>
      </c>
      <c r="N388" s="21">
        <v>0</v>
      </c>
      <c r="O388" s="48">
        <f>O387</f>
        <v>100000</v>
      </c>
      <c r="P388" s="22"/>
      <c r="Q388" s="23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</row>
    <row r="389" spans="1:93" outlineLevel="1" x14ac:dyDescent="0.25">
      <c r="A389" s="1" t="s">
        <v>92</v>
      </c>
      <c r="B389" s="1" t="s">
        <v>546</v>
      </c>
      <c r="C389" s="2" t="s">
        <v>547</v>
      </c>
      <c r="D389" s="8" t="s">
        <v>110</v>
      </c>
      <c r="E389" s="1"/>
      <c r="F389" s="1">
        <v>192</v>
      </c>
      <c r="G389" s="1">
        <v>199</v>
      </c>
      <c r="H389" s="1">
        <v>1</v>
      </c>
      <c r="I389" s="9">
        <v>46436.333333333343</v>
      </c>
      <c r="J389" s="9">
        <v>46538.666666666657</v>
      </c>
      <c r="K389" s="9"/>
      <c r="L389" s="9"/>
      <c r="M389" s="3">
        <f t="shared" ref="M389:M452" si="354">IF(COUNT(R389:CO389)=0,"",SUM(R389:CO389))</f>
        <v>1.0000000000000002</v>
      </c>
      <c r="N389" s="3"/>
      <c r="O389" s="5">
        <f>SUMIFS($O$390:$O$443,$A$390:$A$443,"Activity",$D$390:$D$443,"P")</f>
        <v>1400000</v>
      </c>
      <c r="P389" s="4"/>
      <c r="Q389" s="5"/>
      <c r="R389" s="45" t="str">
        <f t="shared" ref="R389:AW389" si="355">IF(COUNTIFS($A$391:$A$444,"Activity",$D$391:$D$444,"P",R$391:R$444,"&lt;&gt;")=0,"",IFERROR(SUMPRODUCT(--($A$391:$A$444="Activity"),--($D$391:$D$444="P"),$O$391:$O$444,R$391:R$444)/SUMPRODUCT(--($A$391:$A$444="Activity"),--($D$391:$D$444="P"),$O$391:$O$444),""))</f>
        <v/>
      </c>
      <c r="S389" s="45" t="str">
        <f t="shared" si="355"/>
        <v/>
      </c>
      <c r="T389" s="45" t="str">
        <f t="shared" si="355"/>
        <v/>
      </c>
      <c r="U389" s="45" t="str">
        <f t="shared" si="355"/>
        <v/>
      </c>
      <c r="V389" s="45" t="str">
        <f t="shared" si="355"/>
        <v/>
      </c>
      <c r="W389" s="45" t="str">
        <f t="shared" si="355"/>
        <v/>
      </c>
      <c r="X389" s="45" t="str">
        <f t="shared" si="355"/>
        <v/>
      </c>
      <c r="Y389" s="45" t="str">
        <f t="shared" si="355"/>
        <v/>
      </c>
      <c r="Z389" s="45" t="str">
        <f t="shared" si="355"/>
        <v/>
      </c>
      <c r="AA389" s="45" t="str">
        <f t="shared" si="355"/>
        <v/>
      </c>
      <c r="AB389" s="45" t="str">
        <f t="shared" si="355"/>
        <v/>
      </c>
      <c r="AC389" s="45" t="str">
        <f t="shared" si="355"/>
        <v/>
      </c>
      <c r="AD389" s="45" t="str">
        <f t="shared" si="355"/>
        <v/>
      </c>
      <c r="AE389" s="45" t="str">
        <f t="shared" si="355"/>
        <v/>
      </c>
      <c r="AF389" s="45" t="str">
        <f t="shared" si="355"/>
        <v/>
      </c>
      <c r="AG389" s="45" t="str">
        <f t="shared" si="355"/>
        <v/>
      </c>
      <c r="AH389" s="45" t="str">
        <f t="shared" si="355"/>
        <v/>
      </c>
      <c r="AI389" s="45" t="str">
        <f t="shared" si="355"/>
        <v/>
      </c>
      <c r="AJ389" s="45" t="str">
        <f t="shared" si="355"/>
        <v/>
      </c>
      <c r="AK389" s="45" t="str">
        <f t="shared" si="355"/>
        <v/>
      </c>
      <c r="AL389" s="45" t="str">
        <f t="shared" si="355"/>
        <v/>
      </c>
      <c r="AM389" s="45" t="str">
        <f t="shared" si="355"/>
        <v/>
      </c>
      <c r="AN389" s="45" t="str">
        <f t="shared" si="355"/>
        <v/>
      </c>
      <c r="AO389" s="45" t="str">
        <f t="shared" si="355"/>
        <v/>
      </c>
      <c r="AP389" s="45" t="str">
        <f t="shared" si="355"/>
        <v/>
      </c>
      <c r="AQ389" s="45" t="str">
        <f t="shared" si="355"/>
        <v/>
      </c>
      <c r="AR389" s="45" t="str">
        <f t="shared" si="355"/>
        <v/>
      </c>
      <c r="AS389" s="45" t="str">
        <f t="shared" si="355"/>
        <v/>
      </c>
      <c r="AT389" s="45" t="str">
        <f t="shared" si="355"/>
        <v/>
      </c>
      <c r="AU389" s="45" t="str">
        <f t="shared" si="355"/>
        <v/>
      </c>
      <c r="AV389" s="45" t="str">
        <f t="shared" si="355"/>
        <v/>
      </c>
      <c r="AW389" s="45" t="str">
        <f t="shared" si="355"/>
        <v/>
      </c>
      <c r="AX389" s="45" t="str">
        <f t="shared" ref="AX389:CC389" si="356">IF(COUNTIFS($A$391:$A$444,"Activity",$D$391:$D$444,"P",AX$391:AX$444,"&lt;&gt;")=0,"",IFERROR(SUMPRODUCT(--($A$391:$A$444="Activity"),--($D$391:$D$444="P"),$O$391:$O$444,AX$391:AX$444)/SUMPRODUCT(--($A$391:$A$444="Activity"),--($D$391:$D$444="P"),$O$391:$O$444),""))</f>
        <v/>
      </c>
      <c r="AY389" s="45" t="str">
        <f t="shared" si="356"/>
        <v/>
      </c>
      <c r="AZ389" s="45" t="str">
        <f t="shared" si="356"/>
        <v/>
      </c>
      <c r="BA389" s="45" t="str">
        <f t="shared" si="356"/>
        <v/>
      </c>
      <c r="BB389" s="45" t="str">
        <f t="shared" si="356"/>
        <v/>
      </c>
      <c r="BC389" s="45" t="str">
        <f t="shared" si="356"/>
        <v/>
      </c>
      <c r="BD389" s="45" t="str">
        <f t="shared" si="356"/>
        <v/>
      </c>
      <c r="BE389" s="45" t="str">
        <f t="shared" si="356"/>
        <v/>
      </c>
      <c r="BF389" s="45" t="str">
        <f t="shared" si="356"/>
        <v/>
      </c>
      <c r="BG389" s="45" t="str">
        <f t="shared" si="356"/>
        <v/>
      </c>
      <c r="BH389" s="45" t="str">
        <f t="shared" si="356"/>
        <v/>
      </c>
      <c r="BI389" s="45" t="str">
        <f t="shared" si="356"/>
        <v/>
      </c>
      <c r="BJ389" s="45" t="str">
        <f t="shared" si="356"/>
        <v/>
      </c>
      <c r="BK389" s="45" t="str">
        <f t="shared" si="356"/>
        <v/>
      </c>
      <c r="BL389" s="45" t="str">
        <f t="shared" si="356"/>
        <v/>
      </c>
      <c r="BM389" s="45" t="str">
        <f t="shared" si="356"/>
        <v/>
      </c>
      <c r="BN389" s="45" t="str">
        <f t="shared" si="356"/>
        <v/>
      </c>
      <c r="BO389" s="45" t="str">
        <f t="shared" si="356"/>
        <v/>
      </c>
      <c r="BP389" s="45" t="str">
        <f t="shared" si="356"/>
        <v/>
      </c>
      <c r="BQ389" s="45" t="str">
        <f t="shared" si="356"/>
        <v/>
      </c>
      <c r="BR389" s="45" t="str">
        <f t="shared" si="356"/>
        <v/>
      </c>
      <c r="BS389" s="45" t="str">
        <f t="shared" si="356"/>
        <v/>
      </c>
      <c r="BT389" s="45" t="str">
        <f t="shared" si="356"/>
        <v/>
      </c>
      <c r="BU389" s="45" t="str">
        <f t="shared" si="356"/>
        <v/>
      </c>
      <c r="BV389" s="45">
        <f t="shared" si="356"/>
        <v>1.5306122448979586E-2</v>
      </c>
      <c r="BW389" s="45">
        <f t="shared" si="356"/>
        <v>5.6122448979591823E-2</v>
      </c>
      <c r="BX389" s="45">
        <f t="shared" si="356"/>
        <v>6.1224489795918373E-2</v>
      </c>
      <c r="BY389" s="45">
        <f t="shared" si="356"/>
        <v>5.6122448979591844E-2</v>
      </c>
      <c r="BZ389" s="45">
        <f t="shared" si="356"/>
        <v>0.1020408163265306</v>
      </c>
      <c r="CA389" s="45">
        <f t="shared" si="356"/>
        <v>8.1632653061224469E-2</v>
      </c>
      <c r="CB389" s="45">
        <f t="shared" si="356"/>
        <v>7.1428571428571452E-2</v>
      </c>
      <c r="CC389" s="45">
        <f t="shared" si="356"/>
        <v>7.0578231292517016E-2</v>
      </c>
      <c r="CD389" s="45">
        <f t="shared" ref="CD389:CO389" si="357">IF(COUNTIFS($A$391:$A$444,"Activity",$D$391:$D$444,"P",CD$391:CD$444,"&lt;&gt;")=0,"",IFERROR(SUMPRODUCT(--($A$391:$A$444="Activity"),--($D$391:$D$444="P"),$O$391:$O$444,CD$391:CD$444)/SUMPRODUCT(--($A$391:$A$444="Activity"),--($D$391:$D$444="P"),$O$391:$O$444),""))</f>
        <v>7.7380952380952411E-2</v>
      </c>
      <c r="CE389" s="45">
        <f t="shared" si="357"/>
        <v>7.7380952380952384E-2</v>
      </c>
      <c r="CF389" s="45">
        <f t="shared" si="357"/>
        <v>7.0578231292517002E-2</v>
      </c>
      <c r="CG389" s="45">
        <f t="shared" si="357"/>
        <v>6.9727891156462593E-2</v>
      </c>
      <c r="CH389" s="45">
        <f t="shared" si="357"/>
        <v>5.9523809523809527E-2</v>
      </c>
      <c r="CI389" s="45">
        <f t="shared" si="357"/>
        <v>5.9523809523809527E-2</v>
      </c>
      <c r="CJ389" s="45">
        <f t="shared" si="357"/>
        <v>5.6122448979591864E-2</v>
      </c>
      <c r="CK389" s="45">
        <f t="shared" si="357"/>
        <v>1.5306122448979571E-2</v>
      </c>
      <c r="CL389" s="45" t="str">
        <f t="shared" si="357"/>
        <v/>
      </c>
      <c r="CM389" s="45" t="str">
        <f t="shared" si="357"/>
        <v/>
      </c>
      <c r="CN389" s="45" t="str">
        <f t="shared" si="357"/>
        <v/>
      </c>
      <c r="CO389" s="45" t="str">
        <f t="shared" si="357"/>
        <v/>
      </c>
    </row>
    <row r="390" spans="1:93" outlineLevel="1" x14ac:dyDescent="0.25">
      <c r="A390" s="1"/>
      <c r="B390" s="1"/>
      <c r="C390" s="2"/>
      <c r="D390" s="8" t="s">
        <v>111</v>
      </c>
      <c r="E390" s="1"/>
      <c r="F390" s="1"/>
      <c r="G390" s="1"/>
      <c r="H390" s="1"/>
      <c r="I390" s="9"/>
      <c r="J390" s="9"/>
      <c r="K390" s="9"/>
      <c r="L390" s="9"/>
      <c r="M390" s="3" t="str">
        <f t="shared" si="354"/>
        <v/>
      </c>
      <c r="N390" s="3"/>
      <c r="O390" s="46">
        <f>O389</f>
        <v>1400000</v>
      </c>
      <c r="P390" s="4"/>
      <c r="Q390" s="5"/>
      <c r="R390" s="45" t="str">
        <f t="shared" ref="R390:AW390" si="358">IF(COUNTIFS($E$391:$E$444,"&lt;&gt;",$D$391:$D$444,"A",R$391:R$444,"&lt;&gt;")=0,"",IFERROR(SUMPRODUCT(--($E$391:$E$444&lt;&gt;""),--($D$391:$D$444="A"),$O$391:$O$444,R$391:R$444)/SUMPRODUCT(--($E$391:$E$444&lt;&gt;""),--($D$391:$D$444="A"),$O$391:$O$444),""))</f>
        <v/>
      </c>
      <c r="S390" s="45" t="str">
        <f t="shared" si="358"/>
        <v/>
      </c>
      <c r="T390" s="45" t="str">
        <f t="shared" si="358"/>
        <v/>
      </c>
      <c r="U390" s="45" t="str">
        <f t="shared" si="358"/>
        <v/>
      </c>
      <c r="V390" s="45" t="str">
        <f t="shared" si="358"/>
        <v/>
      </c>
      <c r="W390" s="45" t="str">
        <f t="shared" si="358"/>
        <v/>
      </c>
      <c r="X390" s="45" t="str">
        <f t="shared" si="358"/>
        <v/>
      </c>
      <c r="Y390" s="45" t="str">
        <f t="shared" si="358"/>
        <v/>
      </c>
      <c r="Z390" s="45" t="str">
        <f t="shared" si="358"/>
        <v/>
      </c>
      <c r="AA390" s="45" t="str">
        <f t="shared" si="358"/>
        <v/>
      </c>
      <c r="AB390" s="45" t="str">
        <f t="shared" si="358"/>
        <v/>
      </c>
      <c r="AC390" s="45" t="str">
        <f t="shared" si="358"/>
        <v/>
      </c>
      <c r="AD390" s="45" t="str">
        <f t="shared" si="358"/>
        <v/>
      </c>
      <c r="AE390" s="45" t="str">
        <f t="shared" si="358"/>
        <v/>
      </c>
      <c r="AF390" s="45" t="str">
        <f t="shared" si="358"/>
        <v/>
      </c>
      <c r="AG390" s="45" t="str">
        <f t="shared" si="358"/>
        <v/>
      </c>
      <c r="AH390" s="45" t="str">
        <f t="shared" si="358"/>
        <v/>
      </c>
      <c r="AI390" s="45" t="str">
        <f t="shared" si="358"/>
        <v/>
      </c>
      <c r="AJ390" s="45" t="str">
        <f t="shared" si="358"/>
        <v/>
      </c>
      <c r="AK390" s="45" t="str">
        <f t="shared" si="358"/>
        <v/>
      </c>
      <c r="AL390" s="45" t="str">
        <f t="shared" si="358"/>
        <v/>
      </c>
      <c r="AM390" s="45" t="str">
        <f t="shared" si="358"/>
        <v/>
      </c>
      <c r="AN390" s="45" t="str">
        <f t="shared" si="358"/>
        <v/>
      </c>
      <c r="AO390" s="45" t="str">
        <f t="shared" si="358"/>
        <v/>
      </c>
      <c r="AP390" s="45" t="str">
        <f t="shared" si="358"/>
        <v/>
      </c>
      <c r="AQ390" s="45" t="str">
        <f t="shared" si="358"/>
        <v/>
      </c>
      <c r="AR390" s="45" t="str">
        <f t="shared" si="358"/>
        <v/>
      </c>
      <c r="AS390" s="45" t="str">
        <f t="shared" si="358"/>
        <v/>
      </c>
      <c r="AT390" s="45" t="str">
        <f t="shared" si="358"/>
        <v/>
      </c>
      <c r="AU390" s="45" t="str">
        <f t="shared" si="358"/>
        <v/>
      </c>
      <c r="AV390" s="45" t="str">
        <f t="shared" si="358"/>
        <v/>
      </c>
      <c r="AW390" s="45" t="str">
        <f t="shared" si="358"/>
        <v/>
      </c>
      <c r="AX390" s="45" t="str">
        <f t="shared" ref="AX390:CC390" si="359">IF(COUNTIFS($E$391:$E$444,"&lt;&gt;",$D$391:$D$444,"A",AX$391:AX$444,"&lt;&gt;")=0,"",IFERROR(SUMPRODUCT(--($E$391:$E$444&lt;&gt;""),--($D$391:$D$444="A"),$O$391:$O$444,AX$391:AX$444)/SUMPRODUCT(--($E$391:$E$444&lt;&gt;""),--($D$391:$D$444="A"),$O$391:$O$444),""))</f>
        <v/>
      </c>
      <c r="AY390" s="45" t="str">
        <f t="shared" si="359"/>
        <v/>
      </c>
      <c r="AZ390" s="45" t="str">
        <f t="shared" si="359"/>
        <v/>
      </c>
      <c r="BA390" s="45" t="str">
        <f t="shared" si="359"/>
        <v/>
      </c>
      <c r="BB390" s="45" t="str">
        <f t="shared" si="359"/>
        <v/>
      </c>
      <c r="BC390" s="45" t="str">
        <f t="shared" si="359"/>
        <v/>
      </c>
      <c r="BD390" s="45" t="str">
        <f t="shared" si="359"/>
        <v/>
      </c>
      <c r="BE390" s="45" t="str">
        <f t="shared" si="359"/>
        <v/>
      </c>
      <c r="BF390" s="45" t="str">
        <f t="shared" si="359"/>
        <v/>
      </c>
      <c r="BG390" s="45" t="str">
        <f t="shared" si="359"/>
        <v/>
      </c>
      <c r="BH390" s="45" t="str">
        <f t="shared" si="359"/>
        <v/>
      </c>
      <c r="BI390" s="45" t="str">
        <f t="shared" si="359"/>
        <v/>
      </c>
      <c r="BJ390" s="45" t="str">
        <f t="shared" si="359"/>
        <v/>
      </c>
      <c r="BK390" s="45" t="str">
        <f t="shared" si="359"/>
        <v/>
      </c>
      <c r="BL390" s="45" t="str">
        <f t="shared" si="359"/>
        <v/>
      </c>
      <c r="BM390" s="45" t="str">
        <f t="shared" si="359"/>
        <v/>
      </c>
      <c r="BN390" s="45" t="str">
        <f t="shared" si="359"/>
        <v/>
      </c>
      <c r="BO390" s="45" t="str">
        <f t="shared" si="359"/>
        <v/>
      </c>
      <c r="BP390" s="45" t="str">
        <f t="shared" si="359"/>
        <v/>
      </c>
      <c r="BQ390" s="45" t="str">
        <f t="shared" si="359"/>
        <v/>
      </c>
      <c r="BR390" s="45" t="str">
        <f t="shared" si="359"/>
        <v/>
      </c>
      <c r="BS390" s="45" t="str">
        <f t="shared" si="359"/>
        <v/>
      </c>
      <c r="BT390" s="45" t="str">
        <f t="shared" si="359"/>
        <v/>
      </c>
      <c r="BU390" s="45" t="str">
        <f t="shared" si="359"/>
        <v/>
      </c>
      <c r="BV390" s="45" t="str">
        <f t="shared" si="359"/>
        <v/>
      </c>
      <c r="BW390" s="45" t="str">
        <f t="shared" si="359"/>
        <v/>
      </c>
      <c r="BX390" s="45" t="str">
        <f t="shared" si="359"/>
        <v/>
      </c>
      <c r="BY390" s="45" t="str">
        <f t="shared" si="359"/>
        <v/>
      </c>
      <c r="BZ390" s="45" t="str">
        <f t="shared" si="359"/>
        <v/>
      </c>
      <c r="CA390" s="45" t="str">
        <f t="shared" si="359"/>
        <v/>
      </c>
      <c r="CB390" s="45" t="str">
        <f t="shared" si="359"/>
        <v/>
      </c>
      <c r="CC390" s="45" t="str">
        <f t="shared" si="359"/>
        <v/>
      </c>
      <c r="CD390" s="45" t="str">
        <f t="shared" ref="CD390:CO390" si="360">IF(COUNTIFS($E$391:$E$444,"&lt;&gt;",$D$391:$D$444,"A",CD$391:CD$444,"&lt;&gt;")=0,"",IFERROR(SUMPRODUCT(--($E$391:$E$444&lt;&gt;""),--($D$391:$D$444="A"),$O$391:$O$444,CD$391:CD$444)/SUMPRODUCT(--($E$391:$E$444&lt;&gt;""),--($D$391:$D$444="A"),$O$391:$O$444),""))</f>
        <v/>
      </c>
      <c r="CE390" s="45" t="str">
        <f t="shared" si="360"/>
        <v/>
      </c>
      <c r="CF390" s="45" t="str">
        <f t="shared" si="360"/>
        <v/>
      </c>
      <c r="CG390" s="45" t="str">
        <f t="shared" si="360"/>
        <v/>
      </c>
      <c r="CH390" s="45" t="str">
        <f t="shared" si="360"/>
        <v/>
      </c>
      <c r="CI390" s="45" t="str">
        <f t="shared" si="360"/>
        <v/>
      </c>
      <c r="CJ390" s="45" t="str">
        <f t="shared" si="360"/>
        <v/>
      </c>
      <c r="CK390" s="45" t="str">
        <f t="shared" si="360"/>
        <v/>
      </c>
      <c r="CL390" s="45" t="str">
        <f t="shared" si="360"/>
        <v/>
      </c>
      <c r="CM390" s="45" t="str">
        <f t="shared" si="360"/>
        <v/>
      </c>
      <c r="CN390" s="45" t="str">
        <f t="shared" si="360"/>
        <v/>
      </c>
      <c r="CO390" s="45" t="str">
        <f t="shared" si="360"/>
        <v/>
      </c>
    </row>
    <row r="391" spans="1:93" outlineLevel="2" x14ac:dyDescent="0.25">
      <c r="A391" s="1" t="s">
        <v>92</v>
      </c>
      <c r="B391" s="1" t="s">
        <v>548</v>
      </c>
      <c r="C391" s="6" t="s">
        <v>313</v>
      </c>
      <c r="D391" s="8" t="s">
        <v>110</v>
      </c>
      <c r="E391" s="1"/>
      <c r="F391" s="1">
        <v>193</v>
      </c>
      <c r="G391" s="1">
        <v>200</v>
      </c>
      <c r="H391" s="1">
        <v>2</v>
      </c>
      <c r="I391" s="9">
        <v>46436.333333333343</v>
      </c>
      <c r="J391" s="9">
        <v>46463.666666666657</v>
      </c>
      <c r="K391" s="9"/>
      <c r="L391" s="9"/>
      <c r="M391" s="3">
        <f t="shared" si="354"/>
        <v>0.99999999999999989</v>
      </c>
      <c r="N391" s="3"/>
      <c r="O391" s="5">
        <f>SUMIFS($O$392:$O$397,$A$392:$A$397,"Activity",$D$392:$D$397,"P")</f>
        <v>200000</v>
      </c>
      <c r="P391" s="4"/>
      <c r="Q391" s="5"/>
      <c r="R391" s="45" t="str">
        <f t="shared" ref="R391:AW391" si="361">IF(COUNTIFS($A$393:$A$398,"Activity",$D$393:$D$398,"P",R$393:R$398,"&lt;&gt;")=0,"",IFERROR(SUMPRODUCT(--($A$393:$A$398="Activity"),--($D$393:$D$398="P"),$O$393:$O$398,R$393:R$398)/SUMPRODUCT(--($A$393:$A$398="Activity"),--($D$393:$D$398="P"),$O$393:$O$398),""))</f>
        <v/>
      </c>
      <c r="S391" s="45" t="str">
        <f t="shared" si="361"/>
        <v/>
      </c>
      <c r="T391" s="45" t="str">
        <f t="shared" si="361"/>
        <v/>
      </c>
      <c r="U391" s="45" t="str">
        <f t="shared" si="361"/>
        <v/>
      </c>
      <c r="V391" s="45" t="str">
        <f t="shared" si="361"/>
        <v/>
      </c>
      <c r="W391" s="45" t="str">
        <f t="shared" si="361"/>
        <v/>
      </c>
      <c r="X391" s="45" t="str">
        <f t="shared" si="361"/>
        <v/>
      </c>
      <c r="Y391" s="45" t="str">
        <f t="shared" si="361"/>
        <v/>
      </c>
      <c r="Z391" s="45" t="str">
        <f t="shared" si="361"/>
        <v/>
      </c>
      <c r="AA391" s="45" t="str">
        <f t="shared" si="361"/>
        <v/>
      </c>
      <c r="AB391" s="45" t="str">
        <f t="shared" si="361"/>
        <v/>
      </c>
      <c r="AC391" s="45" t="str">
        <f t="shared" si="361"/>
        <v/>
      </c>
      <c r="AD391" s="45" t="str">
        <f t="shared" si="361"/>
        <v/>
      </c>
      <c r="AE391" s="45" t="str">
        <f t="shared" si="361"/>
        <v/>
      </c>
      <c r="AF391" s="45" t="str">
        <f t="shared" si="361"/>
        <v/>
      </c>
      <c r="AG391" s="45" t="str">
        <f t="shared" si="361"/>
        <v/>
      </c>
      <c r="AH391" s="45" t="str">
        <f t="shared" si="361"/>
        <v/>
      </c>
      <c r="AI391" s="45" t="str">
        <f t="shared" si="361"/>
        <v/>
      </c>
      <c r="AJ391" s="45" t="str">
        <f t="shared" si="361"/>
        <v/>
      </c>
      <c r="AK391" s="45" t="str">
        <f t="shared" si="361"/>
        <v/>
      </c>
      <c r="AL391" s="45" t="str">
        <f t="shared" si="361"/>
        <v/>
      </c>
      <c r="AM391" s="45" t="str">
        <f t="shared" si="361"/>
        <v/>
      </c>
      <c r="AN391" s="45" t="str">
        <f t="shared" si="361"/>
        <v/>
      </c>
      <c r="AO391" s="45" t="str">
        <f t="shared" si="361"/>
        <v/>
      </c>
      <c r="AP391" s="45" t="str">
        <f t="shared" si="361"/>
        <v/>
      </c>
      <c r="AQ391" s="45" t="str">
        <f t="shared" si="361"/>
        <v/>
      </c>
      <c r="AR391" s="45" t="str">
        <f t="shared" si="361"/>
        <v/>
      </c>
      <c r="AS391" s="45" t="str">
        <f t="shared" si="361"/>
        <v/>
      </c>
      <c r="AT391" s="45" t="str">
        <f t="shared" si="361"/>
        <v/>
      </c>
      <c r="AU391" s="45" t="str">
        <f t="shared" si="361"/>
        <v/>
      </c>
      <c r="AV391" s="45" t="str">
        <f t="shared" si="361"/>
        <v/>
      </c>
      <c r="AW391" s="45" t="str">
        <f t="shared" si="361"/>
        <v/>
      </c>
      <c r="AX391" s="45" t="str">
        <f t="shared" ref="AX391:CC391" si="362">IF(COUNTIFS($A$393:$A$398,"Activity",$D$393:$D$398,"P",AX$393:AX$398,"&lt;&gt;")=0,"",IFERROR(SUMPRODUCT(--($A$393:$A$398="Activity"),--($D$393:$D$398="P"),$O$393:$O$398,AX$393:AX$398)/SUMPRODUCT(--($A$393:$A$398="Activity"),--($D$393:$D$398="P"),$O$393:$O$398),""))</f>
        <v/>
      </c>
      <c r="AY391" s="45" t="str">
        <f t="shared" si="362"/>
        <v/>
      </c>
      <c r="AZ391" s="45" t="str">
        <f t="shared" si="362"/>
        <v/>
      </c>
      <c r="BA391" s="45" t="str">
        <f t="shared" si="362"/>
        <v/>
      </c>
      <c r="BB391" s="45" t="str">
        <f t="shared" si="362"/>
        <v/>
      </c>
      <c r="BC391" s="45" t="str">
        <f t="shared" si="362"/>
        <v/>
      </c>
      <c r="BD391" s="45" t="str">
        <f t="shared" si="362"/>
        <v/>
      </c>
      <c r="BE391" s="45" t="str">
        <f t="shared" si="362"/>
        <v/>
      </c>
      <c r="BF391" s="45" t="str">
        <f t="shared" si="362"/>
        <v/>
      </c>
      <c r="BG391" s="45" t="str">
        <f t="shared" si="362"/>
        <v/>
      </c>
      <c r="BH391" s="45" t="str">
        <f t="shared" si="362"/>
        <v/>
      </c>
      <c r="BI391" s="45" t="str">
        <f t="shared" si="362"/>
        <v/>
      </c>
      <c r="BJ391" s="45" t="str">
        <f t="shared" si="362"/>
        <v/>
      </c>
      <c r="BK391" s="45" t="str">
        <f t="shared" si="362"/>
        <v/>
      </c>
      <c r="BL391" s="45" t="str">
        <f t="shared" si="362"/>
        <v/>
      </c>
      <c r="BM391" s="45" t="str">
        <f t="shared" si="362"/>
        <v/>
      </c>
      <c r="BN391" s="45" t="str">
        <f t="shared" si="362"/>
        <v/>
      </c>
      <c r="BO391" s="45" t="str">
        <f t="shared" si="362"/>
        <v/>
      </c>
      <c r="BP391" s="45" t="str">
        <f t="shared" si="362"/>
        <v/>
      </c>
      <c r="BQ391" s="45" t="str">
        <f t="shared" si="362"/>
        <v/>
      </c>
      <c r="BR391" s="45" t="str">
        <f t="shared" si="362"/>
        <v/>
      </c>
      <c r="BS391" s="45" t="str">
        <f t="shared" si="362"/>
        <v/>
      </c>
      <c r="BT391" s="45" t="str">
        <f t="shared" si="362"/>
        <v/>
      </c>
      <c r="BU391" s="45" t="str">
        <f t="shared" si="362"/>
        <v/>
      </c>
      <c r="BV391" s="45">
        <f t="shared" si="362"/>
        <v>0.1071428571428571</v>
      </c>
      <c r="BW391" s="45">
        <f t="shared" si="362"/>
        <v>0.37499999999999994</v>
      </c>
      <c r="BX391" s="45">
        <f t="shared" si="362"/>
        <v>0.3035714285714286</v>
      </c>
      <c r="BY391" s="45">
        <f t="shared" si="362"/>
        <v>0.125</v>
      </c>
      <c r="BZ391" s="45">
        <f t="shared" si="362"/>
        <v>8.9285714285714288E-2</v>
      </c>
      <c r="CA391" s="45" t="str">
        <f t="shared" si="362"/>
        <v/>
      </c>
      <c r="CB391" s="45" t="str">
        <f t="shared" si="362"/>
        <v/>
      </c>
      <c r="CC391" s="45" t="str">
        <f t="shared" si="362"/>
        <v/>
      </c>
      <c r="CD391" s="45" t="str">
        <f t="shared" ref="CD391:CO391" si="363">IF(COUNTIFS($A$393:$A$398,"Activity",$D$393:$D$398,"P",CD$393:CD$398,"&lt;&gt;")=0,"",IFERROR(SUMPRODUCT(--($A$393:$A$398="Activity"),--($D$393:$D$398="P"),$O$393:$O$398,CD$393:CD$398)/SUMPRODUCT(--($A$393:$A$398="Activity"),--($D$393:$D$398="P"),$O$393:$O$398),""))</f>
        <v/>
      </c>
      <c r="CE391" s="45" t="str">
        <f t="shared" si="363"/>
        <v/>
      </c>
      <c r="CF391" s="45" t="str">
        <f t="shared" si="363"/>
        <v/>
      </c>
      <c r="CG391" s="45" t="str">
        <f t="shared" si="363"/>
        <v/>
      </c>
      <c r="CH391" s="45" t="str">
        <f t="shared" si="363"/>
        <v/>
      </c>
      <c r="CI391" s="45" t="str">
        <f t="shared" si="363"/>
        <v/>
      </c>
      <c r="CJ391" s="45" t="str">
        <f t="shared" si="363"/>
        <v/>
      </c>
      <c r="CK391" s="45" t="str">
        <f t="shared" si="363"/>
        <v/>
      </c>
      <c r="CL391" s="45" t="str">
        <f t="shared" si="363"/>
        <v/>
      </c>
      <c r="CM391" s="45" t="str">
        <f t="shared" si="363"/>
        <v/>
      </c>
      <c r="CN391" s="45" t="str">
        <f t="shared" si="363"/>
        <v/>
      </c>
      <c r="CO391" s="45" t="str">
        <f t="shared" si="363"/>
        <v/>
      </c>
    </row>
    <row r="392" spans="1:93" outlineLevel="2" x14ac:dyDescent="0.25">
      <c r="A392" s="1"/>
      <c r="B392" s="1"/>
      <c r="C392" s="6"/>
      <c r="D392" s="8" t="s">
        <v>111</v>
      </c>
      <c r="E392" s="1"/>
      <c r="F392" s="1"/>
      <c r="G392" s="1"/>
      <c r="H392" s="1"/>
      <c r="I392" s="9"/>
      <c r="J392" s="9"/>
      <c r="K392" s="9"/>
      <c r="L392" s="9"/>
      <c r="M392" s="3" t="str">
        <f t="shared" si="354"/>
        <v/>
      </c>
      <c r="N392" s="3"/>
      <c r="O392" s="46">
        <f>O391</f>
        <v>200000</v>
      </c>
      <c r="P392" s="4"/>
      <c r="Q392" s="5"/>
      <c r="R392" s="45" t="str">
        <f t="shared" ref="R392:AW392" si="364">IF(COUNTIFS($E$393:$E$398,"&lt;&gt;",$D$393:$D$398,"A",R$393:R$398,"&lt;&gt;")=0,"",IFERROR(SUMPRODUCT(--($E$393:$E$398&lt;&gt;""),--($D$393:$D$398="A"),$O$393:$O$398,R$393:R$398)/SUMPRODUCT(--($E$393:$E$398&lt;&gt;""),--($D$393:$D$398="A"),$O$393:$O$398),""))</f>
        <v/>
      </c>
      <c r="S392" s="45" t="str">
        <f t="shared" si="364"/>
        <v/>
      </c>
      <c r="T392" s="45" t="str">
        <f t="shared" si="364"/>
        <v/>
      </c>
      <c r="U392" s="45" t="str">
        <f t="shared" si="364"/>
        <v/>
      </c>
      <c r="V392" s="45" t="str">
        <f t="shared" si="364"/>
        <v/>
      </c>
      <c r="W392" s="45" t="str">
        <f t="shared" si="364"/>
        <v/>
      </c>
      <c r="X392" s="45" t="str">
        <f t="shared" si="364"/>
        <v/>
      </c>
      <c r="Y392" s="45" t="str">
        <f t="shared" si="364"/>
        <v/>
      </c>
      <c r="Z392" s="45" t="str">
        <f t="shared" si="364"/>
        <v/>
      </c>
      <c r="AA392" s="45" t="str">
        <f t="shared" si="364"/>
        <v/>
      </c>
      <c r="AB392" s="45" t="str">
        <f t="shared" si="364"/>
        <v/>
      </c>
      <c r="AC392" s="45" t="str">
        <f t="shared" si="364"/>
        <v/>
      </c>
      <c r="AD392" s="45" t="str">
        <f t="shared" si="364"/>
        <v/>
      </c>
      <c r="AE392" s="45" t="str">
        <f t="shared" si="364"/>
        <v/>
      </c>
      <c r="AF392" s="45" t="str">
        <f t="shared" si="364"/>
        <v/>
      </c>
      <c r="AG392" s="45" t="str">
        <f t="shared" si="364"/>
        <v/>
      </c>
      <c r="AH392" s="45" t="str">
        <f t="shared" si="364"/>
        <v/>
      </c>
      <c r="AI392" s="45" t="str">
        <f t="shared" si="364"/>
        <v/>
      </c>
      <c r="AJ392" s="45" t="str">
        <f t="shared" si="364"/>
        <v/>
      </c>
      <c r="AK392" s="45" t="str">
        <f t="shared" si="364"/>
        <v/>
      </c>
      <c r="AL392" s="45" t="str">
        <f t="shared" si="364"/>
        <v/>
      </c>
      <c r="AM392" s="45" t="str">
        <f t="shared" si="364"/>
        <v/>
      </c>
      <c r="AN392" s="45" t="str">
        <f t="shared" si="364"/>
        <v/>
      </c>
      <c r="AO392" s="45" t="str">
        <f t="shared" si="364"/>
        <v/>
      </c>
      <c r="AP392" s="45" t="str">
        <f t="shared" si="364"/>
        <v/>
      </c>
      <c r="AQ392" s="45" t="str">
        <f t="shared" si="364"/>
        <v/>
      </c>
      <c r="AR392" s="45" t="str">
        <f t="shared" si="364"/>
        <v/>
      </c>
      <c r="AS392" s="45" t="str">
        <f t="shared" si="364"/>
        <v/>
      </c>
      <c r="AT392" s="45" t="str">
        <f t="shared" si="364"/>
        <v/>
      </c>
      <c r="AU392" s="45" t="str">
        <f t="shared" si="364"/>
        <v/>
      </c>
      <c r="AV392" s="45" t="str">
        <f t="shared" si="364"/>
        <v/>
      </c>
      <c r="AW392" s="45" t="str">
        <f t="shared" si="364"/>
        <v/>
      </c>
      <c r="AX392" s="45" t="str">
        <f t="shared" ref="AX392:CC392" si="365">IF(COUNTIFS($E$393:$E$398,"&lt;&gt;",$D$393:$D$398,"A",AX$393:AX$398,"&lt;&gt;")=0,"",IFERROR(SUMPRODUCT(--($E$393:$E$398&lt;&gt;""),--($D$393:$D$398="A"),$O$393:$O$398,AX$393:AX$398)/SUMPRODUCT(--($E$393:$E$398&lt;&gt;""),--($D$393:$D$398="A"),$O$393:$O$398),""))</f>
        <v/>
      </c>
      <c r="AY392" s="45" t="str">
        <f t="shared" si="365"/>
        <v/>
      </c>
      <c r="AZ392" s="45" t="str">
        <f t="shared" si="365"/>
        <v/>
      </c>
      <c r="BA392" s="45" t="str">
        <f t="shared" si="365"/>
        <v/>
      </c>
      <c r="BB392" s="45" t="str">
        <f t="shared" si="365"/>
        <v/>
      </c>
      <c r="BC392" s="45" t="str">
        <f t="shared" si="365"/>
        <v/>
      </c>
      <c r="BD392" s="45" t="str">
        <f t="shared" si="365"/>
        <v/>
      </c>
      <c r="BE392" s="45" t="str">
        <f t="shared" si="365"/>
        <v/>
      </c>
      <c r="BF392" s="45" t="str">
        <f t="shared" si="365"/>
        <v/>
      </c>
      <c r="BG392" s="45" t="str">
        <f t="shared" si="365"/>
        <v/>
      </c>
      <c r="BH392" s="45" t="str">
        <f t="shared" si="365"/>
        <v/>
      </c>
      <c r="BI392" s="45" t="str">
        <f t="shared" si="365"/>
        <v/>
      </c>
      <c r="BJ392" s="45" t="str">
        <f t="shared" si="365"/>
        <v/>
      </c>
      <c r="BK392" s="45" t="str">
        <f t="shared" si="365"/>
        <v/>
      </c>
      <c r="BL392" s="45" t="str">
        <f t="shared" si="365"/>
        <v/>
      </c>
      <c r="BM392" s="45" t="str">
        <f t="shared" si="365"/>
        <v/>
      </c>
      <c r="BN392" s="45" t="str">
        <f t="shared" si="365"/>
        <v/>
      </c>
      <c r="BO392" s="45" t="str">
        <f t="shared" si="365"/>
        <v/>
      </c>
      <c r="BP392" s="45" t="str">
        <f t="shared" si="365"/>
        <v/>
      </c>
      <c r="BQ392" s="45" t="str">
        <f t="shared" si="365"/>
        <v/>
      </c>
      <c r="BR392" s="45" t="str">
        <f t="shared" si="365"/>
        <v/>
      </c>
      <c r="BS392" s="45" t="str">
        <f t="shared" si="365"/>
        <v/>
      </c>
      <c r="BT392" s="45" t="str">
        <f t="shared" si="365"/>
        <v/>
      </c>
      <c r="BU392" s="45" t="str">
        <f t="shared" si="365"/>
        <v/>
      </c>
      <c r="BV392" s="45" t="str">
        <f t="shared" si="365"/>
        <v/>
      </c>
      <c r="BW392" s="45" t="str">
        <f t="shared" si="365"/>
        <v/>
      </c>
      <c r="BX392" s="45" t="str">
        <f t="shared" si="365"/>
        <v/>
      </c>
      <c r="BY392" s="45" t="str">
        <f t="shared" si="365"/>
        <v/>
      </c>
      <c r="BZ392" s="45" t="str">
        <f t="shared" si="365"/>
        <v/>
      </c>
      <c r="CA392" s="45" t="str">
        <f t="shared" si="365"/>
        <v/>
      </c>
      <c r="CB392" s="45" t="str">
        <f t="shared" si="365"/>
        <v/>
      </c>
      <c r="CC392" s="45" t="str">
        <f t="shared" si="365"/>
        <v/>
      </c>
      <c r="CD392" s="45" t="str">
        <f t="shared" ref="CD392:CO392" si="366">IF(COUNTIFS($E$393:$E$398,"&lt;&gt;",$D$393:$D$398,"A",CD$393:CD$398,"&lt;&gt;")=0,"",IFERROR(SUMPRODUCT(--($E$393:$E$398&lt;&gt;""),--($D$393:$D$398="A"),$O$393:$O$398,CD$393:CD$398)/SUMPRODUCT(--($E$393:$E$398&lt;&gt;""),--($D$393:$D$398="A"),$O$393:$O$398),""))</f>
        <v/>
      </c>
      <c r="CE392" s="45" t="str">
        <f t="shared" si="366"/>
        <v/>
      </c>
      <c r="CF392" s="45" t="str">
        <f t="shared" si="366"/>
        <v/>
      </c>
      <c r="CG392" s="45" t="str">
        <f t="shared" si="366"/>
        <v/>
      </c>
      <c r="CH392" s="45" t="str">
        <f t="shared" si="366"/>
        <v/>
      </c>
      <c r="CI392" s="45" t="str">
        <f t="shared" si="366"/>
        <v/>
      </c>
      <c r="CJ392" s="45" t="str">
        <f t="shared" si="366"/>
        <v/>
      </c>
      <c r="CK392" s="45" t="str">
        <f t="shared" si="366"/>
        <v/>
      </c>
      <c r="CL392" s="45" t="str">
        <f t="shared" si="366"/>
        <v/>
      </c>
      <c r="CM392" s="45" t="str">
        <f t="shared" si="366"/>
        <v/>
      </c>
      <c r="CN392" s="45" t="str">
        <f t="shared" si="366"/>
        <v/>
      </c>
      <c r="CO392" s="45" t="str">
        <f t="shared" si="366"/>
        <v/>
      </c>
    </row>
    <row r="393" spans="1:93" outlineLevel="3" x14ac:dyDescent="0.25">
      <c r="A393" s="1" t="s">
        <v>92</v>
      </c>
      <c r="B393" s="1" t="s">
        <v>549</v>
      </c>
      <c r="C393" s="7" t="s">
        <v>315</v>
      </c>
      <c r="D393" s="8" t="s">
        <v>110</v>
      </c>
      <c r="E393" s="1"/>
      <c r="F393" s="1">
        <v>194</v>
      </c>
      <c r="G393" s="1">
        <v>201</v>
      </c>
      <c r="H393" s="1">
        <v>3</v>
      </c>
      <c r="I393" s="9">
        <v>46436.333333333343</v>
      </c>
      <c r="J393" s="9">
        <v>46463.666666666657</v>
      </c>
      <c r="K393" s="9"/>
      <c r="L393" s="9"/>
      <c r="M393" s="3">
        <f t="shared" si="354"/>
        <v>0.99999999999999989</v>
      </c>
      <c r="N393" s="3"/>
      <c r="O393" s="5">
        <f>SUMIFS($O$394:$O$397,$A$394:$A$397,"Activity",$D$394:$D$397,"P")</f>
        <v>200000</v>
      </c>
      <c r="P393" s="4"/>
      <c r="Q393" s="5"/>
      <c r="R393" s="45" t="str">
        <f t="shared" ref="R393:AW393" si="367">IF(COUNTIFS($A$395:$A$398,"Activity",$D$395:$D$398,"P",R$395:R$398,"&lt;&gt;")=0,"",IFERROR(SUMPRODUCT(--($A$395:$A$398="Activity"),--($D$395:$D$398="P"),$O$395:$O$398,R$395:R$398)/SUMPRODUCT(--($A$395:$A$398="Activity"),--($D$395:$D$398="P"),$O$395:$O$398),""))</f>
        <v/>
      </c>
      <c r="S393" s="45" t="str">
        <f t="shared" si="367"/>
        <v/>
      </c>
      <c r="T393" s="45" t="str">
        <f t="shared" si="367"/>
        <v/>
      </c>
      <c r="U393" s="45" t="str">
        <f t="shared" si="367"/>
        <v/>
      </c>
      <c r="V393" s="45" t="str">
        <f t="shared" si="367"/>
        <v/>
      </c>
      <c r="W393" s="45" t="str">
        <f t="shared" si="367"/>
        <v/>
      </c>
      <c r="X393" s="45" t="str">
        <f t="shared" si="367"/>
        <v/>
      </c>
      <c r="Y393" s="45" t="str">
        <f t="shared" si="367"/>
        <v/>
      </c>
      <c r="Z393" s="45" t="str">
        <f t="shared" si="367"/>
        <v/>
      </c>
      <c r="AA393" s="45" t="str">
        <f t="shared" si="367"/>
        <v/>
      </c>
      <c r="AB393" s="45" t="str">
        <f t="shared" si="367"/>
        <v/>
      </c>
      <c r="AC393" s="45" t="str">
        <f t="shared" si="367"/>
        <v/>
      </c>
      <c r="AD393" s="45" t="str">
        <f t="shared" si="367"/>
        <v/>
      </c>
      <c r="AE393" s="45" t="str">
        <f t="shared" si="367"/>
        <v/>
      </c>
      <c r="AF393" s="45" t="str">
        <f t="shared" si="367"/>
        <v/>
      </c>
      <c r="AG393" s="45" t="str">
        <f t="shared" si="367"/>
        <v/>
      </c>
      <c r="AH393" s="45" t="str">
        <f t="shared" si="367"/>
        <v/>
      </c>
      <c r="AI393" s="45" t="str">
        <f t="shared" si="367"/>
        <v/>
      </c>
      <c r="AJ393" s="45" t="str">
        <f t="shared" si="367"/>
        <v/>
      </c>
      <c r="AK393" s="45" t="str">
        <f t="shared" si="367"/>
        <v/>
      </c>
      <c r="AL393" s="45" t="str">
        <f t="shared" si="367"/>
        <v/>
      </c>
      <c r="AM393" s="45" t="str">
        <f t="shared" si="367"/>
        <v/>
      </c>
      <c r="AN393" s="45" t="str">
        <f t="shared" si="367"/>
        <v/>
      </c>
      <c r="AO393" s="45" t="str">
        <f t="shared" si="367"/>
        <v/>
      </c>
      <c r="AP393" s="45" t="str">
        <f t="shared" si="367"/>
        <v/>
      </c>
      <c r="AQ393" s="45" t="str">
        <f t="shared" si="367"/>
        <v/>
      </c>
      <c r="AR393" s="45" t="str">
        <f t="shared" si="367"/>
        <v/>
      </c>
      <c r="AS393" s="45" t="str">
        <f t="shared" si="367"/>
        <v/>
      </c>
      <c r="AT393" s="45" t="str">
        <f t="shared" si="367"/>
        <v/>
      </c>
      <c r="AU393" s="45" t="str">
        <f t="shared" si="367"/>
        <v/>
      </c>
      <c r="AV393" s="45" t="str">
        <f t="shared" si="367"/>
        <v/>
      </c>
      <c r="AW393" s="45" t="str">
        <f t="shared" si="367"/>
        <v/>
      </c>
      <c r="AX393" s="45" t="str">
        <f t="shared" ref="AX393:CC393" si="368">IF(COUNTIFS($A$395:$A$398,"Activity",$D$395:$D$398,"P",AX$395:AX$398,"&lt;&gt;")=0,"",IFERROR(SUMPRODUCT(--($A$395:$A$398="Activity"),--($D$395:$D$398="P"),$O$395:$O$398,AX$395:AX$398)/SUMPRODUCT(--($A$395:$A$398="Activity"),--($D$395:$D$398="P"),$O$395:$O$398),""))</f>
        <v/>
      </c>
      <c r="AY393" s="45" t="str">
        <f t="shared" si="368"/>
        <v/>
      </c>
      <c r="AZ393" s="45" t="str">
        <f t="shared" si="368"/>
        <v/>
      </c>
      <c r="BA393" s="45" t="str">
        <f t="shared" si="368"/>
        <v/>
      </c>
      <c r="BB393" s="45" t="str">
        <f t="shared" si="368"/>
        <v/>
      </c>
      <c r="BC393" s="45" t="str">
        <f t="shared" si="368"/>
        <v/>
      </c>
      <c r="BD393" s="45" t="str">
        <f t="shared" si="368"/>
        <v/>
      </c>
      <c r="BE393" s="45" t="str">
        <f t="shared" si="368"/>
        <v/>
      </c>
      <c r="BF393" s="45" t="str">
        <f t="shared" si="368"/>
        <v/>
      </c>
      <c r="BG393" s="45" t="str">
        <f t="shared" si="368"/>
        <v/>
      </c>
      <c r="BH393" s="45" t="str">
        <f t="shared" si="368"/>
        <v/>
      </c>
      <c r="BI393" s="45" t="str">
        <f t="shared" si="368"/>
        <v/>
      </c>
      <c r="BJ393" s="45" t="str">
        <f t="shared" si="368"/>
        <v/>
      </c>
      <c r="BK393" s="45" t="str">
        <f t="shared" si="368"/>
        <v/>
      </c>
      <c r="BL393" s="45" t="str">
        <f t="shared" si="368"/>
        <v/>
      </c>
      <c r="BM393" s="45" t="str">
        <f t="shared" si="368"/>
        <v/>
      </c>
      <c r="BN393" s="45" t="str">
        <f t="shared" si="368"/>
        <v/>
      </c>
      <c r="BO393" s="45" t="str">
        <f t="shared" si="368"/>
        <v/>
      </c>
      <c r="BP393" s="45" t="str">
        <f t="shared" si="368"/>
        <v/>
      </c>
      <c r="BQ393" s="45" t="str">
        <f t="shared" si="368"/>
        <v/>
      </c>
      <c r="BR393" s="45" t="str">
        <f t="shared" si="368"/>
        <v/>
      </c>
      <c r="BS393" s="45" t="str">
        <f t="shared" si="368"/>
        <v/>
      </c>
      <c r="BT393" s="45" t="str">
        <f t="shared" si="368"/>
        <v/>
      </c>
      <c r="BU393" s="45" t="str">
        <f t="shared" si="368"/>
        <v/>
      </c>
      <c r="BV393" s="45">
        <f t="shared" si="368"/>
        <v>0.1071428571428571</v>
      </c>
      <c r="BW393" s="45">
        <f t="shared" si="368"/>
        <v>0.37499999999999994</v>
      </c>
      <c r="BX393" s="45">
        <f t="shared" si="368"/>
        <v>0.3035714285714286</v>
      </c>
      <c r="BY393" s="45">
        <f t="shared" si="368"/>
        <v>0.125</v>
      </c>
      <c r="BZ393" s="45">
        <f t="shared" si="368"/>
        <v>8.9285714285714288E-2</v>
      </c>
      <c r="CA393" s="45" t="str">
        <f t="shared" si="368"/>
        <v/>
      </c>
      <c r="CB393" s="45" t="str">
        <f t="shared" si="368"/>
        <v/>
      </c>
      <c r="CC393" s="45" t="str">
        <f t="shared" si="368"/>
        <v/>
      </c>
      <c r="CD393" s="45" t="str">
        <f t="shared" ref="CD393:CO393" si="369">IF(COUNTIFS($A$395:$A$398,"Activity",$D$395:$D$398,"P",CD$395:CD$398,"&lt;&gt;")=0,"",IFERROR(SUMPRODUCT(--($A$395:$A$398="Activity"),--($D$395:$D$398="P"),$O$395:$O$398,CD$395:CD$398)/SUMPRODUCT(--($A$395:$A$398="Activity"),--($D$395:$D$398="P"),$O$395:$O$398),""))</f>
        <v/>
      </c>
      <c r="CE393" s="45" t="str">
        <f t="shared" si="369"/>
        <v/>
      </c>
      <c r="CF393" s="45" t="str">
        <f t="shared" si="369"/>
        <v/>
      </c>
      <c r="CG393" s="45" t="str">
        <f t="shared" si="369"/>
        <v/>
      </c>
      <c r="CH393" s="45" t="str">
        <f t="shared" si="369"/>
        <v/>
      </c>
      <c r="CI393" s="45" t="str">
        <f t="shared" si="369"/>
        <v/>
      </c>
      <c r="CJ393" s="45" t="str">
        <f t="shared" si="369"/>
        <v/>
      </c>
      <c r="CK393" s="45" t="str">
        <f t="shared" si="369"/>
        <v/>
      </c>
      <c r="CL393" s="45" t="str">
        <f t="shared" si="369"/>
        <v/>
      </c>
      <c r="CM393" s="45" t="str">
        <f t="shared" si="369"/>
        <v/>
      </c>
      <c r="CN393" s="45" t="str">
        <f t="shared" si="369"/>
        <v/>
      </c>
      <c r="CO393" s="45" t="str">
        <f t="shared" si="369"/>
        <v/>
      </c>
    </row>
    <row r="394" spans="1:93" outlineLevel="3" x14ac:dyDescent="0.25">
      <c r="A394" s="1"/>
      <c r="B394" s="1"/>
      <c r="C394" s="7"/>
      <c r="D394" s="8" t="s">
        <v>111</v>
      </c>
      <c r="E394" s="1"/>
      <c r="F394" s="1"/>
      <c r="G394" s="1"/>
      <c r="H394" s="1"/>
      <c r="I394" s="9"/>
      <c r="J394" s="9"/>
      <c r="K394" s="9"/>
      <c r="L394" s="9"/>
      <c r="M394" s="3" t="str">
        <f t="shared" si="354"/>
        <v/>
      </c>
      <c r="N394" s="3"/>
      <c r="O394" s="46">
        <f>O393</f>
        <v>200000</v>
      </c>
      <c r="P394" s="4"/>
      <c r="Q394" s="5"/>
      <c r="R394" s="45" t="str">
        <f t="shared" ref="R394:AW394" si="370">IF(COUNTIFS($E$395:$E$398,"&lt;&gt;",$D$395:$D$398,"A",R$395:R$398,"&lt;&gt;")=0,"",IFERROR(SUMPRODUCT(--($E$395:$E$398&lt;&gt;""),--($D$395:$D$398="A"),$O$395:$O$398,R$395:R$398)/SUMPRODUCT(--($E$395:$E$398&lt;&gt;""),--($D$395:$D$398="A"),$O$395:$O$398),""))</f>
        <v/>
      </c>
      <c r="S394" s="45" t="str">
        <f t="shared" si="370"/>
        <v/>
      </c>
      <c r="T394" s="45" t="str">
        <f t="shared" si="370"/>
        <v/>
      </c>
      <c r="U394" s="45" t="str">
        <f t="shared" si="370"/>
        <v/>
      </c>
      <c r="V394" s="45" t="str">
        <f t="shared" si="370"/>
        <v/>
      </c>
      <c r="W394" s="45" t="str">
        <f t="shared" si="370"/>
        <v/>
      </c>
      <c r="X394" s="45" t="str">
        <f t="shared" si="370"/>
        <v/>
      </c>
      <c r="Y394" s="45" t="str">
        <f t="shared" si="370"/>
        <v/>
      </c>
      <c r="Z394" s="45" t="str">
        <f t="shared" si="370"/>
        <v/>
      </c>
      <c r="AA394" s="45" t="str">
        <f t="shared" si="370"/>
        <v/>
      </c>
      <c r="AB394" s="45" t="str">
        <f t="shared" si="370"/>
        <v/>
      </c>
      <c r="AC394" s="45" t="str">
        <f t="shared" si="370"/>
        <v/>
      </c>
      <c r="AD394" s="45" t="str">
        <f t="shared" si="370"/>
        <v/>
      </c>
      <c r="AE394" s="45" t="str">
        <f t="shared" si="370"/>
        <v/>
      </c>
      <c r="AF394" s="45" t="str">
        <f t="shared" si="370"/>
        <v/>
      </c>
      <c r="AG394" s="45" t="str">
        <f t="shared" si="370"/>
        <v/>
      </c>
      <c r="AH394" s="45" t="str">
        <f t="shared" si="370"/>
        <v/>
      </c>
      <c r="AI394" s="45" t="str">
        <f t="shared" si="370"/>
        <v/>
      </c>
      <c r="AJ394" s="45" t="str">
        <f t="shared" si="370"/>
        <v/>
      </c>
      <c r="AK394" s="45" t="str">
        <f t="shared" si="370"/>
        <v/>
      </c>
      <c r="AL394" s="45" t="str">
        <f t="shared" si="370"/>
        <v/>
      </c>
      <c r="AM394" s="45" t="str">
        <f t="shared" si="370"/>
        <v/>
      </c>
      <c r="AN394" s="45" t="str">
        <f t="shared" si="370"/>
        <v/>
      </c>
      <c r="AO394" s="45" t="str">
        <f t="shared" si="370"/>
        <v/>
      </c>
      <c r="AP394" s="45" t="str">
        <f t="shared" si="370"/>
        <v/>
      </c>
      <c r="AQ394" s="45" t="str">
        <f t="shared" si="370"/>
        <v/>
      </c>
      <c r="AR394" s="45" t="str">
        <f t="shared" si="370"/>
        <v/>
      </c>
      <c r="AS394" s="45" t="str">
        <f t="shared" si="370"/>
        <v/>
      </c>
      <c r="AT394" s="45" t="str">
        <f t="shared" si="370"/>
        <v/>
      </c>
      <c r="AU394" s="45" t="str">
        <f t="shared" si="370"/>
        <v/>
      </c>
      <c r="AV394" s="45" t="str">
        <f t="shared" si="370"/>
        <v/>
      </c>
      <c r="AW394" s="45" t="str">
        <f t="shared" si="370"/>
        <v/>
      </c>
      <c r="AX394" s="45" t="str">
        <f t="shared" ref="AX394:CC394" si="371">IF(COUNTIFS($E$395:$E$398,"&lt;&gt;",$D$395:$D$398,"A",AX$395:AX$398,"&lt;&gt;")=0,"",IFERROR(SUMPRODUCT(--($E$395:$E$398&lt;&gt;""),--($D$395:$D$398="A"),$O$395:$O$398,AX$395:AX$398)/SUMPRODUCT(--($E$395:$E$398&lt;&gt;""),--($D$395:$D$398="A"),$O$395:$O$398),""))</f>
        <v/>
      </c>
      <c r="AY394" s="45" t="str">
        <f t="shared" si="371"/>
        <v/>
      </c>
      <c r="AZ394" s="45" t="str">
        <f t="shared" si="371"/>
        <v/>
      </c>
      <c r="BA394" s="45" t="str">
        <f t="shared" si="371"/>
        <v/>
      </c>
      <c r="BB394" s="45" t="str">
        <f t="shared" si="371"/>
        <v/>
      </c>
      <c r="BC394" s="45" t="str">
        <f t="shared" si="371"/>
        <v/>
      </c>
      <c r="BD394" s="45" t="str">
        <f t="shared" si="371"/>
        <v/>
      </c>
      <c r="BE394" s="45" t="str">
        <f t="shared" si="371"/>
        <v/>
      </c>
      <c r="BF394" s="45" t="str">
        <f t="shared" si="371"/>
        <v/>
      </c>
      <c r="BG394" s="45" t="str">
        <f t="shared" si="371"/>
        <v/>
      </c>
      <c r="BH394" s="45" t="str">
        <f t="shared" si="371"/>
        <v/>
      </c>
      <c r="BI394" s="45" t="str">
        <f t="shared" si="371"/>
        <v/>
      </c>
      <c r="BJ394" s="45" t="str">
        <f t="shared" si="371"/>
        <v/>
      </c>
      <c r="BK394" s="45" t="str">
        <f t="shared" si="371"/>
        <v/>
      </c>
      <c r="BL394" s="45" t="str">
        <f t="shared" si="371"/>
        <v/>
      </c>
      <c r="BM394" s="45" t="str">
        <f t="shared" si="371"/>
        <v/>
      </c>
      <c r="BN394" s="45" t="str">
        <f t="shared" si="371"/>
        <v/>
      </c>
      <c r="BO394" s="45" t="str">
        <f t="shared" si="371"/>
        <v/>
      </c>
      <c r="BP394" s="45" t="str">
        <f t="shared" si="371"/>
        <v/>
      </c>
      <c r="BQ394" s="45" t="str">
        <f t="shared" si="371"/>
        <v/>
      </c>
      <c r="BR394" s="45" t="str">
        <f t="shared" si="371"/>
        <v/>
      </c>
      <c r="BS394" s="45" t="str">
        <f t="shared" si="371"/>
        <v/>
      </c>
      <c r="BT394" s="45" t="str">
        <f t="shared" si="371"/>
        <v/>
      </c>
      <c r="BU394" s="45" t="str">
        <f t="shared" si="371"/>
        <v/>
      </c>
      <c r="BV394" s="45" t="str">
        <f t="shared" si="371"/>
        <v/>
      </c>
      <c r="BW394" s="45" t="str">
        <f t="shared" si="371"/>
        <v/>
      </c>
      <c r="BX394" s="45" t="str">
        <f t="shared" si="371"/>
        <v/>
      </c>
      <c r="BY394" s="45" t="str">
        <f t="shared" si="371"/>
        <v/>
      </c>
      <c r="BZ394" s="45" t="str">
        <f t="shared" si="371"/>
        <v/>
      </c>
      <c r="CA394" s="45" t="str">
        <f t="shared" si="371"/>
        <v/>
      </c>
      <c r="CB394" s="45" t="str">
        <f t="shared" si="371"/>
        <v/>
      </c>
      <c r="CC394" s="45" t="str">
        <f t="shared" si="371"/>
        <v/>
      </c>
      <c r="CD394" s="45" t="str">
        <f t="shared" ref="CD394:CO394" si="372">IF(COUNTIFS($E$395:$E$398,"&lt;&gt;",$D$395:$D$398,"A",CD$395:CD$398,"&lt;&gt;")=0,"",IFERROR(SUMPRODUCT(--($E$395:$E$398&lt;&gt;""),--($D$395:$D$398="A"),$O$395:$O$398,CD$395:CD$398)/SUMPRODUCT(--($E$395:$E$398&lt;&gt;""),--($D$395:$D$398="A"),$O$395:$O$398),""))</f>
        <v/>
      </c>
      <c r="CE394" s="45" t="str">
        <f t="shared" si="372"/>
        <v/>
      </c>
      <c r="CF394" s="45" t="str">
        <f t="shared" si="372"/>
        <v/>
      </c>
      <c r="CG394" s="45" t="str">
        <f t="shared" si="372"/>
        <v/>
      </c>
      <c r="CH394" s="45" t="str">
        <f t="shared" si="372"/>
        <v/>
      </c>
      <c r="CI394" s="45" t="str">
        <f t="shared" si="372"/>
        <v/>
      </c>
      <c r="CJ394" s="45" t="str">
        <f t="shared" si="372"/>
        <v/>
      </c>
      <c r="CK394" s="45" t="str">
        <f t="shared" si="372"/>
        <v/>
      </c>
      <c r="CL394" s="45" t="str">
        <f t="shared" si="372"/>
        <v/>
      </c>
      <c r="CM394" s="45" t="str">
        <f t="shared" si="372"/>
        <v/>
      </c>
      <c r="CN394" s="45" t="str">
        <f t="shared" si="372"/>
        <v/>
      </c>
      <c r="CO394" s="45" t="str">
        <f t="shared" si="372"/>
        <v/>
      </c>
    </row>
    <row r="395" spans="1:93" outlineLevel="4" x14ac:dyDescent="0.25">
      <c r="A395" s="10" t="s">
        <v>116</v>
      </c>
      <c r="B395" s="10" t="s">
        <v>550</v>
      </c>
      <c r="C395" s="24" t="s">
        <v>551</v>
      </c>
      <c r="D395" s="12" t="s">
        <v>110</v>
      </c>
      <c r="E395" s="10" t="s">
        <v>552</v>
      </c>
      <c r="F395" s="10">
        <v>195</v>
      </c>
      <c r="G395" s="10">
        <v>92</v>
      </c>
      <c r="H395" s="10">
        <v>4</v>
      </c>
      <c r="I395" s="13">
        <v>46436.333333333343</v>
      </c>
      <c r="J395" s="13">
        <v>46463.666666666657</v>
      </c>
      <c r="K395" s="13"/>
      <c r="L395" s="13"/>
      <c r="M395" s="14">
        <f t="shared" si="354"/>
        <v>1</v>
      </c>
      <c r="N395" s="14"/>
      <c r="O395" s="16">
        <v>100000</v>
      </c>
      <c r="P395" s="15">
        <v>4.4000000000000004</v>
      </c>
      <c r="Q395" s="16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  <c r="BT395" s="47"/>
      <c r="BU395" s="47"/>
      <c r="BV395" s="47">
        <v>7.1428571428571425E-2</v>
      </c>
      <c r="BW395" s="47">
        <v>0.25</v>
      </c>
      <c r="BX395" s="47">
        <v>0.25</v>
      </c>
      <c r="BY395" s="47">
        <v>0.25</v>
      </c>
      <c r="BZ395" s="47">
        <v>0.1785714285714286</v>
      </c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</row>
    <row r="396" spans="1:93" outlineLevel="4" x14ac:dyDescent="0.25">
      <c r="A396" s="17"/>
      <c r="B396" s="17"/>
      <c r="C396" s="25"/>
      <c r="D396" s="19" t="s">
        <v>111</v>
      </c>
      <c r="E396" s="17" t="s">
        <v>552</v>
      </c>
      <c r="F396" s="17"/>
      <c r="G396" s="17"/>
      <c r="H396" s="17"/>
      <c r="I396" s="20"/>
      <c r="J396" s="20"/>
      <c r="K396" s="20"/>
      <c r="L396" s="20"/>
      <c r="M396" s="21" t="str">
        <f t="shared" si="354"/>
        <v/>
      </c>
      <c r="N396" s="21">
        <v>0</v>
      </c>
      <c r="O396" s="48">
        <f>O395</f>
        <v>100000</v>
      </c>
      <c r="P396" s="22"/>
      <c r="Q396" s="23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  <c r="CO396" s="47"/>
    </row>
    <row r="397" spans="1:93" outlineLevel="4" x14ac:dyDescent="0.25">
      <c r="A397" s="10" t="s">
        <v>116</v>
      </c>
      <c r="B397" s="10" t="s">
        <v>553</v>
      </c>
      <c r="C397" s="24" t="s">
        <v>554</v>
      </c>
      <c r="D397" s="12" t="s">
        <v>110</v>
      </c>
      <c r="E397" s="10" t="s">
        <v>555</v>
      </c>
      <c r="F397" s="10">
        <v>196</v>
      </c>
      <c r="G397" s="10">
        <v>202</v>
      </c>
      <c r="H397" s="10">
        <v>4</v>
      </c>
      <c r="I397" s="13">
        <v>46436.333333333343</v>
      </c>
      <c r="J397" s="13">
        <v>46449.666666666657</v>
      </c>
      <c r="K397" s="13"/>
      <c r="L397" s="13"/>
      <c r="M397" s="14">
        <f t="shared" si="354"/>
        <v>0.99999999999999989</v>
      </c>
      <c r="N397" s="14"/>
      <c r="O397" s="16">
        <v>100000</v>
      </c>
      <c r="P397" s="15">
        <v>4.4000000000000004</v>
      </c>
      <c r="Q397" s="16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  <c r="BT397" s="47"/>
      <c r="BU397" s="47"/>
      <c r="BV397" s="47">
        <v>0.14285714285714279</v>
      </c>
      <c r="BW397" s="47">
        <v>0.49999999999999989</v>
      </c>
      <c r="BX397" s="47">
        <v>0.35714285714285721</v>
      </c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  <c r="CO397" s="47"/>
    </row>
    <row r="398" spans="1:93" outlineLevel="4" x14ac:dyDescent="0.25">
      <c r="A398" s="17"/>
      <c r="B398" s="17"/>
      <c r="C398" s="25"/>
      <c r="D398" s="19" t="s">
        <v>111</v>
      </c>
      <c r="E398" s="17" t="s">
        <v>555</v>
      </c>
      <c r="F398" s="17"/>
      <c r="G398" s="17"/>
      <c r="H398" s="17"/>
      <c r="I398" s="20"/>
      <c r="J398" s="20"/>
      <c r="K398" s="20"/>
      <c r="L398" s="20"/>
      <c r="M398" s="21" t="str">
        <f t="shared" si="354"/>
        <v/>
      </c>
      <c r="N398" s="21">
        <v>0</v>
      </c>
      <c r="O398" s="48">
        <f>O397</f>
        <v>100000</v>
      </c>
      <c r="P398" s="22"/>
      <c r="Q398" s="23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  <c r="CO398" s="47"/>
    </row>
    <row r="399" spans="1:93" outlineLevel="2" x14ac:dyDescent="0.25">
      <c r="A399" s="1" t="s">
        <v>92</v>
      </c>
      <c r="B399" s="1" t="s">
        <v>556</v>
      </c>
      <c r="C399" s="6" t="s">
        <v>228</v>
      </c>
      <c r="D399" s="8" t="s">
        <v>110</v>
      </c>
      <c r="E399" s="1"/>
      <c r="F399" s="1">
        <v>197</v>
      </c>
      <c r="G399" s="1">
        <v>203</v>
      </c>
      <c r="H399" s="1">
        <v>2</v>
      </c>
      <c r="I399" s="9">
        <v>46457.333333333343</v>
      </c>
      <c r="J399" s="9">
        <v>46505.666666666657</v>
      </c>
      <c r="K399" s="9"/>
      <c r="L399" s="9"/>
      <c r="M399" s="3">
        <f t="shared" si="354"/>
        <v>1</v>
      </c>
      <c r="N399" s="3"/>
      <c r="O399" s="5">
        <f>SUMIFS($O$400:$O$411,$A$400:$A$411,"Activity",$D$400:$D$411,"P")</f>
        <v>400000</v>
      </c>
      <c r="P399" s="4"/>
      <c r="Q399" s="5"/>
      <c r="R399" s="45" t="str">
        <f t="shared" ref="R399:AW399" si="373">IF(COUNTIFS($A$401:$A$412,"Activity",$D$401:$D$412,"P",R$401:R$412,"&lt;&gt;")=0,"",IFERROR(SUMPRODUCT(--($A$401:$A$412="Activity"),--($D$401:$D$412="P"),$O$401:$O$412,R$401:R$412)/SUMPRODUCT(--($A$401:$A$412="Activity"),--($D$401:$D$412="P"),$O$401:$O$412),""))</f>
        <v/>
      </c>
      <c r="S399" s="45" t="str">
        <f t="shared" si="373"/>
        <v/>
      </c>
      <c r="T399" s="45" t="str">
        <f t="shared" si="373"/>
        <v/>
      </c>
      <c r="U399" s="45" t="str">
        <f t="shared" si="373"/>
        <v/>
      </c>
      <c r="V399" s="45" t="str">
        <f t="shared" si="373"/>
        <v/>
      </c>
      <c r="W399" s="45" t="str">
        <f t="shared" si="373"/>
        <v/>
      </c>
      <c r="X399" s="45" t="str">
        <f t="shared" si="373"/>
        <v/>
      </c>
      <c r="Y399" s="45" t="str">
        <f t="shared" si="373"/>
        <v/>
      </c>
      <c r="Z399" s="45" t="str">
        <f t="shared" si="373"/>
        <v/>
      </c>
      <c r="AA399" s="45" t="str">
        <f t="shared" si="373"/>
        <v/>
      </c>
      <c r="AB399" s="45" t="str">
        <f t="shared" si="373"/>
        <v/>
      </c>
      <c r="AC399" s="45" t="str">
        <f t="shared" si="373"/>
        <v/>
      </c>
      <c r="AD399" s="45" t="str">
        <f t="shared" si="373"/>
        <v/>
      </c>
      <c r="AE399" s="45" t="str">
        <f t="shared" si="373"/>
        <v/>
      </c>
      <c r="AF399" s="45" t="str">
        <f t="shared" si="373"/>
        <v/>
      </c>
      <c r="AG399" s="45" t="str">
        <f t="shared" si="373"/>
        <v/>
      </c>
      <c r="AH399" s="45" t="str">
        <f t="shared" si="373"/>
        <v/>
      </c>
      <c r="AI399" s="45" t="str">
        <f t="shared" si="373"/>
        <v/>
      </c>
      <c r="AJ399" s="45" t="str">
        <f t="shared" si="373"/>
        <v/>
      </c>
      <c r="AK399" s="45" t="str">
        <f t="shared" si="373"/>
        <v/>
      </c>
      <c r="AL399" s="45" t="str">
        <f t="shared" si="373"/>
        <v/>
      </c>
      <c r="AM399" s="45" t="str">
        <f t="shared" si="373"/>
        <v/>
      </c>
      <c r="AN399" s="45" t="str">
        <f t="shared" si="373"/>
        <v/>
      </c>
      <c r="AO399" s="45" t="str">
        <f t="shared" si="373"/>
        <v/>
      </c>
      <c r="AP399" s="45" t="str">
        <f t="shared" si="373"/>
        <v/>
      </c>
      <c r="AQ399" s="45" t="str">
        <f t="shared" si="373"/>
        <v/>
      </c>
      <c r="AR399" s="45" t="str">
        <f t="shared" si="373"/>
        <v/>
      </c>
      <c r="AS399" s="45" t="str">
        <f t="shared" si="373"/>
        <v/>
      </c>
      <c r="AT399" s="45" t="str">
        <f t="shared" si="373"/>
        <v/>
      </c>
      <c r="AU399" s="45" t="str">
        <f t="shared" si="373"/>
        <v/>
      </c>
      <c r="AV399" s="45" t="str">
        <f t="shared" si="373"/>
        <v/>
      </c>
      <c r="AW399" s="45" t="str">
        <f t="shared" si="373"/>
        <v/>
      </c>
      <c r="AX399" s="45" t="str">
        <f t="shared" ref="AX399:CC399" si="374">IF(COUNTIFS($A$401:$A$412,"Activity",$D$401:$D$412,"P",AX$401:AX$412,"&lt;&gt;")=0,"",IFERROR(SUMPRODUCT(--($A$401:$A$412="Activity"),--($D$401:$D$412="P"),$O$401:$O$412,AX$401:AX$412)/SUMPRODUCT(--($A$401:$A$412="Activity"),--($D$401:$D$412="P"),$O$401:$O$412),""))</f>
        <v/>
      </c>
      <c r="AY399" s="45" t="str">
        <f t="shared" si="374"/>
        <v/>
      </c>
      <c r="AZ399" s="45" t="str">
        <f t="shared" si="374"/>
        <v/>
      </c>
      <c r="BA399" s="45" t="str">
        <f t="shared" si="374"/>
        <v/>
      </c>
      <c r="BB399" s="45" t="str">
        <f t="shared" si="374"/>
        <v/>
      </c>
      <c r="BC399" s="45" t="str">
        <f t="shared" si="374"/>
        <v/>
      </c>
      <c r="BD399" s="45" t="str">
        <f t="shared" si="374"/>
        <v/>
      </c>
      <c r="BE399" s="45" t="str">
        <f t="shared" si="374"/>
        <v/>
      </c>
      <c r="BF399" s="45" t="str">
        <f t="shared" si="374"/>
        <v/>
      </c>
      <c r="BG399" s="45" t="str">
        <f t="shared" si="374"/>
        <v/>
      </c>
      <c r="BH399" s="45" t="str">
        <f t="shared" si="374"/>
        <v/>
      </c>
      <c r="BI399" s="45" t="str">
        <f t="shared" si="374"/>
        <v/>
      </c>
      <c r="BJ399" s="45" t="str">
        <f t="shared" si="374"/>
        <v/>
      </c>
      <c r="BK399" s="45" t="str">
        <f t="shared" si="374"/>
        <v/>
      </c>
      <c r="BL399" s="45" t="str">
        <f t="shared" si="374"/>
        <v/>
      </c>
      <c r="BM399" s="45" t="str">
        <f t="shared" si="374"/>
        <v/>
      </c>
      <c r="BN399" s="45" t="str">
        <f t="shared" si="374"/>
        <v/>
      </c>
      <c r="BO399" s="45" t="str">
        <f t="shared" si="374"/>
        <v/>
      </c>
      <c r="BP399" s="45" t="str">
        <f t="shared" si="374"/>
        <v/>
      </c>
      <c r="BQ399" s="45" t="str">
        <f t="shared" si="374"/>
        <v/>
      </c>
      <c r="BR399" s="45" t="str">
        <f t="shared" si="374"/>
        <v/>
      </c>
      <c r="BS399" s="45" t="str">
        <f t="shared" si="374"/>
        <v/>
      </c>
      <c r="BT399" s="45" t="str">
        <f t="shared" si="374"/>
        <v/>
      </c>
      <c r="BU399" s="45" t="str">
        <f t="shared" si="374"/>
        <v/>
      </c>
      <c r="BV399" s="45" t="str">
        <f t="shared" si="374"/>
        <v/>
      </c>
      <c r="BW399" s="45" t="str">
        <f t="shared" si="374"/>
        <v/>
      </c>
      <c r="BX399" s="45" t="str">
        <f t="shared" si="374"/>
        <v/>
      </c>
      <c r="BY399" s="45">
        <f t="shared" si="374"/>
        <v>7.1428571428571411E-2</v>
      </c>
      <c r="BZ399" s="45">
        <f t="shared" si="374"/>
        <v>0.24999999999999997</v>
      </c>
      <c r="CA399" s="45">
        <f t="shared" si="374"/>
        <v>0.21428571428571427</v>
      </c>
      <c r="CB399" s="45">
        <f t="shared" si="374"/>
        <v>0.125</v>
      </c>
      <c r="CC399" s="45">
        <f t="shared" si="374"/>
        <v>0.1130952380952381</v>
      </c>
      <c r="CD399" s="45">
        <f t="shared" ref="CD399:CO399" si="375">IF(COUNTIFS($A$401:$A$412,"Activity",$D$401:$D$412,"P",CD$401:CD$412,"&lt;&gt;")=0,"",IFERROR(SUMPRODUCT(--($A$401:$A$412="Activity"),--($D$401:$D$412="P"),$O$401:$O$412,CD$401:CD$412)/SUMPRODUCT(--($A$401:$A$412="Activity"),--($D$401:$D$412="P"),$O$401:$O$412),""))</f>
        <v>8.3333333333333315E-2</v>
      </c>
      <c r="CE399" s="45">
        <f t="shared" si="375"/>
        <v>8.3333333333333315E-2</v>
      </c>
      <c r="CF399" s="45">
        <f t="shared" si="375"/>
        <v>5.9523809523809521E-2</v>
      </c>
      <c r="CG399" s="45" t="str">
        <f t="shared" si="375"/>
        <v/>
      </c>
      <c r="CH399" s="45" t="str">
        <f t="shared" si="375"/>
        <v/>
      </c>
      <c r="CI399" s="45" t="str">
        <f t="shared" si="375"/>
        <v/>
      </c>
      <c r="CJ399" s="45" t="str">
        <f t="shared" si="375"/>
        <v/>
      </c>
      <c r="CK399" s="45" t="str">
        <f t="shared" si="375"/>
        <v/>
      </c>
      <c r="CL399" s="45" t="str">
        <f t="shared" si="375"/>
        <v/>
      </c>
      <c r="CM399" s="45" t="str">
        <f t="shared" si="375"/>
        <v/>
      </c>
      <c r="CN399" s="45" t="str">
        <f t="shared" si="375"/>
        <v/>
      </c>
      <c r="CO399" s="45" t="str">
        <f t="shared" si="375"/>
        <v/>
      </c>
    </row>
    <row r="400" spans="1:93" outlineLevel="2" x14ac:dyDescent="0.25">
      <c r="A400" s="1"/>
      <c r="B400" s="1"/>
      <c r="C400" s="6"/>
      <c r="D400" s="8" t="s">
        <v>111</v>
      </c>
      <c r="E400" s="1"/>
      <c r="F400" s="1"/>
      <c r="G400" s="1"/>
      <c r="H400" s="1"/>
      <c r="I400" s="9"/>
      <c r="J400" s="9"/>
      <c r="K400" s="9"/>
      <c r="L400" s="9"/>
      <c r="M400" s="3" t="str">
        <f t="shared" si="354"/>
        <v/>
      </c>
      <c r="N400" s="3"/>
      <c r="O400" s="46">
        <f>O399</f>
        <v>400000</v>
      </c>
      <c r="P400" s="4"/>
      <c r="Q400" s="5"/>
      <c r="R400" s="45" t="str">
        <f t="shared" ref="R400:AW400" si="376">IF(COUNTIFS($E$401:$E$412,"&lt;&gt;",$D$401:$D$412,"A",R$401:R$412,"&lt;&gt;")=0,"",IFERROR(SUMPRODUCT(--($E$401:$E$412&lt;&gt;""),--($D$401:$D$412="A"),$O$401:$O$412,R$401:R$412)/SUMPRODUCT(--($E$401:$E$412&lt;&gt;""),--($D$401:$D$412="A"),$O$401:$O$412),""))</f>
        <v/>
      </c>
      <c r="S400" s="45" t="str">
        <f t="shared" si="376"/>
        <v/>
      </c>
      <c r="T400" s="45" t="str">
        <f t="shared" si="376"/>
        <v/>
      </c>
      <c r="U400" s="45" t="str">
        <f t="shared" si="376"/>
        <v/>
      </c>
      <c r="V400" s="45" t="str">
        <f t="shared" si="376"/>
        <v/>
      </c>
      <c r="W400" s="45" t="str">
        <f t="shared" si="376"/>
        <v/>
      </c>
      <c r="X400" s="45" t="str">
        <f t="shared" si="376"/>
        <v/>
      </c>
      <c r="Y400" s="45" t="str">
        <f t="shared" si="376"/>
        <v/>
      </c>
      <c r="Z400" s="45" t="str">
        <f t="shared" si="376"/>
        <v/>
      </c>
      <c r="AA400" s="45" t="str">
        <f t="shared" si="376"/>
        <v/>
      </c>
      <c r="AB400" s="45" t="str">
        <f t="shared" si="376"/>
        <v/>
      </c>
      <c r="AC400" s="45" t="str">
        <f t="shared" si="376"/>
        <v/>
      </c>
      <c r="AD400" s="45" t="str">
        <f t="shared" si="376"/>
        <v/>
      </c>
      <c r="AE400" s="45" t="str">
        <f t="shared" si="376"/>
        <v/>
      </c>
      <c r="AF400" s="45" t="str">
        <f t="shared" si="376"/>
        <v/>
      </c>
      <c r="AG400" s="45" t="str">
        <f t="shared" si="376"/>
        <v/>
      </c>
      <c r="AH400" s="45" t="str">
        <f t="shared" si="376"/>
        <v/>
      </c>
      <c r="AI400" s="45" t="str">
        <f t="shared" si="376"/>
        <v/>
      </c>
      <c r="AJ400" s="45" t="str">
        <f t="shared" si="376"/>
        <v/>
      </c>
      <c r="AK400" s="45" t="str">
        <f t="shared" si="376"/>
        <v/>
      </c>
      <c r="AL400" s="45" t="str">
        <f t="shared" si="376"/>
        <v/>
      </c>
      <c r="AM400" s="45" t="str">
        <f t="shared" si="376"/>
        <v/>
      </c>
      <c r="AN400" s="45" t="str">
        <f t="shared" si="376"/>
        <v/>
      </c>
      <c r="AO400" s="45" t="str">
        <f t="shared" si="376"/>
        <v/>
      </c>
      <c r="AP400" s="45" t="str">
        <f t="shared" si="376"/>
        <v/>
      </c>
      <c r="AQ400" s="45" t="str">
        <f t="shared" si="376"/>
        <v/>
      </c>
      <c r="AR400" s="45" t="str">
        <f t="shared" si="376"/>
        <v/>
      </c>
      <c r="AS400" s="45" t="str">
        <f t="shared" si="376"/>
        <v/>
      </c>
      <c r="AT400" s="45" t="str">
        <f t="shared" si="376"/>
        <v/>
      </c>
      <c r="AU400" s="45" t="str">
        <f t="shared" si="376"/>
        <v/>
      </c>
      <c r="AV400" s="45" t="str">
        <f t="shared" si="376"/>
        <v/>
      </c>
      <c r="AW400" s="45" t="str">
        <f t="shared" si="376"/>
        <v/>
      </c>
      <c r="AX400" s="45" t="str">
        <f t="shared" ref="AX400:CC400" si="377">IF(COUNTIFS($E$401:$E$412,"&lt;&gt;",$D$401:$D$412,"A",AX$401:AX$412,"&lt;&gt;")=0,"",IFERROR(SUMPRODUCT(--($E$401:$E$412&lt;&gt;""),--($D$401:$D$412="A"),$O$401:$O$412,AX$401:AX$412)/SUMPRODUCT(--($E$401:$E$412&lt;&gt;""),--($D$401:$D$412="A"),$O$401:$O$412),""))</f>
        <v/>
      </c>
      <c r="AY400" s="45" t="str">
        <f t="shared" si="377"/>
        <v/>
      </c>
      <c r="AZ400" s="45" t="str">
        <f t="shared" si="377"/>
        <v/>
      </c>
      <c r="BA400" s="45" t="str">
        <f t="shared" si="377"/>
        <v/>
      </c>
      <c r="BB400" s="45" t="str">
        <f t="shared" si="377"/>
        <v/>
      </c>
      <c r="BC400" s="45" t="str">
        <f t="shared" si="377"/>
        <v/>
      </c>
      <c r="BD400" s="45" t="str">
        <f t="shared" si="377"/>
        <v/>
      </c>
      <c r="BE400" s="45" t="str">
        <f t="shared" si="377"/>
        <v/>
      </c>
      <c r="BF400" s="45" t="str">
        <f t="shared" si="377"/>
        <v/>
      </c>
      <c r="BG400" s="45" t="str">
        <f t="shared" si="377"/>
        <v/>
      </c>
      <c r="BH400" s="45" t="str">
        <f t="shared" si="377"/>
        <v/>
      </c>
      <c r="BI400" s="45" t="str">
        <f t="shared" si="377"/>
        <v/>
      </c>
      <c r="BJ400" s="45" t="str">
        <f t="shared" si="377"/>
        <v/>
      </c>
      <c r="BK400" s="45" t="str">
        <f t="shared" si="377"/>
        <v/>
      </c>
      <c r="BL400" s="45" t="str">
        <f t="shared" si="377"/>
        <v/>
      </c>
      <c r="BM400" s="45" t="str">
        <f t="shared" si="377"/>
        <v/>
      </c>
      <c r="BN400" s="45" t="str">
        <f t="shared" si="377"/>
        <v/>
      </c>
      <c r="BO400" s="45" t="str">
        <f t="shared" si="377"/>
        <v/>
      </c>
      <c r="BP400" s="45" t="str">
        <f t="shared" si="377"/>
        <v/>
      </c>
      <c r="BQ400" s="45" t="str">
        <f t="shared" si="377"/>
        <v/>
      </c>
      <c r="BR400" s="45" t="str">
        <f t="shared" si="377"/>
        <v/>
      </c>
      <c r="BS400" s="45" t="str">
        <f t="shared" si="377"/>
        <v/>
      </c>
      <c r="BT400" s="45" t="str">
        <f t="shared" si="377"/>
        <v/>
      </c>
      <c r="BU400" s="45" t="str">
        <f t="shared" si="377"/>
        <v/>
      </c>
      <c r="BV400" s="45" t="str">
        <f t="shared" si="377"/>
        <v/>
      </c>
      <c r="BW400" s="45" t="str">
        <f t="shared" si="377"/>
        <v/>
      </c>
      <c r="BX400" s="45" t="str">
        <f t="shared" si="377"/>
        <v/>
      </c>
      <c r="BY400" s="45" t="str">
        <f t="shared" si="377"/>
        <v/>
      </c>
      <c r="BZ400" s="45" t="str">
        <f t="shared" si="377"/>
        <v/>
      </c>
      <c r="CA400" s="45" t="str">
        <f t="shared" si="377"/>
        <v/>
      </c>
      <c r="CB400" s="45" t="str">
        <f t="shared" si="377"/>
        <v/>
      </c>
      <c r="CC400" s="45" t="str">
        <f t="shared" si="377"/>
        <v/>
      </c>
      <c r="CD400" s="45" t="str">
        <f t="shared" ref="CD400:CO400" si="378">IF(COUNTIFS($E$401:$E$412,"&lt;&gt;",$D$401:$D$412,"A",CD$401:CD$412,"&lt;&gt;")=0,"",IFERROR(SUMPRODUCT(--($E$401:$E$412&lt;&gt;""),--($D$401:$D$412="A"),$O$401:$O$412,CD$401:CD$412)/SUMPRODUCT(--($E$401:$E$412&lt;&gt;""),--($D$401:$D$412="A"),$O$401:$O$412),""))</f>
        <v/>
      </c>
      <c r="CE400" s="45" t="str">
        <f t="shared" si="378"/>
        <v/>
      </c>
      <c r="CF400" s="45" t="str">
        <f t="shared" si="378"/>
        <v/>
      </c>
      <c r="CG400" s="45" t="str">
        <f t="shared" si="378"/>
        <v/>
      </c>
      <c r="CH400" s="45" t="str">
        <f t="shared" si="378"/>
        <v/>
      </c>
      <c r="CI400" s="45" t="str">
        <f t="shared" si="378"/>
        <v/>
      </c>
      <c r="CJ400" s="45" t="str">
        <f t="shared" si="378"/>
        <v/>
      </c>
      <c r="CK400" s="45" t="str">
        <f t="shared" si="378"/>
        <v/>
      </c>
      <c r="CL400" s="45" t="str">
        <f t="shared" si="378"/>
        <v/>
      </c>
      <c r="CM400" s="45" t="str">
        <f t="shared" si="378"/>
        <v/>
      </c>
      <c r="CN400" s="45" t="str">
        <f t="shared" si="378"/>
        <v/>
      </c>
      <c r="CO400" s="45" t="str">
        <f t="shared" si="378"/>
        <v/>
      </c>
    </row>
    <row r="401" spans="1:93" outlineLevel="3" x14ac:dyDescent="0.25">
      <c r="A401" s="1" t="s">
        <v>92</v>
      </c>
      <c r="B401" s="1" t="s">
        <v>557</v>
      </c>
      <c r="C401" s="7" t="s">
        <v>315</v>
      </c>
      <c r="D401" s="8" t="s">
        <v>110</v>
      </c>
      <c r="E401" s="1"/>
      <c r="F401" s="1">
        <v>198</v>
      </c>
      <c r="G401" s="1">
        <v>204</v>
      </c>
      <c r="H401" s="1">
        <v>3</v>
      </c>
      <c r="I401" s="9">
        <v>46457.333333333343</v>
      </c>
      <c r="J401" s="9">
        <v>46484.666666666657</v>
      </c>
      <c r="K401" s="9"/>
      <c r="L401" s="9"/>
      <c r="M401" s="3">
        <f t="shared" si="354"/>
        <v>0.99999999999999989</v>
      </c>
      <c r="N401" s="3"/>
      <c r="O401" s="5">
        <f>SUMIFS($O$402:$O$407,$A$402:$A$407,"Activity",$D$402:$D$407,"P")</f>
        <v>300000</v>
      </c>
      <c r="P401" s="4"/>
      <c r="Q401" s="5"/>
      <c r="R401" s="45" t="str">
        <f t="shared" ref="R401:AW401" si="379">IF(COUNTIFS($A$403:$A$408,"Activity",$D$403:$D$408,"P",R$403:R$408,"&lt;&gt;")=0,"",IFERROR(SUMPRODUCT(--($A$403:$A$408="Activity"),--($D$403:$D$408="P"),$O$403:$O$408,R$403:R$408)/SUMPRODUCT(--($A$403:$A$408="Activity"),--($D$403:$D$408="P"),$O$403:$O$408),""))</f>
        <v/>
      </c>
      <c r="S401" s="45" t="str">
        <f t="shared" si="379"/>
        <v/>
      </c>
      <c r="T401" s="45" t="str">
        <f t="shared" si="379"/>
        <v/>
      </c>
      <c r="U401" s="45" t="str">
        <f t="shared" si="379"/>
        <v/>
      </c>
      <c r="V401" s="45" t="str">
        <f t="shared" si="379"/>
        <v/>
      </c>
      <c r="W401" s="45" t="str">
        <f t="shared" si="379"/>
        <v/>
      </c>
      <c r="X401" s="45" t="str">
        <f t="shared" si="379"/>
        <v/>
      </c>
      <c r="Y401" s="45" t="str">
        <f t="shared" si="379"/>
        <v/>
      </c>
      <c r="Z401" s="45" t="str">
        <f t="shared" si="379"/>
        <v/>
      </c>
      <c r="AA401" s="45" t="str">
        <f t="shared" si="379"/>
        <v/>
      </c>
      <c r="AB401" s="45" t="str">
        <f t="shared" si="379"/>
        <v/>
      </c>
      <c r="AC401" s="45" t="str">
        <f t="shared" si="379"/>
        <v/>
      </c>
      <c r="AD401" s="45" t="str">
        <f t="shared" si="379"/>
        <v/>
      </c>
      <c r="AE401" s="45" t="str">
        <f t="shared" si="379"/>
        <v/>
      </c>
      <c r="AF401" s="45" t="str">
        <f t="shared" si="379"/>
        <v/>
      </c>
      <c r="AG401" s="45" t="str">
        <f t="shared" si="379"/>
        <v/>
      </c>
      <c r="AH401" s="45" t="str">
        <f t="shared" si="379"/>
        <v/>
      </c>
      <c r="AI401" s="45" t="str">
        <f t="shared" si="379"/>
        <v/>
      </c>
      <c r="AJ401" s="45" t="str">
        <f t="shared" si="379"/>
        <v/>
      </c>
      <c r="AK401" s="45" t="str">
        <f t="shared" si="379"/>
        <v/>
      </c>
      <c r="AL401" s="45" t="str">
        <f t="shared" si="379"/>
        <v/>
      </c>
      <c r="AM401" s="45" t="str">
        <f t="shared" si="379"/>
        <v/>
      </c>
      <c r="AN401" s="45" t="str">
        <f t="shared" si="379"/>
        <v/>
      </c>
      <c r="AO401" s="45" t="str">
        <f t="shared" si="379"/>
        <v/>
      </c>
      <c r="AP401" s="45" t="str">
        <f t="shared" si="379"/>
        <v/>
      </c>
      <c r="AQ401" s="45" t="str">
        <f t="shared" si="379"/>
        <v/>
      </c>
      <c r="AR401" s="45" t="str">
        <f t="shared" si="379"/>
        <v/>
      </c>
      <c r="AS401" s="45" t="str">
        <f t="shared" si="379"/>
        <v/>
      </c>
      <c r="AT401" s="45" t="str">
        <f t="shared" si="379"/>
        <v/>
      </c>
      <c r="AU401" s="45" t="str">
        <f t="shared" si="379"/>
        <v/>
      </c>
      <c r="AV401" s="45" t="str">
        <f t="shared" si="379"/>
        <v/>
      </c>
      <c r="AW401" s="45" t="str">
        <f t="shared" si="379"/>
        <v/>
      </c>
      <c r="AX401" s="45" t="str">
        <f t="shared" ref="AX401:CC401" si="380">IF(COUNTIFS($A$403:$A$408,"Activity",$D$403:$D$408,"P",AX$403:AX$408,"&lt;&gt;")=0,"",IFERROR(SUMPRODUCT(--($A$403:$A$408="Activity"),--($D$403:$D$408="P"),$O$403:$O$408,AX$403:AX$408)/SUMPRODUCT(--($A$403:$A$408="Activity"),--($D$403:$D$408="P"),$O$403:$O$408),""))</f>
        <v/>
      </c>
      <c r="AY401" s="45" t="str">
        <f t="shared" si="380"/>
        <v/>
      </c>
      <c r="AZ401" s="45" t="str">
        <f t="shared" si="380"/>
        <v/>
      </c>
      <c r="BA401" s="45" t="str">
        <f t="shared" si="380"/>
        <v/>
      </c>
      <c r="BB401" s="45" t="str">
        <f t="shared" si="380"/>
        <v/>
      </c>
      <c r="BC401" s="45" t="str">
        <f t="shared" si="380"/>
        <v/>
      </c>
      <c r="BD401" s="45" t="str">
        <f t="shared" si="380"/>
        <v/>
      </c>
      <c r="BE401" s="45" t="str">
        <f t="shared" si="380"/>
        <v/>
      </c>
      <c r="BF401" s="45" t="str">
        <f t="shared" si="380"/>
        <v/>
      </c>
      <c r="BG401" s="45" t="str">
        <f t="shared" si="380"/>
        <v/>
      </c>
      <c r="BH401" s="45" t="str">
        <f t="shared" si="380"/>
        <v/>
      </c>
      <c r="BI401" s="45" t="str">
        <f t="shared" si="380"/>
        <v/>
      </c>
      <c r="BJ401" s="45" t="str">
        <f t="shared" si="380"/>
        <v/>
      </c>
      <c r="BK401" s="45" t="str">
        <f t="shared" si="380"/>
        <v/>
      </c>
      <c r="BL401" s="45" t="str">
        <f t="shared" si="380"/>
        <v/>
      </c>
      <c r="BM401" s="45" t="str">
        <f t="shared" si="380"/>
        <v/>
      </c>
      <c r="BN401" s="45" t="str">
        <f t="shared" si="380"/>
        <v/>
      </c>
      <c r="BO401" s="45" t="str">
        <f t="shared" si="380"/>
        <v/>
      </c>
      <c r="BP401" s="45" t="str">
        <f t="shared" si="380"/>
        <v/>
      </c>
      <c r="BQ401" s="45" t="str">
        <f t="shared" si="380"/>
        <v/>
      </c>
      <c r="BR401" s="45" t="str">
        <f t="shared" si="380"/>
        <v/>
      </c>
      <c r="BS401" s="45" t="str">
        <f t="shared" si="380"/>
        <v/>
      </c>
      <c r="BT401" s="45" t="str">
        <f t="shared" si="380"/>
        <v/>
      </c>
      <c r="BU401" s="45" t="str">
        <f t="shared" si="380"/>
        <v/>
      </c>
      <c r="BV401" s="45" t="str">
        <f t="shared" si="380"/>
        <v/>
      </c>
      <c r="BW401" s="45" t="str">
        <f t="shared" si="380"/>
        <v/>
      </c>
      <c r="BX401" s="45" t="str">
        <f t="shared" si="380"/>
        <v/>
      </c>
      <c r="BY401" s="45">
        <f t="shared" si="380"/>
        <v>9.5238095238095205E-2</v>
      </c>
      <c r="BZ401" s="45">
        <f t="shared" si="380"/>
        <v>0.33333333333333326</v>
      </c>
      <c r="CA401" s="45">
        <f t="shared" si="380"/>
        <v>0.2857142857142857</v>
      </c>
      <c r="CB401" s="45">
        <f t="shared" si="380"/>
        <v>0.16666666666666666</v>
      </c>
      <c r="CC401" s="45">
        <f t="shared" si="380"/>
        <v>0.11904761904761905</v>
      </c>
      <c r="CD401" s="45" t="str">
        <f t="shared" ref="CD401:CO401" si="381">IF(COUNTIFS($A$403:$A$408,"Activity",$D$403:$D$408,"P",CD$403:CD$408,"&lt;&gt;")=0,"",IFERROR(SUMPRODUCT(--($A$403:$A$408="Activity"),--($D$403:$D$408="P"),$O$403:$O$408,CD$403:CD$408)/SUMPRODUCT(--($A$403:$A$408="Activity"),--($D$403:$D$408="P"),$O$403:$O$408),""))</f>
        <v/>
      </c>
      <c r="CE401" s="45" t="str">
        <f t="shared" si="381"/>
        <v/>
      </c>
      <c r="CF401" s="45" t="str">
        <f t="shared" si="381"/>
        <v/>
      </c>
      <c r="CG401" s="45" t="str">
        <f t="shared" si="381"/>
        <v/>
      </c>
      <c r="CH401" s="45" t="str">
        <f t="shared" si="381"/>
        <v/>
      </c>
      <c r="CI401" s="45" t="str">
        <f t="shared" si="381"/>
        <v/>
      </c>
      <c r="CJ401" s="45" t="str">
        <f t="shared" si="381"/>
        <v/>
      </c>
      <c r="CK401" s="45" t="str">
        <f t="shared" si="381"/>
        <v/>
      </c>
      <c r="CL401" s="45" t="str">
        <f t="shared" si="381"/>
        <v/>
      </c>
      <c r="CM401" s="45" t="str">
        <f t="shared" si="381"/>
        <v/>
      </c>
      <c r="CN401" s="45" t="str">
        <f t="shared" si="381"/>
        <v/>
      </c>
      <c r="CO401" s="45" t="str">
        <f t="shared" si="381"/>
        <v/>
      </c>
    </row>
    <row r="402" spans="1:93" outlineLevel="3" x14ac:dyDescent="0.25">
      <c r="A402" s="1"/>
      <c r="B402" s="1"/>
      <c r="C402" s="7"/>
      <c r="D402" s="8" t="s">
        <v>111</v>
      </c>
      <c r="E402" s="1"/>
      <c r="F402" s="1"/>
      <c r="G402" s="1"/>
      <c r="H402" s="1"/>
      <c r="I402" s="9"/>
      <c r="J402" s="9"/>
      <c r="K402" s="9"/>
      <c r="L402" s="9"/>
      <c r="M402" s="3" t="str">
        <f t="shared" si="354"/>
        <v/>
      </c>
      <c r="N402" s="3"/>
      <c r="O402" s="46">
        <f>O401</f>
        <v>300000</v>
      </c>
      <c r="P402" s="4"/>
      <c r="Q402" s="5"/>
      <c r="R402" s="45" t="str">
        <f t="shared" ref="R402:AW402" si="382">IF(COUNTIFS($E$403:$E$408,"&lt;&gt;",$D$403:$D$408,"A",R$403:R$408,"&lt;&gt;")=0,"",IFERROR(SUMPRODUCT(--($E$403:$E$408&lt;&gt;""),--($D$403:$D$408="A"),$O$403:$O$408,R$403:R$408)/SUMPRODUCT(--($E$403:$E$408&lt;&gt;""),--($D$403:$D$408="A"),$O$403:$O$408),""))</f>
        <v/>
      </c>
      <c r="S402" s="45" t="str">
        <f t="shared" si="382"/>
        <v/>
      </c>
      <c r="T402" s="45" t="str">
        <f t="shared" si="382"/>
        <v/>
      </c>
      <c r="U402" s="45" t="str">
        <f t="shared" si="382"/>
        <v/>
      </c>
      <c r="V402" s="45" t="str">
        <f t="shared" si="382"/>
        <v/>
      </c>
      <c r="W402" s="45" t="str">
        <f t="shared" si="382"/>
        <v/>
      </c>
      <c r="X402" s="45" t="str">
        <f t="shared" si="382"/>
        <v/>
      </c>
      <c r="Y402" s="45" t="str">
        <f t="shared" si="382"/>
        <v/>
      </c>
      <c r="Z402" s="45" t="str">
        <f t="shared" si="382"/>
        <v/>
      </c>
      <c r="AA402" s="45" t="str">
        <f t="shared" si="382"/>
        <v/>
      </c>
      <c r="AB402" s="45" t="str">
        <f t="shared" si="382"/>
        <v/>
      </c>
      <c r="AC402" s="45" t="str">
        <f t="shared" si="382"/>
        <v/>
      </c>
      <c r="AD402" s="45" t="str">
        <f t="shared" si="382"/>
        <v/>
      </c>
      <c r="AE402" s="45" t="str">
        <f t="shared" si="382"/>
        <v/>
      </c>
      <c r="AF402" s="45" t="str">
        <f t="shared" si="382"/>
        <v/>
      </c>
      <c r="AG402" s="45" t="str">
        <f t="shared" si="382"/>
        <v/>
      </c>
      <c r="AH402" s="45" t="str">
        <f t="shared" si="382"/>
        <v/>
      </c>
      <c r="AI402" s="45" t="str">
        <f t="shared" si="382"/>
        <v/>
      </c>
      <c r="AJ402" s="45" t="str">
        <f t="shared" si="382"/>
        <v/>
      </c>
      <c r="AK402" s="45" t="str">
        <f t="shared" si="382"/>
        <v/>
      </c>
      <c r="AL402" s="45" t="str">
        <f t="shared" si="382"/>
        <v/>
      </c>
      <c r="AM402" s="45" t="str">
        <f t="shared" si="382"/>
        <v/>
      </c>
      <c r="AN402" s="45" t="str">
        <f t="shared" si="382"/>
        <v/>
      </c>
      <c r="AO402" s="45" t="str">
        <f t="shared" si="382"/>
        <v/>
      </c>
      <c r="AP402" s="45" t="str">
        <f t="shared" si="382"/>
        <v/>
      </c>
      <c r="AQ402" s="45" t="str">
        <f t="shared" si="382"/>
        <v/>
      </c>
      <c r="AR402" s="45" t="str">
        <f t="shared" si="382"/>
        <v/>
      </c>
      <c r="AS402" s="45" t="str">
        <f t="shared" si="382"/>
        <v/>
      </c>
      <c r="AT402" s="45" t="str">
        <f t="shared" si="382"/>
        <v/>
      </c>
      <c r="AU402" s="45" t="str">
        <f t="shared" si="382"/>
        <v/>
      </c>
      <c r="AV402" s="45" t="str">
        <f t="shared" si="382"/>
        <v/>
      </c>
      <c r="AW402" s="45" t="str">
        <f t="shared" si="382"/>
        <v/>
      </c>
      <c r="AX402" s="45" t="str">
        <f t="shared" ref="AX402:CC402" si="383">IF(COUNTIFS($E$403:$E$408,"&lt;&gt;",$D$403:$D$408,"A",AX$403:AX$408,"&lt;&gt;")=0,"",IFERROR(SUMPRODUCT(--($E$403:$E$408&lt;&gt;""),--($D$403:$D$408="A"),$O$403:$O$408,AX$403:AX$408)/SUMPRODUCT(--($E$403:$E$408&lt;&gt;""),--($D$403:$D$408="A"),$O$403:$O$408),""))</f>
        <v/>
      </c>
      <c r="AY402" s="45" t="str">
        <f t="shared" si="383"/>
        <v/>
      </c>
      <c r="AZ402" s="45" t="str">
        <f t="shared" si="383"/>
        <v/>
      </c>
      <c r="BA402" s="45" t="str">
        <f t="shared" si="383"/>
        <v/>
      </c>
      <c r="BB402" s="45" t="str">
        <f t="shared" si="383"/>
        <v/>
      </c>
      <c r="BC402" s="45" t="str">
        <f t="shared" si="383"/>
        <v/>
      </c>
      <c r="BD402" s="45" t="str">
        <f t="shared" si="383"/>
        <v/>
      </c>
      <c r="BE402" s="45" t="str">
        <f t="shared" si="383"/>
        <v/>
      </c>
      <c r="BF402" s="45" t="str">
        <f t="shared" si="383"/>
        <v/>
      </c>
      <c r="BG402" s="45" t="str">
        <f t="shared" si="383"/>
        <v/>
      </c>
      <c r="BH402" s="45" t="str">
        <f t="shared" si="383"/>
        <v/>
      </c>
      <c r="BI402" s="45" t="str">
        <f t="shared" si="383"/>
        <v/>
      </c>
      <c r="BJ402" s="45" t="str">
        <f t="shared" si="383"/>
        <v/>
      </c>
      <c r="BK402" s="45" t="str">
        <f t="shared" si="383"/>
        <v/>
      </c>
      <c r="BL402" s="45" t="str">
        <f t="shared" si="383"/>
        <v/>
      </c>
      <c r="BM402" s="45" t="str">
        <f t="shared" si="383"/>
        <v/>
      </c>
      <c r="BN402" s="45" t="str">
        <f t="shared" si="383"/>
        <v/>
      </c>
      <c r="BO402" s="45" t="str">
        <f t="shared" si="383"/>
        <v/>
      </c>
      <c r="BP402" s="45" t="str">
        <f t="shared" si="383"/>
        <v/>
      </c>
      <c r="BQ402" s="45" t="str">
        <f t="shared" si="383"/>
        <v/>
      </c>
      <c r="BR402" s="45" t="str">
        <f t="shared" si="383"/>
        <v/>
      </c>
      <c r="BS402" s="45" t="str">
        <f t="shared" si="383"/>
        <v/>
      </c>
      <c r="BT402" s="45" t="str">
        <f t="shared" si="383"/>
        <v/>
      </c>
      <c r="BU402" s="45" t="str">
        <f t="shared" si="383"/>
        <v/>
      </c>
      <c r="BV402" s="45" t="str">
        <f t="shared" si="383"/>
        <v/>
      </c>
      <c r="BW402" s="45" t="str">
        <f t="shared" si="383"/>
        <v/>
      </c>
      <c r="BX402" s="45" t="str">
        <f t="shared" si="383"/>
        <v/>
      </c>
      <c r="BY402" s="45" t="str">
        <f t="shared" si="383"/>
        <v/>
      </c>
      <c r="BZ402" s="45" t="str">
        <f t="shared" si="383"/>
        <v/>
      </c>
      <c r="CA402" s="45" t="str">
        <f t="shared" si="383"/>
        <v/>
      </c>
      <c r="CB402" s="45" t="str">
        <f t="shared" si="383"/>
        <v/>
      </c>
      <c r="CC402" s="45" t="str">
        <f t="shared" si="383"/>
        <v/>
      </c>
      <c r="CD402" s="45" t="str">
        <f t="shared" ref="CD402:CO402" si="384">IF(COUNTIFS($E$403:$E$408,"&lt;&gt;",$D$403:$D$408,"A",CD$403:CD$408,"&lt;&gt;")=0,"",IFERROR(SUMPRODUCT(--($E$403:$E$408&lt;&gt;""),--($D$403:$D$408="A"),$O$403:$O$408,CD$403:CD$408)/SUMPRODUCT(--($E$403:$E$408&lt;&gt;""),--($D$403:$D$408="A"),$O$403:$O$408),""))</f>
        <v/>
      </c>
      <c r="CE402" s="45" t="str">
        <f t="shared" si="384"/>
        <v/>
      </c>
      <c r="CF402" s="45" t="str">
        <f t="shared" si="384"/>
        <v/>
      </c>
      <c r="CG402" s="45" t="str">
        <f t="shared" si="384"/>
        <v/>
      </c>
      <c r="CH402" s="45" t="str">
        <f t="shared" si="384"/>
        <v/>
      </c>
      <c r="CI402" s="45" t="str">
        <f t="shared" si="384"/>
        <v/>
      </c>
      <c r="CJ402" s="45" t="str">
        <f t="shared" si="384"/>
        <v/>
      </c>
      <c r="CK402" s="45" t="str">
        <f t="shared" si="384"/>
        <v/>
      </c>
      <c r="CL402" s="45" t="str">
        <f t="shared" si="384"/>
        <v/>
      </c>
      <c r="CM402" s="45" t="str">
        <f t="shared" si="384"/>
        <v/>
      </c>
      <c r="CN402" s="45" t="str">
        <f t="shared" si="384"/>
        <v/>
      </c>
      <c r="CO402" s="45" t="str">
        <f t="shared" si="384"/>
        <v/>
      </c>
    </row>
    <row r="403" spans="1:93" outlineLevel="4" x14ac:dyDescent="0.25">
      <c r="A403" s="10" t="s">
        <v>116</v>
      </c>
      <c r="B403" s="10" t="s">
        <v>558</v>
      </c>
      <c r="C403" s="24" t="s">
        <v>554</v>
      </c>
      <c r="D403" s="12" t="s">
        <v>110</v>
      </c>
      <c r="E403" s="10" t="s">
        <v>559</v>
      </c>
      <c r="F403" s="10">
        <v>199</v>
      </c>
      <c r="G403" s="10">
        <v>205</v>
      </c>
      <c r="H403" s="10">
        <v>4</v>
      </c>
      <c r="I403" s="13">
        <v>46457.333333333343</v>
      </c>
      <c r="J403" s="13">
        <v>46470.666666666657</v>
      </c>
      <c r="K403" s="13"/>
      <c r="L403" s="13"/>
      <c r="M403" s="14">
        <f t="shared" si="354"/>
        <v>0.99999999999999989</v>
      </c>
      <c r="N403" s="14"/>
      <c r="O403" s="16">
        <v>100000</v>
      </c>
      <c r="P403" s="15">
        <v>6.4</v>
      </c>
      <c r="Q403" s="16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  <c r="BT403" s="47"/>
      <c r="BU403" s="47"/>
      <c r="BV403" s="47"/>
      <c r="BW403" s="47"/>
      <c r="BX403" s="47"/>
      <c r="BY403" s="47">
        <v>0.14285714285714279</v>
      </c>
      <c r="BZ403" s="47">
        <v>0.49999999999999989</v>
      </c>
      <c r="CA403" s="47">
        <v>0.35714285714285721</v>
      </c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  <c r="CO403" s="47"/>
    </row>
    <row r="404" spans="1:93" outlineLevel="4" x14ac:dyDescent="0.25">
      <c r="A404" s="17"/>
      <c r="B404" s="17"/>
      <c r="C404" s="25"/>
      <c r="D404" s="19" t="s">
        <v>111</v>
      </c>
      <c r="E404" s="17" t="s">
        <v>559</v>
      </c>
      <c r="F404" s="17"/>
      <c r="G404" s="17"/>
      <c r="H404" s="17"/>
      <c r="I404" s="20"/>
      <c r="J404" s="20"/>
      <c r="K404" s="20"/>
      <c r="L404" s="20"/>
      <c r="M404" s="21" t="str">
        <f t="shared" si="354"/>
        <v/>
      </c>
      <c r="N404" s="21">
        <v>0</v>
      </c>
      <c r="O404" s="48">
        <f>O403</f>
        <v>100000</v>
      </c>
      <c r="P404" s="22"/>
      <c r="Q404" s="23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  <c r="CO404" s="47"/>
    </row>
    <row r="405" spans="1:93" outlineLevel="4" x14ac:dyDescent="0.25">
      <c r="A405" s="10" t="s">
        <v>116</v>
      </c>
      <c r="B405" s="10" t="s">
        <v>560</v>
      </c>
      <c r="C405" s="24" t="s">
        <v>561</v>
      </c>
      <c r="D405" s="12" t="s">
        <v>110</v>
      </c>
      <c r="E405" s="10" t="s">
        <v>562</v>
      </c>
      <c r="F405" s="10">
        <v>200</v>
      </c>
      <c r="G405" s="10">
        <v>206</v>
      </c>
      <c r="H405" s="10">
        <v>4</v>
      </c>
      <c r="I405" s="13">
        <v>46457.333333333343</v>
      </c>
      <c r="J405" s="13">
        <v>46484.666666666657</v>
      </c>
      <c r="K405" s="13"/>
      <c r="L405" s="13"/>
      <c r="M405" s="14">
        <f t="shared" si="354"/>
        <v>1</v>
      </c>
      <c r="N405" s="14"/>
      <c r="O405" s="16">
        <v>100000</v>
      </c>
      <c r="P405" s="15">
        <v>1.7333333333333329</v>
      </c>
      <c r="Q405" s="16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  <c r="BT405" s="47"/>
      <c r="BU405" s="47"/>
      <c r="BV405" s="47"/>
      <c r="BW405" s="47"/>
      <c r="BX405" s="47"/>
      <c r="BY405" s="47">
        <v>7.1428571428571425E-2</v>
      </c>
      <c r="BZ405" s="47">
        <v>0.25</v>
      </c>
      <c r="CA405" s="47">
        <v>0.25</v>
      </c>
      <c r="CB405" s="47">
        <v>0.25</v>
      </c>
      <c r="CC405" s="47">
        <v>0.1785714285714286</v>
      </c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  <c r="CO405" s="47"/>
    </row>
    <row r="406" spans="1:93" outlineLevel="4" x14ac:dyDescent="0.25">
      <c r="A406" s="17"/>
      <c r="B406" s="17"/>
      <c r="C406" s="25"/>
      <c r="D406" s="19" t="s">
        <v>111</v>
      </c>
      <c r="E406" s="17" t="s">
        <v>562</v>
      </c>
      <c r="F406" s="17"/>
      <c r="G406" s="17"/>
      <c r="H406" s="17"/>
      <c r="I406" s="20"/>
      <c r="J406" s="20"/>
      <c r="K406" s="20"/>
      <c r="L406" s="20"/>
      <c r="M406" s="21" t="str">
        <f t="shared" si="354"/>
        <v/>
      </c>
      <c r="N406" s="21">
        <v>0</v>
      </c>
      <c r="O406" s="48">
        <f>O405</f>
        <v>100000</v>
      </c>
      <c r="P406" s="22"/>
      <c r="Q406" s="23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  <c r="CO406" s="47"/>
    </row>
    <row r="407" spans="1:93" outlineLevel="4" x14ac:dyDescent="0.25">
      <c r="A407" s="10" t="s">
        <v>116</v>
      </c>
      <c r="B407" s="10" t="s">
        <v>563</v>
      </c>
      <c r="C407" s="24" t="s">
        <v>551</v>
      </c>
      <c r="D407" s="12" t="s">
        <v>110</v>
      </c>
      <c r="E407" s="10" t="s">
        <v>564</v>
      </c>
      <c r="F407" s="10">
        <v>201</v>
      </c>
      <c r="G407" s="10">
        <v>207</v>
      </c>
      <c r="H407" s="10">
        <v>4</v>
      </c>
      <c r="I407" s="13">
        <v>46457.333333333343</v>
      </c>
      <c r="J407" s="13">
        <v>46484.666666666657</v>
      </c>
      <c r="K407" s="13"/>
      <c r="L407" s="13"/>
      <c r="M407" s="14">
        <f t="shared" si="354"/>
        <v>1</v>
      </c>
      <c r="N407" s="14"/>
      <c r="O407" s="16">
        <v>100000</v>
      </c>
      <c r="P407" s="15">
        <v>5.0666666666666664</v>
      </c>
      <c r="Q407" s="16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  <c r="BT407" s="47"/>
      <c r="BU407" s="47"/>
      <c r="BV407" s="47"/>
      <c r="BW407" s="47"/>
      <c r="BX407" s="47"/>
      <c r="BY407" s="47">
        <v>7.1428571428571425E-2</v>
      </c>
      <c r="BZ407" s="47">
        <v>0.25</v>
      </c>
      <c r="CA407" s="47">
        <v>0.25</v>
      </c>
      <c r="CB407" s="47">
        <v>0.25</v>
      </c>
      <c r="CC407" s="47">
        <v>0.1785714285714286</v>
      </c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  <c r="CO407" s="47"/>
    </row>
    <row r="408" spans="1:93" outlineLevel="4" x14ac:dyDescent="0.25">
      <c r="A408" s="17"/>
      <c r="B408" s="17"/>
      <c r="C408" s="25"/>
      <c r="D408" s="19" t="s">
        <v>111</v>
      </c>
      <c r="E408" s="17" t="s">
        <v>564</v>
      </c>
      <c r="F408" s="17"/>
      <c r="G408" s="17"/>
      <c r="H408" s="17"/>
      <c r="I408" s="20"/>
      <c r="J408" s="20"/>
      <c r="K408" s="20"/>
      <c r="L408" s="20"/>
      <c r="M408" s="21" t="str">
        <f t="shared" si="354"/>
        <v/>
      </c>
      <c r="N408" s="21">
        <v>0</v>
      </c>
      <c r="O408" s="48">
        <f>O407</f>
        <v>100000</v>
      </c>
      <c r="P408" s="22"/>
      <c r="Q408" s="23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  <c r="CO408" s="47"/>
    </row>
    <row r="409" spans="1:93" outlineLevel="3" x14ac:dyDescent="0.25">
      <c r="A409" s="1" t="s">
        <v>92</v>
      </c>
      <c r="B409" s="1" t="s">
        <v>565</v>
      </c>
      <c r="C409" s="7" t="s">
        <v>326</v>
      </c>
      <c r="D409" s="8" t="s">
        <v>110</v>
      </c>
      <c r="E409" s="1"/>
      <c r="F409" s="1">
        <v>202</v>
      </c>
      <c r="G409" s="1">
        <v>208</v>
      </c>
      <c r="H409" s="1">
        <v>3</v>
      </c>
      <c r="I409" s="9">
        <v>46485.333333333343</v>
      </c>
      <c r="J409" s="9">
        <v>46505.666666666657</v>
      </c>
      <c r="K409" s="9"/>
      <c r="L409" s="9"/>
      <c r="M409" s="3">
        <f t="shared" si="354"/>
        <v>0.99999999999999978</v>
      </c>
      <c r="N409" s="3"/>
      <c r="O409" s="5">
        <f>SUMIFS($O$410:$O$411,$A$410:$A$411,"Activity",$D$410:$D$411,"P")</f>
        <v>100000</v>
      </c>
      <c r="P409" s="4"/>
      <c r="Q409" s="5"/>
      <c r="R409" s="45" t="str">
        <f t="shared" ref="R409:AW409" si="385">IF(COUNTIFS($A$411:$A$412,"Activity",$D$411:$D$412,"P",R$411:R$412,"&lt;&gt;")=0,"",IFERROR(SUMPRODUCT(--($A$411:$A$412="Activity"),--($D$411:$D$412="P"),$O$411:$O$412,R$411:R$412)/SUMPRODUCT(--($A$411:$A$412="Activity"),--($D$411:$D$412="P"),$O$411:$O$412),""))</f>
        <v/>
      </c>
      <c r="S409" s="45" t="str">
        <f t="shared" si="385"/>
        <v/>
      </c>
      <c r="T409" s="45" t="str">
        <f t="shared" si="385"/>
        <v/>
      </c>
      <c r="U409" s="45" t="str">
        <f t="shared" si="385"/>
        <v/>
      </c>
      <c r="V409" s="45" t="str">
        <f t="shared" si="385"/>
        <v/>
      </c>
      <c r="W409" s="45" t="str">
        <f t="shared" si="385"/>
        <v/>
      </c>
      <c r="X409" s="45" t="str">
        <f t="shared" si="385"/>
        <v/>
      </c>
      <c r="Y409" s="45" t="str">
        <f t="shared" si="385"/>
        <v/>
      </c>
      <c r="Z409" s="45" t="str">
        <f t="shared" si="385"/>
        <v/>
      </c>
      <c r="AA409" s="45" t="str">
        <f t="shared" si="385"/>
        <v/>
      </c>
      <c r="AB409" s="45" t="str">
        <f t="shared" si="385"/>
        <v/>
      </c>
      <c r="AC409" s="45" t="str">
        <f t="shared" si="385"/>
        <v/>
      </c>
      <c r="AD409" s="45" t="str">
        <f t="shared" si="385"/>
        <v/>
      </c>
      <c r="AE409" s="45" t="str">
        <f t="shared" si="385"/>
        <v/>
      </c>
      <c r="AF409" s="45" t="str">
        <f t="shared" si="385"/>
        <v/>
      </c>
      <c r="AG409" s="45" t="str">
        <f t="shared" si="385"/>
        <v/>
      </c>
      <c r="AH409" s="45" t="str">
        <f t="shared" si="385"/>
        <v/>
      </c>
      <c r="AI409" s="45" t="str">
        <f t="shared" si="385"/>
        <v/>
      </c>
      <c r="AJ409" s="45" t="str">
        <f t="shared" si="385"/>
        <v/>
      </c>
      <c r="AK409" s="45" t="str">
        <f t="shared" si="385"/>
        <v/>
      </c>
      <c r="AL409" s="45" t="str">
        <f t="shared" si="385"/>
        <v/>
      </c>
      <c r="AM409" s="45" t="str">
        <f t="shared" si="385"/>
        <v/>
      </c>
      <c r="AN409" s="45" t="str">
        <f t="shared" si="385"/>
        <v/>
      </c>
      <c r="AO409" s="45" t="str">
        <f t="shared" si="385"/>
        <v/>
      </c>
      <c r="AP409" s="45" t="str">
        <f t="shared" si="385"/>
        <v/>
      </c>
      <c r="AQ409" s="45" t="str">
        <f t="shared" si="385"/>
        <v/>
      </c>
      <c r="AR409" s="45" t="str">
        <f t="shared" si="385"/>
        <v/>
      </c>
      <c r="AS409" s="45" t="str">
        <f t="shared" si="385"/>
        <v/>
      </c>
      <c r="AT409" s="45" t="str">
        <f t="shared" si="385"/>
        <v/>
      </c>
      <c r="AU409" s="45" t="str">
        <f t="shared" si="385"/>
        <v/>
      </c>
      <c r="AV409" s="45" t="str">
        <f t="shared" si="385"/>
        <v/>
      </c>
      <c r="AW409" s="45" t="str">
        <f t="shared" si="385"/>
        <v/>
      </c>
      <c r="AX409" s="45" t="str">
        <f t="shared" ref="AX409:CC409" si="386">IF(COUNTIFS($A$411:$A$412,"Activity",$D$411:$D$412,"P",AX$411:AX$412,"&lt;&gt;")=0,"",IFERROR(SUMPRODUCT(--($A$411:$A$412="Activity"),--($D$411:$D$412="P"),$O$411:$O$412,AX$411:AX$412)/SUMPRODUCT(--($A$411:$A$412="Activity"),--($D$411:$D$412="P"),$O$411:$O$412),""))</f>
        <v/>
      </c>
      <c r="AY409" s="45" t="str">
        <f t="shared" si="386"/>
        <v/>
      </c>
      <c r="AZ409" s="45" t="str">
        <f t="shared" si="386"/>
        <v/>
      </c>
      <c r="BA409" s="45" t="str">
        <f t="shared" si="386"/>
        <v/>
      </c>
      <c r="BB409" s="45" t="str">
        <f t="shared" si="386"/>
        <v/>
      </c>
      <c r="BC409" s="45" t="str">
        <f t="shared" si="386"/>
        <v/>
      </c>
      <c r="BD409" s="45" t="str">
        <f t="shared" si="386"/>
        <v/>
      </c>
      <c r="BE409" s="45" t="str">
        <f t="shared" si="386"/>
        <v/>
      </c>
      <c r="BF409" s="45" t="str">
        <f t="shared" si="386"/>
        <v/>
      </c>
      <c r="BG409" s="45" t="str">
        <f t="shared" si="386"/>
        <v/>
      </c>
      <c r="BH409" s="45" t="str">
        <f t="shared" si="386"/>
        <v/>
      </c>
      <c r="BI409" s="45" t="str">
        <f t="shared" si="386"/>
        <v/>
      </c>
      <c r="BJ409" s="45" t="str">
        <f t="shared" si="386"/>
        <v/>
      </c>
      <c r="BK409" s="45" t="str">
        <f t="shared" si="386"/>
        <v/>
      </c>
      <c r="BL409" s="45" t="str">
        <f t="shared" si="386"/>
        <v/>
      </c>
      <c r="BM409" s="45" t="str">
        <f t="shared" si="386"/>
        <v/>
      </c>
      <c r="BN409" s="45" t="str">
        <f t="shared" si="386"/>
        <v/>
      </c>
      <c r="BO409" s="45" t="str">
        <f t="shared" si="386"/>
        <v/>
      </c>
      <c r="BP409" s="45" t="str">
        <f t="shared" si="386"/>
        <v/>
      </c>
      <c r="BQ409" s="45" t="str">
        <f t="shared" si="386"/>
        <v/>
      </c>
      <c r="BR409" s="45" t="str">
        <f t="shared" si="386"/>
        <v/>
      </c>
      <c r="BS409" s="45" t="str">
        <f t="shared" si="386"/>
        <v/>
      </c>
      <c r="BT409" s="45" t="str">
        <f t="shared" si="386"/>
        <v/>
      </c>
      <c r="BU409" s="45" t="str">
        <f t="shared" si="386"/>
        <v/>
      </c>
      <c r="BV409" s="45" t="str">
        <f t="shared" si="386"/>
        <v/>
      </c>
      <c r="BW409" s="45" t="str">
        <f t="shared" si="386"/>
        <v/>
      </c>
      <c r="BX409" s="45" t="str">
        <f t="shared" si="386"/>
        <v/>
      </c>
      <c r="BY409" s="45" t="str">
        <f t="shared" si="386"/>
        <v/>
      </c>
      <c r="BZ409" s="45" t="str">
        <f t="shared" si="386"/>
        <v/>
      </c>
      <c r="CA409" s="45" t="str">
        <f t="shared" si="386"/>
        <v/>
      </c>
      <c r="CB409" s="45" t="str">
        <f t="shared" si="386"/>
        <v/>
      </c>
      <c r="CC409" s="45">
        <f t="shared" si="386"/>
        <v>9.5238095238095233E-2</v>
      </c>
      <c r="CD409" s="45">
        <f t="shared" ref="CD409:CO409" si="387">IF(COUNTIFS($A$411:$A$412,"Activity",$D$411:$D$412,"P",CD$411:CD$412,"&lt;&gt;")=0,"",IFERROR(SUMPRODUCT(--($A$411:$A$412="Activity"),--($D$411:$D$412="P"),$O$411:$O$412,CD$411:CD$412)/SUMPRODUCT(--($A$411:$A$412="Activity"),--($D$411:$D$412="P"),$O$411:$O$412),""))</f>
        <v>0.33333333333333326</v>
      </c>
      <c r="CE409" s="45">
        <f t="shared" si="387"/>
        <v>0.33333333333333326</v>
      </c>
      <c r="CF409" s="45">
        <f t="shared" si="387"/>
        <v>0.23809523809523808</v>
      </c>
      <c r="CG409" s="45" t="str">
        <f t="shared" si="387"/>
        <v/>
      </c>
      <c r="CH409" s="45" t="str">
        <f t="shared" si="387"/>
        <v/>
      </c>
      <c r="CI409" s="45" t="str">
        <f t="shared" si="387"/>
        <v/>
      </c>
      <c r="CJ409" s="45" t="str">
        <f t="shared" si="387"/>
        <v/>
      </c>
      <c r="CK409" s="45" t="str">
        <f t="shared" si="387"/>
        <v/>
      </c>
      <c r="CL409" s="45" t="str">
        <f t="shared" si="387"/>
        <v/>
      </c>
      <c r="CM409" s="45" t="str">
        <f t="shared" si="387"/>
        <v/>
      </c>
      <c r="CN409" s="45" t="str">
        <f t="shared" si="387"/>
        <v/>
      </c>
      <c r="CO409" s="45" t="str">
        <f t="shared" si="387"/>
        <v/>
      </c>
    </row>
    <row r="410" spans="1:93" outlineLevel="3" x14ac:dyDescent="0.25">
      <c r="A410" s="1"/>
      <c r="B410" s="1"/>
      <c r="C410" s="7"/>
      <c r="D410" s="8" t="s">
        <v>111</v>
      </c>
      <c r="E410" s="1"/>
      <c r="F410" s="1"/>
      <c r="G410" s="1"/>
      <c r="H410" s="1"/>
      <c r="I410" s="9"/>
      <c r="J410" s="9"/>
      <c r="K410" s="9"/>
      <c r="L410" s="9"/>
      <c r="M410" s="3" t="str">
        <f t="shared" si="354"/>
        <v/>
      </c>
      <c r="N410" s="3"/>
      <c r="O410" s="46">
        <f>O409</f>
        <v>100000</v>
      </c>
      <c r="P410" s="4"/>
      <c r="Q410" s="5"/>
      <c r="R410" s="45" t="str">
        <f t="shared" ref="R410:AW410" si="388">IF(COUNTIFS($E$411:$E$412,"&lt;&gt;",$D$411:$D$412,"A",R$411:R$412,"&lt;&gt;")=0,"",IFERROR(SUMPRODUCT(--($E$411:$E$412&lt;&gt;""),--($D$411:$D$412="A"),$O$411:$O$412,R$411:R$412)/SUMPRODUCT(--($E$411:$E$412&lt;&gt;""),--($D$411:$D$412="A"),$O$411:$O$412),""))</f>
        <v/>
      </c>
      <c r="S410" s="45" t="str">
        <f t="shared" si="388"/>
        <v/>
      </c>
      <c r="T410" s="45" t="str">
        <f t="shared" si="388"/>
        <v/>
      </c>
      <c r="U410" s="45" t="str">
        <f t="shared" si="388"/>
        <v/>
      </c>
      <c r="V410" s="45" t="str">
        <f t="shared" si="388"/>
        <v/>
      </c>
      <c r="W410" s="45" t="str">
        <f t="shared" si="388"/>
        <v/>
      </c>
      <c r="X410" s="45" t="str">
        <f t="shared" si="388"/>
        <v/>
      </c>
      <c r="Y410" s="45" t="str">
        <f t="shared" si="388"/>
        <v/>
      </c>
      <c r="Z410" s="45" t="str">
        <f t="shared" si="388"/>
        <v/>
      </c>
      <c r="AA410" s="45" t="str">
        <f t="shared" si="388"/>
        <v/>
      </c>
      <c r="AB410" s="45" t="str">
        <f t="shared" si="388"/>
        <v/>
      </c>
      <c r="AC410" s="45" t="str">
        <f t="shared" si="388"/>
        <v/>
      </c>
      <c r="AD410" s="45" t="str">
        <f t="shared" si="388"/>
        <v/>
      </c>
      <c r="AE410" s="45" t="str">
        <f t="shared" si="388"/>
        <v/>
      </c>
      <c r="AF410" s="45" t="str">
        <f t="shared" si="388"/>
        <v/>
      </c>
      <c r="AG410" s="45" t="str">
        <f t="shared" si="388"/>
        <v/>
      </c>
      <c r="AH410" s="45" t="str">
        <f t="shared" si="388"/>
        <v/>
      </c>
      <c r="AI410" s="45" t="str">
        <f t="shared" si="388"/>
        <v/>
      </c>
      <c r="AJ410" s="45" t="str">
        <f t="shared" si="388"/>
        <v/>
      </c>
      <c r="AK410" s="45" t="str">
        <f t="shared" si="388"/>
        <v/>
      </c>
      <c r="AL410" s="45" t="str">
        <f t="shared" si="388"/>
        <v/>
      </c>
      <c r="AM410" s="45" t="str">
        <f t="shared" si="388"/>
        <v/>
      </c>
      <c r="AN410" s="45" t="str">
        <f t="shared" si="388"/>
        <v/>
      </c>
      <c r="AO410" s="45" t="str">
        <f t="shared" si="388"/>
        <v/>
      </c>
      <c r="AP410" s="45" t="str">
        <f t="shared" si="388"/>
        <v/>
      </c>
      <c r="AQ410" s="45" t="str">
        <f t="shared" si="388"/>
        <v/>
      </c>
      <c r="AR410" s="45" t="str">
        <f t="shared" si="388"/>
        <v/>
      </c>
      <c r="AS410" s="45" t="str">
        <f t="shared" si="388"/>
        <v/>
      </c>
      <c r="AT410" s="45" t="str">
        <f t="shared" si="388"/>
        <v/>
      </c>
      <c r="AU410" s="45" t="str">
        <f t="shared" si="388"/>
        <v/>
      </c>
      <c r="AV410" s="45" t="str">
        <f t="shared" si="388"/>
        <v/>
      </c>
      <c r="AW410" s="45" t="str">
        <f t="shared" si="388"/>
        <v/>
      </c>
      <c r="AX410" s="45" t="str">
        <f t="shared" ref="AX410:CC410" si="389">IF(COUNTIFS($E$411:$E$412,"&lt;&gt;",$D$411:$D$412,"A",AX$411:AX$412,"&lt;&gt;")=0,"",IFERROR(SUMPRODUCT(--($E$411:$E$412&lt;&gt;""),--($D$411:$D$412="A"),$O$411:$O$412,AX$411:AX$412)/SUMPRODUCT(--($E$411:$E$412&lt;&gt;""),--($D$411:$D$412="A"),$O$411:$O$412),""))</f>
        <v/>
      </c>
      <c r="AY410" s="45" t="str">
        <f t="shared" si="389"/>
        <v/>
      </c>
      <c r="AZ410" s="45" t="str">
        <f t="shared" si="389"/>
        <v/>
      </c>
      <c r="BA410" s="45" t="str">
        <f t="shared" si="389"/>
        <v/>
      </c>
      <c r="BB410" s="45" t="str">
        <f t="shared" si="389"/>
        <v/>
      </c>
      <c r="BC410" s="45" t="str">
        <f t="shared" si="389"/>
        <v/>
      </c>
      <c r="BD410" s="45" t="str">
        <f t="shared" si="389"/>
        <v/>
      </c>
      <c r="BE410" s="45" t="str">
        <f t="shared" si="389"/>
        <v/>
      </c>
      <c r="BF410" s="45" t="str">
        <f t="shared" si="389"/>
        <v/>
      </c>
      <c r="BG410" s="45" t="str">
        <f t="shared" si="389"/>
        <v/>
      </c>
      <c r="BH410" s="45" t="str">
        <f t="shared" si="389"/>
        <v/>
      </c>
      <c r="BI410" s="45" t="str">
        <f t="shared" si="389"/>
        <v/>
      </c>
      <c r="BJ410" s="45" t="str">
        <f t="shared" si="389"/>
        <v/>
      </c>
      <c r="BK410" s="45" t="str">
        <f t="shared" si="389"/>
        <v/>
      </c>
      <c r="BL410" s="45" t="str">
        <f t="shared" si="389"/>
        <v/>
      </c>
      <c r="BM410" s="45" t="str">
        <f t="shared" si="389"/>
        <v/>
      </c>
      <c r="BN410" s="45" t="str">
        <f t="shared" si="389"/>
        <v/>
      </c>
      <c r="BO410" s="45" t="str">
        <f t="shared" si="389"/>
        <v/>
      </c>
      <c r="BP410" s="45" t="str">
        <f t="shared" si="389"/>
        <v/>
      </c>
      <c r="BQ410" s="45" t="str">
        <f t="shared" si="389"/>
        <v/>
      </c>
      <c r="BR410" s="45" t="str">
        <f t="shared" si="389"/>
        <v/>
      </c>
      <c r="BS410" s="45" t="str">
        <f t="shared" si="389"/>
        <v/>
      </c>
      <c r="BT410" s="45" t="str">
        <f t="shared" si="389"/>
        <v/>
      </c>
      <c r="BU410" s="45" t="str">
        <f t="shared" si="389"/>
        <v/>
      </c>
      <c r="BV410" s="45" t="str">
        <f t="shared" si="389"/>
        <v/>
      </c>
      <c r="BW410" s="45" t="str">
        <f t="shared" si="389"/>
        <v/>
      </c>
      <c r="BX410" s="45" t="str">
        <f t="shared" si="389"/>
        <v/>
      </c>
      <c r="BY410" s="45" t="str">
        <f t="shared" si="389"/>
        <v/>
      </c>
      <c r="BZ410" s="45" t="str">
        <f t="shared" si="389"/>
        <v/>
      </c>
      <c r="CA410" s="45" t="str">
        <f t="shared" si="389"/>
        <v/>
      </c>
      <c r="CB410" s="45" t="str">
        <f t="shared" si="389"/>
        <v/>
      </c>
      <c r="CC410" s="45" t="str">
        <f t="shared" si="389"/>
        <v/>
      </c>
      <c r="CD410" s="45" t="str">
        <f t="shared" ref="CD410:CO410" si="390">IF(COUNTIFS($E$411:$E$412,"&lt;&gt;",$D$411:$D$412,"A",CD$411:CD$412,"&lt;&gt;")=0,"",IFERROR(SUMPRODUCT(--($E$411:$E$412&lt;&gt;""),--($D$411:$D$412="A"),$O$411:$O$412,CD$411:CD$412)/SUMPRODUCT(--($E$411:$E$412&lt;&gt;""),--($D$411:$D$412="A"),$O$411:$O$412),""))</f>
        <v/>
      </c>
      <c r="CE410" s="45" t="str">
        <f t="shared" si="390"/>
        <v/>
      </c>
      <c r="CF410" s="45" t="str">
        <f t="shared" si="390"/>
        <v/>
      </c>
      <c r="CG410" s="45" t="str">
        <f t="shared" si="390"/>
        <v/>
      </c>
      <c r="CH410" s="45" t="str">
        <f t="shared" si="390"/>
        <v/>
      </c>
      <c r="CI410" s="45" t="str">
        <f t="shared" si="390"/>
        <v/>
      </c>
      <c r="CJ410" s="45" t="str">
        <f t="shared" si="390"/>
        <v/>
      </c>
      <c r="CK410" s="45" t="str">
        <f t="shared" si="390"/>
        <v/>
      </c>
      <c r="CL410" s="45" t="str">
        <f t="shared" si="390"/>
        <v/>
      </c>
      <c r="CM410" s="45" t="str">
        <f t="shared" si="390"/>
        <v/>
      </c>
      <c r="CN410" s="45" t="str">
        <f t="shared" si="390"/>
        <v/>
      </c>
      <c r="CO410" s="45" t="str">
        <f t="shared" si="390"/>
        <v/>
      </c>
    </row>
    <row r="411" spans="1:93" outlineLevel="4" x14ac:dyDescent="0.25">
      <c r="A411" s="10" t="s">
        <v>116</v>
      </c>
      <c r="B411" s="10" t="s">
        <v>566</v>
      </c>
      <c r="C411" s="24" t="s">
        <v>567</v>
      </c>
      <c r="D411" s="12" t="s">
        <v>110</v>
      </c>
      <c r="E411" s="10" t="s">
        <v>568</v>
      </c>
      <c r="F411" s="10">
        <v>203</v>
      </c>
      <c r="G411" s="10">
        <v>114</v>
      </c>
      <c r="H411" s="10">
        <v>4</v>
      </c>
      <c r="I411" s="13">
        <v>46485.333333333343</v>
      </c>
      <c r="J411" s="13">
        <v>46505.666666666657</v>
      </c>
      <c r="K411" s="13"/>
      <c r="L411" s="13"/>
      <c r="M411" s="14">
        <f t="shared" si="354"/>
        <v>1</v>
      </c>
      <c r="N411" s="14"/>
      <c r="O411" s="16">
        <v>100000</v>
      </c>
      <c r="P411" s="15">
        <v>1.7333333333333329</v>
      </c>
      <c r="Q411" s="16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>
        <v>9.5238095238095233E-2</v>
      </c>
      <c r="CD411" s="47">
        <v>0.33333333333333331</v>
      </c>
      <c r="CE411" s="47">
        <v>0.33333333333333331</v>
      </c>
      <c r="CF411" s="47">
        <v>0.23809523809523811</v>
      </c>
      <c r="CG411" s="47"/>
      <c r="CH411" s="47"/>
      <c r="CI411" s="47"/>
      <c r="CJ411" s="47"/>
      <c r="CK411" s="47"/>
      <c r="CL411" s="47"/>
      <c r="CM411" s="47"/>
      <c r="CN411" s="47"/>
      <c r="CO411" s="47"/>
    </row>
    <row r="412" spans="1:93" outlineLevel="4" x14ac:dyDescent="0.25">
      <c r="A412" s="17"/>
      <c r="B412" s="17"/>
      <c r="C412" s="25"/>
      <c r="D412" s="19" t="s">
        <v>111</v>
      </c>
      <c r="E412" s="17" t="s">
        <v>568</v>
      </c>
      <c r="F412" s="17"/>
      <c r="G412" s="17"/>
      <c r="H412" s="17"/>
      <c r="I412" s="20"/>
      <c r="J412" s="20"/>
      <c r="K412" s="20"/>
      <c r="L412" s="20"/>
      <c r="M412" s="21" t="str">
        <f t="shared" si="354"/>
        <v/>
      </c>
      <c r="N412" s="21">
        <v>0</v>
      </c>
      <c r="O412" s="48">
        <f>O411</f>
        <v>100000</v>
      </c>
      <c r="P412" s="22"/>
      <c r="Q412" s="23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</row>
    <row r="413" spans="1:93" outlineLevel="2" x14ac:dyDescent="0.25">
      <c r="A413" s="1" t="s">
        <v>92</v>
      </c>
      <c r="B413" s="1" t="s">
        <v>569</v>
      </c>
      <c r="C413" s="6" t="s">
        <v>129</v>
      </c>
      <c r="D413" s="8" t="s">
        <v>110</v>
      </c>
      <c r="E413" s="1"/>
      <c r="F413" s="1">
        <v>204</v>
      </c>
      <c r="G413" s="1">
        <v>209</v>
      </c>
      <c r="H413" s="1">
        <v>2</v>
      </c>
      <c r="I413" s="9">
        <v>46444.333333333343</v>
      </c>
      <c r="J413" s="9">
        <v>46499.666666666657</v>
      </c>
      <c r="K413" s="9"/>
      <c r="L413" s="9"/>
      <c r="M413" s="3">
        <f t="shared" si="354"/>
        <v>1.0000000000000002</v>
      </c>
      <c r="N413" s="3"/>
      <c r="O413" s="5">
        <f>SUMIFS($O$414:$O$423,$A$414:$A$423,"Activity",$D$414:$D$423,"P")</f>
        <v>300000</v>
      </c>
      <c r="P413" s="4"/>
      <c r="Q413" s="5"/>
      <c r="R413" s="45" t="str">
        <f t="shared" ref="R413:AW413" si="391">IF(COUNTIFS($A$415:$A$424,"Activity",$D$415:$D$424,"P",R$415:R$424,"&lt;&gt;")=0,"",IFERROR(SUMPRODUCT(--($A$415:$A$424="Activity"),--($D$415:$D$424="P"),$O$415:$O$424,R$415:R$424)/SUMPRODUCT(--($A$415:$A$424="Activity"),--($D$415:$D$424="P"),$O$415:$O$424),""))</f>
        <v/>
      </c>
      <c r="S413" s="45" t="str">
        <f t="shared" si="391"/>
        <v/>
      </c>
      <c r="T413" s="45" t="str">
        <f t="shared" si="391"/>
        <v/>
      </c>
      <c r="U413" s="45" t="str">
        <f t="shared" si="391"/>
        <v/>
      </c>
      <c r="V413" s="45" t="str">
        <f t="shared" si="391"/>
        <v/>
      </c>
      <c r="W413" s="45" t="str">
        <f t="shared" si="391"/>
        <v/>
      </c>
      <c r="X413" s="45" t="str">
        <f t="shared" si="391"/>
        <v/>
      </c>
      <c r="Y413" s="45" t="str">
        <f t="shared" si="391"/>
        <v/>
      </c>
      <c r="Z413" s="45" t="str">
        <f t="shared" si="391"/>
        <v/>
      </c>
      <c r="AA413" s="45" t="str">
        <f t="shared" si="391"/>
        <v/>
      </c>
      <c r="AB413" s="45" t="str">
        <f t="shared" si="391"/>
        <v/>
      </c>
      <c r="AC413" s="45" t="str">
        <f t="shared" si="391"/>
        <v/>
      </c>
      <c r="AD413" s="45" t="str">
        <f t="shared" si="391"/>
        <v/>
      </c>
      <c r="AE413" s="45" t="str">
        <f t="shared" si="391"/>
        <v/>
      </c>
      <c r="AF413" s="45" t="str">
        <f t="shared" si="391"/>
        <v/>
      </c>
      <c r="AG413" s="45" t="str">
        <f t="shared" si="391"/>
        <v/>
      </c>
      <c r="AH413" s="45" t="str">
        <f t="shared" si="391"/>
        <v/>
      </c>
      <c r="AI413" s="45" t="str">
        <f t="shared" si="391"/>
        <v/>
      </c>
      <c r="AJ413" s="45" t="str">
        <f t="shared" si="391"/>
        <v/>
      </c>
      <c r="AK413" s="45" t="str">
        <f t="shared" si="391"/>
        <v/>
      </c>
      <c r="AL413" s="45" t="str">
        <f t="shared" si="391"/>
        <v/>
      </c>
      <c r="AM413" s="45" t="str">
        <f t="shared" si="391"/>
        <v/>
      </c>
      <c r="AN413" s="45" t="str">
        <f t="shared" si="391"/>
        <v/>
      </c>
      <c r="AO413" s="45" t="str">
        <f t="shared" si="391"/>
        <v/>
      </c>
      <c r="AP413" s="45" t="str">
        <f t="shared" si="391"/>
        <v/>
      </c>
      <c r="AQ413" s="45" t="str">
        <f t="shared" si="391"/>
        <v/>
      </c>
      <c r="AR413" s="45" t="str">
        <f t="shared" si="391"/>
        <v/>
      </c>
      <c r="AS413" s="45" t="str">
        <f t="shared" si="391"/>
        <v/>
      </c>
      <c r="AT413" s="45" t="str">
        <f t="shared" si="391"/>
        <v/>
      </c>
      <c r="AU413" s="45" t="str">
        <f t="shared" si="391"/>
        <v/>
      </c>
      <c r="AV413" s="45" t="str">
        <f t="shared" si="391"/>
        <v/>
      </c>
      <c r="AW413" s="45" t="str">
        <f t="shared" si="391"/>
        <v/>
      </c>
      <c r="AX413" s="45" t="str">
        <f t="shared" ref="AX413:CC413" si="392">IF(COUNTIFS($A$415:$A$424,"Activity",$D$415:$D$424,"P",AX$415:AX$424,"&lt;&gt;")=0,"",IFERROR(SUMPRODUCT(--($A$415:$A$424="Activity"),--($D$415:$D$424="P"),$O$415:$O$424,AX$415:AX$424)/SUMPRODUCT(--($A$415:$A$424="Activity"),--($D$415:$D$424="P"),$O$415:$O$424),""))</f>
        <v/>
      </c>
      <c r="AY413" s="45" t="str">
        <f t="shared" si="392"/>
        <v/>
      </c>
      <c r="AZ413" s="45" t="str">
        <f t="shared" si="392"/>
        <v/>
      </c>
      <c r="BA413" s="45" t="str">
        <f t="shared" si="392"/>
        <v/>
      </c>
      <c r="BB413" s="45" t="str">
        <f t="shared" si="392"/>
        <v/>
      </c>
      <c r="BC413" s="45" t="str">
        <f t="shared" si="392"/>
        <v/>
      </c>
      <c r="BD413" s="45" t="str">
        <f t="shared" si="392"/>
        <v/>
      </c>
      <c r="BE413" s="45" t="str">
        <f t="shared" si="392"/>
        <v/>
      </c>
      <c r="BF413" s="45" t="str">
        <f t="shared" si="392"/>
        <v/>
      </c>
      <c r="BG413" s="45" t="str">
        <f t="shared" si="392"/>
        <v/>
      </c>
      <c r="BH413" s="45" t="str">
        <f t="shared" si="392"/>
        <v/>
      </c>
      <c r="BI413" s="45" t="str">
        <f t="shared" si="392"/>
        <v/>
      </c>
      <c r="BJ413" s="45" t="str">
        <f t="shared" si="392"/>
        <v/>
      </c>
      <c r="BK413" s="45" t="str">
        <f t="shared" si="392"/>
        <v/>
      </c>
      <c r="BL413" s="45" t="str">
        <f t="shared" si="392"/>
        <v/>
      </c>
      <c r="BM413" s="45" t="str">
        <f t="shared" si="392"/>
        <v/>
      </c>
      <c r="BN413" s="45" t="str">
        <f t="shared" si="392"/>
        <v/>
      </c>
      <c r="BO413" s="45" t="str">
        <f t="shared" si="392"/>
        <v/>
      </c>
      <c r="BP413" s="45" t="str">
        <f t="shared" si="392"/>
        <v/>
      </c>
      <c r="BQ413" s="45" t="str">
        <f t="shared" si="392"/>
        <v/>
      </c>
      <c r="BR413" s="45" t="str">
        <f t="shared" si="392"/>
        <v/>
      </c>
      <c r="BS413" s="45" t="str">
        <f t="shared" si="392"/>
        <v/>
      </c>
      <c r="BT413" s="45" t="str">
        <f t="shared" si="392"/>
        <v/>
      </c>
      <c r="BU413" s="45" t="str">
        <f t="shared" si="392"/>
        <v/>
      </c>
      <c r="BV413" s="45" t="str">
        <f t="shared" si="392"/>
        <v/>
      </c>
      <c r="BW413" s="45">
        <f t="shared" si="392"/>
        <v>1.1904761904761908E-2</v>
      </c>
      <c r="BX413" s="45">
        <f t="shared" si="392"/>
        <v>8.333333333333337E-2</v>
      </c>
      <c r="BY413" s="45">
        <f t="shared" si="392"/>
        <v>8.333333333333337E-2</v>
      </c>
      <c r="BZ413" s="45">
        <f t="shared" si="392"/>
        <v>8.333333333333337E-2</v>
      </c>
      <c r="CA413" s="45">
        <f t="shared" si="392"/>
        <v>9.5238095238095219E-2</v>
      </c>
      <c r="CB413" s="45">
        <f t="shared" si="392"/>
        <v>0.16666666666666674</v>
      </c>
      <c r="CC413" s="45">
        <f t="shared" si="392"/>
        <v>0.16666666666666674</v>
      </c>
      <c r="CD413" s="45">
        <f t="shared" ref="CD413:CO413" si="393">IF(COUNTIFS($A$415:$A$424,"Activity",$D$415:$D$424,"P",CD$415:CD$424,"&lt;&gt;")=0,"",IFERROR(SUMPRODUCT(--($A$415:$A$424="Activity"),--($D$415:$D$424="P"),$O$415:$O$424,CD$415:CD$424)/SUMPRODUCT(--($A$415:$A$424="Activity"),--($D$415:$D$424="P"),$O$415:$O$424),""))</f>
        <v>0.16666666666666674</v>
      </c>
      <c r="CE413" s="45">
        <f t="shared" si="393"/>
        <v>0.14285714285714279</v>
      </c>
      <c r="CF413" s="45" t="str">
        <f t="shared" si="393"/>
        <v/>
      </c>
      <c r="CG413" s="45" t="str">
        <f t="shared" si="393"/>
        <v/>
      </c>
      <c r="CH413" s="45" t="str">
        <f t="shared" si="393"/>
        <v/>
      </c>
      <c r="CI413" s="45" t="str">
        <f t="shared" si="393"/>
        <v/>
      </c>
      <c r="CJ413" s="45" t="str">
        <f t="shared" si="393"/>
        <v/>
      </c>
      <c r="CK413" s="45" t="str">
        <f t="shared" si="393"/>
        <v/>
      </c>
      <c r="CL413" s="45" t="str">
        <f t="shared" si="393"/>
        <v/>
      </c>
      <c r="CM413" s="45" t="str">
        <f t="shared" si="393"/>
        <v/>
      </c>
      <c r="CN413" s="45" t="str">
        <f t="shared" si="393"/>
        <v/>
      </c>
      <c r="CO413" s="45" t="str">
        <f t="shared" si="393"/>
        <v/>
      </c>
    </row>
    <row r="414" spans="1:93" outlineLevel="2" x14ac:dyDescent="0.25">
      <c r="A414" s="1"/>
      <c r="B414" s="1"/>
      <c r="C414" s="6"/>
      <c r="D414" s="8" t="s">
        <v>111</v>
      </c>
      <c r="E414" s="1"/>
      <c r="F414" s="1"/>
      <c r="G414" s="1"/>
      <c r="H414" s="1"/>
      <c r="I414" s="9"/>
      <c r="J414" s="9"/>
      <c r="K414" s="9"/>
      <c r="L414" s="9"/>
      <c r="M414" s="3" t="str">
        <f t="shared" si="354"/>
        <v/>
      </c>
      <c r="N414" s="3"/>
      <c r="O414" s="46">
        <f>O413</f>
        <v>300000</v>
      </c>
      <c r="P414" s="4"/>
      <c r="Q414" s="5"/>
      <c r="R414" s="45" t="str">
        <f t="shared" ref="R414:AW414" si="394">IF(COUNTIFS($E$415:$E$424,"&lt;&gt;",$D$415:$D$424,"A",R$415:R$424,"&lt;&gt;")=0,"",IFERROR(SUMPRODUCT(--($E$415:$E$424&lt;&gt;""),--($D$415:$D$424="A"),$O$415:$O$424,R$415:R$424)/SUMPRODUCT(--($E$415:$E$424&lt;&gt;""),--($D$415:$D$424="A"),$O$415:$O$424),""))</f>
        <v/>
      </c>
      <c r="S414" s="45" t="str">
        <f t="shared" si="394"/>
        <v/>
      </c>
      <c r="T414" s="45" t="str">
        <f t="shared" si="394"/>
        <v/>
      </c>
      <c r="U414" s="45" t="str">
        <f t="shared" si="394"/>
        <v/>
      </c>
      <c r="V414" s="45" t="str">
        <f t="shared" si="394"/>
        <v/>
      </c>
      <c r="W414" s="45" t="str">
        <f t="shared" si="394"/>
        <v/>
      </c>
      <c r="X414" s="45" t="str">
        <f t="shared" si="394"/>
        <v/>
      </c>
      <c r="Y414" s="45" t="str">
        <f t="shared" si="394"/>
        <v/>
      </c>
      <c r="Z414" s="45" t="str">
        <f t="shared" si="394"/>
        <v/>
      </c>
      <c r="AA414" s="45" t="str">
        <f t="shared" si="394"/>
        <v/>
      </c>
      <c r="AB414" s="45" t="str">
        <f t="shared" si="394"/>
        <v/>
      </c>
      <c r="AC414" s="45" t="str">
        <f t="shared" si="394"/>
        <v/>
      </c>
      <c r="AD414" s="45" t="str">
        <f t="shared" si="394"/>
        <v/>
      </c>
      <c r="AE414" s="45" t="str">
        <f t="shared" si="394"/>
        <v/>
      </c>
      <c r="AF414" s="45" t="str">
        <f t="shared" si="394"/>
        <v/>
      </c>
      <c r="AG414" s="45" t="str">
        <f t="shared" si="394"/>
        <v/>
      </c>
      <c r="AH414" s="45" t="str">
        <f t="shared" si="394"/>
        <v/>
      </c>
      <c r="AI414" s="45" t="str">
        <f t="shared" si="394"/>
        <v/>
      </c>
      <c r="AJ414" s="45" t="str">
        <f t="shared" si="394"/>
        <v/>
      </c>
      <c r="AK414" s="45" t="str">
        <f t="shared" si="394"/>
        <v/>
      </c>
      <c r="AL414" s="45" t="str">
        <f t="shared" si="394"/>
        <v/>
      </c>
      <c r="AM414" s="45" t="str">
        <f t="shared" si="394"/>
        <v/>
      </c>
      <c r="AN414" s="45" t="str">
        <f t="shared" si="394"/>
        <v/>
      </c>
      <c r="AO414" s="45" t="str">
        <f t="shared" si="394"/>
        <v/>
      </c>
      <c r="AP414" s="45" t="str">
        <f t="shared" si="394"/>
        <v/>
      </c>
      <c r="AQ414" s="45" t="str">
        <f t="shared" si="394"/>
        <v/>
      </c>
      <c r="AR414" s="45" t="str">
        <f t="shared" si="394"/>
        <v/>
      </c>
      <c r="AS414" s="45" t="str">
        <f t="shared" si="394"/>
        <v/>
      </c>
      <c r="AT414" s="45" t="str">
        <f t="shared" si="394"/>
        <v/>
      </c>
      <c r="AU414" s="45" t="str">
        <f t="shared" si="394"/>
        <v/>
      </c>
      <c r="AV414" s="45" t="str">
        <f t="shared" si="394"/>
        <v/>
      </c>
      <c r="AW414" s="45" t="str">
        <f t="shared" si="394"/>
        <v/>
      </c>
      <c r="AX414" s="45" t="str">
        <f t="shared" ref="AX414:CC414" si="395">IF(COUNTIFS($E$415:$E$424,"&lt;&gt;",$D$415:$D$424,"A",AX$415:AX$424,"&lt;&gt;")=0,"",IFERROR(SUMPRODUCT(--($E$415:$E$424&lt;&gt;""),--($D$415:$D$424="A"),$O$415:$O$424,AX$415:AX$424)/SUMPRODUCT(--($E$415:$E$424&lt;&gt;""),--($D$415:$D$424="A"),$O$415:$O$424),""))</f>
        <v/>
      </c>
      <c r="AY414" s="45" t="str">
        <f t="shared" si="395"/>
        <v/>
      </c>
      <c r="AZ414" s="45" t="str">
        <f t="shared" si="395"/>
        <v/>
      </c>
      <c r="BA414" s="45" t="str">
        <f t="shared" si="395"/>
        <v/>
      </c>
      <c r="BB414" s="45" t="str">
        <f t="shared" si="395"/>
        <v/>
      </c>
      <c r="BC414" s="45" t="str">
        <f t="shared" si="395"/>
        <v/>
      </c>
      <c r="BD414" s="45" t="str">
        <f t="shared" si="395"/>
        <v/>
      </c>
      <c r="BE414" s="45" t="str">
        <f t="shared" si="395"/>
        <v/>
      </c>
      <c r="BF414" s="45" t="str">
        <f t="shared" si="395"/>
        <v/>
      </c>
      <c r="BG414" s="45" t="str">
        <f t="shared" si="395"/>
        <v/>
      </c>
      <c r="BH414" s="45" t="str">
        <f t="shared" si="395"/>
        <v/>
      </c>
      <c r="BI414" s="45" t="str">
        <f t="shared" si="395"/>
        <v/>
      </c>
      <c r="BJ414" s="45" t="str">
        <f t="shared" si="395"/>
        <v/>
      </c>
      <c r="BK414" s="45" t="str">
        <f t="shared" si="395"/>
        <v/>
      </c>
      <c r="BL414" s="45" t="str">
        <f t="shared" si="395"/>
        <v/>
      </c>
      <c r="BM414" s="45" t="str">
        <f t="shared" si="395"/>
        <v/>
      </c>
      <c r="BN414" s="45" t="str">
        <f t="shared" si="395"/>
        <v/>
      </c>
      <c r="BO414" s="45" t="str">
        <f t="shared" si="395"/>
        <v/>
      </c>
      <c r="BP414" s="45" t="str">
        <f t="shared" si="395"/>
        <v/>
      </c>
      <c r="BQ414" s="45" t="str">
        <f t="shared" si="395"/>
        <v/>
      </c>
      <c r="BR414" s="45" t="str">
        <f t="shared" si="395"/>
        <v/>
      </c>
      <c r="BS414" s="45" t="str">
        <f t="shared" si="395"/>
        <v/>
      </c>
      <c r="BT414" s="45" t="str">
        <f t="shared" si="395"/>
        <v/>
      </c>
      <c r="BU414" s="45" t="str">
        <f t="shared" si="395"/>
        <v/>
      </c>
      <c r="BV414" s="45" t="str">
        <f t="shared" si="395"/>
        <v/>
      </c>
      <c r="BW414" s="45" t="str">
        <f t="shared" si="395"/>
        <v/>
      </c>
      <c r="BX414" s="45" t="str">
        <f t="shared" si="395"/>
        <v/>
      </c>
      <c r="BY414" s="45" t="str">
        <f t="shared" si="395"/>
        <v/>
      </c>
      <c r="BZ414" s="45" t="str">
        <f t="shared" si="395"/>
        <v/>
      </c>
      <c r="CA414" s="45" t="str">
        <f t="shared" si="395"/>
        <v/>
      </c>
      <c r="CB414" s="45" t="str">
        <f t="shared" si="395"/>
        <v/>
      </c>
      <c r="CC414" s="45" t="str">
        <f t="shared" si="395"/>
        <v/>
      </c>
      <c r="CD414" s="45" t="str">
        <f t="shared" ref="CD414:CO414" si="396">IF(COUNTIFS($E$415:$E$424,"&lt;&gt;",$D$415:$D$424,"A",CD$415:CD$424,"&lt;&gt;")=0,"",IFERROR(SUMPRODUCT(--($E$415:$E$424&lt;&gt;""),--($D$415:$D$424="A"),$O$415:$O$424,CD$415:CD$424)/SUMPRODUCT(--($E$415:$E$424&lt;&gt;""),--($D$415:$D$424="A"),$O$415:$O$424),""))</f>
        <v/>
      </c>
      <c r="CE414" s="45" t="str">
        <f t="shared" si="396"/>
        <v/>
      </c>
      <c r="CF414" s="45" t="str">
        <f t="shared" si="396"/>
        <v/>
      </c>
      <c r="CG414" s="45" t="str">
        <f t="shared" si="396"/>
        <v/>
      </c>
      <c r="CH414" s="45" t="str">
        <f t="shared" si="396"/>
        <v/>
      </c>
      <c r="CI414" s="45" t="str">
        <f t="shared" si="396"/>
        <v/>
      </c>
      <c r="CJ414" s="45" t="str">
        <f t="shared" si="396"/>
        <v/>
      </c>
      <c r="CK414" s="45" t="str">
        <f t="shared" si="396"/>
        <v/>
      </c>
      <c r="CL414" s="45" t="str">
        <f t="shared" si="396"/>
        <v/>
      </c>
      <c r="CM414" s="45" t="str">
        <f t="shared" si="396"/>
        <v/>
      </c>
      <c r="CN414" s="45" t="str">
        <f t="shared" si="396"/>
        <v/>
      </c>
      <c r="CO414" s="45" t="str">
        <f t="shared" si="396"/>
        <v/>
      </c>
    </row>
    <row r="415" spans="1:93" outlineLevel="3" x14ac:dyDescent="0.25">
      <c r="A415" s="1" t="s">
        <v>92</v>
      </c>
      <c r="B415" s="1" t="s">
        <v>570</v>
      </c>
      <c r="C415" s="7" t="s">
        <v>315</v>
      </c>
      <c r="D415" s="8" t="s">
        <v>110</v>
      </c>
      <c r="E415" s="1"/>
      <c r="F415" s="1">
        <v>205</v>
      </c>
      <c r="G415" s="1">
        <v>210</v>
      </c>
      <c r="H415" s="1">
        <v>3</v>
      </c>
      <c r="I415" s="9">
        <v>46444.333333333343</v>
      </c>
      <c r="J415" s="9">
        <v>46471.666666666657</v>
      </c>
      <c r="K415" s="9"/>
      <c r="L415" s="9"/>
      <c r="M415" s="3">
        <f t="shared" si="354"/>
        <v>1.0000000000000002</v>
      </c>
      <c r="N415" s="3"/>
      <c r="O415" s="5">
        <f>SUMIFS($O$416:$O$417,$A$416:$A$417,"Activity",$D$416:$D$417,"P")</f>
        <v>100000</v>
      </c>
      <c r="P415" s="4"/>
      <c r="Q415" s="5"/>
      <c r="R415" s="45" t="str">
        <f t="shared" ref="R415:AW415" si="397">IF(COUNTIFS($A$417:$A$418,"Activity",$D$417:$D$418,"P",R$417:R$418,"&lt;&gt;")=0,"",IFERROR(SUMPRODUCT(--($A$417:$A$418="Activity"),--($D$417:$D$418="P"),$O$417:$O$418,R$417:R$418)/SUMPRODUCT(--($A$417:$A$418="Activity"),--($D$417:$D$418="P"),$O$417:$O$418),""))</f>
        <v/>
      </c>
      <c r="S415" s="45" t="str">
        <f t="shared" si="397"/>
        <v/>
      </c>
      <c r="T415" s="45" t="str">
        <f t="shared" si="397"/>
        <v/>
      </c>
      <c r="U415" s="45" t="str">
        <f t="shared" si="397"/>
        <v/>
      </c>
      <c r="V415" s="45" t="str">
        <f t="shared" si="397"/>
        <v/>
      </c>
      <c r="W415" s="45" t="str">
        <f t="shared" si="397"/>
        <v/>
      </c>
      <c r="X415" s="45" t="str">
        <f t="shared" si="397"/>
        <v/>
      </c>
      <c r="Y415" s="45" t="str">
        <f t="shared" si="397"/>
        <v/>
      </c>
      <c r="Z415" s="45" t="str">
        <f t="shared" si="397"/>
        <v/>
      </c>
      <c r="AA415" s="45" t="str">
        <f t="shared" si="397"/>
        <v/>
      </c>
      <c r="AB415" s="45" t="str">
        <f t="shared" si="397"/>
        <v/>
      </c>
      <c r="AC415" s="45" t="str">
        <f t="shared" si="397"/>
        <v/>
      </c>
      <c r="AD415" s="45" t="str">
        <f t="shared" si="397"/>
        <v/>
      </c>
      <c r="AE415" s="45" t="str">
        <f t="shared" si="397"/>
        <v/>
      </c>
      <c r="AF415" s="45" t="str">
        <f t="shared" si="397"/>
        <v/>
      </c>
      <c r="AG415" s="45" t="str">
        <f t="shared" si="397"/>
        <v/>
      </c>
      <c r="AH415" s="45" t="str">
        <f t="shared" si="397"/>
        <v/>
      </c>
      <c r="AI415" s="45" t="str">
        <f t="shared" si="397"/>
        <v/>
      </c>
      <c r="AJ415" s="45" t="str">
        <f t="shared" si="397"/>
        <v/>
      </c>
      <c r="AK415" s="45" t="str">
        <f t="shared" si="397"/>
        <v/>
      </c>
      <c r="AL415" s="45" t="str">
        <f t="shared" si="397"/>
        <v/>
      </c>
      <c r="AM415" s="45" t="str">
        <f t="shared" si="397"/>
        <v/>
      </c>
      <c r="AN415" s="45" t="str">
        <f t="shared" si="397"/>
        <v/>
      </c>
      <c r="AO415" s="45" t="str">
        <f t="shared" si="397"/>
        <v/>
      </c>
      <c r="AP415" s="45" t="str">
        <f t="shared" si="397"/>
        <v/>
      </c>
      <c r="AQ415" s="45" t="str">
        <f t="shared" si="397"/>
        <v/>
      </c>
      <c r="AR415" s="45" t="str">
        <f t="shared" si="397"/>
        <v/>
      </c>
      <c r="AS415" s="45" t="str">
        <f t="shared" si="397"/>
        <v/>
      </c>
      <c r="AT415" s="45" t="str">
        <f t="shared" si="397"/>
        <v/>
      </c>
      <c r="AU415" s="45" t="str">
        <f t="shared" si="397"/>
        <v/>
      </c>
      <c r="AV415" s="45" t="str">
        <f t="shared" si="397"/>
        <v/>
      </c>
      <c r="AW415" s="45" t="str">
        <f t="shared" si="397"/>
        <v/>
      </c>
      <c r="AX415" s="45" t="str">
        <f t="shared" ref="AX415:CC415" si="398">IF(COUNTIFS($A$417:$A$418,"Activity",$D$417:$D$418,"P",AX$417:AX$418,"&lt;&gt;")=0,"",IFERROR(SUMPRODUCT(--($A$417:$A$418="Activity"),--($D$417:$D$418="P"),$O$417:$O$418,AX$417:AX$418)/SUMPRODUCT(--($A$417:$A$418="Activity"),--($D$417:$D$418="P"),$O$417:$O$418),""))</f>
        <v/>
      </c>
      <c r="AY415" s="45" t="str">
        <f t="shared" si="398"/>
        <v/>
      </c>
      <c r="AZ415" s="45" t="str">
        <f t="shared" si="398"/>
        <v/>
      </c>
      <c r="BA415" s="45" t="str">
        <f t="shared" si="398"/>
        <v/>
      </c>
      <c r="BB415" s="45" t="str">
        <f t="shared" si="398"/>
        <v/>
      </c>
      <c r="BC415" s="45" t="str">
        <f t="shared" si="398"/>
        <v/>
      </c>
      <c r="BD415" s="45" t="str">
        <f t="shared" si="398"/>
        <v/>
      </c>
      <c r="BE415" s="45" t="str">
        <f t="shared" si="398"/>
        <v/>
      </c>
      <c r="BF415" s="45" t="str">
        <f t="shared" si="398"/>
        <v/>
      </c>
      <c r="BG415" s="45" t="str">
        <f t="shared" si="398"/>
        <v/>
      </c>
      <c r="BH415" s="45" t="str">
        <f t="shared" si="398"/>
        <v/>
      </c>
      <c r="BI415" s="45" t="str">
        <f t="shared" si="398"/>
        <v/>
      </c>
      <c r="BJ415" s="45" t="str">
        <f t="shared" si="398"/>
        <v/>
      </c>
      <c r="BK415" s="45" t="str">
        <f t="shared" si="398"/>
        <v/>
      </c>
      <c r="BL415" s="45" t="str">
        <f t="shared" si="398"/>
        <v/>
      </c>
      <c r="BM415" s="45" t="str">
        <f t="shared" si="398"/>
        <v/>
      </c>
      <c r="BN415" s="45" t="str">
        <f t="shared" si="398"/>
        <v/>
      </c>
      <c r="BO415" s="45" t="str">
        <f t="shared" si="398"/>
        <v/>
      </c>
      <c r="BP415" s="45" t="str">
        <f t="shared" si="398"/>
        <v/>
      </c>
      <c r="BQ415" s="45" t="str">
        <f t="shared" si="398"/>
        <v/>
      </c>
      <c r="BR415" s="45" t="str">
        <f t="shared" si="398"/>
        <v/>
      </c>
      <c r="BS415" s="45" t="str">
        <f t="shared" si="398"/>
        <v/>
      </c>
      <c r="BT415" s="45" t="str">
        <f t="shared" si="398"/>
        <v/>
      </c>
      <c r="BU415" s="45" t="str">
        <f t="shared" si="398"/>
        <v/>
      </c>
      <c r="BV415" s="45" t="str">
        <f t="shared" si="398"/>
        <v/>
      </c>
      <c r="BW415" s="45">
        <f t="shared" si="398"/>
        <v>3.5714285714285719E-2</v>
      </c>
      <c r="BX415" s="45">
        <f t="shared" si="398"/>
        <v>0.25000000000000011</v>
      </c>
      <c r="BY415" s="45">
        <f t="shared" si="398"/>
        <v>0.25000000000000011</v>
      </c>
      <c r="BZ415" s="45">
        <f t="shared" si="398"/>
        <v>0.25000000000000011</v>
      </c>
      <c r="CA415" s="45">
        <f t="shared" si="398"/>
        <v>0.21428571428571419</v>
      </c>
      <c r="CB415" s="45" t="str">
        <f t="shared" si="398"/>
        <v/>
      </c>
      <c r="CC415" s="45" t="str">
        <f t="shared" si="398"/>
        <v/>
      </c>
      <c r="CD415" s="45" t="str">
        <f t="shared" ref="CD415:CO415" si="399">IF(COUNTIFS($A$417:$A$418,"Activity",$D$417:$D$418,"P",CD$417:CD$418,"&lt;&gt;")=0,"",IFERROR(SUMPRODUCT(--($A$417:$A$418="Activity"),--($D$417:$D$418="P"),$O$417:$O$418,CD$417:CD$418)/SUMPRODUCT(--($A$417:$A$418="Activity"),--($D$417:$D$418="P"),$O$417:$O$418),""))</f>
        <v/>
      </c>
      <c r="CE415" s="45" t="str">
        <f t="shared" si="399"/>
        <v/>
      </c>
      <c r="CF415" s="45" t="str">
        <f t="shared" si="399"/>
        <v/>
      </c>
      <c r="CG415" s="45" t="str">
        <f t="shared" si="399"/>
        <v/>
      </c>
      <c r="CH415" s="45" t="str">
        <f t="shared" si="399"/>
        <v/>
      </c>
      <c r="CI415" s="45" t="str">
        <f t="shared" si="399"/>
        <v/>
      </c>
      <c r="CJ415" s="45" t="str">
        <f t="shared" si="399"/>
        <v/>
      </c>
      <c r="CK415" s="45" t="str">
        <f t="shared" si="399"/>
        <v/>
      </c>
      <c r="CL415" s="45" t="str">
        <f t="shared" si="399"/>
        <v/>
      </c>
      <c r="CM415" s="45" t="str">
        <f t="shared" si="399"/>
        <v/>
      </c>
      <c r="CN415" s="45" t="str">
        <f t="shared" si="399"/>
        <v/>
      </c>
      <c r="CO415" s="45" t="str">
        <f t="shared" si="399"/>
        <v/>
      </c>
    </row>
    <row r="416" spans="1:93" outlineLevel="3" x14ac:dyDescent="0.25">
      <c r="A416" s="1"/>
      <c r="B416" s="1"/>
      <c r="C416" s="7"/>
      <c r="D416" s="8" t="s">
        <v>111</v>
      </c>
      <c r="E416" s="1"/>
      <c r="F416" s="1"/>
      <c r="G416" s="1"/>
      <c r="H416" s="1"/>
      <c r="I416" s="9"/>
      <c r="J416" s="9"/>
      <c r="K416" s="9"/>
      <c r="L416" s="9"/>
      <c r="M416" s="3" t="str">
        <f t="shared" si="354"/>
        <v/>
      </c>
      <c r="N416" s="3"/>
      <c r="O416" s="46">
        <f>O415</f>
        <v>100000</v>
      </c>
      <c r="P416" s="4"/>
      <c r="Q416" s="5"/>
      <c r="R416" s="45" t="str">
        <f t="shared" ref="R416:AW416" si="400">IF(COUNTIFS($E$417:$E$418,"&lt;&gt;",$D$417:$D$418,"A",R$417:R$418,"&lt;&gt;")=0,"",IFERROR(SUMPRODUCT(--($E$417:$E$418&lt;&gt;""),--($D$417:$D$418="A"),$O$417:$O$418,R$417:R$418)/SUMPRODUCT(--($E$417:$E$418&lt;&gt;""),--($D$417:$D$418="A"),$O$417:$O$418),""))</f>
        <v/>
      </c>
      <c r="S416" s="45" t="str">
        <f t="shared" si="400"/>
        <v/>
      </c>
      <c r="T416" s="45" t="str">
        <f t="shared" si="400"/>
        <v/>
      </c>
      <c r="U416" s="45" t="str">
        <f t="shared" si="400"/>
        <v/>
      </c>
      <c r="V416" s="45" t="str">
        <f t="shared" si="400"/>
        <v/>
      </c>
      <c r="W416" s="45" t="str">
        <f t="shared" si="400"/>
        <v/>
      </c>
      <c r="X416" s="45" t="str">
        <f t="shared" si="400"/>
        <v/>
      </c>
      <c r="Y416" s="45" t="str">
        <f t="shared" si="400"/>
        <v/>
      </c>
      <c r="Z416" s="45" t="str">
        <f t="shared" si="400"/>
        <v/>
      </c>
      <c r="AA416" s="45" t="str">
        <f t="shared" si="400"/>
        <v/>
      </c>
      <c r="AB416" s="45" t="str">
        <f t="shared" si="400"/>
        <v/>
      </c>
      <c r="AC416" s="45" t="str">
        <f t="shared" si="400"/>
        <v/>
      </c>
      <c r="AD416" s="45" t="str">
        <f t="shared" si="400"/>
        <v/>
      </c>
      <c r="AE416" s="45" t="str">
        <f t="shared" si="400"/>
        <v/>
      </c>
      <c r="AF416" s="45" t="str">
        <f t="shared" si="400"/>
        <v/>
      </c>
      <c r="AG416" s="45" t="str">
        <f t="shared" si="400"/>
        <v/>
      </c>
      <c r="AH416" s="45" t="str">
        <f t="shared" si="400"/>
        <v/>
      </c>
      <c r="AI416" s="45" t="str">
        <f t="shared" si="400"/>
        <v/>
      </c>
      <c r="AJ416" s="45" t="str">
        <f t="shared" si="400"/>
        <v/>
      </c>
      <c r="AK416" s="45" t="str">
        <f t="shared" si="400"/>
        <v/>
      </c>
      <c r="AL416" s="45" t="str">
        <f t="shared" si="400"/>
        <v/>
      </c>
      <c r="AM416" s="45" t="str">
        <f t="shared" si="400"/>
        <v/>
      </c>
      <c r="AN416" s="45" t="str">
        <f t="shared" si="400"/>
        <v/>
      </c>
      <c r="AO416" s="45" t="str">
        <f t="shared" si="400"/>
        <v/>
      </c>
      <c r="AP416" s="45" t="str">
        <f t="shared" si="400"/>
        <v/>
      </c>
      <c r="AQ416" s="45" t="str">
        <f t="shared" si="400"/>
        <v/>
      </c>
      <c r="AR416" s="45" t="str">
        <f t="shared" si="400"/>
        <v/>
      </c>
      <c r="AS416" s="45" t="str">
        <f t="shared" si="400"/>
        <v/>
      </c>
      <c r="AT416" s="45" t="str">
        <f t="shared" si="400"/>
        <v/>
      </c>
      <c r="AU416" s="45" t="str">
        <f t="shared" si="400"/>
        <v/>
      </c>
      <c r="AV416" s="45" t="str">
        <f t="shared" si="400"/>
        <v/>
      </c>
      <c r="AW416" s="45" t="str">
        <f t="shared" si="400"/>
        <v/>
      </c>
      <c r="AX416" s="45" t="str">
        <f t="shared" ref="AX416:CC416" si="401">IF(COUNTIFS($E$417:$E$418,"&lt;&gt;",$D$417:$D$418,"A",AX$417:AX$418,"&lt;&gt;")=0,"",IFERROR(SUMPRODUCT(--($E$417:$E$418&lt;&gt;""),--($D$417:$D$418="A"),$O$417:$O$418,AX$417:AX$418)/SUMPRODUCT(--($E$417:$E$418&lt;&gt;""),--($D$417:$D$418="A"),$O$417:$O$418),""))</f>
        <v/>
      </c>
      <c r="AY416" s="45" t="str">
        <f t="shared" si="401"/>
        <v/>
      </c>
      <c r="AZ416" s="45" t="str">
        <f t="shared" si="401"/>
        <v/>
      </c>
      <c r="BA416" s="45" t="str">
        <f t="shared" si="401"/>
        <v/>
      </c>
      <c r="BB416" s="45" t="str">
        <f t="shared" si="401"/>
        <v/>
      </c>
      <c r="BC416" s="45" t="str">
        <f t="shared" si="401"/>
        <v/>
      </c>
      <c r="BD416" s="45" t="str">
        <f t="shared" si="401"/>
        <v/>
      </c>
      <c r="BE416" s="45" t="str">
        <f t="shared" si="401"/>
        <v/>
      </c>
      <c r="BF416" s="45" t="str">
        <f t="shared" si="401"/>
        <v/>
      </c>
      <c r="BG416" s="45" t="str">
        <f t="shared" si="401"/>
        <v/>
      </c>
      <c r="BH416" s="45" t="str">
        <f t="shared" si="401"/>
        <v/>
      </c>
      <c r="BI416" s="45" t="str">
        <f t="shared" si="401"/>
        <v/>
      </c>
      <c r="BJ416" s="45" t="str">
        <f t="shared" si="401"/>
        <v/>
      </c>
      <c r="BK416" s="45" t="str">
        <f t="shared" si="401"/>
        <v/>
      </c>
      <c r="BL416" s="45" t="str">
        <f t="shared" si="401"/>
        <v/>
      </c>
      <c r="BM416" s="45" t="str">
        <f t="shared" si="401"/>
        <v/>
      </c>
      <c r="BN416" s="45" t="str">
        <f t="shared" si="401"/>
        <v/>
      </c>
      <c r="BO416" s="45" t="str">
        <f t="shared" si="401"/>
        <v/>
      </c>
      <c r="BP416" s="45" t="str">
        <f t="shared" si="401"/>
        <v/>
      </c>
      <c r="BQ416" s="45" t="str">
        <f t="shared" si="401"/>
        <v/>
      </c>
      <c r="BR416" s="45" t="str">
        <f t="shared" si="401"/>
        <v/>
      </c>
      <c r="BS416" s="45" t="str">
        <f t="shared" si="401"/>
        <v/>
      </c>
      <c r="BT416" s="45" t="str">
        <f t="shared" si="401"/>
        <v/>
      </c>
      <c r="BU416" s="45" t="str">
        <f t="shared" si="401"/>
        <v/>
      </c>
      <c r="BV416" s="45" t="str">
        <f t="shared" si="401"/>
        <v/>
      </c>
      <c r="BW416" s="45" t="str">
        <f t="shared" si="401"/>
        <v/>
      </c>
      <c r="BX416" s="45" t="str">
        <f t="shared" si="401"/>
        <v/>
      </c>
      <c r="BY416" s="45" t="str">
        <f t="shared" si="401"/>
        <v/>
      </c>
      <c r="BZ416" s="45" t="str">
        <f t="shared" si="401"/>
        <v/>
      </c>
      <c r="CA416" s="45" t="str">
        <f t="shared" si="401"/>
        <v/>
      </c>
      <c r="CB416" s="45" t="str">
        <f t="shared" si="401"/>
        <v/>
      </c>
      <c r="CC416" s="45" t="str">
        <f t="shared" si="401"/>
        <v/>
      </c>
      <c r="CD416" s="45" t="str">
        <f t="shared" ref="CD416:CO416" si="402">IF(COUNTIFS($E$417:$E$418,"&lt;&gt;",$D$417:$D$418,"A",CD$417:CD$418,"&lt;&gt;")=0,"",IFERROR(SUMPRODUCT(--($E$417:$E$418&lt;&gt;""),--($D$417:$D$418="A"),$O$417:$O$418,CD$417:CD$418)/SUMPRODUCT(--($E$417:$E$418&lt;&gt;""),--($D$417:$D$418="A"),$O$417:$O$418),""))</f>
        <v/>
      </c>
      <c r="CE416" s="45" t="str">
        <f t="shared" si="402"/>
        <v/>
      </c>
      <c r="CF416" s="45" t="str">
        <f t="shared" si="402"/>
        <v/>
      </c>
      <c r="CG416" s="45" t="str">
        <f t="shared" si="402"/>
        <v/>
      </c>
      <c r="CH416" s="45" t="str">
        <f t="shared" si="402"/>
        <v/>
      </c>
      <c r="CI416" s="45" t="str">
        <f t="shared" si="402"/>
        <v/>
      </c>
      <c r="CJ416" s="45" t="str">
        <f t="shared" si="402"/>
        <v/>
      </c>
      <c r="CK416" s="45" t="str">
        <f t="shared" si="402"/>
        <v/>
      </c>
      <c r="CL416" s="45" t="str">
        <f t="shared" si="402"/>
        <v/>
      </c>
      <c r="CM416" s="45" t="str">
        <f t="shared" si="402"/>
        <v/>
      </c>
      <c r="CN416" s="45" t="str">
        <f t="shared" si="402"/>
        <v/>
      </c>
      <c r="CO416" s="45" t="str">
        <f t="shared" si="402"/>
        <v/>
      </c>
    </row>
    <row r="417" spans="1:93" outlineLevel="4" x14ac:dyDescent="0.25">
      <c r="A417" s="10" t="s">
        <v>116</v>
      </c>
      <c r="B417" s="10" t="s">
        <v>571</v>
      </c>
      <c r="C417" s="24" t="s">
        <v>561</v>
      </c>
      <c r="D417" s="12" t="s">
        <v>110</v>
      </c>
      <c r="E417" s="10" t="s">
        <v>572</v>
      </c>
      <c r="F417" s="10">
        <v>206</v>
      </c>
      <c r="G417" s="10">
        <v>211</v>
      </c>
      <c r="H417" s="10">
        <v>4</v>
      </c>
      <c r="I417" s="13">
        <v>46444.333333333343</v>
      </c>
      <c r="J417" s="13">
        <v>46471.666666666657</v>
      </c>
      <c r="K417" s="13"/>
      <c r="L417" s="13"/>
      <c r="M417" s="14">
        <f t="shared" si="354"/>
        <v>1.0000000000000002</v>
      </c>
      <c r="N417" s="14"/>
      <c r="O417" s="16">
        <v>100000</v>
      </c>
      <c r="P417" s="15">
        <v>1.2</v>
      </c>
      <c r="Q417" s="16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  <c r="BT417" s="47"/>
      <c r="BU417" s="47"/>
      <c r="BV417" s="47"/>
      <c r="BW417" s="47">
        <v>3.5714285714285719E-2</v>
      </c>
      <c r="BX417" s="47">
        <v>0.25000000000000011</v>
      </c>
      <c r="BY417" s="47">
        <v>0.25000000000000011</v>
      </c>
      <c r="BZ417" s="47">
        <v>0.25000000000000011</v>
      </c>
      <c r="CA417" s="47">
        <v>0.21428571428571419</v>
      </c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  <c r="CO417" s="47"/>
    </row>
    <row r="418" spans="1:93" outlineLevel="4" x14ac:dyDescent="0.25">
      <c r="A418" s="17"/>
      <c r="B418" s="17"/>
      <c r="C418" s="25"/>
      <c r="D418" s="19" t="s">
        <v>111</v>
      </c>
      <c r="E418" s="17" t="s">
        <v>572</v>
      </c>
      <c r="F418" s="17"/>
      <c r="G418" s="17"/>
      <c r="H418" s="17"/>
      <c r="I418" s="20"/>
      <c r="J418" s="20"/>
      <c r="K418" s="20"/>
      <c r="L418" s="20"/>
      <c r="M418" s="21" t="str">
        <f t="shared" si="354"/>
        <v/>
      </c>
      <c r="N418" s="21">
        <v>0</v>
      </c>
      <c r="O418" s="48">
        <f>O417</f>
        <v>100000</v>
      </c>
      <c r="P418" s="22"/>
      <c r="Q418" s="23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  <c r="CO418" s="47"/>
    </row>
    <row r="419" spans="1:93" outlineLevel="3" x14ac:dyDescent="0.25">
      <c r="A419" s="1" t="s">
        <v>92</v>
      </c>
      <c r="B419" s="1" t="s">
        <v>573</v>
      </c>
      <c r="C419" s="7" t="s">
        <v>326</v>
      </c>
      <c r="D419" s="8" t="s">
        <v>110</v>
      </c>
      <c r="E419" s="1"/>
      <c r="F419" s="1">
        <v>207</v>
      </c>
      <c r="G419" s="1">
        <v>212</v>
      </c>
      <c r="H419" s="1">
        <v>3</v>
      </c>
      <c r="I419" s="9">
        <v>46472.333333333343</v>
      </c>
      <c r="J419" s="9">
        <v>46499.666666666657</v>
      </c>
      <c r="K419" s="9"/>
      <c r="L419" s="9"/>
      <c r="M419" s="3">
        <f t="shared" si="354"/>
        <v>1.0000000000000002</v>
      </c>
      <c r="N419" s="3"/>
      <c r="O419" s="5">
        <f>SUMIFS($O$420:$O$423,$A$420:$A$423,"Activity",$D$420:$D$423,"P")</f>
        <v>200000</v>
      </c>
      <c r="P419" s="4"/>
      <c r="Q419" s="5"/>
      <c r="R419" s="45" t="str">
        <f t="shared" ref="R419:AW419" si="403">IF(COUNTIFS($A$421:$A$424,"Activity",$D$421:$D$424,"P",R$421:R$424,"&lt;&gt;")=0,"",IFERROR(SUMPRODUCT(--($A$421:$A$424="Activity"),--($D$421:$D$424="P"),$O$421:$O$424,R$421:R$424)/SUMPRODUCT(--($A$421:$A$424="Activity"),--($D$421:$D$424="P"),$O$421:$O$424),""))</f>
        <v/>
      </c>
      <c r="S419" s="45" t="str">
        <f t="shared" si="403"/>
        <v/>
      </c>
      <c r="T419" s="45" t="str">
        <f t="shared" si="403"/>
        <v/>
      </c>
      <c r="U419" s="45" t="str">
        <f t="shared" si="403"/>
        <v/>
      </c>
      <c r="V419" s="45" t="str">
        <f t="shared" si="403"/>
        <v/>
      </c>
      <c r="W419" s="45" t="str">
        <f t="shared" si="403"/>
        <v/>
      </c>
      <c r="X419" s="45" t="str">
        <f t="shared" si="403"/>
        <v/>
      </c>
      <c r="Y419" s="45" t="str">
        <f t="shared" si="403"/>
        <v/>
      </c>
      <c r="Z419" s="45" t="str">
        <f t="shared" si="403"/>
        <v/>
      </c>
      <c r="AA419" s="45" t="str">
        <f t="shared" si="403"/>
        <v/>
      </c>
      <c r="AB419" s="45" t="str">
        <f t="shared" si="403"/>
        <v/>
      </c>
      <c r="AC419" s="45" t="str">
        <f t="shared" si="403"/>
        <v/>
      </c>
      <c r="AD419" s="45" t="str">
        <f t="shared" si="403"/>
        <v/>
      </c>
      <c r="AE419" s="45" t="str">
        <f t="shared" si="403"/>
        <v/>
      </c>
      <c r="AF419" s="45" t="str">
        <f t="shared" si="403"/>
        <v/>
      </c>
      <c r="AG419" s="45" t="str">
        <f t="shared" si="403"/>
        <v/>
      </c>
      <c r="AH419" s="45" t="str">
        <f t="shared" si="403"/>
        <v/>
      </c>
      <c r="AI419" s="45" t="str">
        <f t="shared" si="403"/>
        <v/>
      </c>
      <c r="AJ419" s="45" t="str">
        <f t="shared" si="403"/>
        <v/>
      </c>
      <c r="AK419" s="45" t="str">
        <f t="shared" si="403"/>
        <v/>
      </c>
      <c r="AL419" s="45" t="str">
        <f t="shared" si="403"/>
        <v/>
      </c>
      <c r="AM419" s="45" t="str">
        <f t="shared" si="403"/>
        <v/>
      </c>
      <c r="AN419" s="45" t="str">
        <f t="shared" si="403"/>
        <v/>
      </c>
      <c r="AO419" s="45" t="str">
        <f t="shared" si="403"/>
        <v/>
      </c>
      <c r="AP419" s="45" t="str">
        <f t="shared" si="403"/>
        <v/>
      </c>
      <c r="AQ419" s="45" t="str">
        <f t="shared" si="403"/>
        <v/>
      </c>
      <c r="AR419" s="45" t="str">
        <f t="shared" si="403"/>
        <v/>
      </c>
      <c r="AS419" s="45" t="str">
        <f t="shared" si="403"/>
        <v/>
      </c>
      <c r="AT419" s="45" t="str">
        <f t="shared" si="403"/>
        <v/>
      </c>
      <c r="AU419" s="45" t="str">
        <f t="shared" si="403"/>
        <v/>
      </c>
      <c r="AV419" s="45" t="str">
        <f t="shared" si="403"/>
        <v/>
      </c>
      <c r="AW419" s="45" t="str">
        <f t="shared" si="403"/>
        <v/>
      </c>
      <c r="AX419" s="45" t="str">
        <f t="shared" ref="AX419:CC419" si="404">IF(COUNTIFS($A$421:$A$424,"Activity",$D$421:$D$424,"P",AX$421:AX$424,"&lt;&gt;")=0,"",IFERROR(SUMPRODUCT(--($A$421:$A$424="Activity"),--($D$421:$D$424="P"),$O$421:$O$424,AX$421:AX$424)/SUMPRODUCT(--($A$421:$A$424="Activity"),--($D$421:$D$424="P"),$O$421:$O$424),""))</f>
        <v/>
      </c>
      <c r="AY419" s="45" t="str">
        <f t="shared" si="404"/>
        <v/>
      </c>
      <c r="AZ419" s="45" t="str">
        <f t="shared" si="404"/>
        <v/>
      </c>
      <c r="BA419" s="45" t="str">
        <f t="shared" si="404"/>
        <v/>
      </c>
      <c r="BB419" s="45" t="str">
        <f t="shared" si="404"/>
        <v/>
      </c>
      <c r="BC419" s="45" t="str">
        <f t="shared" si="404"/>
        <v/>
      </c>
      <c r="BD419" s="45" t="str">
        <f t="shared" si="404"/>
        <v/>
      </c>
      <c r="BE419" s="45" t="str">
        <f t="shared" si="404"/>
        <v/>
      </c>
      <c r="BF419" s="45" t="str">
        <f t="shared" si="404"/>
        <v/>
      </c>
      <c r="BG419" s="45" t="str">
        <f t="shared" si="404"/>
        <v/>
      </c>
      <c r="BH419" s="45" t="str">
        <f t="shared" si="404"/>
        <v/>
      </c>
      <c r="BI419" s="45" t="str">
        <f t="shared" si="404"/>
        <v/>
      </c>
      <c r="BJ419" s="45" t="str">
        <f t="shared" si="404"/>
        <v/>
      </c>
      <c r="BK419" s="45" t="str">
        <f t="shared" si="404"/>
        <v/>
      </c>
      <c r="BL419" s="45" t="str">
        <f t="shared" si="404"/>
        <v/>
      </c>
      <c r="BM419" s="45" t="str">
        <f t="shared" si="404"/>
        <v/>
      </c>
      <c r="BN419" s="45" t="str">
        <f t="shared" si="404"/>
        <v/>
      </c>
      <c r="BO419" s="45" t="str">
        <f t="shared" si="404"/>
        <v/>
      </c>
      <c r="BP419" s="45" t="str">
        <f t="shared" si="404"/>
        <v/>
      </c>
      <c r="BQ419" s="45" t="str">
        <f t="shared" si="404"/>
        <v/>
      </c>
      <c r="BR419" s="45" t="str">
        <f t="shared" si="404"/>
        <v/>
      </c>
      <c r="BS419" s="45" t="str">
        <f t="shared" si="404"/>
        <v/>
      </c>
      <c r="BT419" s="45" t="str">
        <f t="shared" si="404"/>
        <v/>
      </c>
      <c r="BU419" s="45" t="str">
        <f t="shared" si="404"/>
        <v/>
      </c>
      <c r="BV419" s="45" t="str">
        <f t="shared" si="404"/>
        <v/>
      </c>
      <c r="BW419" s="45" t="str">
        <f t="shared" si="404"/>
        <v/>
      </c>
      <c r="BX419" s="45" t="str">
        <f t="shared" si="404"/>
        <v/>
      </c>
      <c r="BY419" s="45" t="str">
        <f t="shared" si="404"/>
        <v/>
      </c>
      <c r="BZ419" s="45" t="str">
        <f t="shared" si="404"/>
        <v/>
      </c>
      <c r="CA419" s="45">
        <f t="shared" si="404"/>
        <v>3.5714285714285719E-2</v>
      </c>
      <c r="CB419" s="45">
        <f t="shared" si="404"/>
        <v>0.25000000000000011</v>
      </c>
      <c r="CC419" s="45">
        <f t="shared" si="404"/>
        <v>0.25000000000000011</v>
      </c>
      <c r="CD419" s="45">
        <f t="shared" ref="CD419:CO419" si="405">IF(COUNTIFS($A$421:$A$424,"Activity",$D$421:$D$424,"P",CD$421:CD$424,"&lt;&gt;")=0,"",IFERROR(SUMPRODUCT(--($A$421:$A$424="Activity"),--($D$421:$D$424="P"),$O$421:$O$424,CD$421:CD$424)/SUMPRODUCT(--($A$421:$A$424="Activity"),--($D$421:$D$424="P"),$O$421:$O$424),""))</f>
        <v>0.25000000000000011</v>
      </c>
      <c r="CE419" s="45">
        <f t="shared" si="405"/>
        <v>0.21428571428571419</v>
      </c>
      <c r="CF419" s="45" t="str">
        <f t="shared" si="405"/>
        <v/>
      </c>
      <c r="CG419" s="45" t="str">
        <f t="shared" si="405"/>
        <v/>
      </c>
      <c r="CH419" s="45" t="str">
        <f t="shared" si="405"/>
        <v/>
      </c>
      <c r="CI419" s="45" t="str">
        <f t="shared" si="405"/>
        <v/>
      </c>
      <c r="CJ419" s="45" t="str">
        <f t="shared" si="405"/>
        <v/>
      </c>
      <c r="CK419" s="45" t="str">
        <f t="shared" si="405"/>
        <v/>
      </c>
      <c r="CL419" s="45" t="str">
        <f t="shared" si="405"/>
        <v/>
      </c>
      <c r="CM419" s="45" t="str">
        <f t="shared" si="405"/>
        <v/>
      </c>
      <c r="CN419" s="45" t="str">
        <f t="shared" si="405"/>
        <v/>
      </c>
      <c r="CO419" s="45" t="str">
        <f t="shared" si="405"/>
        <v/>
      </c>
    </row>
    <row r="420" spans="1:93" outlineLevel="3" x14ac:dyDescent="0.25">
      <c r="A420" s="1"/>
      <c r="B420" s="1"/>
      <c r="C420" s="7"/>
      <c r="D420" s="8" t="s">
        <v>111</v>
      </c>
      <c r="E420" s="1"/>
      <c r="F420" s="1"/>
      <c r="G420" s="1"/>
      <c r="H420" s="1"/>
      <c r="I420" s="9"/>
      <c r="J420" s="9"/>
      <c r="K420" s="9"/>
      <c r="L420" s="9"/>
      <c r="M420" s="3" t="str">
        <f t="shared" si="354"/>
        <v/>
      </c>
      <c r="N420" s="3"/>
      <c r="O420" s="46">
        <f>O419</f>
        <v>200000</v>
      </c>
      <c r="P420" s="4"/>
      <c r="Q420" s="5"/>
      <c r="R420" s="45" t="str">
        <f t="shared" ref="R420:AW420" si="406">IF(COUNTIFS($E$421:$E$424,"&lt;&gt;",$D$421:$D$424,"A",R$421:R$424,"&lt;&gt;")=0,"",IFERROR(SUMPRODUCT(--($E$421:$E$424&lt;&gt;""),--($D$421:$D$424="A"),$O$421:$O$424,R$421:R$424)/SUMPRODUCT(--($E$421:$E$424&lt;&gt;""),--($D$421:$D$424="A"),$O$421:$O$424),""))</f>
        <v/>
      </c>
      <c r="S420" s="45" t="str">
        <f t="shared" si="406"/>
        <v/>
      </c>
      <c r="T420" s="45" t="str">
        <f t="shared" si="406"/>
        <v/>
      </c>
      <c r="U420" s="45" t="str">
        <f t="shared" si="406"/>
        <v/>
      </c>
      <c r="V420" s="45" t="str">
        <f t="shared" si="406"/>
        <v/>
      </c>
      <c r="W420" s="45" t="str">
        <f t="shared" si="406"/>
        <v/>
      </c>
      <c r="X420" s="45" t="str">
        <f t="shared" si="406"/>
        <v/>
      </c>
      <c r="Y420" s="45" t="str">
        <f t="shared" si="406"/>
        <v/>
      </c>
      <c r="Z420" s="45" t="str">
        <f t="shared" si="406"/>
        <v/>
      </c>
      <c r="AA420" s="45" t="str">
        <f t="shared" si="406"/>
        <v/>
      </c>
      <c r="AB420" s="45" t="str">
        <f t="shared" si="406"/>
        <v/>
      </c>
      <c r="AC420" s="45" t="str">
        <f t="shared" si="406"/>
        <v/>
      </c>
      <c r="AD420" s="45" t="str">
        <f t="shared" si="406"/>
        <v/>
      </c>
      <c r="AE420" s="45" t="str">
        <f t="shared" si="406"/>
        <v/>
      </c>
      <c r="AF420" s="45" t="str">
        <f t="shared" si="406"/>
        <v/>
      </c>
      <c r="AG420" s="45" t="str">
        <f t="shared" si="406"/>
        <v/>
      </c>
      <c r="AH420" s="45" t="str">
        <f t="shared" si="406"/>
        <v/>
      </c>
      <c r="AI420" s="45" t="str">
        <f t="shared" si="406"/>
        <v/>
      </c>
      <c r="AJ420" s="45" t="str">
        <f t="shared" si="406"/>
        <v/>
      </c>
      <c r="AK420" s="45" t="str">
        <f t="shared" si="406"/>
        <v/>
      </c>
      <c r="AL420" s="45" t="str">
        <f t="shared" si="406"/>
        <v/>
      </c>
      <c r="AM420" s="45" t="str">
        <f t="shared" si="406"/>
        <v/>
      </c>
      <c r="AN420" s="45" t="str">
        <f t="shared" si="406"/>
        <v/>
      </c>
      <c r="AO420" s="45" t="str">
        <f t="shared" si="406"/>
        <v/>
      </c>
      <c r="AP420" s="45" t="str">
        <f t="shared" si="406"/>
        <v/>
      </c>
      <c r="AQ420" s="45" t="str">
        <f t="shared" si="406"/>
        <v/>
      </c>
      <c r="AR420" s="45" t="str">
        <f t="shared" si="406"/>
        <v/>
      </c>
      <c r="AS420" s="45" t="str">
        <f t="shared" si="406"/>
        <v/>
      </c>
      <c r="AT420" s="45" t="str">
        <f t="shared" si="406"/>
        <v/>
      </c>
      <c r="AU420" s="45" t="str">
        <f t="shared" si="406"/>
        <v/>
      </c>
      <c r="AV420" s="45" t="str">
        <f t="shared" si="406"/>
        <v/>
      </c>
      <c r="AW420" s="45" t="str">
        <f t="shared" si="406"/>
        <v/>
      </c>
      <c r="AX420" s="45" t="str">
        <f t="shared" ref="AX420:CC420" si="407">IF(COUNTIFS($E$421:$E$424,"&lt;&gt;",$D$421:$D$424,"A",AX$421:AX$424,"&lt;&gt;")=0,"",IFERROR(SUMPRODUCT(--($E$421:$E$424&lt;&gt;""),--($D$421:$D$424="A"),$O$421:$O$424,AX$421:AX$424)/SUMPRODUCT(--($E$421:$E$424&lt;&gt;""),--($D$421:$D$424="A"),$O$421:$O$424),""))</f>
        <v/>
      </c>
      <c r="AY420" s="45" t="str">
        <f t="shared" si="407"/>
        <v/>
      </c>
      <c r="AZ420" s="45" t="str">
        <f t="shared" si="407"/>
        <v/>
      </c>
      <c r="BA420" s="45" t="str">
        <f t="shared" si="407"/>
        <v/>
      </c>
      <c r="BB420" s="45" t="str">
        <f t="shared" si="407"/>
        <v/>
      </c>
      <c r="BC420" s="45" t="str">
        <f t="shared" si="407"/>
        <v/>
      </c>
      <c r="BD420" s="45" t="str">
        <f t="shared" si="407"/>
        <v/>
      </c>
      <c r="BE420" s="45" t="str">
        <f t="shared" si="407"/>
        <v/>
      </c>
      <c r="BF420" s="45" t="str">
        <f t="shared" si="407"/>
        <v/>
      </c>
      <c r="BG420" s="45" t="str">
        <f t="shared" si="407"/>
        <v/>
      </c>
      <c r="BH420" s="45" t="str">
        <f t="shared" si="407"/>
        <v/>
      </c>
      <c r="BI420" s="45" t="str">
        <f t="shared" si="407"/>
        <v/>
      </c>
      <c r="BJ420" s="45" t="str">
        <f t="shared" si="407"/>
        <v/>
      </c>
      <c r="BK420" s="45" t="str">
        <f t="shared" si="407"/>
        <v/>
      </c>
      <c r="BL420" s="45" t="str">
        <f t="shared" si="407"/>
        <v/>
      </c>
      <c r="BM420" s="45" t="str">
        <f t="shared" si="407"/>
        <v/>
      </c>
      <c r="BN420" s="45" t="str">
        <f t="shared" si="407"/>
        <v/>
      </c>
      <c r="BO420" s="45" t="str">
        <f t="shared" si="407"/>
        <v/>
      </c>
      <c r="BP420" s="45" t="str">
        <f t="shared" si="407"/>
        <v/>
      </c>
      <c r="BQ420" s="45" t="str">
        <f t="shared" si="407"/>
        <v/>
      </c>
      <c r="BR420" s="45" t="str">
        <f t="shared" si="407"/>
        <v/>
      </c>
      <c r="BS420" s="45" t="str">
        <f t="shared" si="407"/>
        <v/>
      </c>
      <c r="BT420" s="45" t="str">
        <f t="shared" si="407"/>
        <v/>
      </c>
      <c r="BU420" s="45" t="str">
        <f t="shared" si="407"/>
        <v/>
      </c>
      <c r="BV420" s="45" t="str">
        <f t="shared" si="407"/>
        <v/>
      </c>
      <c r="BW420" s="45" t="str">
        <f t="shared" si="407"/>
        <v/>
      </c>
      <c r="BX420" s="45" t="str">
        <f t="shared" si="407"/>
        <v/>
      </c>
      <c r="BY420" s="45" t="str">
        <f t="shared" si="407"/>
        <v/>
      </c>
      <c r="BZ420" s="45" t="str">
        <f t="shared" si="407"/>
        <v/>
      </c>
      <c r="CA420" s="45" t="str">
        <f t="shared" si="407"/>
        <v/>
      </c>
      <c r="CB420" s="45" t="str">
        <f t="shared" si="407"/>
        <v/>
      </c>
      <c r="CC420" s="45" t="str">
        <f t="shared" si="407"/>
        <v/>
      </c>
      <c r="CD420" s="45" t="str">
        <f t="shared" ref="CD420:CO420" si="408">IF(COUNTIFS($E$421:$E$424,"&lt;&gt;",$D$421:$D$424,"A",CD$421:CD$424,"&lt;&gt;")=0,"",IFERROR(SUMPRODUCT(--($E$421:$E$424&lt;&gt;""),--($D$421:$D$424="A"),$O$421:$O$424,CD$421:CD$424)/SUMPRODUCT(--($E$421:$E$424&lt;&gt;""),--($D$421:$D$424="A"),$O$421:$O$424),""))</f>
        <v/>
      </c>
      <c r="CE420" s="45" t="str">
        <f t="shared" si="408"/>
        <v/>
      </c>
      <c r="CF420" s="45" t="str">
        <f t="shared" si="408"/>
        <v/>
      </c>
      <c r="CG420" s="45" t="str">
        <f t="shared" si="408"/>
        <v/>
      </c>
      <c r="CH420" s="45" t="str">
        <f t="shared" si="408"/>
        <v/>
      </c>
      <c r="CI420" s="45" t="str">
        <f t="shared" si="408"/>
        <v/>
      </c>
      <c r="CJ420" s="45" t="str">
        <f t="shared" si="408"/>
        <v/>
      </c>
      <c r="CK420" s="45" t="str">
        <f t="shared" si="408"/>
        <v/>
      </c>
      <c r="CL420" s="45" t="str">
        <f t="shared" si="408"/>
        <v/>
      </c>
      <c r="CM420" s="45" t="str">
        <f t="shared" si="408"/>
        <v/>
      </c>
      <c r="CN420" s="45" t="str">
        <f t="shared" si="408"/>
        <v/>
      </c>
      <c r="CO420" s="45" t="str">
        <f t="shared" si="408"/>
        <v/>
      </c>
    </row>
    <row r="421" spans="1:93" outlineLevel="4" x14ac:dyDescent="0.25">
      <c r="A421" s="10" t="s">
        <v>116</v>
      </c>
      <c r="B421" s="10" t="s">
        <v>574</v>
      </c>
      <c r="C421" s="24" t="s">
        <v>567</v>
      </c>
      <c r="D421" s="12" t="s">
        <v>110</v>
      </c>
      <c r="E421" s="10" t="s">
        <v>575</v>
      </c>
      <c r="F421" s="10">
        <v>208</v>
      </c>
      <c r="G421" s="10">
        <v>132</v>
      </c>
      <c r="H421" s="10">
        <v>4</v>
      </c>
      <c r="I421" s="13">
        <v>46472.333333333343</v>
      </c>
      <c r="J421" s="13">
        <v>46499.666666666657</v>
      </c>
      <c r="K421" s="13"/>
      <c r="L421" s="13"/>
      <c r="M421" s="14">
        <f t="shared" si="354"/>
        <v>1.0000000000000002</v>
      </c>
      <c r="N421" s="14"/>
      <c r="O421" s="16">
        <v>100000</v>
      </c>
      <c r="P421" s="15">
        <v>2.2666666666666671</v>
      </c>
      <c r="Q421" s="16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>
        <v>3.5714285714285719E-2</v>
      </c>
      <c r="CB421" s="47">
        <v>0.25000000000000011</v>
      </c>
      <c r="CC421" s="47">
        <v>0.25000000000000011</v>
      </c>
      <c r="CD421" s="47">
        <v>0.25000000000000011</v>
      </c>
      <c r="CE421" s="47">
        <v>0.21428571428571419</v>
      </c>
      <c r="CF421" s="47"/>
      <c r="CG421" s="47"/>
      <c r="CH421" s="47"/>
      <c r="CI421" s="47"/>
      <c r="CJ421" s="47"/>
      <c r="CK421" s="47"/>
      <c r="CL421" s="47"/>
      <c r="CM421" s="47"/>
      <c r="CN421" s="47"/>
      <c r="CO421" s="47"/>
    </row>
    <row r="422" spans="1:93" outlineLevel="4" x14ac:dyDescent="0.25">
      <c r="A422" s="17"/>
      <c r="B422" s="17"/>
      <c r="C422" s="25"/>
      <c r="D422" s="19" t="s">
        <v>111</v>
      </c>
      <c r="E422" s="17" t="s">
        <v>575</v>
      </c>
      <c r="F422" s="17"/>
      <c r="G422" s="17"/>
      <c r="H422" s="17"/>
      <c r="I422" s="20"/>
      <c r="J422" s="20"/>
      <c r="K422" s="20"/>
      <c r="L422" s="20"/>
      <c r="M422" s="21" t="str">
        <f t="shared" si="354"/>
        <v/>
      </c>
      <c r="N422" s="21">
        <v>0</v>
      </c>
      <c r="O422" s="48">
        <f>O421</f>
        <v>100000</v>
      </c>
      <c r="P422" s="22"/>
      <c r="Q422" s="23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  <c r="CO422" s="47"/>
    </row>
    <row r="423" spans="1:93" outlineLevel="4" x14ac:dyDescent="0.25">
      <c r="A423" s="10" t="s">
        <v>116</v>
      </c>
      <c r="B423" s="10" t="s">
        <v>576</v>
      </c>
      <c r="C423" s="24" t="s">
        <v>577</v>
      </c>
      <c r="D423" s="12" t="s">
        <v>110</v>
      </c>
      <c r="E423" s="10" t="s">
        <v>578</v>
      </c>
      <c r="F423" s="10">
        <v>209</v>
      </c>
      <c r="G423" s="10">
        <v>129</v>
      </c>
      <c r="H423" s="10">
        <v>4</v>
      </c>
      <c r="I423" s="13">
        <v>46472.333333333343</v>
      </c>
      <c r="J423" s="13">
        <v>46499.666666666657</v>
      </c>
      <c r="K423" s="13"/>
      <c r="L423" s="13"/>
      <c r="M423" s="14">
        <f t="shared" si="354"/>
        <v>1.0000000000000002</v>
      </c>
      <c r="N423" s="14"/>
      <c r="O423" s="16">
        <v>100000</v>
      </c>
      <c r="P423" s="15">
        <v>1.2</v>
      </c>
      <c r="Q423" s="16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>
        <v>3.5714285714285719E-2</v>
      </c>
      <c r="CB423" s="47">
        <v>0.25000000000000011</v>
      </c>
      <c r="CC423" s="47">
        <v>0.25000000000000011</v>
      </c>
      <c r="CD423" s="47">
        <v>0.25000000000000011</v>
      </c>
      <c r="CE423" s="47">
        <v>0.21428571428571419</v>
      </c>
      <c r="CF423" s="47"/>
      <c r="CG423" s="47"/>
      <c r="CH423" s="47"/>
      <c r="CI423" s="47"/>
      <c r="CJ423" s="47"/>
      <c r="CK423" s="47"/>
      <c r="CL423" s="47"/>
      <c r="CM423" s="47"/>
      <c r="CN423" s="47"/>
      <c r="CO423" s="47"/>
    </row>
    <row r="424" spans="1:93" outlineLevel="4" x14ac:dyDescent="0.25">
      <c r="A424" s="17"/>
      <c r="B424" s="17"/>
      <c r="C424" s="25"/>
      <c r="D424" s="19" t="s">
        <v>111</v>
      </c>
      <c r="E424" s="17" t="s">
        <v>578</v>
      </c>
      <c r="F424" s="17"/>
      <c r="G424" s="17"/>
      <c r="H424" s="17"/>
      <c r="I424" s="20"/>
      <c r="J424" s="20"/>
      <c r="K424" s="20"/>
      <c r="L424" s="20"/>
      <c r="M424" s="21" t="str">
        <f t="shared" si="354"/>
        <v/>
      </c>
      <c r="N424" s="21">
        <v>0</v>
      </c>
      <c r="O424" s="48">
        <f>O423</f>
        <v>100000</v>
      </c>
      <c r="P424" s="22"/>
      <c r="Q424" s="23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  <c r="CO424" s="47"/>
    </row>
    <row r="425" spans="1:93" outlineLevel="2" x14ac:dyDescent="0.25">
      <c r="A425" s="1" t="s">
        <v>92</v>
      </c>
      <c r="B425" s="1" t="s">
        <v>579</v>
      </c>
      <c r="C425" s="6" t="s">
        <v>126</v>
      </c>
      <c r="D425" s="8" t="s">
        <v>110</v>
      </c>
      <c r="E425" s="1"/>
      <c r="F425" s="1">
        <v>210</v>
      </c>
      <c r="G425" s="1">
        <v>213</v>
      </c>
      <c r="H425" s="1">
        <v>2</v>
      </c>
      <c r="I425" s="9">
        <v>46486.333333333343</v>
      </c>
      <c r="J425" s="9">
        <v>46538.666666666657</v>
      </c>
      <c r="K425" s="9"/>
      <c r="L425" s="9"/>
      <c r="M425" s="3">
        <f t="shared" si="354"/>
        <v>1.0000000000000002</v>
      </c>
      <c r="N425" s="3"/>
      <c r="O425" s="5">
        <f>SUMIFS($O$426:$O$437,$A$426:$A$437,"Activity",$D$426:$D$437,"P")</f>
        <v>400000</v>
      </c>
      <c r="P425" s="4"/>
      <c r="Q425" s="5"/>
      <c r="R425" s="45" t="str">
        <f t="shared" ref="R425:AW425" si="409">IF(COUNTIFS($A$427:$A$438,"Activity",$D$427:$D$438,"P",R$427:R$438,"&lt;&gt;")=0,"",IFERROR(SUMPRODUCT(--($A$427:$A$438="Activity"),--($D$427:$D$438="P"),$O$427:$O$438,R$427:R$438)/SUMPRODUCT(--($A$427:$A$438="Activity"),--($D$427:$D$438="P"),$O$427:$O$438),""))</f>
        <v/>
      </c>
      <c r="S425" s="45" t="str">
        <f t="shared" si="409"/>
        <v/>
      </c>
      <c r="T425" s="45" t="str">
        <f t="shared" si="409"/>
        <v/>
      </c>
      <c r="U425" s="45" t="str">
        <f t="shared" si="409"/>
        <v/>
      </c>
      <c r="V425" s="45" t="str">
        <f t="shared" si="409"/>
        <v/>
      </c>
      <c r="W425" s="45" t="str">
        <f t="shared" si="409"/>
        <v/>
      </c>
      <c r="X425" s="45" t="str">
        <f t="shared" si="409"/>
        <v/>
      </c>
      <c r="Y425" s="45" t="str">
        <f t="shared" si="409"/>
        <v/>
      </c>
      <c r="Z425" s="45" t="str">
        <f t="shared" si="409"/>
        <v/>
      </c>
      <c r="AA425" s="45" t="str">
        <f t="shared" si="409"/>
        <v/>
      </c>
      <c r="AB425" s="45" t="str">
        <f t="shared" si="409"/>
        <v/>
      </c>
      <c r="AC425" s="45" t="str">
        <f t="shared" si="409"/>
        <v/>
      </c>
      <c r="AD425" s="45" t="str">
        <f t="shared" si="409"/>
        <v/>
      </c>
      <c r="AE425" s="45" t="str">
        <f t="shared" si="409"/>
        <v/>
      </c>
      <c r="AF425" s="45" t="str">
        <f t="shared" si="409"/>
        <v/>
      </c>
      <c r="AG425" s="45" t="str">
        <f t="shared" si="409"/>
        <v/>
      </c>
      <c r="AH425" s="45" t="str">
        <f t="shared" si="409"/>
        <v/>
      </c>
      <c r="AI425" s="45" t="str">
        <f t="shared" si="409"/>
        <v/>
      </c>
      <c r="AJ425" s="45" t="str">
        <f t="shared" si="409"/>
        <v/>
      </c>
      <c r="AK425" s="45" t="str">
        <f t="shared" si="409"/>
        <v/>
      </c>
      <c r="AL425" s="45" t="str">
        <f t="shared" si="409"/>
        <v/>
      </c>
      <c r="AM425" s="45" t="str">
        <f t="shared" si="409"/>
        <v/>
      </c>
      <c r="AN425" s="45" t="str">
        <f t="shared" si="409"/>
        <v/>
      </c>
      <c r="AO425" s="45" t="str">
        <f t="shared" si="409"/>
        <v/>
      </c>
      <c r="AP425" s="45" t="str">
        <f t="shared" si="409"/>
        <v/>
      </c>
      <c r="AQ425" s="45" t="str">
        <f t="shared" si="409"/>
        <v/>
      </c>
      <c r="AR425" s="45" t="str">
        <f t="shared" si="409"/>
        <v/>
      </c>
      <c r="AS425" s="45" t="str">
        <f t="shared" si="409"/>
        <v/>
      </c>
      <c r="AT425" s="45" t="str">
        <f t="shared" si="409"/>
        <v/>
      </c>
      <c r="AU425" s="45" t="str">
        <f t="shared" si="409"/>
        <v/>
      </c>
      <c r="AV425" s="45" t="str">
        <f t="shared" si="409"/>
        <v/>
      </c>
      <c r="AW425" s="45" t="str">
        <f t="shared" si="409"/>
        <v/>
      </c>
      <c r="AX425" s="45" t="str">
        <f t="shared" ref="AX425:CC425" si="410">IF(COUNTIFS($A$427:$A$438,"Activity",$D$427:$D$438,"P",AX$427:AX$438,"&lt;&gt;")=0,"",IFERROR(SUMPRODUCT(--($A$427:$A$438="Activity"),--($D$427:$D$438="P"),$O$427:$O$438,AX$427:AX$438)/SUMPRODUCT(--($A$427:$A$438="Activity"),--($D$427:$D$438="P"),$O$427:$O$438),""))</f>
        <v/>
      </c>
      <c r="AY425" s="45" t="str">
        <f t="shared" si="410"/>
        <v/>
      </c>
      <c r="AZ425" s="45" t="str">
        <f t="shared" si="410"/>
        <v/>
      </c>
      <c r="BA425" s="45" t="str">
        <f t="shared" si="410"/>
        <v/>
      </c>
      <c r="BB425" s="45" t="str">
        <f t="shared" si="410"/>
        <v/>
      </c>
      <c r="BC425" s="45" t="str">
        <f t="shared" si="410"/>
        <v/>
      </c>
      <c r="BD425" s="45" t="str">
        <f t="shared" si="410"/>
        <v/>
      </c>
      <c r="BE425" s="45" t="str">
        <f t="shared" si="410"/>
        <v/>
      </c>
      <c r="BF425" s="45" t="str">
        <f t="shared" si="410"/>
        <v/>
      </c>
      <c r="BG425" s="45" t="str">
        <f t="shared" si="410"/>
        <v/>
      </c>
      <c r="BH425" s="45" t="str">
        <f t="shared" si="410"/>
        <v/>
      </c>
      <c r="BI425" s="45" t="str">
        <f t="shared" si="410"/>
        <v/>
      </c>
      <c r="BJ425" s="45" t="str">
        <f t="shared" si="410"/>
        <v/>
      </c>
      <c r="BK425" s="45" t="str">
        <f t="shared" si="410"/>
        <v/>
      </c>
      <c r="BL425" s="45" t="str">
        <f t="shared" si="410"/>
        <v/>
      </c>
      <c r="BM425" s="45" t="str">
        <f t="shared" si="410"/>
        <v/>
      </c>
      <c r="BN425" s="45" t="str">
        <f t="shared" si="410"/>
        <v/>
      </c>
      <c r="BO425" s="45" t="str">
        <f t="shared" si="410"/>
        <v/>
      </c>
      <c r="BP425" s="45" t="str">
        <f t="shared" si="410"/>
        <v/>
      </c>
      <c r="BQ425" s="45" t="str">
        <f t="shared" si="410"/>
        <v/>
      </c>
      <c r="BR425" s="45" t="str">
        <f t="shared" si="410"/>
        <v/>
      </c>
      <c r="BS425" s="45" t="str">
        <f t="shared" si="410"/>
        <v/>
      </c>
      <c r="BT425" s="45" t="str">
        <f t="shared" si="410"/>
        <v/>
      </c>
      <c r="BU425" s="45" t="str">
        <f t="shared" si="410"/>
        <v/>
      </c>
      <c r="BV425" s="45" t="str">
        <f t="shared" si="410"/>
        <v/>
      </c>
      <c r="BW425" s="45" t="str">
        <f t="shared" si="410"/>
        <v/>
      </c>
      <c r="BX425" s="45" t="str">
        <f t="shared" si="410"/>
        <v/>
      </c>
      <c r="BY425" s="45" t="str">
        <f t="shared" si="410"/>
        <v/>
      </c>
      <c r="BZ425" s="45" t="str">
        <f t="shared" si="410"/>
        <v/>
      </c>
      <c r="CA425" s="45" t="str">
        <f t="shared" si="410"/>
        <v/>
      </c>
      <c r="CB425" s="45" t="str">
        <f t="shared" si="410"/>
        <v/>
      </c>
      <c r="CC425" s="45">
        <f t="shared" si="410"/>
        <v>8.9285714285714298E-3</v>
      </c>
      <c r="CD425" s="45">
        <f t="shared" ref="CD425:CO425" si="411">IF(COUNTIFS($A$427:$A$438,"Activity",$D$427:$D$438,"P",CD$427:CD$438,"&lt;&gt;")=0,"",IFERROR(SUMPRODUCT(--($A$427:$A$438="Activity"),--($D$427:$D$438="P"),$O$427:$O$438,CD$427:CD$438)/SUMPRODUCT(--($A$427:$A$438="Activity"),--($D$427:$D$438="P"),$O$427:$O$438),""))</f>
        <v>6.2500000000000028E-2</v>
      </c>
      <c r="CE425" s="45">
        <f t="shared" si="411"/>
        <v>6.2500000000000028E-2</v>
      </c>
      <c r="CF425" s="45">
        <f t="shared" si="411"/>
        <v>6.2500000000000028E-2</v>
      </c>
      <c r="CG425" s="45">
        <f t="shared" si="411"/>
        <v>0.13690476190476192</v>
      </c>
      <c r="CH425" s="45">
        <f t="shared" si="411"/>
        <v>0.20833333333333337</v>
      </c>
      <c r="CI425" s="45">
        <f t="shared" si="411"/>
        <v>0.20833333333333337</v>
      </c>
      <c r="CJ425" s="45">
        <f t="shared" si="411"/>
        <v>0.19642857142857154</v>
      </c>
      <c r="CK425" s="45">
        <f t="shared" si="411"/>
        <v>5.3571428571428499E-2</v>
      </c>
      <c r="CL425" s="45" t="str">
        <f t="shared" si="411"/>
        <v/>
      </c>
      <c r="CM425" s="45" t="str">
        <f t="shared" si="411"/>
        <v/>
      </c>
      <c r="CN425" s="45" t="str">
        <f t="shared" si="411"/>
        <v/>
      </c>
      <c r="CO425" s="45" t="str">
        <f t="shared" si="411"/>
        <v/>
      </c>
    </row>
    <row r="426" spans="1:93" outlineLevel="2" x14ac:dyDescent="0.25">
      <c r="A426" s="1"/>
      <c r="B426" s="1"/>
      <c r="C426" s="6"/>
      <c r="D426" s="8" t="s">
        <v>111</v>
      </c>
      <c r="E426" s="1"/>
      <c r="F426" s="1"/>
      <c r="G426" s="1"/>
      <c r="H426" s="1"/>
      <c r="I426" s="9"/>
      <c r="J426" s="9"/>
      <c r="K426" s="9"/>
      <c r="L426" s="9"/>
      <c r="M426" s="3" t="str">
        <f t="shared" si="354"/>
        <v/>
      </c>
      <c r="N426" s="3"/>
      <c r="O426" s="46">
        <f>O425</f>
        <v>400000</v>
      </c>
      <c r="P426" s="4"/>
      <c r="Q426" s="5"/>
      <c r="R426" s="45" t="str">
        <f t="shared" ref="R426:AW426" si="412">IF(COUNTIFS($E$427:$E$438,"&lt;&gt;",$D$427:$D$438,"A",R$427:R$438,"&lt;&gt;")=0,"",IFERROR(SUMPRODUCT(--($E$427:$E$438&lt;&gt;""),--($D$427:$D$438="A"),$O$427:$O$438,R$427:R$438)/SUMPRODUCT(--($E$427:$E$438&lt;&gt;""),--($D$427:$D$438="A"),$O$427:$O$438),""))</f>
        <v/>
      </c>
      <c r="S426" s="45" t="str">
        <f t="shared" si="412"/>
        <v/>
      </c>
      <c r="T426" s="45" t="str">
        <f t="shared" si="412"/>
        <v/>
      </c>
      <c r="U426" s="45" t="str">
        <f t="shared" si="412"/>
        <v/>
      </c>
      <c r="V426" s="45" t="str">
        <f t="shared" si="412"/>
        <v/>
      </c>
      <c r="W426" s="45" t="str">
        <f t="shared" si="412"/>
        <v/>
      </c>
      <c r="X426" s="45" t="str">
        <f t="shared" si="412"/>
        <v/>
      </c>
      <c r="Y426" s="45" t="str">
        <f t="shared" si="412"/>
        <v/>
      </c>
      <c r="Z426" s="45" t="str">
        <f t="shared" si="412"/>
        <v/>
      </c>
      <c r="AA426" s="45" t="str">
        <f t="shared" si="412"/>
        <v/>
      </c>
      <c r="AB426" s="45" t="str">
        <f t="shared" si="412"/>
        <v/>
      </c>
      <c r="AC426" s="45" t="str">
        <f t="shared" si="412"/>
        <v/>
      </c>
      <c r="AD426" s="45" t="str">
        <f t="shared" si="412"/>
        <v/>
      </c>
      <c r="AE426" s="45" t="str">
        <f t="shared" si="412"/>
        <v/>
      </c>
      <c r="AF426" s="45" t="str">
        <f t="shared" si="412"/>
        <v/>
      </c>
      <c r="AG426" s="45" t="str">
        <f t="shared" si="412"/>
        <v/>
      </c>
      <c r="AH426" s="45" t="str">
        <f t="shared" si="412"/>
        <v/>
      </c>
      <c r="AI426" s="45" t="str">
        <f t="shared" si="412"/>
        <v/>
      </c>
      <c r="AJ426" s="45" t="str">
        <f t="shared" si="412"/>
        <v/>
      </c>
      <c r="AK426" s="45" t="str">
        <f t="shared" si="412"/>
        <v/>
      </c>
      <c r="AL426" s="45" t="str">
        <f t="shared" si="412"/>
        <v/>
      </c>
      <c r="AM426" s="45" t="str">
        <f t="shared" si="412"/>
        <v/>
      </c>
      <c r="AN426" s="45" t="str">
        <f t="shared" si="412"/>
        <v/>
      </c>
      <c r="AO426" s="45" t="str">
        <f t="shared" si="412"/>
        <v/>
      </c>
      <c r="AP426" s="45" t="str">
        <f t="shared" si="412"/>
        <v/>
      </c>
      <c r="AQ426" s="45" t="str">
        <f t="shared" si="412"/>
        <v/>
      </c>
      <c r="AR426" s="45" t="str">
        <f t="shared" si="412"/>
        <v/>
      </c>
      <c r="AS426" s="45" t="str">
        <f t="shared" si="412"/>
        <v/>
      </c>
      <c r="AT426" s="45" t="str">
        <f t="shared" si="412"/>
        <v/>
      </c>
      <c r="AU426" s="45" t="str">
        <f t="shared" si="412"/>
        <v/>
      </c>
      <c r="AV426" s="45" t="str">
        <f t="shared" si="412"/>
        <v/>
      </c>
      <c r="AW426" s="45" t="str">
        <f t="shared" si="412"/>
        <v/>
      </c>
      <c r="AX426" s="45" t="str">
        <f t="shared" ref="AX426:CC426" si="413">IF(COUNTIFS($E$427:$E$438,"&lt;&gt;",$D$427:$D$438,"A",AX$427:AX$438,"&lt;&gt;")=0,"",IFERROR(SUMPRODUCT(--($E$427:$E$438&lt;&gt;""),--($D$427:$D$438="A"),$O$427:$O$438,AX$427:AX$438)/SUMPRODUCT(--($E$427:$E$438&lt;&gt;""),--($D$427:$D$438="A"),$O$427:$O$438),""))</f>
        <v/>
      </c>
      <c r="AY426" s="45" t="str">
        <f t="shared" si="413"/>
        <v/>
      </c>
      <c r="AZ426" s="45" t="str">
        <f t="shared" si="413"/>
        <v/>
      </c>
      <c r="BA426" s="45" t="str">
        <f t="shared" si="413"/>
        <v/>
      </c>
      <c r="BB426" s="45" t="str">
        <f t="shared" si="413"/>
        <v/>
      </c>
      <c r="BC426" s="45" t="str">
        <f t="shared" si="413"/>
        <v/>
      </c>
      <c r="BD426" s="45" t="str">
        <f t="shared" si="413"/>
        <v/>
      </c>
      <c r="BE426" s="45" t="str">
        <f t="shared" si="413"/>
        <v/>
      </c>
      <c r="BF426" s="45" t="str">
        <f t="shared" si="413"/>
        <v/>
      </c>
      <c r="BG426" s="45" t="str">
        <f t="shared" si="413"/>
        <v/>
      </c>
      <c r="BH426" s="45" t="str">
        <f t="shared" si="413"/>
        <v/>
      </c>
      <c r="BI426" s="45" t="str">
        <f t="shared" si="413"/>
        <v/>
      </c>
      <c r="BJ426" s="45" t="str">
        <f t="shared" si="413"/>
        <v/>
      </c>
      <c r="BK426" s="45" t="str">
        <f t="shared" si="413"/>
        <v/>
      </c>
      <c r="BL426" s="45" t="str">
        <f t="shared" si="413"/>
        <v/>
      </c>
      <c r="BM426" s="45" t="str">
        <f t="shared" si="413"/>
        <v/>
      </c>
      <c r="BN426" s="45" t="str">
        <f t="shared" si="413"/>
        <v/>
      </c>
      <c r="BO426" s="45" t="str">
        <f t="shared" si="413"/>
        <v/>
      </c>
      <c r="BP426" s="45" t="str">
        <f t="shared" si="413"/>
        <v/>
      </c>
      <c r="BQ426" s="45" t="str">
        <f t="shared" si="413"/>
        <v/>
      </c>
      <c r="BR426" s="45" t="str">
        <f t="shared" si="413"/>
        <v/>
      </c>
      <c r="BS426" s="45" t="str">
        <f t="shared" si="413"/>
        <v/>
      </c>
      <c r="BT426" s="45" t="str">
        <f t="shared" si="413"/>
        <v/>
      </c>
      <c r="BU426" s="45" t="str">
        <f t="shared" si="413"/>
        <v/>
      </c>
      <c r="BV426" s="45" t="str">
        <f t="shared" si="413"/>
        <v/>
      </c>
      <c r="BW426" s="45" t="str">
        <f t="shared" si="413"/>
        <v/>
      </c>
      <c r="BX426" s="45" t="str">
        <f t="shared" si="413"/>
        <v/>
      </c>
      <c r="BY426" s="45" t="str">
        <f t="shared" si="413"/>
        <v/>
      </c>
      <c r="BZ426" s="45" t="str">
        <f t="shared" si="413"/>
        <v/>
      </c>
      <c r="CA426" s="45" t="str">
        <f t="shared" si="413"/>
        <v/>
      </c>
      <c r="CB426" s="45" t="str">
        <f t="shared" si="413"/>
        <v/>
      </c>
      <c r="CC426" s="45" t="str">
        <f t="shared" si="413"/>
        <v/>
      </c>
      <c r="CD426" s="45" t="str">
        <f t="shared" ref="CD426:CO426" si="414">IF(COUNTIFS($E$427:$E$438,"&lt;&gt;",$D$427:$D$438,"A",CD$427:CD$438,"&lt;&gt;")=0,"",IFERROR(SUMPRODUCT(--($E$427:$E$438&lt;&gt;""),--($D$427:$D$438="A"),$O$427:$O$438,CD$427:CD$438)/SUMPRODUCT(--($E$427:$E$438&lt;&gt;""),--($D$427:$D$438="A"),$O$427:$O$438),""))</f>
        <v/>
      </c>
      <c r="CE426" s="45" t="str">
        <f t="shared" si="414"/>
        <v/>
      </c>
      <c r="CF426" s="45" t="str">
        <f t="shared" si="414"/>
        <v/>
      </c>
      <c r="CG426" s="45" t="str">
        <f t="shared" si="414"/>
        <v/>
      </c>
      <c r="CH426" s="45" t="str">
        <f t="shared" si="414"/>
        <v/>
      </c>
      <c r="CI426" s="45" t="str">
        <f t="shared" si="414"/>
        <v/>
      </c>
      <c r="CJ426" s="45" t="str">
        <f t="shared" si="414"/>
        <v/>
      </c>
      <c r="CK426" s="45" t="str">
        <f t="shared" si="414"/>
        <v/>
      </c>
      <c r="CL426" s="45" t="str">
        <f t="shared" si="414"/>
        <v/>
      </c>
      <c r="CM426" s="45" t="str">
        <f t="shared" si="414"/>
        <v/>
      </c>
      <c r="CN426" s="45" t="str">
        <f t="shared" si="414"/>
        <v/>
      </c>
      <c r="CO426" s="45" t="str">
        <f t="shared" si="414"/>
        <v/>
      </c>
    </row>
    <row r="427" spans="1:93" outlineLevel="3" x14ac:dyDescent="0.25">
      <c r="A427" s="1" t="s">
        <v>92</v>
      </c>
      <c r="B427" s="1" t="s">
        <v>580</v>
      </c>
      <c r="C427" s="7" t="s">
        <v>315</v>
      </c>
      <c r="D427" s="8" t="s">
        <v>110</v>
      </c>
      <c r="E427" s="1"/>
      <c r="F427" s="1">
        <v>211</v>
      </c>
      <c r="G427" s="1">
        <v>214</v>
      </c>
      <c r="H427" s="1">
        <v>3</v>
      </c>
      <c r="I427" s="9">
        <v>46486.333333333343</v>
      </c>
      <c r="J427" s="9">
        <v>46513.666666666657</v>
      </c>
      <c r="K427" s="9"/>
      <c r="L427" s="9"/>
      <c r="M427" s="3">
        <f t="shared" si="354"/>
        <v>1.0000000000000002</v>
      </c>
      <c r="N427" s="3"/>
      <c r="O427" s="5">
        <f>SUMIFS($O$428:$O$429,$A$428:$A$429,"Activity",$D$428:$D$429,"P")</f>
        <v>100000</v>
      </c>
      <c r="P427" s="4"/>
      <c r="Q427" s="5"/>
      <c r="R427" s="45" t="str">
        <f t="shared" ref="R427:AW427" si="415">IF(COUNTIFS($A$429:$A$430,"Activity",$D$429:$D$430,"P",R$429:R$430,"&lt;&gt;")=0,"",IFERROR(SUMPRODUCT(--($A$429:$A$430="Activity"),--($D$429:$D$430="P"),$O$429:$O$430,R$429:R$430)/SUMPRODUCT(--($A$429:$A$430="Activity"),--($D$429:$D$430="P"),$O$429:$O$430),""))</f>
        <v/>
      </c>
      <c r="S427" s="45" t="str">
        <f t="shared" si="415"/>
        <v/>
      </c>
      <c r="T427" s="45" t="str">
        <f t="shared" si="415"/>
        <v/>
      </c>
      <c r="U427" s="45" t="str">
        <f t="shared" si="415"/>
        <v/>
      </c>
      <c r="V427" s="45" t="str">
        <f t="shared" si="415"/>
        <v/>
      </c>
      <c r="W427" s="45" t="str">
        <f t="shared" si="415"/>
        <v/>
      </c>
      <c r="X427" s="45" t="str">
        <f t="shared" si="415"/>
        <v/>
      </c>
      <c r="Y427" s="45" t="str">
        <f t="shared" si="415"/>
        <v/>
      </c>
      <c r="Z427" s="45" t="str">
        <f t="shared" si="415"/>
        <v/>
      </c>
      <c r="AA427" s="45" t="str">
        <f t="shared" si="415"/>
        <v/>
      </c>
      <c r="AB427" s="45" t="str">
        <f t="shared" si="415"/>
        <v/>
      </c>
      <c r="AC427" s="45" t="str">
        <f t="shared" si="415"/>
        <v/>
      </c>
      <c r="AD427" s="45" t="str">
        <f t="shared" si="415"/>
        <v/>
      </c>
      <c r="AE427" s="45" t="str">
        <f t="shared" si="415"/>
        <v/>
      </c>
      <c r="AF427" s="45" t="str">
        <f t="shared" si="415"/>
        <v/>
      </c>
      <c r="AG427" s="45" t="str">
        <f t="shared" si="415"/>
        <v/>
      </c>
      <c r="AH427" s="45" t="str">
        <f t="shared" si="415"/>
        <v/>
      </c>
      <c r="AI427" s="45" t="str">
        <f t="shared" si="415"/>
        <v/>
      </c>
      <c r="AJ427" s="45" t="str">
        <f t="shared" si="415"/>
        <v/>
      </c>
      <c r="AK427" s="45" t="str">
        <f t="shared" si="415"/>
        <v/>
      </c>
      <c r="AL427" s="45" t="str">
        <f t="shared" si="415"/>
        <v/>
      </c>
      <c r="AM427" s="45" t="str">
        <f t="shared" si="415"/>
        <v/>
      </c>
      <c r="AN427" s="45" t="str">
        <f t="shared" si="415"/>
        <v/>
      </c>
      <c r="AO427" s="45" t="str">
        <f t="shared" si="415"/>
        <v/>
      </c>
      <c r="AP427" s="45" t="str">
        <f t="shared" si="415"/>
        <v/>
      </c>
      <c r="AQ427" s="45" t="str">
        <f t="shared" si="415"/>
        <v/>
      </c>
      <c r="AR427" s="45" t="str">
        <f t="shared" si="415"/>
        <v/>
      </c>
      <c r="AS427" s="45" t="str">
        <f t="shared" si="415"/>
        <v/>
      </c>
      <c r="AT427" s="45" t="str">
        <f t="shared" si="415"/>
        <v/>
      </c>
      <c r="AU427" s="45" t="str">
        <f t="shared" si="415"/>
        <v/>
      </c>
      <c r="AV427" s="45" t="str">
        <f t="shared" si="415"/>
        <v/>
      </c>
      <c r="AW427" s="45" t="str">
        <f t="shared" si="415"/>
        <v/>
      </c>
      <c r="AX427" s="45" t="str">
        <f t="shared" ref="AX427:CC427" si="416">IF(COUNTIFS($A$429:$A$430,"Activity",$D$429:$D$430,"P",AX$429:AX$430,"&lt;&gt;")=0,"",IFERROR(SUMPRODUCT(--($A$429:$A$430="Activity"),--($D$429:$D$430="P"),$O$429:$O$430,AX$429:AX$430)/SUMPRODUCT(--($A$429:$A$430="Activity"),--($D$429:$D$430="P"),$O$429:$O$430),""))</f>
        <v/>
      </c>
      <c r="AY427" s="45" t="str">
        <f t="shared" si="416"/>
        <v/>
      </c>
      <c r="AZ427" s="45" t="str">
        <f t="shared" si="416"/>
        <v/>
      </c>
      <c r="BA427" s="45" t="str">
        <f t="shared" si="416"/>
        <v/>
      </c>
      <c r="BB427" s="45" t="str">
        <f t="shared" si="416"/>
        <v/>
      </c>
      <c r="BC427" s="45" t="str">
        <f t="shared" si="416"/>
        <v/>
      </c>
      <c r="BD427" s="45" t="str">
        <f t="shared" si="416"/>
        <v/>
      </c>
      <c r="BE427" s="45" t="str">
        <f t="shared" si="416"/>
        <v/>
      </c>
      <c r="BF427" s="45" t="str">
        <f t="shared" si="416"/>
        <v/>
      </c>
      <c r="BG427" s="45" t="str">
        <f t="shared" si="416"/>
        <v/>
      </c>
      <c r="BH427" s="45" t="str">
        <f t="shared" si="416"/>
        <v/>
      </c>
      <c r="BI427" s="45" t="str">
        <f t="shared" si="416"/>
        <v/>
      </c>
      <c r="BJ427" s="45" t="str">
        <f t="shared" si="416"/>
        <v/>
      </c>
      <c r="BK427" s="45" t="str">
        <f t="shared" si="416"/>
        <v/>
      </c>
      <c r="BL427" s="45" t="str">
        <f t="shared" si="416"/>
        <v/>
      </c>
      <c r="BM427" s="45" t="str">
        <f t="shared" si="416"/>
        <v/>
      </c>
      <c r="BN427" s="45" t="str">
        <f t="shared" si="416"/>
        <v/>
      </c>
      <c r="BO427" s="45" t="str">
        <f t="shared" si="416"/>
        <v/>
      </c>
      <c r="BP427" s="45" t="str">
        <f t="shared" si="416"/>
        <v/>
      </c>
      <c r="BQ427" s="45" t="str">
        <f t="shared" si="416"/>
        <v/>
      </c>
      <c r="BR427" s="45" t="str">
        <f t="shared" si="416"/>
        <v/>
      </c>
      <c r="BS427" s="45" t="str">
        <f t="shared" si="416"/>
        <v/>
      </c>
      <c r="BT427" s="45" t="str">
        <f t="shared" si="416"/>
        <v/>
      </c>
      <c r="BU427" s="45" t="str">
        <f t="shared" si="416"/>
        <v/>
      </c>
      <c r="BV427" s="45" t="str">
        <f t="shared" si="416"/>
        <v/>
      </c>
      <c r="BW427" s="45" t="str">
        <f t="shared" si="416"/>
        <v/>
      </c>
      <c r="BX427" s="45" t="str">
        <f t="shared" si="416"/>
        <v/>
      </c>
      <c r="BY427" s="45" t="str">
        <f t="shared" si="416"/>
        <v/>
      </c>
      <c r="BZ427" s="45" t="str">
        <f t="shared" si="416"/>
        <v/>
      </c>
      <c r="CA427" s="45" t="str">
        <f t="shared" si="416"/>
        <v/>
      </c>
      <c r="CB427" s="45" t="str">
        <f t="shared" si="416"/>
        <v/>
      </c>
      <c r="CC427" s="45">
        <f t="shared" si="416"/>
        <v>3.5714285714285719E-2</v>
      </c>
      <c r="CD427" s="45">
        <f t="shared" ref="CD427:CO427" si="417">IF(COUNTIFS($A$429:$A$430,"Activity",$D$429:$D$430,"P",CD$429:CD$430,"&lt;&gt;")=0,"",IFERROR(SUMPRODUCT(--($A$429:$A$430="Activity"),--($D$429:$D$430="P"),$O$429:$O$430,CD$429:CD$430)/SUMPRODUCT(--($A$429:$A$430="Activity"),--($D$429:$D$430="P"),$O$429:$O$430),""))</f>
        <v>0.25000000000000011</v>
      </c>
      <c r="CE427" s="45">
        <f t="shared" si="417"/>
        <v>0.25000000000000011</v>
      </c>
      <c r="CF427" s="45">
        <f t="shared" si="417"/>
        <v>0.25000000000000011</v>
      </c>
      <c r="CG427" s="45">
        <f t="shared" si="417"/>
        <v>0.21428571428571419</v>
      </c>
      <c r="CH427" s="45" t="str">
        <f t="shared" si="417"/>
        <v/>
      </c>
      <c r="CI427" s="45" t="str">
        <f t="shared" si="417"/>
        <v/>
      </c>
      <c r="CJ427" s="45" t="str">
        <f t="shared" si="417"/>
        <v/>
      </c>
      <c r="CK427" s="45" t="str">
        <f t="shared" si="417"/>
        <v/>
      </c>
      <c r="CL427" s="45" t="str">
        <f t="shared" si="417"/>
        <v/>
      </c>
      <c r="CM427" s="45" t="str">
        <f t="shared" si="417"/>
        <v/>
      </c>
      <c r="CN427" s="45" t="str">
        <f t="shared" si="417"/>
        <v/>
      </c>
      <c r="CO427" s="45" t="str">
        <f t="shared" si="417"/>
        <v/>
      </c>
    </row>
    <row r="428" spans="1:93" outlineLevel="3" x14ac:dyDescent="0.25">
      <c r="A428" s="1"/>
      <c r="B428" s="1"/>
      <c r="C428" s="7"/>
      <c r="D428" s="8" t="s">
        <v>111</v>
      </c>
      <c r="E428" s="1"/>
      <c r="F428" s="1"/>
      <c r="G428" s="1"/>
      <c r="H428" s="1"/>
      <c r="I428" s="9"/>
      <c r="J428" s="9"/>
      <c r="K428" s="9"/>
      <c r="L428" s="9"/>
      <c r="M428" s="3" t="str">
        <f t="shared" si="354"/>
        <v/>
      </c>
      <c r="N428" s="3"/>
      <c r="O428" s="46">
        <f>O427</f>
        <v>100000</v>
      </c>
      <c r="P428" s="4"/>
      <c r="Q428" s="5"/>
      <c r="R428" s="45" t="str">
        <f t="shared" ref="R428:AW428" si="418">IF(COUNTIFS($E$429:$E$430,"&lt;&gt;",$D$429:$D$430,"A",R$429:R$430,"&lt;&gt;")=0,"",IFERROR(SUMPRODUCT(--($E$429:$E$430&lt;&gt;""),--($D$429:$D$430="A"),$O$429:$O$430,R$429:R$430)/SUMPRODUCT(--($E$429:$E$430&lt;&gt;""),--($D$429:$D$430="A"),$O$429:$O$430),""))</f>
        <v/>
      </c>
      <c r="S428" s="45" t="str">
        <f t="shared" si="418"/>
        <v/>
      </c>
      <c r="T428" s="45" t="str">
        <f t="shared" si="418"/>
        <v/>
      </c>
      <c r="U428" s="45" t="str">
        <f t="shared" si="418"/>
        <v/>
      </c>
      <c r="V428" s="45" t="str">
        <f t="shared" si="418"/>
        <v/>
      </c>
      <c r="W428" s="45" t="str">
        <f t="shared" si="418"/>
        <v/>
      </c>
      <c r="X428" s="45" t="str">
        <f t="shared" si="418"/>
        <v/>
      </c>
      <c r="Y428" s="45" t="str">
        <f t="shared" si="418"/>
        <v/>
      </c>
      <c r="Z428" s="45" t="str">
        <f t="shared" si="418"/>
        <v/>
      </c>
      <c r="AA428" s="45" t="str">
        <f t="shared" si="418"/>
        <v/>
      </c>
      <c r="AB428" s="45" t="str">
        <f t="shared" si="418"/>
        <v/>
      </c>
      <c r="AC428" s="45" t="str">
        <f t="shared" si="418"/>
        <v/>
      </c>
      <c r="AD428" s="45" t="str">
        <f t="shared" si="418"/>
        <v/>
      </c>
      <c r="AE428" s="45" t="str">
        <f t="shared" si="418"/>
        <v/>
      </c>
      <c r="AF428" s="45" t="str">
        <f t="shared" si="418"/>
        <v/>
      </c>
      <c r="AG428" s="45" t="str">
        <f t="shared" si="418"/>
        <v/>
      </c>
      <c r="AH428" s="45" t="str">
        <f t="shared" si="418"/>
        <v/>
      </c>
      <c r="AI428" s="45" t="str">
        <f t="shared" si="418"/>
        <v/>
      </c>
      <c r="AJ428" s="45" t="str">
        <f t="shared" si="418"/>
        <v/>
      </c>
      <c r="AK428" s="45" t="str">
        <f t="shared" si="418"/>
        <v/>
      </c>
      <c r="AL428" s="45" t="str">
        <f t="shared" si="418"/>
        <v/>
      </c>
      <c r="AM428" s="45" t="str">
        <f t="shared" si="418"/>
        <v/>
      </c>
      <c r="AN428" s="45" t="str">
        <f t="shared" si="418"/>
        <v/>
      </c>
      <c r="AO428" s="45" t="str">
        <f t="shared" si="418"/>
        <v/>
      </c>
      <c r="AP428" s="45" t="str">
        <f t="shared" si="418"/>
        <v/>
      </c>
      <c r="AQ428" s="45" t="str">
        <f t="shared" si="418"/>
        <v/>
      </c>
      <c r="AR428" s="45" t="str">
        <f t="shared" si="418"/>
        <v/>
      </c>
      <c r="AS428" s="45" t="str">
        <f t="shared" si="418"/>
        <v/>
      </c>
      <c r="AT428" s="45" t="str">
        <f t="shared" si="418"/>
        <v/>
      </c>
      <c r="AU428" s="45" t="str">
        <f t="shared" si="418"/>
        <v/>
      </c>
      <c r="AV428" s="45" t="str">
        <f t="shared" si="418"/>
        <v/>
      </c>
      <c r="AW428" s="45" t="str">
        <f t="shared" si="418"/>
        <v/>
      </c>
      <c r="AX428" s="45" t="str">
        <f t="shared" ref="AX428:CC428" si="419">IF(COUNTIFS($E$429:$E$430,"&lt;&gt;",$D$429:$D$430,"A",AX$429:AX$430,"&lt;&gt;")=0,"",IFERROR(SUMPRODUCT(--($E$429:$E$430&lt;&gt;""),--($D$429:$D$430="A"),$O$429:$O$430,AX$429:AX$430)/SUMPRODUCT(--($E$429:$E$430&lt;&gt;""),--($D$429:$D$430="A"),$O$429:$O$430),""))</f>
        <v/>
      </c>
      <c r="AY428" s="45" t="str">
        <f t="shared" si="419"/>
        <v/>
      </c>
      <c r="AZ428" s="45" t="str">
        <f t="shared" si="419"/>
        <v/>
      </c>
      <c r="BA428" s="45" t="str">
        <f t="shared" si="419"/>
        <v/>
      </c>
      <c r="BB428" s="45" t="str">
        <f t="shared" si="419"/>
        <v/>
      </c>
      <c r="BC428" s="45" t="str">
        <f t="shared" si="419"/>
        <v/>
      </c>
      <c r="BD428" s="45" t="str">
        <f t="shared" si="419"/>
        <v/>
      </c>
      <c r="BE428" s="45" t="str">
        <f t="shared" si="419"/>
        <v/>
      </c>
      <c r="BF428" s="45" t="str">
        <f t="shared" si="419"/>
        <v/>
      </c>
      <c r="BG428" s="45" t="str">
        <f t="shared" si="419"/>
        <v/>
      </c>
      <c r="BH428" s="45" t="str">
        <f t="shared" si="419"/>
        <v/>
      </c>
      <c r="BI428" s="45" t="str">
        <f t="shared" si="419"/>
        <v/>
      </c>
      <c r="BJ428" s="45" t="str">
        <f t="shared" si="419"/>
        <v/>
      </c>
      <c r="BK428" s="45" t="str">
        <f t="shared" si="419"/>
        <v/>
      </c>
      <c r="BL428" s="45" t="str">
        <f t="shared" si="419"/>
        <v/>
      </c>
      <c r="BM428" s="45" t="str">
        <f t="shared" si="419"/>
        <v/>
      </c>
      <c r="BN428" s="45" t="str">
        <f t="shared" si="419"/>
        <v/>
      </c>
      <c r="BO428" s="45" t="str">
        <f t="shared" si="419"/>
        <v/>
      </c>
      <c r="BP428" s="45" t="str">
        <f t="shared" si="419"/>
        <v/>
      </c>
      <c r="BQ428" s="45" t="str">
        <f t="shared" si="419"/>
        <v/>
      </c>
      <c r="BR428" s="45" t="str">
        <f t="shared" si="419"/>
        <v/>
      </c>
      <c r="BS428" s="45" t="str">
        <f t="shared" si="419"/>
        <v/>
      </c>
      <c r="BT428" s="45" t="str">
        <f t="shared" si="419"/>
        <v/>
      </c>
      <c r="BU428" s="45" t="str">
        <f t="shared" si="419"/>
        <v/>
      </c>
      <c r="BV428" s="45" t="str">
        <f t="shared" si="419"/>
        <v/>
      </c>
      <c r="BW428" s="45" t="str">
        <f t="shared" si="419"/>
        <v/>
      </c>
      <c r="BX428" s="45" t="str">
        <f t="shared" si="419"/>
        <v/>
      </c>
      <c r="BY428" s="45" t="str">
        <f t="shared" si="419"/>
        <v/>
      </c>
      <c r="BZ428" s="45" t="str">
        <f t="shared" si="419"/>
        <v/>
      </c>
      <c r="CA428" s="45" t="str">
        <f t="shared" si="419"/>
        <v/>
      </c>
      <c r="CB428" s="45" t="str">
        <f t="shared" si="419"/>
        <v/>
      </c>
      <c r="CC428" s="45" t="str">
        <f t="shared" si="419"/>
        <v/>
      </c>
      <c r="CD428" s="45" t="str">
        <f t="shared" ref="CD428:CO428" si="420">IF(COUNTIFS($E$429:$E$430,"&lt;&gt;",$D$429:$D$430,"A",CD$429:CD$430,"&lt;&gt;")=0,"",IFERROR(SUMPRODUCT(--($E$429:$E$430&lt;&gt;""),--($D$429:$D$430="A"),$O$429:$O$430,CD$429:CD$430)/SUMPRODUCT(--($E$429:$E$430&lt;&gt;""),--($D$429:$D$430="A"),$O$429:$O$430),""))</f>
        <v/>
      </c>
      <c r="CE428" s="45" t="str">
        <f t="shared" si="420"/>
        <v/>
      </c>
      <c r="CF428" s="45" t="str">
        <f t="shared" si="420"/>
        <v/>
      </c>
      <c r="CG428" s="45" t="str">
        <f t="shared" si="420"/>
        <v/>
      </c>
      <c r="CH428" s="45" t="str">
        <f t="shared" si="420"/>
        <v/>
      </c>
      <c r="CI428" s="45" t="str">
        <f t="shared" si="420"/>
        <v/>
      </c>
      <c r="CJ428" s="45" t="str">
        <f t="shared" si="420"/>
        <v/>
      </c>
      <c r="CK428" s="45" t="str">
        <f t="shared" si="420"/>
        <v/>
      </c>
      <c r="CL428" s="45" t="str">
        <f t="shared" si="420"/>
        <v/>
      </c>
      <c r="CM428" s="45" t="str">
        <f t="shared" si="420"/>
        <v/>
      </c>
      <c r="CN428" s="45" t="str">
        <f t="shared" si="420"/>
        <v/>
      </c>
      <c r="CO428" s="45" t="str">
        <f t="shared" si="420"/>
        <v/>
      </c>
    </row>
    <row r="429" spans="1:93" outlineLevel="4" x14ac:dyDescent="0.25">
      <c r="A429" s="10" t="s">
        <v>116</v>
      </c>
      <c r="B429" s="10" t="s">
        <v>581</v>
      </c>
      <c r="C429" s="24" t="s">
        <v>582</v>
      </c>
      <c r="D429" s="12" t="s">
        <v>110</v>
      </c>
      <c r="E429" s="10" t="s">
        <v>583</v>
      </c>
      <c r="F429" s="10">
        <v>212</v>
      </c>
      <c r="G429" s="10">
        <v>215</v>
      </c>
      <c r="H429" s="10">
        <v>4</v>
      </c>
      <c r="I429" s="13">
        <v>46486.333333333343</v>
      </c>
      <c r="J429" s="13">
        <v>46513.666666666657</v>
      </c>
      <c r="K429" s="13"/>
      <c r="L429" s="13"/>
      <c r="M429" s="14">
        <f t="shared" si="354"/>
        <v>1.0000000000000002</v>
      </c>
      <c r="N429" s="14"/>
      <c r="O429" s="16">
        <v>100000</v>
      </c>
      <c r="P429" s="15">
        <v>0</v>
      </c>
      <c r="Q429" s="16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>
        <v>3.5714285714285719E-2</v>
      </c>
      <c r="CD429" s="47">
        <v>0.25000000000000011</v>
      </c>
      <c r="CE429" s="47">
        <v>0.25000000000000011</v>
      </c>
      <c r="CF429" s="47">
        <v>0.25000000000000011</v>
      </c>
      <c r="CG429" s="47">
        <v>0.21428571428571419</v>
      </c>
      <c r="CH429" s="47"/>
      <c r="CI429" s="47"/>
      <c r="CJ429" s="47"/>
      <c r="CK429" s="47"/>
      <c r="CL429" s="47"/>
      <c r="CM429" s="47"/>
      <c r="CN429" s="47"/>
      <c r="CO429" s="47"/>
    </row>
    <row r="430" spans="1:93" outlineLevel="4" x14ac:dyDescent="0.25">
      <c r="A430" s="17"/>
      <c r="B430" s="17"/>
      <c r="C430" s="25"/>
      <c r="D430" s="19" t="s">
        <v>111</v>
      </c>
      <c r="E430" s="17" t="s">
        <v>583</v>
      </c>
      <c r="F430" s="17"/>
      <c r="G430" s="17"/>
      <c r="H430" s="17"/>
      <c r="I430" s="20"/>
      <c r="J430" s="20"/>
      <c r="K430" s="20"/>
      <c r="L430" s="20"/>
      <c r="M430" s="21" t="str">
        <f t="shared" si="354"/>
        <v/>
      </c>
      <c r="N430" s="21">
        <v>0</v>
      </c>
      <c r="O430" s="48">
        <f>O429</f>
        <v>100000</v>
      </c>
      <c r="P430" s="22"/>
      <c r="Q430" s="23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  <c r="CO430" s="47"/>
    </row>
    <row r="431" spans="1:93" outlineLevel="3" x14ac:dyDescent="0.25">
      <c r="A431" s="1" t="s">
        <v>92</v>
      </c>
      <c r="B431" s="1" t="s">
        <v>584</v>
      </c>
      <c r="C431" s="7" t="s">
        <v>326</v>
      </c>
      <c r="D431" s="8" t="s">
        <v>110</v>
      </c>
      <c r="E431" s="1"/>
      <c r="F431" s="1">
        <v>213</v>
      </c>
      <c r="G431" s="1">
        <v>216</v>
      </c>
      <c r="H431" s="1">
        <v>3</v>
      </c>
      <c r="I431" s="9">
        <v>46511.333333333343</v>
      </c>
      <c r="J431" s="9">
        <v>46538.666666666657</v>
      </c>
      <c r="K431" s="9"/>
      <c r="L431" s="9"/>
      <c r="M431" s="3">
        <f t="shared" si="354"/>
        <v>1.0000000000000002</v>
      </c>
      <c r="N431" s="3"/>
      <c r="O431" s="5">
        <f>SUMIFS($O$432:$O$437,$A$432:$A$437,"Activity",$D$432:$D$437,"P")</f>
        <v>300000</v>
      </c>
      <c r="P431" s="4"/>
      <c r="Q431" s="5"/>
      <c r="R431" s="45" t="str">
        <f t="shared" ref="R431:AW431" si="421">IF(COUNTIFS($A$433:$A$438,"Activity",$D$433:$D$438,"P",R$433:R$438,"&lt;&gt;")=0,"",IFERROR(SUMPRODUCT(--($A$433:$A$438="Activity"),--($D$433:$D$438="P"),$O$433:$O$438,R$433:R$438)/SUMPRODUCT(--($A$433:$A$438="Activity"),--($D$433:$D$438="P"),$O$433:$O$438),""))</f>
        <v/>
      </c>
      <c r="S431" s="45" t="str">
        <f t="shared" si="421"/>
        <v/>
      </c>
      <c r="T431" s="45" t="str">
        <f t="shared" si="421"/>
        <v/>
      </c>
      <c r="U431" s="45" t="str">
        <f t="shared" si="421"/>
        <v/>
      </c>
      <c r="V431" s="45" t="str">
        <f t="shared" si="421"/>
        <v/>
      </c>
      <c r="W431" s="45" t="str">
        <f t="shared" si="421"/>
        <v/>
      </c>
      <c r="X431" s="45" t="str">
        <f t="shared" si="421"/>
        <v/>
      </c>
      <c r="Y431" s="45" t="str">
        <f t="shared" si="421"/>
        <v/>
      </c>
      <c r="Z431" s="45" t="str">
        <f t="shared" si="421"/>
        <v/>
      </c>
      <c r="AA431" s="45" t="str">
        <f t="shared" si="421"/>
        <v/>
      </c>
      <c r="AB431" s="45" t="str">
        <f t="shared" si="421"/>
        <v/>
      </c>
      <c r="AC431" s="45" t="str">
        <f t="shared" si="421"/>
        <v/>
      </c>
      <c r="AD431" s="45" t="str">
        <f t="shared" si="421"/>
        <v/>
      </c>
      <c r="AE431" s="45" t="str">
        <f t="shared" si="421"/>
        <v/>
      </c>
      <c r="AF431" s="45" t="str">
        <f t="shared" si="421"/>
        <v/>
      </c>
      <c r="AG431" s="45" t="str">
        <f t="shared" si="421"/>
        <v/>
      </c>
      <c r="AH431" s="45" t="str">
        <f t="shared" si="421"/>
        <v/>
      </c>
      <c r="AI431" s="45" t="str">
        <f t="shared" si="421"/>
        <v/>
      </c>
      <c r="AJ431" s="45" t="str">
        <f t="shared" si="421"/>
        <v/>
      </c>
      <c r="AK431" s="45" t="str">
        <f t="shared" si="421"/>
        <v/>
      </c>
      <c r="AL431" s="45" t="str">
        <f t="shared" si="421"/>
        <v/>
      </c>
      <c r="AM431" s="45" t="str">
        <f t="shared" si="421"/>
        <v/>
      </c>
      <c r="AN431" s="45" t="str">
        <f t="shared" si="421"/>
        <v/>
      </c>
      <c r="AO431" s="45" t="str">
        <f t="shared" si="421"/>
        <v/>
      </c>
      <c r="AP431" s="45" t="str">
        <f t="shared" si="421"/>
        <v/>
      </c>
      <c r="AQ431" s="45" t="str">
        <f t="shared" si="421"/>
        <v/>
      </c>
      <c r="AR431" s="45" t="str">
        <f t="shared" si="421"/>
        <v/>
      </c>
      <c r="AS431" s="45" t="str">
        <f t="shared" si="421"/>
        <v/>
      </c>
      <c r="AT431" s="45" t="str">
        <f t="shared" si="421"/>
        <v/>
      </c>
      <c r="AU431" s="45" t="str">
        <f t="shared" si="421"/>
        <v/>
      </c>
      <c r="AV431" s="45" t="str">
        <f t="shared" si="421"/>
        <v/>
      </c>
      <c r="AW431" s="45" t="str">
        <f t="shared" si="421"/>
        <v/>
      </c>
      <c r="AX431" s="45" t="str">
        <f t="shared" ref="AX431:CC431" si="422">IF(COUNTIFS($A$433:$A$438,"Activity",$D$433:$D$438,"P",AX$433:AX$438,"&lt;&gt;")=0,"",IFERROR(SUMPRODUCT(--($A$433:$A$438="Activity"),--($D$433:$D$438="P"),$O$433:$O$438,AX$433:AX$438)/SUMPRODUCT(--($A$433:$A$438="Activity"),--($D$433:$D$438="P"),$O$433:$O$438),""))</f>
        <v/>
      </c>
      <c r="AY431" s="45" t="str">
        <f t="shared" si="422"/>
        <v/>
      </c>
      <c r="AZ431" s="45" t="str">
        <f t="shared" si="422"/>
        <v/>
      </c>
      <c r="BA431" s="45" t="str">
        <f t="shared" si="422"/>
        <v/>
      </c>
      <c r="BB431" s="45" t="str">
        <f t="shared" si="422"/>
        <v/>
      </c>
      <c r="BC431" s="45" t="str">
        <f t="shared" si="422"/>
        <v/>
      </c>
      <c r="BD431" s="45" t="str">
        <f t="shared" si="422"/>
        <v/>
      </c>
      <c r="BE431" s="45" t="str">
        <f t="shared" si="422"/>
        <v/>
      </c>
      <c r="BF431" s="45" t="str">
        <f t="shared" si="422"/>
        <v/>
      </c>
      <c r="BG431" s="45" t="str">
        <f t="shared" si="422"/>
        <v/>
      </c>
      <c r="BH431" s="45" t="str">
        <f t="shared" si="422"/>
        <v/>
      </c>
      <c r="BI431" s="45" t="str">
        <f t="shared" si="422"/>
        <v/>
      </c>
      <c r="BJ431" s="45" t="str">
        <f t="shared" si="422"/>
        <v/>
      </c>
      <c r="BK431" s="45" t="str">
        <f t="shared" si="422"/>
        <v/>
      </c>
      <c r="BL431" s="45" t="str">
        <f t="shared" si="422"/>
        <v/>
      </c>
      <c r="BM431" s="45" t="str">
        <f t="shared" si="422"/>
        <v/>
      </c>
      <c r="BN431" s="45" t="str">
        <f t="shared" si="422"/>
        <v/>
      </c>
      <c r="BO431" s="45" t="str">
        <f t="shared" si="422"/>
        <v/>
      </c>
      <c r="BP431" s="45" t="str">
        <f t="shared" si="422"/>
        <v/>
      </c>
      <c r="BQ431" s="45" t="str">
        <f t="shared" si="422"/>
        <v/>
      </c>
      <c r="BR431" s="45" t="str">
        <f t="shared" si="422"/>
        <v/>
      </c>
      <c r="BS431" s="45" t="str">
        <f t="shared" si="422"/>
        <v/>
      </c>
      <c r="BT431" s="45" t="str">
        <f t="shared" si="422"/>
        <v/>
      </c>
      <c r="BU431" s="45" t="str">
        <f t="shared" si="422"/>
        <v/>
      </c>
      <c r="BV431" s="45" t="str">
        <f t="shared" si="422"/>
        <v/>
      </c>
      <c r="BW431" s="45" t="str">
        <f t="shared" si="422"/>
        <v/>
      </c>
      <c r="BX431" s="45" t="str">
        <f t="shared" si="422"/>
        <v/>
      </c>
      <c r="BY431" s="45" t="str">
        <f t="shared" si="422"/>
        <v/>
      </c>
      <c r="BZ431" s="45" t="str">
        <f t="shared" si="422"/>
        <v/>
      </c>
      <c r="CA431" s="45" t="str">
        <f t="shared" si="422"/>
        <v/>
      </c>
      <c r="CB431" s="45" t="str">
        <f t="shared" si="422"/>
        <v/>
      </c>
      <c r="CC431" s="45" t="str">
        <f t="shared" si="422"/>
        <v/>
      </c>
      <c r="CD431" s="45" t="str">
        <f t="shared" ref="CD431:CO431" si="423">IF(COUNTIFS($A$433:$A$438,"Activity",$D$433:$D$438,"P",CD$433:CD$438,"&lt;&gt;")=0,"",IFERROR(SUMPRODUCT(--($A$433:$A$438="Activity"),--($D$433:$D$438="P"),$O$433:$O$438,CD$433:CD$438)/SUMPRODUCT(--($A$433:$A$438="Activity"),--($D$433:$D$438="P"),$O$433:$O$438),""))</f>
        <v/>
      </c>
      <c r="CE431" s="45" t="str">
        <f t="shared" si="423"/>
        <v/>
      </c>
      <c r="CF431" s="45" t="str">
        <f t="shared" si="423"/>
        <v/>
      </c>
      <c r="CG431" s="45">
        <f t="shared" si="423"/>
        <v>0.11111111111111115</v>
      </c>
      <c r="CH431" s="45">
        <f t="shared" si="423"/>
        <v>0.27777777777777779</v>
      </c>
      <c r="CI431" s="45">
        <f t="shared" si="423"/>
        <v>0.27777777777777779</v>
      </c>
      <c r="CJ431" s="45">
        <f t="shared" si="423"/>
        <v>0.26190476190476203</v>
      </c>
      <c r="CK431" s="45">
        <f t="shared" si="423"/>
        <v>7.1428571428571327E-2</v>
      </c>
      <c r="CL431" s="45" t="str">
        <f t="shared" si="423"/>
        <v/>
      </c>
      <c r="CM431" s="45" t="str">
        <f t="shared" si="423"/>
        <v/>
      </c>
      <c r="CN431" s="45" t="str">
        <f t="shared" si="423"/>
        <v/>
      </c>
      <c r="CO431" s="45" t="str">
        <f t="shared" si="423"/>
        <v/>
      </c>
    </row>
    <row r="432" spans="1:93" outlineLevel="3" x14ac:dyDescent="0.25">
      <c r="A432" s="1"/>
      <c r="B432" s="1"/>
      <c r="C432" s="7"/>
      <c r="D432" s="8" t="s">
        <v>111</v>
      </c>
      <c r="E432" s="1"/>
      <c r="F432" s="1"/>
      <c r="G432" s="1"/>
      <c r="H432" s="1"/>
      <c r="I432" s="9"/>
      <c r="J432" s="9"/>
      <c r="K432" s="9"/>
      <c r="L432" s="9"/>
      <c r="M432" s="3" t="str">
        <f t="shared" si="354"/>
        <v/>
      </c>
      <c r="N432" s="3"/>
      <c r="O432" s="46">
        <f>O431</f>
        <v>300000</v>
      </c>
      <c r="P432" s="4"/>
      <c r="Q432" s="5"/>
      <c r="R432" s="45" t="str">
        <f t="shared" ref="R432:AW432" si="424">IF(COUNTIFS($E$433:$E$438,"&lt;&gt;",$D$433:$D$438,"A",R$433:R$438,"&lt;&gt;")=0,"",IFERROR(SUMPRODUCT(--($E$433:$E$438&lt;&gt;""),--($D$433:$D$438="A"),$O$433:$O$438,R$433:R$438)/SUMPRODUCT(--($E$433:$E$438&lt;&gt;""),--($D$433:$D$438="A"),$O$433:$O$438),""))</f>
        <v/>
      </c>
      <c r="S432" s="45" t="str">
        <f t="shared" si="424"/>
        <v/>
      </c>
      <c r="T432" s="45" t="str">
        <f t="shared" si="424"/>
        <v/>
      </c>
      <c r="U432" s="45" t="str">
        <f t="shared" si="424"/>
        <v/>
      </c>
      <c r="V432" s="45" t="str">
        <f t="shared" si="424"/>
        <v/>
      </c>
      <c r="W432" s="45" t="str">
        <f t="shared" si="424"/>
        <v/>
      </c>
      <c r="X432" s="45" t="str">
        <f t="shared" si="424"/>
        <v/>
      </c>
      <c r="Y432" s="45" t="str">
        <f t="shared" si="424"/>
        <v/>
      </c>
      <c r="Z432" s="45" t="str">
        <f t="shared" si="424"/>
        <v/>
      </c>
      <c r="AA432" s="45" t="str">
        <f t="shared" si="424"/>
        <v/>
      </c>
      <c r="AB432" s="45" t="str">
        <f t="shared" si="424"/>
        <v/>
      </c>
      <c r="AC432" s="45" t="str">
        <f t="shared" si="424"/>
        <v/>
      </c>
      <c r="AD432" s="45" t="str">
        <f t="shared" si="424"/>
        <v/>
      </c>
      <c r="AE432" s="45" t="str">
        <f t="shared" si="424"/>
        <v/>
      </c>
      <c r="AF432" s="45" t="str">
        <f t="shared" si="424"/>
        <v/>
      </c>
      <c r="AG432" s="45" t="str">
        <f t="shared" si="424"/>
        <v/>
      </c>
      <c r="AH432" s="45" t="str">
        <f t="shared" si="424"/>
        <v/>
      </c>
      <c r="AI432" s="45" t="str">
        <f t="shared" si="424"/>
        <v/>
      </c>
      <c r="AJ432" s="45" t="str">
        <f t="shared" si="424"/>
        <v/>
      </c>
      <c r="AK432" s="45" t="str">
        <f t="shared" si="424"/>
        <v/>
      </c>
      <c r="AL432" s="45" t="str">
        <f t="shared" si="424"/>
        <v/>
      </c>
      <c r="AM432" s="45" t="str">
        <f t="shared" si="424"/>
        <v/>
      </c>
      <c r="AN432" s="45" t="str">
        <f t="shared" si="424"/>
        <v/>
      </c>
      <c r="AO432" s="45" t="str">
        <f t="shared" si="424"/>
        <v/>
      </c>
      <c r="AP432" s="45" t="str">
        <f t="shared" si="424"/>
        <v/>
      </c>
      <c r="AQ432" s="45" t="str">
        <f t="shared" si="424"/>
        <v/>
      </c>
      <c r="AR432" s="45" t="str">
        <f t="shared" si="424"/>
        <v/>
      </c>
      <c r="AS432" s="45" t="str">
        <f t="shared" si="424"/>
        <v/>
      </c>
      <c r="AT432" s="45" t="str">
        <f t="shared" si="424"/>
        <v/>
      </c>
      <c r="AU432" s="45" t="str">
        <f t="shared" si="424"/>
        <v/>
      </c>
      <c r="AV432" s="45" t="str">
        <f t="shared" si="424"/>
        <v/>
      </c>
      <c r="AW432" s="45" t="str">
        <f t="shared" si="424"/>
        <v/>
      </c>
      <c r="AX432" s="45" t="str">
        <f t="shared" ref="AX432:CC432" si="425">IF(COUNTIFS($E$433:$E$438,"&lt;&gt;",$D$433:$D$438,"A",AX$433:AX$438,"&lt;&gt;")=0,"",IFERROR(SUMPRODUCT(--($E$433:$E$438&lt;&gt;""),--($D$433:$D$438="A"),$O$433:$O$438,AX$433:AX$438)/SUMPRODUCT(--($E$433:$E$438&lt;&gt;""),--($D$433:$D$438="A"),$O$433:$O$438),""))</f>
        <v/>
      </c>
      <c r="AY432" s="45" t="str">
        <f t="shared" si="425"/>
        <v/>
      </c>
      <c r="AZ432" s="45" t="str">
        <f t="shared" si="425"/>
        <v/>
      </c>
      <c r="BA432" s="45" t="str">
        <f t="shared" si="425"/>
        <v/>
      </c>
      <c r="BB432" s="45" t="str">
        <f t="shared" si="425"/>
        <v/>
      </c>
      <c r="BC432" s="45" t="str">
        <f t="shared" si="425"/>
        <v/>
      </c>
      <c r="BD432" s="45" t="str">
        <f t="shared" si="425"/>
        <v/>
      </c>
      <c r="BE432" s="45" t="str">
        <f t="shared" si="425"/>
        <v/>
      </c>
      <c r="BF432" s="45" t="str">
        <f t="shared" si="425"/>
        <v/>
      </c>
      <c r="BG432" s="45" t="str">
        <f t="shared" si="425"/>
        <v/>
      </c>
      <c r="BH432" s="45" t="str">
        <f t="shared" si="425"/>
        <v/>
      </c>
      <c r="BI432" s="45" t="str">
        <f t="shared" si="425"/>
        <v/>
      </c>
      <c r="BJ432" s="45" t="str">
        <f t="shared" si="425"/>
        <v/>
      </c>
      <c r="BK432" s="45" t="str">
        <f t="shared" si="425"/>
        <v/>
      </c>
      <c r="BL432" s="45" t="str">
        <f t="shared" si="425"/>
        <v/>
      </c>
      <c r="BM432" s="45" t="str">
        <f t="shared" si="425"/>
        <v/>
      </c>
      <c r="BN432" s="45" t="str">
        <f t="shared" si="425"/>
        <v/>
      </c>
      <c r="BO432" s="45" t="str">
        <f t="shared" si="425"/>
        <v/>
      </c>
      <c r="BP432" s="45" t="str">
        <f t="shared" si="425"/>
        <v/>
      </c>
      <c r="BQ432" s="45" t="str">
        <f t="shared" si="425"/>
        <v/>
      </c>
      <c r="BR432" s="45" t="str">
        <f t="shared" si="425"/>
        <v/>
      </c>
      <c r="BS432" s="45" t="str">
        <f t="shared" si="425"/>
        <v/>
      </c>
      <c r="BT432" s="45" t="str">
        <f t="shared" si="425"/>
        <v/>
      </c>
      <c r="BU432" s="45" t="str">
        <f t="shared" si="425"/>
        <v/>
      </c>
      <c r="BV432" s="45" t="str">
        <f t="shared" si="425"/>
        <v/>
      </c>
      <c r="BW432" s="45" t="str">
        <f t="shared" si="425"/>
        <v/>
      </c>
      <c r="BX432" s="45" t="str">
        <f t="shared" si="425"/>
        <v/>
      </c>
      <c r="BY432" s="45" t="str">
        <f t="shared" si="425"/>
        <v/>
      </c>
      <c r="BZ432" s="45" t="str">
        <f t="shared" si="425"/>
        <v/>
      </c>
      <c r="CA432" s="45" t="str">
        <f t="shared" si="425"/>
        <v/>
      </c>
      <c r="CB432" s="45" t="str">
        <f t="shared" si="425"/>
        <v/>
      </c>
      <c r="CC432" s="45" t="str">
        <f t="shared" si="425"/>
        <v/>
      </c>
      <c r="CD432" s="45" t="str">
        <f t="shared" ref="CD432:CO432" si="426">IF(COUNTIFS($E$433:$E$438,"&lt;&gt;",$D$433:$D$438,"A",CD$433:CD$438,"&lt;&gt;")=0,"",IFERROR(SUMPRODUCT(--($E$433:$E$438&lt;&gt;""),--($D$433:$D$438="A"),$O$433:$O$438,CD$433:CD$438)/SUMPRODUCT(--($E$433:$E$438&lt;&gt;""),--($D$433:$D$438="A"),$O$433:$O$438),""))</f>
        <v/>
      </c>
      <c r="CE432" s="45" t="str">
        <f t="shared" si="426"/>
        <v/>
      </c>
      <c r="CF432" s="45" t="str">
        <f t="shared" si="426"/>
        <v/>
      </c>
      <c r="CG432" s="45" t="str">
        <f t="shared" si="426"/>
        <v/>
      </c>
      <c r="CH432" s="45" t="str">
        <f t="shared" si="426"/>
        <v/>
      </c>
      <c r="CI432" s="45" t="str">
        <f t="shared" si="426"/>
        <v/>
      </c>
      <c r="CJ432" s="45" t="str">
        <f t="shared" si="426"/>
        <v/>
      </c>
      <c r="CK432" s="45" t="str">
        <f t="shared" si="426"/>
        <v/>
      </c>
      <c r="CL432" s="45" t="str">
        <f t="shared" si="426"/>
        <v/>
      </c>
      <c r="CM432" s="45" t="str">
        <f t="shared" si="426"/>
        <v/>
      </c>
      <c r="CN432" s="45" t="str">
        <f t="shared" si="426"/>
        <v/>
      </c>
      <c r="CO432" s="45" t="str">
        <f t="shared" si="426"/>
        <v/>
      </c>
    </row>
    <row r="433" spans="1:93" outlineLevel="4" x14ac:dyDescent="0.25">
      <c r="A433" s="10" t="s">
        <v>116</v>
      </c>
      <c r="B433" s="10" t="s">
        <v>585</v>
      </c>
      <c r="C433" s="24" t="s">
        <v>586</v>
      </c>
      <c r="D433" s="12" t="s">
        <v>110</v>
      </c>
      <c r="E433" s="10" t="s">
        <v>587</v>
      </c>
      <c r="F433" s="10">
        <v>214</v>
      </c>
      <c r="G433" s="10">
        <v>150</v>
      </c>
      <c r="H433" s="10">
        <v>4</v>
      </c>
      <c r="I433" s="13">
        <v>46511.333333333343</v>
      </c>
      <c r="J433" s="13">
        <v>46538.666666666657</v>
      </c>
      <c r="K433" s="13"/>
      <c r="L433" s="13"/>
      <c r="M433" s="14">
        <f t="shared" si="354"/>
        <v>1.0000000000000002</v>
      </c>
      <c r="N433" s="14"/>
      <c r="O433" s="16">
        <v>100000</v>
      </c>
      <c r="P433" s="15">
        <v>0</v>
      </c>
      <c r="Q433" s="16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>
        <v>0.1428571428571429</v>
      </c>
      <c r="CH433" s="47">
        <v>0.25000000000000011</v>
      </c>
      <c r="CI433" s="47">
        <v>0.25000000000000011</v>
      </c>
      <c r="CJ433" s="47">
        <v>0.25000000000000011</v>
      </c>
      <c r="CK433" s="47">
        <v>0.107142857142857</v>
      </c>
      <c r="CL433" s="47"/>
      <c r="CM433" s="47"/>
      <c r="CN433" s="47"/>
      <c r="CO433" s="47"/>
    </row>
    <row r="434" spans="1:93" outlineLevel="4" x14ac:dyDescent="0.25">
      <c r="A434" s="17"/>
      <c r="B434" s="17"/>
      <c r="C434" s="25"/>
      <c r="D434" s="19" t="s">
        <v>111</v>
      </c>
      <c r="E434" s="17" t="s">
        <v>587</v>
      </c>
      <c r="F434" s="17"/>
      <c r="G434" s="17"/>
      <c r="H434" s="17"/>
      <c r="I434" s="20"/>
      <c r="J434" s="20"/>
      <c r="K434" s="20"/>
      <c r="L434" s="20"/>
      <c r="M434" s="21" t="str">
        <f t="shared" si="354"/>
        <v/>
      </c>
      <c r="N434" s="21">
        <v>0</v>
      </c>
      <c r="O434" s="48">
        <f>O433</f>
        <v>100000</v>
      </c>
      <c r="P434" s="22"/>
      <c r="Q434" s="23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  <c r="CO434" s="47"/>
    </row>
    <row r="435" spans="1:93" outlineLevel="4" x14ac:dyDescent="0.25">
      <c r="A435" s="10" t="s">
        <v>116</v>
      </c>
      <c r="B435" s="10" t="s">
        <v>588</v>
      </c>
      <c r="C435" s="24" t="s">
        <v>589</v>
      </c>
      <c r="D435" s="12" t="s">
        <v>110</v>
      </c>
      <c r="E435" s="10" t="s">
        <v>590</v>
      </c>
      <c r="F435" s="10">
        <v>215</v>
      </c>
      <c r="G435" s="10">
        <v>152</v>
      </c>
      <c r="H435" s="10">
        <v>4</v>
      </c>
      <c r="I435" s="13">
        <v>46511.333333333343</v>
      </c>
      <c r="J435" s="13">
        <v>46538.666666666657</v>
      </c>
      <c r="K435" s="13"/>
      <c r="L435" s="13"/>
      <c r="M435" s="14">
        <f t="shared" si="354"/>
        <v>1.0000000000000002</v>
      </c>
      <c r="N435" s="14"/>
      <c r="O435" s="16">
        <v>100000</v>
      </c>
      <c r="P435" s="15">
        <v>0</v>
      </c>
      <c r="Q435" s="16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>
        <v>0.1428571428571429</v>
      </c>
      <c r="CH435" s="47">
        <v>0.25000000000000011</v>
      </c>
      <c r="CI435" s="47">
        <v>0.25000000000000011</v>
      </c>
      <c r="CJ435" s="47">
        <v>0.25000000000000011</v>
      </c>
      <c r="CK435" s="47">
        <v>0.107142857142857</v>
      </c>
      <c r="CL435" s="47"/>
      <c r="CM435" s="47"/>
      <c r="CN435" s="47"/>
      <c r="CO435" s="47"/>
    </row>
    <row r="436" spans="1:93" outlineLevel="4" x14ac:dyDescent="0.25">
      <c r="A436" s="17"/>
      <c r="B436" s="17"/>
      <c r="C436" s="25"/>
      <c r="D436" s="19" t="s">
        <v>111</v>
      </c>
      <c r="E436" s="17" t="s">
        <v>590</v>
      </c>
      <c r="F436" s="17"/>
      <c r="G436" s="17"/>
      <c r="H436" s="17"/>
      <c r="I436" s="20"/>
      <c r="J436" s="20"/>
      <c r="K436" s="20"/>
      <c r="L436" s="20"/>
      <c r="M436" s="21" t="str">
        <f t="shared" si="354"/>
        <v/>
      </c>
      <c r="N436" s="21">
        <v>0</v>
      </c>
      <c r="O436" s="48">
        <f>O435</f>
        <v>100000</v>
      </c>
      <c r="P436" s="22"/>
      <c r="Q436" s="23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  <c r="CO436" s="47"/>
    </row>
    <row r="437" spans="1:93" outlineLevel="4" x14ac:dyDescent="0.25">
      <c r="A437" s="10" t="s">
        <v>116</v>
      </c>
      <c r="B437" s="10" t="s">
        <v>591</v>
      </c>
      <c r="C437" s="24" t="s">
        <v>592</v>
      </c>
      <c r="D437" s="12" t="s">
        <v>110</v>
      </c>
      <c r="E437" s="10" t="s">
        <v>593</v>
      </c>
      <c r="F437" s="10">
        <v>216</v>
      </c>
      <c r="G437" s="10">
        <v>217</v>
      </c>
      <c r="H437" s="10">
        <v>4</v>
      </c>
      <c r="I437" s="13">
        <v>46514.333333333343</v>
      </c>
      <c r="J437" s="13">
        <v>46534.666666666657</v>
      </c>
      <c r="K437" s="13"/>
      <c r="L437" s="13"/>
      <c r="M437" s="14">
        <f t="shared" si="354"/>
        <v>1</v>
      </c>
      <c r="N437" s="14"/>
      <c r="O437" s="16">
        <v>100000</v>
      </c>
      <c r="P437" s="15">
        <v>0.26666666666666672</v>
      </c>
      <c r="Q437" s="16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>
        <v>4.7619047619047623E-2</v>
      </c>
      <c r="CH437" s="47">
        <v>0.33333333333333331</v>
      </c>
      <c r="CI437" s="47">
        <v>0.33333333333333331</v>
      </c>
      <c r="CJ437" s="47">
        <v>0.28571428571428581</v>
      </c>
      <c r="CK437" s="47"/>
      <c r="CL437" s="47"/>
      <c r="CM437" s="47"/>
      <c r="CN437" s="47"/>
      <c r="CO437" s="47"/>
    </row>
    <row r="438" spans="1:93" outlineLevel="4" x14ac:dyDescent="0.25">
      <c r="A438" s="17"/>
      <c r="B438" s="17"/>
      <c r="C438" s="25"/>
      <c r="D438" s="19" t="s">
        <v>111</v>
      </c>
      <c r="E438" s="17" t="s">
        <v>593</v>
      </c>
      <c r="F438" s="17"/>
      <c r="G438" s="17"/>
      <c r="H438" s="17"/>
      <c r="I438" s="20"/>
      <c r="J438" s="20"/>
      <c r="K438" s="20"/>
      <c r="L438" s="20"/>
      <c r="M438" s="21" t="str">
        <f t="shared" si="354"/>
        <v/>
      </c>
      <c r="N438" s="21">
        <v>0</v>
      </c>
      <c r="O438" s="48">
        <f>O437</f>
        <v>100000</v>
      </c>
      <c r="P438" s="22"/>
      <c r="Q438" s="23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  <c r="CO438" s="47"/>
    </row>
    <row r="439" spans="1:93" outlineLevel="2" x14ac:dyDescent="0.25">
      <c r="A439" s="1" t="s">
        <v>92</v>
      </c>
      <c r="B439" s="1" t="s">
        <v>594</v>
      </c>
      <c r="C439" s="6" t="s">
        <v>465</v>
      </c>
      <c r="D439" s="8" t="s">
        <v>110</v>
      </c>
      <c r="E439" s="1"/>
      <c r="F439" s="1">
        <v>217</v>
      </c>
      <c r="G439" s="1">
        <v>218</v>
      </c>
      <c r="H439" s="1">
        <v>2</v>
      </c>
      <c r="I439" s="9">
        <v>46500.333333333343</v>
      </c>
      <c r="J439" s="9">
        <v>46513.666666666657</v>
      </c>
      <c r="K439" s="9"/>
      <c r="L439" s="9"/>
      <c r="M439" s="3">
        <f t="shared" si="354"/>
        <v>0.99999999999999989</v>
      </c>
      <c r="N439" s="3"/>
      <c r="O439" s="5">
        <f>SUMIFS($O$440:$O$443,$A$440:$A$443,"Activity",$D$440:$D$443,"P")</f>
        <v>100000</v>
      </c>
      <c r="P439" s="4"/>
      <c r="Q439" s="5"/>
      <c r="R439" s="45" t="str">
        <f t="shared" ref="R439:AW439" si="427">IF(COUNTIFS($A$441:$A$444,"Activity",$D$441:$D$444,"P",R$441:R$444,"&lt;&gt;")=0,"",IFERROR(SUMPRODUCT(--($A$441:$A$444="Activity"),--($D$441:$D$444="P"),$O$441:$O$444,R$441:R$444)/SUMPRODUCT(--($A$441:$A$444="Activity"),--($D$441:$D$444="P"),$O$441:$O$444),""))</f>
        <v/>
      </c>
      <c r="S439" s="45" t="str">
        <f t="shared" si="427"/>
        <v/>
      </c>
      <c r="T439" s="45" t="str">
        <f t="shared" si="427"/>
        <v/>
      </c>
      <c r="U439" s="45" t="str">
        <f t="shared" si="427"/>
        <v/>
      </c>
      <c r="V439" s="45" t="str">
        <f t="shared" si="427"/>
        <v/>
      </c>
      <c r="W439" s="45" t="str">
        <f t="shared" si="427"/>
        <v/>
      </c>
      <c r="X439" s="45" t="str">
        <f t="shared" si="427"/>
        <v/>
      </c>
      <c r="Y439" s="45" t="str">
        <f t="shared" si="427"/>
        <v/>
      </c>
      <c r="Z439" s="45" t="str">
        <f t="shared" si="427"/>
        <v/>
      </c>
      <c r="AA439" s="45" t="str">
        <f t="shared" si="427"/>
        <v/>
      </c>
      <c r="AB439" s="45" t="str">
        <f t="shared" si="427"/>
        <v/>
      </c>
      <c r="AC439" s="45" t="str">
        <f t="shared" si="427"/>
        <v/>
      </c>
      <c r="AD439" s="45" t="str">
        <f t="shared" si="427"/>
        <v/>
      </c>
      <c r="AE439" s="45" t="str">
        <f t="shared" si="427"/>
        <v/>
      </c>
      <c r="AF439" s="45" t="str">
        <f t="shared" si="427"/>
        <v/>
      </c>
      <c r="AG439" s="45" t="str">
        <f t="shared" si="427"/>
        <v/>
      </c>
      <c r="AH439" s="45" t="str">
        <f t="shared" si="427"/>
        <v/>
      </c>
      <c r="AI439" s="45" t="str">
        <f t="shared" si="427"/>
        <v/>
      </c>
      <c r="AJ439" s="45" t="str">
        <f t="shared" si="427"/>
        <v/>
      </c>
      <c r="AK439" s="45" t="str">
        <f t="shared" si="427"/>
        <v/>
      </c>
      <c r="AL439" s="45" t="str">
        <f t="shared" si="427"/>
        <v/>
      </c>
      <c r="AM439" s="45" t="str">
        <f t="shared" si="427"/>
        <v/>
      </c>
      <c r="AN439" s="45" t="str">
        <f t="shared" si="427"/>
        <v/>
      </c>
      <c r="AO439" s="45" t="str">
        <f t="shared" si="427"/>
        <v/>
      </c>
      <c r="AP439" s="45" t="str">
        <f t="shared" si="427"/>
        <v/>
      </c>
      <c r="AQ439" s="45" t="str">
        <f t="shared" si="427"/>
        <v/>
      </c>
      <c r="AR439" s="45" t="str">
        <f t="shared" si="427"/>
        <v/>
      </c>
      <c r="AS439" s="45" t="str">
        <f t="shared" si="427"/>
        <v/>
      </c>
      <c r="AT439" s="45" t="str">
        <f t="shared" si="427"/>
        <v/>
      </c>
      <c r="AU439" s="45" t="str">
        <f t="shared" si="427"/>
        <v/>
      </c>
      <c r="AV439" s="45" t="str">
        <f t="shared" si="427"/>
        <v/>
      </c>
      <c r="AW439" s="45" t="str">
        <f t="shared" si="427"/>
        <v/>
      </c>
      <c r="AX439" s="45" t="str">
        <f t="shared" ref="AX439:CC439" si="428">IF(COUNTIFS($A$441:$A$444,"Activity",$D$441:$D$444,"P",AX$441:AX$444,"&lt;&gt;")=0,"",IFERROR(SUMPRODUCT(--($A$441:$A$444="Activity"),--($D$441:$D$444="P"),$O$441:$O$444,AX$441:AX$444)/SUMPRODUCT(--($A$441:$A$444="Activity"),--($D$441:$D$444="P"),$O$441:$O$444),""))</f>
        <v/>
      </c>
      <c r="AY439" s="45" t="str">
        <f t="shared" si="428"/>
        <v/>
      </c>
      <c r="AZ439" s="45" t="str">
        <f t="shared" si="428"/>
        <v/>
      </c>
      <c r="BA439" s="45" t="str">
        <f t="shared" si="428"/>
        <v/>
      </c>
      <c r="BB439" s="45" t="str">
        <f t="shared" si="428"/>
        <v/>
      </c>
      <c r="BC439" s="45" t="str">
        <f t="shared" si="428"/>
        <v/>
      </c>
      <c r="BD439" s="45" t="str">
        <f t="shared" si="428"/>
        <v/>
      </c>
      <c r="BE439" s="45" t="str">
        <f t="shared" si="428"/>
        <v/>
      </c>
      <c r="BF439" s="45" t="str">
        <f t="shared" si="428"/>
        <v/>
      </c>
      <c r="BG439" s="45" t="str">
        <f t="shared" si="428"/>
        <v/>
      </c>
      <c r="BH439" s="45" t="str">
        <f t="shared" si="428"/>
        <v/>
      </c>
      <c r="BI439" s="45" t="str">
        <f t="shared" si="428"/>
        <v/>
      </c>
      <c r="BJ439" s="45" t="str">
        <f t="shared" si="428"/>
        <v/>
      </c>
      <c r="BK439" s="45" t="str">
        <f t="shared" si="428"/>
        <v/>
      </c>
      <c r="BL439" s="45" t="str">
        <f t="shared" si="428"/>
        <v/>
      </c>
      <c r="BM439" s="45" t="str">
        <f t="shared" si="428"/>
        <v/>
      </c>
      <c r="BN439" s="45" t="str">
        <f t="shared" si="428"/>
        <v/>
      </c>
      <c r="BO439" s="45" t="str">
        <f t="shared" si="428"/>
        <v/>
      </c>
      <c r="BP439" s="45" t="str">
        <f t="shared" si="428"/>
        <v/>
      </c>
      <c r="BQ439" s="45" t="str">
        <f t="shared" si="428"/>
        <v/>
      </c>
      <c r="BR439" s="45" t="str">
        <f t="shared" si="428"/>
        <v/>
      </c>
      <c r="BS439" s="45" t="str">
        <f t="shared" si="428"/>
        <v/>
      </c>
      <c r="BT439" s="45" t="str">
        <f t="shared" si="428"/>
        <v/>
      </c>
      <c r="BU439" s="45" t="str">
        <f t="shared" si="428"/>
        <v/>
      </c>
      <c r="BV439" s="45" t="str">
        <f t="shared" si="428"/>
        <v/>
      </c>
      <c r="BW439" s="45" t="str">
        <f t="shared" si="428"/>
        <v/>
      </c>
      <c r="BX439" s="45" t="str">
        <f t="shared" si="428"/>
        <v/>
      </c>
      <c r="BY439" s="45" t="str">
        <f t="shared" si="428"/>
        <v/>
      </c>
      <c r="BZ439" s="45" t="str">
        <f t="shared" si="428"/>
        <v/>
      </c>
      <c r="CA439" s="45" t="str">
        <f t="shared" si="428"/>
        <v/>
      </c>
      <c r="CB439" s="45" t="str">
        <f t="shared" si="428"/>
        <v/>
      </c>
      <c r="CC439" s="45" t="str">
        <f t="shared" si="428"/>
        <v/>
      </c>
      <c r="CD439" s="45" t="str">
        <f t="shared" ref="CD439:CO439" si="429">IF(COUNTIFS($A$441:$A$444,"Activity",$D$441:$D$444,"P",CD$441:CD$444,"&lt;&gt;")=0,"",IFERROR(SUMPRODUCT(--($A$441:$A$444="Activity"),--($D$441:$D$444="P"),$O$441:$O$444,CD$441:CD$444)/SUMPRODUCT(--($A$441:$A$444="Activity"),--($D$441:$D$444="P"),$O$441:$O$444),""))</f>
        <v/>
      </c>
      <c r="CE439" s="45">
        <f t="shared" si="429"/>
        <v>7.1428571428571411E-2</v>
      </c>
      <c r="CF439" s="45">
        <f t="shared" si="429"/>
        <v>0.49999999999999983</v>
      </c>
      <c r="CG439" s="45">
        <f t="shared" si="429"/>
        <v>0.4285714285714286</v>
      </c>
      <c r="CH439" s="45" t="str">
        <f t="shared" si="429"/>
        <v/>
      </c>
      <c r="CI439" s="45" t="str">
        <f t="shared" si="429"/>
        <v/>
      </c>
      <c r="CJ439" s="45" t="str">
        <f t="shared" si="429"/>
        <v/>
      </c>
      <c r="CK439" s="45" t="str">
        <f t="shared" si="429"/>
        <v/>
      </c>
      <c r="CL439" s="45" t="str">
        <f t="shared" si="429"/>
        <v/>
      </c>
      <c r="CM439" s="45" t="str">
        <f t="shared" si="429"/>
        <v/>
      </c>
      <c r="CN439" s="45" t="str">
        <f t="shared" si="429"/>
        <v/>
      </c>
      <c r="CO439" s="45" t="str">
        <f t="shared" si="429"/>
        <v/>
      </c>
    </row>
    <row r="440" spans="1:93" outlineLevel="2" x14ac:dyDescent="0.25">
      <c r="A440" s="1"/>
      <c r="B440" s="1"/>
      <c r="C440" s="6"/>
      <c r="D440" s="8" t="s">
        <v>111</v>
      </c>
      <c r="E440" s="1"/>
      <c r="F440" s="1"/>
      <c r="G440" s="1"/>
      <c r="H440" s="1"/>
      <c r="I440" s="9"/>
      <c r="J440" s="9"/>
      <c r="K440" s="9"/>
      <c r="L440" s="9"/>
      <c r="M440" s="3" t="str">
        <f t="shared" si="354"/>
        <v/>
      </c>
      <c r="N440" s="3"/>
      <c r="O440" s="46">
        <f>O439</f>
        <v>100000</v>
      </c>
      <c r="P440" s="4"/>
      <c r="Q440" s="5"/>
      <c r="R440" s="45" t="str">
        <f t="shared" ref="R440:AW440" si="430">IF(COUNTIFS($E$441:$E$444,"&lt;&gt;",$D$441:$D$444,"A",R$441:R$444,"&lt;&gt;")=0,"",IFERROR(SUMPRODUCT(--($E$441:$E$444&lt;&gt;""),--($D$441:$D$444="A"),$O$441:$O$444,R$441:R$444)/SUMPRODUCT(--($E$441:$E$444&lt;&gt;""),--($D$441:$D$444="A"),$O$441:$O$444),""))</f>
        <v/>
      </c>
      <c r="S440" s="45" t="str">
        <f t="shared" si="430"/>
        <v/>
      </c>
      <c r="T440" s="45" t="str">
        <f t="shared" si="430"/>
        <v/>
      </c>
      <c r="U440" s="45" t="str">
        <f t="shared" si="430"/>
        <v/>
      </c>
      <c r="V440" s="45" t="str">
        <f t="shared" si="430"/>
        <v/>
      </c>
      <c r="W440" s="45" t="str">
        <f t="shared" si="430"/>
        <v/>
      </c>
      <c r="X440" s="45" t="str">
        <f t="shared" si="430"/>
        <v/>
      </c>
      <c r="Y440" s="45" t="str">
        <f t="shared" si="430"/>
        <v/>
      </c>
      <c r="Z440" s="45" t="str">
        <f t="shared" si="430"/>
        <v/>
      </c>
      <c r="AA440" s="45" t="str">
        <f t="shared" si="430"/>
        <v/>
      </c>
      <c r="AB440" s="45" t="str">
        <f t="shared" si="430"/>
        <v/>
      </c>
      <c r="AC440" s="45" t="str">
        <f t="shared" si="430"/>
        <v/>
      </c>
      <c r="AD440" s="45" t="str">
        <f t="shared" si="430"/>
        <v/>
      </c>
      <c r="AE440" s="45" t="str">
        <f t="shared" si="430"/>
        <v/>
      </c>
      <c r="AF440" s="45" t="str">
        <f t="shared" si="430"/>
        <v/>
      </c>
      <c r="AG440" s="45" t="str">
        <f t="shared" si="430"/>
        <v/>
      </c>
      <c r="AH440" s="45" t="str">
        <f t="shared" si="430"/>
        <v/>
      </c>
      <c r="AI440" s="45" t="str">
        <f t="shared" si="430"/>
        <v/>
      </c>
      <c r="AJ440" s="45" t="str">
        <f t="shared" si="430"/>
        <v/>
      </c>
      <c r="AK440" s="45" t="str">
        <f t="shared" si="430"/>
        <v/>
      </c>
      <c r="AL440" s="45" t="str">
        <f t="shared" si="430"/>
        <v/>
      </c>
      <c r="AM440" s="45" t="str">
        <f t="shared" si="430"/>
        <v/>
      </c>
      <c r="AN440" s="45" t="str">
        <f t="shared" si="430"/>
        <v/>
      </c>
      <c r="AO440" s="45" t="str">
        <f t="shared" si="430"/>
        <v/>
      </c>
      <c r="AP440" s="45" t="str">
        <f t="shared" si="430"/>
        <v/>
      </c>
      <c r="AQ440" s="45" t="str">
        <f t="shared" si="430"/>
        <v/>
      </c>
      <c r="AR440" s="45" t="str">
        <f t="shared" si="430"/>
        <v/>
      </c>
      <c r="AS440" s="45" t="str">
        <f t="shared" si="430"/>
        <v/>
      </c>
      <c r="AT440" s="45" t="str">
        <f t="shared" si="430"/>
        <v/>
      </c>
      <c r="AU440" s="45" t="str">
        <f t="shared" si="430"/>
        <v/>
      </c>
      <c r="AV440" s="45" t="str">
        <f t="shared" si="430"/>
        <v/>
      </c>
      <c r="AW440" s="45" t="str">
        <f t="shared" si="430"/>
        <v/>
      </c>
      <c r="AX440" s="45" t="str">
        <f t="shared" ref="AX440:CC440" si="431">IF(COUNTIFS($E$441:$E$444,"&lt;&gt;",$D$441:$D$444,"A",AX$441:AX$444,"&lt;&gt;")=0,"",IFERROR(SUMPRODUCT(--($E$441:$E$444&lt;&gt;""),--($D$441:$D$444="A"),$O$441:$O$444,AX$441:AX$444)/SUMPRODUCT(--($E$441:$E$444&lt;&gt;""),--($D$441:$D$444="A"),$O$441:$O$444),""))</f>
        <v/>
      </c>
      <c r="AY440" s="45" t="str">
        <f t="shared" si="431"/>
        <v/>
      </c>
      <c r="AZ440" s="45" t="str">
        <f t="shared" si="431"/>
        <v/>
      </c>
      <c r="BA440" s="45" t="str">
        <f t="shared" si="431"/>
        <v/>
      </c>
      <c r="BB440" s="45" t="str">
        <f t="shared" si="431"/>
        <v/>
      </c>
      <c r="BC440" s="45" t="str">
        <f t="shared" si="431"/>
        <v/>
      </c>
      <c r="BD440" s="45" t="str">
        <f t="shared" si="431"/>
        <v/>
      </c>
      <c r="BE440" s="45" t="str">
        <f t="shared" si="431"/>
        <v/>
      </c>
      <c r="BF440" s="45" t="str">
        <f t="shared" si="431"/>
        <v/>
      </c>
      <c r="BG440" s="45" t="str">
        <f t="shared" si="431"/>
        <v/>
      </c>
      <c r="BH440" s="45" t="str">
        <f t="shared" si="431"/>
        <v/>
      </c>
      <c r="BI440" s="45" t="str">
        <f t="shared" si="431"/>
        <v/>
      </c>
      <c r="BJ440" s="45" t="str">
        <f t="shared" si="431"/>
        <v/>
      </c>
      <c r="BK440" s="45" t="str">
        <f t="shared" si="431"/>
        <v/>
      </c>
      <c r="BL440" s="45" t="str">
        <f t="shared" si="431"/>
        <v/>
      </c>
      <c r="BM440" s="45" t="str">
        <f t="shared" si="431"/>
        <v/>
      </c>
      <c r="BN440" s="45" t="str">
        <f t="shared" si="431"/>
        <v/>
      </c>
      <c r="BO440" s="45" t="str">
        <f t="shared" si="431"/>
        <v/>
      </c>
      <c r="BP440" s="45" t="str">
        <f t="shared" si="431"/>
        <v/>
      </c>
      <c r="BQ440" s="45" t="str">
        <f t="shared" si="431"/>
        <v/>
      </c>
      <c r="BR440" s="45" t="str">
        <f t="shared" si="431"/>
        <v/>
      </c>
      <c r="BS440" s="45" t="str">
        <f t="shared" si="431"/>
        <v/>
      </c>
      <c r="BT440" s="45" t="str">
        <f t="shared" si="431"/>
        <v/>
      </c>
      <c r="BU440" s="45" t="str">
        <f t="shared" si="431"/>
        <v/>
      </c>
      <c r="BV440" s="45" t="str">
        <f t="shared" si="431"/>
        <v/>
      </c>
      <c r="BW440" s="45" t="str">
        <f t="shared" si="431"/>
        <v/>
      </c>
      <c r="BX440" s="45" t="str">
        <f t="shared" si="431"/>
        <v/>
      </c>
      <c r="BY440" s="45" t="str">
        <f t="shared" si="431"/>
        <v/>
      </c>
      <c r="BZ440" s="45" t="str">
        <f t="shared" si="431"/>
        <v/>
      </c>
      <c r="CA440" s="45" t="str">
        <f t="shared" si="431"/>
        <v/>
      </c>
      <c r="CB440" s="45" t="str">
        <f t="shared" si="431"/>
        <v/>
      </c>
      <c r="CC440" s="45" t="str">
        <f t="shared" si="431"/>
        <v/>
      </c>
      <c r="CD440" s="45" t="str">
        <f t="shared" ref="CD440:CO440" si="432">IF(COUNTIFS($E$441:$E$444,"&lt;&gt;",$D$441:$D$444,"A",CD$441:CD$444,"&lt;&gt;")=0,"",IFERROR(SUMPRODUCT(--($E$441:$E$444&lt;&gt;""),--($D$441:$D$444="A"),$O$441:$O$444,CD$441:CD$444)/SUMPRODUCT(--($E$441:$E$444&lt;&gt;""),--($D$441:$D$444="A"),$O$441:$O$444),""))</f>
        <v/>
      </c>
      <c r="CE440" s="45" t="str">
        <f t="shared" si="432"/>
        <v/>
      </c>
      <c r="CF440" s="45" t="str">
        <f t="shared" si="432"/>
        <v/>
      </c>
      <c r="CG440" s="45" t="str">
        <f t="shared" si="432"/>
        <v/>
      </c>
      <c r="CH440" s="45" t="str">
        <f t="shared" si="432"/>
        <v/>
      </c>
      <c r="CI440" s="45" t="str">
        <f t="shared" si="432"/>
        <v/>
      </c>
      <c r="CJ440" s="45" t="str">
        <f t="shared" si="432"/>
        <v/>
      </c>
      <c r="CK440" s="45" t="str">
        <f t="shared" si="432"/>
        <v/>
      </c>
      <c r="CL440" s="45" t="str">
        <f t="shared" si="432"/>
        <v/>
      </c>
      <c r="CM440" s="45" t="str">
        <f t="shared" si="432"/>
        <v/>
      </c>
      <c r="CN440" s="45" t="str">
        <f t="shared" si="432"/>
        <v/>
      </c>
      <c r="CO440" s="45" t="str">
        <f t="shared" si="432"/>
        <v/>
      </c>
    </row>
    <row r="441" spans="1:93" outlineLevel="3" x14ac:dyDescent="0.25">
      <c r="A441" s="1" t="s">
        <v>92</v>
      </c>
      <c r="B441" s="1" t="s">
        <v>595</v>
      </c>
      <c r="C441" s="7" t="s">
        <v>326</v>
      </c>
      <c r="D441" s="8" t="s">
        <v>110</v>
      </c>
      <c r="E441" s="1"/>
      <c r="F441" s="1">
        <v>218</v>
      </c>
      <c r="G441" s="1">
        <v>219</v>
      </c>
      <c r="H441" s="1">
        <v>3</v>
      </c>
      <c r="I441" s="9">
        <v>46500.333333333343</v>
      </c>
      <c r="J441" s="9">
        <v>46513.666666666657</v>
      </c>
      <c r="K441" s="9"/>
      <c r="L441" s="9"/>
      <c r="M441" s="3">
        <f t="shared" si="354"/>
        <v>0.99999999999999989</v>
      </c>
      <c r="N441" s="3"/>
      <c r="O441" s="5">
        <f>SUMIFS($O$442:$O$443,$A$442:$A$443,"Activity",$D$442:$D$443,"P")</f>
        <v>100000</v>
      </c>
      <c r="P441" s="4"/>
      <c r="Q441" s="5"/>
      <c r="R441" s="45" t="str">
        <f t="shared" ref="R441:AW441" si="433">IF(COUNTIFS($A$443:$A$444,"Activity",$D$443:$D$444,"P",R$443:R$444,"&lt;&gt;")=0,"",IFERROR(SUMPRODUCT(--($A$443:$A$444="Activity"),--($D$443:$D$444="P"),$O$443:$O$444,R$443:R$444)/SUMPRODUCT(--($A$443:$A$444="Activity"),--($D$443:$D$444="P"),$O$443:$O$444),""))</f>
        <v/>
      </c>
      <c r="S441" s="45" t="str">
        <f t="shared" si="433"/>
        <v/>
      </c>
      <c r="T441" s="45" t="str">
        <f t="shared" si="433"/>
        <v/>
      </c>
      <c r="U441" s="45" t="str">
        <f t="shared" si="433"/>
        <v/>
      </c>
      <c r="V441" s="45" t="str">
        <f t="shared" si="433"/>
        <v/>
      </c>
      <c r="W441" s="45" t="str">
        <f t="shared" si="433"/>
        <v/>
      </c>
      <c r="X441" s="45" t="str">
        <f t="shared" si="433"/>
        <v/>
      </c>
      <c r="Y441" s="45" t="str">
        <f t="shared" si="433"/>
        <v/>
      </c>
      <c r="Z441" s="45" t="str">
        <f t="shared" si="433"/>
        <v/>
      </c>
      <c r="AA441" s="45" t="str">
        <f t="shared" si="433"/>
        <v/>
      </c>
      <c r="AB441" s="45" t="str">
        <f t="shared" si="433"/>
        <v/>
      </c>
      <c r="AC441" s="45" t="str">
        <f t="shared" si="433"/>
        <v/>
      </c>
      <c r="AD441" s="45" t="str">
        <f t="shared" si="433"/>
        <v/>
      </c>
      <c r="AE441" s="45" t="str">
        <f t="shared" si="433"/>
        <v/>
      </c>
      <c r="AF441" s="45" t="str">
        <f t="shared" si="433"/>
        <v/>
      </c>
      <c r="AG441" s="45" t="str">
        <f t="shared" si="433"/>
        <v/>
      </c>
      <c r="AH441" s="45" t="str">
        <f t="shared" si="433"/>
        <v/>
      </c>
      <c r="AI441" s="45" t="str">
        <f t="shared" si="433"/>
        <v/>
      </c>
      <c r="AJ441" s="45" t="str">
        <f t="shared" si="433"/>
        <v/>
      </c>
      <c r="AK441" s="45" t="str">
        <f t="shared" si="433"/>
        <v/>
      </c>
      <c r="AL441" s="45" t="str">
        <f t="shared" si="433"/>
        <v/>
      </c>
      <c r="AM441" s="45" t="str">
        <f t="shared" si="433"/>
        <v/>
      </c>
      <c r="AN441" s="45" t="str">
        <f t="shared" si="433"/>
        <v/>
      </c>
      <c r="AO441" s="45" t="str">
        <f t="shared" si="433"/>
        <v/>
      </c>
      <c r="AP441" s="45" t="str">
        <f t="shared" si="433"/>
        <v/>
      </c>
      <c r="AQ441" s="45" t="str">
        <f t="shared" si="433"/>
        <v/>
      </c>
      <c r="AR441" s="45" t="str">
        <f t="shared" si="433"/>
        <v/>
      </c>
      <c r="AS441" s="45" t="str">
        <f t="shared" si="433"/>
        <v/>
      </c>
      <c r="AT441" s="45" t="str">
        <f t="shared" si="433"/>
        <v/>
      </c>
      <c r="AU441" s="45" t="str">
        <f t="shared" si="433"/>
        <v/>
      </c>
      <c r="AV441" s="45" t="str">
        <f t="shared" si="433"/>
        <v/>
      </c>
      <c r="AW441" s="45" t="str">
        <f t="shared" si="433"/>
        <v/>
      </c>
      <c r="AX441" s="45" t="str">
        <f t="shared" ref="AX441:CC441" si="434">IF(COUNTIFS($A$443:$A$444,"Activity",$D$443:$D$444,"P",AX$443:AX$444,"&lt;&gt;")=0,"",IFERROR(SUMPRODUCT(--($A$443:$A$444="Activity"),--($D$443:$D$444="P"),$O$443:$O$444,AX$443:AX$444)/SUMPRODUCT(--($A$443:$A$444="Activity"),--($D$443:$D$444="P"),$O$443:$O$444),""))</f>
        <v/>
      </c>
      <c r="AY441" s="45" t="str">
        <f t="shared" si="434"/>
        <v/>
      </c>
      <c r="AZ441" s="45" t="str">
        <f t="shared" si="434"/>
        <v/>
      </c>
      <c r="BA441" s="45" t="str">
        <f t="shared" si="434"/>
        <v/>
      </c>
      <c r="BB441" s="45" t="str">
        <f t="shared" si="434"/>
        <v/>
      </c>
      <c r="BC441" s="45" t="str">
        <f t="shared" si="434"/>
        <v/>
      </c>
      <c r="BD441" s="45" t="str">
        <f t="shared" si="434"/>
        <v/>
      </c>
      <c r="BE441" s="45" t="str">
        <f t="shared" si="434"/>
        <v/>
      </c>
      <c r="BF441" s="45" t="str">
        <f t="shared" si="434"/>
        <v/>
      </c>
      <c r="BG441" s="45" t="str">
        <f t="shared" si="434"/>
        <v/>
      </c>
      <c r="BH441" s="45" t="str">
        <f t="shared" si="434"/>
        <v/>
      </c>
      <c r="BI441" s="45" t="str">
        <f t="shared" si="434"/>
        <v/>
      </c>
      <c r="BJ441" s="45" t="str">
        <f t="shared" si="434"/>
        <v/>
      </c>
      <c r="BK441" s="45" t="str">
        <f t="shared" si="434"/>
        <v/>
      </c>
      <c r="BL441" s="45" t="str">
        <f t="shared" si="434"/>
        <v/>
      </c>
      <c r="BM441" s="45" t="str">
        <f t="shared" si="434"/>
        <v/>
      </c>
      <c r="BN441" s="45" t="str">
        <f t="shared" si="434"/>
        <v/>
      </c>
      <c r="BO441" s="45" t="str">
        <f t="shared" si="434"/>
        <v/>
      </c>
      <c r="BP441" s="45" t="str">
        <f t="shared" si="434"/>
        <v/>
      </c>
      <c r="BQ441" s="45" t="str">
        <f t="shared" si="434"/>
        <v/>
      </c>
      <c r="BR441" s="45" t="str">
        <f t="shared" si="434"/>
        <v/>
      </c>
      <c r="BS441" s="45" t="str">
        <f t="shared" si="434"/>
        <v/>
      </c>
      <c r="BT441" s="45" t="str">
        <f t="shared" si="434"/>
        <v/>
      </c>
      <c r="BU441" s="45" t="str">
        <f t="shared" si="434"/>
        <v/>
      </c>
      <c r="BV441" s="45" t="str">
        <f t="shared" si="434"/>
        <v/>
      </c>
      <c r="BW441" s="45" t="str">
        <f t="shared" si="434"/>
        <v/>
      </c>
      <c r="BX441" s="45" t="str">
        <f t="shared" si="434"/>
        <v/>
      </c>
      <c r="BY441" s="45" t="str">
        <f t="shared" si="434"/>
        <v/>
      </c>
      <c r="BZ441" s="45" t="str">
        <f t="shared" si="434"/>
        <v/>
      </c>
      <c r="CA441" s="45" t="str">
        <f t="shared" si="434"/>
        <v/>
      </c>
      <c r="CB441" s="45" t="str">
        <f t="shared" si="434"/>
        <v/>
      </c>
      <c r="CC441" s="45" t="str">
        <f t="shared" si="434"/>
        <v/>
      </c>
      <c r="CD441" s="45" t="str">
        <f t="shared" ref="CD441:CO441" si="435">IF(COUNTIFS($A$443:$A$444,"Activity",$D$443:$D$444,"P",CD$443:CD$444,"&lt;&gt;")=0,"",IFERROR(SUMPRODUCT(--($A$443:$A$444="Activity"),--($D$443:$D$444="P"),$O$443:$O$444,CD$443:CD$444)/SUMPRODUCT(--($A$443:$A$444="Activity"),--($D$443:$D$444="P"),$O$443:$O$444),""))</f>
        <v/>
      </c>
      <c r="CE441" s="45">
        <f t="shared" si="435"/>
        <v>7.1428571428571411E-2</v>
      </c>
      <c r="CF441" s="45">
        <f t="shared" si="435"/>
        <v>0.49999999999999983</v>
      </c>
      <c r="CG441" s="45">
        <f t="shared" si="435"/>
        <v>0.4285714285714286</v>
      </c>
      <c r="CH441" s="45" t="str">
        <f t="shared" si="435"/>
        <v/>
      </c>
      <c r="CI441" s="45" t="str">
        <f t="shared" si="435"/>
        <v/>
      </c>
      <c r="CJ441" s="45" t="str">
        <f t="shared" si="435"/>
        <v/>
      </c>
      <c r="CK441" s="45" t="str">
        <f t="shared" si="435"/>
        <v/>
      </c>
      <c r="CL441" s="45" t="str">
        <f t="shared" si="435"/>
        <v/>
      </c>
      <c r="CM441" s="45" t="str">
        <f t="shared" si="435"/>
        <v/>
      </c>
      <c r="CN441" s="45" t="str">
        <f t="shared" si="435"/>
        <v/>
      </c>
      <c r="CO441" s="45" t="str">
        <f t="shared" si="435"/>
        <v/>
      </c>
    </row>
    <row r="442" spans="1:93" outlineLevel="3" x14ac:dyDescent="0.25">
      <c r="A442" s="1"/>
      <c r="B442" s="1"/>
      <c r="C442" s="7"/>
      <c r="D442" s="8" t="s">
        <v>111</v>
      </c>
      <c r="E442" s="1"/>
      <c r="F442" s="1"/>
      <c r="G442" s="1"/>
      <c r="H442" s="1"/>
      <c r="I442" s="9"/>
      <c r="J442" s="9"/>
      <c r="K442" s="9"/>
      <c r="L442" s="9"/>
      <c r="M442" s="3" t="str">
        <f t="shared" si="354"/>
        <v/>
      </c>
      <c r="N442" s="3"/>
      <c r="O442" s="46">
        <f>O441</f>
        <v>100000</v>
      </c>
      <c r="P442" s="4"/>
      <c r="Q442" s="5"/>
      <c r="R442" s="45" t="str">
        <f t="shared" ref="R442:AW442" si="436">IF(COUNTIFS($E$443:$E$444,"&lt;&gt;",$D$443:$D$444,"A",R$443:R$444,"&lt;&gt;")=0,"",IFERROR(SUMPRODUCT(--($E$443:$E$444&lt;&gt;""),--($D$443:$D$444="A"),$O$443:$O$444,R$443:R$444)/SUMPRODUCT(--($E$443:$E$444&lt;&gt;""),--($D$443:$D$444="A"),$O$443:$O$444),""))</f>
        <v/>
      </c>
      <c r="S442" s="45" t="str">
        <f t="shared" si="436"/>
        <v/>
      </c>
      <c r="T442" s="45" t="str">
        <f t="shared" si="436"/>
        <v/>
      </c>
      <c r="U442" s="45" t="str">
        <f t="shared" si="436"/>
        <v/>
      </c>
      <c r="V442" s="45" t="str">
        <f t="shared" si="436"/>
        <v/>
      </c>
      <c r="W442" s="45" t="str">
        <f t="shared" si="436"/>
        <v/>
      </c>
      <c r="X442" s="45" t="str">
        <f t="shared" si="436"/>
        <v/>
      </c>
      <c r="Y442" s="45" t="str">
        <f t="shared" si="436"/>
        <v/>
      </c>
      <c r="Z442" s="45" t="str">
        <f t="shared" si="436"/>
        <v/>
      </c>
      <c r="AA442" s="45" t="str">
        <f t="shared" si="436"/>
        <v/>
      </c>
      <c r="AB442" s="45" t="str">
        <f t="shared" si="436"/>
        <v/>
      </c>
      <c r="AC442" s="45" t="str">
        <f t="shared" si="436"/>
        <v/>
      </c>
      <c r="AD442" s="45" t="str">
        <f t="shared" si="436"/>
        <v/>
      </c>
      <c r="AE442" s="45" t="str">
        <f t="shared" si="436"/>
        <v/>
      </c>
      <c r="AF442" s="45" t="str">
        <f t="shared" si="436"/>
        <v/>
      </c>
      <c r="AG442" s="45" t="str">
        <f t="shared" si="436"/>
        <v/>
      </c>
      <c r="AH442" s="45" t="str">
        <f t="shared" si="436"/>
        <v/>
      </c>
      <c r="AI442" s="45" t="str">
        <f t="shared" si="436"/>
        <v/>
      </c>
      <c r="AJ442" s="45" t="str">
        <f t="shared" si="436"/>
        <v/>
      </c>
      <c r="AK442" s="45" t="str">
        <f t="shared" si="436"/>
        <v/>
      </c>
      <c r="AL442" s="45" t="str">
        <f t="shared" si="436"/>
        <v/>
      </c>
      <c r="AM442" s="45" t="str">
        <f t="shared" si="436"/>
        <v/>
      </c>
      <c r="AN442" s="45" t="str">
        <f t="shared" si="436"/>
        <v/>
      </c>
      <c r="AO442" s="45" t="str">
        <f t="shared" si="436"/>
        <v/>
      </c>
      <c r="AP442" s="45" t="str">
        <f t="shared" si="436"/>
        <v/>
      </c>
      <c r="AQ442" s="45" t="str">
        <f t="shared" si="436"/>
        <v/>
      </c>
      <c r="AR442" s="45" t="str">
        <f t="shared" si="436"/>
        <v/>
      </c>
      <c r="AS442" s="45" t="str">
        <f t="shared" si="436"/>
        <v/>
      </c>
      <c r="AT442" s="45" t="str">
        <f t="shared" si="436"/>
        <v/>
      </c>
      <c r="AU442" s="45" t="str">
        <f t="shared" si="436"/>
        <v/>
      </c>
      <c r="AV442" s="45" t="str">
        <f t="shared" si="436"/>
        <v/>
      </c>
      <c r="AW442" s="45" t="str">
        <f t="shared" si="436"/>
        <v/>
      </c>
      <c r="AX442" s="45" t="str">
        <f t="shared" ref="AX442:CC442" si="437">IF(COUNTIFS($E$443:$E$444,"&lt;&gt;",$D$443:$D$444,"A",AX$443:AX$444,"&lt;&gt;")=0,"",IFERROR(SUMPRODUCT(--($E$443:$E$444&lt;&gt;""),--($D$443:$D$444="A"),$O$443:$O$444,AX$443:AX$444)/SUMPRODUCT(--($E$443:$E$444&lt;&gt;""),--($D$443:$D$444="A"),$O$443:$O$444),""))</f>
        <v/>
      </c>
      <c r="AY442" s="45" t="str">
        <f t="shared" si="437"/>
        <v/>
      </c>
      <c r="AZ442" s="45" t="str">
        <f t="shared" si="437"/>
        <v/>
      </c>
      <c r="BA442" s="45" t="str">
        <f t="shared" si="437"/>
        <v/>
      </c>
      <c r="BB442" s="45" t="str">
        <f t="shared" si="437"/>
        <v/>
      </c>
      <c r="BC442" s="45" t="str">
        <f t="shared" si="437"/>
        <v/>
      </c>
      <c r="BD442" s="45" t="str">
        <f t="shared" si="437"/>
        <v/>
      </c>
      <c r="BE442" s="45" t="str">
        <f t="shared" si="437"/>
        <v/>
      </c>
      <c r="BF442" s="45" t="str">
        <f t="shared" si="437"/>
        <v/>
      </c>
      <c r="BG442" s="45" t="str">
        <f t="shared" si="437"/>
        <v/>
      </c>
      <c r="BH442" s="45" t="str">
        <f t="shared" si="437"/>
        <v/>
      </c>
      <c r="BI442" s="45" t="str">
        <f t="shared" si="437"/>
        <v/>
      </c>
      <c r="BJ442" s="45" t="str">
        <f t="shared" si="437"/>
        <v/>
      </c>
      <c r="BK442" s="45" t="str">
        <f t="shared" si="437"/>
        <v/>
      </c>
      <c r="BL442" s="45" t="str">
        <f t="shared" si="437"/>
        <v/>
      </c>
      <c r="BM442" s="45" t="str">
        <f t="shared" si="437"/>
        <v/>
      </c>
      <c r="BN442" s="45" t="str">
        <f t="shared" si="437"/>
        <v/>
      </c>
      <c r="BO442" s="45" t="str">
        <f t="shared" si="437"/>
        <v/>
      </c>
      <c r="BP442" s="45" t="str">
        <f t="shared" si="437"/>
        <v/>
      </c>
      <c r="BQ442" s="45" t="str">
        <f t="shared" si="437"/>
        <v/>
      </c>
      <c r="BR442" s="45" t="str">
        <f t="shared" si="437"/>
        <v/>
      </c>
      <c r="BS442" s="45" t="str">
        <f t="shared" si="437"/>
        <v/>
      </c>
      <c r="BT442" s="45" t="str">
        <f t="shared" si="437"/>
        <v/>
      </c>
      <c r="BU442" s="45" t="str">
        <f t="shared" si="437"/>
        <v/>
      </c>
      <c r="BV442" s="45" t="str">
        <f t="shared" si="437"/>
        <v/>
      </c>
      <c r="BW442" s="45" t="str">
        <f t="shared" si="437"/>
        <v/>
      </c>
      <c r="BX442" s="45" t="str">
        <f t="shared" si="437"/>
        <v/>
      </c>
      <c r="BY442" s="45" t="str">
        <f t="shared" si="437"/>
        <v/>
      </c>
      <c r="BZ442" s="45" t="str">
        <f t="shared" si="437"/>
        <v/>
      </c>
      <c r="CA442" s="45" t="str">
        <f t="shared" si="437"/>
        <v/>
      </c>
      <c r="CB442" s="45" t="str">
        <f t="shared" si="437"/>
        <v/>
      </c>
      <c r="CC442" s="45" t="str">
        <f t="shared" si="437"/>
        <v/>
      </c>
      <c r="CD442" s="45" t="str">
        <f t="shared" ref="CD442:CO442" si="438">IF(COUNTIFS($E$443:$E$444,"&lt;&gt;",$D$443:$D$444,"A",CD$443:CD$444,"&lt;&gt;")=0,"",IFERROR(SUMPRODUCT(--($E$443:$E$444&lt;&gt;""),--($D$443:$D$444="A"),$O$443:$O$444,CD$443:CD$444)/SUMPRODUCT(--($E$443:$E$444&lt;&gt;""),--($D$443:$D$444="A"),$O$443:$O$444),""))</f>
        <v/>
      </c>
      <c r="CE442" s="45" t="str">
        <f t="shared" si="438"/>
        <v/>
      </c>
      <c r="CF442" s="45" t="str">
        <f t="shared" si="438"/>
        <v/>
      </c>
      <c r="CG442" s="45" t="str">
        <f t="shared" si="438"/>
        <v/>
      </c>
      <c r="CH442" s="45" t="str">
        <f t="shared" si="438"/>
        <v/>
      </c>
      <c r="CI442" s="45" t="str">
        <f t="shared" si="438"/>
        <v/>
      </c>
      <c r="CJ442" s="45" t="str">
        <f t="shared" si="438"/>
        <v/>
      </c>
      <c r="CK442" s="45" t="str">
        <f t="shared" si="438"/>
        <v/>
      </c>
      <c r="CL442" s="45" t="str">
        <f t="shared" si="438"/>
        <v/>
      </c>
      <c r="CM442" s="45" t="str">
        <f t="shared" si="438"/>
        <v/>
      </c>
      <c r="CN442" s="45" t="str">
        <f t="shared" si="438"/>
        <v/>
      </c>
      <c r="CO442" s="45" t="str">
        <f t="shared" si="438"/>
        <v/>
      </c>
    </row>
    <row r="443" spans="1:93" outlineLevel="4" x14ac:dyDescent="0.25">
      <c r="A443" s="10" t="s">
        <v>116</v>
      </c>
      <c r="B443" s="10" t="s">
        <v>596</v>
      </c>
      <c r="C443" s="24" t="s">
        <v>597</v>
      </c>
      <c r="D443" s="12" t="s">
        <v>110</v>
      </c>
      <c r="E443" s="10" t="s">
        <v>598</v>
      </c>
      <c r="F443" s="10">
        <v>219</v>
      </c>
      <c r="G443" s="10">
        <v>170</v>
      </c>
      <c r="H443" s="10">
        <v>4</v>
      </c>
      <c r="I443" s="13">
        <v>46500.333333333343</v>
      </c>
      <c r="J443" s="13">
        <v>46513.666666666657</v>
      </c>
      <c r="K443" s="13"/>
      <c r="L443" s="13"/>
      <c r="M443" s="14">
        <f t="shared" si="354"/>
        <v>0.99999999999999989</v>
      </c>
      <c r="N443" s="14"/>
      <c r="O443" s="16">
        <v>100000</v>
      </c>
      <c r="P443" s="15">
        <v>0.26666666666666672</v>
      </c>
      <c r="Q443" s="16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>
        <v>7.1428571428571411E-2</v>
      </c>
      <c r="CF443" s="47">
        <v>0.49999999999999989</v>
      </c>
      <c r="CG443" s="47">
        <v>0.4285714285714286</v>
      </c>
      <c r="CH443" s="47"/>
      <c r="CI443" s="47"/>
      <c r="CJ443" s="47"/>
      <c r="CK443" s="47"/>
      <c r="CL443" s="47"/>
      <c r="CM443" s="47"/>
      <c r="CN443" s="47"/>
      <c r="CO443" s="47"/>
    </row>
    <row r="444" spans="1:93" outlineLevel="4" x14ac:dyDescent="0.25">
      <c r="A444" s="17"/>
      <c r="B444" s="17"/>
      <c r="C444" s="25"/>
      <c r="D444" s="19" t="s">
        <v>111</v>
      </c>
      <c r="E444" s="17" t="s">
        <v>598</v>
      </c>
      <c r="F444" s="17"/>
      <c r="G444" s="17"/>
      <c r="H444" s="17"/>
      <c r="I444" s="20"/>
      <c r="J444" s="20"/>
      <c r="K444" s="20"/>
      <c r="L444" s="20"/>
      <c r="M444" s="21" t="str">
        <f t="shared" si="354"/>
        <v/>
      </c>
      <c r="N444" s="21">
        <v>0</v>
      </c>
      <c r="O444" s="48">
        <f>O443</f>
        <v>100000</v>
      </c>
      <c r="P444" s="22"/>
      <c r="Q444" s="23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  <c r="CO444" s="47"/>
    </row>
    <row r="445" spans="1:93" outlineLevel="1" x14ac:dyDescent="0.25">
      <c r="A445" s="1" t="s">
        <v>92</v>
      </c>
      <c r="B445" s="1" t="s">
        <v>599</v>
      </c>
      <c r="C445" s="2" t="s">
        <v>600</v>
      </c>
      <c r="D445" s="8" t="s">
        <v>110</v>
      </c>
      <c r="E445" s="1"/>
      <c r="F445" s="1">
        <v>220</v>
      </c>
      <c r="G445" s="1">
        <v>220</v>
      </c>
      <c r="H445" s="1">
        <v>1</v>
      </c>
      <c r="I445" s="9">
        <v>46482.333333333343</v>
      </c>
      <c r="J445" s="9">
        <v>46521.666666666657</v>
      </c>
      <c r="K445" s="9"/>
      <c r="L445" s="9"/>
      <c r="M445" s="3">
        <f t="shared" si="354"/>
        <v>1</v>
      </c>
      <c r="N445" s="3"/>
      <c r="O445" s="5">
        <f>SUMIFS($O$446:$O$447,$A$446:$A$447,"Activity",$D$446:$D$447,"P")</f>
        <v>100000</v>
      </c>
      <c r="P445" s="4"/>
      <c r="Q445" s="5"/>
      <c r="R445" s="45" t="str">
        <f t="shared" ref="R445:AW445" si="439">IF(COUNTIFS($A$447:$A$448,"Activity",$D$447:$D$448,"P",R$447:R$448,"&lt;&gt;")=0,"",IFERROR(SUMPRODUCT(--($A$447:$A$448="Activity"),--($D$447:$D$448="P"),$O$447:$O$448,R$447:R$448)/SUMPRODUCT(--($A$447:$A$448="Activity"),--($D$447:$D$448="P"),$O$447:$O$448),""))</f>
        <v/>
      </c>
      <c r="S445" s="45" t="str">
        <f t="shared" si="439"/>
        <v/>
      </c>
      <c r="T445" s="45" t="str">
        <f t="shared" si="439"/>
        <v/>
      </c>
      <c r="U445" s="45" t="str">
        <f t="shared" si="439"/>
        <v/>
      </c>
      <c r="V445" s="45" t="str">
        <f t="shared" si="439"/>
        <v/>
      </c>
      <c r="W445" s="45" t="str">
        <f t="shared" si="439"/>
        <v/>
      </c>
      <c r="X445" s="45" t="str">
        <f t="shared" si="439"/>
        <v/>
      </c>
      <c r="Y445" s="45" t="str">
        <f t="shared" si="439"/>
        <v/>
      </c>
      <c r="Z445" s="45" t="str">
        <f t="shared" si="439"/>
        <v/>
      </c>
      <c r="AA445" s="45" t="str">
        <f t="shared" si="439"/>
        <v/>
      </c>
      <c r="AB445" s="45" t="str">
        <f t="shared" si="439"/>
        <v/>
      </c>
      <c r="AC445" s="45" t="str">
        <f t="shared" si="439"/>
        <v/>
      </c>
      <c r="AD445" s="45" t="str">
        <f t="shared" si="439"/>
        <v/>
      </c>
      <c r="AE445" s="45" t="str">
        <f t="shared" si="439"/>
        <v/>
      </c>
      <c r="AF445" s="45" t="str">
        <f t="shared" si="439"/>
        <v/>
      </c>
      <c r="AG445" s="45" t="str">
        <f t="shared" si="439"/>
        <v/>
      </c>
      <c r="AH445" s="45" t="str">
        <f t="shared" si="439"/>
        <v/>
      </c>
      <c r="AI445" s="45" t="str">
        <f t="shared" si="439"/>
        <v/>
      </c>
      <c r="AJ445" s="45" t="str">
        <f t="shared" si="439"/>
        <v/>
      </c>
      <c r="AK445" s="45" t="str">
        <f t="shared" si="439"/>
        <v/>
      </c>
      <c r="AL445" s="45" t="str">
        <f t="shared" si="439"/>
        <v/>
      </c>
      <c r="AM445" s="45" t="str">
        <f t="shared" si="439"/>
        <v/>
      </c>
      <c r="AN445" s="45" t="str">
        <f t="shared" si="439"/>
        <v/>
      </c>
      <c r="AO445" s="45" t="str">
        <f t="shared" si="439"/>
        <v/>
      </c>
      <c r="AP445" s="45" t="str">
        <f t="shared" si="439"/>
        <v/>
      </c>
      <c r="AQ445" s="45" t="str">
        <f t="shared" si="439"/>
        <v/>
      </c>
      <c r="AR445" s="45" t="str">
        <f t="shared" si="439"/>
        <v/>
      </c>
      <c r="AS445" s="45" t="str">
        <f t="shared" si="439"/>
        <v/>
      </c>
      <c r="AT445" s="45" t="str">
        <f t="shared" si="439"/>
        <v/>
      </c>
      <c r="AU445" s="45" t="str">
        <f t="shared" si="439"/>
        <v/>
      </c>
      <c r="AV445" s="45" t="str">
        <f t="shared" si="439"/>
        <v/>
      </c>
      <c r="AW445" s="45" t="str">
        <f t="shared" si="439"/>
        <v/>
      </c>
      <c r="AX445" s="45" t="str">
        <f t="shared" ref="AX445:CC445" si="440">IF(COUNTIFS($A$447:$A$448,"Activity",$D$447:$D$448,"P",AX$447:AX$448,"&lt;&gt;")=0,"",IFERROR(SUMPRODUCT(--($A$447:$A$448="Activity"),--($D$447:$D$448="P"),$O$447:$O$448,AX$447:AX$448)/SUMPRODUCT(--($A$447:$A$448="Activity"),--($D$447:$D$448="P"),$O$447:$O$448),""))</f>
        <v/>
      </c>
      <c r="AY445" s="45" t="str">
        <f t="shared" si="440"/>
        <v/>
      </c>
      <c r="AZ445" s="45" t="str">
        <f t="shared" si="440"/>
        <v/>
      </c>
      <c r="BA445" s="45" t="str">
        <f t="shared" si="440"/>
        <v/>
      </c>
      <c r="BB445" s="45" t="str">
        <f t="shared" si="440"/>
        <v/>
      </c>
      <c r="BC445" s="45" t="str">
        <f t="shared" si="440"/>
        <v/>
      </c>
      <c r="BD445" s="45" t="str">
        <f t="shared" si="440"/>
        <v/>
      </c>
      <c r="BE445" s="45" t="str">
        <f t="shared" si="440"/>
        <v/>
      </c>
      <c r="BF445" s="45" t="str">
        <f t="shared" si="440"/>
        <v/>
      </c>
      <c r="BG445" s="45" t="str">
        <f t="shared" si="440"/>
        <v/>
      </c>
      <c r="BH445" s="45" t="str">
        <f t="shared" si="440"/>
        <v/>
      </c>
      <c r="BI445" s="45" t="str">
        <f t="shared" si="440"/>
        <v/>
      </c>
      <c r="BJ445" s="45" t="str">
        <f t="shared" si="440"/>
        <v/>
      </c>
      <c r="BK445" s="45" t="str">
        <f t="shared" si="440"/>
        <v/>
      </c>
      <c r="BL445" s="45" t="str">
        <f t="shared" si="440"/>
        <v/>
      </c>
      <c r="BM445" s="45" t="str">
        <f t="shared" si="440"/>
        <v/>
      </c>
      <c r="BN445" s="45" t="str">
        <f t="shared" si="440"/>
        <v/>
      </c>
      <c r="BO445" s="45" t="str">
        <f t="shared" si="440"/>
        <v/>
      </c>
      <c r="BP445" s="45" t="str">
        <f t="shared" si="440"/>
        <v/>
      </c>
      <c r="BQ445" s="45" t="str">
        <f t="shared" si="440"/>
        <v/>
      </c>
      <c r="BR445" s="45" t="str">
        <f t="shared" si="440"/>
        <v/>
      </c>
      <c r="BS445" s="45" t="str">
        <f t="shared" si="440"/>
        <v/>
      </c>
      <c r="BT445" s="45" t="str">
        <f t="shared" si="440"/>
        <v/>
      </c>
      <c r="BU445" s="45" t="str">
        <f t="shared" si="440"/>
        <v/>
      </c>
      <c r="BV445" s="45" t="str">
        <f t="shared" si="440"/>
        <v/>
      </c>
      <c r="BW445" s="45" t="str">
        <f t="shared" si="440"/>
        <v/>
      </c>
      <c r="BX445" s="45" t="str">
        <f t="shared" si="440"/>
        <v/>
      </c>
      <c r="BY445" s="45" t="str">
        <f t="shared" si="440"/>
        <v/>
      </c>
      <c r="BZ445" s="45" t="str">
        <f t="shared" si="440"/>
        <v/>
      </c>
      <c r="CA445" s="45" t="str">
        <f t="shared" si="440"/>
        <v/>
      </c>
      <c r="CB445" s="45" t="str">
        <f t="shared" si="440"/>
        <v/>
      </c>
      <c r="CC445" s="45">
        <f t="shared" si="440"/>
        <v>0.125</v>
      </c>
      <c r="CD445" s="45">
        <f t="shared" ref="CD445:CO445" si="441">IF(COUNTIFS($A$447:$A$448,"Activity",$D$447:$D$448,"P",CD$447:CD$448,"&lt;&gt;")=0,"",IFERROR(SUMPRODUCT(--($A$447:$A$448="Activity"),--($D$447:$D$448="P"),$O$447:$O$448,CD$447:CD$448)/SUMPRODUCT(--($A$447:$A$448="Activity"),--($D$447:$D$448="P"),$O$447:$O$448),""))</f>
        <v>0.17499999999999999</v>
      </c>
      <c r="CE445" s="45">
        <f t="shared" si="441"/>
        <v>0.17499999999999999</v>
      </c>
      <c r="CF445" s="45">
        <f t="shared" si="441"/>
        <v>0.17499999999999999</v>
      </c>
      <c r="CG445" s="45">
        <f t="shared" si="441"/>
        <v>0.17499999999999999</v>
      </c>
      <c r="CH445" s="45">
        <f t="shared" si="441"/>
        <v>0.17499999999999999</v>
      </c>
      <c r="CI445" s="45" t="str">
        <f t="shared" si="441"/>
        <v/>
      </c>
      <c r="CJ445" s="45" t="str">
        <f t="shared" si="441"/>
        <v/>
      </c>
      <c r="CK445" s="45" t="str">
        <f t="shared" si="441"/>
        <v/>
      </c>
      <c r="CL445" s="45" t="str">
        <f t="shared" si="441"/>
        <v/>
      </c>
      <c r="CM445" s="45" t="str">
        <f t="shared" si="441"/>
        <v/>
      </c>
      <c r="CN445" s="45" t="str">
        <f t="shared" si="441"/>
        <v/>
      </c>
      <c r="CO445" s="45" t="str">
        <f t="shared" si="441"/>
        <v/>
      </c>
    </row>
    <row r="446" spans="1:93" outlineLevel="1" x14ac:dyDescent="0.25">
      <c r="A446" s="1"/>
      <c r="B446" s="1"/>
      <c r="C446" s="2"/>
      <c r="D446" s="8" t="s">
        <v>111</v>
      </c>
      <c r="E446" s="1"/>
      <c r="F446" s="1"/>
      <c r="G446" s="1"/>
      <c r="H446" s="1"/>
      <c r="I446" s="9"/>
      <c r="J446" s="9"/>
      <c r="K446" s="9"/>
      <c r="L446" s="9"/>
      <c r="M446" s="3" t="str">
        <f t="shared" si="354"/>
        <v/>
      </c>
      <c r="N446" s="3"/>
      <c r="O446" s="46">
        <f>O445</f>
        <v>100000</v>
      </c>
      <c r="P446" s="4"/>
      <c r="Q446" s="5"/>
      <c r="R446" s="45" t="str">
        <f t="shared" ref="R446:AW446" si="442">IF(COUNTIFS($E$447:$E$448,"&lt;&gt;",$D$447:$D$448,"A",R$447:R$448,"&lt;&gt;")=0,"",IFERROR(SUMPRODUCT(--($E$447:$E$448&lt;&gt;""),--($D$447:$D$448="A"),$O$447:$O$448,R$447:R$448)/SUMPRODUCT(--($E$447:$E$448&lt;&gt;""),--($D$447:$D$448="A"),$O$447:$O$448),""))</f>
        <v/>
      </c>
      <c r="S446" s="45" t="str">
        <f t="shared" si="442"/>
        <v/>
      </c>
      <c r="T446" s="45" t="str">
        <f t="shared" si="442"/>
        <v/>
      </c>
      <c r="U446" s="45" t="str">
        <f t="shared" si="442"/>
        <v/>
      </c>
      <c r="V446" s="45" t="str">
        <f t="shared" si="442"/>
        <v/>
      </c>
      <c r="W446" s="45" t="str">
        <f t="shared" si="442"/>
        <v/>
      </c>
      <c r="X446" s="45" t="str">
        <f t="shared" si="442"/>
        <v/>
      </c>
      <c r="Y446" s="45" t="str">
        <f t="shared" si="442"/>
        <v/>
      </c>
      <c r="Z446" s="45" t="str">
        <f t="shared" si="442"/>
        <v/>
      </c>
      <c r="AA446" s="45" t="str">
        <f t="shared" si="442"/>
        <v/>
      </c>
      <c r="AB446" s="45" t="str">
        <f t="shared" si="442"/>
        <v/>
      </c>
      <c r="AC446" s="45" t="str">
        <f t="shared" si="442"/>
        <v/>
      </c>
      <c r="AD446" s="45" t="str">
        <f t="shared" si="442"/>
        <v/>
      </c>
      <c r="AE446" s="45" t="str">
        <f t="shared" si="442"/>
        <v/>
      </c>
      <c r="AF446" s="45" t="str">
        <f t="shared" si="442"/>
        <v/>
      </c>
      <c r="AG446" s="45" t="str">
        <f t="shared" si="442"/>
        <v/>
      </c>
      <c r="AH446" s="45" t="str">
        <f t="shared" si="442"/>
        <v/>
      </c>
      <c r="AI446" s="45" t="str">
        <f t="shared" si="442"/>
        <v/>
      </c>
      <c r="AJ446" s="45" t="str">
        <f t="shared" si="442"/>
        <v/>
      </c>
      <c r="AK446" s="45" t="str">
        <f t="shared" si="442"/>
        <v/>
      </c>
      <c r="AL446" s="45" t="str">
        <f t="shared" si="442"/>
        <v/>
      </c>
      <c r="AM446" s="45" t="str">
        <f t="shared" si="442"/>
        <v/>
      </c>
      <c r="AN446" s="45" t="str">
        <f t="shared" si="442"/>
        <v/>
      </c>
      <c r="AO446" s="45" t="str">
        <f t="shared" si="442"/>
        <v/>
      </c>
      <c r="AP446" s="45" t="str">
        <f t="shared" si="442"/>
        <v/>
      </c>
      <c r="AQ446" s="45" t="str">
        <f t="shared" si="442"/>
        <v/>
      </c>
      <c r="AR446" s="45" t="str">
        <f t="shared" si="442"/>
        <v/>
      </c>
      <c r="AS446" s="45" t="str">
        <f t="shared" si="442"/>
        <v/>
      </c>
      <c r="AT446" s="45" t="str">
        <f t="shared" si="442"/>
        <v/>
      </c>
      <c r="AU446" s="45" t="str">
        <f t="shared" si="442"/>
        <v/>
      </c>
      <c r="AV446" s="45" t="str">
        <f t="shared" si="442"/>
        <v/>
      </c>
      <c r="AW446" s="45" t="str">
        <f t="shared" si="442"/>
        <v/>
      </c>
      <c r="AX446" s="45" t="str">
        <f t="shared" ref="AX446:CC446" si="443">IF(COUNTIFS($E$447:$E$448,"&lt;&gt;",$D$447:$D$448,"A",AX$447:AX$448,"&lt;&gt;")=0,"",IFERROR(SUMPRODUCT(--($E$447:$E$448&lt;&gt;""),--($D$447:$D$448="A"),$O$447:$O$448,AX$447:AX$448)/SUMPRODUCT(--($E$447:$E$448&lt;&gt;""),--($D$447:$D$448="A"),$O$447:$O$448),""))</f>
        <v/>
      </c>
      <c r="AY446" s="45" t="str">
        <f t="shared" si="443"/>
        <v/>
      </c>
      <c r="AZ446" s="45" t="str">
        <f t="shared" si="443"/>
        <v/>
      </c>
      <c r="BA446" s="45" t="str">
        <f t="shared" si="443"/>
        <v/>
      </c>
      <c r="BB446" s="45" t="str">
        <f t="shared" si="443"/>
        <v/>
      </c>
      <c r="BC446" s="45" t="str">
        <f t="shared" si="443"/>
        <v/>
      </c>
      <c r="BD446" s="45" t="str">
        <f t="shared" si="443"/>
        <v/>
      </c>
      <c r="BE446" s="45" t="str">
        <f t="shared" si="443"/>
        <v/>
      </c>
      <c r="BF446" s="45" t="str">
        <f t="shared" si="443"/>
        <v/>
      </c>
      <c r="BG446" s="45" t="str">
        <f t="shared" si="443"/>
        <v/>
      </c>
      <c r="BH446" s="45" t="str">
        <f t="shared" si="443"/>
        <v/>
      </c>
      <c r="BI446" s="45" t="str">
        <f t="shared" si="443"/>
        <v/>
      </c>
      <c r="BJ446" s="45" t="str">
        <f t="shared" si="443"/>
        <v/>
      </c>
      <c r="BK446" s="45" t="str">
        <f t="shared" si="443"/>
        <v/>
      </c>
      <c r="BL446" s="45" t="str">
        <f t="shared" si="443"/>
        <v/>
      </c>
      <c r="BM446" s="45" t="str">
        <f t="shared" si="443"/>
        <v/>
      </c>
      <c r="BN446" s="45" t="str">
        <f t="shared" si="443"/>
        <v/>
      </c>
      <c r="BO446" s="45" t="str">
        <f t="shared" si="443"/>
        <v/>
      </c>
      <c r="BP446" s="45" t="str">
        <f t="shared" si="443"/>
        <v/>
      </c>
      <c r="BQ446" s="45" t="str">
        <f t="shared" si="443"/>
        <v/>
      </c>
      <c r="BR446" s="45" t="str">
        <f t="shared" si="443"/>
        <v/>
      </c>
      <c r="BS446" s="45" t="str">
        <f t="shared" si="443"/>
        <v/>
      </c>
      <c r="BT446" s="45" t="str">
        <f t="shared" si="443"/>
        <v/>
      </c>
      <c r="BU446" s="45" t="str">
        <f t="shared" si="443"/>
        <v/>
      </c>
      <c r="BV446" s="45" t="str">
        <f t="shared" si="443"/>
        <v/>
      </c>
      <c r="BW446" s="45" t="str">
        <f t="shared" si="443"/>
        <v/>
      </c>
      <c r="BX446" s="45" t="str">
        <f t="shared" si="443"/>
        <v/>
      </c>
      <c r="BY446" s="45" t="str">
        <f t="shared" si="443"/>
        <v/>
      </c>
      <c r="BZ446" s="45" t="str">
        <f t="shared" si="443"/>
        <v/>
      </c>
      <c r="CA446" s="45" t="str">
        <f t="shared" si="443"/>
        <v/>
      </c>
      <c r="CB446" s="45" t="str">
        <f t="shared" si="443"/>
        <v/>
      </c>
      <c r="CC446" s="45" t="str">
        <f t="shared" si="443"/>
        <v/>
      </c>
      <c r="CD446" s="45" t="str">
        <f t="shared" ref="CD446:CO446" si="444">IF(COUNTIFS($E$447:$E$448,"&lt;&gt;",$D$447:$D$448,"A",CD$447:CD$448,"&lt;&gt;")=0,"",IFERROR(SUMPRODUCT(--($E$447:$E$448&lt;&gt;""),--($D$447:$D$448="A"),$O$447:$O$448,CD$447:CD$448)/SUMPRODUCT(--($E$447:$E$448&lt;&gt;""),--($D$447:$D$448="A"),$O$447:$O$448),""))</f>
        <v/>
      </c>
      <c r="CE446" s="45" t="str">
        <f t="shared" si="444"/>
        <v/>
      </c>
      <c r="CF446" s="45" t="str">
        <f t="shared" si="444"/>
        <v/>
      </c>
      <c r="CG446" s="45" t="str">
        <f t="shared" si="444"/>
        <v/>
      </c>
      <c r="CH446" s="45" t="str">
        <f t="shared" si="444"/>
        <v/>
      </c>
      <c r="CI446" s="45" t="str">
        <f t="shared" si="444"/>
        <v/>
      </c>
      <c r="CJ446" s="45" t="str">
        <f t="shared" si="444"/>
        <v/>
      </c>
      <c r="CK446" s="45" t="str">
        <f t="shared" si="444"/>
        <v/>
      </c>
      <c r="CL446" s="45" t="str">
        <f t="shared" si="444"/>
        <v/>
      </c>
      <c r="CM446" s="45" t="str">
        <f t="shared" si="444"/>
        <v/>
      </c>
      <c r="CN446" s="45" t="str">
        <f t="shared" si="444"/>
        <v/>
      </c>
      <c r="CO446" s="45" t="str">
        <f t="shared" si="444"/>
        <v/>
      </c>
    </row>
    <row r="447" spans="1:93" outlineLevel="2" x14ac:dyDescent="0.25">
      <c r="A447" s="10" t="s">
        <v>116</v>
      </c>
      <c r="B447" s="10" t="s">
        <v>601</v>
      </c>
      <c r="C447" s="26" t="s">
        <v>602</v>
      </c>
      <c r="D447" s="12" t="s">
        <v>110</v>
      </c>
      <c r="E447" s="10" t="s">
        <v>603</v>
      </c>
      <c r="F447" s="10">
        <v>221</v>
      </c>
      <c r="G447" s="10">
        <v>221</v>
      </c>
      <c r="H447" s="10">
        <v>2</v>
      </c>
      <c r="I447" s="13">
        <v>46482.333333333343</v>
      </c>
      <c r="J447" s="13">
        <v>46521.666666666657</v>
      </c>
      <c r="K447" s="13"/>
      <c r="L447" s="13"/>
      <c r="M447" s="14">
        <f t="shared" si="354"/>
        <v>1</v>
      </c>
      <c r="N447" s="14"/>
      <c r="O447" s="16">
        <v>100000</v>
      </c>
      <c r="P447" s="15">
        <v>1.466666666666667</v>
      </c>
      <c r="Q447" s="16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>
        <v>0.125</v>
      </c>
      <c r="CD447" s="47">
        <v>0.17499999999999999</v>
      </c>
      <c r="CE447" s="47">
        <v>0.17499999999999999</v>
      </c>
      <c r="CF447" s="47">
        <v>0.17499999999999999</v>
      </c>
      <c r="CG447" s="47">
        <v>0.17499999999999999</v>
      </c>
      <c r="CH447" s="47">
        <v>0.17499999999999999</v>
      </c>
      <c r="CI447" s="47"/>
      <c r="CJ447" s="47"/>
      <c r="CK447" s="47"/>
      <c r="CL447" s="47"/>
      <c r="CM447" s="47"/>
      <c r="CN447" s="47"/>
      <c r="CO447" s="47"/>
    </row>
    <row r="448" spans="1:93" outlineLevel="2" x14ac:dyDescent="0.25">
      <c r="A448" s="17"/>
      <c r="B448" s="17"/>
      <c r="C448" s="27"/>
      <c r="D448" s="19" t="s">
        <v>111</v>
      </c>
      <c r="E448" s="17" t="s">
        <v>603</v>
      </c>
      <c r="F448" s="17"/>
      <c r="G448" s="17"/>
      <c r="H448" s="17"/>
      <c r="I448" s="20"/>
      <c r="J448" s="20"/>
      <c r="K448" s="20"/>
      <c r="L448" s="20"/>
      <c r="M448" s="21" t="str">
        <f t="shared" si="354"/>
        <v/>
      </c>
      <c r="N448" s="21">
        <v>0</v>
      </c>
      <c r="O448" s="48">
        <f>O447</f>
        <v>100000</v>
      </c>
      <c r="P448" s="22"/>
      <c r="Q448" s="23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  <c r="CO448" s="47"/>
    </row>
    <row r="449" spans="1:93" outlineLevel="1" x14ac:dyDescent="0.25">
      <c r="A449" s="1" t="s">
        <v>92</v>
      </c>
      <c r="B449" s="1" t="s">
        <v>604</v>
      </c>
      <c r="C449" s="2" t="s">
        <v>605</v>
      </c>
      <c r="D449" s="8" t="s">
        <v>110</v>
      </c>
      <c r="E449" s="1"/>
      <c r="F449" s="1">
        <v>222</v>
      </c>
      <c r="G449" s="1">
        <v>222</v>
      </c>
      <c r="H449" s="1">
        <v>1</v>
      </c>
      <c r="I449" s="9">
        <v>46332.333333333343</v>
      </c>
      <c r="J449" s="9">
        <v>46457.666666666657</v>
      </c>
      <c r="K449" s="9"/>
      <c r="L449" s="9"/>
      <c r="M449" s="3">
        <f t="shared" si="354"/>
        <v>1</v>
      </c>
      <c r="N449" s="3"/>
      <c r="O449" s="5">
        <f>SUMIFS($O$450:$O$461,$A$450:$A$461,"Activity",$D$450:$D$461,"P")</f>
        <v>600000</v>
      </c>
      <c r="P449" s="4"/>
      <c r="Q449" s="5"/>
      <c r="R449" s="45" t="str">
        <f t="shared" ref="R449:AW449" si="445">IF(COUNTIFS($A$451:$A$462,"Activity",$D$451:$D$462,"P",R$451:R$462,"&lt;&gt;")=0,"",IFERROR(SUMPRODUCT(--($A$451:$A$462="Activity"),--($D$451:$D$462="P"),$O$451:$O$462,R$451:R$462)/SUMPRODUCT(--($A$451:$A$462="Activity"),--($D$451:$D$462="P"),$O$451:$O$462),""))</f>
        <v/>
      </c>
      <c r="S449" s="45" t="str">
        <f t="shared" si="445"/>
        <v/>
      </c>
      <c r="T449" s="45" t="str">
        <f t="shared" si="445"/>
        <v/>
      </c>
      <c r="U449" s="45" t="str">
        <f t="shared" si="445"/>
        <v/>
      </c>
      <c r="V449" s="45" t="str">
        <f t="shared" si="445"/>
        <v/>
      </c>
      <c r="W449" s="45" t="str">
        <f t="shared" si="445"/>
        <v/>
      </c>
      <c r="X449" s="45" t="str">
        <f t="shared" si="445"/>
        <v/>
      </c>
      <c r="Y449" s="45" t="str">
        <f t="shared" si="445"/>
        <v/>
      </c>
      <c r="Z449" s="45" t="str">
        <f t="shared" si="445"/>
        <v/>
      </c>
      <c r="AA449" s="45" t="str">
        <f t="shared" si="445"/>
        <v/>
      </c>
      <c r="AB449" s="45" t="str">
        <f t="shared" si="445"/>
        <v/>
      </c>
      <c r="AC449" s="45" t="str">
        <f t="shared" si="445"/>
        <v/>
      </c>
      <c r="AD449" s="45" t="str">
        <f t="shared" si="445"/>
        <v/>
      </c>
      <c r="AE449" s="45" t="str">
        <f t="shared" si="445"/>
        <v/>
      </c>
      <c r="AF449" s="45" t="str">
        <f t="shared" si="445"/>
        <v/>
      </c>
      <c r="AG449" s="45" t="str">
        <f t="shared" si="445"/>
        <v/>
      </c>
      <c r="AH449" s="45" t="str">
        <f t="shared" si="445"/>
        <v/>
      </c>
      <c r="AI449" s="45" t="str">
        <f t="shared" si="445"/>
        <v/>
      </c>
      <c r="AJ449" s="45" t="str">
        <f t="shared" si="445"/>
        <v/>
      </c>
      <c r="AK449" s="45" t="str">
        <f t="shared" si="445"/>
        <v/>
      </c>
      <c r="AL449" s="45" t="str">
        <f t="shared" si="445"/>
        <v/>
      </c>
      <c r="AM449" s="45" t="str">
        <f t="shared" si="445"/>
        <v/>
      </c>
      <c r="AN449" s="45" t="str">
        <f t="shared" si="445"/>
        <v/>
      </c>
      <c r="AO449" s="45" t="str">
        <f t="shared" si="445"/>
        <v/>
      </c>
      <c r="AP449" s="45" t="str">
        <f t="shared" si="445"/>
        <v/>
      </c>
      <c r="AQ449" s="45" t="str">
        <f t="shared" si="445"/>
        <v/>
      </c>
      <c r="AR449" s="45" t="str">
        <f t="shared" si="445"/>
        <v/>
      </c>
      <c r="AS449" s="45" t="str">
        <f t="shared" si="445"/>
        <v/>
      </c>
      <c r="AT449" s="45" t="str">
        <f t="shared" si="445"/>
        <v/>
      </c>
      <c r="AU449" s="45" t="str">
        <f t="shared" si="445"/>
        <v/>
      </c>
      <c r="AV449" s="45" t="str">
        <f t="shared" si="445"/>
        <v/>
      </c>
      <c r="AW449" s="45" t="str">
        <f t="shared" si="445"/>
        <v/>
      </c>
      <c r="AX449" s="45" t="str">
        <f t="shared" ref="AX449:CC449" si="446">IF(COUNTIFS($A$451:$A$462,"Activity",$D$451:$D$462,"P",AX$451:AX$462,"&lt;&gt;")=0,"",IFERROR(SUMPRODUCT(--($A$451:$A$462="Activity"),--($D$451:$D$462="P"),$O$451:$O$462,AX$451:AX$462)/SUMPRODUCT(--($A$451:$A$462="Activity"),--($D$451:$D$462="P"),$O$451:$O$462),""))</f>
        <v/>
      </c>
      <c r="AY449" s="45" t="str">
        <f t="shared" si="446"/>
        <v/>
      </c>
      <c r="AZ449" s="45" t="str">
        <f t="shared" si="446"/>
        <v/>
      </c>
      <c r="BA449" s="45" t="str">
        <f t="shared" si="446"/>
        <v/>
      </c>
      <c r="BB449" s="45" t="str">
        <f t="shared" si="446"/>
        <v/>
      </c>
      <c r="BC449" s="45" t="str">
        <f t="shared" si="446"/>
        <v/>
      </c>
      <c r="BD449" s="45" t="str">
        <f t="shared" si="446"/>
        <v/>
      </c>
      <c r="BE449" s="45" t="str">
        <f t="shared" si="446"/>
        <v/>
      </c>
      <c r="BF449" s="45" t="str">
        <f t="shared" si="446"/>
        <v/>
      </c>
      <c r="BG449" s="45">
        <f t="shared" si="446"/>
        <v>5.9523809523809538E-3</v>
      </c>
      <c r="BH449" s="45">
        <f t="shared" si="446"/>
        <v>4.1666666666666685E-2</v>
      </c>
      <c r="BI449" s="45">
        <f t="shared" si="446"/>
        <v>4.1666666666666685E-2</v>
      </c>
      <c r="BJ449" s="45">
        <f t="shared" si="446"/>
        <v>4.6428571428571451E-2</v>
      </c>
      <c r="BK449" s="45">
        <f t="shared" si="446"/>
        <v>6.9047619047619038E-2</v>
      </c>
      <c r="BL449" s="45">
        <f t="shared" si="446"/>
        <v>5.7683982683982699E-2</v>
      </c>
      <c r="BM449" s="45">
        <f t="shared" si="446"/>
        <v>9.451659451659454E-2</v>
      </c>
      <c r="BN449" s="45">
        <f t="shared" si="446"/>
        <v>0.12070707070707072</v>
      </c>
      <c r="BO449" s="45">
        <f t="shared" si="446"/>
        <v>0.11594516594516599</v>
      </c>
      <c r="BP449" s="45">
        <f t="shared" si="446"/>
        <v>6.9516594516594504E-2</v>
      </c>
      <c r="BQ449" s="45">
        <f t="shared" si="446"/>
        <v>4.570707070707071E-2</v>
      </c>
      <c r="BR449" s="45">
        <f t="shared" si="446"/>
        <v>4.570707070707071E-2</v>
      </c>
      <c r="BS449" s="45">
        <f t="shared" si="446"/>
        <v>4.570707070707071E-2</v>
      </c>
      <c r="BT449" s="45">
        <f t="shared" si="446"/>
        <v>4.570707070707071E-2</v>
      </c>
      <c r="BU449" s="45">
        <f t="shared" si="446"/>
        <v>4.570707070707071E-2</v>
      </c>
      <c r="BV449" s="45">
        <f t="shared" si="446"/>
        <v>4.570707070707071E-2</v>
      </c>
      <c r="BW449" s="45">
        <f t="shared" si="446"/>
        <v>3.6832611832611863E-2</v>
      </c>
      <c r="BX449" s="45">
        <f t="shared" si="446"/>
        <v>1.388888888888889E-2</v>
      </c>
      <c r="BY449" s="45">
        <f t="shared" si="446"/>
        <v>1.1904761904761845E-2</v>
      </c>
      <c r="BZ449" s="45" t="str">
        <f t="shared" si="446"/>
        <v/>
      </c>
      <c r="CA449" s="45" t="str">
        <f t="shared" si="446"/>
        <v/>
      </c>
      <c r="CB449" s="45" t="str">
        <f t="shared" si="446"/>
        <v/>
      </c>
      <c r="CC449" s="45" t="str">
        <f t="shared" si="446"/>
        <v/>
      </c>
      <c r="CD449" s="45" t="str">
        <f t="shared" ref="CD449:CO449" si="447">IF(COUNTIFS($A$451:$A$462,"Activity",$D$451:$D$462,"P",CD$451:CD$462,"&lt;&gt;")=0,"",IFERROR(SUMPRODUCT(--($A$451:$A$462="Activity"),--($D$451:$D$462="P"),$O$451:$O$462,CD$451:CD$462)/SUMPRODUCT(--($A$451:$A$462="Activity"),--($D$451:$D$462="P"),$O$451:$O$462),""))</f>
        <v/>
      </c>
      <c r="CE449" s="45" t="str">
        <f t="shared" si="447"/>
        <v/>
      </c>
      <c r="CF449" s="45" t="str">
        <f t="shared" si="447"/>
        <v/>
      </c>
      <c r="CG449" s="45" t="str">
        <f t="shared" si="447"/>
        <v/>
      </c>
      <c r="CH449" s="45" t="str">
        <f t="shared" si="447"/>
        <v/>
      </c>
      <c r="CI449" s="45" t="str">
        <f t="shared" si="447"/>
        <v/>
      </c>
      <c r="CJ449" s="45" t="str">
        <f t="shared" si="447"/>
        <v/>
      </c>
      <c r="CK449" s="45" t="str">
        <f t="shared" si="447"/>
        <v/>
      </c>
      <c r="CL449" s="45" t="str">
        <f t="shared" si="447"/>
        <v/>
      </c>
      <c r="CM449" s="45" t="str">
        <f t="shared" si="447"/>
        <v/>
      </c>
      <c r="CN449" s="45" t="str">
        <f t="shared" si="447"/>
        <v/>
      </c>
      <c r="CO449" s="45" t="str">
        <f t="shared" si="447"/>
        <v/>
      </c>
    </row>
    <row r="450" spans="1:93" outlineLevel="1" x14ac:dyDescent="0.25">
      <c r="A450" s="1"/>
      <c r="B450" s="1"/>
      <c r="C450" s="2"/>
      <c r="D450" s="8" t="s">
        <v>111</v>
      </c>
      <c r="E450" s="1"/>
      <c r="F450" s="1"/>
      <c r="G450" s="1"/>
      <c r="H450" s="1"/>
      <c r="I450" s="9"/>
      <c r="J450" s="9"/>
      <c r="K450" s="9"/>
      <c r="L450" s="9"/>
      <c r="M450" s="3" t="str">
        <f t="shared" si="354"/>
        <v/>
      </c>
      <c r="N450" s="3"/>
      <c r="O450" s="46">
        <f>O449</f>
        <v>600000</v>
      </c>
      <c r="P450" s="4"/>
      <c r="Q450" s="5"/>
      <c r="R450" s="45" t="str">
        <f t="shared" ref="R450:AW450" si="448">IF(COUNTIFS($E$451:$E$462,"&lt;&gt;",$D$451:$D$462,"A",R$451:R$462,"&lt;&gt;")=0,"",IFERROR(SUMPRODUCT(--($E$451:$E$462&lt;&gt;""),--($D$451:$D$462="A"),$O$451:$O$462,R$451:R$462)/SUMPRODUCT(--($E$451:$E$462&lt;&gt;""),--($D$451:$D$462="A"),$O$451:$O$462),""))</f>
        <v/>
      </c>
      <c r="S450" s="45" t="str">
        <f t="shared" si="448"/>
        <v/>
      </c>
      <c r="T450" s="45" t="str">
        <f t="shared" si="448"/>
        <v/>
      </c>
      <c r="U450" s="45" t="str">
        <f t="shared" si="448"/>
        <v/>
      </c>
      <c r="V450" s="45" t="str">
        <f t="shared" si="448"/>
        <v/>
      </c>
      <c r="W450" s="45" t="str">
        <f t="shared" si="448"/>
        <v/>
      </c>
      <c r="X450" s="45" t="str">
        <f t="shared" si="448"/>
        <v/>
      </c>
      <c r="Y450" s="45" t="str">
        <f t="shared" si="448"/>
        <v/>
      </c>
      <c r="Z450" s="45" t="str">
        <f t="shared" si="448"/>
        <v/>
      </c>
      <c r="AA450" s="45" t="str">
        <f t="shared" si="448"/>
        <v/>
      </c>
      <c r="AB450" s="45" t="str">
        <f t="shared" si="448"/>
        <v/>
      </c>
      <c r="AC450" s="45" t="str">
        <f t="shared" si="448"/>
        <v/>
      </c>
      <c r="AD450" s="45" t="str">
        <f t="shared" si="448"/>
        <v/>
      </c>
      <c r="AE450" s="45" t="str">
        <f t="shared" si="448"/>
        <v/>
      </c>
      <c r="AF450" s="45" t="str">
        <f t="shared" si="448"/>
        <v/>
      </c>
      <c r="AG450" s="45" t="str">
        <f t="shared" si="448"/>
        <v/>
      </c>
      <c r="AH450" s="45" t="str">
        <f t="shared" si="448"/>
        <v/>
      </c>
      <c r="AI450" s="45" t="str">
        <f t="shared" si="448"/>
        <v/>
      </c>
      <c r="AJ450" s="45" t="str">
        <f t="shared" si="448"/>
        <v/>
      </c>
      <c r="AK450" s="45" t="str">
        <f t="shared" si="448"/>
        <v/>
      </c>
      <c r="AL450" s="45" t="str">
        <f t="shared" si="448"/>
        <v/>
      </c>
      <c r="AM450" s="45" t="str">
        <f t="shared" si="448"/>
        <v/>
      </c>
      <c r="AN450" s="45" t="str">
        <f t="shared" si="448"/>
        <v/>
      </c>
      <c r="AO450" s="45" t="str">
        <f t="shared" si="448"/>
        <v/>
      </c>
      <c r="AP450" s="45" t="str">
        <f t="shared" si="448"/>
        <v/>
      </c>
      <c r="AQ450" s="45" t="str">
        <f t="shared" si="448"/>
        <v/>
      </c>
      <c r="AR450" s="45" t="str">
        <f t="shared" si="448"/>
        <v/>
      </c>
      <c r="AS450" s="45" t="str">
        <f t="shared" si="448"/>
        <v/>
      </c>
      <c r="AT450" s="45" t="str">
        <f t="shared" si="448"/>
        <v/>
      </c>
      <c r="AU450" s="45" t="str">
        <f t="shared" si="448"/>
        <v/>
      </c>
      <c r="AV450" s="45" t="str">
        <f t="shared" si="448"/>
        <v/>
      </c>
      <c r="AW450" s="45" t="str">
        <f t="shared" si="448"/>
        <v/>
      </c>
      <c r="AX450" s="45" t="str">
        <f t="shared" ref="AX450:CC450" si="449">IF(COUNTIFS($E$451:$E$462,"&lt;&gt;",$D$451:$D$462,"A",AX$451:AX$462,"&lt;&gt;")=0,"",IFERROR(SUMPRODUCT(--($E$451:$E$462&lt;&gt;""),--($D$451:$D$462="A"),$O$451:$O$462,AX$451:AX$462)/SUMPRODUCT(--($E$451:$E$462&lt;&gt;""),--($D$451:$D$462="A"),$O$451:$O$462),""))</f>
        <v/>
      </c>
      <c r="AY450" s="45" t="str">
        <f t="shared" si="449"/>
        <v/>
      </c>
      <c r="AZ450" s="45" t="str">
        <f t="shared" si="449"/>
        <v/>
      </c>
      <c r="BA450" s="45" t="str">
        <f t="shared" si="449"/>
        <v/>
      </c>
      <c r="BB450" s="45" t="str">
        <f t="shared" si="449"/>
        <v/>
      </c>
      <c r="BC450" s="45" t="str">
        <f t="shared" si="449"/>
        <v/>
      </c>
      <c r="BD450" s="45" t="str">
        <f t="shared" si="449"/>
        <v/>
      </c>
      <c r="BE450" s="45" t="str">
        <f t="shared" si="449"/>
        <v/>
      </c>
      <c r="BF450" s="45" t="str">
        <f t="shared" si="449"/>
        <v/>
      </c>
      <c r="BG450" s="45" t="str">
        <f t="shared" si="449"/>
        <v/>
      </c>
      <c r="BH450" s="45" t="str">
        <f t="shared" si="449"/>
        <v/>
      </c>
      <c r="BI450" s="45" t="str">
        <f t="shared" si="449"/>
        <v/>
      </c>
      <c r="BJ450" s="45" t="str">
        <f t="shared" si="449"/>
        <v/>
      </c>
      <c r="BK450" s="45" t="str">
        <f t="shared" si="449"/>
        <v/>
      </c>
      <c r="BL450" s="45" t="str">
        <f t="shared" si="449"/>
        <v/>
      </c>
      <c r="BM450" s="45" t="str">
        <f t="shared" si="449"/>
        <v/>
      </c>
      <c r="BN450" s="45" t="str">
        <f t="shared" si="449"/>
        <v/>
      </c>
      <c r="BO450" s="45" t="str">
        <f t="shared" si="449"/>
        <v/>
      </c>
      <c r="BP450" s="45" t="str">
        <f t="shared" si="449"/>
        <v/>
      </c>
      <c r="BQ450" s="45" t="str">
        <f t="shared" si="449"/>
        <v/>
      </c>
      <c r="BR450" s="45" t="str">
        <f t="shared" si="449"/>
        <v/>
      </c>
      <c r="BS450" s="45" t="str">
        <f t="shared" si="449"/>
        <v/>
      </c>
      <c r="BT450" s="45" t="str">
        <f t="shared" si="449"/>
        <v/>
      </c>
      <c r="BU450" s="45" t="str">
        <f t="shared" si="449"/>
        <v/>
      </c>
      <c r="BV450" s="45" t="str">
        <f t="shared" si="449"/>
        <v/>
      </c>
      <c r="BW450" s="45" t="str">
        <f t="shared" si="449"/>
        <v/>
      </c>
      <c r="BX450" s="45" t="str">
        <f t="shared" si="449"/>
        <v/>
      </c>
      <c r="BY450" s="45" t="str">
        <f t="shared" si="449"/>
        <v/>
      </c>
      <c r="BZ450" s="45" t="str">
        <f t="shared" si="449"/>
        <v/>
      </c>
      <c r="CA450" s="45" t="str">
        <f t="shared" si="449"/>
        <v/>
      </c>
      <c r="CB450" s="45" t="str">
        <f t="shared" si="449"/>
        <v/>
      </c>
      <c r="CC450" s="45" t="str">
        <f t="shared" si="449"/>
        <v/>
      </c>
      <c r="CD450" s="45" t="str">
        <f t="shared" ref="CD450:CO450" si="450">IF(COUNTIFS($E$451:$E$462,"&lt;&gt;",$D$451:$D$462,"A",CD$451:CD$462,"&lt;&gt;")=0,"",IFERROR(SUMPRODUCT(--($E$451:$E$462&lt;&gt;""),--($D$451:$D$462="A"),$O$451:$O$462,CD$451:CD$462)/SUMPRODUCT(--($E$451:$E$462&lt;&gt;""),--($D$451:$D$462="A"),$O$451:$O$462),""))</f>
        <v/>
      </c>
      <c r="CE450" s="45" t="str">
        <f t="shared" si="450"/>
        <v/>
      </c>
      <c r="CF450" s="45" t="str">
        <f t="shared" si="450"/>
        <v/>
      </c>
      <c r="CG450" s="45" t="str">
        <f t="shared" si="450"/>
        <v/>
      </c>
      <c r="CH450" s="45" t="str">
        <f t="shared" si="450"/>
        <v/>
      </c>
      <c r="CI450" s="45" t="str">
        <f t="shared" si="450"/>
        <v/>
      </c>
      <c r="CJ450" s="45" t="str">
        <f t="shared" si="450"/>
        <v/>
      </c>
      <c r="CK450" s="45" t="str">
        <f t="shared" si="450"/>
        <v/>
      </c>
      <c r="CL450" s="45" t="str">
        <f t="shared" si="450"/>
        <v/>
      </c>
      <c r="CM450" s="45" t="str">
        <f t="shared" si="450"/>
        <v/>
      </c>
      <c r="CN450" s="45" t="str">
        <f t="shared" si="450"/>
        <v/>
      </c>
      <c r="CO450" s="45" t="str">
        <f t="shared" si="450"/>
        <v/>
      </c>
    </row>
    <row r="451" spans="1:93" outlineLevel="2" x14ac:dyDescent="0.25">
      <c r="A451" s="10" t="s">
        <v>116</v>
      </c>
      <c r="B451" s="10" t="s">
        <v>606</v>
      </c>
      <c r="C451" s="26" t="s">
        <v>607</v>
      </c>
      <c r="D451" s="12" t="s">
        <v>110</v>
      </c>
      <c r="E451" s="10" t="s">
        <v>608</v>
      </c>
      <c r="F451" s="10">
        <v>223</v>
      </c>
      <c r="G451" s="10">
        <v>223</v>
      </c>
      <c r="H451" s="10">
        <v>2</v>
      </c>
      <c r="I451" s="13">
        <v>46353.333333333343</v>
      </c>
      <c r="J451" s="13">
        <v>46387.666666666657</v>
      </c>
      <c r="K451" s="13"/>
      <c r="L451" s="13"/>
      <c r="M451" s="14">
        <f t="shared" si="354"/>
        <v>1</v>
      </c>
      <c r="N451" s="14"/>
      <c r="O451" s="16">
        <v>100000</v>
      </c>
      <c r="P451" s="15">
        <v>14.266666666666669</v>
      </c>
      <c r="Q451" s="16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>
        <v>2.8571428571428571E-2</v>
      </c>
      <c r="BK451" s="47">
        <v>0.2</v>
      </c>
      <c r="BL451" s="47">
        <v>0.2</v>
      </c>
      <c r="BM451" s="47">
        <v>0.2</v>
      </c>
      <c r="BN451" s="47">
        <v>0.2</v>
      </c>
      <c r="BO451" s="47">
        <v>0.17142857142857151</v>
      </c>
      <c r="BP451" s="47"/>
      <c r="BQ451" s="47"/>
      <c r="BR451" s="47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  <c r="CO451" s="47"/>
    </row>
    <row r="452" spans="1:93" outlineLevel="2" x14ac:dyDescent="0.25">
      <c r="A452" s="17"/>
      <c r="B452" s="17"/>
      <c r="C452" s="27"/>
      <c r="D452" s="19" t="s">
        <v>111</v>
      </c>
      <c r="E452" s="17" t="s">
        <v>608</v>
      </c>
      <c r="F452" s="17"/>
      <c r="G452" s="17"/>
      <c r="H452" s="17"/>
      <c r="I452" s="20"/>
      <c r="J452" s="20"/>
      <c r="K452" s="20"/>
      <c r="L452" s="20"/>
      <c r="M452" s="21" t="str">
        <f t="shared" si="354"/>
        <v/>
      </c>
      <c r="N452" s="21">
        <v>0</v>
      </c>
      <c r="O452" s="48">
        <f>O451</f>
        <v>100000</v>
      </c>
      <c r="P452" s="22"/>
      <c r="Q452" s="23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  <c r="CO452" s="47"/>
    </row>
    <row r="453" spans="1:93" outlineLevel="2" x14ac:dyDescent="0.25">
      <c r="A453" s="10" t="s">
        <v>116</v>
      </c>
      <c r="B453" s="10" t="s">
        <v>609</v>
      </c>
      <c r="C453" s="26" t="s">
        <v>610</v>
      </c>
      <c r="D453" s="12" t="s">
        <v>110</v>
      </c>
      <c r="E453" s="10" t="s">
        <v>611</v>
      </c>
      <c r="F453" s="10">
        <v>224</v>
      </c>
      <c r="G453" s="10">
        <v>224</v>
      </c>
      <c r="H453" s="10">
        <v>2</v>
      </c>
      <c r="I453" s="13">
        <v>46365.333333333343</v>
      </c>
      <c r="J453" s="13">
        <v>46392.666666666657</v>
      </c>
      <c r="K453" s="13"/>
      <c r="L453" s="13"/>
      <c r="M453" s="14">
        <f t="shared" ref="M453:M514" si="451">IF(COUNT(R453:CO453)=0,"",SUM(R453:CO453))</f>
        <v>1.0000000000000004</v>
      </c>
      <c r="N453" s="14"/>
      <c r="O453" s="16">
        <v>100000</v>
      </c>
      <c r="P453" s="15">
        <v>13.866666666666671</v>
      </c>
      <c r="Q453" s="16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>
        <v>0.10714285714285721</v>
      </c>
      <c r="BM453" s="47">
        <v>0.25000000000000011</v>
      </c>
      <c r="BN453" s="47">
        <v>0.25000000000000011</v>
      </c>
      <c r="BO453" s="47">
        <v>0.25000000000000011</v>
      </c>
      <c r="BP453" s="47">
        <v>0.14285714285714279</v>
      </c>
      <c r="BQ453" s="47"/>
      <c r="BR453" s="47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  <c r="CO453" s="47"/>
    </row>
    <row r="454" spans="1:93" outlineLevel="2" x14ac:dyDescent="0.25">
      <c r="A454" s="17"/>
      <c r="B454" s="17"/>
      <c r="C454" s="27"/>
      <c r="D454" s="19" t="s">
        <v>111</v>
      </c>
      <c r="E454" s="17" t="s">
        <v>611</v>
      </c>
      <c r="F454" s="17"/>
      <c r="G454" s="17"/>
      <c r="H454" s="17"/>
      <c r="I454" s="20"/>
      <c r="J454" s="20"/>
      <c r="K454" s="20"/>
      <c r="L454" s="20"/>
      <c r="M454" s="21" t="str">
        <f t="shared" si="451"/>
        <v/>
      </c>
      <c r="N454" s="21">
        <v>0</v>
      </c>
      <c r="O454" s="48">
        <f>O453</f>
        <v>100000</v>
      </c>
      <c r="P454" s="22"/>
      <c r="Q454" s="23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  <c r="CO454" s="47"/>
    </row>
    <row r="455" spans="1:93" outlineLevel="2" x14ac:dyDescent="0.25">
      <c r="A455" s="10" t="s">
        <v>116</v>
      </c>
      <c r="B455" s="10" t="s">
        <v>612</v>
      </c>
      <c r="C455" s="26" t="s">
        <v>613</v>
      </c>
      <c r="D455" s="12" t="s">
        <v>110</v>
      </c>
      <c r="E455" s="10" t="s">
        <v>614</v>
      </c>
      <c r="F455" s="10">
        <v>225</v>
      </c>
      <c r="G455" s="10">
        <v>225</v>
      </c>
      <c r="H455" s="10">
        <v>2</v>
      </c>
      <c r="I455" s="13">
        <v>46332.333333333343</v>
      </c>
      <c r="J455" s="13">
        <v>46359.666666666657</v>
      </c>
      <c r="K455" s="13"/>
      <c r="L455" s="13"/>
      <c r="M455" s="14">
        <f t="shared" si="451"/>
        <v>1.0000000000000002</v>
      </c>
      <c r="N455" s="14"/>
      <c r="O455" s="16">
        <v>100000</v>
      </c>
      <c r="P455" s="15">
        <v>16.93333333333333</v>
      </c>
      <c r="Q455" s="16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>
        <v>3.5714285714285719E-2</v>
      </c>
      <c r="BH455" s="47">
        <v>0.25000000000000011</v>
      </c>
      <c r="BI455" s="47">
        <v>0.25000000000000011</v>
      </c>
      <c r="BJ455" s="47">
        <v>0.25000000000000011</v>
      </c>
      <c r="BK455" s="47">
        <v>0.21428571428571419</v>
      </c>
      <c r="BL455" s="47"/>
      <c r="BM455" s="47"/>
      <c r="BN455" s="47"/>
      <c r="BO455" s="47"/>
      <c r="BP455" s="47"/>
      <c r="BQ455" s="47"/>
      <c r="BR455" s="47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  <c r="CO455" s="47"/>
    </row>
    <row r="456" spans="1:93" outlineLevel="2" x14ac:dyDescent="0.25">
      <c r="A456" s="17"/>
      <c r="B456" s="17"/>
      <c r="C456" s="27"/>
      <c r="D456" s="19" t="s">
        <v>111</v>
      </c>
      <c r="E456" s="17" t="s">
        <v>614</v>
      </c>
      <c r="F456" s="17"/>
      <c r="G456" s="17"/>
      <c r="H456" s="17"/>
      <c r="I456" s="20"/>
      <c r="J456" s="20"/>
      <c r="K456" s="20"/>
      <c r="L456" s="20"/>
      <c r="M456" s="21" t="str">
        <f t="shared" si="451"/>
        <v/>
      </c>
      <c r="N456" s="21">
        <v>0</v>
      </c>
      <c r="O456" s="48">
        <f>O455</f>
        <v>100000</v>
      </c>
      <c r="P456" s="22"/>
      <c r="Q456" s="23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  <c r="CO456" s="47"/>
    </row>
    <row r="457" spans="1:93" outlineLevel="2" x14ac:dyDescent="0.25">
      <c r="A457" s="10" t="s">
        <v>116</v>
      </c>
      <c r="B457" s="10" t="s">
        <v>615</v>
      </c>
      <c r="C457" s="26" t="s">
        <v>616</v>
      </c>
      <c r="D457" s="12" t="s">
        <v>110</v>
      </c>
      <c r="E457" s="10" t="s">
        <v>617</v>
      </c>
      <c r="F457" s="10">
        <v>226</v>
      </c>
      <c r="G457" s="10">
        <v>226</v>
      </c>
      <c r="H457" s="10">
        <v>2</v>
      </c>
      <c r="I457" s="13">
        <v>46365.333333333343</v>
      </c>
      <c r="J457" s="13">
        <v>46441.666666666657</v>
      </c>
      <c r="K457" s="13"/>
      <c r="L457" s="13"/>
      <c r="M457" s="14">
        <f t="shared" si="451"/>
        <v>1</v>
      </c>
      <c r="N457" s="14"/>
      <c r="O457" s="16">
        <v>100000</v>
      </c>
      <c r="P457" s="15">
        <v>9.1999999999999993</v>
      </c>
      <c r="Q457" s="16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>
        <v>3.8961038961038953E-2</v>
      </c>
      <c r="BM457" s="47">
        <v>9.0909090909090898E-2</v>
      </c>
      <c r="BN457" s="47">
        <v>9.0909090909090898E-2</v>
      </c>
      <c r="BO457" s="47">
        <v>9.0909090909090898E-2</v>
      </c>
      <c r="BP457" s="47">
        <v>9.0909090909090898E-2</v>
      </c>
      <c r="BQ457" s="47">
        <v>9.0909090909090898E-2</v>
      </c>
      <c r="BR457" s="47">
        <v>9.0909090909090898E-2</v>
      </c>
      <c r="BS457" s="47">
        <v>9.0909090909090898E-2</v>
      </c>
      <c r="BT457" s="47">
        <v>9.0909090909090898E-2</v>
      </c>
      <c r="BU457" s="47">
        <v>9.0909090909090898E-2</v>
      </c>
      <c r="BV457" s="47">
        <v>9.0909090909090898E-2</v>
      </c>
      <c r="BW457" s="47">
        <v>5.1948051948051972E-2</v>
      </c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  <c r="CO457" s="47"/>
    </row>
    <row r="458" spans="1:93" outlineLevel="2" x14ac:dyDescent="0.25">
      <c r="A458" s="17"/>
      <c r="B458" s="17"/>
      <c r="C458" s="27"/>
      <c r="D458" s="19" t="s">
        <v>111</v>
      </c>
      <c r="E458" s="17" t="s">
        <v>617</v>
      </c>
      <c r="F458" s="17"/>
      <c r="G458" s="17"/>
      <c r="H458" s="17"/>
      <c r="I458" s="20"/>
      <c r="J458" s="20"/>
      <c r="K458" s="20"/>
      <c r="L458" s="20"/>
      <c r="M458" s="21" t="str">
        <f t="shared" si="451"/>
        <v/>
      </c>
      <c r="N458" s="21">
        <v>0</v>
      </c>
      <c r="O458" s="48">
        <f>O457</f>
        <v>100000</v>
      </c>
      <c r="P458" s="22"/>
      <c r="Q458" s="23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  <c r="CO458" s="47"/>
    </row>
    <row r="459" spans="1:93" outlineLevel="2" x14ac:dyDescent="0.25">
      <c r="A459" s="10" t="s">
        <v>116</v>
      </c>
      <c r="B459" s="10" t="s">
        <v>618</v>
      </c>
      <c r="C459" s="26" t="s">
        <v>619</v>
      </c>
      <c r="D459" s="12" t="s">
        <v>110</v>
      </c>
      <c r="E459" s="10" t="s">
        <v>620</v>
      </c>
      <c r="F459" s="10">
        <v>227</v>
      </c>
      <c r="G459" s="10">
        <v>227</v>
      </c>
      <c r="H459" s="10">
        <v>2</v>
      </c>
      <c r="I459" s="13">
        <v>46374.333333333343</v>
      </c>
      <c r="J459" s="13">
        <v>46457.666666666657</v>
      </c>
      <c r="K459" s="13"/>
      <c r="L459" s="13"/>
      <c r="M459" s="14">
        <f t="shared" si="451"/>
        <v>1</v>
      </c>
      <c r="N459" s="14"/>
      <c r="O459" s="16">
        <v>100000</v>
      </c>
      <c r="P459" s="15">
        <v>7.6</v>
      </c>
      <c r="Q459" s="16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>
        <v>1.1904761904761909E-2</v>
      </c>
      <c r="BN459" s="47">
        <v>8.3333333333333343E-2</v>
      </c>
      <c r="BO459" s="47">
        <v>8.3333333333333343E-2</v>
      </c>
      <c r="BP459" s="47">
        <v>8.3333333333333343E-2</v>
      </c>
      <c r="BQ459" s="47">
        <v>8.3333333333333343E-2</v>
      </c>
      <c r="BR459" s="47">
        <v>8.3333333333333343E-2</v>
      </c>
      <c r="BS459" s="47">
        <v>8.3333333333333343E-2</v>
      </c>
      <c r="BT459" s="47">
        <v>8.3333333333333343E-2</v>
      </c>
      <c r="BU459" s="47">
        <v>8.3333333333333343E-2</v>
      </c>
      <c r="BV459" s="47">
        <v>8.3333333333333343E-2</v>
      </c>
      <c r="BW459" s="47">
        <v>8.3333333333333343E-2</v>
      </c>
      <c r="BX459" s="47">
        <v>8.3333333333333343E-2</v>
      </c>
      <c r="BY459" s="47">
        <v>7.1428571428571064E-2</v>
      </c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  <c r="CO459" s="47"/>
    </row>
    <row r="460" spans="1:93" outlineLevel="2" x14ac:dyDescent="0.25">
      <c r="A460" s="17"/>
      <c r="B460" s="17"/>
      <c r="C460" s="27"/>
      <c r="D460" s="19" t="s">
        <v>111</v>
      </c>
      <c r="E460" s="17" t="s">
        <v>620</v>
      </c>
      <c r="F460" s="17"/>
      <c r="G460" s="17"/>
      <c r="H460" s="17"/>
      <c r="I460" s="20"/>
      <c r="J460" s="20"/>
      <c r="K460" s="20"/>
      <c r="L460" s="20"/>
      <c r="M460" s="21" t="str">
        <f t="shared" si="451"/>
        <v/>
      </c>
      <c r="N460" s="21">
        <v>0</v>
      </c>
      <c r="O460" s="48">
        <f>O459</f>
        <v>100000</v>
      </c>
      <c r="P460" s="22"/>
      <c r="Q460" s="23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  <c r="CO460" s="47"/>
    </row>
    <row r="461" spans="1:93" outlineLevel="2" x14ac:dyDescent="0.25">
      <c r="A461" s="10" t="s">
        <v>116</v>
      </c>
      <c r="B461" s="10" t="s">
        <v>621</v>
      </c>
      <c r="C461" s="26" t="s">
        <v>622</v>
      </c>
      <c r="D461" s="12" t="s">
        <v>110</v>
      </c>
      <c r="E461" s="10" t="s">
        <v>623</v>
      </c>
      <c r="F461" s="10">
        <v>228</v>
      </c>
      <c r="G461" s="10">
        <v>228</v>
      </c>
      <c r="H461" s="10">
        <v>2</v>
      </c>
      <c r="I461" s="13">
        <v>46374.333333333343</v>
      </c>
      <c r="J461" s="13">
        <v>46443.666666666657</v>
      </c>
      <c r="K461" s="13"/>
      <c r="L461" s="13"/>
      <c r="M461" s="14">
        <f t="shared" si="451"/>
        <v>1</v>
      </c>
      <c r="N461" s="14"/>
      <c r="O461" s="16">
        <v>100000</v>
      </c>
      <c r="P461" s="15">
        <v>8.9333333333333336</v>
      </c>
      <c r="Q461" s="16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>
        <v>1.428571428571429E-2</v>
      </c>
      <c r="BN461" s="47">
        <v>0.1</v>
      </c>
      <c r="BO461" s="47">
        <v>0.1</v>
      </c>
      <c r="BP461" s="47">
        <v>0.1</v>
      </c>
      <c r="BQ461" s="47">
        <v>0.1</v>
      </c>
      <c r="BR461" s="47">
        <v>0.1</v>
      </c>
      <c r="BS461" s="47">
        <v>0.1</v>
      </c>
      <c r="BT461" s="47">
        <v>0.1</v>
      </c>
      <c r="BU461" s="47">
        <v>0.1</v>
      </c>
      <c r="BV461" s="47">
        <v>0.1</v>
      </c>
      <c r="BW461" s="47">
        <v>8.5714285714285854E-2</v>
      </c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  <c r="CO461" s="47"/>
    </row>
    <row r="462" spans="1:93" outlineLevel="2" x14ac:dyDescent="0.25">
      <c r="A462" s="17"/>
      <c r="B462" s="17"/>
      <c r="C462" s="27"/>
      <c r="D462" s="19" t="s">
        <v>111</v>
      </c>
      <c r="E462" s="17" t="s">
        <v>623</v>
      </c>
      <c r="F462" s="17"/>
      <c r="G462" s="17"/>
      <c r="H462" s="17"/>
      <c r="I462" s="20"/>
      <c r="J462" s="20"/>
      <c r="K462" s="20"/>
      <c r="L462" s="20"/>
      <c r="M462" s="21" t="str">
        <f t="shared" si="451"/>
        <v/>
      </c>
      <c r="N462" s="21">
        <v>0</v>
      </c>
      <c r="O462" s="48">
        <f>O461</f>
        <v>100000</v>
      </c>
      <c r="P462" s="22"/>
      <c r="Q462" s="23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  <c r="CO462" s="47"/>
    </row>
    <row r="463" spans="1:93" outlineLevel="1" x14ac:dyDescent="0.25">
      <c r="A463" s="1" t="s">
        <v>92</v>
      </c>
      <c r="B463" s="1" t="s">
        <v>624</v>
      </c>
      <c r="C463" s="2" t="s">
        <v>625</v>
      </c>
      <c r="D463" s="8" t="s">
        <v>110</v>
      </c>
      <c r="E463" s="1"/>
      <c r="F463" s="1">
        <v>229</v>
      </c>
      <c r="G463" s="1">
        <v>229</v>
      </c>
      <c r="H463" s="1">
        <v>1</v>
      </c>
      <c r="I463" s="9">
        <v>46405.333333333343</v>
      </c>
      <c r="J463" s="9">
        <v>46528.666666666657</v>
      </c>
      <c r="K463" s="9"/>
      <c r="L463" s="9"/>
      <c r="M463" s="3">
        <f t="shared" si="451"/>
        <v>0.99999999999999989</v>
      </c>
      <c r="N463" s="3"/>
      <c r="O463" s="5">
        <f>SUMIFS($O$464:$O$475,$A$464:$A$475,"Activity",$D$464:$D$475,"P")</f>
        <v>300000</v>
      </c>
      <c r="P463" s="4"/>
      <c r="Q463" s="5"/>
      <c r="R463" s="45" t="str">
        <f t="shared" ref="R463:AW463" si="452">IF(COUNTIFS($A$465:$A$476,"Activity",$D$465:$D$476,"P",R$465:R$476,"&lt;&gt;")=0,"",IFERROR(SUMPRODUCT(--($A$465:$A$476="Activity"),--($D$465:$D$476="P"),$O$465:$O$476,R$465:R$476)/SUMPRODUCT(--($A$465:$A$476="Activity"),--($D$465:$D$476="P"),$O$465:$O$476),""))</f>
        <v/>
      </c>
      <c r="S463" s="45" t="str">
        <f t="shared" si="452"/>
        <v/>
      </c>
      <c r="T463" s="45" t="str">
        <f t="shared" si="452"/>
        <v/>
      </c>
      <c r="U463" s="45" t="str">
        <f t="shared" si="452"/>
        <v/>
      </c>
      <c r="V463" s="45" t="str">
        <f t="shared" si="452"/>
        <v/>
      </c>
      <c r="W463" s="45" t="str">
        <f t="shared" si="452"/>
        <v/>
      </c>
      <c r="X463" s="45" t="str">
        <f t="shared" si="452"/>
        <v/>
      </c>
      <c r="Y463" s="45" t="str">
        <f t="shared" si="452"/>
        <v/>
      </c>
      <c r="Z463" s="45" t="str">
        <f t="shared" si="452"/>
        <v/>
      </c>
      <c r="AA463" s="45" t="str">
        <f t="shared" si="452"/>
        <v/>
      </c>
      <c r="AB463" s="45" t="str">
        <f t="shared" si="452"/>
        <v/>
      </c>
      <c r="AC463" s="45" t="str">
        <f t="shared" si="452"/>
        <v/>
      </c>
      <c r="AD463" s="45" t="str">
        <f t="shared" si="452"/>
        <v/>
      </c>
      <c r="AE463" s="45" t="str">
        <f t="shared" si="452"/>
        <v/>
      </c>
      <c r="AF463" s="45" t="str">
        <f t="shared" si="452"/>
        <v/>
      </c>
      <c r="AG463" s="45" t="str">
        <f t="shared" si="452"/>
        <v/>
      </c>
      <c r="AH463" s="45" t="str">
        <f t="shared" si="452"/>
        <v/>
      </c>
      <c r="AI463" s="45" t="str">
        <f t="shared" si="452"/>
        <v/>
      </c>
      <c r="AJ463" s="45" t="str">
        <f t="shared" si="452"/>
        <v/>
      </c>
      <c r="AK463" s="45" t="str">
        <f t="shared" si="452"/>
        <v/>
      </c>
      <c r="AL463" s="45" t="str">
        <f t="shared" si="452"/>
        <v/>
      </c>
      <c r="AM463" s="45" t="str">
        <f t="shared" si="452"/>
        <v/>
      </c>
      <c r="AN463" s="45" t="str">
        <f t="shared" si="452"/>
        <v/>
      </c>
      <c r="AO463" s="45" t="str">
        <f t="shared" si="452"/>
        <v/>
      </c>
      <c r="AP463" s="45" t="str">
        <f t="shared" si="452"/>
        <v/>
      </c>
      <c r="AQ463" s="45" t="str">
        <f t="shared" si="452"/>
        <v/>
      </c>
      <c r="AR463" s="45" t="str">
        <f t="shared" si="452"/>
        <v/>
      </c>
      <c r="AS463" s="45" t="str">
        <f t="shared" si="452"/>
        <v/>
      </c>
      <c r="AT463" s="45" t="str">
        <f t="shared" si="452"/>
        <v/>
      </c>
      <c r="AU463" s="45" t="str">
        <f t="shared" si="452"/>
        <v/>
      </c>
      <c r="AV463" s="45" t="str">
        <f t="shared" si="452"/>
        <v/>
      </c>
      <c r="AW463" s="45" t="str">
        <f t="shared" si="452"/>
        <v/>
      </c>
      <c r="AX463" s="45" t="str">
        <f t="shared" ref="AX463:CC463" si="453">IF(COUNTIFS($A$465:$A$476,"Activity",$D$465:$D$476,"P",AX$465:AX$476,"&lt;&gt;")=0,"",IFERROR(SUMPRODUCT(--($A$465:$A$476="Activity"),--($D$465:$D$476="P"),$O$465:$O$476,AX$465:AX$476)/SUMPRODUCT(--($A$465:$A$476="Activity"),--($D$465:$D$476="P"),$O$465:$O$476),""))</f>
        <v/>
      </c>
      <c r="AY463" s="45" t="str">
        <f t="shared" si="453"/>
        <v/>
      </c>
      <c r="AZ463" s="45" t="str">
        <f t="shared" si="453"/>
        <v/>
      </c>
      <c r="BA463" s="45" t="str">
        <f t="shared" si="453"/>
        <v/>
      </c>
      <c r="BB463" s="45" t="str">
        <f t="shared" si="453"/>
        <v/>
      </c>
      <c r="BC463" s="45" t="str">
        <f t="shared" si="453"/>
        <v/>
      </c>
      <c r="BD463" s="45" t="str">
        <f t="shared" si="453"/>
        <v/>
      </c>
      <c r="BE463" s="45" t="str">
        <f t="shared" si="453"/>
        <v/>
      </c>
      <c r="BF463" s="45" t="str">
        <f t="shared" si="453"/>
        <v/>
      </c>
      <c r="BG463" s="45" t="str">
        <f t="shared" si="453"/>
        <v/>
      </c>
      <c r="BH463" s="45" t="str">
        <f t="shared" si="453"/>
        <v/>
      </c>
      <c r="BI463" s="45" t="str">
        <f t="shared" si="453"/>
        <v/>
      </c>
      <c r="BJ463" s="45" t="str">
        <f t="shared" si="453"/>
        <v/>
      </c>
      <c r="BK463" s="45" t="str">
        <f t="shared" si="453"/>
        <v/>
      </c>
      <c r="BL463" s="45" t="str">
        <f t="shared" si="453"/>
        <v/>
      </c>
      <c r="BM463" s="45" t="str">
        <f t="shared" si="453"/>
        <v/>
      </c>
      <c r="BN463" s="45" t="str">
        <f t="shared" si="453"/>
        <v/>
      </c>
      <c r="BO463" s="45" t="str">
        <f t="shared" si="453"/>
        <v/>
      </c>
      <c r="BP463" s="45" t="str">
        <f t="shared" si="453"/>
        <v/>
      </c>
      <c r="BQ463" s="45" t="str">
        <f t="shared" si="453"/>
        <v/>
      </c>
      <c r="BR463" s="45">
        <f t="shared" si="453"/>
        <v>2.7322404371584702E-2</v>
      </c>
      <c r="BS463" s="45">
        <f t="shared" si="453"/>
        <v>3.8251366120218566E-2</v>
      </c>
      <c r="BT463" s="45">
        <f t="shared" si="453"/>
        <v>3.8251366120218566E-2</v>
      </c>
      <c r="BU463" s="45">
        <f t="shared" si="453"/>
        <v>3.8251366120218566E-2</v>
      </c>
      <c r="BV463" s="45">
        <f t="shared" si="453"/>
        <v>3.8251366120218566E-2</v>
      </c>
      <c r="BW463" s="45">
        <f t="shared" si="453"/>
        <v>3.8251366120218566E-2</v>
      </c>
      <c r="BX463" s="45">
        <f t="shared" si="453"/>
        <v>6.2060889929742367E-2</v>
      </c>
      <c r="BY463" s="45">
        <f t="shared" si="453"/>
        <v>9.3806921675774133E-2</v>
      </c>
      <c r="BZ463" s="45">
        <f t="shared" si="453"/>
        <v>9.3806921675774119E-2</v>
      </c>
      <c r="CA463" s="45">
        <f t="shared" si="453"/>
        <v>8.2877959927140282E-2</v>
      </c>
      <c r="CB463" s="45">
        <f t="shared" si="453"/>
        <v>9.3806921675774133E-2</v>
      </c>
      <c r="CC463" s="45">
        <f t="shared" si="453"/>
        <v>9.3806921675774133E-2</v>
      </c>
      <c r="CD463" s="45">
        <f t="shared" ref="CD463:CO463" si="454">IF(COUNTIFS($A$465:$A$476,"Activity",$D$465:$D$476,"P",CD$465:CD$476,"&lt;&gt;")=0,"",IFERROR(SUMPRODUCT(--($A$465:$A$476="Activity"),--($D$465:$D$476="P"),$O$465:$O$476,CD$465:CD$476)/SUMPRODUCT(--($A$465:$A$476="Activity"),--($D$465:$D$476="P"),$O$465:$O$476),""))</f>
        <v>6.9997397866250352E-2</v>
      </c>
      <c r="CE463" s="45">
        <f t="shared" si="454"/>
        <v>3.8251366120218566E-2</v>
      </c>
      <c r="CF463" s="45">
        <f t="shared" si="454"/>
        <v>3.8251366120218566E-2</v>
      </c>
      <c r="CG463" s="45">
        <f t="shared" si="454"/>
        <v>3.8251366120218566E-2</v>
      </c>
      <c r="CH463" s="45">
        <f t="shared" si="454"/>
        <v>3.8251366120218566E-2</v>
      </c>
      <c r="CI463" s="45">
        <f t="shared" si="454"/>
        <v>3.8251366120218538E-2</v>
      </c>
      <c r="CJ463" s="45" t="str">
        <f t="shared" si="454"/>
        <v/>
      </c>
      <c r="CK463" s="45" t="str">
        <f t="shared" si="454"/>
        <v/>
      </c>
      <c r="CL463" s="45" t="str">
        <f t="shared" si="454"/>
        <v/>
      </c>
      <c r="CM463" s="45" t="str">
        <f t="shared" si="454"/>
        <v/>
      </c>
      <c r="CN463" s="45" t="str">
        <f t="shared" si="454"/>
        <v/>
      </c>
      <c r="CO463" s="45" t="str">
        <f t="shared" si="454"/>
        <v/>
      </c>
    </row>
    <row r="464" spans="1:93" outlineLevel="1" x14ac:dyDescent="0.25">
      <c r="A464" s="1"/>
      <c r="B464" s="1"/>
      <c r="C464" s="2"/>
      <c r="D464" s="8" t="s">
        <v>111</v>
      </c>
      <c r="E464" s="1"/>
      <c r="F464" s="1"/>
      <c r="G464" s="1"/>
      <c r="H464" s="1"/>
      <c r="I464" s="9"/>
      <c r="J464" s="9"/>
      <c r="K464" s="9"/>
      <c r="L464" s="9"/>
      <c r="M464" s="3" t="str">
        <f t="shared" si="451"/>
        <v/>
      </c>
      <c r="N464" s="3"/>
      <c r="O464" s="46">
        <f>O463</f>
        <v>300000</v>
      </c>
      <c r="P464" s="4"/>
      <c r="Q464" s="5"/>
      <c r="R464" s="45" t="str">
        <f t="shared" ref="R464:AW464" si="455">IF(COUNTIFS($E$465:$E$476,"&lt;&gt;",$D$465:$D$476,"A",R$465:R$476,"&lt;&gt;")=0,"",IFERROR(SUMPRODUCT(--($E$465:$E$476&lt;&gt;""),--($D$465:$D$476="A"),$O$465:$O$476,R$465:R$476)/SUMPRODUCT(--($E$465:$E$476&lt;&gt;""),--($D$465:$D$476="A"),$O$465:$O$476),""))</f>
        <v/>
      </c>
      <c r="S464" s="45" t="str">
        <f t="shared" si="455"/>
        <v/>
      </c>
      <c r="T464" s="45" t="str">
        <f t="shared" si="455"/>
        <v/>
      </c>
      <c r="U464" s="45" t="str">
        <f t="shared" si="455"/>
        <v/>
      </c>
      <c r="V464" s="45" t="str">
        <f t="shared" si="455"/>
        <v/>
      </c>
      <c r="W464" s="45" t="str">
        <f t="shared" si="455"/>
        <v/>
      </c>
      <c r="X464" s="45" t="str">
        <f t="shared" si="455"/>
        <v/>
      </c>
      <c r="Y464" s="45" t="str">
        <f t="shared" si="455"/>
        <v/>
      </c>
      <c r="Z464" s="45" t="str">
        <f t="shared" si="455"/>
        <v/>
      </c>
      <c r="AA464" s="45" t="str">
        <f t="shared" si="455"/>
        <v/>
      </c>
      <c r="AB464" s="45" t="str">
        <f t="shared" si="455"/>
        <v/>
      </c>
      <c r="AC464" s="45" t="str">
        <f t="shared" si="455"/>
        <v/>
      </c>
      <c r="AD464" s="45" t="str">
        <f t="shared" si="455"/>
        <v/>
      </c>
      <c r="AE464" s="45" t="str">
        <f t="shared" si="455"/>
        <v/>
      </c>
      <c r="AF464" s="45" t="str">
        <f t="shared" si="455"/>
        <v/>
      </c>
      <c r="AG464" s="45" t="str">
        <f t="shared" si="455"/>
        <v/>
      </c>
      <c r="AH464" s="45" t="str">
        <f t="shared" si="455"/>
        <v/>
      </c>
      <c r="AI464" s="45" t="str">
        <f t="shared" si="455"/>
        <v/>
      </c>
      <c r="AJ464" s="45" t="str">
        <f t="shared" si="455"/>
        <v/>
      </c>
      <c r="AK464" s="45" t="str">
        <f t="shared" si="455"/>
        <v/>
      </c>
      <c r="AL464" s="45" t="str">
        <f t="shared" si="455"/>
        <v/>
      </c>
      <c r="AM464" s="45" t="str">
        <f t="shared" si="455"/>
        <v/>
      </c>
      <c r="AN464" s="45" t="str">
        <f t="shared" si="455"/>
        <v/>
      </c>
      <c r="AO464" s="45" t="str">
        <f t="shared" si="455"/>
        <v/>
      </c>
      <c r="AP464" s="45" t="str">
        <f t="shared" si="455"/>
        <v/>
      </c>
      <c r="AQ464" s="45" t="str">
        <f t="shared" si="455"/>
        <v/>
      </c>
      <c r="AR464" s="45" t="str">
        <f t="shared" si="455"/>
        <v/>
      </c>
      <c r="AS464" s="45" t="str">
        <f t="shared" si="455"/>
        <v/>
      </c>
      <c r="AT464" s="45" t="str">
        <f t="shared" si="455"/>
        <v/>
      </c>
      <c r="AU464" s="45" t="str">
        <f t="shared" si="455"/>
        <v/>
      </c>
      <c r="AV464" s="45" t="str">
        <f t="shared" si="455"/>
        <v/>
      </c>
      <c r="AW464" s="45" t="str">
        <f t="shared" si="455"/>
        <v/>
      </c>
      <c r="AX464" s="45" t="str">
        <f t="shared" ref="AX464:CC464" si="456">IF(COUNTIFS($E$465:$E$476,"&lt;&gt;",$D$465:$D$476,"A",AX$465:AX$476,"&lt;&gt;")=0,"",IFERROR(SUMPRODUCT(--($E$465:$E$476&lt;&gt;""),--($D$465:$D$476="A"),$O$465:$O$476,AX$465:AX$476)/SUMPRODUCT(--($E$465:$E$476&lt;&gt;""),--($D$465:$D$476="A"),$O$465:$O$476),""))</f>
        <v/>
      </c>
      <c r="AY464" s="45" t="str">
        <f t="shared" si="456"/>
        <v/>
      </c>
      <c r="AZ464" s="45" t="str">
        <f t="shared" si="456"/>
        <v/>
      </c>
      <c r="BA464" s="45" t="str">
        <f t="shared" si="456"/>
        <v/>
      </c>
      <c r="BB464" s="45" t="str">
        <f t="shared" si="456"/>
        <v/>
      </c>
      <c r="BC464" s="45" t="str">
        <f t="shared" si="456"/>
        <v/>
      </c>
      <c r="BD464" s="45" t="str">
        <f t="shared" si="456"/>
        <v/>
      </c>
      <c r="BE464" s="45" t="str">
        <f t="shared" si="456"/>
        <v/>
      </c>
      <c r="BF464" s="45" t="str">
        <f t="shared" si="456"/>
        <v/>
      </c>
      <c r="BG464" s="45" t="str">
        <f t="shared" si="456"/>
        <v/>
      </c>
      <c r="BH464" s="45" t="str">
        <f t="shared" si="456"/>
        <v/>
      </c>
      <c r="BI464" s="45" t="str">
        <f t="shared" si="456"/>
        <v/>
      </c>
      <c r="BJ464" s="45" t="str">
        <f t="shared" si="456"/>
        <v/>
      </c>
      <c r="BK464" s="45" t="str">
        <f t="shared" si="456"/>
        <v/>
      </c>
      <c r="BL464" s="45" t="str">
        <f t="shared" si="456"/>
        <v/>
      </c>
      <c r="BM464" s="45" t="str">
        <f t="shared" si="456"/>
        <v/>
      </c>
      <c r="BN464" s="45" t="str">
        <f t="shared" si="456"/>
        <v/>
      </c>
      <c r="BO464" s="45" t="str">
        <f t="shared" si="456"/>
        <v/>
      </c>
      <c r="BP464" s="45" t="str">
        <f t="shared" si="456"/>
        <v/>
      </c>
      <c r="BQ464" s="45" t="str">
        <f t="shared" si="456"/>
        <v/>
      </c>
      <c r="BR464" s="45" t="str">
        <f t="shared" si="456"/>
        <v/>
      </c>
      <c r="BS464" s="45" t="str">
        <f t="shared" si="456"/>
        <v/>
      </c>
      <c r="BT464" s="45" t="str">
        <f t="shared" si="456"/>
        <v/>
      </c>
      <c r="BU464" s="45" t="str">
        <f t="shared" si="456"/>
        <v/>
      </c>
      <c r="BV464" s="45" t="str">
        <f t="shared" si="456"/>
        <v/>
      </c>
      <c r="BW464" s="45" t="str">
        <f t="shared" si="456"/>
        <v/>
      </c>
      <c r="BX464" s="45" t="str">
        <f t="shared" si="456"/>
        <v/>
      </c>
      <c r="BY464" s="45" t="str">
        <f t="shared" si="456"/>
        <v/>
      </c>
      <c r="BZ464" s="45" t="str">
        <f t="shared" si="456"/>
        <v/>
      </c>
      <c r="CA464" s="45" t="str">
        <f t="shared" si="456"/>
        <v/>
      </c>
      <c r="CB464" s="45" t="str">
        <f t="shared" si="456"/>
        <v/>
      </c>
      <c r="CC464" s="45" t="str">
        <f t="shared" si="456"/>
        <v/>
      </c>
      <c r="CD464" s="45" t="str">
        <f t="shared" ref="CD464:CO464" si="457">IF(COUNTIFS($E$465:$E$476,"&lt;&gt;",$D$465:$D$476,"A",CD$465:CD$476,"&lt;&gt;")=0,"",IFERROR(SUMPRODUCT(--($E$465:$E$476&lt;&gt;""),--($D$465:$D$476="A"),$O$465:$O$476,CD$465:CD$476)/SUMPRODUCT(--($E$465:$E$476&lt;&gt;""),--($D$465:$D$476="A"),$O$465:$O$476),""))</f>
        <v/>
      </c>
      <c r="CE464" s="45" t="str">
        <f t="shared" si="457"/>
        <v/>
      </c>
      <c r="CF464" s="45" t="str">
        <f t="shared" si="457"/>
        <v/>
      </c>
      <c r="CG464" s="45" t="str">
        <f t="shared" si="457"/>
        <v/>
      </c>
      <c r="CH464" s="45" t="str">
        <f t="shared" si="457"/>
        <v/>
      </c>
      <c r="CI464" s="45" t="str">
        <f t="shared" si="457"/>
        <v/>
      </c>
      <c r="CJ464" s="45" t="str">
        <f t="shared" si="457"/>
        <v/>
      </c>
      <c r="CK464" s="45" t="str">
        <f t="shared" si="457"/>
        <v/>
      </c>
      <c r="CL464" s="45" t="str">
        <f t="shared" si="457"/>
        <v/>
      </c>
      <c r="CM464" s="45" t="str">
        <f t="shared" si="457"/>
        <v/>
      </c>
      <c r="CN464" s="45" t="str">
        <f t="shared" si="457"/>
        <v/>
      </c>
      <c r="CO464" s="45" t="str">
        <f t="shared" si="457"/>
        <v/>
      </c>
    </row>
    <row r="465" spans="1:93" outlineLevel="2" x14ac:dyDescent="0.25">
      <c r="A465" s="1" t="s">
        <v>92</v>
      </c>
      <c r="B465" s="1" t="s">
        <v>626</v>
      </c>
      <c r="C465" s="6" t="s">
        <v>627</v>
      </c>
      <c r="D465" s="8" t="s">
        <v>110</v>
      </c>
      <c r="E465" s="1"/>
      <c r="F465" s="1">
        <v>230</v>
      </c>
      <c r="G465" s="1">
        <v>230</v>
      </c>
      <c r="H465" s="1">
        <v>2</v>
      </c>
      <c r="I465" s="9">
        <v>46405.333333333343</v>
      </c>
      <c r="J465" s="9">
        <v>46465.666666666657</v>
      </c>
      <c r="K465" s="9"/>
      <c r="L465" s="9"/>
      <c r="M465" s="3">
        <f t="shared" si="451"/>
        <v>0.99999999999999956</v>
      </c>
      <c r="N465" s="3"/>
      <c r="O465" s="5">
        <f>SUMIFS($O$466:$O$467,$A$466:$A$467,"Activity",$D$466:$D$467,"P")</f>
        <v>100000</v>
      </c>
      <c r="P465" s="4"/>
      <c r="Q465" s="5"/>
      <c r="R465" s="45" t="str">
        <f t="shared" ref="R465:AW465" si="458">IF(COUNTIFS($A$467:$A$468,"Activity",$D$467:$D$468,"P",R$467:R$468,"&lt;&gt;")=0,"",IFERROR(SUMPRODUCT(--($A$467:$A$468="Activity"),--($D$467:$D$468="P"),$O$467:$O$468,R$467:R$468)/SUMPRODUCT(--($A$467:$A$468="Activity"),--($D$467:$D$468="P"),$O$467:$O$468),""))</f>
        <v/>
      </c>
      <c r="S465" s="45" t="str">
        <f t="shared" si="458"/>
        <v/>
      </c>
      <c r="T465" s="45" t="str">
        <f t="shared" si="458"/>
        <v/>
      </c>
      <c r="U465" s="45" t="str">
        <f t="shared" si="458"/>
        <v/>
      </c>
      <c r="V465" s="45" t="str">
        <f t="shared" si="458"/>
        <v/>
      </c>
      <c r="W465" s="45" t="str">
        <f t="shared" si="458"/>
        <v/>
      </c>
      <c r="X465" s="45" t="str">
        <f t="shared" si="458"/>
        <v/>
      </c>
      <c r="Y465" s="45" t="str">
        <f t="shared" si="458"/>
        <v/>
      </c>
      <c r="Z465" s="45" t="str">
        <f t="shared" si="458"/>
        <v/>
      </c>
      <c r="AA465" s="45" t="str">
        <f t="shared" si="458"/>
        <v/>
      </c>
      <c r="AB465" s="45" t="str">
        <f t="shared" si="458"/>
        <v/>
      </c>
      <c r="AC465" s="45" t="str">
        <f t="shared" si="458"/>
        <v/>
      </c>
      <c r="AD465" s="45" t="str">
        <f t="shared" si="458"/>
        <v/>
      </c>
      <c r="AE465" s="45" t="str">
        <f t="shared" si="458"/>
        <v/>
      </c>
      <c r="AF465" s="45" t="str">
        <f t="shared" si="458"/>
        <v/>
      </c>
      <c r="AG465" s="45" t="str">
        <f t="shared" si="458"/>
        <v/>
      </c>
      <c r="AH465" s="45" t="str">
        <f t="shared" si="458"/>
        <v/>
      </c>
      <c r="AI465" s="45" t="str">
        <f t="shared" si="458"/>
        <v/>
      </c>
      <c r="AJ465" s="45" t="str">
        <f t="shared" si="458"/>
        <v/>
      </c>
      <c r="AK465" s="45" t="str">
        <f t="shared" si="458"/>
        <v/>
      </c>
      <c r="AL465" s="45" t="str">
        <f t="shared" si="458"/>
        <v/>
      </c>
      <c r="AM465" s="45" t="str">
        <f t="shared" si="458"/>
        <v/>
      </c>
      <c r="AN465" s="45" t="str">
        <f t="shared" si="458"/>
        <v/>
      </c>
      <c r="AO465" s="45" t="str">
        <f t="shared" si="458"/>
        <v/>
      </c>
      <c r="AP465" s="45" t="str">
        <f t="shared" si="458"/>
        <v/>
      </c>
      <c r="AQ465" s="45" t="str">
        <f t="shared" si="458"/>
        <v/>
      </c>
      <c r="AR465" s="45" t="str">
        <f t="shared" si="458"/>
        <v/>
      </c>
      <c r="AS465" s="45" t="str">
        <f t="shared" si="458"/>
        <v/>
      </c>
      <c r="AT465" s="45" t="str">
        <f t="shared" si="458"/>
        <v/>
      </c>
      <c r="AU465" s="45" t="str">
        <f t="shared" si="458"/>
        <v/>
      </c>
      <c r="AV465" s="45" t="str">
        <f t="shared" si="458"/>
        <v/>
      </c>
      <c r="AW465" s="45" t="str">
        <f t="shared" si="458"/>
        <v/>
      </c>
      <c r="AX465" s="45" t="str">
        <f t="shared" ref="AX465:CC465" si="459">IF(COUNTIFS($A$467:$A$468,"Activity",$D$467:$D$468,"P",AX$467:AX$468,"&lt;&gt;")=0,"",IFERROR(SUMPRODUCT(--($A$467:$A$468="Activity"),--($D$467:$D$468="P"),$O$467:$O$468,AX$467:AX$468)/SUMPRODUCT(--($A$467:$A$468="Activity"),--($D$467:$D$468="P"),$O$467:$O$468),""))</f>
        <v/>
      </c>
      <c r="AY465" s="45" t="str">
        <f t="shared" si="459"/>
        <v/>
      </c>
      <c r="AZ465" s="45" t="str">
        <f t="shared" si="459"/>
        <v/>
      </c>
      <c r="BA465" s="45" t="str">
        <f t="shared" si="459"/>
        <v/>
      </c>
      <c r="BB465" s="45" t="str">
        <f t="shared" si="459"/>
        <v/>
      </c>
      <c r="BC465" s="45" t="str">
        <f t="shared" si="459"/>
        <v/>
      </c>
      <c r="BD465" s="45" t="str">
        <f t="shared" si="459"/>
        <v/>
      </c>
      <c r="BE465" s="45" t="str">
        <f t="shared" si="459"/>
        <v/>
      </c>
      <c r="BF465" s="45" t="str">
        <f t="shared" si="459"/>
        <v/>
      </c>
      <c r="BG465" s="45" t="str">
        <f t="shared" si="459"/>
        <v/>
      </c>
      <c r="BH465" s="45" t="str">
        <f t="shared" si="459"/>
        <v/>
      </c>
      <c r="BI465" s="45" t="str">
        <f t="shared" si="459"/>
        <v/>
      </c>
      <c r="BJ465" s="45" t="str">
        <f t="shared" si="459"/>
        <v/>
      </c>
      <c r="BK465" s="45" t="str">
        <f t="shared" si="459"/>
        <v/>
      </c>
      <c r="BL465" s="45" t="str">
        <f t="shared" si="459"/>
        <v/>
      </c>
      <c r="BM465" s="45" t="str">
        <f t="shared" si="459"/>
        <v/>
      </c>
      <c r="BN465" s="45" t="str">
        <f t="shared" si="459"/>
        <v/>
      </c>
      <c r="BO465" s="45" t="str">
        <f t="shared" si="459"/>
        <v/>
      </c>
      <c r="BP465" s="45" t="str">
        <f t="shared" si="459"/>
        <v/>
      </c>
      <c r="BQ465" s="45" t="str">
        <f t="shared" si="459"/>
        <v/>
      </c>
      <c r="BR465" s="45">
        <f t="shared" si="459"/>
        <v>8.1967213114754106E-2</v>
      </c>
      <c r="BS465" s="45">
        <f t="shared" si="459"/>
        <v>0.1147540983606557</v>
      </c>
      <c r="BT465" s="45">
        <f t="shared" si="459"/>
        <v>0.1147540983606557</v>
      </c>
      <c r="BU465" s="45">
        <f t="shared" si="459"/>
        <v>0.1147540983606557</v>
      </c>
      <c r="BV465" s="45">
        <f t="shared" si="459"/>
        <v>0.1147540983606557</v>
      </c>
      <c r="BW465" s="45">
        <f t="shared" si="459"/>
        <v>0.1147540983606557</v>
      </c>
      <c r="BX465" s="45">
        <f t="shared" si="459"/>
        <v>0.1147540983606557</v>
      </c>
      <c r="BY465" s="45">
        <f t="shared" si="459"/>
        <v>0.1147540983606557</v>
      </c>
      <c r="BZ465" s="45">
        <f t="shared" si="459"/>
        <v>0.1147540983606556</v>
      </c>
      <c r="CA465" s="45" t="str">
        <f t="shared" si="459"/>
        <v/>
      </c>
      <c r="CB465" s="45" t="str">
        <f t="shared" si="459"/>
        <v/>
      </c>
      <c r="CC465" s="45" t="str">
        <f t="shared" si="459"/>
        <v/>
      </c>
      <c r="CD465" s="45" t="str">
        <f t="shared" ref="CD465:CO465" si="460">IF(COUNTIFS($A$467:$A$468,"Activity",$D$467:$D$468,"P",CD$467:CD$468,"&lt;&gt;")=0,"",IFERROR(SUMPRODUCT(--($A$467:$A$468="Activity"),--($D$467:$D$468="P"),$O$467:$O$468,CD$467:CD$468)/SUMPRODUCT(--($A$467:$A$468="Activity"),--($D$467:$D$468="P"),$O$467:$O$468),""))</f>
        <v/>
      </c>
      <c r="CE465" s="45" t="str">
        <f t="shared" si="460"/>
        <v/>
      </c>
      <c r="CF465" s="45" t="str">
        <f t="shared" si="460"/>
        <v/>
      </c>
      <c r="CG465" s="45" t="str">
        <f t="shared" si="460"/>
        <v/>
      </c>
      <c r="CH465" s="45" t="str">
        <f t="shared" si="460"/>
        <v/>
      </c>
      <c r="CI465" s="45" t="str">
        <f t="shared" si="460"/>
        <v/>
      </c>
      <c r="CJ465" s="45" t="str">
        <f t="shared" si="460"/>
        <v/>
      </c>
      <c r="CK465" s="45" t="str">
        <f t="shared" si="460"/>
        <v/>
      </c>
      <c r="CL465" s="45" t="str">
        <f t="shared" si="460"/>
        <v/>
      </c>
      <c r="CM465" s="45" t="str">
        <f t="shared" si="460"/>
        <v/>
      </c>
      <c r="CN465" s="45" t="str">
        <f t="shared" si="460"/>
        <v/>
      </c>
      <c r="CO465" s="45" t="str">
        <f t="shared" si="460"/>
        <v/>
      </c>
    </row>
    <row r="466" spans="1:93" outlineLevel="2" x14ac:dyDescent="0.25">
      <c r="A466" s="1"/>
      <c r="B466" s="1"/>
      <c r="C466" s="6"/>
      <c r="D466" s="8" t="s">
        <v>111</v>
      </c>
      <c r="E466" s="1"/>
      <c r="F466" s="1"/>
      <c r="G466" s="1"/>
      <c r="H466" s="1"/>
      <c r="I466" s="9"/>
      <c r="J466" s="9"/>
      <c r="K466" s="9"/>
      <c r="L466" s="9"/>
      <c r="M466" s="3" t="str">
        <f t="shared" si="451"/>
        <v/>
      </c>
      <c r="N466" s="3"/>
      <c r="O466" s="46">
        <f>O465</f>
        <v>100000</v>
      </c>
      <c r="P466" s="4"/>
      <c r="Q466" s="5"/>
      <c r="R466" s="45" t="str">
        <f t="shared" ref="R466:AW466" si="461">IF(COUNTIFS($E$467:$E$468,"&lt;&gt;",$D$467:$D$468,"A",R$467:R$468,"&lt;&gt;")=0,"",IFERROR(SUMPRODUCT(--($E$467:$E$468&lt;&gt;""),--($D$467:$D$468="A"),$O$467:$O$468,R$467:R$468)/SUMPRODUCT(--($E$467:$E$468&lt;&gt;""),--($D$467:$D$468="A"),$O$467:$O$468),""))</f>
        <v/>
      </c>
      <c r="S466" s="45" t="str">
        <f t="shared" si="461"/>
        <v/>
      </c>
      <c r="T466" s="45" t="str">
        <f t="shared" si="461"/>
        <v/>
      </c>
      <c r="U466" s="45" t="str">
        <f t="shared" si="461"/>
        <v/>
      </c>
      <c r="V466" s="45" t="str">
        <f t="shared" si="461"/>
        <v/>
      </c>
      <c r="W466" s="45" t="str">
        <f t="shared" si="461"/>
        <v/>
      </c>
      <c r="X466" s="45" t="str">
        <f t="shared" si="461"/>
        <v/>
      </c>
      <c r="Y466" s="45" t="str">
        <f t="shared" si="461"/>
        <v/>
      </c>
      <c r="Z466" s="45" t="str">
        <f t="shared" si="461"/>
        <v/>
      </c>
      <c r="AA466" s="45" t="str">
        <f t="shared" si="461"/>
        <v/>
      </c>
      <c r="AB466" s="45" t="str">
        <f t="shared" si="461"/>
        <v/>
      </c>
      <c r="AC466" s="45" t="str">
        <f t="shared" si="461"/>
        <v/>
      </c>
      <c r="AD466" s="45" t="str">
        <f t="shared" si="461"/>
        <v/>
      </c>
      <c r="AE466" s="45" t="str">
        <f t="shared" si="461"/>
        <v/>
      </c>
      <c r="AF466" s="45" t="str">
        <f t="shared" si="461"/>
        <v/>
      </c>
      <c r="AG466" s="45" t="str">
        <f t="shared" si="461"/>
        <v/>
      </c>
      <c r="AH466" s="45" t="str">
        <f t="shared" si="461"/>
        <v/>
      </c>
      <c r="AI466" s="45" t="str">
        <f t="shared" si="461"/>
        <v/>
      </c>
      <c r="AJ466" s="45" t="str">
        <f t="shared" si="461"/>
        <v/>
      </c>
      <c r="AK466" s="45" t="str">
        <f t="shared" si="461"/>
        <v/>
      </c>
      <c r="AL466" s="45" t="str">
        <f t="shared" si="461"/>
        <v/>
      </c>
      <c r="AM466" s="45" t="str">
        <f t="shared" si="461"/>
        <v/>
      </c>
      <c r="AN466" s="45" t="str">
        <f t="shared" si="461"/>
        <v/>
      </c>
      <c r="AO466" s="45" t="str">
        <f t="shared" si="461"/>
        <v/>
      </c>
      <c r="AP466" s="45" t="str">
        <f t="shared" si="461"/>
        <v/>
      </c>
      <c r="AQ466" s="45" t="str">
        <f t="shared" si="461"/>
        <v/>
      </c>
      <c r="AR466" s="45" t="str">
        <f t="shared" si="461"/>
        <v/>
      </c>
      <c r="AS466" s="45" t="str">
        <f t="shared" si="461"/>
        <v/>
      </c>
      <c r="AT466" s="45" t="str">
        <f t="shared" si="461"/>
        <v/>
      </c>
      <c r="AU466" s="45" t="str">
        <f t="shared" si="461"/>
        <v/>
      </c>
      <c r="AV466" s="45" t="str">
        <f t="shared" si="461"/>
        <v/>
      </c>
      <c r="AW466" s="45" t="str">
        <f t="shared" si="461"/>
        <v/>
      </c>
      <c r="AX466" s="45" t="str">
        <f t="shared" ref="AX466:CC466" si="462">IF(COUNTIFS($E$467:$E$468,"&lt;&gt;",$D$467:$D$468,"A",AX$467:AX$468,"&lt;&gt;")=0,"",IFERROR(SUMPRODUCT(--($E$467:$E$468&lt;&gt;""),--($D$467:$D$468="A"),$O$467:$O$468,AX$467:AX$468)/SUMPRODUCT(--($E$467:$E$468&lt;&gt;""),--($D$467:$D$468="A"),$O$467:$O$468),""))</f>
        <v/>
      </c>
      <c r="AY466" s="45" t="str">
        <f t="shared" si="462"/>
        <v/>
      </c>
      <c r="AZ466" s="45" t="str">
        <f t="shared" si="462"/>
        <v/>
      </c>
      <c r="BA466" s="45" t="str">
        <f t="shared" si="462"/>
        <v/>
      </c>
      <c r="BB466" s="45" t="str">
        <f t="shared" si="462"/>
        <v/>
      </c>
      <c r="BC466" s="45" t="str">
        <f t="shared" si="462"/>
        <v/>
      </c>
      <c r="BD466" s="45" t="str">
        <f t="shared" si="462"/>
        <v/>
      </c>
      <c r="BE466" s="45" t="str">
        <f t="shared" si="462"/>
        <v/>
      </c>
      <c r="BF466" s="45" t="str">
        <f t="shared" si="462"/>
        <v/>
      </c>
      <c r="BG466" s="45" t="str">
        <f t="shared" si="462"/>
        <v/>
      </c>
      <c r="BH466" s="45" t="str">
        <f t="shared" si="462"/>
        <v/>
      </c>
      <c r="BI466" s="45" t="str">
        <f t="shared" si="462"/>
        <v/>
      </c>
      <c r="BJ466" s="45" t="str">
        <f t="shared" si="462"/>
        <v/>
      </c>
      <c r="BK466" s="45" t="str">
        <f t="shared" si="462"/>
        <v/>
      </c>
      <c r="BL466" s="45" t="str">
        <f t="shared" si="462"/>
        <v/>
      </c>
      <c r="BM466" s="45" t="str">
        <f t="shared" si="462"/>
        <v/>
      </c>
      <c r="BN466" s="45" t="str">
        <f t="shared" si="462"/>
        <v/>
      </c>
      <c r="BO466" s="45" t="str">
        <f t="shared" si="462"/>
        <v/>
      </c>
      <c r="BP466" s="45" t="str">
        <f t="shared" si="462"/>
        <v/>
      </c>
      <c r="BQ466" s="45" t="str">
        <f t="shared" si="462"/>
        <v/>
      </c>
      <c r="BR466" s="45" t="str">
        <f t="shared" si="462"/>
        <v/>
      </c>
      <c r="BS466" s="45" t="str">
        <f t="shared" si="462"/>
        <v/>
      </c>
      <c r="BT466" s="45" t="str">
        <f t="shared" si="462"/>
        <v/>
      </c>
      <c r="BU466" s="45" t="str">
        <f t="shared" si="462"/>
        <v/>
      </c>
      <c r="BV466" s="45" t="str">
        <f t="shared" si="462"/>
        <v/>
      </c>
      <c r="BW466" s="45" t="str">
        <f t="shared" si="462"/>
        <v/>
      </c>
      <c r="BX466" s="45" t="str">
        <f t="shared" si="462"/>
        <v/>
      </c>
      <c r="BY466" s="45" t="str">
        <f t="shared" si="462"/>
        <v/>
      </c>
      <c r="BZ466" s="45" t="str">
        <f t="shared" si="462"/>
        <v/>
      </c>
      <c r="CA466" s="45" t="str">
        <f t="shared" si="462"/>
        <v/>
      </c>
      <c r="CB466" s="45" t="str">
        <f t="shared" si="462"/>
        <v/>
      </c>
      <c r="CC466" s="45" t="str">
        <f t="shared" si="462"/>
        <v/>
      </c>
      <c r="CD466" s="45" t="str">
        <f t="shared" ref="CD466:CO466" si="463">IF(COUNTIFS($E$467:$E$468,"&lt;&gt;",$D$467:$D$468,"A",CD$467:CD$468,"&lt;&gt;")=0,"",IFERROR(SUMPRODUCT(--($E$467:$E$468&lt;&gt;""),--($D$467:$D$468="A"),$O$467:$O$468,CD$467:CD$468)/SUMPRODUCT(--($E$467:$E$468&lt;&gt;""),--($D$467:$D$468="A"),$O$467:$O$468),""))</f>
        <v/>
      </c>
      <c r="CE466" s="45" t="str">
        <f t="shared" si="463"/>
        <v/>
      </c>
      <c r="CF466" s="45" t="str">
        <f t="shared" si="463"/>
        <v/>
      </c>
      <c r="CG466" s="45" t="str">
        <f t="shared" si="463"/>
        <v/>
      </c>
      <c r="CH466" s="45" t="str">
        <f t="shared" si="463"/>
        <v/>
      </c>
      <c r="CI466" s="45" t="str">
        <f t="shared" si="463"/>
        <v/>
      </c>
      <c r="CJ466" s="45" t="str">
        <f t="shared" si="463"/>
        <v/>
      </c>
      <c r="CK466" s="45" t="str">
        <f t="shared" si="463"/>
        <v/>
      </c>
      <c r="CL466" s="45" t="str">
        <f t="shared" si="463"/>
        <v/>
      </c>
      <c r="CM466" s="45" t="str">
        <f t="shared" si="463"/>
        <v/>
      </c>
      <c r="CN466" s="45" t="str">
        <f t="shared" si="463"/>
        <v/>
      </c>
      <c r="CO466" s="45" t="str">
        <f t="shared" si="463"/>
        <v/>
      </c>
    </row>
    <row r="467" spans="1:93" outlineLevel="3" x14ac:dyDescent="0.25">
      <c r="A467" s="10" t="s">
        <v>116</v>
      </c>
      <c r="B467" s="10" t="s">
        <v>628</v>
      </c>
      <c r="C467" s="11" t="s">
        <v>627</v>
      </c>
      <c r="D467" s="12" t="s">
        <v>110</v>
      </c>
      <c r="E467" s="10" t="s">
        <v>629</v>
      </c>
      <c r="F467" s="10">
        <v>231</v>
      </c>
      <c r="G467" s="10">
        <v>231</v>
      </c>
      <c r="H467" s="10">
        <v>3</v>
      </c>
      <c r="I467" s="13">
        <v>46405.333333333343</v>
      </c>
      <c r="J467" s="13">
        <v>46465.666666666657</v>
      </c>
      <c r="K467" s="13"/>
      <c r="L467" s="13"/>
      <c r="M467" s="14">
        <f t="shared" si="451"/>
        <v>0.99999999999999956</v>
      </c>
      <c r="N467" s="14"/>
      <c r="O467" s="16">
        <v>100000</v>
      </c>
      <c r="P467" s="15">
        <v>0.8</v>
      </c>
      <c r="Q467" s="16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>
        <v>8.1967213114754106E-2</v>
      </c>
      <c r="BS467" s="47">
        <v>0.1147540983606557</v>
      </c>
      <c r="BT467" s="47">
        <v>0.1147540983606557</v>
      </c>
      <c r="BU467" s="47">
        <v>0.1147540983606557</v>
      </c>
      <c r="BV467" s="47">
        <v>0.1147540983606557</v>
      </c>
      <c r="BW467" s="47">
        <v>0.1147540983606557</v>
      </c>
      <c r="BX467" s="47">
        <v>0.1147540983606557</v>
      </c>
      <c r="BY467" s="47">
        <v>0.1147540983606557</v>
      </c>
      <c r="BZ467" s="47">
        <v>0.1147540983606556</v>
      </c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  <c r="CO467" s="47"/>
    </row>
    <row r="468" spans="1:93" outlineLevel="3" x14ac:dyDescent="0.25">
      <c r="A468" s="17"/>
      <c r="B468" s="17"/>
      <c r="C468" s="18"/>
      <c r="D468" s="19" t="s">
        <v>111</v>
      </c>
      <c r="E468" s="17" t="s">
        <v>629</v>
      </c>
      <c r="F468" s="17"/>
      <c r="G468" s="17"/>
      <c r="H468" s="17"/>
      <c r="I468" s="20"/>
      <c r="J468" s="20"/>
      <c r="K468" s="20"/>
      <c r="L468" s="20"/>
      <c r="M468" s="21" t="str">
        <f t="shared" si="451"/>
        <v/>
      </c>
      <c r="N468" s="21">
        <v>0</v>
      </c>
      <c r="O468" s="48">
        <f>O467</f>
        <v>100000</v>
      </c>
      <c r="P468" s="22"/>
      <c r="Q468" s="23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  <c r="CO468" s="47"/>
    </row>
    <row r="469" spans="1:93" outlineLevel="2" x14ac:dyDescent="0.25">
      <c r="A469" s="1" t="s">
        <v>92</v>
      </c>
      <c r="B469" s="1" t="s">
        <v>630</v>
      </c>
      <c r="C469" s="6" t="s">
        <v>631</v>
      </c>
      <c r="D469" s="8" t="s">
        <v>110</v>
      </c>
      <c r="E469" s="1"/>
      <c r="F469" s="1">
        <v>232</v>
      </c>
      <c r="G469" s="1">
        <v>232</v>
      </c>
      <c r="H469" s="1">
        <v>2</v>
      </c>
      <c r="I469" s="9">
        <v>46468.333333333343</v>
      </c>
      <c r="J469" s="9">
        <v>46528.666666666657</v>
      </c>
      <c r="K469" s="9"/>
      <c r="L469" s="9"/>
      <c r="M469" s="3">
        <f t="shared" si="451"/>
        <v>0.99999999999999956</v>
      </c>
      <c r="N469" s="3"/>
      <c r="O469" s="5">
        <f>SUMIFS($O$470:$O$471,$A$470:$A$471,"Activity",$D$470:$D$471,"P")</f>
        <v>100000</v>
      </c>
      <c r="P469" s="4"/>
      <c r="Q469" s="5"/>
      <c r="R469" s="45" t="str">
        <f t="shared" ref="R469:AW469" si="464">IF(COUNTIFS($A$471:$A$472,"Activity",$D$471:$D$472,"P",R$471:R$472,"&lt;&gt;")=0,"",IFERROR(SUMPRODUCT(--($A$471:$A$472="Activity"),--($D$471:$D$472="P"),$O$471:$O$472,R$471:R$472)/SUMPRODUCT(--($A$471:$A$472="Activity"),--($D$471:$D$472="P"),$O$471:$O$472),""))</f>
        <v/>
      </c>
      <c r="S469" s="45" t="str">
        <f t="shared" si="464"/>
        <v/>
      </c>
      <c r="T469" s="45" t="str">
        <f t="shared" si="464"/>
        <v/>
      </c>
      <c r="U469" s="45" t="str">
        <f t="shared" si="464"/>
        <v/>
      </c>
      <c r="V469" s="45" t="str">
        <f t="shared" si="464"/>
        <v/>
      </c>
      <c r="W469" s="45" t="str">
        <f t="shared" si="464"/>
        <v/>
      </c>
      <c r="X469" s="45" t="str">
        <f t="shared" si="464"/>
        <v/>
      </c>
      <c r="Y469" s="45" t="str">
        <f t="shared" si="464"/>
        <v/>
      </c>
      <c r="Z469" s="45" t="str">
        <f t="shared" si="464"/>
        <v/>
      </c>
      <c r="AA469" s="45" t="str">
        <f t="shared" si="464"/>
        <v/>
      </c>
      <c r="AB469" s="45" t="str">
        <f t="shared" si="464"/>
        <v/>
      </c>
      <c r="AC469" s="45" t="str">
        <f t="shared" si="464"/>
        <v/>
      </c>
      <c r="AD469" s="45" t="str">
        <f t="shared" si="464"/>
        <v/>
      </c>
      <c r="AE469" s="45" t="str">
        <f t="shared" si="464"/>
        <v/>
      </c>
      <c r="AF469" s="45" t="str">
        <f t="shared" si="464"/>
        <v/>
      </c>
      <c r="AG469" s="45" t="str">
        <f t="shared" si="464"/>
        <v/>
      </c>
      <c r="AH469" s="45" t="str">
        <f t="shared" si="464"/>
        <v/>
      </c>
      <c r="AI469" s="45" t="str">
        <f t="shared" si="464"/>
        <v/>
      </c>
      <c r="AJ469" s="45" t="str">
        <f t="shared" si="464"/>
        <v/>
      </c>
      <c r="AK469" s="45" t="str">
        <f t="shared" si="464"/>
        <v/>
      </c>
      <c r="AL469" s="45" t="str">
        <f t="shared" si="464"/>
        <v/>
      </c>
      <c r="AM469" s="45" t="str">
        <f t="shared" si="464"/>
        <v/>
      </c>
      <c r="AN469" s="45" t="str">
        <f t="shared" si="464"/>
        <v/>
      </c>
      <c r="AO469" s="45" t="str">
        <f t="shared" si="464"/>
        <v/>
      </c>
      <c r="AP469" s="45" t="str">
        <f t="shared" si="464"/>
        <v/>
      </c>
      <c r="AQ469" s="45" t="str">
        <f t="shared" si="464"/>
        <v/>
      </c>
      <c r="AR469" s="45" t="str">
        <f t="shared" si="464"/>
        <v/>
      </c>
      <c r="AS469" s="45" t="str">
        <f t="shared" si="464"/>
        <v/>
      </c>
      <c r="AT469" s="45" t="str">
        <f t="shared" si="464"/>
        <v/>
      </c>
      <c r="AU469" s="45" t="str">
        <f t="shared" si="464"/>
        <v/>
      </c>
      <c r="AV469" s="45" t="str">
        <f t="shared" si="464"/>
        <v/>
      </c>
      <c r="AW469" s="45" t="str">
        <f t="shared" si="464"/>
        <v/>
      </c>
      <c r="AX469" s="45" t="str">
        <f t="shared" ref="AX469:CC469" si="465">IF(COUNTIFS($A$471:$A$472,"Activity",$D$471:$D$472,"P",AX$471:AX$472,"&lt;&gt;")=0,"",IFERROR(SUMPRODUCT(--($A$471:$A$472="Activity"),--($D$471:$D$472="P"),$O$471:$O$472,AX$471:AX$472)/SUMPRODUCT(--($A$471:$A$472="Activity"),--($D$471:$D$472="P"),$O$471:$O$472),""))</f>
        <v/>
      </c>
      <c r="AY469" s="45" t="str">
        <f t="shared" si="465"/>
        <v/>
      </c>
      <c r="AZ469" s="45" t="str">
        <f t="shared" si="465"/>
        <v/>
      </c>
      <c r="BA469" s="45" t="str">
        <f t="shared" si="465"/>
        <v/>
      </c>
      <c r="BB469" s="45" t="str">
        <f t="shared" si="465"/>
        <v/>
      </c>
      <c r="BC469" s="45" t="str">
        <f t="shared" si="465"/>
        <v/>
      </c>
      <c r="BD469" s="45" t="str">
        <f t="shared" si="465"/>
        <v/>
      </c>
      <c r="BE469" s="45" t="str">
        <f t="shared" si="465"/>
        <v/>
      </c>
      <c r="BF469" s="45" t="str">
        <f t="shared" si="465"/>
        <v/>
      </c>
      <c r="BG469" s="45" t="str">
        <f t="shared" si="465"/>
        <v/>
      </c>
      <c r="BH469" s="45" t="str">
        <f t="shared" si="465"/>
        <v/>
      </c>
      <c r="BI469" s="45" t="str">
        <f t="shared" si="465"/>
        <v/>
      </c>
      <c r="BJ469" s="45" t="str">
        <f t="shared" si="465"/>
        <v/>
      </c>
      <c r="BK469" s="45" t="str">
        <f t="shared" si="465"/>
        <v/>
      </c>
      <c r="BL469" s="45" t="str">
        <f t="shared" si="465"/>
        <v/>
      </c>
      <c r="BM469" s="45" t="str">
        <f t="shared" si="465"/>
        <v/>
      </c>
      <c r="BN469" s="45" t="str">
        <f t="shared" si="465"/>
        <v/>
      </c>
      <c r="BO469" s="45" t="str">
        <f t="shared" si="465"/>
        <v/>
      </c>
      <c r="BP469" s="45" t="str">
        <f t="shared" si="465"/>
        <v/>
      </c>
      <c r="BQ469" s="45" t="str">
        <f t="shared" si="465"/>
        <v/>
      </c>
      <c r="BR469" s="45" t="str">
        <f t="shared" si="465"/>
        <v/>
      </c>
      <c r="BS469" s="45" t="str">
        <f t="shared" si="465"/>
        <v/>
      </c>
      <c r="BT469" s="45" t="str">
        <f t="shared" si="465"/>
        <v/>
      </c>
      <c r="BU469" s="45" t="str">
        <f t="shared" si="465"/>
        <v/>
      </c>
      <c r="BV469" s="45" t="str">
        <f t="shared" si="465"/>
        <v/>
      </c>
      <c r="BW469" s="45" t="str">
        <f t="shared" si="465"/>
        <v/>
      </c>
      <c r="BX469" s="45" t="str">
        <f t="shared" si="465"/>
        <v/>
      </c>
      <c r="BY469" s="45" t="str">
        <f t="shared" si="465"/>
        <v/>
      </c>
      <c r="BZ469" s="45" t="str">
        <f t="shared" si="465"/>
        <v/>
      </c>
      <c r="CA469" s="45">
        <f t="shared" si="465"/>
        <v>8.1967213114754106E-2</v>
      </c>
      <c r="CB469" s="45">
        <f t="shared" si="465"/>
        <v>0.1147540983606557</v>
      </c>
      <c r="CC469" s="45">
        <f t="shared" si="465"/>
        <v>0.1147540983606557</v>
      </c>
      <c r="CD469" s="45">
        <f t="shared" ref="CD469:CO469" si="466">IF(COUNTIFS($A$471:$A$472,"Activity",$D$471:$D$472,"P",CD$471:CD$472,"&lt;&gt;")=0,"",IFERROR(SUMPRODUCT(--($A$471:$A$472="Activity"),--($D$471:$D$472="P"),$O$471:$O$472,CD$471:CD$472)/SUMPRODUCT(--($A$471:$A$472="Activity"),--($D$471:$D$472="P"),$O$471:$O$472),""))</f>
        <v>0.1147540983606557</v>
      </c>
      <c r="CE469" s="45">
        <f t="shared" si="466"/>
        <v>0.1147540983606557</v>
      </c>
      <c r="CF469" s="45">
        <f t="shared" si="466"/>
        <v>0.1147540983606557</v>
      </c>
      <c r="CG469" s="45">
        <f t="shared" si="466"/>
        <v>0.1147540983606557</v>
      </c>
      <c r="CH469" s="45">
        <f t="shared" si="466"/>
        <v>0.1147540983606557</v>
      </c>
      <c r="CI469" s="45">
        <f t="shared" si="466"/>
        <v>0.1147540983606556</v>
      </c>
      <c r="CJ469" s="45" t="str">
        <f t="shared" si="466"/>
        <v/>
      </c>
      <c r="CK469" s="45" t="str">
        <f t="shared" si="466"/>
        <v/>
      </c>
      <c r="CL469" s="45" t="str">
        <f t="shared" si="466"/>
        <v/>
      </c>
      <c r="CM469" s="45" t="str">
        <f t="shared" si="466"/>
        <v/>
      </c>
      <c r="CN469" s="45" t="str">
        <f t="shared" si="466"/>
        <v/>
      </c>
      <c r="CO469" s="45" t="str">
        <f t="shared" si="466"/>
        <v/>
      </c>
    </row>
    <row r="470" spans="1:93" outlineLevel="2" x14ac:dyDescent="0.25">
      <c r="A470" s="1"/>
      <c r="B470" s="1"/>
      <c r="C470" s="6"/>
      <c r="D470" s="8" t="s">
        <v>111</v>
      </c>
      <c r="E470" s="1"/>
      <c r="F470" s="1"/>
      <c r="G470" s="1"/>
      <c r="H470" s="1"/>
      <c r="I470" s="9"/>
      <c r="J470" s="9"/>
      <c r="K470" s="9"/>
      <c r="L470" s="9"/>
      <c r="M470" s="3" t="str">
        <f t="shared" si="451"/>
        <v/>
      </c>
      <c r="N470" s="3"/>
      <c r="O470" s="46">
        <f>O469</f>
        <v>100000</v>
      </c>
      <c r="P470" s="4"/>
      <c r="Q470" s="5"/>
      <c r="R470" s="45" t="str">
        <f t="shared" ref="R470:AW470" si="467">IF(COUNTIFS($E$471:$E$472,"&lt;&gt;",$D$471:$D$472,"A",R$471:R$472,"&lt;&gt;")=0,"",IFERROR(SUMPRODUCT(--($E$471:$E$472&lt;&gt;""),--($D$471:$D$472="A"),$O$471:$O$472,R$471:R$472)/SUMPRODUCT(--($E$471:$E$472&lt;&gt;""),--($D$471:$D$472="A"),$O$471:$O$472),""))</f>
        <v/>
      </c>
      <c r="S470" s="45" t="str">
        <f t="shared" si="467"/>
        <v/>
      </c>
      <c r="T470" s="45" t="str">
        <f t="shared" si="467"/>
        <v/>
      </c>
      <c r="U470" s="45" t="str">
        <f t="shared" si="467"/>
        <v/>
      </c>
      <c r="V470" s="45" t="str">
        <f t="shared" si="467"/>
        <v/>
      </c>
      <c r="W470" s="45" t="str">
        <f t="shared" si="467"/>
        <v/>
      </c>
      <c r="X470" s="45" t="str">
        <f t="shared" si="467"/>
        <v/>
      </c>
      <c r="Y470" s="45" t="str">
        <f t="shared" si="467"/>
        <v/>
      </c>
      <c r="Z470" s="45" t="str">
        <f t="shared" si="467"/>
        <v/>
      </c>
      <c r="AA470" s="45" t="str">
        <f t="shared" si="467"/>
        <v/>
      </c>
      <c r="AB470" s="45" t="str">
        <f t="shared" si="467"/>
        <v/>
      </c>
      <c r="AC470" s="45" t="str">
        <f t="shared" si="467"/>
        <v/>
      </c>
      <c r="AD470" s="45" t="str">
        <f t="shared" si="467"/>
        <v/>
      </c>
      <c r="AE470" s="45" t="str">
        <f t="shared" si="467"/>
        <v/>
      </c>
      <c r="AF470" s="45" t="str">
        <f t="shared" si="467"/>
        <v/>
      </c>
      <c r="AG470" s="45" t="str">
        <f t="shared" si="467"/>
        <v/>
      </c>
      <c r="AH470" s="45" t="str">
        <f t="shared" si="467"/>
        <v/>
      </c>
      <c r="AI470" s="45" t="str">
        <f t="shared" si="467"/>
        <v/>
      </c>
      <c r="AJ470" s="45" t="str">
        <f t="shared" si="467"/>
        <v/>
      </c>
      <c r="AK470" s="45" t="str">
        <f t="shared" si="467"/>
        <v/>
      </c>
      <c r="AL470" s="45" t="str">
        <f t="shared" si="467"/>
        <v/>
      </c>
      <c r="AM470" s="45" t="str">
        <f t="shared" si="467"/>
        <v/>
      </c>
      <c r="AN470" s="45" t="str">
        <f t="shared" si="467"/>
        <v/>
      </c>
      <c r="AO470" s="45" t="str">
        <f t="shared" si="467"/>
        <v/>
      </c>
      <c r="AP470" s="45" t="str">
        <f t="shared" si="467"/>
        <v/>
      </c>
      <c r="AQ470" s="45" t="str">
        <f t="shared" si="467"/>
        <v/>
      </c>
      <c r="AR470" s="45" t="str">
        <f t="shared" si="467"/>
        <v/>
      </c>
      <c r="AS470" s="45" t="str">
        <f t="shared" si="467"/>
        <v/>
      </c>
      <c r="AT470" s="45" t="str">
        <f t="shared" si="467"/>
        <v/>
      </c>
      <c r="AU470" s="45" t="str">
        <f t="shared" si="467"/>
        <v/>
      </c>
      <c r="AV470" s="45" t="str">
        <f t="shared" si="467"/>
        <v/>
      </c>
      <c r="AW470" s="45" t="str">
        <f t="shared" si="467"/>
        <v/>
      </c>
      <c r="AX470" s="45" t="str">
        <f t="shared" ref="AX470:CC470" si="468">IF(COUNTIFS($E$471:$E$472,"&lt;&gt;",$D$471:$D$472,"A",AX$471:AX$472,"&lt;&gt;")=0,"",IFERROR(SUMPRODUCT(--($E$471:$E$472&lt;&gt;""),--($D$471:$D$472="A"),$O$471:$O$472,AX$471:AX$472)/SUMPRODUCT(--($E$471:$E$472&lt;&gt;""),--($D$471:$D$472="A"),$O$471:$O$472),""))</f>
        <v/>
      </c>
      <c r="AY470" s="45" t="str">
        <f t="shared" si="468"/>
        <v/>
      </c>
      <c r="AZ470" s="45" t="str">
        <f t="shared" si="468"/>
        <v/>
      </c>
      <c r="BA470" s="45" t="str">
        <f t="shared" si="468"/>
        <v/>
      </c>
      <c r="BB470" s="45" t="str">
        <f t="shared" si="468"/>
        <v/>
      </c>
      <c r="BC470" s="45" t="str">
        <f t="shared" si="468"/>
        <v/>
      </c>
      <c r="BD470" s="45" t="str">
        <f t="shared" si="468"/>
        <v/>
      </c>
      <c r="BE470" s="45" t="str">
        <f t="shared" si="468"/>
        <v/>
      </c>
      <c r="BF470" s="45" t="str">
        <f t="shared" si="468"/>
        <v/>
      </c>
      <c r="BG470" s="45" t="str">
        <f t="shared" si="468"/>
        <v/>
      </c>
      <c r="BH470" s="45" t="str">
        <f t="shared" si="468"/>
        <v/>
      </c>
      <c r="BI470" s="45" t="str">
        <f t="shared" si="468"/>
        <v/>
      </c>
      <c r="BJ470" s="45" t="str">
        <f t="shared" si="468"/>
        <v/>
      </c>
      <c r="BK470" s="45" t="str">
        <f t="shared" si="468"/>
        <v/>
      </c>
      <c r="BL470" s="45" t="str">
        <f t="shared" si="468"/>
        <v/>
      </c>
      <c r="BM470" s="45" t="str">
        <f t="shared" si="468"/>
        <v/>
      </c>
      <c r="BN470" s="45" t="str">
        <f t="shared" si="468"/>
        <v/>
      </c>
      <c r="BO470" s="45" t="str">
        <f t="shared" si="468"/>
        <v/>
      </c>
      <c r="BP470" s="45" t="str">
        <f t="shared" si="468"/>
        <v/>
      </c>
      <c r="BQ470" s="45" t="str">
        <f t="shared" si="468"/>
        <v/>
      </c>
      <c r="BR470" s="45" t="str">
        <f t="shared" si="468"/>
        <v/>
      </c>
      <c r="BS470" s="45" t="str">
        <f t="shared" si="468"/>
        <v/>
      </c>
      <c r="BT470" s="45" t="str">
        <f t="shared" si="468"/>
        <v/>
      </c>
      <c r="BU470" s="45" t="str">
        <f t="shared" si="468"/>
        <v/>
      </c>
      <c r="BV470" s="45" t="str">
        <f t="shared" si="468"/>
        <v/>
      </c>
      <c r="BW470" s="45" t="str">
        <f t="shared" si="468"/>
        <v/>
      </c>
      <c r="BX470" s="45" t="str">
        <f t="shared" si="468"/>
        <v/>
      </c>
      <c r="BY470" s="45" t="str">
        <f t="shared" si="468"/>
        <v/>
      </c>
      <c r="BZ470" s="45" t="str">
        <f t="shared" si="468"/>
        <v/>
      </c>
      <c r="CA470" s="45" t="str">
        <f t="shared" si="468"/>
        <v/>
      </c>
      <c r="CB470" s="45" t="str">
        <f t="shared" si="468"/>
        <v/>
      </c>
      <c r="CC470" s="45" t="str">
        <f t="shared" si="468"/>
        <v/>
      </c>
      <c r="CD470" s="45" t="str">
        <f t="shared" ref="CD470:CO470" si="469">IF(COUNTIFS($E$471:$E$472,"&lt;&gt;",$D$471:$D$472,"A",CD$471:CD$472,"&lt;&gt;")=0,"",IFERROR(SUMPRODUCT(--($E$471:$E$472&lt;&gt;""),--($D$471:$D$472="A"),$O$471:$O$472,CD$471:CD$472)/SUMPRODUCT(--($E$471:$E$472&lt;&gt;""),--($D$471:$D$472="A"),$O$471:$O$472),""))</f>
        <v/>
      </c>
      <c r="CE470" s="45" t="str">
        <f t="shared" si="469"/>
        <v/>
      </c>
      <c r="CF470" s="45" t="str">
        <f t="shared" si="469"/>
        <v/>
      </c>
      <c r="CG470" s="45" t="str">
        <f t="shared" si="469"/>
        <v/>
      </c>
      <c r="CH470" s="45" t="str">
        <f t="shared" si="469"/>
        <v/>
      </c>
      <c r="CI470" s="45" t="str">
        <f t="shared" si="469"/>
        <v/>
      </c>
      <c r="CJ470" s="45" t="str">
        <f t="shared" si="469"/>
        <v/>
      </c>
      <c r="CK470" s="45" t="str">
        <f t="shared" si="469"/>
        <v/>
      </c>
      <c r="CL470" s="45" t="str">
        <f t="shared" si="469"/>
        <v/>
      </c>
      <c r="CM470" s="45" t="str">
        <f t="shared" si="469"/>
        <v/>
      </c>
      <c r="CN470" s="45" t="str">
        <f t="shared" si="469"/>
        <v/>
      </c>
      <c r="CO470" s="45" t="str">
        <f t="shared" si="469"/>
        <v/>
      </c>
    </row>
    <row r="471" spans="1:93" outlineLevel="3" x14ac:dyDescent="0.25">
      <c r="A471" s="10" t="s">
        <v>116</v>
      </c>
      <c r="B471" s="10" t="s">
        <v>632</v>
      </c>
      <c r="C471" s="11" t="s">
        <v>631</v>
      </c>
      <c r="D471" s="12" t="s">
        <v>110</v>
      </c>
      <c r="E471" s="10" t="s">
        <v>633</v>
      </c>
      <c r="F471" s="10">
        <v>233</v>
      </c>
      <c r="G471" s="10">
        <v>233</v>
      </c>
      <c r="H471" s="10">
        <v>3</v>
      </c>
      <c r="I471" s="13">
        <v>46468.333333333343</v>
      </c>
      <c r="J471" s="13">
        <v>46528.666666666657</v>
      </c>
      <c r="K471" s="13"/>
      <c r="L471" s="13"/>
      <c r="M471" s="14">
        <f t="shared" si="451"/>
        <v>0.99999999999999956</v>
      </c>
      <c r="N471" s="14"/>
      <c r="O471" s="16">
        <v>100000</v>
      </c>
      <c r="P471" s="15">
        <v>0.8</v>
      </c>
      <c r="Q471" s="16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>
        <v>8.1967213114754106E-2</v>
      </c>
      <c r="CB471" s="47">
        <v>0.1147540983606557</v>
      </c>
      <c r="CC471" s="47">
        <v>0.1147540983606557</v>
      </c>
      <c r="CD471" s="47">
        <v>0.1147540983606557</v>
      </c>
      <c r="CE471" s="47">
        <v>0.1147540983606557</v>
      </c>
      <c r="CF471" s="47">
        <v>0.1147540983606557</v>
      </c>
      <c r="CG471" s="47">
        <v>0.1147540983606557</v>
      </c>
      <c r="CH471" s="47">
        <v>0.1147540983606557</v>
      </c>
      <c r="CI471" s="47">
        <v>0.1147540983606556</v>
      </c>
      <c r="CJ471" s="47"/>
      <c r="CK471" s="47"/>
      <c r="CL471" s="47"/>
      <c r="CM471" s="47"/>
      <c r="CN471" s="47"/>
      <c r="CO471" s="47"/>
    </row>
    <row r="472" spans="1:93" outlineLevel="3" x14ac:dyDescent="0.25">
      <c r="A472" s="17"/>
      <c r="B472" s="17"/>
      <c r="C472" s="18"/>
      <c r="D472" s="19" t="s">
        <v>111</v>
      </c>
      <c r="E472" s="17" t="s">
        <v>633</v>
      </c>
      <c r="F472" s="17"/>
      <c r="G472" s="17"/>
      <c r="H472" s="17"/>
      <c r="I472" s="20"/>
      <c r="J472" s="20"/>
      <c r="K472" s="20"/>
      <c r="L472" s="20"/>
      <c r="M472" s="21" t="str">
        <f t="shared" si="451"/>
        <v/>
      </c>
      <c r="N472" s="21">
        <v>0</v>
      </c>
      <c r="O472" s="48">
        <f>O471</f>
        <v>100000</v>
      </c>
      <c r="P472" s="22"/>
      <c r="Q472" s="23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  <c r="CO472" s="47"/>
    </row>
    <row r="473" spans="1:93" outlineLevel="2" x14ac:dyDescent="0.25">
      <c r="A473" s="1" t="s">
        <v>92</v>
      </c>
      <c r="B473" s="1" t="s">
        <v>634</v>
      </c>
      <c r="C473" s="6" t="s">
        <v>635</v>
      </c>
      <c r="D473" s="8" t="s">
        <v>110</v>
      </c>
      <c r="E473" s="1"/>
      <c r="F473" s="1">
        <v>234</v>
      </c>
      <c r="G473" s="1">
        <v>234</v>
      </c>
      <c r="H473" s="1">
        <v>2</v>
      </c>
      <c r="I473" s="9">
        <v>46449.333333333343</v>
      </c>
      <c r="J473" s="9">
        <v>46490.666666666657</v>
      </c>
      <c r="K473" s="9"/>
      <c r="L473" s="9"/>
      <c r="M473" s="3">
        <f t="shared" si="451"/>
        <v>1.0000000000000004</v>
      </c>
      <c r="N473" s="3"/>
      <c r="O473" s="5">
        <f>SUMIFS($O$474:$O$475,$A$474:$A$475,"Activity",$D$474:$D$475,"P")</f>
        <v>100000</v>
      </c>
      <c r="P473" s="4"/>
      <c r="Q473" s="5"/>
      <c r="R473" s="45" t="str">
        <f t="shared" ref="R473:AW473" si="470">IF(COUNTIFS($A$475:$A$476,"Activity",$D$475:$D$476,"P",R$475:R$476,"&lt;&gt;")=0,"",IFERROR(SUMPRODUCT(--($A$475:$A$476="Activity"),--($D$475:$D$476="P"),$O$475:$O$476,R$475:R$476)/SUMPRODUCT(--($A$475:$A$476="Activity"),--($D$475:$D$476="P"),$O$475:$O$476),""))</f>
        <v/>
      </c>
      <c r="S473" s="45" t="str">
        <f t="shared" si="470"/>
        <v/>
      </c>
      <c r="T473" s="45" t="str">
        <f t="shared" si="470"/>
        <v/>
      </c>
      <c r="U473" s="45" t="str">
        <f t="shared" si="470"/>
        <v/>
      </c>
      <c r="V473" s="45" t="str">
        <f t="shared" si="470"/>
        <v/>
      </c>
      <c r="W473" s="45" t="str">
        <f t="shared" si="470"/>
        <v/>
      </c>
      <c r="X473" s="45" t="str">
        <f t="shared" si="470"/>
        <v/>
      </c>
      <c r="Y473" s="45" t="str">
        <f t="shared" si="470"/>
        <v/>
      </c>
      <c r="Z473" s="45" t="str">
        <f t="shared" si="470"/>
        <v/>
      </c>
      <c r="AA473" s="45" t="str">
        <f t="shared" si="470"/>
        <v/>
      </c>
      <c r="AB473" s="45" t="str">
        <f t="shared" si="470"/>
        <v/>
      </c>
      <c r="AC473" s="45" t="str">
        <f t="shared" si="470"/>
        <v/>
      </c>
      <c r="AD473" s="45" t="str">
        <f t="shared" si="470"/>
        <v/>
      </c>
      <c r="AE473" s="45" t="str">
        <f t="shared" si="470"/>
        <v/>
      </c>
      <c r="AF473" s="45" t="str">
        <f t="shared" si="470"/>
        <v/>
      </c>
      <c r="AG473" s="45" t="str">
        <f t="shared" si="470"/>
        <v/>
      </c>
      <c r="AH473" s="45" t="str">
        <f t="shared" si="470"/>
        <v/>
      </c>
      <c r="AI473" s="45" t="str">
        <f t="shared" si="470"/>
        <v/>
      </c>
      <c r="AJ473" s="45" t="str">
        <f t="shared" si="470"/>
        <v/>
      </c>
      <c r="AK473" s="45" t="str">
        <f t="shared" si="470"/>
        <v/>
      </c>
      <c r="AL473" s="45" t="str">
        <f t="shared" si="470"/>
        <v/>
      </c>
      <c r="AM473" s="45" t="str">
        <f t="shared" si="470"/>
        <v/>
      </c>
      <c r="AN473" s="45" t="str">
        <f t="shared" si="470"/>
        <v/>
      </c>
      <c r="AO473" s="45" t="str">
        <f t="shared" si="470"/>
        <v/>
      </c>
      <c r="AP473" s="45" t="str">
        <f t="shared" si="470"/>
        <v/>
      </c>
      <c r="AQ473" s="45" t="str">
        <f t="shared" si="470"/>
        <v/>
      </c>
      <c r="AR473" s="45" t="str">
        <f t="shared" si="470"/>
        <v/>
      </c>
      <c r="AS473" s="45" t="str">
        <f t="shared" si="470"/>
        <v/>
      </c>
      <c r="AT473" s="45" t="str">
        <f t="shared" si="470"/>
        <v/>
      </c>
      <c r="AU473" s="45" t="str">
        <f t="shared" si="470"/>
        <v/>
      </c>
      <c r="AV473" s="45" t="str">
        <f t="shared" si="470"/>
        <v/>
      </c>
      <c r="AW473" s="45" t="str">
        <f t="shared" si="470"/>
        <v/>
      </c>
      <c r="AX473" s="45" t="str">
        <f t="shared" ref="AX473:CC473" si="471">IF(COUNTIFS($A$475:$A$476,"Activity",$D$475:$D$476,"P",AX$475:AX$476,"&lt;&gt;")=0,"",IFERROR(SUMPRODUCT(--($A$475:$A$476="Activity"),--($D$475:$D$476="P"),$O$475:$O$476,AX$475:AX$476)/SUMPRODUCT(--($A$475:$A$476="Activity"),--($D$475:$D$476="P"),$O$475:$O$476),""))</f>
        <v/>
      </c>
      <c r="AY473" s="45" t="str">
        <f t="shared" si="471"/>
        <v/>
      </c>
      <c r="AZ473" s="45" t="str">
        <f t="shared" si="471"/>
        <v/>
      </c>
      <c r="BA473" s="45" t="str">
        <f t="shared" si="471"/>
        <v/>
      </c>
      <c r="BB473" s="45" t="str">
        <f t="shared" si="471"/>
        <v/>
      </c>
      <c r="BC473" s="45" t="str">
        <f t="shared" si="471"/>
        <v/>
      </c>
      <c r="BD473" s="45" t="str">
        <f t="shared" si="471"/>
        <v/>
      </c>
      <c r="BE473" s="45" t="str">
        <f t="shared" si="471"/>
        <v/>
      </c>
      <c r="BF473" s="45" t="str">
        <f t="shared" si="471"/>
        <v/>
      </c>
      <c r="BG473" s="45" t="str">
        <f t="shared" si="471"/>
        <v/>
      </c>
      <c r="BH473" s="45" t="str">
        <f t="shared" si="471"/>
        <v/>
      </c>
      <c r="BI473" s="45" t="str">
        <f t="shared" si="471"/>
        <v/>
      </c>
      <c r="BJ473" s="45" t="str">
        <f t="shared" si="471"/>
        <v/>
      </c>
      <c r="BK473" s="45" t="str">
        <f t="shared" si="471"/>
        <v/>
      </c>
      <c r="BL473" s="45" t="str">
        <f t="shared" si="471"/>
        <v/>
      </c>
      <c r="BM473" s="45" t="str">
        <f t="shared" si="471"/>
        <v/>
      </c>
      <c r="BN473" s="45" t="str">
        <f t="shared" si="471"/>
        <v/>
      </c>
      <c r="BO473" s="45" t="str">
        <f t="shared" si="471"/>
        <v/>
      </c>
      <c r="BP473" s="45" t="str">
        <f t="shared" si="471"/>
        <v/>
      </c>
      <c r="BQ473" s="45" t="str">
        <f t="shared" si="471"/>
        <v/>
      </c>
      <c r="BR473" s="45" t="str">
        <f t="shared" si="471"/>
        <v/>
      </c>
      <c r="BS473" s="45" t="str">
        <f t="shared" si="471"/>
        <v/>
      </c>
      <c r="BT473" s="45" t="str">
        <f t="shared" si="471"/>
        <v/>
      </c>
      <c r="BU473" s="45" t="str">
        <f t="shared" si="471"/>
        <v/>
      </c>
      <c r="BV473" s="45" t="str">
        <f t="shared" si="471"/>
        <v/>
      </c>
      <c r="BW473" s="45" t="str">
        <f t="shared" si="471"/>
        <v/>
      </c>
      <c r="BX473" s="45">
        <f t="shared" si="471"/>
        <v>7.1428571428571411E-2</v>
      </c>
      <c r="BY473" s="45">
        <f t="shared" si="471"/>
        <v>0.16666666666666671</v>
      </c>
      <c r="BZ473" s="45">
        <f t="shared" si="471"/>
        <v>0.16666666666666671</v>
      </c>
      <c r="CA473" s="45">
        <f t="shared" si="471"/>
        <v>0.16666666666666671</v>
      </c>
      <c r="CB473" s="45">
        <f t="shared" si="471"/>
        <v>0.16666666666666671</v>
      </c>
      <c r="CC473" s="45">
        <f t="shared" si="471"/>
        <v>0.16666666666666671</v>
      </c>
      <c r="CD473" s="45">
        <f t="shared" ref="CD473:CO473" si="472">IF(COUNTIFS($A$475:$A$476,"Activity",$D$475:$D$476,"P",CD$475:CD$476,"&lt;&gt;")=0,"",IFERROR(SUMPRODUCT(--($A$475:$A$476="Activity"),--($D$475:$D$476="P"),$O$475:$O$476,CD$475:CD$476)/SUMPRODUCT(--($A$475:$A$476="Activity"),--($D$475:$D$476="P"),$O$475:$O$476),""))</f>
        <v>9.5238095238095344E-2</v>
      </c>
      <c r="CE473" s="45" t="str">
        <f t="shared" si="472"/>
        <v/>
      </c>
      <c r="CF473" s="45" t="str">
        <f t="shared" si="472"/>
        <v/>
      </c>
      <c r="CG473" s="45" t="str">
        <f t="shared" si="472"/>
        <v/>
      </c>
      <c r="CH473" s="45" t="str">
        <f t="shared" si="472"/>
        <v/>
      </c>
      <c r="CI473" s="45" t="str">
        <f t="shared" si="472"/>
        <v/>
      </c>
      <c r="CJ473" s="45" t="str">
        <f t="shared" si="472"/>
        <v/>
      </c>
      <c r="CK473" s="45" t="str">
        <f t="shared" si="472"/>
        <v/>
      </c>
      <c r="CL473" s="45" t="str">
        <f t="shared" si="472"/>
        <v/>
      </c>
      <c r="CM473" s="45" t="str">
        <f t="shared" si="472"/>
        <v/>
      </c>
      <c r="CN473" s="45" t="str">
        <f t="shared" si="472"/>
        <v/>
      </c>
      <c r="CO473" s="45" t="str">
        <f t="shared" si="472"/>
        <v/>
      </c>
    </row>
    <row r="474" spans="1:93" outlineLevel="2" x14ac:dyDescent="0.25">
      <c r="A474" s="1"/>
      <c r="B474" s="1"/>
      <c r="C474" s="6"/>
      <c r="D474" s="8" t="s">
        <v>111</v>
      </c>
      <c r="E474" s="1"/>
      <c r="F474" s="1"/>
      <c r="G474" s="1"/>
      <c r="H474" s="1"/>
      <c r="I474" s="9"/>
      <c r="J474" s="9"/>
      <c r="K474" s="9"/>
      <c r="L474" s="9"/>
      <c r="M474" s="3" t="str">
        <f t="shared" si="451"/>
        <v/>
      </c>
      <c r="N474" s="3"/>
      <c r="O474" s="46">
        <f>O473</f>
        <v>100000</v>
      </c>
      <c r="P474" s="4"/>
      <c r="Q474" s="5"/>
      <c r="R474" s="45" t="str">
        <f t="shared" ref="R474:AW474" si="473">IF(COUNTIFS($E$475:$E$476,"&lt;&gt;",$D$475:$D$476,"A",R$475:R$476,"&lt;&gt;")=0,"",IFERROR(SUMPRODUCT(--($E$475:$E$476&lt;&gt;""),--($D$475:$D$476="A"),$O$475:$O$476,R$475:R$476)/SUMPRODUCT(--($E$475:$E$476&lt;&gt;""),--($D$475:$D$476="A"),$O$475:$O$476),""))</f>
        <v/>
      </c>
      <c r="S474" s="45" t="str">
        <f t="shared" si="473"/>
        <v/>
      </c>
      <c r="T474" s="45" t="str">
        <f t="shared" si="473"/>
        <v/>
      </c>
      <c r="U474" s="45" t="str">
        <f t="shared" si="473"/>
        <v/>
      </c>
      <c r="V474" s="45" t="str">
        <f t="shared" si="473"/>
        <v/>
      </c>
      <c r="W474" s="45" t="str">
        <f t="shared" si="473"/>
        <v/>
      </c>
      <c r="X474" s="45" t="str">
        <f t="shared" si="473"/>
        <v/>
      </c>
      <c r="Y474" s="45" t="str">
        <f t="shared" si="473"/>
        <v/>
      </c>
      <c r="Z474" s="45" t="str">
        <f t="shared" si="473"/>
        <v/>
      </c>
      <c r="AA474" s="45" t="str">
        <f t="shared" si="473"/>
        <v/>
      </c>
      <c r="AB474" s="45" t="str">
        <f t="shared" si="473"/>
        <v/>
      </c>
      <c r="AC474" s="45" t="str">
        <f t="shared" si="473"/>
        <v/>
      </c>
      <c r="AD474" s="45" t="str">
        <f t="shared" si="473"/>
        <v/>
      </c>
      <c r="AE474" s="45" t="str">
        <f t="shared" si="473"/>
        <v/>
      </c>
      <c r="AF474" s="45" t="str">
        <f t="shared" si="473"/>
        <v/>
      </c>
      <c r="AG474" s="45" t="str">
        <f t="shared" si="473"/>
        <v/>
      </c>
      <c r="AH474" s="45" t="str">
        <f t="shared" si="473"/>
        <v/>
      </c>
      <c r="AI474" s="45" t="str">
        <f t="shared" si="473"/>
        <v/>
      </c>
      <c r="AJ474" s="45" t="str">
        <f t="shared" si="473"/>
        <v/>
      </c>
      <c r="AK474" s="45" t="str">
        <f t="shared" si="473"/>
        <v/>
      </c>
      <c r="AL474" s="45" t="str">
        <f t="shared" si="473"/>
        <v/>
      </c>
      <c r="AM474" s="45" t="str">
        <f t="shared" si="473"/>
        <v/>
      </c>
      <c r="AN474" s="45" t="str">
        <f t="shared" si="473"/>
        <v/>
      </c>
      <c r="AO474" s="45" t="str">
        <f t="shared" si="473"/>
        <v/>
      </c>
      <c r="AP474" s="45" t="str">
        <f t="shared" si="473"/>
        <v/>
      </c>
      <c r="AQ474" s="45" t="str">
        <f t="shared" si="473"/>
        <v/>
      </c>
      <c r="AR474" s="45" t="str">
        <f t="shared" si="473"/>
        <v/>
      </c>
      <c r="AS474" s="45" t="str">
        <f t="shared" si="473"/>
        <v/>
      </c>
      <c r="AT474" s="45" t="str">
        <f t="shared" si="473"/>
        <v/>
      </c>
      <c r="AU474" s="45" t="str">
        <f t="shared" si="473"/>
        <v/>
      </c>
      <c r="AV474" s="45" t="str">
        <f t="shared" si="473"/>
        <v/>
      </c>
      <c r="AW474" s="45" t="str">
        <f t="shared" si="473"/>
        <v/>
      </c>
      <c r="AX474" s="45" t="str">
        <f t="shared" ref="AX474:CC474" si="474">IF(COUNTIFS($E$475:$E$476,"&lt;&gt;",$D$475:$D$476,"A",AX$475:AX$476,"&lt;&gt;")=0,"",IFERROR(SUMPRODUCT(--($E$475:$E$476&lt;&gt;""),--($D$475:$D$476="A"),$O$475:$O$476,AX$475:AX$476)/SUMPRODUCT(--($E$475:$E$476&lt;&gt;""),--($D$475:$D$476="A"),$O$475:$O$476),""))</f>
        <v/>
      </c>
      <c r="AY474" s="45" t="str">
        <f t="shared" si="474"/>
        <v/>
      </c>
      <c r="AZ474" s="45" t="str">
        <f t="shared" si="474"/>
        <v/>
      </c>
      <c r="BA474" s="45" t="str">
        <f t="shared" si="474"/>
        <v/>
      </c>
      <c r="BB474" s="45" t="str">
        <f t="shared" si="474"/>
        <v/>
      </c>
      <c r="BC474" s="45" t="str">
        <f t="shared" si="474"/>
        <v/>
      </c>
      <c r="BD474" s="45" t="str">
        <f t="shared" si="474"/>
        <v/>
      </c>
      <c r="BE474" s="45" t="str">
        <f t="shared" si="474"/>
        <v/>
      </c>
      <c r="BF474" s="45" t="str">
        <f t="shared" si="474"/>
        <v/>
      </c>
      <c r="BG474" s="45" t="str">
        <f t="shared" si="474"/>
        <v/>
      </c>
      <c r="BH474" s="45" t="str">
        <f t="shared" si="474"/>
        <v/>
      </c>
      <c r="BI474" s="45" t="str">
        <f t="shared" si="474"/>
        <v/>
      </c>
      <c r="BJ474" s="45" t="str">
        <f t="shared" si="474"/>
        <v/>
      </c>
      <c r="BK474" s="45" t="str">
        <f t="shared" si="474"/>
        <v/>
      </c>
      <c r="BL474" s="45" t="str">
        <f t="shared" si="474"/>
        <v/>
      </c>
      <c r="BM474" s="45" t="str">
        <f t="shared" si="474"/>
        <v/>
      </c>
      <c r="BN474" s="45" t="str">
        <f t="shared" si="474"/>
        <v/>
      </c>
      <c r="BO474" s="45" t="str">
        <f t="shared" si="474"/>
        <v/>
      </c>
      <c r="BP474" s="45" t="str">
        <f t="shared" si="474"/>
        <v/>
      </c>
      <c r="BQ474" s="45" t="str">
        <f t="shared" si="474"/>
        <v/>
      </c>
      <c r="BR474" s="45" t="str">
        <f t="shared" si="474"/>
        <v/>
      </c>
      <c r="BS474" s="45" t="str">
        <f t="shared" si="474"/>
        <v/>
      </c>
      <c r="BT474" s="45" t="str">
        <f t="shared" si="474"/>
        <v/>
      </c>
      <c r="BU474" s="45" t="str">
        <f t="shared" si="474"/>
        <v/>
      </c>
      <c r="BV474" s="45" t="str">
        <f t="shared" si="474"/>
        <v/>
      </c>
      <c r="BW474" s="45" t="str">
        <f t="shared" si="474"/>
        <v/>
      </c>
      <c r="BX474" s="45" t="str">
        <f t="shared" si="474"/>
        <v/>
      </c>
      <c r="BY474" s="45" t="str">
        <f t="shared" si="474"/>
        <v/>
      </c>
      <c r="BZ474" s="45" t="str">
        <f t="shared" si="474"/>
        <v/>
      </c>
      <c r="CA474" s="45" t="str">
        <f t="shared" si="474"/>
        <v/>
      </c>
      <c r="CB474" s="45" t="str">
        <f t="shared" si="474"/>
        <v/>
      </c>
      <c r="CC474" s="45" t="str">
        <f t="shared" si="474"/>
        <v/>
      </c>
      <c r="CD474" s="45" t="str">
        <f t="shared" ref="CD474:CO474" si="475">IF(COUNTIFS($E$475:$E$476,"&lt;&gt;",$D$475:$D$476,"A",CD$475:CD$476,"&lt;&gt;")=0,"",IFERROR(SUMPRODUCT(--($E$475:$E$476&lt;&gt;""),--($D$475:$D$476="A"),$O$475:$O$476,CD$475:CD$476)/SUMPRODUCT(--($E$475:$E$476&lt;&gt;""),--($D$475:$D$476="A"),$O$475:$O$476),""))</f>
        <v/>
      </c>
      <c r="CE474" s="45" t="str">
        <f t="shared" si="475"/>
        <v/>
      </c>
      <c r="CF474" s="45" t="str">
        <f t="shared" si="475"/>
        <v/>
      </c>
      <c r="CG474" s="45" t="str">
        <f t="shared" si="475"/>
        <v/>
      </c>
      <c r="CH474" s="45" t="str">
        <f t="shared" si="475"/>
        <v/>
      </c>
      <c r="CI474" s="45" t="str">
        <f t="shared" si="475"/>
        <v/>
      </c>
      <c r="CJ474" s="45" t="str">
        <f t="shared" si="475"/>
        <v/>
      </c>
      <c r="CK474" s="45" t="str">
        <f t="shared" si="475"/>
        <v/>
      </c>
      <c r="CL474" s="45" t="str">
        <f t="shared" si="475"/>
        <v/>
      </c>
      <c r="CM474" s="45" t="str">
        <f t="shared" si="475"/>
        <v/>
      </c>
      <c r="CN474" s="45" t="str">
        <f t="shared" si="475"/>
        <v/>
      </c>
      <c r="CO474" s="45" t="str">
        <f t="shared" si="475"/>
        <v/>
      </c>
    </row>
    <row r="475" spans="1:93" outlineLevel="3" x14ac:dyDescent="0.25">
      <c r="A475" s="10" t="s">
        <v>116</v>
      </c>
      <c r="B475" s="10" t="s">
        <v>636</v>
      </c>
      <c r="C475" s="11" t="s">
        <v>637</v>
      </c>
      <c r="D475" s="12" t="s">
        <v>110</v>
      </c>
      <c r="E475" s="10" t="s">
        <v>638</v>
      </c>
      <c r="F475" s="10">
        <v>235</v>
      </c>
      <c r="G475" s="10">
        <v>235</v>
      </c>
      <c r="H475" s="10">
        <v>3</v>
      </c>
      <c r="I475" s="13">
        <v>46449.333333333343</v>
      </c>
      <c r="J475" s="13">
        <v>46490.666666666657</v>
      </c>
      <c r="K475" s="13"/>
      <c r="L475" s="13"/>
      <c r="M475" s="14">
        <f t="shared" si="451"/>
        <v>1.0000000000000004</v>
      </c>
      <c r="N475" s="14"/>
      <c r="O475" s="16">
        <v>100000</v>
      </c>
      <c r="P475" s="15">
        <v>4.5333333333333332</v>
      </c>
      <c r="Q475" s="16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>
        <v>7.1428571428571411E-2</v>
      </c>
      <c r="BY475" s="47">
        <v>0.16666666666666671</v>
      </c>
      <c r="BZ475" s="47">
        <v>0.16666666666666671</v>
      </c>
      <c r="CA475" s="47">
        <v>0.16666666666666671</v>
      </c>
      <c r="CB475" s="47">
        <v>0.16666666666666671</v>
      </c>
      <c r="CC475" s="47">
        <v>0.16666666666666671</v>
      </c>
      <c r="CD475" s="47">
        <v>9.5238095238095344E-2</v>
      </c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</row>
    <row r="476" spans="1:93" outlineLevel="3" x14ac:dyDescent="0.25">
      <c r="A476" s="17"/>
      <c r="B476" s="17"/>
      <c r="C476" s="18"/>
      <c r="D476" s="19" t="s">
        <v>111</v>
      </c>
      <c r="E476" s="17" t="s">
        <v>638</v>
      </c>
      <c r="F476" s="17"/>
      <c r="G476" s="17"/>
      <c r="H476" s="17"/>
      <c r="I476" s="20"/>
      <c r="J476" s="20"/>
      <c r="K476" s="20"/>
      <c r="L476" s="20"/>
      <c r="M476" s="21" t="str">
        <f t="shared" si="451"/>
        <v/>
      </c>
      <c r="N476" s="21">
        <v>0</v>
      </c>
      <c r="O476" s="48">
        <f>O475</f>
        <v>100000</v>
      </c>
      <c r="P476" s="22"/>
      <c r="Q476" s="23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  <c r="CO476" s="47"/>
    </row>
    <row r="477" spans="1:93" outlineLevel="1" x14ac:dyDescent="0.25">
      <c r="A477" s="1" t="s">
        <v>92</v>
      </c>
      <c r="B477" s="1" t="s">
        <v>639</v>
      </c>
      <c r="C477" s="2" t="s">
        <v>640</v>
      </c>
      <c r="D477" s="8" t="s">
        <v>110</v>
      </c>
      <c r="E477" s="1"/>
      <c r="F477" s="1">
        <v>236</v>
      </c>
      <c r="G477" s="1">
        <v>236</v>
      </c>
      <c r="H477" s="1">
        <v>1</v>
      </c>
      <c r="I477" s="9">
        <v>46419.333333333343</v>
      </c>
      <c r="J477" s="9">
        <v>46528.666666666657</v>
      </c>
      <c r="K477" s="9"/>
      <c r="L477" s="9"/>
      <c r="M477" s="3">
        <f t="shared" si="451"/>
        <v>0.99999999999999967</v>
      </c>
      <c r="N477" s="3"/>
      <c r="O477" s="5">
        <f>SUMIFS($O$478:$O$485,$A$478:$A$485,"Activity",$D$478:$D$485,"P")</f>
        <v>400000</v>
      </c>
      <c r="P477" s="4"/>
      <c r="Q477" s="5"/>
      <c r="R477" s="45" t="str">
        <f t="shared" ref="R477:AW477" si="476">IF(COUNTIFS($A$479:$A$486,"Activity",$D$479:$D$486,"P",R$479:R$486,"&lt;&gt;")=0,"",IFERROR(SUMPRODUCT(--($A$479:$A$486="Activity"),--($D$479:$D$486="P"),$O$479:$O$486,R$479:R$486)/SUMPRODUCT(--($A$479:$A$486="Activity"),--($D$479:$D$486="P"),$O$479:$O$486),""))</f>
        <v/>
      </c>
      <c r="S477" s="45" t="str">
        <f t="shared" si="476"/>
        <v/>
      </c>
      <c r="T477" s="45" t="str">
        <f t="shared" si="476"/>
        <v/>
      </c>
      <c r="U477" s="45" t="str">
        <f t="shared" si="476"/>
        <v/>
      </c>
      <c r="V477" s="45" t="str">
        <f t="shared" si="476"/>
        <v/>
      </c>
      <c r="W477" s="45" t="str">
        <f t="shared" si="476"/>
        <v/>
      </c>
      <c r="X477" s="45" t="str">
        <f t="shared" si="476"/>
        <v/>
      </c>
      <c r="Y477" s="45" t="str">
        <f t="shared" si="476"/>
        <v/>
      </c>
      <c r="Z477" s="45" t="str">
        <f t="shared" si="476"/>
        <v/>
      </c>
      <c r="AA477" s="45" t="str">
        <f t="shared" si="476"/>
        <v/>
      </c>
      <c r="AB477" s="45" t="str">
        <f t="shared" si="476"/>
        <v/>
      </c>
      <c r="AC477" s="45" t="str">
        <f t="shared" si="476"/>
        <v/>
      </c>
      <c r="AD477" s="45" t="str">
        <f t="shared" si="476"/>
        <v/>
      </c>
      <c r="AE477" s="45" t="str">
        <f t="shared" si="476"/>
        <v/>
      </c>
      <c r="AF477" s="45" t="str">
        <f t="shared" si="476"/>
        <v/>
      </c>
      <c r="AG477" s="45" t="str">
        <f t="shared" si="476"/>
        <v/>
      </c>
      <c r="AH477" s="45" t="str">
        <f t="shared" si="476"/>
        <v/>
      </c>
      <c r="AI477" s="45" t="str">
        <f t="shared" si="476"/>
        <v/>
      </c>
      <c r="AJ477" s="45" t="str">
        <f t="shared" si="476"/>
        <v/>
      </c>
      <c r="AK477" s="45" t="str">
        <f t="shared" si="476"/>
        <v/>
      </c>
      <c r="AL477" s="45" t="str">
        <f t="shared" si="476"/>
        <v/>
      </c>
      <c r="AM477" s="45" t="str">
        <f t="shared" si="476"/>
        <v/>
      </c>
      <c r="AN477" s="45" t="str">
        <f t="shared" si="476"/>
        <v/>
      </c>
      <c r="AO477" s="45" t="str">
        <f t="shared" si="476"/>
        <v/>
      </c>
      <c r="AP477" s="45" t="str">
        <f t="shared" si="476"/>
        <v/>
      </c>
      <c r="AQ477" s="45" t="str">
        <f t="shared" si="476"/>
        <v/>
      </c>
      <c r="AR477" s="45" t="str">
        <f t="shared" si="476"/>
        <v/>
      </c>
      <c r="AS477" s="45" t="str">
        <f t="shared" si="476"/>
        <v/>
      </c>
      <c r="AT477" s="45" t="str">
        <f t="shared" si="476"/>
        <v/>
      </c>
      <c r="AU477" s="45" t="str">
        <f t="shared" si="476"/>
        <v/>
      </c>
      <c r="AV477" s="45" t="str">
        <f t="shared" si="476"/>
        <v/>
      </c>
      <c r="AW477" s="45" t="str">
        <f t="shared" si="476"/>
        <v/>
      </c>
      <c r="AX477" s="45" t="str">
        <f t="shared" ref="AX477:CC477" si="477">IF(COUNTIFS($A$479:$A$486,"Activity",$D$479:$D$486,"P",AX$479:AX$486,"&lt;&gt;")=0,"",IFERROR(SUMPRODUCT(--($A$479:$A$486="Activity"),--($D$479:$D$486="P"),$O$479:$O$486,AX$479:AX$486)/SUMPRODUCT(--($A$479:$A$486="Activity"),--($D$479:$D$486="P"),$O$479:$O$486),""))</f>
        <v/>
      </c>
      <c r="AY477" s="45" t="str">
        <f t="shared" si="477"/>
        <v/>
      </c>
      <c r="AZ477" s="45" t="str">
        <f t="shared" si="477"/>
        <v/>
      </c>
      <c r="BA477" s="45" t="str">
        <f t="shared" si="477"/>
        <v/>
      </c>
      <c r="BB477" s="45" t="str">
        <f t="shared" si="477"/>
        <v/>
      </c>
      <c r="BC477" s="45" t="str">
        <f t="shared" si="477"/>
        <v/>
      </c>
      <c r="BD477" s="45" t="str">
        <f t="shared" si="477"/>
        <v/>
      </c>
      <c r="BE477" s="45" t="str">
        <f t="shared" si="477"/>
        <v/>
      </c>
      <c r="BF477" s="45" t="str">
        <f t="shared" si="477"/>
        <v/>
      </c>
      <c r="BG477" s="45" t="str">
        <f t="shared" si="477"/>
        <v/>
      </c>
      <c r="BH477" s="45" t="str">
        <f t="shared" si="477"/>
        <v/>
      </c>
      <c r="BI477" s="45" t="str">
        <f t="shared" si="477"/>
        <v/>
      </c>
      <c r="BJ477" s="45" t="str">
        <f t="shared" si="477"/>
        <v/>
      </c>
      <c r="BK477" s="45" t="str">
        <f t="shared" si="477"/>
        <v/>
      </c>
      <c r="BL477" s="45" t="str">
        <f t="shared" si="477"/>
        <v/>
      </c>
      <c r="BM477" s="45" t="str">
        <f t="shared" si="477"/>
        <v/>
      </c>
      <c r="BN477" s="45" t="str">
        <f t="shared" si="477"/>
        <v/>
      </c>
      <c r="BO477" s="45" t="str">
        <f t="shared" si="477"/>
        <v/>
      </c>
      <c r="BP477" s="45" t="str">
        <f t="shared" si="477"/>
        <v/>
      </c>
      <c r="BQ477" s="45" t="str">
        <f t="shared" si="477"/>
        <v/>
      </c>
      <c r="BR477" s="45" t="str">
        <f t="shared" si="477"/>
        <v/>
      </c>
      <c r="BS477" s="45" t="str">
        <f t="shared" si="477"/>
        <v/>
      </c>
      <c r="BT477" s="45">
        <f t="shared" si="477"/>
        <v>5.1741803278688533E-2</v>
      </c>
      <c r="BU477" s="45">
        <f t="shared" si="477"/>
        <v>7.2438524590163922E-2</v>
      </c>
      <c r="BV477" s="45">
        <f t="shared" si="477"/>
        <v>7.2438524590163922E-2</v>
      </c>
      <c r="BW477" s="45">
        <f t="shared" si="477"/>
        <v>7.2438524590163922E-2</v>
      </c>
      <c r="BX477" s="45">
        <f t="shared" si="477"/>
        <v>7.2438524590163922E-2</v>
      </c>
      <c r="BY477" s="45">
        <f t="shared" si="477"/>
        <v>7.2438524590163922E-2</v>
      </c>
      <c r="BZ477" s="45">
        <f t="shared" si="477"/>
        <v>2.8688524590163925E-2</v>
      </c>
      <c r="CA477" s="45">
        <f t="shared" si="477"/>
        <v>9.7257250945775517E-2</v>
      </c>
      <c r="CB477" s="45">
        <f t="shared" si="477"/>
        <v>0.12468474148802014</v>
      </c>
      <c r="CC477" s="45">
        <f t="shared" si="477"/>
        <v>9.5996216897856229E-2</v>
      </c>
      <c r="CD477" s="45">
        <f t="shared" ref="CD477:CO477" si="478">IF(COUNTIFS($A$479:$A$486,"Activity",$D$479:$D$486,"P",CD$479:CD$486,"&lt;&gt;")=0,"",IFERROR(SUMPRODUCT(--($A$479:$A$486="Activity"),--($D$479:$D$486="P"),$O$479:$O$486,CD$479:CD$486)/SUMPRODUCT(--($A$479:$A$486="Activity"),--($D$479:$D$486="P"),$O$479:$O$486),""))</f>
        <v>9.5996216897856229E-2</v>
      </c>
      <c r="CE477" s="45">
        <f t="shared" si="478"/>
        <v>2.8688524590163925E-2</v>
      </c>
      <c r="CF477" s="45">
        <f t="shared" si="478"/>
        <v>2.8688524590163925E-2</v>
      </c>
      <c r="CG477" s="45">
        <f t="shared" si="478"/>
        <v>2.8688524590163925E-2</v>
      </c>
      <c r="CH477" s="45">
        <f t="shared" si="478"/>
        <v>2.8688524590163925E-2</v>
      </c>
      <c r="CI477" s="45">
        <f t="shared" si="478"/>
        <v>2.86885245901639E-2</v>
      </c>
      <c r="CJ477" s="45" t="str">
        <f t="shared" si="478"/>
        <v/>
      </c>
      <c r="CK477" s="45" t="str">
        <f t="shared" si="478"/>
        <v/>
      </c>
      <c r="CL477" s="45" t="str">
        <f t="shared" si="478"/>
        <v/>
      </c>
      <c r="CM477" s="45" t="str">
        <f t="shared" si="478"/>
        <v/>
      </c>
      <c r="CN477" s="45" t="str">
        <f t="shared" si="478"/>
        <v/>
      </c>
      <c r="CO477" s="45" t="str">
        <f t="shared" si="478"/>
        <v/>
      </c>
    </row>
    <row r="478" spans="1:93" outlineLevel="1" x14ac:dyDescent="0.25">
      <c r="A478" s="1"/>
      <c r="B478" s="1"/>
      <c r="C478" s="2"/>
      <c r="D478" s="8" t="s">
        <v>111</v>
      </c>
      <c r="E478" s="1"/>
      <c r="F478" s="1"/>
      <c r="G478" s="1"/>
      <c r="H478" s="1"/>
      <c r="I478" s="9"/>
      <c r="J478" s="9"/>
      <c r="K478" s="9"/>
      <c r="L478" s="9"/>
      <c r="M478" s="3" t="str">
        <f t="shared" si="451"/>
        <v/>
      </c>
      <c r="N478" s="3"/>
      <c r="O478" s="46">
        <f>O477</f>
        <v>400000</v>
      </c>
      <c r="P478" s="4"/>
      <c r="Q478" s="5"/>
      <c r="R478" s="45" t="str">
        <f t="shared" ref="R478:AW478" si="479">IF(COUNTIFS($E$479:$E$486,"&lt;&gt;",$D$479:$D$486,"A",R$479:R$486,"&lt;&gt;")=0,"",IFERROR(SUMPRODUCT(--($E$479:$E$486&lt;&gt;""),--($D$479:$D$486="A"),$O$479:$O$486,R$479:R$486)/SUMPRODUCT(--($E$479:$E$486&lt;&gt;""),--($D$479:$D$486="A"),$O$479:$O$486),""))</f>
        <v/>
      </c>
      <c r="S478" s="45" t="str">
        <f t="shared" si="479"/>
        <v/>
      </c>
      <c r="T478" s="45" t="str">
        <f t="shared" si="479"/>
        <v/>
      </c>
      <c r="U478" s="45" t="str">
        <f t="shared" si="479"/>
        <v/>
      </c>
      <c r="V478" s="45" t="str">
        <f t="shared" si="479"/>
        <v/>
      </c>
      <c r="W478" s="45" t="str">
        <f t="shared" si="479"/>
        <v/>
      </c>
      <c r="X478" s="45" t="str">
        <f t="shared" si="479"/>
        <v/>
      </c>
      <c r="Y478" s="45" t="str">
        <f t="shared" si="479"/>
        <v/>
      </c>
      <c r="Z478" s="45" t="str">
        <f t="shared" si="479"/>
        <v/>
      </c>
      <c r="AA478" s="45" t="str">
        <f t="shared" si="479"/>
        <v/>
      </c>
      <c r="AB478" s="45" t="str">
        <f t="shared" si="479"/>
        <v/>
      </c>
      <c r="AC478" s="45" t="str">
        <f t="shared" si="479"/>
        <v/>
      </c>
      <c r="AD478" s="45" t="str">
        <f t="shared" si="479"/>
        <v/>
      </c>
      <c r="AE478" s="45" t="str">
        <f t="shared" si="479"/>
        <v/>
      </c>
      <c r="AF478" s="45" t="str">
        <f t="shared" si="479"/>
        <v/>
      </c>
      <c r="AG478" s="45" t="str">
        <f t="shared" si="479"/>
        <v/>
      </c>
      <c r="AH478" s="45" t="str">
        <f t="shared" si="479"/>
        <v/>
      </c>
      <c r="AI478" s="45" t="str">
        <f t="shared" si="479"/>
        <v/>
      </c>
      <c r="AJ478" s="45" t="str">
        <f t="shared" si="479"/>
        <v/>
      </c>
      <c r="AK478" s="45" t="str">
        <f t="shared" si="479"/>
        <v/>
      </c>
      <c r="AL478" s="45" t="str">
        <f t="shared" si="479"/>
        <v/>
      </c>
      <c r="AM478" s="45" t="str">
        <f t="shared" si="479"/>
        <v/>
      </c>
      <c r="AN478" s="45" t="str">
        <f t="shared" si="479"/>
        <v/>
      </c>
      <c r="AO478" s="45" t="str">
        <f t="shared" si="479"/>
        <v/>
      </c>
      <c r="AP478" s="45" t="str">
        <f t="shared" si="479"/>
        <v/>
      </c>
      <c r="AQ478" s="45" t="str">
        <f t="shared" si="479"/>
        <v/>
      </c>
      <c r="AR478" s="45" t="str">
        <f t="shared" si="479"/>
        <v/>
      </c>
      <c r="AS478" s="45" t="str">
        <f t="shared" si="479"/>
        <v/>
      </c>
      <c r="AT478" s="45" t="str">
        <f t="shared" si="479"/>
        <v/>
      </c>
      <c r="AU478" s="45" t="str">
        <f t="shared" si="479"/>
        <v/>
      </c>
      <c r="AV478" s="45" t="str">
        <f t="shared" si="479"/>
        <v/>
      </c>
      <c r="AW478" s="45" t="str">
        <f t="shared" si="479"/>
        <v/>
      </c>
      <c r="AX478" s="45" t="str">
        <f t="shared" ref="AX478:CC478" si="480">IF(COUNTIFS($E$479:$E$486,"&lt;&gt;",$D$479:$D$486,"A",AX$479:AX$486,"&lt;&gt;")=0,"",IFERROR(SUMPRODUCT(--($E$479:$E$486&lt;&gt;""),--($D$479:$D$486="A"),$O$479:$O$486,AX$479:AX$486)/SUMPRODUCT(--($E$479:$E$486&lt;&gt;""),--($D$479:$D$486="A"),$O$479:$O$486),""))</f>
        <v/>
      </c>
      <c r="AY478" s="45" t="str">
        <f t="shared" si="480"/>
        <v/>
      </c>
      <c r="AZ478" s="45" t="str">
        <f t="shared" si="480"/>
        <v/>
      </c>
      <c r="BA478" s="45" t="str">
        <f t="shared" si="480"/>
        <v/>
      </c>
      <c r="BB478" s="45" t="str">
        <f t="shared" si="480"/>
        <v/>
      </c>
      <c r="BC478" s="45" t="str">
        <f t="shared" si="480"/>
        <v/>
      </c>
      <c r="BD478" s="45" t="str">
        <f t="shared" si="480"/>
        <v/>
      </c>
      <c r="BE478" s="45" t="str">
        <f t="shared" si="480"/>
        <v/>
      </c>
      <c r="BF478" s="45" t="str">
        <f t="shared" si="480"/>
        <v/>
      </c>
      <c r="BG478" s="45" t="str">
        <f t="shared" si="480"/>
        <v/>
      </c>
      <c r="BH478" s="45" t="str">
        <f t="shared" si="480"/>
        <v/>
      </c>
      <c r="BI478" s="45" t="str">
        <f t="shared" si="480"/>
        <v/>
      </c>
      <c r="BJ478" s="45" t="str">
        <f t="shared" si="480"/>
        <v/>
      </c>
      <c r="BK478" s="45" t="str">
        <f t="shared" si="480"/>
        <v/>
      </c>
      <c r="BL478" s="45" t="str">
        <f t="shared" si="480"/>
        <v/>
      </c>
      <c r="BM478" s="45" t="str">
        <f t="shared" si="480"/>
        <v/>
      </c>
      <c r="BN478" s="45" t="str">
        <f t="shared" si="480"/>
        <v/>
      </c>
      <c r="BO478" s="45" t="str">
        <f t="shared" si="480"/>
        <v/>
      </c>
      <c r="BP478" s="45" t="str">
        <f t="shared" si="480"/>
        <v/>
      </c>
      <c r="BQ478" s="45" t="str">
        <f t="shared" si="480"/>
        <v/>
      </c>
      <c r="BR478" s="45" t="str">
        <f t="shared" si="480"/>
        <v/>
      </c>
      <c r="BS478" s="45" t="str">
        <f t="shared" si="480"/>
        <v/>
      </c>
      <c r="BT478" s="45" t="str">
        <f t="shared" si="480"/>
        <v/>
      </c>
      <c r="BU478" s="45" t="str">
        <f t="shared" si="480"/>
        <v/>
      </c>
      <c r="BV478" s="45" t="str">
        <f t="shared" si="480"/>
        <v/>
      </c>
      <c r="BW478" s="45" t="str">
        <f t="shared" si="480"/>
        <v/>
      </c>
      <c r="BX478" s="45" t="str">
        <f t="shared" si="480"/>
        <v/>
      </c>
      <c r="BY478" s="45" t="str">
        <f t="shared" si="480"/>
        <v/>
      </c>
      <c r="BZ478" s="45" t="str">
        <f t="shared" si="480"/>
        <v/>
      </c>
      <c r="CA478" s="45" t="str">
        <f t="shared" si="480"/>
        <v/>
      </c>
      <c r="CB478" s="45" t="str">
        <f t="shared" si="480"/>
        <v/>
      </c>
      <c r="CC478" s="45" t="str">
        <f t="shared" si="480"/>
        <v/>
      </c>
      <c r="CD478" s="45" t="str">
        <f t="shared" ref="CD478:CO478" si="481">IF(COUNTIFS($E$479:$E$486,"&lt;&gt;",$D$479:$D$486,"A",CD$479:CD$486,"&lt;&gt;")=0,"",IFERROR(SUMPRODUCT(--($E$479:$E$486&lt;&gt;""),--($D$479:$D$486="A"),$O$479:$O$486,CD$479:CD$486)/SUMPRODUCT(--($E$479:$E$486&lt;&gt;""),--($D$479:$D$486="A"),$O$479:$O$486),""))</f>
        <v/>
      </c>
      <c r="CE478" s="45" t="str">
        <f t="shared" si="481"/>
        <v/>
      </c>
      <c r="CF478" s="45" t="str">
        <f t="shared" si="481"/>
        <v/>
      </c>
      <c r="CG478" s="45" t="str">
        <f t="shared" si="481"/>
        <v/>
      </c>
      <c r="CH478" s="45" t="str">
        <f t="shared" si="481"/>
        <v/>
      </c>
      <c r="CI478" s="45" t="str">
        <f t="shared" si="481"/>
        <v/>
      </c>
      <c r="CJ478" s="45" t="str">
        <f t="shared" si="481"/>
        <v/>
      </c>
      <c r="CK478" s="45" t="str">
        <f t="shared" si="481"/>
        <v/>
      </c>
      <c r="CL478" s="45" t="str">
        <f t="shared" si="481"/>
        <v/>
      </c>
      <c r="CM478" s="45" t="str">
        <f t="shared" si="481"/>
        <v/>
      </c>
      <c r="CN478" s="45" t="str">
        <f t="shared" si="481"/>
        <v/>
      </c>
      <c r="CO478" s="45" t="str">
        <f t="shared" si="481"/>
        <v/>
      </c>
    </row>
    <row r="479" spans="1:93" outlineLevel="2" x14ac:dyDescent="0.25">
      <c r="A479" s="10" t="s">
        <v>116</v>
      </c>
      <c r="B479" s="10" t="s">
        <v>641</v>
      </c>
      <c r="C479" s="26" t="s">
        <v>642</v>
      </c>
      <c r="D479" s="12" t="s">
        <v>110</v>
      </c>
      <c r="E479" s="10" t="s">
        <v>643</v>
      </c>
      <c r="F479" s="10">
        <v>237</v>
      </c>
      <c r="G479" s="10">
        <v>237</v>
      </c>
      <c r="H479" s="10">
        <v>2</v>
      </c>
      <c r="I479" s="13">
        <v>46468.333333333343</v>
      </c>
      <c r="J479" s="13">
        <v>46528.666666666657</v>
      </c>
      <c r="K479" s="13"/>
      <c r="L479" s="13"/>
      <c r="M479" s="14">
        <f t="shared" si="451"/>
        <v>0.99999999999999956</v>
      </c>
      <c r="N479" s="14"/>
      <c r="O479" s="16">
        <v>100000</v>
      </c>
      <c r="P479" s="15">
        <v>0.8</v>
      </c>
      <c r="Q479" s="16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>
        <v>8.1967213114754106E-2</v>
      </c>
      <c r="CB479" s="47">
        <v>0.1147540983606557</v>
      </c>
      <c r="CC479" s="47">
        <v>0.1147540983606557</v>
      </c>
      <c r="CD479" s="47">
        <v>0.1147540983606557</v>
      </c>
      <c r="CE479" s="47">
        <v>0.1147540983606557</v>
      </c>
      <c r="CF479" s="47">
        <v>0.1147540983606557</v>
      </c>
      <c r="CG479" s="47">
        <v>0.1147540983606557</v>
      </c>
      <c r="CH479" s="47">
        <v>0.1147540983606557</v>
      </c>
      <c r="CI479" s="47">
        <v>0.1147540983606556</v>
      </c>
      <c r="CJ479" s="47"/>
      <c r="CK479" s="47"/>
      <c r="CL479" s="47"/>
      <c r="CM479" s="47"/>
      <c r="CN479" s="47"/>
      <c r="CO479" s="47"/>
    </row>
    <row r="480" spans="1:93" outlineLevel="2" x14ac:dyDescent="0.25">
      <c r="A480" s="17"/>
      <c r="B480" s="17"/>
      <c r="C480" s="27"/>
      <c r="D480" s="19" t="s">
        <v>111</v>
      </c>
      <c r="E480" s="17" t="s">
        <v>643</v>
      </c>
      <c r="F480" s="17"/>
      <c r="G480" s="17"/>
      <c r="H480" s="17"/>
      <c r="I480" s="20"/>
      <c r="J480" s="20"/>
      <c r="K480" s="20"/>
      <c r="L480" s="20"/>
      <c r="M480" s="21" t="str">
        <f t="shared" si="451"/>
        <v/>
      </c>
      <c r="N480" s="21">
        <v>0</v>
      </c>
      <c r="O480" s="48">
        <f>O479</f>
        <v>100000</v>
      </c>
      <c r="P480" s="22"/>
      <c r="Q480" s="23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  <c r="CO480" s="47"/>
    </row>
    <row r="481" spans="1:93" outlineLevel="2" x14ac:dyDescent="0.25">
      <c r="A481" s="10" t="s">
        <v>116</v>
      </c>
      <c r="B481" s="10" t="s">
        <v>644</v>
      </c>
      <c r="C481" s="26" t="s">
        <v>645</v>
      </c>
      <c r="D481" s="12" t="s">
        <v>110</v>
      </c>
      <c r="E481" s="10" t="s">
        <v>646</v>
      </c>
      <c r="F481" s="10">
        <v>238</v>
      </c>
      <c r="G481" s="10">
        <v>238</v>
      </c>
      <c r="H481" s="10">
        <v>2</v>
      </c>
      <c r="I481" s="13">
        <v>46419.333333333343</v>
      </c>
      <c r="J481" s="13">
        <v>46479.666666666657</v>
      </c>
      <c r="K481" s="13"/>
      <c r="L481" s="13"/>
      <c r="M481" s="14">
        <f t="shared" si="451"/>
        <v>0.99999999999999956</v>
      </c>
      <c r="N481" s="14"/>
      <c r="O481" s="16">
        <v>100000</v>
      </c>
      <c r="P481" s="15">
        <v>4.1333333333333337</v>
      </c>
      <c r="Q481" s="16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>
        <v>8.1967213114754106E-2</v>
      </c>
      <c r="BU481" s="47">
        <v>0.1147540983606557</v>
      </c>
      <c r="BV481" s="47">
        <v>0.1147540983606557</v>
      </c>
      <c r="BW481" s="47">
        <v>0.1147540983606557</v>
      </c>
      <c r="BX481" s="47">
        <v>0.1147540983606557</v>
      </c>
      <c r="BY481" s="47">
        <v>0.1147540983606557</v>
      </c>
      <c r="BZ481" s="47">
        <v>0.1147540983606557</v>
      </c>
      <c r="CA481" s="47">
        <v>0.1147540983606557</v>
      </c>
      <c r="CB481" s="47">
        <v>0.1147540983606556</v>
      </c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  <c r="CO481" s="47"/>
    </row>
    <row r="482" spans="1:93" outlineLevel="2" x14ac:dyDescent="0.25">
      <c r="A482" s="17"/>
      <c r="B482" s="17"/>
      <c r="C482" s="27"/>
      <c r="D482" s="19" t="s">
        <v>111</v>
      </c>
      <c r="E482" s="17" t="s">
        <v>646</v>
      </c>
      <c r="F482" s="17"/>
      <c r="G482" s="17"/>
      <c r="H482" s="17"/>
      <c r="I482" s="20"/>
      <c r="J482" s="20"/>
      <c r="K482" s="20"/>
      <c r="L482" s="20"/>
      <c r="M482" s="21" t="str">
        <f t="shared" si="451"/>
        <v/>
      </c>
      <c r="N482" s="21">
        <v>0</v>
      </c>
      <c r="O482" s="48">
        <f>O481</f>
        <v>100000</v>
      </c>
      <c r="P482" s="22"/>
      <c r="Q482" s="23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  <c r="CO482" s="47"/>
    </row>
    <row r="483" spans="1:93" outlineLevel="2" x14ac:dyDescent="0.25">
      <c r="A483" s="10" t="s">
        <v>116</v>
      </c>
      <c r="B483" s="10" t="s">
        <v>647</v>
      </c>
      <c r="C483" s="26" t="s">
        <v>648</v>
      </c>
      <c r="D483" s="12" t="s">
        <v>110</v>
      </c>
      <c r="E483" s="10" t="s">
        <v>649</v>
      </c>
      <c r="F483" s="10">
        <v>239</v>
      </c>
      <c r="G483" s="10">
        <v>239</v>
      </c>
      <c r="H483" s="10">
        <v>2</v>
      </c>
      <c r="I483" s="13">
        <v>46419.333333333343</v>
      </c>
      <c r="J483" s="13">
        <v>46458.666666666657</v>
      </c>
      <c r="K483" s="13"/>
      <c r="L483" s="13"/>
      <c r="M483" s="14">
        <f t="shared" si="451"/>
        <v>1</v>
      </c>
      <c r="N483" s="14"/>
      <c r="O483" s="16">
        <v>100000</v>
      </c>
      <c r="P483" s="15">
        <v>7.4666666666666668</v>
      </c>
      <c r="Q483" s="16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>
        <v>0.125</v>
      </c>
      <c r="BU483" s="47">
        <v>0.17499999999999999</v>
      </c>
      <c r="BV483" s="47">
        <v>0.17499999999999999</v>
      </c>
      <c r="BW483" s="47">
        <v>0.17499999999999999</v>
      </c>
      <c r="BX483" s="47">
        <v>0.17499999999999999</v>
      </c>
      <c r="BY483" s="47">
        <v>0.17499999999999999</v>
      </c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</row>
    <row r="484" spans="1:93" outlineLevel="2" x14ac:dyDescent="0.25">
      <c r="A484" s="17"/>
      <c r="B484" s="17"/>
      <c r="C484" s="27"/>
      <c r="D484" s="19" t="s">
        <v>111</v>
      </c>
      <c r="E484" s="17" t="s">
        <v>649</v>
      </c>
      <c r="F484" s="17"/>
      <c r="G484" s="17"/>
      <c r="H484" s="17"/>
      <c r="I484" s="20"/>
      <c r="J484" s="20"/>
      <c r="K484" s="20"/>
      <c r="L484" s="20"/>
      <c r="M484" s="21" t="str">
        <f t="shared" si="451"/>
        <v/>
      </c>
      <c r="N484" s="21">
        <v>0</v>
      </c>
      <c r="O484" s="48">
        <f>O483</f>
        <v>100000</v>
      </c>
      <c r="P484" s="22"/>
      <c r="Q484" s="23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  <c r="CO484" s="47"/>
    </row>
    <row r="485" spans="1:93" outlineLevel="2" x14ac:dyDescent="0.25">
      <c r="A485" s="10" t="s">
        <v>116</v>
      </c>
      <c r="B485" s="10" t="s">
        <v>650</v>
      </c>
      <c r="C485" s="26" t="s">
        <v>651</v>
      </c>
      <c r="D485" s="12" t="s">
        <v>110</v>
      </c>
      <c r="E485" s="10" t="s">
        <v>652</v>
      </c>
      <c r="F485" s="10">
        <v>240</v>
      </c>
      <c r="G485" s="10">
        <v>240</v>
      </c>
      <c r="H485" s="10">
        <v>2</v>
      </c>
      <c r="I485" s="13">
        <v>46468.333333333343</v>
      </c>
      <c r="J485" s="13">
        <v>46493.666666666657</v>
      </c>
      <c r="K485" s="13"/>
      <c r="L485" s="13"/>
      <c r="M485" s="14">
        <f t="shared" si="451"/>
        <v>1</v>
      </c>
      <c r="N485" s="14"/>
      <c r="O485" s="16">
        <v>100000</v>
      </c>
      <c r="P485" s="15">
        <v>4.1333333333333337</v>
      </c>
      <c r="Q485" s="16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>
        <v>0.19230769230769229</v>
      </c>
      <c r="CB485" s="47">
        <v>0.26923076923076922</v>
      </c>
      <c r="CC485" s="47">
        <v>0.26923076923076922</v>
      </c>
      <c r="CD485" s="47">
        <v>0.26923076923076922</v>
      </c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  <c r="CO485" s="47"/>
    </row>
    <row r="486" spans="1:93" outlineLevel="2" x14ac:dyDescent="0.25">
      <c r="A486" s="17"/>
      <c r="B486" s="17"/>
      <c r="C486" s="27"/>
      <c r="D486" s="19" t="s">
        <v>111</v>
      </c>
      <c r="E486" s="17" t="s">
        <v>652</v>
      </c>
      <c r="F486" s="17"/>
      <c r="G486" s="17"/>
      <c r="H486" s="17"/>
      <c r="I486" s="20"/>
      <c r="J486" s="20"/>
      <c r="K486" s="20"/>
      <c r="L486" s="20"/>
      <c r="M486" s="21" t="str">
        <f t="shared" si="451"/>
        <v/>
      </c>
      <c r="N486" s="21">
        <v>0</v>
      </c>
      <c r="O486" s="48">
        <f>O485</f>
        <v>100000</v>
      </c>
      <c r="P486" s="22"/>
      <c r="Q486" s="23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  <c r="CO486" s="47"/>
    </row>
    <row r="487" spans="1:93" outlineLevel="1" x14ac:dyDescent="0.25">
      <c r="A487" s="1" t="s">
        <v>92</v>
      </c>
      <c r="B487" s="1" t="s">
        <v>653</v>
      </c>
      <c r="C487" s="2" t="s">
        <v>654</v>
      </c>
      <c r="D487" s="8" t="s">
        <v>110</v>
      </c>
      <c r="E487" s="1"/>
      <c r="F487" s="1">
        <v>241</v>
      </c>
      <c r="G487" s="1">
        <v>241</v>
      </c>
      <c r="H487" s="1">
        <v>1</v>
      </c>
      <c r="I487" s="9">
        <v>46325.333333333343</v>
      </c>
      <c r="J487" s="9">
        <v>46534.666666666657</v>
      </c>
      <c r="K487" s="9"/>
      <c r="L487" s="9"/>
      <c r="M487" s="3">
        <f t="shared" si="451"/>
        <v>1.0000000000000002</v>
      </c>
      <c r="N487" s="3"/>
      <c r="O487" s="5">
        <f>SUMIFS($O$488:$O$513,$A$488:$A$513,"Activity",$D$488:$D$513,"P")</f>
        <v>1000000</v>
      </c>
      <c r="P487" s="4"/>
      <c r="Q487" s="5"/>
      <c r="R487" s="45" t="str">
        <f t="shared" ref="R487:AW487" si="482">IF(COUNTIFS($A$489:$A$514,"Activity",$D$489:$D$514,"P",R$489:R$514,"&lt;&gt;")=0,"",IFERROR(SUMPRODUCT(--($A$489:$A$514="Activity"),--($D$489:$D$514="P"),$O$489:$O$514,R$489:R$514)/SUMPRODUCT(--($A$489:$A$514="Activity"),--($D$489:$D$514="P"),$O$489:$O$514),""))</f>
        <v/>
      </c>
      <c r="S487" s="45" t="str">
        <f t="shared" si="482"/>
        <v/>
      </c>
      <c r="T487" s="45" t="str">
        <f t="shared" si="482"/>
        <v/>
      </c>
      <c r="U487" s="45" t="str">
        <f t="shared" si="482"/>
        <v/>
      </c>
      <c r="V487" s="45" t="str">
        <f t="shared" si="482"/>
        <v/>
      </c>
      <c r="W487" s="45" t="str">
        <f t="shared" si="482"/>
        <v/>
      </c>
      <c r="X487" s="45" t="str">
        <f t="shared" si="482"/>
        <v/>
      </c>
      <c r="Y487" s="45" t="str">
        <f t="shared" si="482"/>
        <v/>
      </c>
      <c r="Z487" s="45" t="str">
        <f t="shared" si="482"/>
        <v/>
      </c>
      <c r="AA487" s="45" t="str">
        <f t="shared" si="482"/>
        <v/>
      </c>
      <c r="AB487" s="45" t="str">
        <f t="shared" si="482"/>
        <v/>
      </c>
      <c r="AC487" s="45" t="str">
        <f t="shared" si="482"/>
        <v/>
      </c>
      <c r="AD487" s="45" t="str">
        <f t="shared" si="482"/>
        <v/>
      </c>
      <c r="AE487" s="45" t="str">
        <f t="shared" si="482"/>
        <v/>
      </c>
      <c r="AF487" s="45" t="str">
        <f t="shared" si="482"/>
        <v/>
      </c>
      <c r="AG487" s="45" t="str">
        <f t="shared" si="482"/>
        <v/>
      </c>
      <c r="AH487" s="45" t="str">
        <f t="shared" si="482"/>
        <v/>
      </c>
      <c r="AI487" s="45" t="str">
        <f t="shared" si="482"/>
        <v/>
      </c>
      <c r="AJ487" s="45" t="str">
        <f t="shared" si="482"/>
        <v/>
      </c>
      <c r="AK487" s="45" t="str">
        <f t="shared" si="482"/>
        <v/>
      </c>
      <c r="AL487" s="45" t="str">
        <f t="shared" si="482"/>
        <v/>
      </c>
      <c r="AM487" s="45" t="str">
        <f t="shared" si="482"/>
        <v/>
      </c>
      <c r="AN487" s="45" t="str">
        <f t="shared" si="482"/>
        <v/>
      </c>
      <c r="AO487" s="45" t="str">
        <f t="shared" si="482"/>
        <v/>
      </c>
      <c r="AP487" s="45" t="str">
        <f t="shared" si="482"/>
        <v/>
      </c>
      <c r="AQ487" s="45" t="str">
        <f t="shared" si="482"/>
        <v/>
      </c>
      <c r="AR487" s="45" t="str">
        <f t="shared" si="482"/>
        <v/>
      </c>
      <c r="AS487" s="45" t="str">
        <f t="shared" si="482"/>
        <v/>
      </c>
      <c r="AT487" s="45" t="str">
        <f t="shared" si="482"/>
        <v/>
      </c>
      <c r="AU487" s="45" t="str">
        <f t="shared" si="482"/>
        <v/>
      </c>
      <c r="AV487" s="45" t="str">
        <f t="shared" si="482"/>
        <v/>
      </c>
      <c r="AW487" s="45" t="str">
        <f t="shared" si="482"/>
        <v/>
      </c>
      <c r="AX487" s="45" t="str">
        <f t="shared" ref="AX487:CC487" si="483">IF(COUNTIFS($A$489:$A$514,"Activity",$D$489:$D$514,"P",AX$489:AX$514,"&lt;&gt;")=0,"",IFERROR(SUMPRODUCT(--($A$489:$A$514="Activity"),--($D$489:$D$514="P"),$O$489:$O$514,AX$489:AX$514)/SUMPRODUCT(--($A$489:$A$514="Activity"),--($D$489:$D$514="P"),$O$489:$O$514),""))</f>
        <v/>
      </c>
      <c r="AY487" s="45" t="str">
        <f t="shared" si="483"/>
        <v/>
      </c>
      <c r="AZ487" s="45" t="str">
        <f t="shared" si="483"/>
        <v/>
      </c>
      <c r="BA487" s="45" t="str">
        <f t="shared" si="483"/>
        <v/>
      </c>
      <c r="BB487" s="45" t="str">
        <f t="shared" si="483"/>
        <v/>
      </c>
      <c r="BC487" s="45" t="str">
        <f t="shared" si="483"/>
        <v/>
      </c>
      <c r="BD487" s="45" t="str">
        <f t="shared" si="483"/>
        <v/>
      </c>
      <c r="BE487" s="45" t="str">
        <f t="shared" si="483"/>
        <v/>
      </c>
      <c r="BF487" s="45">
        <f t="shared" si="483"/>
        <v>2.3809523809523803E-3</v>
      </c>
      <c r="BG487" s="45">
        <f t="shared" si="483"/>
        <v>1.666666666666667E-2</v>
      </c>
      <c r="BH487" s="45">
        <f t="shared" si="483"/>
        <v>1.666666666666667E-2</v>
      </c>
      <c r="BI487" s="45">
        <f t="shared" si="483"/>
        <v>1.666666666666667E-2</v>
      </c>
      <c r="BJ487" s="45">
        <f t="shared" si="483"/>
        <v>1.666666666666667E-2</v>
      </c>
      <c r="BK487" s="45">
        <f t="shared" si="483"/>
        <v>1.666666666666667E-2</v>
      </c>
      <c r="BL487" s="45">
        <f t="shared" si="483"/>
        <v>1.5306122448979604E-2</v>
      </c>
      <c r="BM487" s="45">
        <f t="shared" si="483"/>
        <v>7.1428571428571426E-3</v>
      </c>
      <c r="BN487" s="45">
        <f t="shared" si="483"/>
        <v>7.1428571428571426E-3</v>
      </c>
      <c r="BO487" s="45">
        <f t="shared" si="483"/>
        <v>7.1428571428571426E-3</v>
      </c>
      <c r="BP487" s="45">
        <f t="shared" si="483"/>
        <v>7.1428571428571426E-3</v>
      </c>
      <c r="BQ487" s="45">
        <f t="shared" si="483"/>
        <v>1.5339578454332554E-2</v>
      </c>
      <c r="BR487" s="45">
        <f t="shared" si="483"/>
        <v>1.8618266978922712E-2</v>
      </c>
      <c r="BS487" s="45">
        <f t="shared" si="483"/>
        <v>1.8618266978922712E-2</v>
      </c>
      <c r="BT487" s="45">
        <f t="shared" si="483"/>
        <v>1.8618266978922712E-2</v>
      </c>
      <c r="BU487" s="45">
        <f t="shared" si="483"/>
        <v>6.0284933645589373E-2</v>
      </c>
      <c r="BV487" s="45">
        <f t="shared" si="483"/>
        <v>7.6951600312256049E-2</v>
      </c>
      <c r="BW487" s="45">
        <f t="shared" si="483"/>
        <v>1.8618266978922712E-2</v>
      </c>
      <c r="BX487" s="45">
        <f t="shared" si="483"/>
        <v>1.8618266978922712E-2</v>
      </c>
      <c r="BY487" s="45">
        <f t="shared" si="483"/>
        <v>6.0284933645589366E-2</v>
      </c>
      <c r="BZ487" s="45">
        <f t="shared" si="483"/>
        <v>6.6430801828928326E-2</v>
      </c>
      <c r="CA487" s="45">
        <f t="shared" si="483"/>
        <v>1.7650273224043719E-2</v>
      </c>
      <c r="CB487" s="45">
        <f t="shared" si="483"/>
        <v>2.1475409836065568E-2</v>
      </c>
      <c r="CC487" s="45">
        <f t="shared" si="483"/>
        <v>6.6967213114754093E-2</v>
      </c>
      <c r="CD487" s="45">
        <f t="shared" ref="CD487:CO487" si="484">IF(COUNTIFS($A$489:$A$514,"Activity",$D$489:$D$514,"P",CD$489:CD$514,"&lt;&gt;")=0,"",IFERROR(SUMPRODUCT(--($A$489:$A$514="Activity"),--($D$489:$D$514="P"),$O$489:$O$514,CD$489:CD$514)/SUMPRODUCT(--($A$489:$A$514="Activity"),--($D$489:$D$514="P"),$O$489:$O$514),""))</f>
        <v>8.7459016393442626E-2</v>
      </c>
      <c r="CE487" s="45">
        <f t="shared" si="484"/>
        <v>3.2950819672131156E-2</v>
      </c>
      <c r="CF487" s="45">
        <f t="shared" si="484"/>
        <v>4.0093676814988287E-2</v>
      </c>
      <c r="CG487" s="45">
        <f t="shared" si="484"/>
        <v>0.10166666666666664</v>
      </c>
      <c r="CH487" s="45">
        <f t="shared" si="484"/>
        <v>0.1111904761904762</v>
      </c>
      <c r="CI487" s="45">
        <f t="shared" si="484"/>
        <v>0.01</v>
      </c>
      <c r="CJ487" s="45">
        <f t="shared" si="484"/>
        <v>8.5714285714285857E-3</v>
      </c>
      <c r="CK487" s="45" t="str">
        <f t="shared" si="484"/>
        <v/>
      </c>
      <c r="CL487" s="45" t="str">
        <f t="shared" si="484"/>
        <v/>
      </c>
      <c r="CM487" s="45" t="str">
        <f t="shared" si="484"/>
        <v/>
      </c>
      <c r="CN487" s="45" t="str">
        <f t="shared" si="484"/>
        <v/>
      </c>
      <c r="CO487" s="45" t="str">
        <f t="shared" si="484"/>
        <v/>
      </c>
    </row>
    <row r="488" spans="1:93" outlineLevel="1" x14ac:dyDescent="0.25">
      <c r="A488" s="1"/>
      <c r="B488" s="1"/>
      <c r="C488" s="2"/>
      <c r="D488" s="8" t="s">
        <v>111</v>
      </c>
      <c r="E488" s="1"/>
      <c r="F488" s="1"/>
      <c r="G488" s="1"/>
      <c r="H488" s="1"/>
      <c r="I488" s="9"/>
      <c r="J488" s="9"/>
      <c r="K488" s="9"/>
      <c r="L488" s="9"/>
      <c r="M488" s="3" t="str">
        <f t="shared" si="451"/>
        <v/>
      </c>
      <c r="N488" s="3"/>
      <c r="O488" s="46">
        <f>O487</f>
        <v>1000000</v>
      </c>
      <c r="P488" s="4"/>
      <c r="Q488" s="5"/>
      <c r="R488" s="45" t="str">
        <f t="shared" ref="R488:AW488" si="485">IF(COUNTIFS($E$489:$E$514,"&lt;&gt;",$D$489:$D$514,"A",R$489:R$514,"&lt;&gt;")=0,"",IFERROR(SUMPRODUCT(--($E$489:$E$514&lt;&gt;""),--($D$489:$D$514="A"),$O$489:$O$514,R$489:R$514)/SUMPRODUCT(--($E$489:$E$514&lt;&gt;""),--($D$489:$D$514="A"),$O$489:$O$514),""))</f>
        <v/>
      </c>
      <c r="S488" s="45" t="str">
        <f t="shared" si="485"/>
        <v/>
      </c>
      <c r="T488" s="45" t="str">
        <f t="shared" si="485"/>
        <v/>
      </c>
      <c r="U488" s="45" t="str">
        <f t="shared" si="485"/>
        <v/>
      </c>
      <c r="V488" s="45" t="str">
        <f t="shared" si="485"/>
        <v/>
      </c>
      <c r="W488" s="45" t="str">
        <f t="shared" si="485"/>
        <v/>
      </c>
      <c r="X488" s="45" t="str">
        <f t="shared" si="485"/>
        <v/>
      </c>
      <c r="Y488" s="45" t="str">
        <f t="shared" si="485"/>
        <v/>
      </c>
      <c r="Z488" s="45" t="str">
        <f t="shared" si="485"/>
        <v/>
      </c>
      <c r="AA488" s="45" t="str">
        <f t="shared" si="485"/>
        <v/>
      </c>
      <c r="AB488" s="45" t="str">
        <f t="shared" si="485"/>
        <v/>
      </c>
      <c r="AC488" s="45" t="str">
        <f t="shared" si="485"/>
        <v/>
      </c>
      <c r="AD488" s="45" t="str">
        <f t="shared" si="485"/>
        <v/>
      </c>
      <c r="AE488" s="45" t="str">
        <f t="shared" si="485"/>
        <v/>
      </c>
      <c r="AF488" s="45" t="str">
        <f t="shared" si="485"/>
        <v/>
      </c>
      <c r="AG488" s="45" t="str">
        <f t="shared" si="485"/>
        <v/>
      </c>
      <c r="AH488" s="45" t="str">
        <f t="shared" si="485"/>
        <v/>
      </c>
      <c r="AI488" s="45" t="str">
        <f t="shared" si="485"/>
        <v/>
      </c>
      <c r="AJ488" s="45" t="str">
        <f t="shared" si="485"/>
        <v/>
      </c>
      <c r="AK488" s="45" t="str">
        <f t="shared" si="485"/>
        <v/>
      </c>
      <c r="AL488" s="45" t="str">
        <f t="shared" si="485"/>
        <v/>
      </c>
      <c r="AM488" s="45" t="str">
        <f t="shared" si="485"/>
        <v/>
      </c>
      <c r="AN488" s="45" t="str">
        <f t="shared" si="485"/>
        <v/>
      </c>
      <c r="AO488" s="45" t="str">
        <f t="shared" si="485"/>
        <v/>
      </c>
      <c r="AP488" s="45" t="str">
        <f t="shared" si="485"/>
        <v/>
      </c>
      <c r="AQ488" s="45" t="str">
        <f t="shared" si="485"/>
        <v/>
      </c>
      <c r="AR488" s="45" t="str">
        <f t="shared" si="485"/>
        <v/>
      </c>
      <c r="AS488" s="45" t="str">
        <f t="shared" si="485"/>
        <v/>
      </c>
      <c r="AT488" s="45" t="str">
        <f t="shared" si="485"/>
        <v/>
      </c>
      <c r="AU488" s="45" t="str">
        <f t="shared" si="485"/>
        <v/>
      </c>
      <c r="AV488" s="45" t="str">
        <f t="shared" si="485"/>
        <v/>
      </c>
      <c r="AW488" s="45" t="str">
        <f t="shared" si="485"/>
        <v/>
      </c>
      <c r="AX488" s="45" t="str">
        <f t="shared" ref="AX488:CC488" si="486">IF(COUNTIFS($E$489:$E$514,"&lt;&gt;",$D$489:$D$514,"A",AX$489:AX$514,"&lt;&gt;")=0,"",IFERROR(SUMPRODUCT(--($E$489:$E$514&lt;&gt;""),--($D$489:$D$514="A"),$O$489:$O$514,AX$489:AX$514)/SUMPRODUCT(--($E$489:$E$514&lt;&gt;""),--($D$489:$D$514="A"),$O$489:$O$514),""))</f>
        <v/>
      </c>
      <c r="AY488" s="45" t="str">
        <f t="shared" si="486"/>
        <v/>
      </c>
      <c r="AZ488" s="45" t="str">
        <f t="shared" si="486"/>
        <v/>
      </c>
      <c r="BA488" s="45" t="str">
        <f t="shared" si="486"/>
        <v/>
      </c>
      <c r="BB488" s="45" t="str">
        <f t="shared" si="486"/>
        <v/>
      </c>
      <c r="BC488" s="45" t="str">
        <f t="shared" si="486"/>
        <v/>
      </c>
      <c r="BD488" s="45" t="str">
        <f t="shared" si="486"/>
        <v/>
      </c>
      <c r="BE488" s="45" t="str">
        <f t="shared" si="486"/>
        <v/>
      </c>
      <c r="BF488" s="45" t="str">
        <f t="shared" si="486"/>
        <v/>
      </c>
      <c r="BG488" s="45" t="str">
        <f t="shared" si="486"/>
        <v/>
      </c>
      <c r="BH488" s="45" t="str">
        <f t="shared" si="486"/>
        <v/>
      </c>
      <c r="BI488" s="45" t="str">
        <f t="shared" si="486"/>
        <v/>
      </c>
      <c r="BJ488" s="45" t="str">
        <f t="shared" si="486"/>
        <v/>
      </c>
      <c r="BK488" s="45" t="str">
        <f t="shared" si="486"/>
        <v/>
      </c>
      <c r="BL488" s="45" t="str">
        <f t="shared" si="486"/>
        <v/>
      </c>
      <c r="BM488" s="45" t="str">
        <f t="shared" si="486"/>
        <v/>
      </c>
      <c r="BN488" s="45" t="str">
        <f t="shared" si="486"/>
        <v/>
      </c>
      <c r="BO488" s="45" t="str">
        <f t="shared" si="486"/>
        <v/>
      </c>
      <c r="BP488" s="45" t="str">
        <f t="shared" si="486"/>
        <v/>
      </c>
      <c r="BQ488" s="45" t="str">
        <f t="shared" si="486"/>
        <v/>
      </c>
      <c r="BR488" s="45" t="str">
        <f t="shared" si="486"/>
        <v/>
      </c>
      <c r="BS488" s="45" t="str">
        <f t="shared" si="486"/>
        <v/>
      </c>
      <c r="BT488" s="45" t="str">
        <f t="shared" si="486"/>
        <v/>
      </c>
      <c r="BU488" s="45" t="str">
        <f t="shared" si="486"/>
        <v/>
      </c>
      <c r="BV488" s="45" t="str">
        <f t="shared" si="486"/>
        <v/>
      </c>
      <c r="BW488" s="45" t="str">
        <f t="shared" si="486"/>
        <v/>
      </c>
      <c r="BX488" s="45" t="str">
        <f t="shared" si="486"/>
        <v/>
      </c>
      <c r="BY488" s="45" t="str">
        <f t="shared" si="486"/>
        <v/>
      </c>
      <c r="BZ488" s="45" t="str">
        <f t="shared" si="486"/>
        <v/>
      </c>
      <c r="CA488" s="45" t="str">
        <f t="shared" si="486"/>
        <v/>
      </c>
      <c r="CB488" s="45" t="str">
        <f t="shared" si="486"/>
        <v/>
      </c>
      <c r="CC488" s="45" t="str">
        <f t="shared" si="486"/>
        <v/>
      </c>
      <c r="CD488" s="45" t="str">
        <f t="shared" ref="CD488:CO488" si="487">IF(COUNTIFS($E$489:$E$514,"&lt;&gt;",$D$489:$D$514,"A",CD$489:CD$514,"&lt;&gt;")=0,"",IFERROR(SUMPRODUCT(--($E$489:$E$514&lt;&gt;""),--($D$489:$D$514="A"),$O$489:$O$514,CD$489:CD$514)/SUMPRODUCT(--($E$489:$E$514&lt;&gt;""),--($D$489:$D$514="A"),$O$489:$O$514),""))</f>
        <v/>
      </c>
      <c r="CE488" s="45" t="str">
        <f t="shared" si="487"/>
        <v/>
      </c>
      <c r="CF488" s="45" t="str">
        <f t="shared" si="487"/>
        <v/>
      </c>
      <c r="CG488" s="45" t="str">
        <f t="shared" si="487"/>
        <v/>
      </c>
      <c r="CH488" s="45" t="str">
        <f t="shared" si="487"/>
        <v/>
      </c>
      <c r="CI488" s="45" t="str">
        <f t="shared" si="487"/>
        <v/>
      </c>
      <c r="CJ488" s="45" t="str">
        <f t="shared" si="487"/>
        <v/>
      </c>
      <c r="CK488" s="45" t="str">
        <f t="shared" si="487"/>
        <v/>
      </c>
      <c r="CL488" s="45" t="str">
        <f t="shared" si="487"/>
        <v/>
      </c>
      <c r="CM488" s="45" t="str">
        <f t="shared" si="487"/>
        <v/>
      </c>
      <c r="CN488" s="45" t="str">
        <f t="shared" si="487"/>
        <v/>
      </c>
      <c r="CO488" s="45" t="str">
        <f t="shared" si="487"/>
        <v/>
      </c>
    </row>
    <row r="489" spans="1:93" outlineLevel="2" x14ac:dyDescent="0.25">
      <c r="A489" s="1" t="s">
        <v>92</v>
      </c>
      <c r="B489" s="1" t="s">
        <v>655</v>
      </c>
      <c r="C489" s="6" t="s">
        <v>176</v>
      </c>
      <c r="D489" s="8" t="s">
        <v>110</v>
      </c>
      <c r="E489" s="1"/>
      <c r="F489" s="1">
        <v>242</v>
      </c>
      <c r="G489" s="1">
        <v>242</v>
      </c>
      <c r="H489" s="1">
        <v>2</v>
      </c>
      <c r="I489" s="9">
        <v>46325.333333333343</v>
      </c>
      <c r="J489" s="9">
        <v>46520.666666666657</v>
      </c>
      <c r="K489" s="9"/>
      <c r="L489" s="9"/>
      <c r="M489" s="3">
        <f t="shared" si="451"/>
        <v>1</v>
      </c>
      <c r="N489" s="3"/>
      <c r="O489" s="5">
        <f>SUMIFS($O$490:$O$497,$A$490:$A$497,"Activity",$D$490:$D$497,"P")</f>
        <v>400000</v>
      </c>
      <c r="P489" s="4"/>
      <c r="Q489" s="5"/>
      <c r="R489" s="45" t="str">
        <f t="shared" ref="R489:AW489" si="488">IF(COUNTIFS($A$491:$A$498,"Activity",$D$491:$D$498,"P",R$491:R$498,"&lt;&gt;")=0,"",IFERROR(SUMPRODUCT(--($A$491:$A$498="Activity"),--($D$491:$D$498="P"),$O$491:$O$498,R$491:R$498)/SUMPRODUCT(--($A$491:$A$498="Activity"),--($D$491:$D$498="P"),$O$491:$O$498),""))</f>
        <v/>
      </c>
      <c r="S489" s="45" t="str">
        <f t="shared" si="488"/>
        <v/>
      </c>
      <c r="T489" s="45" t="str">
        <f t="shared" si="488"/>
        <v/>
      </c>
      <c r="U489" s="45" t="str">
        <f t="shared" si="488"/>
        <v/>
      </c>
      <c r="V489" s="45" t="str">
        <f t="shared" si="488"/>
        <v/>
      </c>
      <c r="W489" s="45" t="str">
        <f t="shared" si="488"/>
        <v/>
      </c>
      <c r="X489" s="45" t="str">
        <f t="shared" si="488"/>
        <v/>
      </c>
      <c r="Y489" s="45" t="str">
        <f t="shared" si="488"/>
        <v/>
      </c>
      <c r="Z489" s="45" t="str">
        <f t="shared" si="488"/>
        <v/>
      </c>
      <c r="AA489" s="45" t="str">
        <f t="shared" si="488"/>
        <v/>
      </c>
      <c r="AB489" s="45" t="str">
        <f t="shared" si="488"/>
        <v/>
      </c>
      <c r="AC489" s="45" t="str">
        <f t="shared" si="488"/>
        <v/>
      </c>
      <c r="AD489" s="45" t="str">
        <f t="shared" si="488"/>
        <v/>
      </c>
      <c r="AE489" s="45" t="str">
        <f t="shared" si="488"/>
        <v/>
      </c>
      <c r="AF489" s="45" t="str">
        <f t="shared" si="488"/>
        <v/>
      </c>
      <c r="AG489" s="45" t="str">
        <f t="shared" si="488"/>
        <v/>
      </c>
      <c r="AH489" s="45" t="str">
        <f t="shared" si="488"/>
        <v/>
      </c>
      <c r="AI489" s="45" t="str">
        <f t="shared" si="488"/>
        <v/>
      </c>
      <c r="AJ489" s="45" t="str">
        <f t="shared" si="488"/>
        <v/>
      </c>
      <c r="AK489" s="45" t="str">
        <f t="shared" si="488"/>
        <v/>
      </c>
      <c r="AL489" s="45" t="str">
        <f t="shared" si="488"/>
        <v/>
      </c>
      <c r="AM489" s="45" t="str">
        <f t="shared" si="488"/>
        <v/>
      </c>
      <c r="AN489" s="45" t="str">
        <f t="shared" si="488"/>
        <v/>
      </c>
      <c r="AO489" s="45" t="str">
        <f t="shared" si="488"/>
        <v/>
      </c>
      <c r="AP489" s="45" t="str">
        <f t="shared" si="488"/>
        <v/>
      </c>
      <c r="AQ489" s="45" t="str">
        <f t="shared" si="488"/>
        <v/>
      </c>
      <c r="AR489" s="45" t="str">
        <f t="shared" si="488"/>
        <v/>
      </c>
      <c r="AS489" s="45" t="str">
        <f t="shared" si="488"/>
        <v/>
      </c>
      <c r="AT489" s="45" t="str">
        <f t="shared" si="488"/>
        <v/>
      </c>
      <c r="AU489" s="45" t="str">
        <f t="shared" si="488"/>
        <v/>
      </c>
      <c r="AV489" s="45" t="str">
        <f t="shared" si="488"/>
        <v/>
      </c>
      <c r="AW489" s="45" t="str">
        <f t="shared" si="488"/>
        <v/>
      </c>
      <c r="AX489" s="45" t="str">
        <f t="shared" ref="AX489:CC489" si="489">IF(COUNTIFS($A$491:$A$498,"Activity",$D$491:$D$498,"P",AX$491:AX$498,"&lt;&gt;")=0,"",IFERROR(SUMPRODUCT(--($A$491:$A$498="Activity"),--($D$491:$D$498="P"),$O$491:$O$498,AX$491:AX$498)/SUMPRODUCT(--($A$491:$A$498="Activity"),--($D$491:$D$498="P"),$O$491:$O$498),""))</f>
        <v/>
      </c>
      <c r="AY489" s="45" t="str">
        <f t="shared" si="489"/>
        <v/>
      </c>
      <c r="AZ489" s="45" t="str">
        <f t="shared" si="489"/>
        <v/>
      </c>
      <c r="BA489" s="45" t="str">
        <f t="shared" si="489"/>
        <v/>
      </c>
      <c r="BB489" s="45" t="str">
        <f t="shared" si="489"/>
        <v/>
      </c>
      <c r="BC489" s="45" t="str">
        <f t="shared" si="489"/>
        <v/>
      </c>
      <c r="BD489" s="45" t="str">
        <f t="shared" si="489"/>
        <v/>
      </c>
      <c r="BE489" s="45" t="str">
        <f t="shared" si="489"/>
        <v/>
      </c>
      <c r="BF489" s="45">
        <f t="shared" si="489"/>
        <v>5.9523809523809503E-3</v>
      </c>
      <c r="BG489" s="45">
        <f t="shared" si="489"/>
        <v>4.1666666666666678E-2</v>
      </c>
      <c r="BH489" s="45">
        <f t="shared" si="489"/>
        <v>4.1666666666666678E-2</v>
      </c>
      <c r="BI489" s="45">
        <f t="shared" si="489"/>
        <v>4.1666666666666678E-2</v>
      </c>
      <c r="BJ489" s="45">
        <f t="shared" si="489"/>
        <v>4.1666666666666678E-2</v>
      </c>
      <c r="BK489" s="45">
        <f t="shared" si="489"/>
        <v>4.1666666666666678E-2</v>
      </c>
      <c r="BL489" s="45">
        <f t="shared" si="489"/>
        <v>3.8265306122449008E-2</v>
      </c>
      <c r="BM489" s="45">
        <f t="shared" si="489"/>
        <v>1.7857142857142856E-2</v>
      </c>
      <c r="BN489" s="45">
        <f t="shared" si="489"/>
        <v>1.7857142857142856E-2</v>
      </c>
      <c r="BO489" s="45">
        <f t="shared" si="489"/>
        <v>1.7857142857142856E-2</v>
      </c>
      <c r="BP489" s="45">
        <f t="shared" si="489"/>
        <v>1.7857142857142856E-2</v>
      </c>
      <c r="BQ489" s="45">
        <f t="shared" si="489"/>
        <v>1.7857142857142856E-2</v>
      </c>
      <c r="BR489" s="45">
        <f t="shared" si="489"/>
        <v>1.7857142857142856E-2</v>
      </c>
      <c r="BS489" s="45">
        <f t="shared" si="489"/>
        <v>1.7857142857142856E-2</v>
      </c>
      <c r="BT489" s="45">
        <f t="shared" si="489"/>
        <v>1.7857142857142856E-2</v>
      </c>
      <c r="BU489" s="45">
        <f t="shared" si="489"/>
        <v>1.7857142857142856E-2</v>
      </c>
      <c r="BV489" s="45">
        <f t="shared" si="489"/>
        <v>1.7857142857142856E-2</v>
      </c>
      <c r="BW489" s="45">
        <f t="shared" si="489"/>
        <v>1.7857142857142856E-2</v>
      </c>
      <c r="BX489" s="45">
        <f t="shared" si="489"/>
        <v>1.7857142857142856E-2</v>
      </c>
      <c r="BY489" s="45">
        <f t="shared" si="489"/>
        <v>1.7857142857142856E-2</v>
      </c>
      <c r="BZ489" s="45">
        <f t="shared" si="489"/>
        <v>1.6672242667558897E-2</v>
      </c>
      <c r="CA489" s="45">
        <f t="shared" si="489"/>
        <v>1.912568306010929E-2</v>
      </c>
      <c r="CB489" s="45">
        <f t="shared" si="489"/>
        <v>2.8688524590163925E-2</v>
      </c>
      <c r="CC489" s="45">
        <f t="shared" si="489"/>
        <v>3.8251366120218573E-2</v>
      </c>
      <c r="CD489" s="45">
        <f t="shared" ref="CD489:CO489" si="490">IF(COUNTIFS($A$491:$A$498,"Activity",$D$491:$D$498,"P",CD$491:CD$498,"&lt;&gt;")=0,"",IFERROR(SUMPRODUCT(--($A$491:$A$498="Activity"),--($D$491:$D$498="P"),$O$491:$O$498,CD$491:CD$498)/SUMPRODUCT(--($A$491:$A$498="Activity"),--($D$491:$D$498="P"),$O$491:$O$498),""))</f>
        <v>4.7814207650273222E-2</v>
      </c>
      <c r="CE489" s="45">
        <f t="shared" si="490"/>
        <v>5.7377049180327877E-2</v>
      </c>
      <c r="CF489" s="45">
        <f t="shared" si="490"/>
        <v>7.5234192037470698E-2</v>
      </c>
      <c r="CG489" s="45">
        <f t="shared" si="490"/>
        <v>0.12499999999999996</v>
      </c>
      <c r="CH489" s="45">
        <f t="shared" si="490"/>
        <v>0.10714285714285715</v>
      </c>
      <c r="CI489" s="45" t="str">
        <f t="shared" si="490"/>
        <v/>
      </c>
      <c r="CJ489" s="45" t="str">
        <f t="shared" si="490"/>
        <v/>
      </c>
      <c r="CK489" s="45" t="str">
        <f t="shared" si="490"/>
        <v/>
      </c>
      <c r="CL489" s="45" t="str">
        <f t="shared" si="490"/>
        <v/>
      </c>
      <c r="CM489" s="45" t="str">
        <f t="shared" si="490"/>
        <v/>
      </c>
      <c r="CN489" s="45" t="str">
        <f t="shared" si="490"/>
        <v/>
      </c>
      <c r="CO489" s="45" t="str">
        <f t="shared" si="490"/>
        <v/>
      </c>
    </row>
    <row r="490" spans="1:93" outlineLevel="2" x14ac:dyDescent="0.25">
      <c r="A490" s="1"/>
      <c r="B490" s="1"/>
      <c r="C490" s="6"/>
      <c r="D490" s="8" t="s">
        <v>111</v>
      </c>
      <c r="E490" s="1"/>
      <c r="F490" s="1"/>
      <c r="G490" s="1"/>
      <c r="H490" s="1"/>
      <c r="I490" s="9"/>
      <c r="J490" s="9"/>
      <c r="K490" s="9"/>
      <c r="L490" s="9"/>
      <c r="M490" s="3" t="str">
        <f t="shared" si="451"/>
        <v/>
      </c>
      <c r="N490" s="3"/>
      <c r="O490" s="46">
        <f>O489</f>
        <v>400000</v>
      </c>
      <c r="P490" s="4"/>
      <c r="Q490" s="5"/>
      <c r="R490" s="45" t="str">
        <f t="shared" ref="R490:AW490" si="491">IF(COUNTIFS($E$491:$E$498,"&lt;&gt;",$D$491:$D$498,"A",R$491:R$498,"&lt;&gt;")=0,"",IFERROR(SUMPRODUCT(--($E$491:$E$498&lt;&gt;""),--($D$491:$D$498="A"),$O$491:$O$498,R$491:R$498)/SUMPRODUCT(--($E$491:$E$498&lt;&gt;""),--($D$491:$D$498="A"),$O$491:$O$498),""))</f>
        <v/>
      </c>
      <c r="S490" s="45" t="str">
        <f t="shared" si="491"/>
        <v/>
      </c>
      <c r="T490" s="45" t="str">
        <f t="shared" si="491"/>
        <v/>
      </c>
      <c r="U490" s="45" t="str">
        <f t="shared" si="491"/>
        <v/>
      </c>
      <c r="V490" s="45" t="str">
        <f t="shared" si="491"/>
        <v/>
      </c>
      <c r="W490" s="45" t="str">
        <f t="shared" si="491"/>
        <v/>
      </c>
      <c r="X490" s="45" t="str">
        <f t="shared" si="491"/>
        <v/>
      </c>
      <c r="Y490" s="45" t="str">
        <f t="shared" si="491"/>
        <v/>
      </c>
      <c r="Z490" s="45" t="str">
        <f t="shared" si="491"/>
        <v/>
      </c>
      <c r="AA490" s="45" t="str">
        <f t="shared" si="491"/>
        <v/>
      </c>
      <c r="AB490" s="45" t="str">
        <f t="shared" si="491"/>
        <v/>
      </c>
      <c r="AC490" s="45" t="str">
        <f t="shared" si="491"/>
        <v/>
      </c>
      <c r="AD490" s="45" t="str">
        <f t="shared" si="491"/>
        <v/>
      </c>
      <c r="AE490" s="45" t="str">
        <f t="shared" si="491"/>
        <v/>
      </c>
      <c r="AF490" s="45" t="str">
        <f t="shared" si="491"/>
        <v/>
      </c>
      <c r="AG490" s="45" t="str">
        <f t="shared" si="491"/>
        <v/>
      </c>
      <c r="AH490" s="45" t="str">
        <f t="shared" si="491"/>
        <v/>
      </c>
      <c r="AI490" s="45" t="str">
        <f t="shared" si="491"/>
        <v/>
      </c>
      <c r="AJ490" s="45" t="str">
        <f t="shared" si="491"/>
        <v/>
      </c>
      <c r="AK490" s="45" t="str">
        <f t="shared" si="491"/>
        <v/>
      </c>
      <c r="AL490" s="45" t="str">
        <f t="shared" si="491"/>
        <v/>
      </c>
      <c r="AM490" s="45" t="str">
        <f t="shared" si="491"/>
        <v/>
      </c>
      <c r="AN490" s="45" t="str">
        <f t="shared" si="491"/>
        <v/>
      </c>
      <c r="AO490" s="45" t="str">
        <f t="shared" si="491"/>
        <v/>
      </c>
      <c r="AP490" s="45" t="str">
        <f t="shared" si="491"/>
        <v/>
      </c>
      <c r="AQ490" s="45" t="str">
        <f t="shared" si="491"/>
        <v/>
      </c>
      <c r="AR490" s="45" t="str">
        <f t="shared" si="491"/>
        <v/>
      </c>
      <c r="AS490" s="45" t="str">
        <f t="shared" si="491"/>
        <v/>
      </c>
      <c r="AT490" s="45" t="str">
        <f t="shared" si="491"/>
        <v/>
      </c>
      <c r="AU490" s="45" t="str">
        <f t="shared" si="491"/>
        <v/>
      </c>
      <c r="AV490" s="45" t="str">
        <f t="shared" si="491"/>
        <v/>
      </c>
      <c r="AW490" s="45" t="str">
        <f t="shared" si="491"/>
        <v/>
      </c>
      <c r="AX490" s="45" t="str">
        <f t="shared" ref="AX490:CC490" si="492">IF(COUNTIFS($E$491:$E$498,"&lt;&gt;",$D$491:$D$498,"A",AX$491:AX$498,"&lt;&gt;")=0,"",IFERROR(SUMPRODUCT(--($E$491:$E$498&lt;&gt;""),--($D$491:$D$498="A"),$O$491:$O$498,AX$491:AX$498)/SUMPRODUCT(--($E$491:$E$498&lt;&gt;""),--($D$491:$D$498="A"),$O$491:$O$498),""))</f>
        <v/>
      </c>
      <c r="AY490" s="45" t="str">
        <f t="shared" si="492"/>
        <v/>
      </c>
      <c r="AZ490" s="45" t="str">
        <f t="shared" si="492"/>
        <v/>
      </c>
      <c r="BA490" s="45" t="str">
        <f t="shared" si="492"/>
        <v/>
      </c>
      <c r="BB490" s="45" t="str">
        <f t="shared" si="492"/>
        <v/>
      </c>
      <c r="BC490" s="45" t="str">
        <f t="shared" si="492"/>
        <v/>
      </c>
      <c r="BD490" s="45" t="str">
        <f t="shared" si="492"/>
        <v/>
      </c>
      <c r="BE490" s="45" t="str">
        <f t="shared" si="492"/>
        <v/>
      </c>
      <c r="BF490" s="45" t="str">
        <f t="shared" si="492"/>
        <v/>
      </c>
      <c r="BG490" s="45" t="str">
        <f t="shared" si="492"/>
        <v/>
      </c>
      <c r="BH490" s="45" t="str">
        <f t="shared" si="492"/>
        <v/>
      </c>
      <c r="BI490" s="45" t="str">
        <f t="shared" si="492"/>
        <v/>
      </c>
      <c r="BJ490" s="45" t="str">
        <f t="shared" si="492"/>
        <v/>
      </c>
      <c r="BK490" s="45" t="str">
        <f t="shared" si="492"/>
        <v/>
      </c>
      <c r="BL490" s="45" t="str">
        <f t="shared" si="492"/>
        <v/>
      </c>
      <c r="BM490" s="45" t="str">
        <f t="shared" si="492"/>
        <v/>
      </c>
      <c r="BN490" s="45" t="str">
        <f t="shared" si="492"/>
        <v/>
      </c>
      <c r="BO490" s="45" t="str">
        <f t="shared" si="492"/>
        <v/>
      </c>
      <c r="BP490" s="45" t="str">
        <f t="shared" si="492"/>
        <v/>
      </c>
      <c r="BQ490" s="45" t="str">
        <f t="shared" si="492"/>
        <v/>
      </c>
      <c r="BR490" s="45" t="str">
        <f t="shared" si="492"/>
        <v/>
      </c>
      <c r="BS490" s="45" t="str">
        <f t="shared" si="492"/>
        <v/>
      </c>
      <c r="BT490" s="45" t="str">
        <f t="shared" si="492"/>
        <v/>
      </c>
      <c r="BU490" s="45" t="str">
        <f t="shared" si="492"/>
        <v/>
      </c>
      <c r="BV490" s="45" t="str">
        <f t="shared" si="492"/>
        <v/>
      </c>
      <c r="BW490" s="45" t="str">
        <f t="shared" si="492"/>
        <v/>
      </c>
      <c r="BX490" s="45" t="str">
        <f t="shared" si="492"/>
        <v/>
      </c>
      <c r="BY490" s="45" t="str">
        <f t="shared" si="492"/>
        <v/>
      </c>
      <c r="BZ490" s="45" t="str">
        <f t="shared" si="492"/>
        <v/>
      </c>
      <c r="CA490" s="45" t="str">
        <f t="shared" si="492"/>
        <v/>
      </c>
      <c r="CB490" s="45" t="str">
        <f t="shared" si="492"/>
        <v/>
      </c>
      <c r="CC490" s="45" t="str">
        <f t="shared" si="492"/>
        <v/>
      </c>
      <c r="CD490" s="45" t="str">
        <f t="shared" ref="CD490:CO490" si="493">IF(COUNTIFS($E$491:$E$498,"&lt;&gt;",$D$491:$D$498,"A",CD$491:CD$498,"&lt;&gt;")=0,"",IFERROR(SUMPRODUCT(--($E$491:$E$498&lt;&gt;""),--($D$491:$D$498="A"),$O$491:$O$498,CD$491:CD$498)/SUMPRODUCT(--($E$491:$E$498&lt;&gt;""),--($D$491:$D$498="A"),$O$491:$O$498),""))</f>
        <v/>
      </c>
      <c r="CE490" s="45" t="str">
        <f t="shared" si="493"/>
        <v/>
      </c>
      <c r="CF490" s="45" t="str">
        <f t="shared" si="493"/>
        <v/>
      </c>
      <c r="CG490" s="45" t="str">
        <f t="shared" si="493"/>
        <v/>
      </c>
      <c r="CH490" s="45" t="str">
        <f t="shared" si="493"/>
        <v/>
      </c>
      <c r="CI490" s="45" t="str">
        <f t="shared" si="493"/>
        <v/>
      </c>
      <c r="CJ490" s="45" t="str">
        <f t="shared" si="493"/>
        <v/>
      </c>
      <c r="CK490" s="45" t="str">
        <f t="shared" si="493"/>
        <v/>
      </c>
      <c r="CL490" s="45" t="str">
        <f t="shared" si="493"/>
        <v/>
      </c>
      <c r="CM490" s="45" t="str">
        <f t="shared" si="493"/>
        <v/>
      </c>
      <c r="CN490" s="45" t="str">
        <f t="shared" si="493"/>
        <v/>
      </c>
      <c r="CO490" s="45" t="str">
        <f t="shared" si="493"/>
        <v/>
      </c>
    </row>
    <row r="491" spans="1:93" outlineLevel="3" x14ac:dyDescent="0.25">
      <c r="A491" s="10" t="s">
        <v>116</v>
      </c>
      <c r="B491" s="10" t="s">
        <v>656</v>
      </c>
      <c r="C491" s="11" t="s">
        <v>657</v>
      </c>
      <c r="D491" s="12" t="s">
        <v>110</v>
      </c>
      <c r="E491" s="10" t="s">
        <v>658</v>
      </c>
      <c r="F491" s="10">
        <v>243</v>
      </c>
      <c r="G491" s="10">
        <v>243</v>
      </c>
      <c r="H491" s="10">
        <v>3</v>
      </c>
      <c r="I491" s="13">
        <v>46325.333333333343</v>
      </c>
      <c r="J491" s="13">
        <v>46366.666666666657</v>
      </c>
      <c r="K491" s="13"/>
      <c r="L491" s="13"/>
      <c r="M491" s="14">
        <f t="shared" si="451"/>
        <v>1.0000000000000004</v>
      </c>
      <c r="N491" s="14"/>
      <c r="O491" s="16">
        <v>100000</v>
      </c>
      <c r="P491" s="15">
        <v>1.6</v>
      </c>
      <c r="Q491" s="16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>
        <v>2.3809523809523801E-2</v>
      </c>
      <c r="BG491" s="47">
        <v>0.16666666666666671</v>
      </c>
      <c r="BH491" s="47">
        <v>0.16666666666666671</v>
      </c>
      <c r="BI491" s="47">
        <v>0.16666666666666671</v>
      </c>
      <c r="BJ491" s="47">
        <v>0.16666666666666671</v>
      </c>
      <c r="BK491" s="47">
        <v>0.16666666666666671</v>
      </c>
      <c r="BL491" s="47">
        <v>0.14285714285714299</v>
      </c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  <c r="CO491" s="47"/>
    </row>
    <row r="492" spans="1:93" outlineLevel="3" x14ac:dyDescent="0.25">
      <c r="A492" s="17"/>
      <c r="B492" s="17"/>
      <c r="C492" s="18"/>
      <c r="D492" s="19" t="s">
        <v>111</v>
      </c>
      <c r="E492" s="17" t="s">
        <v>658</v>
      </c>
      <c r="F492" s="17"/>
      <c r="G492" s="17"/>
      <c r="H492" s="17"/>
      <c r="I492" s="20"/>
      <c r="J492" s="20"/>
      <c r="K492" s="20"/>
      <c r="L492" s="20"/>
      <c r="M492" s="21" t="str">
        <f t="shared" si="451"/>
        <v/>
      </c>
      <c r="N492" s="21">
        <v>0</v>
      </c>
      <c r="O492" s="48">
        <f>O491</f>
        <v>100000</v>
      </c>
      <c r="P492" s="22"/>
      <c r="Q492" s="23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  <c r="CO492" s="47"/>
    </row>
    <row r="493" spans="1:93" outlineLevel="3" x14ac:dyDescent="0.25">
      <c r="A493" s="10" t="s">
        <v>116</v>
      </c>
      <c r="B493" s="10" t="s">
        <v>659</v>
      </c>
      <c r="C493" s="11" t="s">
        <v>660</v>
      </c>
      <c r="D493" s="12" t="s">
        <v>110</v>
      </c>
      <c r="E493" s="10" t="s">
        <v>661</v>
      </c>
      <c r="F493" s="10">
        <v>244</v>
      </c>
      <c r="G493" s="10">
        <v>244</v>
      </c>
      <c r="H493" s="10">
        <v>3</v>
      </c>
      <c r="I493" s="13">
        <v>46367.333333333343</v>
      </c>
      <c r="J493" s="13">
        <v>46464.666666666657</v>
      </c>
      <c r="K493" s="13"/>
      <c r="L493" s="13"/>
      <c r="M493" s="14">
        <f t="shared" si="451"/>
        <v>1</v>
      </c>
      <c r="N493" s="14"/>
      <c r="O493" s="16">
        <v>100000</v>
      </c>
      <c r="P493" s="15">
        <v>1.6</v>
      </c>
      <c r="Q493" s="16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>
        <v>1.020408163265306E-2</v>
      </c>
      <c r="BM493" s="47">
        <v>7.1428571428571425E-2</v>
      </c>
      <c r="BN493" s="47">
        <v>7.1428571428571425E-2</v>
      </c>
      <c r="BO493" s="47">
        <v>7.1428571428571425E-2</v>
      </c>
      <c r="BP493" s="47">
        <v>7.1428571428571425E-2</v>
      </c>
      <c r="BQ493" s="47">
        <v>7.1428571428571425E-2</v>
      </c>
      <c r="BR493" s="47">
        <v>7.1428571428571425E-2</v>
      </c>
      <c r="BS493" s="47">
        <v>7.1428571428571425E-2</v>
      </c>
      <c r="BT493" s="47">
        <v>7.1428571428571425E-2</v>
      </c>
      <c r="BU493" s="47">
        <v>7.1428571428571425E-2</v>
      </c>
      <c r="BV493" s="47">
        <v>7.1428571428571425E-2</v>
      </c>
      <c r="BW493" s="47">
        <v>7.1428571428571425E-2</v>
      </c>
      <c r="BX493" s="47">
        <v>7.1428571428571425E-2</v>
      </c>
      <c r="BY493" s="47">
        <v>7.1428571428571425E-2</v>
      </c>
      <c r="BZ493" s="47">
        <v>6.1224489795918657E-2</v>
      </c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  <c r="CO493" s="47"/>
    </row>
    <row r="494" spans="1:93" outlineLevel="3" x14ac:dyDescent="0.25">
      <c r="A494" s="17"/>
      <c r="B494" s="17"/>
      <c r="C494" s="18"/>
      <c r="D494" s="19" t="s">
        <v>111</v>
      </c>
      <c r="E494" s="17" t="s">
        <v>661</v>
      </c>
      <c r="F494" s="17"/>
      <c r="G494" s="17"/>
      <c r="H494" s="17"/>
      <c r="I494" s="20"/>
      <c r="J494" s="20"/>
      <c r="K494" s="20"/>
      <c r="L494" s="20"/>
      <c r="M494" s="21" t="str">
        <f t="shared" si="451"/>
        <v/>
      </c>
      <c r="N494" s="21">
        <v>0</v>
      </c>
      <c r="O494" s="48">
        <f>O493</f>
        <v>100000</v>
      </c>
      <c r="P494" s="22"/>
      <c r="Q494" s="23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  <c r="CO494" s="47"/>
    </row>
    <row r="495" spans="1:93" outlineLevel="3" x14ac:dyDescent="0.25">
      <c r="A495" s="10" t="s">
        <v>116</v>
      </c>
      <c r="B495" s="10" t="s">
        <v>662</v>
      </c>
      <c r="C495" s="11" t="s">
        <v>663</v>
      </c>
      <c r="D495" s="12" t="s">
        <v>110</v>
      </c>
      <c r="E495" s="10" t="s">
        <v>664</v>
      </c>
      <c r="F495" s="10">
        <v>245</v>
      </c>
      <c r="G495" s="10">
        <v>245</v>
      </c>
      <c r="H495" s="10">
        <v>3</v>
      </c>
      <c r="I495" s="13">
        <v>46465.333333333343</v>
      </c>
      <c r="J495" s="13">
        <v>46506.666666666657</v>
      </c>
      <c r="K495" s="13"/>
      <c r="L495" s="13"/>
      <c r="M495" s="14">
        <f t="shared" si="451"/>
        <v>0.99999999999999989</v>
      </c>
      <c r="N495" s="14"/>
      <c r="O495" s="16">
        <v>100000</v>
      </c>
      <c r="P495" s="15">
        <v>1.6</v>
      </c>
      <c r="Q495" s="16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>
        <v>5.4644808743169399E-3</v>
      </c>
      <c r="CA495" s="47">
        <v>7.650273224043716E-2</v>
      </c>
      <c r="CB495" s="47">
        <v>0.1147540983606557</v>
      </c>
      <c r="CC495" s="47">
        <v>0.15300546448087429</v>
      </c>
      <c r="CD495" s="47">
        <v>0.19125683060109289</v>
      </c>
      <c r="CE495" s="47">
        <v>0.22950819672131151</v>
      </c>
      <c r="CF495" s="47">
        <v>0.2295081967213114</v>
      </c>
      <c r="CG495" s="47"/>
      <c r="CH495" s="47"/>
      <c r="CI495" s="47"/>
      <c r="CJ495" s="47"/>
      <c r="CK495" s="47"/>
      <c r="CL495" s="47"/>
      <c r="CM495" s="47"/>
      <c r="CN495" s="47"/>
      <c r="CO495" s="47"/>
    </row>
    <row r="496" spans="1:93" outlineLevel="3" x14ac:dyDescent="0.25">
      <c r="A496" s="17"/>
      <c r="B496" s="17"/>
      <c r="C496" s="18"/>
      <c r="D496" s="19" t="s">
        <v>111</v>
      </c>
      <c r="E496" s="17" t="s">
        <v>664</v>
      </c>
      <c r="F496" s="17"/>
      <c r="G496" s="17"/>
      <c r="H496" s="17"/>
      <c r="I496" s="20"/>
      <c r="J496" s="20"/>
      <c r="K496" s="20"/>
      <c r="L496" s="20"/>
      <c r="M496" s="21" t="str">
        <f t="shared" si="451"/>
        <v/>
      </c>
      <c r="N496" s="21">
        <v>0</v>
      </c>
      <c r="O496" s="48">
        <f>O495</f>
        <v>100000</v>
      </c>
      <c r="P496" s="22"/>
      <c r="Q496" s="23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  <c r="CO496" s="47"/>
    </row>
    <row r="497" spans="1:93" outlineLevel="3" x14ac:dyDescent="0.25">
      <c r="A497" s="10" t="s">
        <v>116</v>
      </c>
      <c r="B497" s="10" t="s">
        <v>665</v>
      </c>
      <c r="C497" s="11" t="s">
        <v>666</v>
      </c>
      <c r="D497" s="12" t="s">
        <v>110</v>
      </c>
      <c r="E497" s="10" t="s">
        <v>667</v>
      </c>
      <c r="F497" s="10">
        <v>246</v>
      </c>
      <c r="G497" s="10">
        <v>246</v>
      </c>
      <c r="H497" s="10">
        <v>3</v>
      </c>
      <c r="I497" s="13">
        <v>46507.333333333343</v>
      </c>
      <c r="J497" s="13">
        <v>46520.666666666657</v>
      </c>
      <c r="K497" s="13"/>
      <c r="L497" s="13"/>
      <c r="M497" s="14">
        <f t="shared" si="451"/>
        <v>0.99999999999999989</v>
      </c>
      <c r="N497" s="14"/>
      <c r="O497" s="16">
        <v>100000</v>
      </c>
      <c r="P497" s="15">
        <v>1.6</v>
      </c>
      <c r="Q497" s="16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>
        <v>7.1428571428571411E-2</v>
      </c>
      <c r="CG497" s="47">
        <v>0.49999999999999989</v>
      </c>
      <c r="CH497" s="47">
        <v>0.4285714285714286</v>
      </c>
      <c r="CI497" s="47"/>
      <c r="CJ497" s="47"/>
      <c r="CK497" s="47"/>
      <c r="CL497" s="47"/>
      <c r="CM497" s="47"/>
      <c r="CN497" s="47"/>
      <c r="CO497" s="47"/>
    </row>
    <row r="498" spans="1:93" outlineLevel="3" x14ac:dyDescent="0.25">
      <c r="A498" s="17"/>
      <c r="B498" s="17"/>
      <c r="C498" s="18"/>
      <c r="D498" s="19" t="s">
        <v>111</v>
      </c>
      <c r="E498" s="17" t="s">
        <v>667</v>
      </c>
      <c r="F498" s="17"/>
      <c r="G498" s="17"/>
      <c r="H498" s="17"/>
      <c r="I498" s="20"/>
      <c r="J498" s="20"/>
      <c r="K498" s="20"/>
      <c r="L498" s="20"/>
      <c r="M498" s="21" t="str">
        <f t="shared" si="451"/>
        <v/>
      </c>
      <c r="N498" s="21">
        <v>0</v>
      </c>
      <c r="O498" s="48">
        <f>O497</f>
        <v>100000</v>
      </c>
      <c r="P498" s="22"/>
      <c r="Q498" s="23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  <c r="CO498" s="47"/>
    </row>
    <row r="499" spans="1:93" outlineLevel="2" x14ac:dyDescent="0.25">
      <c r="A499" s="1" t="s">
        <v>92</v>
      </c>
      <c r="B499" s="1" t="s">
        <v>668</v>
      </c>
      <c r="C499" s="6" t="s">
        <v>669</v>
      </c>
      <c r="D499" s="8" t="s">
        <v>110</v>
      </c>
      <c r="E499" s="1"/>
      <c r="F499" s="1">
        <v>247</v>
      </c>
      <c r="G499" s="1">
        <v>247</v>
      </c>
      <c r="H499" s="1">
        <v>2</v>
      </c>
      <c r="I499" s="9">
        <v>46426.333333333343</v>
      </c>
      <c r="J499" s="9">
        <v>46521.666666666657</v>
      </c>
      <c r="K499" s="9"/>
      <c r="L499" s="9"/>
      <c r="M499" s="3">
        <f t="shared" si="451"/>
        <v>1</v>
      </c>
      <c r="N499" s="3"/>
      <c r="O499" s="5">
        <f>SUMIFS($O$500:$O$507,$A$500:$A$507,"Activity",$D$500:$D$507,"P")</f>
        <v>400000</v>
      </c>
      <c r="P499" s="4"/>
      <c r="Q499" s="5"/>
      <c r="R499" s="45" t="str">
        <f t="shared" ref="R499:AW499" si="494">IF(COUNTIFS($A$501:$A$508,"Activity",$D$501:$D$508,"P",R$501:R$508,"&lt;&gt;")=0,"",IFERROR(SUMPRODUCT(--($A$501:$A$508="Activity"),--($D$501:$D$508="P"),$O$501:$O$508,R$501:R$508)/SUMPRODUCT(--($A$501:$A$508="Activity"),--($D$501:$D$508="P"),$O$501:$O$508),""))</f>
        <v/>
      </c>
      <c r="S499" s="45" t="str">
        <f t="shared" si="494"/>
        <v/>
      </c>
      <c r="T499" s="45" t="str">
        <f t="shared" si="494"/>
        <v/>
      </c>
      <c r="U499" s="45" t="str">
        <f t="shared" si="494"/>
        <v/>
      </c>
      <c r="V499" s="45" t="str">
        <f t="shared" si="494"/>
        <v/>
      </c>
      <c r="W499" s="45" t="str">
        <f t="shared" si="494"/>
        <v/>
      </c>
      <c r="X499" s="45" t="str">
        <f t="shared" si="494"/>
        <v/>
      </c>
      <c r="Y499" s="45" t="str">
        <f t="shared" si="494"/>
        <v/>
      </c>
      <c r="Z499" s="45" t="str">
        <f t="shared" si="494"/>
        <v/>
      </c>
      <c r="AA499" s="45" t="str">
        <f t="shared" si="494"/>
        <v/>
      </c>
      <c r="AB499" s="45" t="str">
        <f t="shared" si="494"/>
        <v/>
      </c>
      <c r="AC499" s="45" t="str">
        <f t="shared" si="494"/>
        <v/>
      </c>
      <c r="AD499" s="45" t="str">
        <f t="shared" si="494"/>
        <v/>
      </c>
      <c r="AE499" s="45" t="str">
        <f t="shared" si="494"/>
        <v/>
      </c>
      <c r="AF499" s="45" t="str">
        <f t="shared" si="494"/>
        <v/>
      </c>
      <c r="AG499" s="45" t="str">
        <f t="shared" si="494"/>
        <v/>
      </c>
      <c r="AH499" s="45" t="str">
        <f t="shared" si="494"/>
        <v/>
      </c>
      <c r="AI499" s="45" t="str">
        <f t="shared" si="494"/>
        <v/>
      </c>
      <c r="AJ499" s="45" t="str">
        <f t="shared" si="494"/>
        <v/>
      </c>
      <c r="AK499" s="45" t="str">
        <f t="shared" si="494"/>
        <v/>
      </c>
      <c r="AL499" s="45" t="str">
        <f t="shared" si="494"/>
        <v/>
      </c>
      <c r="AM499" s="45" t="str">
        <f t="shared" si="494"/>
        <v/>
      </c>
      <c r="AN499" s="45" t="str">
        <f t="shared" si="494"/>
        <v/>
      </c>
      <c r="AO499" s="45" t="str">
        <f t="shared" si="494"/>
        <v/>
      </c>
      <c r="AP499" s="45" t="str">
        <f t="shared" si="494"/>
        <v/>
      </c>
      <c r="AQ499" s="45" t="str">
        <f t="shared" si="494"/>
        <v/>
      </c>
      <c r="AR499" s="45" t="str">
        <f t="shared" si="494"/>
        <v/>
      </c>
      <c r="AS499" s="45" t="str">
        <f t="shared" si="494"/>
        <v/>
      </c>
      <c r="AT499" s="45" t="str">
        <f t="shared" si="494"/>
        <v/>
      </c>
      <c r="AU499" s="45" t="str">
        <f t="shared" si="494"/>
        <v/>
      </c>
      <c r="AV499" s="45" t="str">
        <f t="shared" si="494"/>
        <v/>
      </c>
      <c r="AW499" s="45" t="str">
        <f t="shared" si="494"/>
        <v/>
      </c>
      <c r="AX499" s="45" t="str">
        <f t="shared" ref="AX499:CC499" si="495">IF(COUNTIFS($A$501:$A$508,"Activity",$D$501:$D$508,"P",AX$501:AX$508,"&lt;&gt;")=0,"",IFERROR(SUMPRODUCT(--($A$501:$A$508="Activity"),--($D$501:$D$508="P"),$O$501:$O$508,AX$501:AX$508)/SUMPRODUCT(--($A$501:$A$508="Activity"),--($D$501:$D$508="P"),$O$501:$O$508),""))</f>
        <v/>
      </c>
      <c r="AY499" s="45" t="str">
        <f t="shared" si="495"/>
        <v/>
      </c>
      <c r="AZ499" s="45" t="str">
        <f t="shared" si="495"/>
        <v/>
      </c>
      <c r="BA499" s="45" t="str">
        <f t="shared" si="495"/>
        <v/>
      </c>
      <c r="BB499" s="45" t="str">
        <f t="shared" si="495"/>
        <v/>
      </c>
      <c r="BC499" s="45" t="str">
        <f t="shared" si="495"/>
        <v/>
      </c>
      <c r="BD499" s="45" t="str">
        <f t="shared" si="495"/>
        <v/>
      </c>
      <c r="BE499" s="45" t="str">
        <f t="shared" si="495"/>
        <v/>
      </c>
      <c r="BF499" s="45" t="str">
        <f t="shared" si="495"/>
        <v/>
      </c>
      <c r="BG499" s="45" t="str">
        <f t="shared" si="495"/>
        <v/>
      </c>
      <c r="BH499" s="45" t="str">
        <f t="shared" si="495"/>
        <v/>
      </c>
      <c r="BI499" s="45" t="str">
        <f t="shared" si="495"/>
        <v/>
      </c>
      <c r="BJ499" s="45" t="str">
        <f t="shared" si="495"/>
        <v/>
      </c>
      <c r="BK499" s="45" t="str">
        <f t="shared" si="495"/>
        <v/>
      </c>
      <c r="BL499" s="45" t="str">
        <f t="shared" si="495"/>
        <v/>
      </c>
      <c r="BM499" s="45" t="str">
        <f t="shared" si="495"/>
        <v/>
      </c>
      <c r="BN499" s="45" t="str">
        <f t="shared" si="495"/>
        <v/>
      </c>
      <c r="BO499" s="45" t="str">
        <f t="shared" si="495"/>
        <v/>
      </c>
      <c r="BP499" s="45" t="str">
        <f t="shared" si="495"/>
        <v/>
      </c>
      <c r="BQ499" s="45" t="str">
        <f t="shared" si="495"/>
        <v/>
      </c>
      <c r="BR499" s="45" t="str">
        <f t="shared" si="495"/>
        <v/>
      </c>
      <c r="BS499" s="45" t="str">
        <f t="shared" si="495"/>
        <v/>
      </c>
      <c r="BT499" s="45" t="str">
        <f t="shared" si="495"/>
        <v/>
      </c>
      <c r="BU499" s="45">
        <f t="shared" si="495"/>
        <v>0.10416666666666664</v>
      </c>
      <c r="BV499" s="45">
        <f t="shared" si="495"/>
        <v>0.14583333333333334</v>
      </c>
      <c r="BW499" s="45" t="str">
        <f t="shared" si="495"/>
        <v/>
      </c>
      <c r="BX499" s="45" t="str">
        <f t="shared" si="495"/>
        <v/>
      </c>
      <c r="BY499" s="45">
        <f t="shared" si="495"/>
        <v>0.10416666666666664</v>
      </c>
      <c r="BZ499" s="45">
        <f t="shared" si="495"/>
        <v>0.14583333333333334</v>
      </c>
      <c r="CA499" s="45" t="str">
        <f t="shared" si="495"/>
        <v/>
      </c>
      <c r="CB499" s="45" t="str">
        <f t="shared" si="495"/>
        <v/>
      </c>
      <c r="CC499" s="45">
        <f t="shared" si="495"/>
        <v>0.10416666666666664</v>
      </c>
      <c r="CD499" s="45">
        <f t="shared" ref="CD499:CO499" si="496">IF(COUNTIFS($A$501:$A$508,"Activity",$D$501:$D$508,"P",CD$501:CD$508,"&lt;&gt;")=0,"",IFERROR(SUMPRODUCT(--($A$501:$A$508="Activity"),--($D$501:$D$508="P"),$O$501:$O$508,CD$501:CD$508)/SUMPRODUCT(--($A$501:$A$508="Activity"),--($D$501:$D$508="P"),$O$501:$O$508),""))</f>
        <v>0.14583333333333334</v>
      </c>
      <c r="CE499" s="45" t="str">
        <f t="shared" si="496"/>
        <v/>
      </c>
      <c r="CF499" s="45" t="str">
        <f t="shared" si="496"/>
        <v/>
      </c>
      <c r="CG499" s="45">
        <f t="shared" si="496"/>
        <v>0.10416666666666664</v>
      </c>
      <c r="CH499" s="45">
        <f t="shared" si="496"/>
        <v>0.14583333333333334</v>
      </c>
      <c r="CI499" s="45" t="str">
        <f t="shared" si="496"/>
        <v/>
      </c>
      <c r="CJ499" s="45" t="str">
        <f t="shared" si="496"/>
        <v/>
      </c>
      <c r="CK499" s="45" t="str">
        <f t="shared" si="496"/>
        <v/>
      </c>
      <c r="CL499" s="45" t="str">
        <f t="shared" si="496"/>
        <v/>
      </c>
      <c r="CM499" s="45" t="str">
        <f t="shared" si="496"/>
        <v/>
      </c>
      <c r="CN499" s="45" t="str">
        <f t="shared" si="496"/>
        <v/>
      </c>
      <c r="CO499" s="45" t="str">
        <f t="shared" si="496"/>
        <v/>
      </c>
    </row>
    <row r="500" spans="1:93" outlineLevel="2" x14ac:dyDescent="0.25">
      <c r="A500" s="1"/>
      <c r="B500" s="1"/>
      <c r="C500" s="6"/>
      <c r="D500" s="8" t="s">
        <v>111</v>
      </c>
      <c r="E500" s="1"/>
      <c r="F500" s="1"/>
      <c r="G500" s="1"/>
      <c r="H500" s="1"/>
      <c r="I500" s="9"/>
      <c r="J500" s="9"/>
      <c r="K500" s="9"/>
      <c r="L500" s="9"/>
      <c r="M500" s="3" t="str">
        <f t="shared" si="451"/>
        <v/>
      </c>
      <c r="N500" s="3"/>
      <c r="O500" s="46">
        <f>O499</f>
        <v>400000</v>
      </c>
      <c r="P500" s="4"/>
      <c r="Q500" s="5"/>
      <c r="R500" s="45" t="str">
        <f t="shared" ref="R500:AW500" si="497">IF(COUNTIFS($E$501:$E$508,"&lt;&gt;",$D$501:$D$508,"A",R$501:R$508,"&lt;&gt;")=0,"",IFERROR(SUMPRODUCT(--($E$501:$E$508&lt;&gt;""),--($D$501:$D$508="A"),$O$501:$O$508,R$501:R$508)/SUMPRODUCT(--($E$501:$E$508&lt;&gt;""),--($D$501:$D$508="A"),$O$501:$O$508),""))</f>
        <v/>
      </c>
      <c r="S500" s="45" t="str">
        <f t="shared" si="497"/>
        <v/>
      </c>
      <c r="T500" s="45" t="str">
        <f t="shared" si="497"/>
        <v/>
      </c>
      <c r="U500" s="45" t="str">
        <f t="shared" si="497"/>
        <v/>
      </c>
      <c r="V500" s="45" t="str">
        <f t="shared" si="497"/>
        <v/>
      </c>
      <c r="W500" s="45" t="str">
        <f t="shared" si="497"/>
        <v/>
      </c>
      <c r="X500" s="45" t="str">
        <f t="shared" si="497"/>
        <v/>
      </c>
      <c r="Y500" s="45" t="str">
        <f t="shared" si="497"/>
        <v/>
      </c>
      <c r="Z500" s="45" t="str">
        <f t="shared" si="497"/>
        <v/>
      </c>
      <c r="AA500" s="45" t="str">
        <f t="shared" si="497"/>
        <v/>
      </c>
      <c r="AB500" s="45" t="str">
        <f t="shared" si="497"/>
        <v/>
      </c>
      <c r="AC500" s="45" t="str">
        <f t="shared" si="497"/>
        <v/>
      </c>
      <c r="AD500" s="45" t="str">
        <f t="shared" si="497"/>
        <v/>
      </c>
      <c r="AE500" s="45" t="str">
        <f t="shared" si="497"/>
        <v/>
      </c>
      <c r="AF500" s="45" t="str">
        <f t="shared" si="497"/>
        <v/>
      </c>
      <c r="AG500" s="45" t="str">
        <f t="shared" si="497"/>
        <v/>
      </c>
      <c r="AH500" s="45" t="str">
        <f t="shared" si="497"/>
        <v/>
      </c>
      <c r="AI500" s="45" t="str">
        <f t="shared" si="497"/>
        <v/>
      </c>
      <c r="AJ500" s="45" t="str">
        <f t="shared" si="497"/>
        <v/>
      </c>
      <c r="AK500" s="45" t="str">
        <f t="shared" si="497"/>
        <v/>
      </c>
      <c r="AL500" s="45" t="str">
        <f t="shared" si="497"/>
        <v/>
      </c>
      <c r="AM500" s="45" t="str">
        <f t="shared" si="497"/>
        <v/>
      </c>
      <c r="AN500" s="45" t="str">
        <f t="shared" si="497"/>
        <v/>
      </c>
      <c r="AO500" s="45" t="str">
        <f t="shared" si="497"/>
        <v/>
      </c>
      <c r="AP500" s="45" t="str">
        <f t="shared" si="497"/>
        <v/>
      </c>
      <c r="AQ500" s="45" t="str">
        <f t="shared" si="497"/>
        <v/>
      </c>
      <c r="AR500" s="45" t="str">
        <f t="shared" si="497"/>
        <v/>
      </c>
      <c r="AS500" s="45" t="str">
        <f t="shared" si="497"/>
        <v/>
      </c>
      <c r="AT500" s="45" t="str">
        <f t="shared" si="497"/>
        <v/>
      </c>
      <c r="AU500" s="45" t="str">
        <f t="shared" si="497"/>
        <v/>
      </c>
      <c r="AV500" s="45" t="str">
        <f t="shared" si="497"/>
        <v/>
      </c>
      <c r="AW500" s="45" t="str">
        <f t="shared" si="497"/>
        <v/>
      </c>
      <c r="AX500" s="45" t="str">
        <f t="shared" ref="AX500:CC500" si="498">IF(COUNTIFS($E$501:$E$508,"&lt;&gt;",$D$501:$D$508,"A",AX$501:AX$508,"&lt;&gt;")=0,"",IFERROR(SUMPRODUCT(--($E$501:$E$508&lt;&gt;""),--($D$501:$D$508="A"),$O$501:$O$508,AX$501:AX$508)/SUMPRODUCT(--($E$501:$E$508&lt;&gt;""),--($D$501:$D$508="A"),$O$501:$O$508),""))</f>
        <v/>
      </c>
      <c r="AY500" s="45" t="str">
        <f t="shared" si="498"/>
        <v/>
      </c>
      <c r="AZ500" s="45" t="str">
        <f t="shared" si="498"/>
        <v/>
      </c>
      <c r="BA500" s="45" t="str">
        <f t="shared" si="498"/>
        <v/>
      </c>
      <c r="BB500" s="45" t="str">
        <f t="shared" si="498"/>
        <v/>
      </c>
      <c r="BC500" s="45" t="str">
        <f t="shared" si="498"/>
        <v/>
      </c>
      <c r="BD500" s="45" t="str">
        <f t="shared" si="498"/>
        <v/>
      </c>
      <c r="BE500" s="45" t="str">
        <f t="shared" si="498"/>
        <v/>
      </c>
      <c r="BF500" s="45" t="str">
        <f t="shared" si="498"/>
        <v/>
      </c>
      <c r="BG500" s="45" t="str">
        <f t="shared" si="498"/>
        <v/>
      </c>
      <c r="BH500" s="45" t="str">
        <f t="shared" si="498"/>
        <v/>
      </c>
      <c r="BI500" s="45" t="str">
        <f t="shared" si="498"/>
        <v/>
      </c>
      <c r="BJ500" s="45" t="str">
        <f t="shared" si="498"/>
        <v/>
      </c>
      <c r="BK500" s="45" t="str">
        <f t="shared" si="498"/>
        <v/>
      </c>
      <c r="BL500" s="45" t="str">
        <f t="shared" si="498"/>
        <v/>
      </c>
      <c r="BM500" s="45" t="str">
        <f t="shared" si="498"/>
        <v/>
      </c>
      <c r="BN500" s="45" t="str">
        <f t="shared" si="498"/>
        <v/>
      </c>
      <c r="BO500" s="45" t="str">
        <f t="shared" si="498"/>
        <v/>
      </c>
      <c r="BP500" s="45" t="str">
        <f t="shared" si="498"/>
        <v/>
      </c>
      <c r="BQ500" s="45" t="str">
        <f t="shared" si="498"/>
        <v/>
      </c>
      <c r="BR500" s="45" t="str">
        <f t="shared" si="498"/>
        <v/>
      </c>
      <c r="BS500" s="45" t="str">
        <f t="shared" si="498"/>
        <v/>
      </c>
      <c r="BT500" s="45" t="str">
        <f t="shared" si="498"/>
        <v/>
      </c>
      <c r="BU500" s="45" t="str">
        <f t="shared" si="498"/>
        <v/>
      </c>
      <c r="BV500" s="45" t="str">
        <f t="shared" si="498"/>
        <v/>
      </c>
      <c r="BW500" s="45" t="str">
        <f t="shared" si="498"/>
        <v/>
      </c>
      <c r="BX500" s="45" t="str">
        <f t="shared" si="498"/>
        <v/>
      </c>
      <c r="BY500" s="45" t="str">
        <f t="shared" si="498"/>
        <v/>
      </c>
      <c r="BZ500" s="45" t="str">
        <f t="shared" si="498"/>
        <v/>
      </c>
      <c r="CA500" s="45" t="str">
        <f t="shared" si="498"/>
        <v/>
      </c>
      <c r="CB500" s="45" t="str">
        <f t="shared" si="498"/>
        <v/>
      </c>
      <c r="CC500" s="45" t="str">
        <f t="shared" si="498"/>
        <v/>
      </c>
      <c r="CD500" s="45" t="str">
        <f t="shared" ref="CD500:CO500" si="499">IF(COUNTIFS($E$501:$E$508,"&lt;&gt;",$D$501:$D$508,"A",CD$501:CD$508,"&lt;&gt;")=0,"",IFERROR(SUMPRODUCT(--($E$501:$E$508&lt;&gt;""),--($D$501:$D$508="A"),$O$501:$O$508,CD$501:CD$508)/SUMPRODUCT(--($E$501:$E$508&lt;&gt;""),--($D$501:$D$508="A"),$O$501:$O$508),""))</f>
        <v/>
      </c>
      <c r="CE500" s="45" t="str">
        <f t="shared" si="499"/>
        <v/>
      </c>
      <c r="CF500" s="45" t="str">
        <f t="shared" si="499"/>
        <v/>
      </c>
      <c r="CG500" s="45" t="str">
        <f t="shared" si="499"/>
        <v/>
      </c>
      <c r="CH500" s="45" t="str">
        <f t="shared" si="499"/>
        <v/>
      </c>
      <c r="CI500" s="45" t="str">
        <f t="shared" si="499"/>
        <v/>
      </c>
      <c r="CJ500" s="45" t="str">
        <f t="shared" si="499"/>
        <v/>
      </c>
      <c r="CK500" s="45" t="str">
        <f t="shared" si="499"/>
        <v/>
      </c>
      <c r="CL500" s="45" t="str">
        <f t="shared" si="499"/>
        <v/>
      </c>
      <c r="CM500" s="45" t="str">
        <f t="shared" si="499"/>
        <v/>
      </c>
      <c r="CN500" s="45" t="str">
        <f t="shared" si="499"/>
        <v/>
      </c>
      <c r="CO500" s="45" t="str">
        <f t="shared" si="499"/>
        <v/>
      </c>
    </row>
    <row r="501" spans="1:93" outlineLevel="3" x14ac:dyDescent="0.25">
      <c r="A501" s="10" t="s">
        <v>116</v>
      </c>
      <c r="B501" s="10" t="s">
        <v>670</v>
      </c>
      <c r="C501" s="11" t="s">
        <v>313</v>
      </c>
      <c r="D501" s="12" t="s">
        <v>110</v>
      </c>
      <c r="E501" s="10" t="s">
        <v>671</v>
      </c>
      <c r="F501" s="10">
        <v>248</v>
      </c>
      <c r="G501" s="10">
        <v>248</v>
      </c>
      <c r="H501" s="10">
        <v>3</v>
      </c>
      <c r="I501" s="13">
        <v>46426.333333333343</v>
      </c>
      <c r="J501" s="13">
        <v>46437.666666666657</v>
      </c>
      <c r="K501" s="13"/>
      <c r="L501" s="13"/>
      <c r="M501" s="14">
        <f t="shared" si="451"/>
        <v>1</v>
      </c>
      <c r="N501" s="14"/>
      <c r="O501" s="16">
        <v>100000</v>
      </c>
      <c r="P501" s="15">
        <v>9.4666666666666668</v>
      </c>
      <c r="Q501" s="16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  <c r="BT501" s="47"/>
      <c r="BU501" s="47">
        <v>0.41666666666666657</v>
      </c>
      <c r="BV501" s="47">
        <v>0.58333333333333337</v>
      </c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  <c r="CO501" s="47"/>
    </row>
    <row r="502" spans="1:93" outlineLevel="3" x14ac:dyDescent="0.25">
      <c r="A502" s="17"/>
      <c r="B502" s="17"/>
      <c r="C502" s="18"/>
      <c r="D502" s="19" t="s">
        <v>111</v>
      </c>
      <c r="E502" s="17" t="s">
        <v>671</v>
      </c>
      <c r="F502" s="17"/>
      <c r="G502" s="17"/>
      <c r="H502" s="17"/>
      <c r="I502" s="20"/>
      <c r="J502" s="20"/>
      <c r="K502" s="20"/>
      <c r="L502" s="20"/>
      <c r="M502" s="21" t="str">
        <f t="shared" si="451"/>
        <v/>
      </c>
      <c r="N502" s="21">
        <v>0</v>
      </c>
      <c r="O502" s="48">
        <f>O501</f>
        <v>100000</v>
      </c>
      <c r="P502" s="22"/>
      <c r="Q502" s="23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  <c r="CO502" s="47"/>
    </row>
    <row r="503" spans="1:93" outlineLevel="3" x14ac:dyDescent="0.25">
      <c r="A503" s="10" t="s">
        <v>116</v>
      </c>
      <c r="B503" s="10" t="s">
        <v>672</v>
      </c>
      <c r="C503" s="11" t="s">
        <v>673</v>
      </c>
      <c r="D503" s="12" t="s">
        <v>110</v>
      </c>
      <c r="E503" s="10" t="s">
        <v>674</v>
      </c>
      <c r="F503" s="10">
        <v>249</v>
      </c>
      <c r="G503" s="10">
        <v>249</v>
      </c>
      <c r="H503" s="10">
        <v>3</v>
      </c>
      <c r="I503" s="13">
        <v>46454.333333333343</v>
      </c>
      <c r="J503" s="13">
        <v>46465.666666666657</v>
      </c>
      <c r="K503" s="13"/>
      <c r="L503" s="13"/>
      <c r="M503" s="14">
        <f t="shared" si="451"/>
        <v>1</v>
      </c>
      <c r="N503" s="14"/>
      <c r="O503" s="16">
        <v>100000</v>
      </c>
      <c r="P503" s="15">
        <v>6.8</v>
      </c>
      <c r="Q503" s="16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  <c r="BT503" s="47"/>
      <c r="BU503" s="47"/>
      <c r="BV503" s="47"/>
      <c r="BW503" s="47"/>
      <c r="BX503" s="47"/>
      <c r="BY503" s="47">
        <v>0.41666666666666657</v>
      </c>
      <c r="BZ503" s="47">
        <v>0.58333333333333337</v>
      </c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  <c r="CO503" s="47"/>
    </row>
    <row r="504" spans="1:93" outlineLevel="3" x14ac:dyDescent="0.25">
      <c r="A504" s="17"/>
      <c r="B504" s="17"/>
      <c r="C504" s="18"/>
      <c r="D504" s="19" t="s">
        <v>111</v>
      </c>
      <c r="E504" s="17" t="s">
        <v>674</v>
      </c>
      <c r="F504" s="17"/>
      <c r="G504" s="17"/>
      <c r="H504" s="17"/>
      <c r="I504" s="20"/>
      <c r="J504" s="20"/>
      <c r="K504" s="20"/>
      <c r="L504" s="20"/>
      <c r="M504" s="21" t="str">
        <f t="shared" si="451"/>
        <v/>
      </c>
      <c r="N504" s="21">
        <v>0</v>
      </c>
      <c r="O504" s="48">
        <f>O503</f>
        <v>100000</v>
      </c>
      <c r="P504" s="22"/>
      <c r="Q504" s="23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  <c r="CO504" s="47"/>
    </row>
    <row r="505" spans="1:93" outlineLevel="3" x14ac:dyDescent="0.25">
      <c r="A505" s="10" t="s">
        <v>116</v>
      </c>
      <c r="B505" s="10" t="s">
        <v>675</v>
      </c>
      <c r="C505" s="11" t="s">
        <v>129</v>
      </c>
      <c r="D505" s="12" t="s">
        <v>110</v>
      </c>
      <c r="E505" s="10" t="s">
        <v>676</v>
      </c>
      <c r="F505" s="10">
        <v>250</v>
      </c>
      <c r="G505" s="10">
        <v>250</v>
      </c>
      <c r="H505" s="10">
        <v>3</v>
      </c>
      <c r="I505" s="13">
        <v>46482.333333333343</v>
      </c>
      <c r="J505" s="13">
        <v>46493.666666666657</v>
      </c>
      <c r="K505" s="13"/>
      <c r="L505" s="13"/>
      <c r="M505" s="14">
        <f t="shared" si="451"/>
        <v>1</v>
      </c>
      <c r="N505" s="14"/>
      <c r="O505" s="16">
        <v>100000</v>
      </c>
      <c r="P505" s="15">
        <v>4.1333333333333337</v>
      </c>
      <c r="Q505" s="16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>
        <v>0.41666666666666657</v>
      </c>
      <c r="CD505" s="47">
        <v>0.58333333333333337</v>
      </c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  <c r="CO505" s="47"/>
    </row>
    <row r="506" spans="1:93" outlineLevel="3" x14ac:dyDescent="0.25">
      <c r="A506" s="17"/>
      <c r="B506" s="17"/>
      <c r="C506" s="18"/>
      <c r="D506" s="19" t="s">
        <v>111</v>
      </c>
      <c r="E506" s="17" t="s">
        <v>676</v>
      </c>
      <c r="F506" s="17"/>
      <c r="G506" s="17"/>
      <c r="H506" s="17"/>
      <c r="I506" s="20"/>
      <c r="J506" s="20"/>
      <c r="K506" s="20"/>
      <c r="L506" s="20"/>
      <c r="M506" s="21" t="str">
        <f t="shared" si="451"/>
        <v/>
      </c>
      <c r="N506" s="21">
        <v>0</v>
      </c>
      <c r="O506" s="48">
        <f>O505</f>
        <v>100000</v>
      </c>
      <c r="P506" s="22"/>
      <c r="Q506" s="23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  <c r="CO506" s="47"/>
    </row>
    <row r="507" spans="1:93" outlineLevel="3" x14ac:dyDescent="0.25">
      <c r="A507" s="10" t="s">
        <v>116</v>
      </c>
      <c r="B507" s="10" t="s">
        <v>677</v>
      </c>
      <c r="C507" s="11" t="s">
        <v>126</v>
      </c>
      <c r="D507" s="12" t="s">
        <v>110</v>
      </c>
      <c r="E507" s="10" t="s">
        <v>678</v>
      </c>
      <c r="F507" s="10">
        <v>251</v>
      </c>
      <c r="G507" s="10">
        <v>251</v>
      </c>
      <c r="H507" s="10">
        <v>3</v>
      </c>
      <c r="I507" s="13">
        <v>46510.333333333343</v>
      </c>
      <c r="J507" s="13">
        <v>46521.666666666657</v>
      </c>
      <c r="K507" s="13"/>
      <c r="L507" s="13"/>
      <c r="M507" s="14">
        <f t="shared" si="451"/>
        <v>1</v>
      </c>
      <c r="N507" s="14"/>
      <c r="O507" s="16">
        <v>100000</v>
      </c>
      <c r="P507" s="15">
        <v>1.466666666666667</v>
      </c>
      <c r="Q507" s="16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>
        <v>0.41666666666666657</v>
      </c>
      <c r="CH507" s="47">
        <v>0.58333333333333337</v>
      </c>
      <c r="CI507" s="47"/>
      <c r="CJ507" s="47"/>
      <c r="CK507" s="47"/>
      <c r="CL507" s="47"/>
      <c r="CM507" s="47"/>
      <c r="CN507" s="47"/>
      <c r="CO507" s="47"/>
    </row>
    <row r="508" spans="1:93" outlineLevel="3" x14ac:dyDescent="0.25">
      <c r="A508" s="17"/>
      <c r="B508" s="17"/>
      <c r="C508" s="18"/>
      <c r="D508" s="19" t="s">
        <v>111</v>
      </c>
      <c r="E508" s="17" t="s">
        <v>678</v>
      </c>
      <c r="F508" s="17"/>
      <c r="G508" s="17"/>
      <c r="H508" s="17"/>
      <c r="I508" s="20"/>
      <c r="J508" s="20"/>
      <c r="K508" s="20"/>
      <c r="L508" s="20"/>
      <c r="M508" s="21" t="str">
        <f t="shared" si="451"/>
        <v/>
      </c>
      <c r="N508" s="21">
        <v>0</v>
      </c>
      <c r="O508" s="48">
        <f>O507</f>
        <v>100000</v>
      </c>
      <c r="P508" s="22"/>
      <c r="Q508" s="23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  <c r="CO508" s="47"/>
    </row>
    <row r="509" spans="1:93" outlineLevel="2" x14ac:dyDescent="0.25">
      <c r="A509" s="1" t="s">
        <v>92</v>
      </c>
      <c r="B509" s="1" t="s">
        <v>679</v>
      </c>
      <c r="C509" s="6" t="s">
        <v>680</v>
      </c>
      <c r="D509" s="8" t="s">
        <v>110</v>
      </c>
      <c r="E509" s="1"/>
      <c r="F509" s="1">
        <v>252</v>
      </c>
      <c r="G509" s="1">
        <v>252</v>
      </c>
      <c r="H509" s="1">
        <v>2</v>
      </c>
      <c r="I509" s="9">
        <v>46398.333333333343</v>
      </c>
      <c r="J509" s="9">
        <v>46534.666666666657</v>
      </c>
      <c r="K509" s="9"/>
      <c r="L509" s="9"/>
      <c r="M509" s="3">
        <f t="shared" si="451"/>
        <v>1.0000000000000002</v>
      </c>
      <c r="N509" s="3"/>
      <c r="O509" s="5">
        <f>SUMIFS($O$510:$O$513,$A$510:$A$513,"Activity",$D$510:$D$513,"P")</f>
        <v>200000</v>
      </c>
      <c r="P509" s="4"/>
      <c r="Q509" s="5"/>
      <c r="R509" s="45" t="str">
        <f t="shared" ref="R509:AW509" si="500">IF(COUNTIFS($A$511:$A$514,"Activity",$D$511:$D$514,"P",R$511:R$514,"&lt;&gt;")=0,"",IFERROR(SUMPRODUCT(--($A$511:$A$514="Activity"),--($D$511:$D$514="P"),$O$511:$O$514,R$511:R$514)/SUMPRODUCT(--($A$511:$A$514="Activity"),--($D$511:$D$514="P"),$O$511:$O$514),""))</f>
        <v/>
      </c>
      <c r="S509" s="45" t="str">
        <f t="shared" si="500"/>
        <v/>
      </c>
      <c r="T509" s="45" t="str">
        <f t="shared" si="500"/>
        <v/>
      </c>
      <c r="U509" s="45" t="str">
        <f t="shared" si="500"/>
        <v/>
      </c>
      <c r="V509" s="45" t="str">
        <f t="shared" si="500"/>
        <v/>
      </c>
      <c r="W509" s="45" t="str">
        <f t="shared" si="500"/>
        <v/>
      </c>
      <c r="X509" s="45" t="str">
        <f t="shared" si="500"/>
        <v/>
      </c>
      <c r="Y509" s="45" t="str">
        <f t="shared" si="500"/>
        <v/>
      </c>
      <c r="Z509" s="45" t="str">
        <f t="shared" si="500"/>
        <v/>
      </c>
      <c r="AA509" s="45" t="str">
        <f t="shared" si="500"/>
        <v/>
      </c>
      <c r="AB509" s="45" t="str">
        <f t="shared" si="500"/>
        <v/>
      </c>
      <c r="AC509" s="45" t="str">
        <f t="shared" si="500"/>
        <v/>
      </c>
      <c r="AD509" s="45" t="str">
        <f t="shared" si="500"/>
        <v/>
      </c>
      <c r="AE509" s="45" t="str">
        <f t="shared" si="500"/>
        <v/>
      </c>
      <c r="AF509" s="45" t="str">
        <f t="shared" si="500"/>
        <v/>
      </c>
      <c r="AG509" s="45" t="str">
        <f t="shared" si="500"/>
        <v/>
      </c>
      <c r="AH509" s="45" t="str">
        <f t="shared" si="500"/>
        <v/>
      </c>
      <c r="AI509" s="45" t="str">
        <f t="shared" si="500"/>
        <v/>
      </c>
      <c r="AJ509" s="45" t="str">
        <f t="shared" si="500"/>
        <v/>
      </c>
      <c r="AK509" s="45" t="str">
        <f t="shared" si="500"/>
        <v/>
      </c>
      <c r="AL509" s="45" t="str">
        <f t="shared" si="500"/>
        <v/>
      </c>
      <c r="AM509" s="45" t="str">
        <f t="shared" si="500"/>
        <v/>
      </c>
      <c r="AN509" s="45" t="str">
        <f t="shared" si="500"/>
        <v/>
      </c>
      <c r="AO509" s="45" t="str">
        <f t="shared" si="500"/>
        <v/>
      </c>
      <c r="AP509" s="45" t="str">
        <f t="shared" si="500"/>
        <v/>
      </c>
      <c r="AQ509" s="45" t="str">
        <f t="shared" si="500"/>
        <v/>
      </c>
      <c r="AR509" s="45" t="str">
        <f t="shared" si="500"/>
        <v/>
      </c>
      <c r="AS509" s="45" t="str">
        <f t="shared" si="500"/>
        <v/>
      </c>
      <c r="AT509" s="45" t="str">
        <f t="shared" si="500"/>
        <v/>
      </c>
      <c r="AU509" s="45" t="str">
        <f t="shared" si="500"/>
        <v/>
      </c>
      <c r="AV509" s="45" t="str">
        <f t="shared" si="500"/>
        <v/>
      </c>
      <c r="AW509" s="45" t="str">
        <f t="shared" si="500"/>
        <v/>
      </c>
      <c r="AX509" s="45" t="str">
        <f t="shared" ref="AX509:CC509" si="501">IF(COUNTIFS($A$511:$A$514,"Activity",$D$511:$D$514,"P",AX$511:AX$514,"&lt;&gt;")=0,"",IFERROR(SUMPRODUCT(--($A$511:$A$514="Activity"),--($D$511:$D$514="P"),$O$511:$O$514,AX$511:AX$514)/SUMPRODUCT(--($A$511:$A$514="Activity"),--($D$511:$D$514="P"),$O$511:$O$514),""))</f>
        <v/>
      </c>
      <c r="AY509" s="45" t="str">
        <f t="shared" si="501"/>
        <v/>
      </c>
      <c r="AZ509" s="45" t="str">
        <f t="shared" si="501"/>
        <v/>
      </c>
      <c r="BA509" s="45" t="str">
        <f t="shared" si="501"/>
        <v/>
      </c>
      <c r="BB509" s="45" t="str">
        <f t="shared" si="501"/>
        <v/>
      </c>
      <c r="BC509" s="45" t="str">
        <f t="shared" si="501"/>
        <v/>
      </c>
      <c r="BD509" s="45" t="str">
        <f t="shared" si="501"/>
        <v/>
      </c>
      <c r="BE509" s="45" t="str">
        <f t="shared" si="501"/>
        <v/>
      </c>
      <c r="BF509" s="45" t="str">
        <f t="shared" si="501"/>
        <v/>
      </c>
      <c r="BG509" s="45" t="str">
        <f t="shared" si="501"/>
        <v/>
      </c>
      <c r="BH509" s="45" t="str">
        <f t="shared" si="501"/>
        <v/>
      </c>
      <c r="BI509" s="45" t="str">
        <f t="shared" si="501"/>
        <v/>
      </c>
      <c r="BJ509" s="45" t="str">
        <f t="shared" si="501"/>
        <v/>
      </c>
      <c r="BK509" s="45" t="str">
        <f t="shared" si="501"/>
        <v/>
      </c>
      <c r="BL509" s="45" t="str">
        <f t="shared" si="501"/>
        <v/>
      </c>
      <c r="BM509" s="45" t="str">
        <f t="shared" si="501"/>
        <v/>
      </c>
      <c r="BN509" s="45" t="str">
        <f t="shared" si="501"/>
        <v/>
      </c>
      <c r="BO509" s="45" t="str">
        <f t="shared" si="501"/>
        <v/>
      </c>
      <c r="BP509" s="45" t="str">
        <f t="shared" si="501"/>
        <v/>
      </c>
      <c r="BQ509" s="45">
        <f t="shared" si="501"/>
        <v>4.0983606557377053E-2</v>
      </c>
      <c r="BR509" s="45">
        <f t="shared" si="501"/>
        <v>5.7377049180327849E-2</v>
      </c>
      <c r="BS509" s="45">
        <f t="shared" si="501"/>
        <v>5.7377049180327849E-2</v>
      </c>
      <c r="BT509" s="45">
        <f t="shared" si="501"/>
        <v>5.7377049180327849E-2</v>
      </c>
      <c r="BU509" s="45">
        <f t="shared" si="501"/>
        <v>5.7377049180327849E-2</v>
      </c>
      <c r="BV509" s="45">
        <f t="shared" si="501"/>
        <v>5.7377049180327849E-2</v>
      </c>
      <c r="BW509" s="45">
        <f t="shared" si="501"/>
        <v>5.7377049180327849E-2</v>
      </c>
      <c r="BX509" s="45">
        <f t="shared" si="501"/>
        <v>5.7377049180327849E-2</v>
      </c>
      <c r="BY509" s="45">
        <f t="shared" si="501"/>
        <v>5.7377049180327801E-2</v>
      </c>
      <c r="BZ509" s="45">
        <f t="shared" si="501"/>
        <v>7.1428571428571452E-3</v>
      </c>
      <c r="CA509" s="45">
        <f t="shared" si="501"/>
        <v>0.05</v>
      </c>
      <c r="CB509" s="45">
        <f t="shared" si="501"/>
        <v>0.05</v>
      </c>
      <c r="CC509" s="45">
        <f t="shared" si="501"/>
        <v>0.05</v>
      </c>
      <c r="CD509" s="45">
        <f t="shared" ref="CD509:CO509" si="502">IF(COUNTIFS($A$511:$A$514,"Activity",$D$511:$D$514,"P",CD$511:CD$514,"&lt;&gt;")=0,"",IFERROR(SUMPRODUCT(--($A$511:$A$514="Activity"),--($D$511:$D$514="P"),$O$511:$O$514,CD$511:CD$514)/SUMPRODUCT(--($A$511:$A$514="Activity"),--($D$511:$D$514="P"),$O$511:$O$514),""))</f>
        <v>0.05</v>
      </c>
      <c r="CE509" s="45">
        <f t="shared" si="502"/>
        <v>0.05</v>
      </c>
      <c r="CF509" s="45">
        <f t="shared" si="502"/>
        <v>0.05</v>
      </c>
      <c r="CG509" s="45">
        <f t="shared" si="502"/>
        <v>0.05</v>
      </c>
      <c r="CH509" s="45">
        <f t="shared" si="502"/>
        <v>0.05</v>
      </c>
      <c r="CI509" s="45">
        <f t="shared" si="502"/>
        <v>0.05</v>
      </c>
      <c r="CJ509" s="45">
        <f t="shared" si="502"/>
        <v>4.2857142857142927E-2</v>
      </c>
      <c r="CK509" s="45" t="str">
        <f t="shared" si="502"/>
        <v/>
      </c>
      <c r="CL509" s="45" t="str">
        <f t="shared" si="502"/>
        <v/>
      </c>
      <c r="CM509" s="45" t="str">
        <f t="shared" si="502"/>
        <v/>
      </c>
      <c r="CN509" s="45" t="str">
        <f t="shared" si="502"/>
        <v/>
      </c>
      <c r="CO509" s="45" t="str">
        <f t="shared" si="502"/>
        <v/>
      </c>
    </row>
    <row r="510" spans="1:93" outlineLevel="2" x14ac:dyDescent="0.25">
      <c r="A510" s="1"/>
      <c r="B510" s="1"/>
      <c r="C510" s="6"/>
      <c r="D510" s="8" t="s">
        <v>111</v>
      </c>
      <c r="E510" s="1"/>
      <c r="F510" s="1"/>
      <c r="G510" s="1"/>
      <c r="H510" s="1"/>
      <c r="I510" s="9"/>
      <c r="J510" s="9"/>
      <c r="K510" s="9"/>
      <c r="L510" s="9"/>
      <c r="M510" s="3" t="str">
        <f t="shared" si="451"/>
        <v/>
      </c>
      <c r="N510" s="3"/>
      <c r="O510" s="46">
        <f>O509</f>
        <v>200000</v>
      </c>
      <c r="P510" s="4"/>
      <c r="Q510" s="5"/>
      <c r="R510" s="45" t="str">
        <f t="shared" ref="R510:AW510" si="503">IF(COUNTIFS($E$511:$E$514,"&lt;&gt;",$D$511:$D$514,"A",R$511:R$514,"&lt;&gt;")=0,"",IFERROR(SUMPRODUCT(--($E$511:$E$514&lt;&gt;""),--($D$511:$D$514="A"),$O$511:$O$514,R$511:R$514)/SUMPRODUCT(--($E$511:$E$514&lt;&gt;""),--($D$511:$D$514="A"),$O$511:$O$514),""))</f>
        <v/>
      </c>
      <c r="S510" s="45" t="str">
        <f t="shared" si="503"/>
        <v/>
      </c>
      <c r="T510" s="45" t="str">
        <f t="shared" si="503"/>
        <v/>
      </c>
      <c r="U510" s="45" t="str">
        <f t="shared" si="503"/>
        <v/>
      </c>
      <c r="V510" s="45" t="str">
        <f t="shared" si="503"/>
        <v/>
      </c>
      <c r="W510" s="45" t="str">
        <f t="shared" si="503"/>
        <v/>
      </c>
      <c r="X510" s="45" t="str">
        <f t="shared" si="503"/>
        <v/>
      </c>
      <c r="Y510" s="45" t="str">
        <f t="shared" si="503"/>
        <v/>
      </c>
      <c r="Z510" s="45" t="str">
        <f t="shared" si="503"/>
        <v/>
      </c>
      <c r="AA510" s="45" t="str">
        <f t="shared" si="503"/>
        <v/>
      </c>
      <c r="AB510" s="45" t="str">
        <f t="shared" si="503"/>
        <v/>
      </c>
      <c r="AC510" s="45" t="str">
        <f t="shared" si="503"/>
        <v/>
      </c>
      <c r="AD510" s="45" t="str">
        <f t="shared" si="503"/>
        <v/>
      </c>
      <c r="AE510" s="45" t="str">
        <f t="shared" si="503"/>
        <v/>
      </c>
      <c r="AF510" s="45" t="str">
        <f t="shared" si="503"/>
        <v/>
      </c>
      <c r="AG510" s="45" t="str">
        <f t="shared" si="503"/>
        <v/>
      </c>
      <c r="AH510" s="45" t="str">
        <f t="shared" si="503"/>
        <v/>
      </c>
      <c r="AI510" s="45" t="str">
        <f t="shared" si="503"/>
        <v/>
      </c>
      <c r="AJ510" s="45" t="str">
        <f t="shared" si="503"/>
        <v/>
      </c>
      <c r="AK510" s="45" t="str">
        <f t="shared" si="503"/>
        <v/>
      </c>
      <c r="AL510" s="45" t="str">
        <f t="shared" si="503"/>
        <v/>
      </c>
      <c r="AM510" s="45" t="str">
        <f t="shared" si="503"/>
        <v/>
      </c>
      <c r="AN510" s="45" t="str">
        <f t="shared" si="503"/>
        <v/>
      </c>
      <c r="AO510" s="45" t="str">
        <f t="shared" si="503"/>
        <v/>
      </c>
      <c r="AP510" s="45" t="str">
        <f t="shared" si="503"/>
        <v/>
      </c>
      <c r="AQ510" s="45" t="str">
        <f t="shared" si="503"/>
        <v/>
      </c>
      <c r="AR510" s="45" t="str">
        <f t="shared" si="503"/>
        <v/>
      </c>
      <c r="AS510" s="45" t="str">
        <f t="shared" si="503"/>
        <v/>
      </c>
      <c r="AT510" s="45" t="str">
        <f t="shared" si="503"/>
        <v/>
      </c>
      <c r="AU510" s="45" t="str">
        <f t="shared" si="503"/>
        <v/>
      </c>
      <c r="AV510" s="45" t="str">
        <f t="shared" si="503"/>
        <v/>
      </c>
      <c r="AW510" s="45" t="str">
        <f t="shared" si="503"/>
        <v/>
      </c>
      <c r="AX510" s="45" t="str">
        <f t="shared" ref="AX510:CC510" si="504">IF(COUNTIFS($E$511:$E$514,"&lt;&gt;",$D$511:$D$514,"A",AX$511:AX$514,"&lt;&gt;")=0,"",IFERROR(SUMPRODUCT(--($E$511:$E$514&lt;&gt;""),--($D$511:$D$514="A"),$O$511:$O$514,AX$511:AX$514)/SUMPRODUCT(--($E$511:$E$514&lt;&gt;""),--($D$511:$D$514="A"),$O$511:$O$514),""))</f>
        <v/>
      </c>
      <c r="AY510" s="45" t="str">
        <f t="shared" si="504"/>
        <v/>
      </c>
      <c r="AZ510" s="45" t="str">
        <f t="shared" si="504"/>
        <v/>
      </c>
      <c r="BA510" s="45" t="str">
        <f t="shared" si="504"/>
        <v/>
      </c>
      <c r="BB510" s="45" t="str">
        <f t="shared" si="504"/>
        <v/>
      </c>
      <c r="BC510" s="45" t="str">
        <f t="shared" si="504"/>
        <v/>
      </c>
      <c r="BD510" s="45" t="str">
        <f t="shared" si="504"/>
        <v/>
      </c>
      <c r="BE510" s="45" t="str">
        <f t="shared" si="504"/>
        <v/>
      </c>
      <c r="BF510" s="45" t="str">
        <f t="shared" si="504"/>
        <v/>
      </c>
      <c r="BG510" s="45" t="str">
        <f t="shared" si="504"/>
        <v/>
      </c>
      <c r="BH510" s="45" t="str">
        <f t="shared" si="504"/>
        <v/>
      </c>
      <c r="BI510" s="45" t="str">
        <f t="shared" si="504"/>
        <v/>
      </c>
      <c r="BJ510" s="45" t="str">
        <f t="shared" si="504"/>
        <v/>
      </c>
      <c r="BK510" s="45" t="str">
        <f t="shared" si="504"/>
        <v/>
      </c>
      <c r="BL510" s="45" t="str">
        <f t="shared" si="504"/>
        <v/>
      </c>
      <c r="BM510" s="45" t="str">
        <f t="shared" si="504"/>
        <v/>
      </c>
      <c r="BN510" s="45" t="str">
        <f t="shared" si="504"/>
        <v/>
      </c>
      <c r="BO510" s="45" t="str">
        <f t="shared" si="504"/>
        <v/>
      </c>
      <c r="BP510" s="45" t="str">
        <f t="shared" si="504"/>
        <v/>
      </c>
      <c r="BQ510" s="45" t="str">
        <f t="shared" si="504"/>
        <v/>
      </c>
      <c r="BR510" s="45" t="str">
        <f t="shared" si="504"/>
        <v/>
      </c>
      <c r="BS510" s="45" t="str">
        <f t="shared" si="504"/>
        <v/>
      </c>
      <c r="BT510" s="45" t="str">
        <f t="shared" si="504"/>
        <v/>
      </c>
      <c r="BU510" s="45" t="str">
        <f t="shared" si="504"/>
        <v/>
      </c>
      <c r="BV510" s="45" t="str">
        <f t="shared" si="504"/>
        <v/>
      </c>
      <c r="BW510" s="45" t="str">
        <f t="shared" si="504"/>
        <v/>
      </c>
      <c r="BX510" s="45" t="str">
        <f t="shared" si="504"/>
        <v/>
      </c>
      <c r="BY510" s="45" t="str">
        <f t="shared" si="504"/>
        <v/>
      </c>
      <c r="BZ510" s="45" t="str">
        <f t="shared" si="504"/>
        <v/>
      </c>
      <c r="CA510" s="45" t="str">
        <f t="shared" si="504"/>
        <v/>
      </c>
      <c r="CB510" s="45" t="str">
        <f t="shared" si="504"/>
        <v/>
      </c>
      <c r="CC510" s="45" t="str">
        <f t="shared" si="504"/>
        <v/>
      </c>
      <c r="CD510" s="45" t="str">
        <f t="shared" ref="CD510:CO510" si="505">IF(COUNTIFS($E$511:$E$514,"&lt;&gt;",$D$511:$D$514,"A",CD$511:CD$514,"&lt;&gt;")=0,"",IFERROR(SUMPRODUCT(--($E$511:$E$514&lt;&gt;""),--($D$511:$D$514="A"),$O$511:$O$514,CD$511:CD$514)/SUMPRODUCT(--($E$511:$E$514&lt;&gt;""),--($D$511:$D$514="A"),$O$511:$O$514),""))</f>
        <v/>
      </c>
      <c r="CE510" s="45" t="str">
        <f t="shared" si="505"/>
        <v/>
      </c>
      <c r="CF510" s="45" t="str">
        <f t="shared" si="505"/>
        <v/>
      </c>
      <c r="CG510" s="45" t="str">
        <f t="shared" si="505"/>
        <v/>
      </c>
      <c r="CH510" s="45" t="str">
        <f t="shared" si="505"/>
        <v/>
      </c>
      <c r="CI510" s="45" t="str">
        <f t="shared" si="505"/>
        <v/>
      </c>
      <c r="CJ510" s="45" t="str">
        <f t="shared" si="505"/>
        <v/>
      </c>
      <c r="CK510" s="45" t="str">
        <f t="shared" si="505"/>
        <v/>
      </c>
      <c r="CL510" s="45" t="str">
        <f t="shared" si="505"/>
        <v/>
      </c>
      <c r="CM510" s="45" t="str">
        <f t="shared" si="505"/>
        <v/>
      </c>
      <c r="CN510" s="45" t="str">
        <f t="shared" si="505"/>
        <v/>
      </c>
      <c r="CO510" s="45" t="str">
        <f t="shared" si="505"/>
        <v/>
      </c>
    </row>
    <row r="511" spans="1:93" outlineLevel="3" x14ac:dyDescent="0.25">
      <c r="A511" s="10" t="s">
        <v>116</v>
      </c>
      <c r="B511" s="10" t="s">
        <v>681</v>
      </c>
      <c r="C511" s="11" t="s">
        <v>682</v>
      </c>
      <c r="D511" s="12" t="s">
        <v>110</v>
      </c>
      <c r="E511" s="10" t="s">
        <v>683</v>
      </c>
      <c r="F511" s="10">
        <v>253</v>
      </c>
      <c r="G511" s="10">
        <v>253</v>
      </c>
      <c r="H511" s="10">
        <v>3</v>
      </c>
      <c r="I511" s="13">
        <v>46465.333333333343</v>
      </c>
      <c r="J511" s="13">
        <v>46534.666666666657</v>
      </c>
      <c r="K511" s="13"/>
      <c r="L511" s="13"/>
      <c r="M511" s="14">
        <f t="shared" si="451"/>
        <v>1</v>
      </c>
      <c r="N511" s="14"/>
      <c r="O511" s="16">
        <v>100000</v>
      </c>
      <c r="P511" s="15">
        <v>0.26666666666666672</v>
      </c>
      <c r="Q511" s="16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  <c r="BT511" s="47"/>
      <c r="BU511" s="47"/>
      <c r="BV511" s="47"/>
      <c r="BW511" s="47"/>
      <c r="BX511" s="47"/>
      <c r="BY511" s="47"/>
      <c r="BZ511" s="47">
        <v>1.428571428571429E-2</v>
      </c>
      <c r="CA511" s="47">
        <v>0.1</v>
      </c>
      <c r="CB511" s="47">
        <v>0.1</v>
      </c>
      <c r="CC511" s="47">
        <v>0.1</v>
      </c>
      <c r="CD511" s="47">
        <v>0.1</v>
      </c>
      <c r="CE511" s="47">
        <v>0.1</v>
      </c>
      <c r="CF511" s="47">
        <v>0.1</v>
      </c>
      <c r="CG511" s="47">
        <v>0.1</v>
      </c>
      <c r="CH511" s="47">
        <v>0.1</v>
      </c>
      <c r="CI511" s="47">
        <v>0.1</v>
      </c>
      <c r="CJ511" s="47">
        <v>8.5714285714285854E-2</v>
      </c>
      <c r="CK511" s="47"/>
      <c r="CL511" s="47"/>
      <c r="CM511" s="47"/>
      <c r="CN511" s="47"/>
      <c r="CO511" s="47"/>
    </row>
    <row r="512" spans="1:93" outlineLevel="3" x14ac:dyDescent="0.25">
      <c r="A512" s="17"/>
      <c r="B512" s="17"/>
      <c r="C512" s="18"/>
      <c r="D512" s="19" t="s">
        <v>111</v>
      </c>
      <c r="E512" s="17" t="s">
        <v>683</v>
      </c>
      <c r="F512" s="17"/>
      <c r="G512" s="17"/>
      <c r="H512" s="17"/>
      <c r="I512" s="20"/>
      <c r="J512" s="20"/>
      <c r="K512" s="20"/>
      <c r="L512" s="20"/>
      <c r="M512" s="21" t="str">
        <f t="shared" si="451"/>
        <v/>
      </c>
      <c r="N512" s="21">
        <v>0</v>
      </c>
      <c r="O512" s="48">
        <f>O511</f>
        <v>100000</v>
      </c>
      <c r="P512" s="22"/>
      <c r="Q512" s="23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  <c r="CO512" s="47"/>
    </row>
    <row r="513" spans="1:93" outlineLevel="3" x14ac:dyDescent="0.25">
      <c r="A513" s="10" t="s">
        <v>116</v>
      </c>
      <c r="B513" s="10" t="s">
        <v>684</v>
      </c>
      <c r="C513" s="11" t="s">
        <v>685</v>
      </c>
      <c r="D513" s="12" t="s">
        <v>110</v>
      </c>
      <c r="E513" s="10" t="s">
        <v>686</v>
      </c>
      <c r="F513" s="10">
        <v>254</v>
      </c>
      <c r="G513" s="10">
        <v>254</v>
      </c>
      <c r="H513" s="10">
        <v>3</v>
      </c>
      <c r="I513" s="13">
        <v>46398.333333333343</v>
      </c>
      <c r="J513" s="13">
        <v>46458.666666666657</v>
      </c>
      <c r="K513" s="13"/>
      <c r="L513" s="13"/>
      <c r="M513" s="14">
        <f t="shared" si="451"/>
        <v>0.99999999999999956</v>
      </c>
      <c r="N513" s="14"/>
      <c r="O513" s="16">
        <v>100000</v>
      </c>
      <c r="P513" s="15">
        <v>7.4666666666666668</v>
      </c>
      <c r="Q513" s="16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>
        <v>8.1967213114754106E-2</v>
      </c>
      <c r="BR513" s="47">
        <v>0.1147540983606557</v>
      </c>
      <c r="BS513" s="47">
        <v>0.1147540983606557</v>
      </c>
      <c r="BT513" s="47">
        <v>0.1147540983606557</v>
      </c>
      <c r="BU513" s="47">
        <v>0.1147540983606557</v>
      </c>
      <c r="BV513" s="47">
        <v>0.1147540983606557</v>
      </c>
      <c r="BW513" s="47">
        <v>0.1147540983606557</v>
      </c>
      <c r="BX513" s="47">
        <v>0.1147540983606557</v>
      </c>
      <c r="BY513" s="47">
        <v>0.1147540983606556</v>
      </c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  <c r="CO513" s="47"/>
    </row>
    <row r="514" spans="1:93" outlineLevel="3" x14ac:dyDescent="0.25">
      <c r="A514" s="17"/>
      <c r="B514" s="17"/>
      <c r="C514" s="18"/>
      <c r="D514" s="19" t="s">
        <v>111</v>
      </c>
      <c r="E514" s="17" t="s">
        <v>686</v>
      </c>
      <c r="F514" s="17"/>
      <c r="G514" s="17"/>
      <c r="H514" s="17"/>
      <c r="I514" s="20"/>
      <c r="J514" s="20"/>
      <c r="K514" s="20"/>
      <c r="L514" s="20"/>
      <c r="M514" s="21" t="str">
        <f t="shared" si="451"/>
        <v/>
      </c>
      <c r="N514" s="21">
        <v>0</v>
      </c>
      <c r="O514" s="48">
        <f>O513</f>
        <v>100000</v>
      </c>
      <c r="P514" s="22"/>
      <c r="Q514" s="23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</row>
    <row r="516" spans="1:93" ht="20.100000000000001" customHeight="1" x14ac:dyDescent="0.25">
      <c r="A516" t="s">
        <v>687</v>
      </c>
      <c r="C516" s="49" t="s">
        <v>688</v>
      </c>
      <c r="D516" t="s">
        <v>110</v>
      </c>
      <c r="R516" s="50" t="str">
        <f t="shared" ref="R516:AW516" si="506">R5</f>
        <v/>
      </c>
      <c r="S516" s="50" t="str">
        <f t="shared" si="506"/>
        <v/>
      </c>
      <c r="T516" s="50" t="str">
        <f t="shared" si="506"/>
        <v/>
      </c>
      <c r="U516" s="50" t="str">
        <f t="shared" si="506"/>
        <v/>
      </c>
      <c r="V516" s="50" t="str">
        <f t="shared" si="506"/>
        <v/>
      </c>
      <c r="W516" s="50">
        <f t="shared" si="506"/>
        <v>8.8090204369274119E-4</v>
      </c>
      <c r="X516" s="50">
        <f t="shared" si="506"/>
        <v>1.0962336543731889E-3</v>
      </c>
      <c r="Y516" s="50">
        <f t="shared" si="506"/>
        <v>9.5920444757654078E-4</v>
      </c>
      <c r="Z516" s="50">
        <f t="shared" si="506"/>
        <v>8.2217524077989198E-4</v>
      </c>
      <c r="AA516" s="50">
        <f t="shared" si="506"/>
        <v>6.8514603398324306E-4</v>
      </c>
      <c r="AB516" s="50">
        <f t="shared" si="506"/>
        <v>5.4811682718659458E-4</v>
      </c>
      <c r="AC516" s="50">
        <f t="shared" si="506"/>
        <v>4.1108762038994588E-4</v>
      </c>
      <c r="AD516" s="50">
        <f t="shared" si="506"/>
        <v>5.5091334161101594E-4</v>
      </c>
      <c r="AE516" s="50">
        <f t="shared" si="506"/>
        <v>2.0750137029206792E-3</v>
      </c>
      <c r="AF516" s="50">
        <f t="shared" si="506"/>
        <v>1.9379844961240308E-3</v>
      </c>
      <c r="AG516" s="50">
        <f t="shared" si="506"/>
        <v>2.2148394241417505E-3</v>
      </c>
      <c r="AH516" s="50">
        <f t="shared" si="506"/>
        <v>3.8759689922480615E-3</v>
      </c>
      <c r="AI516" s="50">
        <f t="shared" si="506"/>
        <v>3.8759689922480615E-3</v>
      </c>
      <c r="AJ516" s="50">
        <f t="shared" si="506"/>
        <v>3.5991140642303442E-3</v>
      </c>
      <c r="AK516" s="50">
        <f t="shared" si="506"/>
        <v>1.9379844961240308E-3</v>
      </c>
      <c r="AL516" s="50">
        <f t="shared" si="506"/>
        <v>1.9379844961240308E-3</v>
      </c>
      <c r="AM516" s="50">
        <f t="shared" si="506"/>
        <v>1.8687707641196019E-3</v>
      </c>
      <c r="AN516" s="50">
        <f t="shared" si="506"/>
        <v>1.4534883720930239E-3</v>
      </c>
      <c r="AO516" s="50">
        <f t="shared" si="506"/>
        <v>1.4534883720930239E-3</v>
      </c>
      <c r="AP516" s="50">
        <f t="shared" si="506"/>
        <v>1.4534883720930239E-3</v>
      </c>
      <c r="AQ516" s="50">
        <f t="shared" si="506"/>
        <v>1.8687707641196008E-3</v>
      </c>
      <c r="AR516" s="50">
        <f t="shared" si="506"/>
        <v>4.3604651162790697E-3</v>
      </c>
      <c r="AS516" s="50">
        <f t="shared" si="506"/>
        <v>6.2359339834958749E-3</v>
      </c>
      <c r="AT516" s="50">
        <f t="shared" si="506"/>
        <v>6.3297074268567144E-3</v>
      </c>
      <c r="AU516" s="50">
        <f t="shared" si="506"/>
        <v>5.4656521273175433E-3</v>
      </c>
      <c r="AV516" s="50">
        <f t="shared" si="506"/>
        <v>6.7933650079186458E-3</v>
      </c>
      <c r="AW516" s="50">
        <f t="shared" si="506"/>
        <v>8.7343437465124858E-3</v>
      </c>
      <c r="AX516" s="50">
        <f t="shared" ref="AX516:CC516" si="507">AX5</f>
        <v>9.0213929451355077E-3</v>
      </c>
      <c r="AY516" s="50">
        <f t="shared" si="507"/>
        <v>4.9839252448771101E-3</v>
      </c>
      <c r="AZ516" s="50">
        <f t="shared" si="507"/>
        <v>1.0428738829225579E-2</v>
      </c>
      <c r="BA516" s="50">
        <f t="shared" si="507"/>
        <v>1.0844021221252158E-2</v>
      </c>
      <c r="BB516" s="50">
        <f t="shared" si="507"/>
        <v>9.7311952197914713E-3</v>
      </c>
      <c r="BC516" s="50">
        <f t="shared" si="507"/>
        <v>1.8528451725114983E-2</v>
      </c>
      <c r="BD516" s="50">
        <f t="shared" si="507"/>
        <v>2.0638031661658212E-2</v>
      </c>
      <c r="BE516" s="50">
        <f t="shared" si="507"/>
        <v>2.2155933837325541E-2</v>
      </c>
      <c r="BF516" s="50">
        <f t="shared" si="507"/>
        <v>1.6914407274804134E-2</v>
      </c>
      <c r="BG516" s="50">
        <f t="shared" si="507"/>
        <v>1.5741134677265036E-2</v>
      </c>
      <c r="BH516" s="50">
        <f t="shared" si="507"/>
        <v>1.7593962975575732E-2</v>
      </c>
      <c r="BI516" s="50">
        <f t="shared" si="507"/>
        <v>1.7367264913266692E-2</v>
      </c>
      <c r="BJ516" s="50">
        <f t="shared" si="507"/>
        <v>1.5686371206353078E-2</v>
      </c>
      <c r="BK516" s="50">
        <f t="shared" si="507"/>
        <v>1.998445829207051E-2</v>
      </c>
      <c r="BL516" s="50">
        <f t="shared" si="507"/>
        <v>2.1303131015392107E-2</v>
      </c>
      <c r="BM516" s="50">
        <f t="shared" si="507"/>
        <v>2.4493748302599608E-2</v>
      </c>
      <c r="BN516" s="50">
        <f t="shared" si="507"/>
        <v>2.8311184858624858E-2</v>
      </c>
      <c r="BO516" s="50">
        <f t="shared" si="507"/>
        <v>3.6380627476678674E-2</v>
      </c>
      <c r="BP516" s="50">
        <f t="shared" si="507"/>
        <v>3.2990065885489112E-2</v>
      </c>
      <c r="BQ516" s="50">
        <f t="shared" si="507"/>
        <v>3.2992044927871625E-2</v>
      </c>
      <c r="BR516" s="50">
        <f t="shared" si="507"/>
        <v>2.5943400915253177E-2</v>
      </c>
      <c r="BS516" s="50">
        <f t="shared" si="507"/>
        <v>2.2813122974338927E-2</v>
      </c>
      <c r="BT516" s="50">
        <f t="shared" si="507"/>
        <v>2.5069314359124246E-2</v>
      </c>
      <c r="BU516" s="50">
        <f t="shared" si="507"/>
        <v>2.671391382900358E-2</v>
      </c>
      <c r="BV516" s="50">
        <f t="shared" si="507"/>
        <v>2.9569794247257999E-2</v>
      </c>
      <c r="BW516" s="50">
        <f t="shared" si="507"/>
        <v>2.6563798814701976E-2</v>
      </c>
      <c r="BX516" s="50">
        <f t="shared" si="507"/>
        <v>2.7123101502194671E-2</v>
      </c>
      <c r="BY516" s="50">
        <f t="shared" si="507"/>
        <v>3.0824320878577546E-2</v>
      </c>
      <c r="BZ516" s="50">
        <f t="shared" si="507"/>
        <v>3.1959780174163503E-2</v>
      </c>
      <c r="CA516" s="50">
        <f t="shared" si="507"/>
        <v>3.2436952051630427E-2</v>
      </c>
      <c r="CB516" s="50">
        <f t="shared" si="507"/>
        <v>2.9034858081512117E-2</v>
      </c>
      <c r="CC516" s="50">
        <f t="shared" si="507"/>
        <v>3.024586651703455E-2</v>
      </c>
      <c r="CD516" s="50">
        <f t="shared" ref="CD516:CO516" si="508">CD5</f>
        <v>2.9118095473539215E-2</v>
      </c>
      <c r="CE516" s="50">
        <f t="shared" si="508"/>
        <v>2.3957508222838195E-2</v>
      </c>
      <c r="CF516" s="50">
        <f t="shared" si="508"/>
        <v>2.8456400803126121E-2</v>
      </c>
      <c r="CG516" s="50">
        <f t="shared" si="508"/>
        <v>3.8015320818885437E-2</v>
      </c>
      <c r="CH516" s="50">
        <f t="shared" si="508"/>
        <v>3.7173220412831547E-2</v>
      </c>
      <c r="CI516" s="50">
        <f t="shared" si="508"/>
        <v>2.0578284341151287E-2</v>
      </c>
      <c r="CJ516" s="50">
        <f t="shared" si="508"/>
        <v>1.8317728782845061E-2</v>
      </c>
      <c r="CK516" s="50">
        <f t="shared" si="508"/>
        <v>6.5690123829658708E-3</v>
      </c>
      <c r="CL516" s="50" t="str">
        <f t="shared" si="508"/>
        <v/>
      </c>
      <c r="CM516" s="50" t="str">
        <f t="shared" si="508"/>
        <v/>
      </c>
      <c r="CN516" s="50" t="str">
        <f t="shared" si="508"/>
        <v/>
      </c>
      <c r="CO516" s="50" t="str">
        <f t="shared" si="508"/>
        <v/>
      </c>
    </row>
    <row r="517" spans="1:93" ht="20.100000000000001" customHeight="1" x14ac:dyDescent="0.25">
      <c r="A517" t="s">
        <v>687</v>
      </c>
      <c r="C517" s="49" t="s">
        <v>689</v>
      </c>
      <c r="D517" t="s">
        <v>690</v>
      </c>
      <c r="R517" s="51" t="str">
        <f>IF(COUNT($R516:R516)=0,"",SUM($R516:R516))</f>
        <v/>
      </c>
      <c r="S517" s="51" t="str">
        <f>IF(COUNT($R516:S516)=0,"",SUM($R516:S516))</f>
        <v/>
      </c>
      <c r="T517" s="51" t="str">
        <f>IF(COUNT($R516:T516)=0,"",SUM($R516:T516))</f>
        <v/>
      </c>
      <c r="U517" s="51" t="str">
        <f>IF(COUNT($R516:U516)=0,"",SUM($R516:U516))</f>
        <v/>
      </c>
      <c r="V517" s="51" t="str">
        <f>IF(COUNT($R516:V516)=0,"",SUM($R516:V516))</f>
        <v/>
      </c>
      <c r="W517" s="51">
        <f>IF(COUNT($R516:W516)=0,"",SUM($R516:W516))</f>
        <v>8.8090204369274119E-4</v>
      </c>
      <c r="X517" s="51">
        <f>IF(COUNT($R516:X516)=0,"",SUM($R516:X516))</f>
        <v>1.9771356980659302E-3</v>
      </c>
      <c r="Y517" s="51">
        <f>IF(COUNT($R516:Y516)=0,"",SUM($R516:Y516))</f>
        <v>2.9363401456424711E-3</v>
      </c>
      <c r="Z517" s="51">
        <f>IF(COUNT($R516:Z516)=0,"",SUM($R516:Z516))</f>
        <v>3.7585153864223633E-3</v>
      </c>
      <c r="AA517" s="51">
        <f>IF(COUNT($R516:AA516)=0,"",SUM($R516:AA516))</f>
        <v>4.443661420405606E-3</v>
      </c>
      <c r="AB517" s="51">
        <f>IF(COUNT($R516:AB516)=0,"",SUM($R516:AB516))</f>
        <v>4.9917782475922007E-3</v>
      </c>
      <c r="AC517" s="51">
        <f>IF(COUNT($R516:AC516)=0,"",SUM($R516:AC516))</f>
        <v>5.4028658679821468E-3</v>
      </c>
      <c r="AD517" s="51">
        <f>IF(COUNT($R516:AD516)=0,"",SUM($R516:AD516))</f>
        <v>5.9537792095931625E-3</v>
      </c>
      <c r="AE517" s="51">
        <f>IF(COUNT($R516:AE516)=0,"",SUM($R516:AE516))</f>
        <v>8.0287929125138421E-3</v>
      </c>
      <c r="AF517" s="51">
        <f>IF(COUNT($R516:AF516)=0,"",SUM($R516:AF516))</f>
        <v>9.9667774086378731E-3</v>
      </c>
      <c r="AG517" s="51">
        <f>IF(COUNT($R516:AG516)=0,"",SUM($R516:AG516))</f>
        <v>1.2181616832779624E-2</v>
      </c>
      <c r="AH517" s="51">
        <f>IF(COUNT($R516:AH516)=0,"",SUM($R516:AH516))</f>
        <v>1.6057585825027684E-2</v>
      </c>
      <c r="AI517" s="51">
        <f>IF(COUNT($R516:AI516)=0,"",SUM($R516:AI516))</f>
        <v>1.9933554817275746E-2</v>
      </c>
      <c r="AJ517" s="51">
        <f>IF(COUNT($R516:AJ516)=0,"",SUM($R516:AJ516))</f>
        <v>2.353266888150609E-2</v>
      </c>
      <c r="AK517" s="51">
        <f>IF(COUNT($R516:AK516)=0,"",SUM($R516:AK516))</f>
        <v>2.5470653377630121E-2</v>
      </c>
      <c r="AL517" s="51">
        <f>IF(COUNT($R516:AL516)=0,"",SUM($R516:AL516))</f>
        <v>2.7408637873754152E-2</v>
      </c>
      <c r="AM517" s="51">
        <f>IF(COUNT($R516:AM516)=0,"",SUM($R516:AM516))</f>
        <v>2.9277408637873755E-2</v>
      </c>
      <c r="AN517" s="51">
        <f>IF(COUNT($R516:AN516)=0,"",SUM($R516:AN516))</f>
        <v>3.0730897009966777E-2</v>
      </c>
      <c r="AO517" s="51">
        <f>IF(COUNT($R516:AO516)=0,"",SUM($R516:AO516))</f>
        <v>3.2184385382059803E-2</v>
      </c>
      <c r="AP517" s="51">
        <f>IF(COUNT($R516:AP516)=0,"",SUM($R516:AP516))</f>
        <v>3.3637873754152829E-2</v>
      </c>
      <c r="AQ517" s="51">
        <f>IF(COUNT($R516:AQ516)=0,"",SUM($R516:AQ516))</f>
        <v>3.5506644518272429E-2</v>
      </c>
      <c r="AR517" s="51">
        <f>IF(COUNT($R516:AR516)=0,"",SUM($R516:AR516))</f>
        <v>3.9867109634551499E-2</v>
      </c>
      <c r="AS517" s="51">
        <f>IF(COUNT($R516:AS516)=0,"",SUM($R516:AS516))</f>
        <v>4.6103043618047373E-2</v>
      </c>
      <c r="AT517" s="51">
        <f>IF(COUNT($R516:AT516)=0,"",SUM($R516:AT516))</f>
        <v>5.2432751044904087E-2</v>
      </c>
      <c r="AU517" s="51">
        <f>IF(COUNT($R516:AU516)=0,"",SUM($R516:AU516))</f>
        <v>5.7898403172221627E-2</v>
      </c>
      <c r="AV517" s="51">
        <f>IF(COUNT($R516:AV516)=0,"",SUM($R516:AV516))</f>
        <v>6.4691768180140274E-2</v>
      </c>
      <c r="AW517" s="51">
        <f>IF(COUNT($R516:AW516)=0,"",SUM($R516:AW516))</f>
        <v>7.3426111926652757E-2</v>
      </c>
      <c r="AX517" s="51">
        <f>IF(COUNT($R516:AX516)=0,"",SUM($R516:AX516))</f>
        <v>8.2447504871788257E-2</v>
      </c>
      <c r="AY517" s="51">
        <f>IF(COUNT($R516:AY516)=0,"",SUM($R516:AY516))</f>
        <v>8.7431430116665362E-2</v>
      </c>
      <c r="AZ517" s="51">
        <f>IF(COUNT($R516:AZ516)=0,"",SUM($R516:AZ516))</f>
        <v>9.7860168945890946E-2</v>
      </c>
      <c r="BA517" s="51">
        <f>IF(COUNT($R516:BA516)=0,"",SUM($R516:BA516))</f>
        <v>0.10870419016714311</v>
      </c>
      <c r="BB517" s="51">
        <f>IF(COUNT($R516:BB516)=0,"",SUM($R516:BB516))</f>
        <v>0.11843538538693459</v>
      </c>
      <c r="BC517" s="51">
        <f>IF(COUNT($R516:BC516)=0,"",SUM($R516:BC516))</f>
        <v>0.13696383711204957</v>
      </c>
      <c r="BD517" s="51">
        <f>IF(COUNT($R516:BD516)=0,"",SUM($R516:BD516))</f>
        <v>0.15760186877370777</v>
      </c>
      <c r="BE517" s="51">
        <f>IF(COUNT($R516:BE516)=0,"",SUM($R516:BE516))</f>
        <v>0.1797578026110333</v>
      </c>
      <c r="BF517" s="51">
        <f>IF(COUNT($R516:BF516)=0,"",SUM($R516:BF516))</f>
        <v>0.19667220988583745</v>
      </c>
      <c r="BG517" s="51">
        <f>IF(COUNT($R516:BG516)=0,"",SUM($R516:BG516))</f>
        <v>0.21241334456310249</v>
      </c>
      <c r="BH517" s="51">
        <f>IF(COUNT($R516:BH516)=0,"",SUM($R516:BH516))</f>
        <v>0.23000730753867821</v>
      </c>
      <c r="BI517" s="51">
        <f>IF(COUNT($R516:BI516)=0,"",SUM($R516:BI516))</f>
        <v>0.24737457245194489</v>
      </c>
      <c r="BJ517" s="51">
        <f>IF(COUNT($R516:BJ516)=0,"",SUM($R516:BJ516))</f>
        <v>0.26306094365829796</v>
      </c>
      <c r="BK517" s="51">
        <f>IF(COUNT($R516:BK516)=0,"",SUM($R516:BK516))</f>
        <v>0.28304540195036848</v>
      </c>
      <c r="BL517" s="51">
        <f>IF(COUNT($R516:BL516)=0,"",SUM($R516:BL516))</f>
        <v>0.30434853296576059</v>
      </c>
      <c r="BM517" s="51">
        <f>IF(COUNT($R516:BM516)=0,"",SUM($R516:BM516))</f>
        <v>0.32884228126836018</v>
      </c>
      <c r="BN517" s="51">
        <f>IF(COUNT($R516:BN516)=0,"",SUM($R516:BN516))</f>
        <v>0.35715346612698506</v>
      </c>
      <c r="BO517" s="51">
        <f>IF(COUNT($R516:BO516)=0,"",SUM($R516:BO516))</f>
        <v>0.39353409360366376</v>
      </c>
      <c r="BP517" s="51">
        <f>IF(COUNT($R516:BP516)=0,"",SUM($R516:BP516))</f>
        <v>0.4265241594891529</v>
      </c>
      <c r="BQ517" s="51">
        <f>IF(COUNT($R516:BQ516)=0,"",SUM($R516:BQ516))</f>
        <v>0.45951620441702451</v>
      </c>
      <c r="BR517" s="51">
        <f>IF(COUNT($R516:BR516)=0,"",SUM($R516:BR516))</f>
        <v>0.48545960533227767</v>
      </c>
      <c r="BS517" s="51">
        <f>IF(COUNT($R516:BS516)=0,"",SUM($R516:BS516))</f>
        <v>0.50827272830661663</v>
      </c>
      <c r="BT517" s="51">
        <f>IF(COUNT($R516:BT516)=0,"",SUM($R516:BT516))</f>
        <v>0.53334204266574092</v>
      </c>
      <c r="BU517" s="51">
        <f>IF(COUNT($R516:BU516)=0,"",SUM($R516:BU516))</f>
        <v>0.56005595649474449</v>
      </c>
      <c r="BV517" s="51">
        <f>IF(COUNT($R516:BV516)=0,"",SUM($R516:BV516))</f>
        <v>0.58962575074200252</v>
      </c>
      <c r="BW517" s="51">
        <f>IF(COUNT($R516:BW516)=0,"",SUM($R516:BW516))</f>
        <v>0.61618954955670446</v>
      </c>
      <c r="BX517" s="51">
        <f>IF(COUNT($R516:BX516)=0,"",SUM($R516:BX516))</f>
        <v>0.64331265105889912</v>
      </c>
      <c r="BY517" s="51">
        <f>IF(COUNT($R516:BY516)=0,"",SUM($R516:BY516))</f>
        <v>0.67413697193747668</v>
      </c>
      <c r="BZ517" s="51">
        <f>IF(COUNT($R516:BZ516)=0,"",SUM($R516:BZ516))</f>
        <v>0.70609675211164014</v>
      </c>
      <c r="CA517" s="51">
        <f>IF(COUNT($R516:CA516)=0,"",SUM($R516:CA516))</f>
        <v>0.73853370416327058</v>
      </c>
      <c r="CB517" s="51">
        <f>IF(COUNT($R516:CB516)=0,"",SUM($R516:CB516))</f>
        <v>0.76756856224478265</v>
      </c>
      <c r="CC517" s="51">
        <f>IF(COUNT($R516:CC516)=0,"",SUM($R516:CC516))</f>
        <v>0.79781442876181718</v>
      </c>
      <c r="CD517" s="51">
        <f>IF(COUNT($R516:CD516)=0,"",SUM($R516:CD516))</f>
        <v>0.82693252423535635</v>
      </c>
      <c r="CE517" s="51">
        <f>IF(COUNT($R516:CE516)=0,"",SUM($R516:CE516))</f>
        <v>0.8508900324581945</v>
      </c>
      <c r="CF517" s="51">
        <f>IF(COUNT($R516:CF516)=0,"",SUM($R516:CF516))</f>
        <v>0.87934643326132067</v>
      </c>
      <c r="CG517" s="51">
        <f>IF(COUNT($R516:CG516)=0,"",SUM($R516:CG516))</f>
        <v>0.91736175408020615</v>
      </c>
      <c r="CH517" s="51">
        <f>IF(COUNT($R516:CH516)=0,"",SUM($R516:CH516))</f>
        <v>0.9545349744930377</v>
      </c>
      <c r="CI517" s="51">
        <f>IF(COUNT($R516:CI516)=0,"",SUM($R516:CI516))</f>
        <v>0.97511325883418898</v>
      </c>
      <c r="CJ517" s="51">
        <f>IF(COUNT($R516:CJ516)=0,"",SUM($R516:CJ516))</f>
        <v>0.99343098761703408</v>
      </c>
      <c r="CK517" s="51">
        <f>IF(COUNT($R516:CK516)=0,"",SUM($R516:CK516))</f>
        <v>1</v>
      </c>
      <c r="CL517" s="51">
        <f>IF(COUNT($R516:CL516)=0,"",SUM($R516:CL516))</f>
        <v>1</v>
      </c>
      <c r="CM517" s="51">
        <f>IF(COUNT($R516:CM516)=0,"",SUM($R516:CM516))</f>
        <v>1</v>
      </c>
      <c r="CN517" s="51">
        <f>IF(COUNT($R516:CN516)=0,"",SUM($R516:CN516))</f>
        <v>1</v>
      </c>
      <c r="CO517" s="51">
        <f>IF(COUNT($R516:CO516)=0,"",SUM($R516:CO516))</f>
        <v>1</v>
      </c>
    </row>
    <row r="518" spans="1:93" ht="20.100000000000001" customHeight="1" x14ac:dyDescent="0.25">
      <c r="A518" t="s">
        <v>687</v>
      </c>
      <c r="C518" s="52" t="s">
        <v>691</v>
      </c>
      <c r="D518" t="s">
        <v>111</v>
      </c>
      <c r="R518" s="53" t="str">
        <f t="shared" ref="R518:AW518" si="509">R6</f>
        <v/>
      </c>
      <c r="S518" s="53" t="str">
        <f t="shared" si="509"/>
        <v/>
      </c>
      <c r="T518" s="53" t="str">
        <f t="shared" si="509"/>
        <v/>
      </c>
      <c r="U518" s="53" t="str">
        <f t="shared" si="509"/>
        <v/>
      </c>
      <c r="V518" s="53" t="str">
        <f t="shared" si="509"/>
        <v/>
      </c>
      <c r="W518" s="53" t="str">
        <f t="shared" si="509"/>
        <v/>
      </c>
      <c r="X518" s="53" t="str">
        <f t="shared" si="509"/>
        <v/>
      </c>
      <c r="Y518" s="53" t="str">
        <f t="shared" si="509"/>
        <v/>
      </c>
      <c r="Z518" s="53" t="str">
        <f t="shared" si="509"/>
        <v/>
      </c>
      <c r="AA518" s="53" t="str">
        <f t="shared" si="509"/>
        <v/>
      </c>
      <c r="AB518" s="53" t="str">
        <f t="shared" si="509"/>
        <v/>
      </c>
      <c r="AC518" s="53" t="str">
        <f t="shared" si="509"/>
        <v/>
      </c>
      <c r="AD518" s="53" t="str">
        <f t="shared" si="509"/>
        <v/>
      </c>
      <c r="AE518" s="53" t="str">
        <f t="shared" si="509"/>
        <v/>
      </c>
      <c r="AF518" s="53" t="str">
        <f t="shared" si="509"/>
        <v/>
      </c>
      <c r="AG518" s="53" t="str">
        <f t="shared" si="509"/>
        <v/>
      </c>
      <c r="AH518" s="53" t="str">
        <f t="shared" si="509"/>
        <v/>
      </c>
      <c r="AI518" s="53" t="str">
        <f t="shared" si="509"/>
        <v/>
      </c>
      <c r="AJ518" s="53" t="str">
        <f t="shared" si="509"/>
        <v/>
      </c>
      <c r="AK518" s="53" t="str">
        <f t="shared" si="509"/>
        <v/>
      </c>
      <c r="AL518" s="53" t="str">
        <f t="shared" si="509"/>
        <v/>
      </c>
      <c r="AM518" s="53" t="str">
        <f t="shared" si="509"/>
        <v/>
      </c>
      <c r="AN518" s="53" t="str">
        <f t="shared" si="509"/>
        <v/>
      </c>
      <c r="AO518" s="53" t="str">
        <f t="shared" si="509"/>
        <v/>
      </c>
      <c r="AP518" s="53" t="str">
        <f t="shared" si="509"/>
        <v/>
      </c>
      <c r="AQ518" s="53" t="str">
        <f t="shared" si="509"/>
        <v/>
      </c>
      <c r="AR518" s="53" t="str">
        <f t="shared" si="509"/>
        <v/>
      </c>
      <c r="AS518" s="53" t="str">
        <f t="shared" si="509"/>
        <v/>
      </c>
      <c r="AT518" s="53" t="str">
        <f t="shared" si="509"/>
        <v/>
      </c>
      <c r="AU518" s="53" t="str">
        <f t="shared" si="509"/>
        <v/>
      </c>
      <c r="AV518" s="53" t="str">
        <f t="shared" si="509"/>
        <v/>
      </c>
      <c r="AW518" s="53" t="str">
        <f t="shared" si="509"/>
        <v/>
      </c>
      <c r="AX518" s="53" t="str">
        <f t="shared" ref="AX518:CC518" si="510">AX6</f>
        <v/>
      </c>
      <c r="AY518" s="53" t="str">
        <f t="shared" si="510"/>
        <v/>
      </c>
      <c r="AZ518" s="53" t="str">
        <f t="shared" si="510"/>
        <v/>
      </c>
      <c r="BA518" s="53" t="str">
        <f t="shared" si="510"/>
        <v/>
      </c>
      <c r="BB518" s="53" t="str">
        <f t="shared" si="510"/>
        <v/>
      </c>
      <c r="BC518" s="53" t="str">
        <f t="shared" si="510"/>
        <v/>
      </c>
      <c r="BD518" s="53" t="str">
        <f t="shared" si="510"/>
        <v/>
      </c>
      <c r="BE518" s="53" t="str">
        <f t="shared" si="510"/>
        <v/>
      </c>
      <c r="BF518" s="53" t="str">
        <f t="shared" si="510"/>
        <v/>
      </c>
      <c r="BG518" s="53" t="str">
        <f t="shared" si="510"/>
        <v/>
      </c>
      <c r="BH518" s="53" t="str">
        <f t="shared" si="510"/>
        <v/>
      </c>
      <c r="BI518" s="53" t="str">
        <f t="shared" si="510"/>
        <v/>
      </c>
      <c r="BJ518" s="53" t="str">
        <f t="shared" si="510"/>
        <v/>
      </c>
      <c r="BK518" s="53" t="str">
        <f t="shared" si="510"/>
        <v/>
      </c>
      <c r="BL518" s="53" t="str">
        <f t="shared" si="510"/>
        <v/>
      </c>
      <c r="BM518" s="53" t="str">
        <f t="shared" si="510"/>
        <v/>
      </c>
      <c r="BN518" s="53" t="str">
        <f t="shared" si="510"/>
        <v/>
      </c>
      <c r="BO518" s="53" t="str">
        <f t="shared" si="510"/>
        <v/>
      </c>
      <c r="BP518" s="53" t="str">
        <f t="shared" si="510"/>
        <v/>
      </c>
      <c r="BQ518" s="53" t="str">
        <f t="shared" si="510"/>
        <v/>
      </c>
      <c r="BR518" s="53" t="str">
        <f t="shared" si="510"/>
        <v/>
      </c>
      <c r="BS518" s="53" t="str">
        <f t="shared" si="510"/>
        <v/>
      </c>
      <c r="BT518" s="53" t="str">
        <f t="shared" si="510"/>
        <v/>
      </c>
      <c r="BU518" s="53" t="str">
        <f t="shared" si="510"/>
        <v/>
      </c>
      <c r="BV518" s="53" t="str">
        <f t="shared" si="510"/>
        <v/>
      </c>
      <c r="BW518" s="53" t="str">
        <f t="shared" si="510"/>
        <v/>
      </c>
      <c r="BX518" s="53" t="str">
        <f t="shared" si="510"/>
        <v/>
      </c>
      <c r="BY518" s="53" t="str">
        <f t="shared" si="510"/>
        <v/>
      </c>
      <c r="BZ518" s="53" t="str">
        <f t="shared" si="510"/>
        <v/>
      </c>
      <c r="CA518" s="53" t="str">
        <f t="shared" si="510"/>
        <v/>
      </c>
      <c r="CB518" s="53" t="str">
        <f t="shared" si="510"/>
        <v/>
      </c>
      <c r="CC518" s="53" t="str">
        <f t="shared" si="510"/>
        <v/>
      </c>
      <c r="CD518" s="53" t="str">
        <f t="shared" ref="CD518:CO518" si="511">CD6</f>
        <v/>
      </c>
      <c r="CE518" s="53" t="str">
        <f t="shared" si="511"/>
        <v/>
      </c>
      <c r="CF518" s="53" t="str">
        <f t="shared" si="511"/>
        <v/>
      </c>
      <c r="CG518" s="53" t="str">
        <f t="shared" si="511"/>
        <v/>
      </c>
      <c r="CH518" s="53" t="str">
        <f t="shared" si="511"/>
        <v/>
      </c>
      <c r="CI518" s="53" t="str">
        <f t="shared" si="511"/>
        <v/>
      </c>
      <c r="CJ518" s="53" t="str">
        <f t="shared" si="511"/>
        <v/>
      </c>
      <c r="CK518" s="53" t="str">
        <f t="shared" si="511"/>
        <v/>
      </c>
      <c r="CL518" s="53" t="str">
        <f t="shared" si="511"/>
        <v/>
      </c>
      <c r="CM518" s="53" t="str">
        <f t="shared" si="511"/>
        <v/>
      </c>
      <c r="CN518" s="53" t="str">
        <f t="shared" si="511"/>
        <v/>
      </c>
      <c r="CO518" s="53" t="str">
        <f t="shared" si="511"/>
        <v/>
      </c>
    </row>
    <row r="519" spans="1:93" ht="20.100000000000001" customHeight="1" x14ac:dyDescent="0.25">
      <c r="A519" t="s">
        <v>687</v>
      </c>
      <c r="C519" s="52" t="s">
        <v>692</v>
      </c>
      <c r="D519" t="s">
        <v>693</v>
      </c>
      <c r="R519" s="54" t="str">
        <f>IF(COUNT($R518:R518)=0,"",IF(COUNT(R518:$CO518)=0,"",SUM($R518:R518)))</f>
        <v/>
      </c>
      <c r="S519" s="54" t="str">
        <f>IF(COUNT($R518:S518)=0,"",IF(COUNT(S518:$CO518)=0,"",SUM($R518:S518)))</f>
        <v/>
      </c>
      <c r="T519" s="54" t="str">
        <f>IF(COUNT($R518:T518)=0,"",IF(COUNT(T518:$CO518)=0,"",SUM($R518:T518)))</f>
        <v/>
      </c>
      <c r="U519" s="54" t="str">
        <f>IF(COUNT($R518:U518)=0,"",IF(COUNT(U518:$CO518)=0,"",SUM($R518:U518)))</f>
        <v/>
      </c>
      <c r="V519" s="54" t="str">
        <f>IF(COUNT($R518:V518)=0,"",IF(COUNT(V518:$CO518)=0,"",SUM($R518:V518)))</f>
        <v/>
      </c>
      <c r="W519" s="54" t="str">
        <f>IF(COUNT($R518:W518)=0,"",IF(COUNT(W518:$CO518)=0,"",SUM($R518:W518)))</f>
        <v/>
      </c>
      <c r="X519" s="54" t="str">
        <f>IF(COUNT($R518:X518)=0,"",IF(COUNT(X518:$CO518)=0,"",SUM($R518:X518)))</f>
        <v/>
      </c>
      <c r="Y519" s="54" t="str">
        <f>IF(COUNT($R518:Y518)=0,"",IF(COUNT(Y518:$CO518)=0,"",SUM($R518:Y518)))</f>
        <v/>
      </c>
      <c r="Z519" s="54" t="str">
        <f>IF(COUNT($R518:Z518)=0,"",IF(COUNT(Z518:$CO518)=0,"",SUM($R518:Z518)))</f>
        <v/>
      </c>
      <c r="AA519" s="54" t="str">
        <f>IF(COUNT($R518:AA518)=0,"",IF(COUNT(AA518:$CO518)=0,"",SUM($R518:AA518)))</f>
        <v/>
      </c>
      <c r="AB519" s="54" t="str">
        <f>IF(COUNT($R518:AB518)=0,"",IF(COUNT(AB518:$CO518)=0,"",SUM($R518:AB518)))</f>
        <v/>
      </c>
      <c r="AC519" s="54" t="str">
        <f>IF(COUNT($R518:AC518)=0,"",IF(COUNT(AC518:$CO518)=0,"",SUM($R518:AC518)))</f>
        <v/>
      </c>
      <c r="AD519" s="54" t="str">
        <f>IF(COUNT($R518:AD518)=0,"",IF(COUNT(AD518:$CO518)=0,"",SUM($R518:AD518)))</f>
        <v/>
      </c>
      <c r="AE519" s="54" t="str">
        <f>IF(COUNT($R518:AE518)=0,"",IF(COUNT(AE518:$CO518)=0,"",SUM($R518:AE518)))</f>
        <v/>
      </c>
      <c r="AF519" s="54" t="str">
        <f>IF(COUNT($R518:AF518)=0,"",IF(COUNT(AF518:$CO518)=0,"",SUM($R518:AF518)))</f>
        <v/>
      </c>
      <c r="AG519" s="54" t="str">
        <f>IF(COUNT($R518:AG518)=0,"",IF(COUNT(AG518:$CO518)=0,"",SUM($R518:AG518)))</f>
        <v/>
      </c>
      <c r="AH519" s="54" t="str">
        <f>IF(COUNT($R518:AH518)=0,"",IF(COUNT(AH518:$CO518)=0,"",SUM($R518:AH518)))</f>
        <v/>
      </c>
      <c r="AI519" s="54" t="str">
        <f>IF(COUNT($R518:AI518)=0,"",IF(COUNT(AI518:$CO518)=0,"",SUM($R518:AI518)))</f>
        <v/>
      </c>
      <c r="AJ519" s="54" t="str">
        <f>IF(COUNT($R518:AJ518)=0,"",IF(COUNT(AJ518:$CO518)=0,"",SUM($R518:AJ518)))</f>
        <v/>
      </c>
      <c r="AK519" s="54" t="str">
        <f>IF(COUNT($R518:AK518)=0,"",IF(COUNT(AK518:$CO518)=0,"",SUM($R518:AK518)))</f>
        <v/>
      </c>
      <c r="AL519" s="54" t="str">
        <f>IF(COUNT($R518:AL518)=0,"",IF(COUNT(AL518:$CO518)=0,"",SUM($R518:AL518)))</f>
        <v/>
      </c>
      <c r="AM519" s="54" t="str">
        <f>IF(COUNT($R518:AM518)=0,"",IF(COUNT(AM518:$CO518)=0,"",SUM($R518:AM518)))</f>
        <v/>
      </c>
      <c r="AN519" s="54" t="str">
        <f>IF(COUNT($R518:AN518)=0,"",IF(COUNT(AN518:$CO518)=0,"",SUM($R518:AN518)))</f>
        <v/>
      </c>
      <c r="AO519" s="54" t="str">
        <f>IF(COUNT($R518:AO518)=0,"",IF(COUNT(AO518:$CO518)=0,"",SUM($R518:AO518)))</f>
        <v/>
      </c>
      <c r="AP519" s="54" t="str">
        <f>IF(COUNT($R518:AP518)=0,"",IF(COUNT(AP518:$CO518)=0,"",SUM($R518:AP518)))</f>
        <v/>
      </c>
      <c r="AQ519" s="54" t="str">
        <f>IF(COUNT($R518:AQ518)=0,"",IF(COUNT(AQ518:$CO518)=0,"",SUM($R518:AQ518)))</f>
        <v/>
      </c>
      <c r="AR519" s="54" t="str">
        <f>IF(COUNT($R518:AR518)=0,"",IF(COUNT(AR518:$CO518)=0,"",SUM($R518:AR518)))</f>
        <v/>
      </c>
      <c r="AS519" s="54" t="str">
        <f>IF(COUNT($R518:AS518)=0,"",IF(COUNT(AS518:$CO518)=0,"",SUM($R518:AS518)))</f>
        <v/>
      </c>
      <c r="AT519" s="54" t="str">
        <f>IF(COUNT($R518:AT518)=0,"",IF(COUNT(AT518:$CO518)=0,"",SUM($R518:AT518)))</f>
        <v/>
      </c>
      <c r="AU519" s="54" t="str">
        <f>IF(COUNT($R518:AU518)=0,"",IF(COUNT(AU518:$CO518)=0,"",SUM($R518:AU518)))</f>
        <v/>
      </c>
      <c r="AV519" s="54" t="str">
        <f>IF(COUNT($R518:AV518)=0,"",IF(COUNT(AV518:$CO518)=0,"",SUM($R518:AV518)))</f>
        <v/>
      </c>
      <c r="AW519" s="54" t="str">
        <f>IF(COUNT($R518:AW518)=0,"",IF(COUNT(AW518:$CO518)=0,"",SUM($R518:AW518)))</f>
        <v/>
      </c>
      <c r="AX519" s="54" t="str">
        <f>IF(COUNT($R518:AX518)=0,"",IF(COUNT(AX518:$CO518)=0,"",SUM($R518:AX518)))</f>
        <v/>
      </c>
      <c r="AY519" s="54" t="str">
        <f>IF(COUNT($R518:AY518)=0,"",IF(COUNT(AY518:$CO518)=0,"",SUM($R518:AY518)))</f>
        <v/>
      </c>
      <c r="AZ519" s="54" t="str">
        <f>IF(COUNT($R518:AZ518)=0,"",IF(COUNT(AZ518:$CO518)=0,"",SUM($R518:AZ518)))</f>
        <v/>
      </c>
      <c r="BA519" s="54" t="str">
        <f>IF(COUNT($R518:BA518)=0,"",IF(COUNT(BA518:$CO518)=0,"",SUM($R518:BA518)))</f>
        <v/>
      </c>
      <c r="BB519" s="54" t="str">
        <f>IF(COUNT($R518:BB518)=0,"",IF(COUNT(BB518:$CO518)=0,"",SUM($R518:BB518)))</f>
        <v/>
      </c>
      <c r="BC519" s="54" t="str">
        <f>IF(COUNT($R518:BC518)=0,"",IF(COUNT(BC518:$CO518)=0,"",SUM($R518:BC518)))</f>
        <v/>
      </c>
      <c r="BD519" s="54" t="str">
        <f>IF(COUNT($R518:BD518)=0,"",IF(COUNT(BD518:$CO518)=0,"",SUM($R518:BD518)))</f>
        <v/>
      </c>
      <c r="BE519" s="54" t="str">
        <f>IF(COUNT($R518:BE518)=0,"",IF(COUNT(BE518:$CO518)=0,"",SUM($R518:BE518)))</f>
        <v/>
      </c>
      <c r="BF519" s="54" t="str">
        <f>IF(COUNT($R518:BF518)=0,"",IF(COUNT(BF518:$CO518)=0,"",SUM($R518:BF518)))</f>
        <v/>
      </c>
      <c r="BG519" s="54" t="str">
        <f>IF(COUNT($R518:BG518)=0,"",IF(COUNT(BG518:$CO518)=0,"",SUM($R518:BG518)))</f>
        <v/>
      </c>
      <c r="BH519" s="54" t="str">
        <f>IF(COUNT($R518:BH518)=0,"",IF(COUNT(BH518:$CO518)=0,"",SUM($R518:BH518)))</f>
        <v/>
      </c>
      <c r="BI519" s="54" t="str">
        <f>IF(COUNT($R518:BI518)=0,"",IF(COUNT(BI518:$CO518)=0,"",SUM($R518:BI518)))</f>
        <v/>
      </c>
      <c r="BJ519" s="54" t="str">
        <f>IF(COUNT($R518:BJ518)=0,"",IF(COUNT(BJ518:$CO518)=0,"",SUM($R518:BJ518)))</f>
        <v/>
      </c>
      <c r="BK519" s="54" t="str">
        <f>IF(COUNT($R518:BK518)=0,"",IF(COUNT(BK518:$CO518)=0,"",SUM($R518:BK518)))</f>
        <v/>
      </c>
      <c r="BL519" s="54" t="str">
        <f>IF(COUNT($R518:BL518)=0,"",IF(COUNT(BL518:$CO518)=0,"",SUM($R518:BL518)))</f>
        <v/>
      </c>
      <c r="BM519" s="54" t="str">
        <f>IF(COUNT($R518:BM518)=0,"",IF(COUNT(BM518:$CO518)=0,"",SUM($R518:BM518)))</f>
        <v/>
      </c>
      <c r="BN519" s="54" t="str">
        <f>IF(COUNT($R518:BN518)=0,"",IF(COUNT(BN518:$CO518)=0,"",SUM($R518:BN518)))</f>
        <v/>
      </c>
      <c r="BO519" s="54" t="str">
        <f>IF(COUNT($R518:BO518)=0,"",IF(COUNT(BO518:$CO518)=0,"",SUM($R518:BO518)))</f>
        <v/>
      </c>
      <c r="BP519" s="54" t="str">
        <f>IF(COUNT($R518:BP518)=0,"",IF(COUNT(BP518:$CO518)=0,"",SUM($R518:BP518)))</f>
        <v/>
      </c>
      <c r="BQ519" s="54" t="str">
        <f>IF(COUNT($R518:BQ518)=0,"",IF(COUNT(BQ518:$CO518)=0,"",SUM($R518:BQ518)))</f>
        <v/>
      </c>
      <c r="BR519" s="54" t="str">
        <f>IF(COUNT($R518:BR518)=0,"",IF(COUNT(BR518:$CO518)=0,"",SUM($R518:BR518)))</f>
        <v/>
      </c>
      <c r="BS519" s="54" t="str">
        <f>IF(COUNT($R518:BS518)=0,"",IF(COUNT(BS518:$CO518)=0,"",SUM($R518:BS518)))</f>
        <v/>
      </c>
      <c r="BT519" s="54" t="str">
        <f>IF(COUNT($R518:BT518)=0,"",IF(COUNT(BT518:$CO518)=0,"",SUM($R518:BT518)))</f>
        <v/>
      </c>
      <c r="BU519" s="54" t="str">
        <f>IF(COUNT($R518:BU518)=0,"",IF(COUNT(BU518:$CO518)=0,"",SUM($R518:BU518)))</f>
        <v/>
      </c>
      <c r="BV519" s="54" t="str">
        <f>IF(COUNT($R518:BV518)=0,"",IF(COUNT(BV518:$CO518)=0,"",SUM($R518:BV518)))</f>
        <v/>
      </c>
      <c r="BW519" s="54" t="str">
        <f>IF(COUNT($R518:BW518)=0,"",IF(COUNT(BW518:$CO518)=0,"",SUM($R518:BW518)))</f>
        <v/>
      </c>
      <c r="BX519" s="54" t="str">
        <f>IF(COUNT($R518:BX518)=0,"",IF(COUNT(BX518:$CO518)=0,"",SUM($R518:BX518)))</f>
        <v/>
      </c>
      <c r="BY519" s="54" t="str">
        <f>IF(COUNT($R518:BY518)=0,"",IF(COUNT(BY518:$CO518)=0,"",SUM($R518:BY518)))</f>
        <v/>
      </c>
      <c r="BZ519" s="54" t="str">
        <f>IF(COUNT($R518:BZ518)=0,"",IF(COUNT(BZ518:$CO518)=0,"",SUM($R518:BZ518)))</f>
        <v/>
      </c>
      <c r="CA519" s="54" t="str">
        <f>IF(COUNT($R518:CA518)=0,"",IF(COUNT(CA518:$CO518)=0,"",SUM($R518:CA518)))</f>
        <v/>
      </c>
      <c r="CB519" s="54" t="str">
        <f>IF(COUNT($R518:CB518)=0,"",IF(COUNT(CB518:$CO518)=0,"",SUM($R518:CB518)))</f>
        <v/>
      </c>
      <c r="CC519" s="54" t="str">
        <f>IF(COUNT($R518:CC518)=0,"",IF(COUNT(CC518:$CO518)=0,"",SUM($R518:CC518)))</f>
        <v/>
      </c>
      <c r="CD519" s="54" t="str">
        <f>IF(COUNT($R518:CD518)=0,"",IF(COUNT(CD518:$CO518)=0,"",SUM($R518:CD518)))</f>
        <v/>
      </c>
      <c r="CE519" s="54" t="str">
        <f>IF(COUNT($R518:CE518)=0,"",IF(COUNT(CE518:$CO518)=0,"",SUM($R518:CE518)))</f>
        <v/>
      </c>
      <c r="CF519" s="54" t="str">
        <f>IF(COUNT($R518:CF518)=0,"",IF(COUNT(CF518:$CO518)=0,"",SUM($R518:CF518)))</f>
        <v/>
      </c>
      <c r="CG519" s="54" t="str">
        <f>IF(COUNT($R518:CG518)=0,"",IF(COUNT(CG518:$CO518)=0,"",SUM($R518:CG518)))</f>
        <v/>
      </c>
      <c r="CH519" s="54" t="str">
        <f>IF(COUNT($R518:CH518)=0,"",IF(COUNT(CH518:$CO518)=0,"",SUM($R518:CH518)))</f>
        <v/>
      </c>
      <c r="CI519" s="54" t="str">
        <f>IF(COUNT($R518:CI518)=0,"",IF(COUNT(CI518:$CO518)=0,"",SUM($R518:CI518)))</f>
        <v/>
      </c>
      <c r="CJ519" s="54" t="str">
        <f>IF(COUNT($R518:CJ518)=0,"",IF(COUNT(CJ518:$CO518)=0,"",SUM($R518:CJ518)))</f>
        <v/>
      </c>
      <c r="CK519" s="54" t="str">
        <f>IF(COUNT($R518:CK518)=0,"",IF(COUNT(CK518:$CO518)=0,"",SUM($R518:CK518)))</f>
        <v/>
      </c>
      <c r="CL519" s="54" t="str">
        <f>IF(COUNT($R518:CL518)=0,"",IF(COUNT(CL518:$CO518)=0,"",SUM($R518:CL518)))</f>
        <v/>
      </c>
      <c r="CM519" s="54" t="str">
        <f>IF(COUNT($R518:CM518)=0,"",IF(COUNT(CM518:$CO518)=0,"",SUM($R518:CM518)))</f>
        <v/>
      </c>
      <c r="CN519" s="54" t="str">
        <f>IF(COUNT($R518:CN518)=0,"",IF(COUNT(CN518:$CO518)=0,"",SUM($R518:CN518)))</f>
        <v/>
      </c>
      <c r="CO519" s="54" t="str">
        <f>IF(COUNT($R518:CO518)=0,"",IF(COUNT(CO518:$CO518)=0,"",SUM($R518:CO518)))</f>
        <v/>
      </c>
    </row>
  </sheetData>
  <autoFilter ref="A4:CO514" xr:uid="{00000000-0009-0000-0000-000000000000}"/>
  <mergeCells count="21">
    <mergeCell ref="AK2:AN2"/>
    <mergeCell ref="A1:Q3"/>
    <mergeCell ref="BO2:BS2"/>
    <mergeCell ref="X2:AA2"/>
    <mergeCell ref="R1:BN1"/>
    <mergeCell ref="AF2:AJ2"/>
    <mergeCell ref="AX2:BA2"/>
    <mergeCell ref="BO1:CO1"/>
    <mergeCell ref="CG2:CJ2"/>
    <mergeCell ref="CK2:CN2"/>
    <mergeCell ref="R2:S2"/>
    <mergeCell ref="BB2:BF2"/>
    <mergeCell ref="T2:W2"/>
    <mergeCell ref="AB2:AE2"/>
    <mergeCell ref="BT2:BW2"/>
    <mergeCell ref="BG2:BJ2"/>
    <mergeCell ref="BX2:CA2"/>
    <mergeCell ref="AO2:AS2"/>
    <mergeCell ref="CB2:CF2"/>
    <mergeCell ref="BK2:BN2"/>
    <mergeCell ref="AT2:AW2"/>
  </mergeCells>
  <conditionalFormatting sqref="M5:M514">
    <cfRule type="expression" dxfId="6" priority="5" stopIfTrue="1">
      <formula>AND(M5&lt;&gt;"",M5&gt;1)</formula>
    </cfRule>
  </conditionalFormatting>
  <conditionalFormatting sqref="R5:CO514">
    <cfRule type="expression" dxfId="5" priority="1" stopIfTrue="1">
      <formula>AND($A5="Activity",$D5="P",R5&lt;&gt;"")</formula>
    </cfRule>
    <cfRule type="expression" dxfId="4" priority="2" stopIfTrue="1">
      <formula>AND($E5&lt;&gt;"",$D5="A",R5&lt;&gt;"")</formula>
    </cfRule>
    <cfRule type="expression" dxfId="3" priority="3" stopIfTrue="1">
      <formula>AND(OR($A5="WBS",$A5="Project Summary"),$D5="P",R5&lt;&gt;"")</formula>
    </cfRule>
    <cfRule type="expression" dxfId="2" priority="4" stopIfTrue="1">
      <formula>AND(OR($A4="WBS",$A4="Project Summary"),$D5="A",R5&lt;&gt;"")</formula>
    </cfRule>
  </conditionalFormatting>
  <dataValidations count="1">
    <dataValidation type="decimal" allowBlank="1" showInputMessage="1" showErrorMessage="1" errorTitle="Invalid Progress" error="Enter a percentage from 0% to 100%." promptTitle="Activity Progress" prompt="Enter weekly progress such as 5% or 0.05." sqref="R11:CO11 R12:CO12 R15:CO15 R16:CO16 R17:CO17 R18:CO18 R19:CO19 R20:CO20 R21:CO21 R22:CO22 R23:CO23 R24:CO24 R25:CO25 R26:CO26 R29:CO29 R30:CO30 R31:CO31 R32:CO32 R33:CO33 R34:CO34 R35:CO35 R36:CO36 R41:CO41 R42:CO42 R45:CO45 R46:CO46 R47:CO47 R48:CO48 R49:CO49 R50:CO50 R51:CO51 R52:CO52 R55:CO55 R56:CO56 R57:CO57 R58:CO58 R59:CO59 R60:CO60 R61:CO61 R62:CO62 R65:CO65 R66:CO66 R67:CO67 R68:CO68 R69:CO69 R70:CO70 R71:CO71 R72:CO72 R75:CO75 R76:CO76 R77:CO77 R78:CO78 R79:CO79 R80:CO80 R83:CO83 R84:CO84 R85:CO85 R86:CO86 R87:CO87 R88:CO88 R91:CO91 R92:CO92 R93:CO93 R94:CO94 R95:CO95 R96:CO96 R99:CO99 R100:CO100 R101:CO101 R102:CO102 R103:CO103 R104:CO104 R105:CO105 R106:CO106 R109:CO109 R110:CO110 R111:CO111 R112:CO112 R113:CO113 R114:CO114 R117:CO117 R118:CO118 R119:CO119 R120:CO120 R121:CO121 R122:CO122 R125:CO125 R126:CO126 R127:CO127 R128:CO128 R129:CO129 R130:CO130 R131:CO131 R132:CO132 R133:CO133 R134:CO134 R137:CO137 R138:CO138 R139:CO139 R140:CO140 R141:CO141 R142:CO142 R143:CO143 R144:CO144 R145:CO145 R146:CO146 R147:CO147 R148:CO148 R155:CO155 R156:CO156 R157:CO157 R158:CO158 R159:CO159 R160:CO160 R161:CO161 R162:CO162 R167:CO167 R168:CO168 R169:CO169 R170:CO170 R171:CO171 R172:CO172 R175:CO175 R176:CO176 R177:CO177 R178:CO178 R179:CO179 R180:CO180 R183:CO183 R184:CO184 R185:CO185 R186:CO186 R187:CO187 R188:CO188 R189:CO189 R190:CO190 R193:CO193 R194:CO194 R197:CO197 R198:CO198 R199:CO199 R200:CO200 R201:CO201 R202:CO202 R203:CO203 R204:CO204 R209:CO209 R210:CO210 R211:CO211 R212:CO212 R213:CO213 R214:CO214 R217:CO217 R218:CO218 R219:CO219 R220:CO220 R221:CO221 R222:CO222 R225:CO225 R226:CO226 R227:CO227 R228:CO228 R231:CO231 R232:CO232 R235:CO235 R236:CO236 R237:CO237 R238:CO238 R243:CO243 R244:CO244 R245:CO245 R246:CO246 R247:CO247 R248:CO248 R251:CO251 R252:CO252 R253:CO253 R254:CO254 R257:CO257 R258:CO258 R259:CO259 R260:CO260 R261:CO261 R262:CO262 R263:CO263 R264:CO264 R267:CO267 R268:CO268 R271:CO271 R272:CO272 R273:CO273 R274:CO274 R279:CO279 R280:CO280 R281:CO281 R282:CO282 R283:CO283 R284:CO284 R287:CO287 R288:CO288 R289:CO289 R290:CO290 R293:CO293 R294:CO294 R295:CO295 R296:CO296 R297:CO297 R298:CO298 R299:CO299 R300:CO300 R303:CO303 R304:CO304 R307:CO307 R308:CO308 R309:CO309 R310:CO310 R311:CO311 R312:CO312 R317:CO317 R318:CO318 R319:CO319 R320:CO320 R323:CO323 R324:CO324 R325:CO325 R326:CO326 R329:CO329 R330:CO330 R331:CO331 R332:CO332 R333:CO333 R334:CO334 R337:CO337 R338:CO338 R341:CO341 R342:CO342 R343:CO343 R344:CO344 R345:CO345 R346:CO346 R351:CO351 R352:CO352 R353:CO353 R354:CO354 R357:CO357 R358:CO358 R359:CO359 R360:CO360 R361:CO361 R362:CO362 R367:CO367 R368:CO368 R369:CO369 R370:CO370 R371:CO371 R372:CO372 R373:CO373 R374:CO374 R377:CO377 R378:CO378 R379:CO379 R380:CO380 R383:CO383 R384:CO384 R385:CO385 R386:CO386 R387:CO387 R388:CO388 R395:CO395 R396:CO396 R397:CO397 R398:CO398 R403:CO403 R404:CO404 R405:CO405 R406:CO406 R407:CO407 R408:CO408 R411:CO411 R412:CO412 R417:CO417 R418:CO418 R421:CO421 R422:CO422 R423:CO423 R424:CO424 R429:CO429 R430:CO430 R433:CO433 R434:CO434 R435:CO435 R436:CO436 R437:CO437 R438:CO438 R443:CO443 R444:CO444 R447:CO447 R448:CO448 R451:CO451 R452:CO452 R453:CO453 R454:CO454 R455:CO455 R456:CO456 R457:CO457 R458:CO458 R459:CO459 R460:CO460 R461:CO461 R462:CO462 R467:CO467 R468:CO468 R471:CO471 R472:CO472 R475:CO475 R476:CO476 R479:CO479 R480:CO480 R481:CO481 R482:CO482 R483:CO483 R484:CO484 R485:CO485 R486:CO486 R491:CO491 R492:CO492 R493:CO493 R494:CO494 R495:CO495 R496:CO496 R497:CO497 R498:CO498 R501:CO501 R502:CO502 R503:CO503 R504:CO504 R505:CO505 R506:CO506 R507:CO507 R508:CO508 R511:CO511 R512:CO512 R513:CO513 R514:CO514" xr:uid="{00000000-0002-0000-0000-000000000000}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28" customWidth="1"/>
    <col min="2" max="2" width="70" customWidth="1"/>
  </cols>
  <sheetData>
    <row r="1" spans="1:2" x14ac:dyDescent="0.25">
      <c r="A1" t="s">
        <v>694</v>
      </c>
      <c r="B1" t="s">
        <v>109</v>
      </c>
    </row>
    <row r="2" spans="1:2" x14ac:dyDescent="0.25">
      <c r="A2" t="s">
        <v>695</v>
      </c>
      <c r="B2" t="s">
        <v>696</v>
      </c>
    </row>
    <row r="3" spans="1:2" x14ac:dyDescent="0.25">
      <c r="A3" t="s">
        <v>697</v>
      </c>
      <c r="B3">
        <v>82</v>
      </c>
    </row>
    <row r="4" spans="1:2" x14ac:dyDescent="0.25">
      <c r="A4" t="s">
        <v>698</v>
      </c>
      <c r="B4">
        <v>172</v>
      </c>
    </row>
    <row r="6" spans="1:2" x14ac:dyDescent="0.25">
      <c r="A6" t="s">
        <v>699</v>
      </c>
      <c r="B6" t="s">
        <v>700</v>
      </c>
    </row>
    <row r="7" spans="1:2" x14ac:dyDescent="0.25">
      <c r="A7" t="s">
        <v>701</v>
      </c>
      <c r="B7" t="s">
        <v>702</v>
      </c>
    </row>
    <row r="8" spans="1:2" x14ac:dyDescent="0.25">
      <c r="A8" t="s">
        <v>703</v>
      </c>
      <c r="B8">
        <v>133</v>
      </c>
    </row>
    <row r="10" spans="1:2" x14ac:dyDescent="0.25">
      <c r="A10" t="s">
        <v>704</v>
      </c>
      <c r="B10" t="s">
        <v>705</v>
      </c>
    </row>
    <row r="11" spans="1:2" x14ac:dyDescent="0.25">
      <c r="A11" t="s">
        <v>706</v>
      </c>
      <c r="B11" t="s">
        <v>707</v>
      </c>
    </row>
    <row r="12" spans="1:2" x14ac:dyDescent="0.25">
      <c r="A12" t="s">
        <v>708</v>
      </c>
      <c r="B12">
        <v>172</v>
      </c>
    </row>
    <row r="13" spans="1:2" x14ac:dyDescent="0.25">
      <c r="A13" t="s">
        <v>709</v>
      </c>
      <c r="B13">
        <v>76</v>
      </c>
    </row>
    <row r="14" spans="1:2" x14ac:dyDescent="0.25">
      <c r="A14" t="s">
        <v>710</v>
      </c>
      <c r="B14" t="s">
        <v>711</v>
      </c>
    </row>
    <row r="15" spans="1:2" x14ac:dyDescent="0.25">
      <c r="A15" t="s">
        <v>712</v>
      </c>
      <c r="B15" t="s">
        <v>713</v>
      </c>
    </row>
    <row r="16" spans="1:2" x14ac:dyDescent="0.25">
      <c r="A16" t="s">
        <v>714</v>
      </c>
      <c r="B16" t="s">
        <v>715</v>
      </c>
    </row>
    <row r="17" spans="1:2" x14ac:dyDescent="0.25">
      <c r="A17" t="s">
        <v>716</v>
      </c>
      <c r="B17" t="s">
        <v>717</v>
      </c>
    </row>
    <row r="18" spans="1:2" x14ac:dyDescent="0.25">
      <c r="A18" t="s">
        <v>718</v>
      </c>
      <c r="B18" t="s">
        <v>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0" customWidth="1"/>
  </cols>
  <sheetData>
    <row r="1" spans="1:2" x14ac:dyDescent="0.25">
      <c r="A1" s="28" t="s">
        <v>720</v>
      </c>
      <c r="B1" s="28" t="s">
        <v>721</v>
      </c>
    </row>
    <row r="2" spans="1:2" x14ac:dyDescent="0.25">
      <c r="A2" s="34" t="s">
        <v>722</v>
      </c>
      <c r="B2" s="35" t="s">
        <v>723</v>
      </c>
    </row>
    <row r="3" spans="1:2" x14ac:dyDescent="0.25">
      <c r="A3" s="34" t="s">
        <v>724</v>
      </c>
      <c r="B3" s="35" t="s">
        <v>725</v>
      </c>
    </row>
    <row r="4" spans="1:2" x14ac:dyDescent="0.25">
      <c r="A4" s="34" t="s">
        <v>726</v>
      </c>
      <c r="B4" s="35" t="s">
        <v>725</v>
      </c>
    </row>
    <row r="5" spans="1:2" x14ac:dyDescent="0.25">
      <c r="A5" s="34" t="s">
        <v>727</v>
      </c>
      <c r="B5" s="36">
        <v>46076</v>
      </c>
    </row>
    <row r="6" spans="1:2" x14ac:dyDescent="0.25">
      <c r="A6" s="34" t="s">
        <v>728</v>
      </c>
      <c r="B6" s="36">
        <v>46538</v>
      </c>
    </row>
    <row r="7" spans="1:2" x14ac:dyDescent="0.25">
      <c r="A7" s="34" t="s">
        <v>729</v>
      </c>
      <c r="B7" s="36">
        <v>46045</v>
      </c>
    </row>
    <row r="8" spans="1:2" x14ac:dyDescent="0.25">
      <c r="A8" s="34" t="s">
        <v>730</v>
      </c>
      <c r="B8" s="36">
        <v>46570</v>
      </c>
    </row>
    <row r="9" spans="1:2" x14ac:dyDescent="0.25">
      <c r="A9" s="34" t="s">
        <v>731</v>
      </c>
      <c r="B9" s="35">
        <v>76</v>
      </c>
    </row>
    <row r="10" spans="1:2" x14ac:dyDescent="0.25">
      <c r="A10" t="s">
        <v>108</v>
      </c>
      <c r="B10" t="s">
        <v>109</v>
      </c>
    </row>
    <row r="11" spans="1:2" x14ac:dyDescent="0.25">
      <c r="A11" t="s">
        <v>732</v>
      </c>
      <c r="B11" t="s">
        <v>733</v>
      </c>
    </row>
    <row r="12" spans="1:2" x14ac:dyDescent="0.25">
      <c r="A12" t="s">
        <v>734</v>
      </c>
      <c r="B12" t="s">
        <v>735</v>
      </c>
    </row>
    <row r="13" spans="1:2" x14ac:dyDescent="0.25">
      <c r="A13" t="s">
        <v>736</v>
      </c>
      <c r="B13" t="s">
        <v>737</v>
      </c>
    </row>
    <row r="14" spans="1:2" x14ac:dyDescent="0.25">
      <c r="A14" t="s">
        <v>738</v>
      </c>
      <c r="B14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60" customWidth="1"/>
    <col min="4" max="4" width="18" customWidth="1"/>
    <col min="5" max="5" width="16" customWidth="1"/>
  </cols>
  <sheetData>
    <row r="1" spans="1:5" x14ac:dyDescent="0.25">
      <c r="A1" s="38" t="s">
        <v>95</v>
      </c>
      <c r="B1" s="38" t="s">
        <v>92</v>
      </c>
      <c r="C1" s="38" t="s">
        <v>93</v>
      </c>
      <c r="D1" s="38" t="s">
        <v>105</v>
      </c>
      <c r="E1" s="38" t="s">
        <v>739</v>
      </c>
    </row>
    <row r="2" spans="1:5" x14ac:dyDescent="0.25">
      <c r="A2" s="39"/>
      <c r="B2" s="39"/>
      <c r="C2" s="39" t="s">
        <v>109</v>
      </c>
      <c r="D2" s="39"/>
      <c r="E2" s="39" t="s">
        <v>740</v>
      </c>
    </row>
    <row r="3" spans="1:5" x14ac:dyDescent="0.25">
      <c r="A3" s="39"/>
      <c r="B3" s="39" t="s">
        <v>112</v>
      </c>
      <c r="C3" s="39" t="s">
        <v>113</v>
      </c>
      <c r="D3" s="39"/>
      <c r="E3" s="39" t="s">
        <v>740</v>
      </c>
    </row>
    <row r="4" spans="1:5" x14ac:dyDescent="0.25">
      <c r="A4" s="39"/>
      <c r="B4" s="39" t="s">
        <v>114</v>
      </c>
      <c r="C4" s="39" t="s">
        <v>115</v>
      </c>
      <c r="D4" s="39"/>
      <c r="E4" s="39" t="s">
        <v>740</v>
      </c>
    </row>
    <row r="5" spans="1:5" x14ac:dyDescent="0.25">
      <c r="A5" t="s">
        <v>119</v>
      </c>
      <c r="B5" t="s">
        <v>117</v>
      </c>
      <c r="C5" t="s">
        <v>118</v>
      </c>
      <c r="D5" s="40">
        <v>100000</v>
      </c>
      <c r="E5" t="s">
        <v>741</v>
      </c>
    </row>
    <row r="6" spans="1:5" x14ac:dyDescent="0.25">
      <c r="A6" s="39"/>
      <c r="B6" s="39" t="s">
        <v>120</v>
      </c>
      <c r="C6" s="39" t="s">
        <v>121</v>
      </c>
      <c r="D6" s="39"/>
      <c r="E6" s="39" t="s">
        <v>740</v>
      </c>
    </row>
    <row r="7" spans="1:5" x14ac:dyDescent="0.25">
      <c r="A7" t="s">
        <v>124</v>
      </c>
      <c r="B7" t="s">
        <v>122</v>
      </c>
      <c r="C7" t="s">
        <v>123</v>
      </c>
      <c r="D7" s="40">
        <v>100000</v>
      </c>
      <c r="E7" t="s">
        <v>741</v>
      </c>
    </row>
    <row r="8" spans="1:5" x14ac:dyDescent="0.25">
      <c r="A8" t="s">
        <v>127</v>
      </c>
      <c r="B8" t="s">
        <v>125</v>
      </c>
      <c r="C8" t="s">
        <v>126</v>
      </c>
      <c r="D8" s="40">
        <v>100000</v>
      </c>
      <c r="E8" t="s">
        <v>741</v>
      </c>
    </row>
    <row r="9" spans="1:5" x14ac:dyDescent="0.25">
      <c r="A9" t="s">
        <v>130</v>
      </c>
      <c r="B9" t="s">
        <v>128</v>
      </c>
      <c r="C9" t="s">
        <v>129</v>
      </c>
      <c r="D9" s="40">
        <v>100000</v>
      </c>
      <c r="E9" t="s">
        <v>741</v>
      </c>
    </row>
    <row r="10" spans="1:5" x14ac:dyDescent="0.25">
      <c r="A10" t="s">
        <v>133</v>
      </c>
      <c r="B10" t="s">
        <v>131</v>
      </c>
      <c r="C10" t="s">
        <v>132</v>
      </c>
      <c r="D10" s="40">
        <v>100000</v>
      </c>
      <c r="E10" t="s">
        <v>741</v>
      </c>
    </row>
    <row r="11" spans="1:5" x14ac:dyDescent="0.25">
      <c r="A11" t="s">
        <v>136</v>
      </c>
      <c r="B11" t="s">
        <v>134</v>
      </c>
      <c r="C11" t="s">
        <v>135</v>
      </c>
      <c r="D11" s="40">
        <v>100000</v>
      </c>
      <c r="E11" t="s">
        <v>741</v>
      </c>
    </row>
    <row r="12" spans="1:5" x14ac:dyDescent="0.25">
      <c r="A12" t="s">
        <v>139</v>
      </c>
      <c r="B12" t="s">
        <v>137</v>
      </c>
      <c r="C12" t="s">
        <v>138</v>
      </c>
      <c r="D12" s="40">
        <v>100000</v>
      </c>
      <c r="E12" t="s">
        <v>741</v>
      </c>
    </row>
    <row r="13" spans="1:5" x14ac:dyDescent="0.25">
      <c r="A13" s="39"/>
      <c r="B13" s="39" t="s">
        <v>140</v>
      </c>
      <c r="C13" s="39" t="s">
        <v>141</v>
      </c>
      <c r="D13" s="39"/>
      <c r="E13" s="39" t="s">
        <v>740</v>
      </c>
    </row>
    <row r="14" spans="1:5" x14ac:dyDescent="0.25">
      <c r="A14" t="s">
        <v>144</v>
      </c>
      <c r="B14" t="s">
        <v>142</v>
      </c>
      <c r="C14" t="s">
        <v>143</v>
      </c>
      <c r="D14" s="40">
        <v>100000</v>
      </c>
      <c r="E14" t="s">
        <v>741</v>
      </c>
    </row>
    <row r="15" spans="1:5" x14ac:dyDescent="0.25">
      <c r="A15" t="s">
        <v>147</v>
      </c>
      <c r="B15" t="s">
        <v>145</v>
      </c>
      <c r="C15" t="s">
        <v>146</v>
      </c>
      <c r="D15" s="40">
        <v>100000</v>
      </c>
      <c r="E15" t="s">
        <v>741</v>
      </c>
    </row>
    <row r="16" spans="1:5" x14ac:dyDescent="0.25">
      <c r="A16" t="s">
        <v>150</v>
      </c>
      <c r="B16" t="s">
        <v>148</v>
      </c>
      <c r="C16" t="s">
        <v>149</v>
      </c>
      <c r="D16" s="40">
        <v>100000</v>
      </c>
      <c r="E16" t="s">
        <v>741</v>
      </c>
    </row>
    <row r="17" spans="1:5" x14ac:dyDescent="0.25">
      <c r="A17" t="s">
        <v>153</v>
      </c>
      <c r="B17" t="s">
        <v>151</v>
      </c>
      <c r="C17" t="s">
        <v>152</v>
      </c>
      <c r="D17" s="40">
        <v>100000</v>
      </c>
      <c r="E17" t="s">
        <v>741</v>
      </c>
    </row>
    <row r="18" spans="1:5" x14ac:dyDescent="0.25">
      <c r="A18" s="39"/>
      <c r="B18" s="39" t="s">
        <v>154</v>
      </c>
      <c r="C18" s="39" t="s">
        <v>155</v>
      </c>
      <c r="D18" s="39"/>
      <c r="E18" s="39" t="s">
        <v>740</v>
      </c>
    </row>
    <row r="19" spans="1:5" x14ac:dyDescent="0.25">
      <c r="A19" s="39"/>
      <c r="B19" s="39" t="s">
        <v>156</v>
      </c>
      <c r="C19" s="39" t="s">
        <v>157</v>
      </c>
      <c r="D19" s="39"/>
      <c r="E19" s="39" t="s">
        <v>740</v>
      </c>
    </row>
    <row r="20" spans="1:5" x14ac:dyDescent="0.25">
      <c r="A20" t="s">
        <v>160</v>
      </c>
      <c r="B20" t="s">
        <v>158</v>
      </c>
      <c r="C20" t="s">
        <v>159</v>
      </c>
      <c r="D20" s="40">
        <v>100000</v>
      </c>
      <c r="E20" t="s">
        <v>741</v>
      </c>
    </row>
    <row r="21" spans="1:5" x14ac:dyDescent="0.25">
      <c r="A21" s="39"/>
      <c r="B21" s="39" t="s">
        <v>161</v>
      </c>
      <c r="C21" s="39" t="s">
        <v>162</v>
      </c>
      <c r="D21" s="39"/>
      <c r="E21" s="39" t="s">
        <v>740</v>
      </c>
    </row>
    <row r="22" spans="1:5" x14ac:dyDescent="0.25">
      <c r="A22" t="s">
        <v>165</v>
      </c>
      <c r="B22" t="s">
        <v>163</v>
      </c>
      <c r="C22" t="s">
        <v>164</v>
      </c>
      <c r="D22" s="40">
        <v>100000</v>
      </c>
      <c r="E22" t="s">
        <v>741</v>
      </c>
    </row>
    <row r="23" spans="1:5" x14ac:dyDescent="0.25">
      <c r="A23" t="s">
        <v>168</v>
      </c>
      <c r="B23" t="s">
        <v>166</v>
      </c>
      <c r="C23" t="s">
        <v>167</v>
      </c>
      <c r="D23" s="40">
        <v>100000</v>
      </c>
      <c r="E23" t="s">
        <v>741</v>
      </c>
    </row>
    <row r="24" spans="1:5" x14ac:dyDescent="0.25">
      <c r="A24" t="s">
        <v>171</v>
      </c>
      <c r="B24" t="s">
        <v>169</v>
      </c>
      <c r="C24" t="s">
        <v>170</v>
      </c>
      <c r="D24" s="40">
        <v>100000</v>
      </c>
      <c r="E24" t="s">
        <v>741</v>
      </c>
    </row>
    <row r="25" spans="1:5" x14ac:dyDescent="0.25">
      <c r="A25" t="s">
        <v>174</v>
      </c>
      <c r="B25" t="s">
        <v>172</v>
      </c>
      <c r="C25" t="s">
        <v>173</v>
      </c>
      <c r="D25" s="40">
        <v>100000</v>
      </c>
      <c r="E25" t="s">
        <v>741</v>
      </c>
    </row>
    <row r="26" spans="1:5" x14ac:dyDescent="0.25">
      <c r="A26" s="39"/>
      <c r="B26" s="39" t="s">
        <v>175</v>
      </c>
      <c r="C26" s="39" t="s">
        <v>176</v>
      </c>
      <c r="D26" s="39"/>
      <c r="E26" s="39" t="s">
        <v>740</v>
      </c>
    </row>
    <row r="27" spans="1:5" x14ac:dyDescent="0.25">
      <c r="A27" t="s">
        <v>178</v>
      </c>
      <c r="B27" t="s">
        <v>177</v>
      </c>
      <c r="C27" t="s">
        <v>164</v>
      </c>
      <c r="D27" s="40">
        <v>100000</v>
      </c>
      <c r="E27" t="s">
        <v>741</v>
      </c>
    </row>
    <row r="28" spans="1:5" x14ac:dyDescent="0.25">
      <c r="A28" t="s">
        <v>180</v>
      </c>
      <c r="B28" t="s">
        <v>179</v>
      </c>
      <c r="C28" t="s">
        <v>167</v>
      </c>
      <c r="D28" s="40">
        <v>100000</v>
      </c>
      <c r="E28" t="s">
        <v>741</v>
      </c>
    </row>
    <row r="29" spans="1:5" x14ac:dyDescent="0.25">
      <c r="A29" t="s">
        <v>182</v>
      </c>
      <c r="B29" t="s">
        <v>181</v>
      </c>
      <c r="C29" t="s">
        <v>170</v>
      </c>
      <c r="D29" s="40">
        <v>100000</v>
      </c>
      <c r="E29" t="s">
        <v>741</v>
      </c>
    </row>
    <row r="30" spans="1:5" x14ac:dyDescent="0.25">
      <c r="A30" t="s">
        <v>184</v>
      </c>
      <c r="B30" t="s">
        <v>183</v>
      </c>
      <c r="C30" t="s">
        <v>173</v>
      </c>
      <c r="D30" s="40">
        <v>100000</v>
      </c>
      <c r="E30" t="s">
        <v>741</v>
      </c>
    </row>
    <row r="31" spans="1:5" x14ac:dyDescent="0.25">
      <c r="A31" s="39"/>
      <c r="B31" s="39" t="s">
        <v>185</v>
      </c>
      <c r="C31" s="39" t="s">
        <v>186</v>
      </c>
      <c r="D31" s="39"/>
      <c r="E31" s="39" t="s">
        <v>740</v>
      </c>
    </row>
    <row r="32" spans="1:5" x14ac:dyDescent="0.25">
      <c r="A32" t="s">
        <v>189</v>
      </c>
      <c r="B32" t="s">
        <v>187</v>
      </c>
      <c r="C32" t="s">
        <v>188</v>
      </c>
      <c r="D32" s="40">
        <v>100000</v>
      </c>
      <c r="E32" t="s">
        <v>741</v>
      </c>
    </row>
    <row r="33" spans="1:5" x14ac:dyDescent="0.25">
      <c r="A33" t="s">
        <v>192</v>
      </c>
      <c r="B33" t="s">
        <v>190</v>
      </c>
      <c r="C33" t="s">
        <v>191</v>
      </c>
      <c r="D33" s="40">
        <v>100000</v>
      </c>
      <c r="E33" t="s">
        <v>741</v>
      </c>
    </row>
    <row r="34" spans="1:5" x14ac:dyDescent="0.25">
      <c r="A34" t="s">
        <v>195</v>
      </c>
      <c r="B34" t="s">
        <v>193</v>
      </c>
      <c r="C34" t="s">
        <v>194</v>
      </c>
      <c r="D34" s="40">
        <v>100000</v>
      </c>
      <c r="E34" t="s">
        <v>741</v>
      </c>
    </row>
    <row r="35" spans="1:5" x14ac:dyDescent="0.25">
      <c r="A35" t="s">
        <v>198</v>
      </c>
      <c r="B35" t="s">
        <v>196</v>
      </c>
      <c r="C35" t="s">
        <v>197</v>
      </c>
      <c r="D35" s="40">
        <v>100000</v>
      </c>
      <c r="E35" t="s">
        <v>741</v>
      </c>
    </row>
    <row r="36" spans="1:5" x14ac:dyDescent="0.25">
      <c r="A36" s="39"/>
      <c r="B36" s="39" t="s">
        <v>199</v>
      </c>
      <c r="C36" s="39" t="s">
        <v>200</v>
      </c>
      <c r="D36" s="39"/>
      <c r="E36" s="39" t="s">
        <v>740</v>
      </c>
    </row>
    <row r="37" spans="1:5" x14ac:dyDescent="0.25">
      <c r="A37" t="s">
        <v>202</v>
      </c>
      <c r="B37" t="s">
        <v>201</v>
      </c>
      <c r="C37" t="s">
        <v>188</v>
      </c>
      <c r="D37" s="40">
        <v>100000</v>
      </c>
      <c r="E37" t="s">
        <v>741</v>
      </c>
    </row>
    <row r="38" spans="1:5" x14ac:dyDescent="0.25">
      <c r="A38" t="s">
        <v>205</v>
      </c>
      <c r="B38" t="s">
        <v>203</v>
      </c>
      <c r="C38" t="s">
        <v>204</v>
      </c>
      <c r="D38" s="40">
        <v>100000</v>
      </c>
      <c r="E38" t="s">
        <v>741</v>
      </c>
    </row>
    <row r="39" spans="1:5" x14ac:dyDescent="0.25">
      <c r="A39" t="s">
        <v>208</v>
      </c>
      <c r="B39" t="s">
        <v>206</v>
      </c>
      <c r="C39" t="s">
        <v>207</v>
      </c>
      <c r="D39" s="40">
        <v>100000</v>
      </c>
      <c r="E39" t="s">
        <v>741</v>
      </c>
    </row>
    <row r="40" spans="1:5" x14ac:dyDescent="0.25">
      <c r="A40" s="39"/>
      <c r="B40" s="39" t="s">
        <v>209</v>
      </c>
      <c r="C40" s="39" t="s">
        <v>210</v>
      </c>
      <c r="D40" s="39"/>
      <c r="E40" s="39" t="s">
        <v>740</v>
      </c>
    </row>
    <row r="41" spans="1:5" x14ac:dyDescent="0.25">
      <c r="A41" t="s">
        <v>212</v>
      </c>
      <c r="B41" t="s">
        <v>211</v>
      </c>
      <c r="C41" t="s">
        <v>188</v>
      </c>
      <c r="D41" s="40">
        <v>100000</v>
      </c>
      <c r="E41" t="s">
        <v>741</v>
      </c>
    </row>
    <row r="42" spans="1:5" x14ac:dyDescent="0.25">
      <c r="A42" t="s">
        <v>214</v>
      </c>
      <c r="B42" t="s">
        <v>213</v>
      </c>
      <c r="C42" t="s">
        <v>204</v>
      </c>
      <c r="D42" s="40">
        <v>100000</v>
      </c>
      <c r="E42" t="s">
        <v>741</v>
      </c>
    </row>
    <row r="43" spans="1:5" x14ac:dyDescent="0.25">
      <c r="A43" t="s">
        <v>216</v>
      </c>
      <c r="B43" t="s">
        <v>215</v>
      </c>
      <c r="C43" t="s">
        <v>207</v>
      </c>
      <c r="D43" s="40">
        <v>100000</v>
      </c>
      <c r="E43" t="s">
        <v>741</v>
      </c>
    </row>
    <row r="44" spans="1:5" x14ac:dyDescent="0.25">
      <c r="A44" s="39"/>
      <c r="B44" s="39" t="s">
        <v>217</v>
      </c>
      <c r="C44" s="39" t="s">
        <v>218</v>
      </c>
      <c r="D44" s="39"/>
      <c r="E44" s="39" t="s">
        <v>740</v>
      </c>
    </row>
    <row r="45" spans="1:5" x14ac:dyDescent="0.25">
      <c r="A45" t="s">
        <v>220</v>
      </c>
      <c r="B45" t="s">
        <v>219</v>
      </c>
      <c r="C45" t="s">
        <v>188</v>
      </c>
      <c r="D45" s="40">
        <v>100000</v>
      </c>
      <c r="E45" t="s">
        <v>741</v>
      </c>
    </row>
    <row r="46" spans="1:5" x14ac:dyDescent="0.25">
      <c r="A46" t="s">
        <v>223</v>
      </c>
      <c r="B46" t="s">
        <v>221</v>
      </c>
      <c r="C46" t="s">
        <v>222</v>
      </c>
      <c r="D46" s="40">
        <v>100000</v>
      </c>
      <c r="E46" t="s">
        <v>741</v>
      </c>
    </row>
    <row r="47" spans="1:5" x14ac:dyDescent="0.25">
      <c r="A47" t="s">
        <v>226</v>
      </c>
      <c r="B47" t="s">
        <v>224</v>
      </c>
      <c r="C47" t="s">
        <v>225</v>
      </c>
      <c r="D47" s="40">
        <v>100000</v>
      </c>
      <c r="E47" t="s">
        <v>741</v>
      </c>
    </row>
    <row r="48" spans="1:5" x14ac:dyDescent="0.25">
      <c r="A48" s="39"/>
      <c r="B48" s="39" t="s">
        <v>227</v>
      </c>
      <c r="C48" s="39" t="s">
        <v>228</v>
      </c>
      <c r="D48" s="39"/>
      <c r="E48" s="39" t="s">
        <v>740</v>
      </c>
    </row>
    <row r="49" spans="1:5" x14ac:dyDescent="0.25">
      <c r="A49" t="s">
        <v>230</v>
      </c>
      <c r="B49" t="s">
        <v>229</v>
      </c>
      <c r="C49" t="s">
        <v>188</v>
      </c>
      <c r="D49" s="40">
        <v>100000</v>
      </c>
      <c r="E49" t="s">
        <v>741</v>
      </c>
    </row>
    <row r="50" spans="1:5" x14ac:dyDescent="0.25">
      <c r="A50" t="s">
        <v>233</v>
      </c>
      <c r="B50" t="s">
        <v>231</v>
      </c>
      <c r="C50" t="s">
        <v>232</v>
      </c>
      <c r="D50" s="40">
        <v>100000</v>
      </c>
      <c r="E50" t="s">
        <v>741</v>
      </c>
    </row>
    <row r="51" spans="1:5" x14ac:dyDescent="0.25">
      <c r="A51" t="s">
        <v>235</v>
      </c>
      <c r="B51" t="s">
        <v>234</v>
      </c>
      <c r="C51" t="s">
        <v>222</v>
      </c>
      <c r="D51" s="40">
        <v>100000</v>
      </c>
      <c r="E51" t="s">
        <v>741</v>
      </c>
    </row>
    <row r="52" spans="1:5" x14ac:dyDescent="0.25">
      <c r="A52" t="s">
        <v>237</v>
      </c>
      <c r="B52" t="s">
        <v>236</v>
      </c>
      <c r="C52" t="s">
        <v>225</v>
      </c>
      <c r="D52" s="40">
        <v>100000</v>
      </c>
      <c r="E52" t="s">
        <v>741</v>
      </c>
    </row>
    <row r="53" spans="1:5" x14ac:dyDescent="0.25">
      <c r="A53" s="39"/>
      <c r="B53" s="39" t="s">
        <v>238</v>
      </c>
      <c r="C53" s="39" t="s">
        <v>239</v>
      </c>
      <c r="D53" s="39"/>
      <c r="E53" s="39" t="s">
        <v>740</v>
      </c>
    </row>
    <row r="54" spans="1:5" x14ac:dyDescent="0.25">
      <c r="A54" t="s">
        <v>242</v>
      </c>
      <c r="B54" t="s">
        <v>240</v>
      </c>
      <c r="C54" t="s">
        <v>241</v>
      </c>
      <c r="D54" s="40">
        <v>100000</v>
      </c>
      <c r="E54" t="s">
        <v>741</v>
      </c>
    </row>
    <row r="55" spans="1:5" x14ac:dyDescent="0.25">
      <c r="A55" t="s">
        <v>245</v>
      </c>
      <c r="B55" t="s">
        <v>243</v>
      </c>
      <c r="C55" t="s">
        <v>244</v>
      </c>
      <c r="D55" s="40">
        <v>100000</v>
      </c>
      <c r="E55" t="s">
        <v>741</v>
      </c>
    </row>
    <row r="56" spans="1:5" x14ac:dyDescent="0.25">
      <c r="A56" t="s">
        <v>248</v>
      </c>
      <c r="B56" t="s">
        <v>246</v>
      </c>
      <c r="C56" t="s">
        <v>247</v>
      </c>
      <c r="D56" s="40">
        <v>100000</v>
      </c>
      <c r="E56" t="s">
        <v>741</v>
      </c>
    </row>
    <row r="57" spans="1:5" x14ac:dyDescent="0.25">
      <c r="A57" s="39"/>
      <c r="B57" s="39" t="s">
        <v>249</v>
      </c>
      <c r="C57" s="39" t="s">
        <v>250</v>
      </c>
      <c r="D57" s="39"/>
      <c r="E57" s="39" t="s">
        <v>740</v>
      </c>
    </row>
    <row r="58" spans="1:5" x14ac:dyDescent="0.25">
      <c r="A58" t="s">
        <v>252</v>
      </c>
      <c r="B58" t="s">
        <v>251</v>
      </c>
      <c r="C58" t="s">
        <v>241</v>
      </c>
      <c r="D58" s="40">
        <v>100000</v>
      </c>
      <c r="E58" t="s">
        <v>741</v>
      </c>
    </row>
    <row r="59" spans="1:5" x14ac:dyDescent="0.25">
      <c r="A59" t="s">
        <v>254</v>
      </c>
      <c r="B59" t="s">
        <v>253</v>
      </c>
      <c r="C59" t="s">
        <v>222</v>
      </c>
      <c r="D59" s="40">
        <v>100000</v>
      </c>
      <c r="E59" t="s">
        <v>741</v>
      </c>
    </row>
    <row r="60" spans="1:5" x14ac:dyDescent="0.25">
      <c r="A60" t="s">
        <v>256</v>
      </c>
      <c r="B60" t="s">
        <v>255</v>
      </c>
      <c r="C60" t="s">
        <v>225</v>
      </c>
      <c r="D60" s="40">
        <v>100000</v>
      </c>
      <c r="E60" t="s">
        <v>741</v>
      </c>
    </row>
    <row r="61" spans="1:5" x14ac:dyDescent="0.25">
      <c r="A61" s="39"/>
      <c r="B61" s="39" t="s">
        <v>257</v>
      </c>
      <c r="C61" s="39" t="s">
        <v>258</v>
      </c>
      <c r="D61" s="39"/>
      <c r="E61" s="39" t="s">
        <v>740</v>
      </c>
    </row>
    <row r="62" spans="1:5" x14ac:dyDescent="0.25">
      <c r="A62" t="s">
        <v>261</v>
      </c>
      <c r="B62" t="s">
        <v>259</v>
      </c>
      <c r="C62" t="s">
        <v>260</v>
      </c>
      <c r="D62" s="40">
        <v>100000</v>
      </c>
      <c r="E62" t="s">
        <v>741</v>
      </c>
    </row>
    <row r="63" spans="1:5" x14ac:dyDescent="0.25">
      <c r="A63" t="s">
        <v>264</v>
      </c>
      <c r="B63" t="s">
        <v>262</v>
      </c>
      <c r="C63" t="s">
        <v>263</v>
      </c>
      <c r="D63" s="40">
        <v>100000</v>
      </c>
      <c r="E63" t="s">
        <v>741</v>
      </c>
    </row>
    <row r="64" spans="1:5" x14ac:dyDescent="0.25">
      <c r="A64" t="s">
        <v>267</v>
      </c>
      <c r="B64" t="s">
        <v>265</v>
      </c>
      <c r="C64" t="s">
        <v>266</v>
      </c>
      <c r="D64" s="40">
        <v>100000</v>
      </c>
      <c r="E64" t="s">
        <v>741</v>
      </c>
    </row>
    <row r="65" spans="1:5" x14ac:dyDescent="0.25">
      <c r="A65" t="s">
        <v>270</v>
      </c>
      <c r="B65" t="s">
        <v>268</v>
      </c>
      <c r="C65" t="s">
        <v>269</v>
      </c>
      <c r="D65" s="40">
        <v>100000</v>
      </c>
      <c r="E65" t="s">
        <v>741</v>
      </c>
    </row>
    <row r="66" spans="1:5" x14ac:dyDescent="0.25">
      <c r="A66" t="s">
        <v>273</v>
      </c>
      <c r="B66" t="s">
        <v>271</v>
      </c>
      <c r="C66" t="s">
        <v>272</v>
      </c>
      <c r="D66" s="40">
        <v>100000</v>
      </c>
      <c r="E66" t="s">
        <v>741</v>
      </c>
    </row>
    <row r="67" spans="1:5" x14ac:dyDescent="0.25">
      <c r="A67" s="39"/>
      <c r="B67" s="39" t="s">
        <v>274</v>
      </c>
      <c r="C67" s="39" t="s">
        <v>275</v>
      </c>
      <c r="D67" s="39"/>
      <c r="E67" s="39" t="s">
        <v>740</v>
      </c>
    </row>
    <row r="68" spans="1:5" x14ac:dyDescent="0.25">
      <c r="A68" t="s">
        <v>278</v>
      </c>
      <c r="B68" t="s">
        <v>276</v>
      </c>
      <c r="C68" t="s">
        <v>277</v>
      </c>
      <c r="D68" s="40">
        <v>100000</v>
      </c>
      <c r="E68" t="s">
        <v>741</v>
      </c>
    </row>
    <row r="69" spans="1:5" x14ac:dyDescent="0.25">
      <c r="A69" t="s">
        <v>281</v>
      </c>
      <c r="B69" t="s">
        <v>279</v>
      </c>
      <c r="C69" t="s">
        <v>280</v>
      </c>
      <c r="D69" s="40">
        <v>100000</v>
      </c>
      <c r="E69" t="s">
        <v>741</v>
      </c>
    </row>
    <row r="70" spans="1:5" x14ac:dyDescent="0.25">
      <c r="A70" t="s">
        <v>284</v>
      </c>
      <c r="B70" t="s">
        <v>282</v>
      </c>
      <c r="C70" t="s">
        <v>283</v>
      </c>
      <c r="D70" s="40">
        <v>100000</v>
      </c>
      <c r="E70" t="s">
        <v>741</v>
      </c>
    </row>
    <row r="71" spans="1:5" x14ac:dyDescent="0.25">
      <c r="A71" t="s">
        <v>287</v>
      </c>
      <c r="B71" t="s">
        <v>285</v>
      </c>
      <c r="C71" t="s">
        <v>286</v>
      </c>
      <c r="D71" s="40">
        <v>100000</v>
      </c>
      <c r="E71" t="s">
        <v>741</v>
      </c>
    </row>
    <row r="72" spans="1:5" x14ac:dyDescent="0.25">
      <c r="A72" t="s">
        <v>290</v>
      </c>
      <c r="B72" t="s">
        <v>288</v>
      </c>
      <c r="C72" t="s">
        <v>289</v>
      </c>
      <c r="D72" s="40">
        <v>100000</v>
      </c>
      <c r="E72" t="s">
        <v>741</v>
      </c>
    </row>
    <row r="73" spans="1:5" x14ac:dyDescent="0.25">
      <c r="A73" t="s">
        <v>293</v>
      </c>
      <c r="B73" t="s">
        <v>291</v>
      </c>
      <c r="C73" t="s">
        <v>292</v>
      </c>
      <c r="D73" s="40">
        <v>100000</v>
      </c>
      <c r="E73" t="s">
        <v>741</v>
      </c>
    </row>
    <row r="74" spans="1:5" x14ac:dyDescent="0.25">
      <c r="A74" s="39"/>
      <c r="B74" s="39" t="s">
        <v>294</v>
      </c>
      <c r="C74" s="39" t="s">
        <v>295</v>
      </c>
      <c r="D74" s="39"/>
      <c r="E74" s="39" t="s">
        <v>740</v>
      </c>
    </row>
    <row r="75" spans="1:5" x14ac:dyDescent="0.25">
      <c r="A75" s="39"/>
      <c r="B75" s="39" t="s">
        <v>296</v>
      </c>
      <c r="C75" s="39" t="s">
        <v>297</v>
      </c>
      <c r="D75" s="39"/>
      <c r="E75" s="39" t="s">
        <v>740</v>
      </c>
    </row>
    <row r="76" spans="1:5" x14ac:dyDescent="0.25">
      <c r="A76" s="39"/>
      <c r="B76" s="39" t="s">
        <v>298</v>
      </c>
      <c r="C76" s="39" t="s">
        <v>299</v>
      </c>
      <c r="D76" s="39"/>
      <c r="E76" s="39" t="s">
        <v>740</v>
      </c>
    </row>
    <row r="77" spans="1:5" x14ac:dyDescent="0.25">
      <c r="A77" t="s">
        <v>302</v>
      </c>
      <c r="B77" t="s">
        <v>300</v>
      </c>
      <c r="C77" t="s">
        <v>301</v>
      </c>
      <c r="D77" s="40">
        <v>100000</v>
      </c>
      <c r="E77" t="s">
        <v>741</v>
      </c>
    </row>
    <row r="78" spans="1:5" x14ac:dyDescent="0.25">
      <c r="A78" t="s">
        <v>305</v>
      </c>
      <c r="B78" t="s">
        <v>303</v>
      </c>
      <c r="C78" t="s">
        <v>304</v>
      </c>
      <c r="D78" s="40">
        <v>100000</v>
      </c>
      <c r="E78" t="s">
        <v>741</v>
      </c>
    </row>
    <row r="79" spans="1:5" x14ac:dyDescent="0.25">
      <c r="A79" t="s">
        <v>308</v>
      </c>
      <c r="B79" t="s">
        <v>306</v>
      </c>
      <c r="C79" t="s">
        <v>307</v>
      </c>
      <c r="D79" s="40">
        <v>100000</v>
      </c>
      <c r="E79" t="s">
        <v>741</v>
      </c>
    </row>
    <row r="80" spans="1:5" x14ac:dyDescent="0.25">
      <c r="A80" t="s">
        <v>311</v>
      </c>
      <c r="B80" t="s">
        <v>309</v>
      </c>
      <c r="C80" t="s">
        <v>310</v>
      </c>
      <c r="D80" s="40">
        <v>100000</v>
      </c>
      <c r="E80" t="s">
        <v>741</v>
      </c>
    </row>
    <row r="81" spans="1:5" x14ac:dyDescent="0.25">
      <c r="A81" s="39"/>
      <c r="B81" s="39" t="s">
        <v>312</v>
      </c>
      <c r="C81" s="39" t="s">
        <v>313</v>
      </c>
      <c r="D81" s="39"/>
      <c r="E81" s="39" t="s">
        <v>740</v>
      </c>
    </row>
    <row r="82" spans="1:5" x14ac:dyDescent="0.25">
      <c r="A82" s="39"/>
      <c r="B82" s="39" t="s">
        <v>314</v>
      </c>
      <c r="C82" s="39" t="s">
        <v>315</v>
      </c>
      <c r="D82" s="39"/>
      <c r="E82" s="39" t="s">
        <v>740</v>
      </c>
    </row>
    <row r="83" spans="1:5" x14ac:dyDescent="0.25">
      <c r="A83" t="s">
        <v>318</v>
      </c>
      <c r="B83" t="s">
        <v>316</v>
      </c>
      <c r="C83" t="s">
        <v>317</v>
      </c>
      <c r="D83" s="40">
        <v>100000</v>
      </c>
      <c r="E83" t="s">
        <v>741</v>
      </c>
    </row>
    <row r="84" spans="1:5" x14ac:dyDescent="0.25">
      <c r="A84" t="s">
        <v>321</v>
      </c>
      <c r="B84" t="s">
        <v>319</v>
      </c>
      <c r="C84" t="s">
        <v>320</v>
      </c>
      <c r="D84" s="40">
        <v>100000</v>
      </c>
      <c r="E84" t="s">
        <v>741</v>
      </c>
    </row>
    <row r="85" spans="1:5" x14ac:dyDescent="0.25">
      <c r="A85" t="s">
        <v>324</v>
      </c>
      <c r="B85" t="s">
        <v>322</v>
      </c>
      <c r="C85" t="s">
        <v>323</v>
      </c>
      <c r="D85" s="40">
        <v>100000</v>
      </c>
      <c r="E85" t="s">
        <v>741</v>
      </c>
    </row>
    <row r="86" spans="1:5" x14ac:dyDescent="0.25">
      <c r="A86" s="39"/>
      <c r="B86" s="39" t="s">
        <v>325</v>
      </c>
      <c r="C86" s="39" t="s">
        <v>326</v>
      </c>
      <c r="D86" s="39"/>
      <c r="E86" s="39" t="s">
        <v>740</v>
      </c>
    </row>
    <row r="87" spans="1:5" x14ac:dyDescent="0.25">
      <c r="A87" t="s">
        <v>329</v>
      </c>
      <c r="B87" t="s">
        <v>327</v>
      </c>
      <c r="C87" t="s">
        <v>328</v>
      </c>
      <c r="D87" s="40">
        <v>100000</v>
      </c>
      <c r="E87" t="s">
        <v>741</v>
      </c>
    </row>
    <row r="88" spans="1:5" x14ac:dyDescent="0.25">
      <c r="A88" t="s">
        <v>332</v>
      </c>
      <c r="B88" t="s">
        <v>330</v>
      </c>
      <c r="C88" t="s">
        <v>331</v>
      </c>
      <c r="D88" s="40">
        <v>100000</v>
      </c>
      <c r="E88" t="s">
        <v>741</v>
      </c>
    </row>
    <row r="89" spans="1:5" x14ac:dyDescent="0.25">
      <c r="A89" t="s">
        <v>335</v>
      </c>
      <c r="B89" t="s">
        <v>333</v>
      </c>
      <c r="C89" t="s">
        <v>334</v>
      </c>
      <c r="D89" s="40">
        <v>100000</v>
      </c>
      <c r="E89" t="s">
        <v>741</v>
      </c>
    </row>
    <row r="90" spans="1:5" x14ac:dyDescent="0.25">
      <c r="A90" s="39"/>
      <c r="B90" s="39" t="s">
        <v>336</v>
      </c>
      <c r="C90" s="39" t="s">
        <v>337</v>
      </c>
      <c r="D90" s="39"/>
      <c r="E90" s="39" t="s">
        <v>740</v>
      </c>
    </row>
    <row r="91" spans="1:5" x14ac:dyDescent="0.25">
      <c r="A91" t="s">
        <v>340</v>
      </c>
      <c r="B91" t="s">
        <v>338</v>
      </c>
      <c r="C91" t="s">
        <v>339</v>
      </c>
      <c r="D91" s="40">
        <v>100000</v>
      </c>
      <c r="E91" t="s">
        <v>741</v>
      </c>
    </row>
    <row r="92" spans="1:5" x14ac:dyDescent="0.25">
      <c r="A92" t="s">
        <v>343</v>
      </c>
      <c r="B92" t="s">
        <v>341</v>
      </c>
      <c r="C92" t="s">
        <v>342</v>
      </c>
      <c r="D92" s="40">
        <v>100000</v>
      </c>
      <c r="E92" t="s">
        <v>741</v>
      </c>
    </row>
    <row r="93" spans="1:5" x14ac:dyDescent="0.25">
      <c r="A93" t="s">
        <v>346</v>
      </c>
      <c r="B93" t="s">
        <v>344</v>
      </c>
      <c r="C93" t="s">
        <v>345</v>
      </c>
      <c r="D93" s="40">
        <v>100000</v>
      </c>
      <c r="E93" t="s">
        <v>741</v>
      </c>
    </row>
    <row r="94" spans="1:5" x14ac:dyDescent="0.25">
      <c r="A94" t="s">
        <v>349</v>
      </c>
      <c r="B94" t="s">
        <v>347</v>
      </c>
      <c r="C94" t="s">
        <v>348</v>
      </c>
      <c r="D94" s="40">
        <v>100000</v>
      </c>
      <c r="E94" t="s">
        <v>741</v>
      </c>
    </row>
    <row r="95" spans="1:5" x14ac:dyDescent="0.25">
      <c r="A95" s="39"/>
      <c r="B95" s="39" t="s">
        <v>350</v>
      </c>
      <c r="C95" s="39" t="s">
        <v>351</v>
      </c>
      <c r="D95" s="39"/>
      <c r="E95" s="39" t="s">
        <v>740</v>
      </c>
    </row>
    <row r="96" spans="1:5" x14ac:dyDescent="0.25">
      <c r="A96" t="s">
        <v>354</v>
      </c>
      <c r="B96" t="s">
        <v>352</v>
      </c>
      <c r="C96" t="s">
        <v>353</v>
      </c>
      <c r="D96" s="40">
        <v>100000</v>
      </c>
      <c r="E96" t="s">
        <v>741</v>
      </c>
    </row>
    <row r="97" spans="1:5" x14ac:dyDescent="0.25">
      <c r="A97" s="39"/>
      <c r="B97" s="39" t="s">
        <v>355</v>
      </c>
      <c r="C97" s="39" t="s">
        <v>356</v>
      </c>
      <c r="D97" s="39"/>
      <c r="E97" s="39" t="s">
        <v>740</v>
      </c>
    </row>
    <row r="98" spans="1:5" x14ac:dyDescent="0.25">
      <c r="A98" t="s">
        <v>359</v>
      </c>
      <c r="B98" t="s">
        <v>357</v>
      </c>
      <c r="C98" t="s">
        <v>358</v>
      </c>
      <c r="D98" s="40">
        <v>100000</v>
      </c>
      <c r="E98" t="s">
        <v>741</v>
      </c>
    </row>
    <row r="99" spans="1:5" x14ac:dyDescent="0.25">
      <c r="A99" t="s">
        <v>362</v>
      </c>
      <c r="B99" t="s">
        <v>360</v>
      </c>
      <c r="C99" t="s">
        <v>361</v>
      </c>
      <c r="D99" s="40">
        <v>100000</v>
      </c>
      <c r="E99" t="s">
        <v>741</v>
      </c>
    </row>
    <row r="100" spans="1:5" x14ac:dyDescent="0.25">
      <c r="A100" t="s">
        <v>365</v>
      </c>
      <c r="B100" t="s">
        <v>363</v>
      </c>
      <c r="C100" t="s">
        <v>364</v>
      </c>
      <c r="D100" s="40">
        <v>100000</v>
      </c>
      <c r="E100" t="s">
        <v>741</v>
      </c>
    </row>
    <row r="101" spans="1:5" x14ac:dyDescent="0.25">
      <c r="A101" t="s">
        <v>368</v>
      </c>
      <c r="B101" t="s">
        <v>366</v>
      </c>
      <c r="C101" t="s">
        <v>367</v>
      </c>
      <c r="D101" s="40">
        <v>100000</v>
      </c>
      <c r="E101" t="s">
        <v>741</v>
      </c>
    </row>
    <row r="102" spans="1:5" x14ac:dyDescent="0.25">
      <c r="A102" s="39"/>
      <c r="B102" s="39" t="s">
        <v>369</v>
      </c>
      <c r="C102" s="39" t="s">
        <v>228</v>
      </c>
      <c r="D102" s="39"/>
      <c r="E102" s="39" t="s">
        <v>740</v>
      </c>
    </row>
    <row r="103" spans="1:5" x14ac:dyDescent="0.25">
      <c r="A103" s="39"/>
      <c r="B103" s="39" t="s">
        <v>370</v>
      </c>
      <c r="C103" s="39" t="s">
        <v>315</v>
      </c>
      <c r="D103" s="39"/>
      <c r="E103" s="39" t="s">
        <v>740</v>
      </c>
    </row>
    <row r="104" spans="1:5" x14ac:dyDescent="0.25">
      <c r="A104" t="s">
        <v>372</v>
      </c>
      <c r="B104" t="s">
        <v>371</v>
      </c>
      <c r="C104" t="s">
        <v>317</v>
      </c>
      <c r="D104" s="40">
        <v>100000</v>
      </c>
      <c r="E104" t="s">
        <v>741</v>
      </c>
    </row>
    <row r="105" spans="1:5" x14ac:dyDescent="0.25">
      <c r="A105" t="s">
        <v>374</v>
      </c>
      <c r="B105" t="s">
        <v>373</v>
      </c>
      <c r="C105" t="s">
        <v>320</v>
      </c>
      <c r="D105" s="40">
        <v>100000</v>
      </c>
      <c r="E105" t="s">
        <v>741</v>
      </c>
    </row>
    <row r="106" spans="1:5" x14ac:dyDescent="0.25">
      <c r="A106" t="s">
        <v>376</v>
      </c>
      <c r="B106" t="s">
        <v>375</v>
      </c>
      <c r="C106" t="s">
        <v>323</v>
      </c>
      <c r="D106" s="40">
        <v>100000</v>
      </c>
      <c r="E106" t="s">
        <v>741</v>
      </c>
    </row>
    <row r="107" spans="1:5" x14ac:dyDescent="0.25">
      <c r="A107" s="39"/>
      <c r="B107" s="39" t="s">
        <v>377</v>
      </c>
      <c r="C107" s="39" t="s">
        <v>326</v>
      </c>
      <c r="D107" s="39"/>
      <c r="E107" s="39" t="s">
        <v>740</v>
      </c>
    </row>
    <row r="108" spans="1:5" x14ac:dyDescent="0.25">
      <c r="A108" t="s">
        <v>379</v>
      </c>
      <c r="B108" t="s">
        <v>378</v>
      </c>
      <c r="C108" t="s">
        <v>331</v>
      </c>
      <c r="D108" s="40">
        <v>100000</v>
      </c>
      <c r="E108" t="s">
        <v>741</v>
      </c>
    </row>
    <row r="109" spans="1:5" x14ac:dyDescent="0.25">
      <c r="A109" t="s">
        <v>381</v>
      </c>
      <c r="B109" t="s">
        <v>380</v>
      </c>
      <c r="C109" t="s">
        <v>334</v>
      </c>
      <c r="D109" s="40">
        <v>100000</v>
      </c>
      <c r="E109" t="s">
        <v>741</v>
      </c>
    </row>
    <row r="110" spans="1:5" x14ac:dyDescent="0.25">
      <c r="A110" t="s">
        <v>384</v>
      </c>
      <c r="B110" t="s">
        <v>382</v>
      </c>
      <c r="C110" t="s">
        <v>383</v>
      </c>
      <c r="D110" s="40">
        <v>100000</v>
      </c>
      <c r="E110" t="s">
        <v>741</v>
      </c>
    </row>
    <row r="111" spans="1:5" x14ac:dyDescent="0.25">
      <c r="A111" s="39"/>
      <c r="B111" s="39" t="s">
        <v>385</v>
      </c>
      <c r="C111" s="39" t="s">
        <v>386</v>
      </c>
      <c r="D111" s="39"/>
      <c r="E111" s="39" t="s">
        <v>740</v>
      </c>
    </row>
    <row r="112" spans="1:5" x14ac:dyDescent="0.25">
      <c r="A112" t="s">
        <v>389</v>
      </c>
      <c r="B112" t="s">
        <v>387</v>
      </c>
      <c r="C112" t="s">
        <v>388</v>
      </c>
      <c r="D112" s="40">
        <v>100000</v>
      </c>
      <c r="E112" t="s">
        <v>741</v>
      </c>
    </row>
    <row r="113" spans="1:5" x14ac:dyDescent="0.25">
      <c r="A113" t="s">
        <v>391</v>
      </c>
      <c r="B113" t="s">
        <v>390</v>
      </c>
      <c r="C113" t="s">
        <v>348</v>
      </c>
      <c r="D113" s="40">
        <v>100000</v>
      </c>
      <c r="E113" t="s">
        <v>741</v>
      </c>
    </row>
    <row r="114" spans="1:5" x14ac:dyDescent="0.25">
      <c r="A114" s="39"/>
      <c r="B114" s="39" t="s">
        <v>392</v>
      </c>
      <c r="C114" s="39" t="s">
        <v>351</v>
      </c>
      <c r="D114" s="39"/>
      <c r="E114" s="39" t="s">
        <v>740</v>
      </c>
    </row>
    <row r="115" spans="1:5" x14ac:dyDescent="0.25">
      <c r="A115" t="s">
        <v>394</v>
      </c>
      <c r="B115" t="s">
        <v>393</v>
      </c>
      <c r="C115" t="s">
        <v>353</v>
      </c>
      <c r="D115" s="40">
        <v>100000</v>
      </c>
      <c r="E115" t="s">
        <v>741</v>
      </c>
    </row>
    <row r="116" spans="1:5" x14ac:dyDescent="0.25">
      <c r="A116" s="39"/>
      <c r="B116" s="39" t="s">
        <v>395</v>
      </c>
      <c r="C116" s="39" t="s">
        <v>356</v>
      </c>
      <c r="D116" s="39"/>
      <c r="E116" s="39" t="s">
        <v>740</v>
      </c>
    </row>
    <row r="117" spans="1:5" x14ac:dyDescent="0.25">
      <c r="A117" t="s">
        <v>397</v>
      </c>
      <c r="B117" t="s">
        <v>396</v>
      </c>
      <c r="C117" t="s">
        <v>358</v>
      </c>
      <c r="D117" s="40">
        <v>100000</v>
      </c>
      <c r="E117" t="s">
        <v>741</v>
      </c>
    </row>
    <row r="118" spans="1:5" x14ac:dyDescent="0.25">
      <c r="A118" t="s">
        <v>399</v>
      </c>
      <c r="B118" t="s">
        <v>398</v>
      </c>
      <c r="C118" t="s">
        <v>361</v>
      </c>
      <c r="D118" s="40">
        <v>100000</v>
      </c>
      <c r="E118" t="s">
        <v>741</v>
      </c>
    </row>
    <row r="119" spans="1:5" x14ac:dyDescent="0.25">
      <c r="A119" s="39"/>
      <c r="B119" s="39" t="s">
        <v>400</v>
      </c>
      <c r="C119" s="39" t="s">
        <v>129</v>
      </c>
      <c r="D119" s="39"/>
      <c r="E119" s="39" t="s">
        <v>740</v>
      </c>
    </row>
    <row r="120" spans="1:5" x14ac:dyDescent="0.25">
      <c r="A120" s="39"/>
      <c r="B120" s="39" t="s">
        <v>401</v>
      </c>
      <c r="C120" s="39" t="s">
        <v>315</v>
      </c>
      <c r="D120" s="39"/>
      <c r="E120" s="39" t="s">
        <v>740</v>
      </c>
    </row>
    <row r="121" spans="1:5" x14ac:dyDescent="0.25">
      <c r="A121" t="s">
        <v>403</v>
      </c>
      <c r="B121" t="s">
        <v>402</v>
      </c>
      <c r="C121" t="s">
        <v>317</v>
      </c>
      <c r="D121" s="40">
        <v>100000</v>
      </c>
      <c r="E121" t="s">
        <v>741</v>
      </c>
    </row>
    <row r="122" spans="1:5" x14ac:dyDescent="0.25">
      <c r="A122" t="s">
        <v>405</v>
      </c>
      <c r="B122" t="s">
        <v>404</v>
      </c>
      <c r="C122" t="s">
        <v>320</v>
      </c>
      <c r="D122" s="40">
        <v>100000</v>
      </c>
      <c r="E122" t="s">
        <v>741</v>
      </c>
    </row>
    <row r="123" spans="1:5" x14ac:dyDescent="0.25">
      <c r="A123" t="s">
        <v>407</v>
      </c>
      <c r="B123" t="s">
        <v>406</v>
      </c>
      <c r="C123" t="s">
        <v>323</v>
      </c>
      <c r="D123" s="40">
        <v>100000</v>
      </c>
      <c r="E123" t="s">
        <v>741</v>
      </c>
    </row>
    <row r="124" spans="1:5" x14ac:dyDescent="0.25">
      <c r="A124" s="39"/>
      <c r="B124" s="39" t="s">
        <v>408</v>
      </c>
      <c r="C124" s="39" t="s">
        <v>326</v>
      </c>
      <c r="D124" s="39"/>
      <c r="E124" s="39" t="s">
        <v>740</v>
      </c>
    </row>
    <row r="125" spans="1:5" x14ac:dyDescent="0.25">
      <c r="A125" t="s">
        <v>410</v>
      </c>
      <c r="B125" t="s">
        <v>409</v>
      </c>
      <c r="C125" t="s">
        <v>331</v>
      </c>
      <c r="D125" s="40">
        <v>100000</v>
      </c>
      <c r="E125" t="s">
        <v>741</v>
      </c>
    </row>
    <row r="126" spans="1:5" x14ac:dyDescent="0.25">
      <c r="A126" t="s">
        <v>412</v>
      </c>
      <c r="B126" t="s">
        <v>411</v>
      </c>
      <c r="C126" t="s">
        <v>334</v>
      </c>
      <c r="D126" s="40">
        <v>100000</v>
      </c>
      <c r="E126" t="s">
        <v>741</v>
      </c>
    </row>
    <row r="127" spans="1:5" x14ac:dyDescent="0.25">
      <c r="A127" s="39"/>
      <c r="B127" s="39" t="s">
        <v>413</v>
      </c>
      <c r="C127" s="39" t="s">
        <v>337</v>
      </c>
      <c r="D127" s="39"/>
      <c r="E127" s="39" t="s">
        <v>740</v>
      </c>
    </row>
    <row r="128" spans="1:5" x14ac:dyDescent="0.25">
      <c r="A128" t="s">
        <v>415</v>
      </c>
      <c r="B128" t="s">
        <v>414</v>
      </c>
      <c r="C128" t="s">
        <v>345</v>
      </c>
      <c r="D128" s="40">
        <v>100000</v>
      </c>
      <c r="E128" t="s">
        <v>741</v>
      </c>
    </row>
    <row r="129" spans="1:5" x14ac:dyDescent="0.25">
      <c r="A129" t="s">
        <v>418</v>
      </c>
      <c r="B129" t="s">
        <v>416</v>
      </c>
      <c r="C129" t="s">
        <v>417</v>
      </c>
      <c r="D129" s="40">
        <v>100000</v>
      </c>
      <c r="E129" t="s">
        <v>741</v>
      </c>
    </row>
    <row r="130" spans="1:5" x14ac:dyDescent="0.25">
      <c r="A130" t="s">
        <v>420</v>
      </c>
      <c r="B130" t="s">
        <v>419</v>
      </c>
      <c r="C130" t="s">
        <v>388</v>
      </c>
      <c r="D130" s="40">
        <v>100000</v>
      </c>
      <c r="E130" t="s">
        <v>741</v>
      </c>
    </row>
    <row r="131" spans="1:5" x14ac:dyDescent="0.25">
      <c r="A131" t="s">
        <v>422</v>
      </c>
      <c r="B131" t="s">
        <v>421</v>
      </c>
      <c r="C131" t="s">
        <v>348</v>
      </c>
      <c r="D131" s="40">
        <v>100000</v>
      </c>
      <c r="E131" t="s">
        <v>741</v>
      </c>
    </row>
    <row r="132" spans="1:5" x14ac:dyDescent="0.25">
      <c r="A132" s="39"/>
      <c r="B132" s="39" t="s">
        <v>423</v>
      </c>
      <c r="C132" s="39" t="s">
        <v>351</v>
      </c>
      <c r="D132" s="39"/>
      <c r="E132" s="39" t="s">
        <v>740</v>
      </c>
    </row>
    <row r="133" spans="1:5" x14ac:dyDescent="0.25">
      <c r="A133" t="s">
        <v>425</v>
      </c>
      <c r="B133" t="s">
        <v>424</v>
      </c>
      <c r="C133" t="s">
        <v>353</v>
      </c>
      <c r="D133" s="40">
        <v>100000</v>
      </c>
      <c r="E133" t="s">
        <v>741</v>
      </c>
    </row>
    <row r="134" spans="1:5" x14ac:dyDescent="0.25">
      <c r="A134" s="39"/>
      <c r="B134" s="39" t="s">
        <v>426</v>
      </c>
      <c r="C134" s="39" t="s">
        <v>356</v>
      </c>
      <c r="D134" s="39"/>
      <c r="E134" s="39" t="s">
        <v>740</v>
      </c>
    </row>
    <row r="135" spans="1:5" x14ac:dyDescent="0.25">
      <c r="A135" t="s">
        <v>428</v>
      </c>
      <c r="B135" t="s">
        <v>427</v>
      </c>
      <c r="C135" t="s">
        <v>358</v>
      </c>
      <c r="D135" s="40">
        <v>100000</v>
      </c>
      <c r="E135" t="s">
        <v>741</v>
      </c>
    </row>
    <row r="136" spans="1:5" x14ac:dyDescent="0.25">
      <c r="A136" t="s">
        <v>430</v>
      </c>
      <c r="B136" t="s">
        <v>429</v>
      </c>
      <c r="C136" t="s">
        <v>361</v>
      </c>
      <c r="D136" s="40">
        <v>100000</v>
      </c>
      <c r="E136" t="s">
        <v>741</v>
      </c>
    </row>
    <row r="137" spans="1:5" x14ac:dyDescent="0.25">
      <c r="A137" s="39"/>
      <c r="B137" s="39" t="s">
        <v>431</v>
      </c>
      <c r="C137" s="39" t="s">
        <v>126</v>
      </c>
      <c r="D137" s="39"/>
      <c r="E137" s="39" t="s">
        <v>740</v>
      </c>
    </row>
    <row r="138" spans="1:5" x14ac:dyDescent="0.25">
      <c r="A138" s="39"/>
      <c r="B138" s="39" t="s">
        <v>432</v>
      </c>
      <c r="C138" s="39" t="s">
        <v>315</v>
      </c>
      <c r="D138" s="39"/>
      <c r="E138" s="39" t="s">
        <v>740</v>
      </c>
    </row>
    <row r="139" spans="1:5" x14ac:dyDescent="0.25">
      <c r="A139" t="s">
        <v>434</v>
      </c>
      <c r="B139" t="s">
        <v>433</v>
      </c>
      <c r="C139" t="s">
        <v>317</v>
      </c>
      <c r="D139" s="40">
        <v>100000</v>
      </c>
      <c r="E139" t="s">
        <v>741</v>
      </c>
    </row>
    <row r="140" spans="1:5" x14ac:dyDescent="0.25">
      <c r="A140" t="s">
        <v>436</v>
      </c>
      <c r="B140" t="s">
        <v>435</v>
      </c>
      <c r="C140" t="s">
        <v>320</v>
      </c>
      <c r="D140" s="40">
        <v>100000</v>
      </c>
      <c r="E140" t="s">
        <v>741</v>
      </c>
    </row>
    <row r="141" spans="1:5" x14ac:dyDescent="0.25">
      <c r="A141" t="s">
        <v>438</v>
      </c>
      <c r="B141" t="s">
        <v>437</v>
      </c>
      <c r="C141" t="s">
        <v>323</v>
      </c>
      <c r="D141" s="40">
        <v>100000</v>
      </c>
      <c r="E141" t="s">
        <v>741</v>
      </c>
    </row>
    <row r="142" spans="1:5" x14ac:dyDescent="0.25">
      <c r="A142" s="39"/>
      <c r="B142" s="39" t="s">
        <v>439</v>
      </c>
      <c r="C142" s="39" t="s">
        <v>326</v>
      </c>
      <c r="D142" s="39"/>
      <c r="E142" s="39" t="s">
        <v>740</v>
      </c>
    </row>
    <row r="143" spans="1:5" x14ac:dyDescent="0.25">
      <c r="A143" t="s">
        <v>441</v>
      </c>
      <c r="B143" t="s">
        <v>440</v>
      </c>
      <c r="C143" t="s">
        <v>331</v>
      </c>
      <c r="D143" s="40">
        <v>100000</v>
      </c>
      <c r="E143" t="s">
        <v>741</v>
      </c>
    </row>
    <row r="144" spans="1:5" x14ac:dyDescent="0.25">
      <c r="A144" t="s">
        <v>443</v>
      </c>
      <c r="B144" t="s">
        <v>442</v>
      </c>
      <c r="C144" t="s">
        <v>334</v>
      </c>
      <c r="D144" s="40">
        <v>100000</v>
      </c>
      <c r="E144" t="s">
        <v>741</v>
      </c>
    </row>
    <row r="145" spans="1:5" x14ac:dyDescent="0.25">
      <c r="A145" s="39"/>
      <c r="B145" s="39" t="s">
        <v>444</v>
      </c>
      <c r="C145" s="39" t="s">
        <v>337</v>
      </c>
      <c r="D145" s="39"/>
      <c r="E145" s="39" t="s">
        <v>740</v>
      </c>
    </row>
    <row r="146" spans="1:5" x14ac:dyDescent="0.25">
      <c r="A146" t="s">
        <v>446</v>
      </c>
      <c r="B146" t="s">
        <v>445</v>
      </c>
      <c r="C146" t="s">
        <v>417</v>
      </c>
      <c r="D146" s="40">
        <v>100000</v>
      </c>
      <c r="E146" t="s">
        <v>741</v>
      </c>
    </row>
    <row r="147" spans="1:5" x14ac:dyDescent="0.25">
      <c r="A147" t="s">
        <v>448</v>
      </c>
      <c r="B147" t="s">
        <v>447</v>
      </c>
      <c r="C147" t="s">
        <v>388</v>
      </c>
      <c r="D147" s="40">
        <v>100000</v>
      </c>
      <c r="E147" t="s">
        <v>741</v>
      </c>
    </row>
    <row r="148" spans="1:5" x14ac:dyDescent="0.25">
      <c r="A148" t="s">
        <v>450</v>
      </c>
      <c r="B148" t="s">
        <v>449</v>
      </c>
      <c r="C148" t="s">
        <v>345</v>
      </c>
      <c r="D148" s="40">
        <v>100000</v>
      </c>
      <c r="E148" t="s">
        <v>741</v>
      </c>
    </row>
    <row r="149" spans="1:5" x14ac:dyDescent="0.25">
      <c r="A149" t="s">
        <v>452</v>
      </c>
      <c r="B149" t="s">
        <v>451</v>
      </c>
      <c r="C149" t="s">
        <v>348</v>
      </c>
      <c r="D149" s="40">
        <v>100000</v>
      </c>
      <c r="E149" t="s">
        <v>741</v>
      </c>
    </row>
    <row r="150" spans="1:5" x14ac:dyDescent="0.25">
      <c r="A150" s="39"/>
      <c r="B150" s="39" t="s">
        <v>453</v>
      </c>
      <c r="C150" s="39" t="s">
        <v>351</v>
      </c>
      <c r="D150" s="39"/>
      <c r="E150" s="39" t="s">
        <v>740</v>
      </c>
    </row>
    <row r="151" spans="1:5" x14ac:dyDescent="0.25">
      <c r="A151" t="s">
        <v>455</v>
      </c>
      <c r="B151" t="s">
        <v>454</v>
      </c>
      <c r="C151" t="s">
        <v>353</v>
      </c>
      <c r="D151" s="40">
        <v>100000</v>
      </c>
      <c r="E151" t="s">
        <v>741</v>
      </c>
    </row>
    <row r="152" spans="1:5" x14ac:dyDescent="0.25">
      <c r="A152" s="39"/>
      <c r="B152" s="39" t="s">
        <v>456</v>
      </c>
      <c r="C152" s="39" t="s">
        <v>356</v>
      </c>
      <c r="D152" s="39"/>
      <c r="E152" s="39" t="s">
        <v>740</v>
      </c>
    </row>
    <row r="153" spans="1:5" x14ac:dyDescent="0.25">
      <c r="A153" t="s">
        <v>458</v>
      </c>
      <c r="B153" t="s">
        <v>457</v>
      </c>
      <c r="C153" t="s">
        <v>358</v>
      </c>
      <c r="D153" s="40">
        <v>100000</v>
      </c>
      <c r="E153" t="s">
        <v>741</v>
      </c>
    </row>
    <row r="154" spans="1:5" x14ac:dyDescent="0.25">
      <c r="A154" t="s">
        <v>460</v>
      </c>
      <c r="B154" t="s">
        <v>459</v>
      </c>
      <c r="C154" t="s">
        <v>361</v>
      </c>
      <c r="D154" s="40">
        <v>100000</v>
      </c>
      <c r="E154" t="s">
        <v>741</v>
      </c>
    </row>
    <row r="155" spans="1:5" x14ac:dyDescent="0.25">
      <c r="A155" t="s">
        <v>463</v>
      </c>
      <c r="B155" t="s">
        <v>461</v>
      </c>
      <c r="C155" t="s">
        <v>462</v>
      </c>
      <c r="D155" s="40">
        <v>100000</v>
      </c>
      <c r="E155" t="s">
        <v>741</v>
      </c>
    </row>
    <row r="156" spans="1:5" x14ac:dyDescent="0.25">
      <c r="A156" s="39"/>
      <c r="B156" s="39" t="s">
        <v>464</v>
      </c>
      <c r="C156" s="39" t="s">
        <v>465</v>
      </c>
      <c r="D156" s="39"/>
      <c r="E156" s="39" t="s">
        <v>740</v>
      </c>
    </row>
    <row r="157" spans="1:5" x14ac:dyDescent="0.25">
      <c r="A157" s="39"/>
      <c r="B157" s="39" t="s">
        <v>466</v>
      </c>
      <c r="C157" s="39" t="s">
        <v>315</v>
      </c>
      <c r="D157" s="39"/>
      <c r="E157" s="39" t="s">
        <v>740</v>
      </c>
    </row>
    <row r="158" spans="1:5" x14ac:dyDescent="0.25">
      <c r="A158" t="s">
        <v>468</v>
      </c>
      <c r="B158" t="s">
        <v>467</v>
      </c>
      <c r="C158" t="s">
        <v>317</v>
      </c>
      <c r="D158" s="40">
        <v>100000</v>
      </c>
      <c r="E158" t="s">
        <v>741</v>
      </c>
    </row>
    <row r="159" spans="1:5" x14ac:dyDescent="0.25">
      <c r="A159" t="s">
        <v>470</v>
      </c>
      <c r="B159" t="s">
        <v>469</v>
      </c>
      <c r="C159" t="s">
        <v>323</v>
      </c>
      <c r="D159" s="40">
        <v>100000</v>
      </c>
      <c r="E159" t="s">
        <v>741</v>
      </c>
    </row>
    <row r="160" spans="1:5" x14ac:dyDescent="0.25">
      <c r="A160" s="39"/>
      <c r="B160" s="39" t="s">
        <v>471</v>
      </c>
      <c r="C160" s="39" t="s">
        <v>326</v>
      </c>
      <c r="D160" s="39"/>
      <c r="E160" s="39" t="s">
        <v>740</v>
      </c>
    </row>
    <row r="161" spans="1:5" x14ac:dyDescent="0.25">
      <c r="A161" t="s">
        <v>474</v>
      </c>
      <c r="B161" t="s">
        <v>472</v>
      </c>
      <c r="C161" t="s">
        <v>473</v>
      </c>
      <c r="D161" s="40">
        <v>100000</v>
      </c>
      <c r="E161" t="s">
        <v>741</v>
      </c>
    </row>
    <row r="162" spans="1:5" x14ac:dyDescent="0.25">
      <c r="A162" t="s">
        <v>476</v>
      </c>
      <c r="B162" t="s">
        <v>475</v>
      </c>
      <c r="C162" t="s">
        <v>334</v>
      </c>
      <c r="D162" s="40">
        <v>100000</v>
      </c>
      <c r="E162" t="s">
        <v>741</v>
      </c>
    </row>
    <row r="163" spans="1:5" x14ac:dyDescent="0.25">
      <c r="A163" s="39"/>
      <c r="B163" s="39" t="s">
        <v>477</v>
      </c>
      <c r="C163" s="39" t="s">
        <v>337</v>
      </c>
      <c r="D163" s="39"/>
      <c r="E163" s="39" t="s">
        <v>740</v>
      </c>
    </row>
    <row r="164" spans="1:5" x14ac:dyDescent="0.25">
      <c r="A164" t="s">
        <v>479</v>
      </c>
      <c r="B164" t="s">
        <v>478</v>
      </c>
      <c r="C164" t="s">
        <v>417</v>
      </c>
      <c r="D164" s="40">
        <v>100000</v>
      </c>
      <c r="E164" t="s">
        <v>741</v>
      </c>
    </row>
    <row r="165" spans="1:5" x14ac:dyDescent="0.25">
      <c r="A165" t="s">
        <v>481</v>
      </c>
      <c r="B165" t="s">
        <v>480</v>
      </c>
      <c r="C165" t="s">
        <v>388</v>
      </c>
      <c r="D165" s="40">
        <v>100000</v>
      </c>
      <c r="E165" t="s">
        <v>741</v>
      </c>
    </row>
    <row r="166" spans="1:5" x14ac:dyDescent="0.25">
      <c r="A166" t="s">
        <v>483</v>
      </c>
      <c r="B166" t="s">
        <v>482</v>
      </c>
      <c r="C166" t="s">
        <v>345</v>
      </c>
      <c r="D166" s="40">
        <v>100000</v>
      </c>
      <c r="E166" t="s">
        <v>741</v>
      </c>
    </row>
    <row r="167" spans="1:5" x14ac:dyDescent="0.25">
      <c r="A167" s="39"/>
      <c r="B167" s="39" t="s">
        <v>484</v>
      </c>
      <c r="C167" s="39" t="s">
        <v>351</v>
      </c>
      <c r="D167" s="39"/>
      <c r="E167" s="39" t="s">
        <v>740</v>
      </c>
    </row>
    <row r="168" spans="1:5" x14ac:dyDescent="0.25">
      <c r="A168" t="s">
        <v>486</v>
      </c>
      <c r="B168" t="s">
        <v>485</v>
      </c>
      <c r="C168" t="s">
        <v>353</v>
      </c>
      <c r="D168" s="40">
        <v>100000</v>
      </c>
      <c r="E168" t="s">
        <v>741</v>
      </c>
    </row>
    <row r="169" spans="1:5" x14ac:dyDescent="0.25">
      <c r="A169" s="39"/>
      <c r="B169" s="39" t="s">
        <v>487</v>
      </c>
      <c r="C169" s="39" t="s">
        <v>356</v>
      </c>
      <c r="D169" s="39"/>
      <c r="E169" s="39" t="s">
        <v>740</v>
      </c>
    </row>
    <row r="170" spans="1:5" x14ac:dyDescent="0.25">
      <c r="A170" t="s">
        <v>489</v>
      </c>
      <c r="B170" t="s">
        <v>488</v>
      </c>
      <c r="C170" t="s">
        <v>358</v>
      </c>
      <c r="D170" s="40">
        <v>100000</v>
      </c>
      <c r="E170" t="s">
        <v>741</v>
      </c>
    </row>
    <row r="171" spans="1:5" x14ac:dyDescent="0.25">
      <c r="A171" t="s">
        <v>491</v>
      </c>
      <c r="B171" t="s">
        <v>490</v>
      </c>
      <c r="C171" t="s">
        <v>361</v>
      </c>
      <c r="D171" s="40">
        <v>100000</v>
      </c>
      <c r="E171" t="s">
        <v>741</v>
      </c>
    </row>
    <row r="172" spans="1:5" x14ac:dyDescent="0.25">
      <c r="A172" t="s">
        <v>494</v>
      </c>
      <c r="B172" t="s">
        <v>492</v>
      </c>
      <c r="C172" t="s">
        <v>493</v>
      </c>
      <c r="D172" s="40">
        <v>100000</v>
      </c>
      <c r="E172" t="s">
        <v>741</v>
      </c>
    </row>
    <row r="173" spans="1:5" x14ac:dyDescent="0.25">
      <c r="A173" s="39"/>
      <c r="B173" s="39" t="s">
        <v>495</v>
      </c>
      <c r="C173" s="39" t="s">
        <v>496</v>
      </c>
      <c r="D173" s="39"/>
      <c r="E173" s="39" t="s">
        <v>740</v>
      </c>
    </row>
    <row r="174" spans="1:5" x14ac:dyDescent="0.25">
      <c r="A174" s="39"/>
      <c r="B174" s="39" t="s">
        <v>497</v>
      </c>
      <c r="C174" s="39" t="s">
        <v>498</v>
      </c>
      <c r="D174" s="39"/>
      <c r="E174" s="39" t="s">
        <v>740</v>
      </c>
    </row>
    <row r="175" spans="1:5" x14ac:dyDescent="0.25">
      <c r="A175" t="s">
        <v>501</v>
      </c>
      <c r="B175" t="s">
        <v>499</v>
      </c>
      <c r="C175" t="s">
        <v>500</v>
      </c>
      <c r="D175" s="40">
        <v>100000</v>
      </c>
      <c r="E175" t="s">
        <v>741</v>
      </c>
    </row>
    <row r="176" spans="1:5" x14ac:dyDescent="0.25">
      <c r="A176" t="s">
        <v>504</v>
      </c>
      <c r="B176" t="s">
        <v>502</v>
      </c>
      <c r="C176" t="s">
        <v>503</v>
      </c>
      <c r="D176" s="40">
        <v>100000</v>
      </c>
      <c r="E176" t="s">
        <v>741</v>
      </c>
    </row>
    <row r="177" spans="1:5" x14ac:dyDescent="0.25">
      <c r="A177" s="39"/>
      <c r="B177" s="39" t="s">
        <v>505</v>
      </c>
      <c r="C177" s="39" t="s">
        <v>506</v>
      </c>
      <c r="D177" s="39"/>
      <c r="E177" s="39" t="s">
        <v>740</v>
      </c>
    </row>
    <row r="178" spans="1:5" x14ac:dyDescent="0.25">
      <c r="A178" t="s">
        <v>509</v>
      </c>
      <c r="B178" t="s">
        <v>507</v>
      </c>
      <c r="C178" t="s">
        <v>508</v>
      </c>
      <c r="D178" s="40">
        <v>100000</v>
      </c>
      <c r="E178" t="s">
        <v>741</v>
      </c>
    </row>
    <row r="179" spans="1:5" x14ac:dyDescent="0.25">
      <c r="A179" t="s">
        <v>512</v>
      </c>
      <c r="B179" t="s">
        <v>510</v>
      </c>
      <c r="C179" t="s">
        <v>511</v>
      </c>
      <c r="D179" s="40">
        <v>100000</v>
      </c>
      <c r="E179" t="s">
        <v>741</v>
      </c>
    </row>
    <row r="180" spans="1:5" x14ac:dyDescent="0.25">
      <c r="A180" t="s">
        <v>515</v>
      </c>
      <c r="B180" t="s">
        <v>513</v>
      </c>
      <c r="C180" t="s">
        <v>514</v>
      </c>
      <c r="D180" s="40">
        <v>100000</v>
      </c>
      <c r="E180" t="s">
        <v>741</v>
      </c>
    </row>
    <row r="181" spans="1:5" x14ac:dyDescent="0.25">
      <c r="A181" s="39"/>
      <c r="B181" s="39" t="s">
        <v>516</v>
      </c>
      <c r="C181" s="39" t="s">
        <v>517</v>
      </c>
      <c r="D181" s="39"/>
      <c r="E181" s="39" t="s">
        <v>740</v>
      </c>
    </row>
    <row r="182" spans="1:5" x14ac:dyDescent="0.25">
      <c r="A182" s="39"/>
      <c r="B182" s="39" t="s">
        <v>518</v>
      </c>
      <c r="C182" s="39" t="s">
        <v>519</v>
      </c>
      <c r="D182" s="39"/>
      <c r="E182" s="39" t="s">
        <v>740</v>
      </c>
    </row>
    <row r="183" spans="1:5" x14ac:dyDescent="0.25">
      <c r="A183" t="s">
        <v>522</v>
      </c>
      <c r="B183" t="s">
        <v>520</v>
      </c>
      <c r="C183" t="s">
        <v>521</v>
      </c>
      <c r="D183" s="40">
        <v>100000</v>
      </c>
      <c r="E183" t="s">
        <v>741</v>
      </c>
    </row>
    <row r="184" spans="1:5" x14ac:dyDescent="0.25">
      <c r="A184" t="s">
        <v>525</v>
      </c>
      <c r="B184" t="s">
        <v>523</v>
      </c>
      <c r="C184" t="s">
        <v>524</v>
      </c>
      <c r="D184" s="40">
        <v>100000</v>
      </c>
      <c r="E184" t="s">
        <v>741</v>
      </c>
    </row>
    <row r="185" spans="1:5" x14ac:dyDescent="0.25">
      <c r="A185" t="s">
        <v>528</v>
      </c>
      <c r="B185" t="s">
        <v>526</v>
      </c>
      <c r="C185" t="s">
        <v>527</v>
      </c>
      <c r="D185" s="40">
        <v>100000</v>
      </c>
      <c r="E185" t="s">
        <v>741</v>
      </c>
    </row>
    <row r="186" spans="1:5" x14ac:dyDescent="0.25">
      <c r="A186" t="s">
        <v>531</v>
      </c>
      <c r="B186" t="s">
        <v>529</v>
      </c>
      <c r="C186" t="s">
        <v>530</v>
      </c>
      <c r="D186" s="40">
        <v>100000</v>
      </c>
      <c r="E186" t="s">
        <v>741</v>
      </c>
    </row>
    <row r="187" spans="1:5" x14ac:dyDescent="0.25">
      <c r="A187" s="39"/>
      <c r="B187" s="39" t="s">
        <v>532</v>
      </c>
      <c r="C187" s="39" t="s">
        <v>533</v>
      </c>
      <c r="D187" s="39"/>
      <c r="E187" s="39" t="s">
        <v>740</v>
      </c>
    </row>
    <row r="188" spans="1:5" x14ac:dyDescent="0.25">
      <c r="A188" t="s">
        <v>535</v>
      </c>
      <c r="B188" t="s">
        <v>534</v>
      </c>
      <c r="C188" t="s">
        <v>521</v>
      </c>
      <c r="D188" s="40">
        <v>100000</v>
      </c>
      <c r="E188" t="s">
        <v>741</v>
      </c>
    </row>
    <row r="189" spans="1:5" x14ac:dyDescent="0.25">
      <c r="A189" t="s">
        <v>537</v>
      </c>
      <c r="B189" t="s">
        <v>536</v>
      </c>
      <c r="C189" t="s">
        <v>530</v>
      </c>
      <c r="D189" s="40">
        <v>100000</v>
      </c>
      <c r="E189" t="s">
        <v>741</v>
      </c>
    </row>
    <row r="190" spans="1:5" x14ac:dyDescent="0.25">
      <c r="A190" s="39"/>
      <c r="B190" s="39" t="s">
        <v>538</v>
      </c>
      <c r="C190" s="39" t="s">
        <v>539</v>
      </c>
      <c r="D190" s="39"/>
      <c r="E190" s="39" t="s">
        <v>740</v>
      </c>
    </row>
    <row r="191" spans="1:5" x14ac:dyDescent="0.25">
      <c r="A191" t="s">
        <v>541</v>
      </c>
      <c r="B191" t="s">
        <v>540</v>
      </c>
      <c r="C191" t="s">
        <v>521</v>
      </c>
      <c r="D191" s="40">
        <v>100000</v>
      </c>
      <c r="E191" t="s">
        <v>741</v>
      </c>
    </row>
    <row r="192" spans="1:5" x14ac:dyDescent="0.25">
      <c r="A192" t="s">
        <v>543</v>
      </c>
      <c r="B192" t="s">
        <v>542</v>
      </c>
      <c r="C192" t="s">
        <v>524</v>
      </c>
      <c r="D192" s="40">
        <v>100000</v>
      </c>
      <c r="E192" t="s">
        <v>741</v>
      </c>
    </row>
    <row r="193" spans="1:5" x14ac:dyDescent="0.25">
      <c r="A193" t="s">
        <v>545</v>
      </c>
      <c r="B193" t="s">
        <v>544</v>
      </c>
      <c r="C193" t="s">
        <v>530</v>
      </c>
      <c r="D193" s="40">
        <v>100000</v>
      </c>
      <c r="E193" t="s">
        <v>741</v>
      </c>
    </row>
    <row r="194" spans="1:5" x14ac:dyDescent="0.25">
      <c r="A194" s="39"/>
      <c r="B194" s="39" t="s">
        <v>546</v>
      </c>
      <c r="C194" s="39" t="s">
        <v>547</v>
      </c>
      <c r="D194" s="39"/>
      <c r="E194" s="39" t="s">
        <v>740</v>
      </c>
    </row>
    <row r="195" spans="1:5" x14ac:dyDescent="0.25">
      <c r="A195" s="39"/>
      <c r="B195" s="39" t="s">
        <v>548</v>
      </c>
      <c r="C195" s="39" t="s">
        <v>313</v>
      </c>
      <c r="D195" s="39"/>
      <c r="E195" s="39" t="s">
        <v>740</v>
      </c>
    </row>
    <row r="196" spans="1:5" x14ac:dyDescent="0.25">
      <c r="A196" s="39"/>
      <c r="B196" s="39" t="s">
        <v>549</v>
      </c>
      <c r="C196" s="39" t="s">
        <v>315</v>
      </c>
      <c r="D196" s="39"/>
      <c r="E196" s="39" t="s">
        <v>740</v>
      </c>
    </row>
    <row r="197" spans="1:5" x14ac:dyDescent="0.25">
      <c r="A197" t="s">
        <v>552</v>
      </c>
      <c r="B197" t="s">
        <v>550</v>
      </c>
      <c r="C197" t="s">
        <v>551</v>
      </c>
      <c r="D197" s="40">
        <v>100000</v>
      </c>
      <c r="E197" t="s">
        <v>741</v>
      </c>
    </row>
    <row r="198" spans="1:5" x14ac:dyDescent="0.25">
      <c r="A198" t="s">
        <v>555</v>
      </c>
      <c r="B198" t="s">
        <v>553</v>
      </c>
      <c r="C198" t="s">
        <v>554</v>
      </c>
      <c r="D198" s="40">
        <v>100000</v>
      </c>
      <c r="E198" t="s">
        <v>741</v>
      </c>
    </row>
    <row r="199" spans="1:5" x14ac:dyDescent="0.25">
      <c r="A199" s="39"/>
      <c r="B199" s="39" t="s">
        <v>556</v>
      </c>
      <c r="C199" s="39" t="s">
        <v>228</v>
      </c>
      <c r="D199" s="39"/>
      <c r="E199" s="39" t="s">
        <v>740</v>
      </c>
    </row>
    <row r="200" spans="1:5" x14ac:dyDescent="0.25">
      <c r="A200" s="39"/>
      <c r="B200" s="39" t="s">
        <v>557</v>
      </c>
      <c r="C200" s="39" t="s">
        <v>315</v>
      </c>
      <c r="D200" s="39"/>
      <c r="E200" s="39" t="s">
        <v>740</v>
      </c>
    </row>
    <row r="201" spans="1:5" x14ac:dyDescent="0.25">
      <c r="A201" t="s">
        <v>559</v>
      </c>
      <c r="B201" t="s">
        <v>558</v>
      </c>
      <c r="C201" t="s">
        <v>554</v>
      </c>
      <c r="D201" s="40">
        <v>100000</v>
      </c>
      <c r="E201" t="s">
        <v>741</v>
      </c>
    </row>
    <row r="202" spans="1:5" x14ac:dyDescent="0.25">
      <c r="A202" t="s">
        <v>562</v>
      </c>
      <c r="B202" t="s">
        <v>560</v>
      </c>
      <c r="C202" t="s">
        <v>561</v>
      </c>
      <c r="D202" s="40">
        <v>100000</v>
      </c>
      <c r="E202" t="s">
        <v>741</v>
      </c>
    </row>
    <row r="203" spans="1:5" x14ac:dyDescent="0.25">
      <c r="A203" t="s">
        <v>564</v>
      </c>
      <c r="B203" t="s">
        <v>563</v>
      </c>
      <c r="C203" t="s">
        <v>551</v>
      </c>
      <c r="D203" s="40">
        <v>100000</v>
      </c>
      <c r="E203" t="s">
        <v>741</v>
      </c>
    </row>
    <row r="204" spans="1:5" x14ac:dyDescent="0.25">
      <c r="A204" s="39"/>
      <c r="B204" s="39" t="s">
        <v>565</v>
      </c>
      <c r="C204" s="39" t="s">
        <v>326</v>
      </c>
      <c r="D204" s="39"/>
      <c r="E204" s="39" t="s">
        <v>740</v>
      </c>
    </row>
    <row r="205" spans="1:5" x14ac:dyDescent="0.25">
      <c r="A205" t="s">
        <v>568</v>
      </c>
      <c r="B205" t="s">
        <v>566</v>
      </c>
      <c r="C205" t="s">
        <v>567</v>
      </c>
      <c r="D205" s="40">
        <v>100000</v>
      </c>
      <c r="E205" t="s">
        <v>741</v>
      </c>
    </row>
    <row r="206" spans="1:5" x14ac:dyDescent="0.25">
      <c r="A206" s="39"/>
      <c r="B206" s="39" t="s">
        <v>569</v>
      </c>
      <c r="C206" s="39" t="s">
        <v>129</v>
      </c>
      <c r="D206" s="39"/>
      <c r="E206" s="39" t="s">
        <v>740</v>
      </c>
    </row>
    <row r="207" spans="1:5" x14ac:dyDescent="0.25">
      <c r="A207" s="39"/>
      <c r="B207" s="39" t="s">
        <v>570</v>
      </c>
      <c r="C207" s="39" t="s">
        <v>315</v>
      </c>
      <c r="D207" s="39"/>
      <c r="E207" s="39" t="s">
        <v>740</v>
      </c>
    </row>
    <row r="208" spans="1:5" x14ac:dyDescent="0.25">
      <c r="A208" t="s">
        <v>572</v>
      </c>
      <c r="B208" t="s">
        <v>571</v>
      </c>
      <c r="C208" t="s">
        <v>561</v>
      </c>
      <c r="D208" s="40">
        <v>100000</v>
      </c>
      <c r="E208" t="s">
        <v>741</v>
      </c>
    </row>
    <row r="209" spans="1:5" x14ac:dyDescent="0.25">
      <c r="A209" s="39"/>
      <c r="B209" s="39" t="s">
        <v>573</v>
      </c>
      <c r="C209" s="39" t="s">
        <v>326</v>
      </c>
      <c r="D209" s="39"/>
      <c r="E209" s="39" t="s">
        <v>740</v>
      </c>
    </row>
    <row r="210" spans="1:5" x14ac:dyDescent="0.25">
      <c r="A210" t="s">
        <v>575</v>
      </c>
      <c r="B210" t="s">
        <v>574</v>
      </c>
      <c r="C210" t="s">
        <v>567</v>
      </c>
      <c r="D210" s="40">
        <v>100000</v>
      </c>
      <c r="E210" t="s">
        <v>741</v>
      </c>
    </row>
    <row r="211" spans="1:5" x14ac:dyDescent="0.25">
      <c r="A211" t="s">
        <v>578</v>
      </c>
      <c r="B211" t="s">
        <v>576</v>
      </c>
      <c r="C211" t="s">
        <v>577</v>
      </c>
      <c r="D211" s="40">
        <v>100000</v>
      </c>
      <c r="E211" t="s">
        <v>741</v>
      </c>
    </row>
    <row r="212" spans="1:5" x14ac:dyDescent="0.25">
      <c r="A212" s="39"/>
      <c r="B212" s="39" t="s">
        <v>579</v>
      </c>
      <c r="C212" s="39" t="s">
        <v>126</v>
      </c>
      <c r="D212" s="39"/>
      <c r="E212" s="39" t="s">
        <v>740</v>
      </c>
    </row>
    <row r="213" spans="1:5" x14ac:dyDescent="0.25">
      <c r="A213" s="39"/>
      <c r="B213" s="39" t="s">
        <v>580</v>
      </c>
      <c r="C213" s="39" t="s">
        <v>315</v>
      </c>
      <c r="D213" s="39"/>
      <c r="E213" s="39" t="s">
        <v>740</v>
      </c>
    </row>
    <row r="214" spans="1:5" x14ac:dyDescent="0.25">
      <c r="A214" t="s">
        <v>583</v>
      </c>
      <c r="B214" t="s">
        <v>581</v>
      </c>
      <c r="C214" t="s">
        <v>582</v>
      </c>
      <c r="D214" s="40">
        <v>100000</v>
      </c>
      <c r="E214" t="s">
        <v>741</v>
      </c>
    </row>
    <row r="215" spans="1:5" x14ac:dyDescent="0.25">
      <c r="A215" s="39"/>
      <c r="B215" s="39" t="s">
        <v>584</v>
      </c>
      <c r="C215" s="39" t="s">
        <v>326</v>
      </c>
      <c r="D215" s="39"/>
      <c r="E215" s="39" t="s">
        <v>740</v>
      </c>
    </row>
    <row r="216" spans="1:5" x14ac:dyDescent="0.25">
      <c r="A216" t="s">
        <v>587</v>
      </c>
      <c r="B216" t="s">
        <v>585</v>
      </c>
      <c r="C216" t="s">
        <v>586</v>
      </c>
      <c r="D216" s="40">
        <v>100000</v>
      </c>
      <c r="E216" t="s">
        <v>741</v>
      </c>
    </row>
    <row r="217" spans="1:5" x14ac:dyDescent="0.25">
      <c r="A217" t="s">
        <v>590</v>
      </c>
      <c r="B217" t="s">
        <v>588</v>
      </c>
      <c r="C217" t="s">
        <v>589</v>
      </c>
      <c r="D217" s="40">
        <v>100000</v>
      </c>
      <c r="E217" t="s">
        <v>741</v>
      </c>
    </row>
    <row r="218" spans="1:5" x14ac:dyDescent="0.25">
      <c r="A218" t="s">
        <v>593</v>
      </c>
      <c r="B218" t="s">
        <v>591</v>
      </c>
      <c r="C218" t="s">
        <v>592</v>
      </c>
      <c r="D218" s="40">
        <v>100000</v>
      </c>
      <c r="E218" t="s">
        <v>741</v>
      </c>
    </row>
    <row r="219" spans="1:5" x14ac:dyDescent="0.25">
      <c r="A219" s="39"/>
      <c r="B219" s="39" t="s">
        <v>594</v>
      </c>
      <c r="C219" s="39" t="s">
        <v>465</v>
      </c>
      <c r="D219" s="39"/>
      <c r="E219" s="39" t="s">
        <v>740</v>
      </c>
    </row>
    <row r="220" spans="1:5" x14ac:dyDescent="0.25">
      <c r="A220" s="39"/>
      <c r="B220" s="39" t="s">
        <v>595</v>
      </c>
      <c r="C220" s="39" t="s">
        <v>326</v>
      </c>
      <c r="D220" s="39"/>
      <c r="E220" s="39" t="s">
        <v>740</v>
      </c>
    </row>
    <row r="221" spans="1:5" x14ac:dyDescent="0.25">
      <c r="A221" t="s">
        <v>598</v>
      </c>
      <c r="B221" t="s">
        <v>596</v>
      </c>
      <c r="C221" t="s">
        <v>597</v>
      </c>
      <c r="D221" s="40">
        <v>100000</v>
      </c>
      <c r="E221" t="s">
        <v>741</v>
      </c>
    </row>
    <row r="222" spans="1:5" x14ac:dyDescent="0.25">
      <c r="A222" s="39"/>
      <c r="B222" s="39" t="s">
        <v>599</v>
      </c>
      <c r="C222" s="39" t="s">
        <v>600</v>
      </c>
      <c r="D222" s="39"/>
      <c r="E222" s="39" t="s">
        <v>740</v>
      </c>
    </row>
    <row r="223" spans="1:5" x14ac:dyDescent="0.25">
      <c r="A223" t="s">
        <v>603</v>
      </c>
      <c r="B223" t="s">
        <v>601</v>
      </c>
      <c r="C223" t="s">
        <v>602</v>
      </c>
      <c r="D223" s="40">
        <v>100000</v>
      </c>
      <c r="E223" t="s">
        <v>741</v>
      </c>
    </row>
    <row r="224" spans="1:5" x14ac:dyDescent="0.25">
      <c r="A224" s="39"/>
      <c r="B224" s="39" t="s">
        <v>604</v>
      </c>
      <c r="C224" s="39" t="s">
        <v>605</v>
      </c>
      <c r="D224" s="39"/>
      <c r="E224" s="39" t="s">
        <v>740</v>
      </c>
    </row>
    <row r="225" spans="1:5" x14ac:dyDescent="0.25">
      <c r="A225" t="s">
        <v>608</v>
      </c>
      <c r="B225" t="s">
        <v>606</v>
      </c>
      <c r="C225" t="s">
        <v>607</v>
      </c>
      <c r="D225" s="40">
        <v>100000</v>
      </c>
      <c r="E225" t="s">
        <v>741</v>
      </c>
    </row>
    <row r="226" spans="1:5" x14ac:dyDescent="0.25">
      <c r="A226" t="s">
        <v>611</v>
      </c>
      <c r="B226" t="s">
        <v>609</v>
      </c>
      <c r="C226" t="s">
        <v>610</v>
      </c>
      <c r="D226" s="40">
        <v>100000</v>
      </c>
      <c r="E226" t="s">
        <v>741</v>
      </c>
    </row>
    <row r="227" spans="1:5" x14ac:dyDescent="0.25">
      <c r="A227" t="s">
        <v>614</v>
      </c>
      <c r="B227" t="s">
        <v>612</v>
      </c>
      <c r="C227" t="s">
        <v>613</v>
      </c>
      <c r="D227" s="40">
        <v>100000</v>
      </c>
      <c r="E227" t="s">
        <v>741</v>
      </c>
    </row>
    <row r="228" spans="1:5" x14ac:dyDescent="0.25">
      <c r="A228" t="s">
        <v>617</v>
      </c>
      <c r="B228" t="s">
        <v>615</v>
      </c>
      <c r="C228" t="s">
        <v>616</v>
      </c>
      <c r="D228" s="40">
        <v>100000</v>
      </c>
      <c r="E228" t="s">
        <v>741</v>
      </c>
    </row>
    <row r="229" spans="1:5" x14ac:dyDescent="0.25">
      <c r="A229" t="s">
        <v>620</v>
      </c>
      <c r="B229" t="s">
        <v>618</v>
      </c>
      <c r="C229" t="s">
        <v>619</v>
      </c>
      <c r="D229" s="40">
        <v>100000</v>
      </c>
      <c r="E229" t="s">
        <v>741</v>
      </c>
    </row>
    <row r="230" spans="1:5" x14ac:dyDescent="0.25">
      <c r="A230" t="s">
        <v>623</v>
      </c>
      <c r="B230" t="s">
        <v>621</v>
      </c>
      <c r="C230" t="s">
        <v>622</v>
      </c>
      <c r="D230" s="40">
        <v>100000</v>
      </c>
      <c r="E230" t="s">
        <v>741</v>
      </c>
    </row>
    <row r="231" spans="1:5" x14ac:dyDescent="0.25">
      <c r="A231" s="39"/>
      <c r="B231" s="39" t="s">
        <v>624</v>
      </c>
      <c r="C231" s="39" t="s">
        <v>625</v>
      </c>
      <c r="D231" s="39"/>
      <c r="E231" s="39" t="s">
        <v>740</v>
      </c>
    </row>
    <row r="232" spans="1:5" x14ac:dyDescent="0.25">
      <c r="A232" s="39"/>
      <c r="B232" s="39" t="s">
        <v>626</v>
      </c>
      <c r="C232" s="39" t="s">
        <v>627</v>
      </c>
      <c r="D232" s="39"/>
      <c r="E232" s="39" t="s">
        <v>740</v>
      </c>
    </row>
    <row r="233" spans="1:5" x14ac:dyDescent="0.25">
      <c r="A233" t="s">
        <v>629</v>
      </c>
      <c r="B233" t="s">
        <v>628</v>
      </c>
      <c r="C233" t="s">
        <v>627</v>
      </c>
      <c r="D233" s="40">
        <v>100000</v>
      </c>
      <c r="E233" t="s">
        <v>741</v>
      </c>
    </row>
    <row r="234" spans="1:5" x14ac:dyDescent="0.25">
      <c r="A234" s="39"/>
      <c r="B234" s="39" t="s">
        <v>630</v>
      </c>
      <c r="C234" s="39" t="s">
        <v>631</v>
      </c>
      <c r="D234" s="39"/>
      <c r="E234" s="39" t="s">
        <v>740</v>
      </c>
    </row>
    <row r="235" spans="1:5" x14ac:dyDescent="0.25">
      <c r="A235" t="s">
        <v>633</v>
      </c>
      <c r="B235" t="s">
        <v>632</v>
      </c>
      <c r="C235" t="s">
        <v>631</v>
      </c>
      <c r="D235" s="40">
        <v>100000</v>
      </c>
      <c r="E235" t="s">
        <v>741</v>
      </c>
    </row>
    <row r="236" spans="1:5" x14ac:dyDescent="0.25">
      <c r="A236" s="39"/>
      <c r="B236" s="39" t="s">
        <v>634</v>
      </c>
      <c r="C236" s="39" t="s">
        <v>635</v>
      </c>
      <c r="D236" s="39"/>
      <c r="E236" s="39" t="s">
        <v>740</v>
      </c>
    </row>
    <row r="237" spans="1:5" x14ac:dyDescent="0.25">
      <c r="A237" t="s">
        <v>638</v>
      </c>
      <c r="B237" t="s">
        <v>636</v>
      </c>
      <c r="C237" t="s">
        <v>637</v>
      </c>
      <c r="D237" s="40">
        <v>100000</v>
      </c>
      <c r="E237" t="s">
        <v>741</v>
      </c>
    </row>
    <row r="238" spans="1:5" x14ac:dyDescent="0.25">
      <c r="A238" s="39"/>
      <c r="B238" s="39" t="s">
        <v>639</v>
      </c>
      <c r="C238" s="39" t="s">
        <v>640</v>
      </c>
      <c r="D238" s="39"/>
      <c r="E238" s="39" t="s">
        <v>740</v>
      </c>
    </row>
    <row r="239" spans="1:5" x14ac:dyDescent="0.25">
      <c r="A239" t="s">
        <v>643</v>
      </c>
      <c r="B239" t="s">
        <v>641</v>
      </c>
      <c r="C239" t="s">
        <v>642</v>
      </c>
      <c r="D239" s="40">
        <v>100000</v>
      </c>
      <c r="E239" t="s">
        <v>741</v>
      </c>
    </row>
    <row r="240" spans="1:5" x14ac:dyDescent="0.25">
      <c r="A240" t="s">
        <v>646</v>
      </c>
      <c r="B240" t="s">
        <v>644</v>
      </c>
      <c r="C240" t="s">
        <v>645</v>
      </c>
      <c r="D240" s="40">
        <v>100000</v>
      </c>
      <c r="E240" t="s">
        <v>741</v>
      </c>
    </row>
    <row r="241" spans="1:5" x14ac:dyDescent="0.25">
      <c r="A241" t="s">
        <v>649</v>
      </c>
      <c r="B241" t="s">
        <v>647</v>
      </c>
      <c r="C241" t="s">
        <v>648</v>
      </c>
      <c r="D241" s="40">
        <v>100000</v>
      </c>
      <c r="E241" t="s">
        <v>741</v>
      </c>
    </row>
    <row r="242" spans="1:5" x14ac:dyDescent="0.25">
      <c r="A242" t="s">
        <v>652</v>
      </c>
      <c r="B242" t="s">
        <v>650</v>
      </c>
      <c r="C242" t="s">
        <v>651</v>
      </c>
      <c r="D242" s="40">
        <v>100000</v>
      </c>
      <c r="E242" t="s">
        <v>741</v>
      </c>
    </row>
    <row r="243" spans="1:5" x14ac:dyDescent="0.25">
      <c r="A243" s="39"/>
      <c r="B243" s="39" t="s">
        <v>653</v>
      </c>
      <c r="C243" s="39" t="s">
        <v>654</v>
      </c>
      <c r="D243" s="39"/>
      <c r="E243" s="39" t="s">
        <v>740</v>
      </c>
    </row>
    <row r="244" spans="1:5" x14ac:dyDescent="0.25">
      <c r="A244" s="39"/>
      <c r="B244" s="39" t="s">
        <v>655</v>
      </c>
      <c r="C244" s="39" t="s">
        <v>176</v>
      </c>
      <c r="D244" s="39"/>
      <c r="E244" s="39" t="s">
        <v>740</v>
      </c>
    </row>
    <row r="245" spans="1:5" x14ac:dyDescent="0.25">
      <c r="A245" t="s">
        <v>658</v>
      </c>
      <c r="B245" t="s">
        <v>656</v>
      </c>
      <c r="C245" t="s">
        <v>657</v>
      </c>
      <c r="D245" s="40">
        <v>100000</v>
      </c>
      <c r="E245" t="s">
        <v>741</v>
      </c>
    </row>
    <row r="246" spans="1:5" x14ac:dyDescent="0.25">
      <c r="A246" t="s">
        <v>661</v>
      </c>
      <c r="B246" t="s">
        <v>659</v>
      </c>
      <c r="C246" t="s">
        <v>660</v>
      </c>
      <c r="D246" s="40">
        <v>100000</v>
      </c>
      <c r="E246" t="s">
        <v>741</v>
      </c>
    </row>
    <row r="247" spans="1:5" x14ac:dyDescent="0.25">
      <c r="A247" t="s">
        <v>664</v>
      </c>
      <c r="B247" t="s">
        <v>662</v>
      </c>
      <c r="C247" t="s">
        <v>663</v>
      </c>
      <c r="D247" s="40">
        <v>100000</v>
      </c>
      <c r="E247" t="s">
        <v>741</v>
      </c>
    </row>
    <row r="248" spans="1:5" x14ac:dyDescent="0.25">
      <c r="A248" t="s">
        <v>667</v>
      </c>
      <c r="B248" t="s">
        <v>665</v>
      </c>
      <c r="C248" t="s">
        <v>666</v>
      </c>
      <c r="D248" s="40">
        <v>100000</v>
      </c>
      <c r="E248" t="s">
        <v>741</v>
      </c>
    </row>
    <row r="249" spans="1:5" x14ac:dyDescent="0.25">
      <c r="A249" s="39"/>
      <c r="B249" s="39" t="s">
        <v>668</v>
      </c>
      <c r="C249" s="39" t="s">
        <v>669</v>
      </c>
      <c r="D249" s="39"/>
      <c r="E249" s="39" t="s">
        <v>740</v>
      </c>
    </row>
    <row r="250" spans="1:5" x14ac:dyDescent="0.25">
      <c r="A250" t="s">
        <v>671</v>
      </c>
      <c r="B250" t="s">
        <v>670</v>
      </c>
      <c r="C250" t="s">
        <v>313</v>
      </c>
      <c r="D250" s="40">
        <v>100000</v>
      </c>
      <c r="E250" t="s">
        <v>741</v>
      </c>
    </row>
    <row r="251" spans="1:5" x14ac:dyDescent="0.25">
      <c r="A251" t="s">
        <v>674</v>
      </c>
      <c r="B251" t="s">
        <v>672</v>
      </c>
      <c r="C251" t="s">
        <v>673</v>
      </c>
      <c r="D251" s="40">
        <v>100000</v>
      </c>
      <c r="E251" t="s">
        <v>741</v>
      </c>
    </row>
    <row r="252" spans="1:5" x14ac:dyDescent="0.25">
      <c r="A252" t="s">
        <v>676</v>
      </c>
      <c r="B252" t="s">
        <v>675</v>
      </c>
      <c r="C252" t="s">
        <v>129</v>
      </c>
      <c r="D252" s="40">
        <v>100000</v>
      </c>
      <c r="E252" t="s">
        <v>741</v>
      </c>
    </row>
    <row r="253" spans="1:5" x14ac:dyDescent="0.25">
      <c r="A253" t="s">
        <v>678</v>
      </c>
      <c r="B253" t="s">
        <v>677</v>
      </c>
      <c r="C253" t="s">
        <v>126</v>
      </c>
      <c r="D253" s="40">
        <v>100000</v>
      </c>
      <c r="E253" t="s">
        <v>741</v>
      </c>
    </row>
    <row r="254" spans="1:5" x14ac:dyDescent="0.25">
      <c r="A254" s="39"/>
      <c r="B254" s="39" t="s">
        <v>679</v>
      </c>
      <c r="C254" s="39" t="s">
        <v>680</v>
      </c>
      <c r="D254" s="39"/>
      <c r="E254" s="39" t="s">
        <v>740</v>
      </c>
    </row>
    <row r="255" spans="1:5" x14ac:dyDescent="0.25">
      <c r="A255" t="s">
        <v>683</v>
      </c>
      <c r="B255" t="s">
        <v>681</v>
      </c>
      <c r="C255" t="s">
        <v>682</v>
      </c>
      <c r="D255" s="40">
        <v>100000</v>
      </c>
      <c r="E255" t="s">
        <v>741</v>
      </c>
    </row>
    <row r="256" spans="1:5" x14ac:dyDescent="0.25">
      <c r="A256" t="s">
        <v>686</v>
      </c>
      <c r="B256" t="s">
        <v>684</v>
      </c>
      <c r="C256" t="s">
        <v>685</v>
      </c>
      <c r="D256" s="40">
        <v>100000</v>
      </c>
      <c r="E256" t="s">
        <v>741</v>
      </c>
    </row>
  </sheetData>
  <autoFilter ref="A1:E25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6" customWidth="1"/>
    <col min="2" max="2" width="42" customWidth="1"/>
    <col min="3" max="3" width="32" customWidth="1"/>
    <col min="4" max="5" width="14" customWidth="1"/>
    <col min="6" max="7" width="18" customWidth="1"/>
    <col min="8" max="8" width="22" customWidth="1"/>
    <col min="9" max="9" width="52" customWidth="1"/>
  </cols>
  <sheetData>
    <row r="1" spans="1:9" ht="18.75" x14ac:dyDescent="0.3">
      <c r="A1" s="82" t="s">
        <v>742</v>
      </c>
      <c r="B1" s="76"/>
      <c r="C1" s="76"/>
      <c r="D1" s="76"/>
      <c r="E1" s="76"/>
      <c r="F1" s="76"/>
      <c r="G1" s="76"/>
      <c r="H1" s="76"/>
      <c r="I1" s="76"/>
    </row>
    <row r="3" spans="1:9" x14ac:dyDescent="0.25">
      <c r="A3" t="s">
        <v>743</v>
      </c>
      <c r="B3" t="s">
        <v>700</v>
      </c>
      <c r="D3" t="s">
        <v>744</v>
      </c>
      <c r="E3">
        <v>133</v>
      </c>
      <c r="G3" t="s">
        <v>745</v>
      </c>
      <c r="H3">
        <v>39</v>
      </c>
    </row>
    <row r="4" spans="1:9" x14ac:dyDescent="0.25">
      <c r="A4" t="s">
        <v>746</v>
      </c>
      <c r="B4">
        <v>172</v>
      </c>
      <c r="D4" t="s">
        <v>747</v>
      </c>
      <c r="E4">
        <v>8</v>
      </c>
      <c r="G4" t="s">
        <v>748</v>
      </c>
      <c r="H4">
        <v>133</v>
      </c>
    </row>
    <row r="5" spans="1:9" x14ac:dyDescent="0.25">
      <c r="D5" t="s">
        <v>749</v>
      </c>
      <c r="E5">
        <v>1</v>
      </c>
    </row>
    <row r="6" spans="1:9" x14ac:dyDescent="0.25">
      <c r="D6" t="s">
        <v>750</v>
      </c>
      <c r="E6">
        <v>30</v>
      </c>
    </row>
    <row r="7" spans="1:9" x14ac:dyDescent="0.25">
      <c r="A7" s="55" t="s">
        <v>95</v>
      </c>
      <c r="B7" s="55" t="s">
        <v>751</v>
      </c>
      <c r="C7" s="55" t="s">
        <v>92</v>
      </c>
      <c r="D7" s="55" t="s">
        <v>99</v>
      </c>
      <c r="E7" s="55" t="s">
        <v>100</v>
      </c>
      <c r="F7" s="55" t="s">
        <v>752</v>
      </c>
      <c r="G7" s="55" t="s">
        <v>695</v>
      </c>
      <c r="H7" s="55" t="s">
        <v>753</v>
      </c>
      <c r="I7" s="55" t="s">
        <v>754</v>
      </c>
    </row>
    <row r="8" spans="1:9" x14ac:dyDescent="0.25">
      <c r="A8" s="56" t="s">
        <v>119</v>
      </c>
      <c r="B8" s="56" t="s">
        <v>118</v>
      </c>
      <c r="C8" s="56" t="s">
        <v>117</v>
      </c>
      <c r="D8" s="57">
        <v>46076</v>
      </c>
      <c r="E8" s="57">
        <v>46136</v>
      </c>
      <c r="F8" s="56" t="s">
        <v>747</v>
      </c>
      <c r="G8" s="58" t="s">
        <v>751</v>
      </c>
      <c r="H8" s="56" t="s">
        <v>755</v>
      </c>
      <c r="I8" s="56" t="s">
        <v>756</v>
      </c>
    </row>
    <row r="9" spans="1:9" x14ac:dyDescent="0.25">
      <c r="A9" s="56" t="s">
        <v>124</v>
      </c>
      <c r="B9" s="56" t="s">
        <v>123</v>
      </c>
      <c r="C9" s="56" t="s">
        <v>122</v>
      </c>
      <c r="D9" s="57">
        <v>46150</v>
      </c>
      <c r="E9" s="57">
        <v>46170</v>
      </c>
      <c r="F9" s="56" t="s">
        <v>744</v>
      </c>
      <c r="G9" s="59" t="s">
        <v>757</v>
      </c>
      <c r="H9" s="56"/>
      <c r="I9" s="56" t="s">
        <v>758</v>
      </c>
    </row>
    <row r="10" spans="1:9" x14ac:dyDescent="0.25">
      <c r="A10" s="56" t="s">
        <v>127</v>
      </c>
      <c r="B10" s="56" t="s">
        <v>126</v>
      </c>
      <c r="C10" s="56" t="s">
        <v>125</v>
      </c>
      <c r="D10" s="57">
        <v>46129</v>
      </c>
      <c r="E10" s="57">
        <v>46149</v>
      </c>
      <c r="F10" s="56" t="s">
        <v>744</v>
      </c>
      <c r="G10" s="59" t="s">
        <v>757</v>
      </c>
      <c r="H10" s="56"/>
      <c r="I10" s="56" t="s">
        <v>758</v>
      </c>
    </row>
    <row r="11" spans="1:9" x14ac:dyDescent="0.25">
      <c r="A11" s="56" t="s">
        <v>130</v>
      </c>
      <c r="B11" s="56" t="s">
        <v>129</v>
      </c>
      <c r="C11" s="56" t="s">
        <v>128</v>
      </c>
      <c r="D11" s="57">
        <v>46150</v>
      </c>
      <c r="E11" s="57">
        <v>46170</v>
      </c>
      <c r="F11" s="56" t="s">
        <v>744</v>
      </c>
      <c r="G11" s="59" t="s">
        <v>757</v>
      </c>
      <c r="H11" s="56"/>
      <c r="I11" s="56" t="s">
        <v>758</v>
      </c>
    </row>
    <row r="12" spans="1:9" x14ac:dyDescent="0.25">
      <c r="A12" s="56" t="s">
        <v>133</v>
      </c>
      <c r="B12" s="56" t="s">
        <v>132</v>
      </c>
      <c r="C12" s="56" t="s">
        <v>131</v>
      </c>
      <c r="D12" s="57">
        <v>46171</v>
      </c>
      <c r="E12" s="57">
        <v>46191</v>
      </c>
      <c r="F12" s="56" t="s">
        <v>744</v>
      </c>
      <c r="G12" s="59" t="s">
        <v>757</v>
      </c>
      <c r="H12" s="56"/>
      <c r="I12" s="56" t="s">
        <v>758</v>
      </c>
    </row>
    <row r="13" spans="1:9" x14ac:dyDescent="0.25">
      <c r="A13" s="56" t="s">
        <v>136</v>
      </c>
      <c r="B13" s="56" t="s">
        <v>135</v>
      </c>
      <c r="C13" s="56" t="s">
        <v>134</v>
      </c>
      <c r="D13" s="57">
        <v>46192</v>
      </c>
      <c r="E13" s="57">
        <v>46219</v>
      </c>
      <c r="F13" s="56" t="s">
        <v>744</v>
      </c>
      <c r="G13" s="59" t="s">
        <v>757</v>
      </c>
      <c r="H13" s="56"/>
      <c r="I13" s="56" t="s">
        <v>758</v>
      </c>
    </row>
    <row r="14" spans="1:9" x14ac:dyDescent="0.25">
      <c r="A14" s="56" t="s">
        <v>139</v>
      </c>
      <c r="B14" s="56" t="s">
        <v>138</v>
      </c>
      <c r="C14" s="56" t="s">
        <v>137</v>
      </c>
      <c r="D14" s="57">
        <v>46220</v>
      </c>
      <c r="E14" s="57">
        <v>46247</v>
      </c>
      <c r="F14" s="56" t="s">
        <v>744</v>
      </c>
      <c r="G14" s="59" t="s">
        <v>757</v>
      </c>
      <c r="H14" s="56"/>
      <c r="I14" s="56" t="s">
        <v>758</v>
      </c>
    </row>
    <row r="15" spans="1:9" x14ac:dyDescent="0.25">
      <c r="A15" s="56" t="s">
        <v>144</v>
      </c>
      <c r="B15" s="56" t="s">
        <v>143</v>
      </c>
      <c r="C15" s="56" t="s">
        <v>142</v>
      </c>
      <c r="D15" s="57">
        <v>46220</v>
      </c>
      <c r="E15" s="57">
        <v>46233</v>
      </c>
      <c r="F15" s="56" t="s">
        <v>744</v>
      </c>
      <c r="G15" s="59" t="s">
        <v>757</v>
      </c>
      <c r="H15" s="56"/>
      <c r="I15" s="56" t="s">
        <v>758</v>
      </c>
    </row>
    <row r="16" spans="1:9" x14ac:dyDescent="0.25">
      <c r="A16" s="56" t="s">
        <v>147</v>
      </c>
      <c r="B16" s="56" t="s">
        <v>146</v>
      </c>
      <c r="C16" s="56" t="s">
        <v>145</v>
      </c>
      <c r="D16" s="57">
        <v>46234</v>
      </c>
      <c r="E16" s="57">
        <v>46247</v>
      </c>
      <c r="F16" s="56" t="s">
        <v>744</v>
      </c>
      <c r="G16" s="59" t="s">
        <v>757</v>
      </c>
      <c r="H16" s="56"/>
      <c r="I16" s="56" t="s">
        <v>758</v>
      </c>
    </row>
    <row r="17" spans="1:9" x14ac:dyDescent="0.25">
      <c r="A17" s="56" t="s">
        <v>150</v>
      </c>
      <c r="B17" s="56" t="s">
        <v>149</v>
      </c>
      <c r="C17" s="56" t="s">
        <v>148</v>
      </c>
      <c r="D17" s="57">
        <v>46248</v>
      </c>
      <c r="E17" s="57">
        <v>46261</v>
      </c>
      <c r="F17" s="56" t="s">
        <v>744</v>
      </c>
      <c r="G17" s="59" t="s">
        <v>757</v>
      </c>
      <c r="H17" s="56"/>
      <c r="I17" s="56" t="s">
        <v>758</v>
      </c>
    </row>
    <row r="18" spans="1:9" x14ac:dyDescent="0.25">
      <c r="A18" s="56" t="s">
        <v>153</v>
      </c>
      <c r="B18" s="56" t="s">
        <v>152</v>
      </c>
      <c r="C18" s="56" t="s">
        <v>151</v>
      </c>
      <c r="D18" s="57">
        <v>46262</v>
      </c>
      <c r="E18" s="57">
        <v>46268</v>
      </c>
      <c r="F18" s="56" t="s">
        <v>744</v>
      </c>
      <c r="G18" s="59" t="s">
        <v>757</v>
      </c>
      <c r="H18" s="56"/>
      <c r="I18" s="56" t="s">
        <v>758</v>
      </c>
    </row>
    <row r="19" spans="1:9" x14ac:dyDescent="0.25">
      <c r="A19" s="56" t="s">
        <v>160</v>
      </c>
      <c r="B19" s="56" t="s">
        <v>159</v>
      </c>
      <c r="C19" s="56" t="s">
        <v>158</v>
      </c>
      <c r="D19" s="57">
        <v>46230</v>
      </c>
      <c r="E19" s="57">
        <v>46255</v>
      </c>
      <c r="F19" s="56" t="s">
        <v>747</v>
      </c>
      <c r="G19" s="58" t="s">
        <v>751</v>
      </c>
      <c r="H19" s="56" t="s">
        <v>759</v>
      </c>
      <c r="I19" s="56" t="s">
        <v>756</v>
      </c>
    </row>
    <row r="20" spans="1:9" x14ac:dyDescent="0.25">
      <c r="A20" s="56" t="s">
        <v>165</v>
      </c>
      <c r="B20" s="56" t="s">
        <v>164</v>
      </c>
      <c r="C20" s="56" t="s">
        <v>163</v>
      </c>
      <c r="D20" s="57">
        <v>46258</v>
      </c>
      <c r="E20" s="57">
        <v>46276</v>
      </c>
      <c r="F20" s="56" t="s">
        <v>747</v>
      </c>
      <c r="G20" s="58" t="s">
        <v>751</v>
      </c>
      <c r="H20" s="56" t="s">
        <v>760</v>
      </c>
      <c r="I20" s="56" t="s">
        <v>756</v>
      </c>
    </row>
    <row r="21" spans="1:9" x14ac:dyDescent="0.25">
      <c r="A21" s="56" t="s">
        <v>168</v>
      </c>
      <c r="B21" s="56" t="s">
        <v>167</v>
      </c>
      <c r="C21" s="56" t="s">
        <v>166</v>
      </c>
      <c r="D21" s="57">
        <v>46279</v>
      </c>
      <c r="E21" s="57">
        <v>46290</v>
      </c>
      <c r="F21" s="56" t="s">
        <v>750</v>
      </c>
      <c r="G21" s="58" t="s">
        <v>751</v>
      </c>
      <c r="H21" s="56" t="s">
        <v>761</v>
      </c>
      <c r="I21" s="56" t="s">
        <v>762</v>
      </c>
    </row>
    <row r="22" spans="1:9" x14ac:dyDescent="0.25">
      <c r="A22" s="56" t="s">
        <v>171</v>
      </c>
      <c r="B22" s="56" t="s">
        <v>170</v>
      </c>
      <c r="C22" s="56" t="s">
        <v>169</v>
      </c>
      <c r="D22" s="57">
        <v>46293</v>
      </c>
      <c r="E22" s="57">
        <v>46311</v>
      </c>
      <c r="F22" s="56" t="s">
        <v>750</v>
      </c>
      <c r="G22" s="58" t="s">
        <v>751</v>
      </c>
      <c r="H22" s="56" t="s">
        <v>763</v>
      </c>
      <c r="I22" s="56" t="s">
        <v>762</v>
      </c>
    </row>
    <row r="23" spans="1:9" x14ac:dyDescent="0.25">
      <c r="A23" s="56" t="s">
        <v>174</v>
      </c>
      <c r="B23" s="56" t="s">
        <v>173</v>
      </c>
      <c r="C23" s="56" t="s">
        <v>172</v>
      </c>
      <c r="D23" s="57">
        <v>46314</v>
      </c>
      <c r="E23" s="57">
        <v>46332</v>
      </c>
      <c r="F23" s="56" t="s">
        <v>750</v>
      </c>
      <c r="G23" s="58" t="s">
        <v>751</v>
      </c>
      <c r="H23" s="56" t="s">
        <v>761</v>
      </c>
      <c r="I23" s="56" t="s">
        <v>762</v>
      </c>
    </row>
    <row r="24" spans="1:9" x14ac:dyDescent="0.25">
      <c r="A24" s="56" t="s">
        <v>178</v>
      </c>
      <c r="B24" s="56" t="s">
        <v>164</v>
      </c>
      <c r="C24" s="56" t="s">
        <v>177</v>
      </c>
      <c r="D24" s="57">
        <v>46279</v>
      </c>
      <c r="E24" s="57">
        <v>46287</v>
      </c>
      <c r="F24" s="56" t="s">
        <v>747</v>
      </c>
      <c r="G24" s="58" t="s">
        <v>751</v>
      </c>
      <c r="H24" s="56" t="s">
        <v>760</v>
      </c>
      <c r="I24" s="56" t="s">
        <v>756</v>
      </c>
    </row>
    <row r="25" spans="1:9" x14ac:dyDescent="0.25">
      <c r="A25" s="56" t="s">
        <v>180</v>
      </c>
      <c r="B25" s="56" t="s">
        <v>167</v>
      </c>
      <c r="C25" s="56" t="s">
        <v>179</v>
      </c>
      <c r="D25" s="57">
        <v>46288</v>
      </c>
      <c r="E25" s="57">
        <v>46296</v>
      </c>
      <c r="F25" s="56" t="s">
        <v>750</v>
      </c>
      <c r="G25" s="58" t="s">
        <v>751</v>
      </c>
      <c r="H25" s="56" t="s">
        <v>761</v>
      </c>
      <c r="I25" s="56" t="s">
        <v>762</v>
      </c>
    </row>
    <row r="26" spans="1:9" x14ac:dyDescent="0.25">
      <c r="A26" s="56" t="s">
        <v>182</v>
      </c>
      <c r="B26" s="56" t="s">
        <v>170</v>
      </c>
      <c r="C26" s="56" t="s">
        <v>181</v>
      </c>
      <c r="D26" s="57">
        <v>46297</v>
      </c>
      <c r="E26" s="57">
        <v>46310</v>
      </c>
      <c r="F26" s="56" t="s">
        <v>750</v>
      </c>
      <c r="G26" s="58" t="s">
        <v>751</v>
      </c>
      <c r="H26" s="56" t="s">
        <v>763</v>
      </c>
      <c r="I26" s="56" t="s">
        <v>762</v>
      </c>
    </row>
    <row r="27" spans="1:9" x14ac:dyDescent="0.25">
      <c r="A27" s="56" t="s">
        <v>184</v>
      </c>
      <c r="B27" s="56" t="s">
        <v>173</v>
      </c>
      <c r="C27" s="56" t="s">
        <v>183</v>
      </c>
      <c r="D27" s="57">
        <v>46311</v>
      </c>
      <c r="E27" s="57">
        <v>46324</v>
      </c>
      <c r="F27" s="56" t="s">
        <v>750</v>
      </c>
      <c r="G27" s="58" t="s">
        <v>751</v>
      </c>
      <c r="H27" s="56" t="s">
        <v>761</v>
      </c>
      <c r="I27" s="56" t="s">
        <v>762</v>
      </c>
    </row>
    <row r="28" spans="1:9" x14ac:dyDescent="0.25">
      <c r="A28" s="56" t="s">
        <v>189</v>
      </c>
      <c r="B28" s="56" t="s">
        <v>188</v>
      </c>
      <c r="C28" s="56" t="s">
        <v>187</v>
      </c>
      <c r="D28" s="57">
        <v>46251</v>
      </c>
      <c r="E28" s="57">
        <v>46259</v>
      </c>
      <c r="F28" s="56" t="s">
        <v>750</v>
      </c>
      <c r="G28" s="58" t="s">
        <v>751</v>
      </c>
      <c r="H28" s="56" t="s">
        <v>764</v>
      </c>
      <c r="I28" s="56" t="s">
        <v>762</v>
      </c>
    </row>
    <row r="29" spans="1:9" x14ac:dyDescent="0.25">
      <c r="A29" s="56" t="s">
        <v>192</v>
      </c>
      <c r="B29" s="56" t="s">
        <v>191</v>
      </c>
      <c r="C29" s="56" t="s">
        <v>190</v>
      </c>
      <c r="D29" s="57">
        <v>46260</v>
      </c>
      <c r="E29" s="57">
        <v>46302</v>
      </c>
      <c r="F29" s="56" t="s">
        <v>744</v>
      </c>
      <c r="G29" s="59" t="s">
        <v>757</v>
      </c>
      <c r="H29" s="56"/>
      <c r="I29" s="56" t="s">
        <v>758</v>
      </c>
    </row>
    <row r="30" spans="1:9" x14ac:dyDescent="0.25">
      <c r="A30" s="56" t="s">
        <v>195</v>
      </c>
      <c r="B30" s="56" t="s">
        <v>194</v>
      </c>
      <c r="C30" s="56" t="s">
        <v>193</v>
      </c>
      <c r="D30" s="57">
        <v>46303</v>
      </c>
      <c r="E30" s="57">
        <v>46323</v>
      </c>
      <c r="F30" s="56" t="s">
        <v>744</v>
      </c>
      <c r="G30" s="59" t="s">
        <v>757</v>
      </c>
      <c r="H30" s="56"/>
      <c r="I30" s="56" t="s">
        <v>758</v>
      </c>
    </row>
    <row r="31" spans="1:9" x14ac:dyDescent="0.25">
      <c r="A31" s="56" t="s">
        <v>198</v>
      </c>
      <c r="B31" s="56" t="s">
        <v>197</v>
      </c>
      <c r="C31" s="56" t="s">
        <v>196</v>
      </c>
      <c r="D31" s="57">
        <v>46324</v>
      </c>
      <c r="E31" s="57">
        <v>46332</v>
      </c>
      <c r="F31" s="56" t="s">
        <v>744</v>
      </c>
      <c r="G31" s="59" t="s">
        <v>757</v>
      </c>
      <c r="H31" s="56"/>
      <c r="I31" s="56" t="s">
        <v>758</v>
      </c>
    </row>
    <row r="32" spans="1:9" x14ac:dyDescent="0.25">
      <c r="A32" s="56" t="s">
        <v>202</v>
      </c>
      <c r="B32" s="56" t="s">
        <v>188</v>
      </c>
      <c r="C32" s="56" t="s">
        <v>201</v>
      </c>
      <c r="D32" s="57">
        <v>46303</v>
      </c>
      <c r="E32" s="57">
        <v>46309</v>
      </c>
      <c r="F32" s="56" t="s">
        <v>750</v>
      </c>
      <c r="G32" s="58" t="s">
        <v>751</v>
      </c>
      <c r="H32" s="56" t="s">
        <v>764</v>
      </c>
      <c r="I32" s="56" t="s">
        <v>762</v>
      </c>
    </row>
    <row r="33" spans="1:9" x14ac:dyDescent="0.25">
      <c r="A33" s="56" t="s">
        <v>205</v>
      </c>
      <c r="B33" s="56" t="s">
        <v>204</v>
      </c>
      <c r="C33" s="56" t="s">
        <v>203</v>
      </c>
      <c r="D33" s="57">
        <v>46310</v>
      </c>
      <c r="E33" s="57">
        <v>46316</v>
      </c>
      <c r="F33" s="56" t="s">
        <v>750</v>
      </c>
      <c r="G33" s="58" t="s">
        <v>751</v>
      </c>
      <c r="H33" s="56" t="s">
        <v>765</v>
      </c>
      <c r="I33" s="56" t="s">
        <v>762</v>
      </c>
    </row>
    <row r="34" spans="1:9" x14ac:dyDescent="0.25">
      <c r="A34" s="56" t="s">
        <v>208</v>
      </c>
      <c r="B34" s="56" t="s">
        <v>207</v>
      </c>
      <c r="C34" s="56" t="s">
        <v>206</v>
      </c>
      <c r="D34" s="57">
        <v>46317</v>
      </c>
      <c r="E34" s="57">
        <v>46330</v>
      </c>
      <c r="F34" s="56" t="s">
        <v>744</v>
      </c>
      <c r="G34" s="59" t="s">
        <v>757</v>
      </c>
      <c r="H34" s="56"/>
      <c r="I34" s="56" t="s">
        <v>758</v>
      </c>
    </row>
    <row r="35" spans="1:9" x14ac:dyDescent="0.25">
      <c r="A35" s="56" t="s">
        <v>212</v>
      </c>
      <c r="B35" s="56" t="s">
        <v>188</v>
      </c>
      <c r="C35" s="56" t="s">
        <v>211</v>
      </c>
      <c r="D35" s="57">
        <v>46331</v>
      </c>
      <c r="E35" s="57">
        <v>46337</v>
      </c>
      <c r="F35" s="56" t="s">
        <v>750</v>
      </c>
      <c r="G35" s="58" t="s">
        <v>751</v>
      </c>
      <c r="H35" s="56" t="s">
        <v>764</v>
      </c>
      <c r="I35" s="56" t="s">
        <v>762</v>
      </c>
    </row>
    <row r="36" spans="1:9" x14ac:dyDescent="0.25">
      <c r="A36" s="56" t="s">
        <v>214</v>
      </c>
      <c r="B36" s="56" t="s">
        <v>204</v>
      </c>
      <c r="C36" s="56" t="s">
        <v>213</v>
      </c>
      <c r="D36" s="57">
        <v>46338</v>
      </c>
      <c r="E36" s="57">
        <v>46344</v>
      </c>
      <c r="F36" s="56" t="s">
        <v>750</v>
      </c>
      <c r="G36" s="58" t="s">
        <v>751</v>
      </c>
      <c r="H36" s="56" t="s">
        <v>765</v>
      </c>
      <c r="I36" s="56" t="s">
        <v>762</v>
      </c>
    </row>
    <row r="37" spans="1:9" x14ac:dyDescent="0.25">
      <c r="A37" s="56" t="s">
        <v>216</v>
      </c>
      <c r="B37" s="56" t="s">
        <v>207</v>
      </c>
      <c r="C37" s="56" t="s">
        <v>215</v>
      </c>
      <c r="D37" s="57">
        <v>46345</v>
      </c>
      <c r="E37" s="57">
        <v>46358</v>
      </c>
      <c r="F37" s="56" t="s">
        <v>744</v>
      </c>
      <c r="G37" s="59" t="s">
        <v>757</v>
      </c>
      <c r="H37" s="56"/>
      <c r="I37" s="56" t="s">
        <v>758</v>
      </c>
    </row>
    <row r="38" spans="1:9" x14ac:dyDescent="0.25">
      <c r="A38" s="56" t="s">
        <v>220</v>
      </c>
      <c r="B38" s="56" t="s">
        <v>188</v>
      </c>
      <c r="C38" s="56" t="s">
        <v>219</v>
      </c>
      <c r="D38" s="57">
        <v>46359</v>
      </c>
      <c r="E38" s="57">
        <v>46365</v>
      </c>
      <c r="F38" s="56" t="s">
        <v>750</v>
      </c>
      <c r="G38" s="58" t="s">
        <v>751</v>
      </c>
      <c r="H38" s="56" t="s">
        <v>764</v>
      </c>
      <c r="I38" s="56" t="s">
        <v>762</v>
      </c>
    </row>
    <row r="39" spans="1:9" x14ac:dyDescent="0.25">
      <c r="A39" s="56" t="s">
        <v>223</v>
      </c>
      <c r="B39" s="56" t="s">
        <v>222</v>
      </c>
      <c r="C39" s="56" t="s">
        <v>221</v>
      </c>
      <c r="D39" s="57">
        <v>46366</v>
      </c>
      <c r="E39" s="57">
        <v>46379</v>
      </c>
      <c r="F39" s="56" t="s">
        <v>750</v>
      </c>
      <c r="G39" s="58" t="s">
        <v>751</v>
      </c>
      <c r="H39" s="56" t="s">
        <v>761</v>
      </c>
      <c r="I39" s="56" t="s">
        <v>762</v>
      </c>
    </row>
    <row r="40" spans="1:9" x14ac:dyDescent="0.25">
      <c r="A40" s="56" t="s">
        <v>226</v>
      </c>
      <c r="B40" s="56" t="s">
        <v>225</v>
      </c>
      <c r="C40" s="56" t="s">
        <v>224</v>
      </c>
      <c r="D40" s="57">
        <v>46380</v>
      </c>
      <c r="E40" s="57">
        <v>46386</v>
      </c>
      <c r="F40" s="56" t="s">
        <v>750</v>
      </c>
      <c r="G40" s="58" t="s">
        <v>751</v>
      </c>
      <c r="H40" s="56" t="s">
        <v>766</v>
      </c>
      <c r="I40" s="56" t="s">
        <v>762</v>
      </c>
    </row>
    <row r="41" spans="1:9" x14ac:dyDescent="0.25">
      <c r="A41" s="56" t="s">
        <v>230</v>
      </c>
      <c r="B41" s="56" t="s">
        <v>188</v>
      </c>
      <c r="C41" s="56" t="s">
        <v>229</v>
      </c>
      <c r="D41" s="57">
        <v>46303</v>
      </c>
      <c r="E41" s="57">
        <v>46309</v>
      </c>
      <c r="F41" s="56" t="s">
        <v>750</v>
      </c>
      <c r="G41" s="58" t="s">
        <v>751</v>
      </c>
      <c r="H41" s="56" t="s">
        <v>764</v>
      </c>
      <c r="I41" s="56" t="s">
        <v>762</v>
      </c>
    </row>
    <row r="42" spans="1:9" x14ac:dyDescent="0.25">
      <c r="A42" s="56" t="s">
        <v>233</v>
      </c>
      <c r="B42" s="56" t="s">
        <v>232</v>
      </c>
      <c r="C42" s="56" t="s">
        <v>231</v>
      </c>
      <c r="D42" s="57">
        <v>46310</v>
      </c>
      <c r="E42" s="57">
        <v>46323</v>
      </c>
      <c r="F42" s="56" t="s">
        <v>750</v>
      </c>
      <c r="G42" s="58" t="s">
        <v>751</v>
      </c>
      <c r="H42" s="56" t="s">
        <v>765</v>
      </c>
      <c r="I42" s="56" t="s">
        <v>762</v>
      </c>
    </row>
    <row r="43" spans="1:9" x14ac:dyDescent="0.25">
      <c r="A43" s="56" t="s">
        <v>235</v>
      </c>
      <c r="B43" s="56" t="s">
        <v>222</v>
      </c>
      <c r="C43" s="56" t="s">
        <v>234</v>
      </c>
      <c r="D43" s="57">
        <v>46324</v>
      </c>
      <c r="E43" s="57">
        <v>46379</v>
      </c>
      <c r="F43" s="56" t="s">
        <v>750</v>
      </c>
      <c r="G43" s="58" t="s">
        <v>751</v>
      </c>
      <c r="H43" s="56" t="s">
        <v>761</v>
      </c>
      <c r="I43" s="56" t="s">
        <v>762</v>
      </c>
    </row>
    <row r="44" spans="1:9" x14ac:dyDescent="0.25">
      <c r="A44" s="56" t="s">
        <v>237</v>
      </c>
      <c r="B44" s="56" t="s">
        <v>225</v>
      </c>
      <c r="C44" s="56" t="s">
        <v>236</v>
      </c>
      <c r="D44" s="57">
        <v>46380</v>
      </c>
      <c r="E44" s="57">
        <v>46386</v>
      </c>
      <c r="F44" s="56" t="s">
        <v>750</v>
      </c>
      <c r="G44" s="58" t="s">
        <v>751</v>
      </c>
      <c r="H44" s="56" t="s">
        <v>766</v>
      </c>
      <c r="I44" s="56" t="s">
        <v>762</v>
      </c>
    </row>
    <row r="45" spans="1:9" x14ac:dyDescent="0.25">
      <c r="A45" s="56" t="s">
        <v>242</v>
      </c>
      <c r="B45" s="56" t="s">
        <v>241</v>
      </c>
      <c r="C45" s="56" t="s">
        <v>240</v>
      </c>
      <c r="D45" s="57">
        <v>46387</v>
      </c>
      <c r="E45" s="57">
        <v>46393</v>
      </c>
      <c r="F45" s="56" t="s">
        <v>750</v>
      </c>
      <c r="G45" s="58" t="s">
        <v>751</v>
      </c>
      <c r="H45" s="56" t="s">
        <v>764</v>
      </c>
      <c r="I45" s="56" t="s">
        <v>762</v>
      </c>
    </row>
    <row r="46" spans="1:9" x14ac:dyDescent="0.25">
      <c r="A46" s="56" t="s">
        <v>245</v>
      </c>
      <c r="B46" s="56" t="s">
        <v>244</v>
      </c>
      <c r="C46" s="56" t="s">
        <v>243</v>
      </c>
      <c r="D46" s="57">
        <v>46394</v>
      </c>
      <c r="E46" s="57">
        <v>46400</v>
      </c>
      <c r="F46" s="56" t="s">
        <v>750</v>
      </c>
      <c r="G46" s="58" t="s">
        <v>751</v>
      </c>
      <c r="H46" s="56" t="s">
        <v>763</v>
      </c>
      <c r="I46" s="56" t="s">
        <v>762</v>
      </c>
    </row>
    <row r="47" spans="1:9" x14ac:dyDescent="0.25">
      <c r="A47" s="56" t="s">
        <v>248</v>
      </c>
      <c r="B47" s="56" t="s">
        <v>247</v>
      </c>
      <c r="C47" s="56" t="s">
        <v>246</v>
      </c>
      <c r="D47" s="57">
        <v>46401</v>
      </c>
      <c r="E47" s="57">
        <v>46407</v>
      </c>
      <c r="F47" s="56" t="s">
        <v>750</v>
      </c>
      <c r="G47" s="58" t="s">
        <v>751</v>
      </c>
      <c r="H47" s="56" t="s">
        <v>761</v>
      </c>
      <c r="I47" s="56" t="s">
        <v>762</v>
      </c>
    </row>
    <row r="48" spans="1:9" x14ac:dyDescent="0.25">
      <c r="A48" s="56" t="s">
        <v>252</v>
      </c>
      <c r="B48" s="56" t="s">
        <v>241</v>
      </c>
      <c r="C48" s="56" t="s">
        <v>251</v>
      </c>
      <c r="D48" s="57">
        <v>46408</v>
      </c>
      <c r="E48" s="57">
        <v>46414</v>
      </c>
      <c r="F48" s="56" t="s">
        <v>750</v>
      </c>
      <c r="G48" s="58" t="s">
        <v>751</v>
      </c>
      <c r="H48" s="56" t="s">
        <v>764</v>
      </c>
      <c r="I48" s="56" t="s">
        <v>762</v>
      </c>
    </row>
    <row r="49" spans="1:9" x14ac:dyDescent="0.25">
      <c r="A49" s="56" t="s">
        <v>254</v>
      </c>
      <c r="B49" s="56" t="s">
        <v>222</v>
      </c>
      <c r="C49" s="56" t="s">
        <v>253</v>
      </c>
      <c r="D49" s="57">
        <v>46415</v>
      </c>
      <c r="E49" s="57">
        <v>46428</v>
      </c>
      <c r="F49" s="56" t="s">
        <v>750</v>
      </c>
      <c r="G49" s="58" t="s">
        <v>751</v>
      </c>
      <c r="H49" s="56" t="s">
        <v>761</v>
      </c>
      <c r="I49" s="56" t="s">
        <v>762</v>
      </c>
    </row>
    <row r="50" spans="1:9" x14ac:dyDescent="0.25">
      <c r="A50" s="56" t="s">
        <v>256</v>
      </c>
      <c r="B50" s="56" t="s">
        <v>225</v>
      </c>
      <c r="C50" s="56" t="s">
        <v>255</v>
      </c>
      <c r="D50" s="57">
        <v>46429</v>
      </c>
      <c r="E50" s="57">
        <v>46435</v>
      </c>
      <c r="F50" s="56" t="s">
        <v>750</v>
      </c>
      <c r="G50" s="58" t="s">
        <v>751</v>
      </c>
      <c r="H50" s="56" t="s">
        <v>766</v>
      </c>
      <c r="I50" s="56" t="s">
        <v>762</v>
      </c>
    </row>
    <row r="51" spans="1:9" x14ac:dyDescent="0.25">
      <c r="A51" s="56" t="s">
        <v>261</v>
      </c>
      <c r="B51" s="56" t="s">
        <v>260</v>
      </c>
      <c r="C51" s="56" t="s">
        <v>259</v>
      </c>
      <c r="D51" s="57">
        <v>46297</v>
      </c>
      <c r="E51" s="57">
        <v>46310</v>
      </c>
      <c r="F51" s="56" t="s">
        <v>747</v>
      </c>
      <c r="G51" s="58" t="s">
        <v>751</v>
      </c>
      <c r="H51" s="56" t="s">
        <v>759</v>
      </c>
      <c r="I51" s="56" t="s">
        <v>756</v>
      </c>
    </row>
    <row r="52" spans="1:9" x14ac:dyDescent="0.25">
      <c r="A52" s="56" t="s">
        <v>264</v>
      </c>
      <c r="B52" s="56" t="s">
        <v>263</v>
      </c>
      <c r="C52" s="56" t="s">
        <v>262</v>
      </c>
      <c r="D52" s="57">
        <v>46311</v>
      </c>
      <c r="E52" s="57">
        <v>46331</v>
      </c>
      <c r="F52" s="56" t="s">
        <v>747</v>
      </c>
      <c r="G52" s="58" t="s">
        <v>751</v>
      </c>
      <c r="H52" s="56" t="s">
        <v>767</v>
      </c>
      <c r="I52" s="56" t="s">
        <v>756</v>
      </c>
    </row>
    <row r="53" spans="1:9" x14ac:dyDescent="0.25">
      <c r="A53" s="56" t="s">
        <v>267</v>
      </c>
      <c r="B53" s="56" t="s">
        <v>266</v>
      </c>
      <c r="C53" s="56" t="s">
        <v>265</v>
      </c>
      <c r="D53" s="57">
        <v>46332</v>
      </c>
      <c r="E53" s="57">
        <v>46352</v>
      </c>
      <c r="F53" s="56" t="s">
        <v>747</v>
      </c>
      <c r="G53" s="58" t="s">
        <v>751</v>
      </c>
      <c r="H53" s="56" t="s">
        <v>767</v>
      </c>
      <c r="I53" s="56" t="s">
        <v>756</v>
      </c>
    </row>
    <row r="54" spans="1:9" x14ac:dyDescent="0.25">
      <c r="A54" s="56" t="s">
        <v>270</v>
      </c>
      <c r="B54" s="56" t="s">
        <v>269</v>
      </c>
      <c r="C54" s="56" t="s">
        <v>268</v>
      </c>
      <c r="D54" s="57">
        <v>46353</v>
      </c>
      <c r="E54" s="57">
        <v>46364</v>
      </c>
      <c r="F54" s="56" t="s">
        <v>747</v>
      </c>
      <c r="G54" s="58" t="s">
        <v>751</v>
      </c>
      <c r="H54" s="56" t="s">
        <v>767</v>
      </c>
      <c r="I54" s="56" t="s">
        <v>756</v>
      </c>
    </row>
    <row r="55" spans="1:9" x14ac:dyDescent="0.25">
      <c r="A55" s="56" t="s">
        <v>273</v>
      </c>
      <c r="B55" s="56" t="s">
        <v>272</v>
      </c>
      <c r="C55" s="56" t="s">
        <v>271</v>
      </c>
      <c r="D55" s="57">
        <v>46365</v>
      </c>
      <c r="E55" s="57">
        <v>46373</v>
      </c>
      <c r="F55" s="56" t="s">
        <v>750</v>
      </c>
      <c r="G55" s="58" t="s">
        <v>751</v>
      </c>
      <c r="H55" s="56" t="s">
        <v>766</v>
      </c>
      <c r="I55" s="56" t="s">
        <v>762</v>
      </c>
    </row>
    <row r="56" spans="1:9" x14ac:dyDescent="0.25">
      <c r="A56" s="56" t="s">
        <v>278</v>
      </c>
      <c r="B56" s="56" t="s">
        <v>277</v>
      </c>
      <c r="C56" s="56" t="s">
        <v>276</v>
      </c>
      <c r="D56" s="57">
        <v>46374</v>
      </c>
      <c r="E56" s="57">
        <v>46385</v>
      </c>
      <c r="F56" s="56" t="s">
        <v>744</v>
      </c>
      <c r="G56" s="59" t="s">
        <v>757</v>
      </c>
      <c r="H56" s="56"/>
      <c r="I56" s="56" t="s">
        <v>758</v>
      </c>
    </row>
    <row r="57" spans="1:9" x14ac:dyDescent="0.25">
      <c r="A57" s="56" t="s">
        <v>281</v>
      </c>
      <c r="B57" s="56" t="s">
        <v>280</v>
      </c>
      <c r="C57" s="56" t="s">
        <v>279</v>
      </c>
      <c r="D57" s="57">
        <v>46386</v>
      </c>
      <c r="E57" s="57">
        <v>46394</v>
      </c>
      <c r="F57" s="56" t="s">
        <v>744</v>
      </c>
      <c r="G57" s="59" t="s">
        <v>757</v>
      </c>
      <c r="H57" s="56"/>
      <c r="I57" s="56" t="s">
        <v>758</v>
      </c>
    </row>
    <row r="58" spans="1:9" x14ac:dyDescent="0.25">
      <c r="A58" s="56" t="s">
        <v>284</v>
      </c>
      <c r="B58" s="56" t="s">
        <v>283</v>
      </c>
      <c r="C58" s="56" t="s">
        <v>282</v>
      </c>
      <c r="D58" s="57">
        <v>46395</v>
      </c>
      <c r="E58" s="57">
        <v>46408</v>
      </c>
      <c r="F58" s="56" t="s">
        <v>744</v>
      </c>
      <c r="G58" s="59" t="s">
        <v>757</v>
      </c>
      <c r="H58" s="56"/>
      <c r="I58" s="56" t="s">
        <v>758</v>
      </c>
    </row>
    <row r="59" spans="1:9" x14ac:dyDescent="0.25">
      <c r="A59" s="56" t="s">
        <v>287</v>
      </c>
      <c r="B59" s="56" t="s">
        <v>286</v>
      </c>
      <c r="C59" s="56" t="s">
        <v>285</v>
      </c>
      <c r="D59" s="57">
        <v>46374</v>
      </c>
      <c r="E59" s="57">
        <v>46384</v>
      </c>
      <c r="F59" s="56" t="s">
        <v>744</v>
      </c>
      <c r="G59" s="59" t="s">
        <v>757</v>
      </c>
      <c r="H59" s="56"/>
      <c r="I59" s="56" t="s">
        <v>758</v>
      </c>
    </row>
    <row r="60" spans="1:9" x14ac:dyDescent="0.25">
      <c r="A60" s="56" t="s">
        <v>290</v>
      </c>
      <c r="B60" s="56" t="s">
        <v>289</v>
      </c>
      <c r="C60" s="56" t="s">
        <v>288</v>
      </c>
      <c r="D60" s="57">
        <v>46385</v>
      </c>
      <c r="E60" s="57">
        <v>46393</v>
      </c>
      <c r="F60" s="56" t="s">
        <v>744</v>
      </c>
      <c r="G60" s="59" t="s">
        <v>757</v>
      </c>
      <c r="H60" s="56"/>
      <c r="I60" s="56" t="s">
        <v>758</v>
      </c>
    </row>
    <row r="61" spans="1:9" x14ac:dyDescent="0.25">
      <c r="A61" s="56" t="s">
        <v>293</v>
      </c>
      <c r="B61" s="56" t="s">
        <v>292</v>
      </c>
      <c r="C61" s="56" t="s">
        <v>291</v>
      </c>
      <c r="D61" s="57">
        <v>46394</v>
      </c>
      <c r="E61" s="57">
        <v>46402</v>
      </c>
      <c r="F61" s="56" t="s">
        <v>744</v>
      </c>
      <c r="G61" s="59" t="s">
        <v>757</v>
      </c>
      <c r="H61" s="56"/>
      <c r="I61" s="56" t="s">
        <v>758</v>
      </c>
    </row>
    <row r="62" spans="1:9" x14ac:dyDescent="0.25">
      <c r="A62" s="56" t="s">
        <v>302</v>
      </c>
      <c r="B62" s="56" t="s">
        <v>301</v>
      </c>
      <c r="C62" s="56" t="s">
        <v>300</v>
      </c>
      <c r="D62" s="57">
        <v>46266</v>
      </c>
      <c r="E62" s="57">
        <v>46307</v>
      </c>
      <c r="F62" s="56" t="s">
        <v>744</v>
      </c>
      <c r="G62" s="59" t="s">
        <v>757</v>
      </c>
      <c r="H62" s="56"/>
      <c r="I62" s="56" t="s">
        <v>758</v>
      </c>
    </row>
    <row r="63" spans="1:9" x14ac:dyDescent="0.25">
      <c r="A63" s="56" t="s">
        <v>305</v>
      </c>
      <c r="B63" s="56" t="s">
        <v>304</v>
      </c>
      <c r="C63" s="56" t="s">
        <v>303</v>
      </c>
      <c r="D63" s="57">
        <v>46308</v>
      </c>
      <c r="E63" s="57">
        <v>46398</v>
      </c>
      <c r="F63" s="56" t="s">
        <v>744</v>
      </c>
      <c r="G63" s="59" t="s">
        <v>757</v>
      </c>
      <c r="H63" s="56"/>
      <c r="I63" s="56" t="s">
        <v>758</v>
      </c>
    </row>
    <row r="64" spans="1:9" x14ac:dyDescent="0.25">
      <c r="A64" s="56" t="s">
        <v>308</v>
      </c>
      <c r="B64" s="56" t="s">
        <v>307</v>
      </c>
      <c r="C64" s="56" t="s">
        <v>306</v>
      </c>
      <c r="D64" s="57">
        <v>46308</v>
      </c>
      <c r="E64" s="57">
        <v>46398</v>
      </c>
      <c r="F64" s="56" t="s">
        <v>744</v>
      </c>
      <c r="G64" s="59" t="s">
        <v>757</v>
      </c>
      <c r="H64" s="56"/>
      <c r="I64" s="56" t="s">
        <v>758</v>
      </c>
    </row>
    <row r="65" spans="1:9" x14ac:dyDescent="0.25">
      <c r="A65" s="56" t="s">
        <v>311</v>
      </c>
      <c r="B65" s="56" t="s">
        <v>310</v>
      </c>
      <c r="C65" s="56" t="s">
        <v>309</v>
      </c>
      <c r="D65" s="57">
        <v>46308</v>
      </c>
      <c r="E65" s="57">
        <v>46398</v>
      </c>
      <c r="F65" s="56" t="s">
        <v>744</v>
      </c>
      <c r="G65" s="59" t="s">
        <v>757</v>
      </c>
      <c r="H65" s="56"/>
      <c r="I65" s="56" t="s">
        <v>758</v>
      </c>
    </row>
    <row r="66" spans="1:9" x14ac:dyDescent="0.25">
      <c r="A66" s="56" t="s">
        <v>318</v>
      </c>
      <c r="B66" s="56" t="s">
        <v>317</v>
      </c>
      <c r="C66" s="56" t="s">
        <v>316</v>
      </c>
      <c r="D66" s="57">
        <v>46335</v>
      </c>
      <c r="E66" s="57">
        <v>46360</v>
      </c>
      <c r="F66" s="56" t="s">
        <v>744</v>
      </c>
      <c r="G66" s="59" t="s">
        <v>757</v>
      </c>
      <c r="H66" s="56"/>
      <c r="I66" s="56" t="s">
        <v>758</v>
      </c>
    </row>
    <row r="67" spans="1:9" x14ac:dyDescent="0.25">
      <c r="A67" s="56" t="s">
        <v>321</v>
      </c>
      <c r="B67" s="56" t="s">
        <v>320</v>
      </c>
      <c r="C67" s="56" t="s">
        <v>319</v>
      </c>
      <c r="D67" s="57">
        <v>46363</v>
      </c>
      <c r="E67" s="57">
        <v>46388</v>
      </c>
      <c r="F67" s="56" t="s">
        <v>744</v>
      </c>
      <c r="G67" s="59" t="s">
        <v>757</v>
      </c>
      <c r="H67" s="56"/>
      <c r="I67" s="56" t="s">
        <v>758</v>
      </c>
    </row>
    <row r="68" spans="1:9" x14ac:dyDescent="0.25">
      <c r="A68" s="56" t="s">
        <v>324</v>
      </c>
      <c r="B68" s="56" t="s">
        <v>323</v>
      </c>
      <c r="C68" s="56" t="s">
        <v>322</v>
      </c>
      <c r="D68" s="57">
        <v>46269</v>
      </c>
      <c r="E68" s="57">
        <v>46289</v>
      </c>
      <c r="F68" s="56" t="s">
        <v>744</v>
      </c>
      <c r="G68" s="59" t="s">
        <v>757</v>
      </c>
      <c r="H68" s="56"/>
      <c r="I68" s="56" t="s">
        <v>758</v>
      </c>
    </row>
    <row r="69" spans="1:9" x14ac:dyDescent="0.25">
      <c r="A69" s="56" t="s">
        <v>329</v>
      </c>
      <c r="B69" s="56" t="s">
        <v>328</v>
      </c>
      <c r="C69" s="56" t="s">
        <v>327</v>
      </c>
      <c r="D69" s="57">
        <v>46387</v>
      </c>
      <c r="E69" s="57">
        <v>46407</v>
      </c>
      <c r="F69" s="56" t="s">
        <v>744</v>
      </c>
      <c r="G69" s="59" t="s">
        <v>757</v>
      </c>
      <c r="H69" s="56"/>
      <c r="I69" s="56" t="s">
        <v>758</v>
      </c>
    </row>
    <row r="70" spans="1:9" x14ac:dyDescent="0.25">
      <c r="A70" s="56" t="s">
        <v>332</v>
      </c>
      <c r="B70" s="56" t="s">
        <v>331</v>
      </c>
      <c r="C70" s="56" t="s">
        <v>330</v>
      </c>
      <c r="D70" s="57">
        <v>46391</v>
      </c>
      <c r="E70" s="57">
        <v>46402</v>
      </c>
      <c r="F70" s="56" t="s">
        <v>744</v>
      </c>
      <c r="G70" s="59" t="s">
        <v>757</v>
      </c>
      <c r="H70" s="56"/>
      <c r="I70" s="56" t="s">
        <v>758</v>
      </c>
    </row>
    <row r="71" spans="1:9" x14ac:dyDescent="0.25">
      <c r="A71" s="56" t="s">
        <v>335</v>
      </c>
      <c r="B71" s="56" t="s">
        <v>334</v>
      </c>
      <c r="C71" s="56" t="s">
        <v>333</v>
      </c>
      <c r="D71" s="57">
        <v>46290</v>
      </c>
      <c r="E71" s="57">
        <v>46310</v>
      </c>
      <c r="F71" s="56" t="s">
        <v>744</v>
      </c>
      <c r="G71" s="59" t="s">
        <v>757</v>
      </c>
      <c r="H71" s="56"/>
      <c r="I71" s="56" t="s">
        <v>758</v>
      </c>
    </row>
    <row r="72" spans="1:9" x14ac:dyDescent="0.25">
      <c r="A72" s="56" t="s">
        <v>340</v>
      </c>
      <c r="B72" s="56" t="s">
        <v>339</v>
      </c>
      <c r="C72" s="56" t="s">
        <v>338</v>
      </c>
      <c r="D72" s="57">
        <v>46387</v>
      </c>
      <c r="E72" s="57">
        <v>46407</v>
      </c>
      <c r="F72" s="56" t="s">
        <v>744</v>
      </c>
      <c r="G72" s="59" t="s">
        <v>757</v>
      </c>
      <c r="H72" s="56"/>
      <c r="I72" s="56" t="s">
        <v>758</v>
      </c>
    </row>
    <row r="73" spans="1:9" x14ac:dyDescent="0.25">
      <c r="A73" s="56" t="s">
        <v>343</v>
      </c>
      <c r="B73" s="56" t="s">
        <v>342</v>
      </c>
      <c r="C73" s="56" t="s">
        <v>341</v>
      </c>
      <c r="D73" s="57">
        <v>46464</v>
      </c>
      <c r="E73" s="57">
        <v>46491</v>
      </c>
      <c r="F73" s="56" t="s">
        <v>744</v>
      </c>
      <c r="G73" s="59" t="s">
        <v>757</v>
      </c>
      <c r="H73" s="56"/>
      <c r="I73" s="56" t="s">
        <v>758</v>
      </c>
    </row>
    <row r="74" spans="1:9" x14ac:dyDescent="0.25">
      <c r="A74" s="56" t="s">
        <v>346</v>
      </c>
      <c r="B74" s="56" t="s">
        <v>345</v>
      </c>
      <c r="C74" s="56" t="s">
        <v>344</v>
      </c>
      <c r="D74" s="57">
        <v>46512</v>
      </c>
      <c r="E74" s="57">
        <v>46525</v>
      </c>
      <c r="F74" s="56" t="s">
        <v>744</v>
      </c>
      <c r="G74" s="59" t="s">
        <v>757</v>
      </c>
      <c r="H74" s="56"/>
      <c r="I74" s="56" t="s">
        <v>758</v>
      </c>
    </row>
    <row r="75" spans="1:9" x14ac:dyDescent="0.25">
      <c r="A75" s="56" t="s">
        <v>349</v>
      </c>
      <c r="B75" s="56" t="s">
        <v>348</v>
      </c>
      <c r="C75" s="56" t="s">
        <v>347</v>
      </c>
      <c r="D75" s="57">
        <v>46405</v>
      </c>
      <c r="E75" s="57">
        <v>46423</v>
      </c>
      <c r="F75" s="56" t="s">
        <v>744</v>
      </c>
      <c r="G75" s="59" t="s">
        <v>757</v>
      </c>
      <c r="H75" s="56"/>
      <c r="I75" s="56" t="s">
        <v>758</v>
      </c>
    </row>
    <row r="76" spans="1:9" x14ac:dyDescent="0.25">
      <c r="A76" s="56" t="s">
        <v>354</v>
      </c>
      <c r="B76" s="56" t="s">
        <v>353</v>
      </c>
      <c r="C76" s="56" t="s">
        <v>352</v>
      </c>
      <c r="D76" s="57">
        <v>46408</v>
      </c>
      <c r="E76" s="57">
        <v>46435</v>
      </c>
      <c r="F76" s="56" t="s">
        <v>744</v>
      </c>
      <c r="G76" s="59" t="s">
        <v>757</v>
      </c>
      <c r="H76" s="56"/>
      <c r="I76" s="56" t="s">
        <v>758</v>
      </c>
    </row>
    <row r="77" spans="1:9" x14ac:dyDescent="0.25">
      <c r="A77" s="56" t="s">
        <v>359</v>
      </c>
      <c r="B77" s="56" t="s">
        <v>358</v>
      </c>
      <c r="C77" s="56" t="s">
        <v>357</v>
      </c>
      <c r="D77" s="57">
        <v>46345</v>
      </c>
      <c r="E77" s="57">
        <v>46407</v>
      </c>
      <c r="F77" s="56" t="s">
        <v>750</v>
      </c>
      <c r="G77" s="58" t="s">
        <v>751</v>
      </c>
      <c r="H77" s="56" t="s">
        <v>768</v>
      </c>
      <c r="I77" s="56" t="s">
        <v>762</v>
      </c>
    </row>
    <row r="78" spans="1:9" x14ac:dyDescent="0.25">
      <c r="A78" s="56" t="s">
        <v>362</v>
      </c>
      <c r="B78" s="56" t="s">
        <v>361</v>
      </c>
      <c r="C78" s="56" t="s">
        <v>360</v>
      </c>
      <c r="D78" s="57">
        <v>46408</v>
      </c>
      <c r="E78" s="57">
        <v>46442</v>
      </c>
      <c r="F78" s="56" t="s">
        <v>744</v>
      </c>
      <c r="G78" s="59" t="s">
        <v>757</v>
      </c>
      <c r="H78" s="56"/>
      <c r="I78" s="56" t="s">
        <v>758</v>
      </c>
    </row>
    <row r="79" spans="1:9" x14ac:dyDescent="0.25">
      <c r="A79" s="56" t="s">
        <v>365</v>
      </c>
      <c r="B79" s="56" t="s">
        <v>364</v>
      </c>
      <c r="C79" s="56" t="s">
        <v>363</v>
      </c>
      <c r="D79" s="57">
        <v>46408</v>
      </c>
      <c r="E79" s="57">
        <v>46449</v>
      </c>
      <c r="F79" s="56" t="s">
        <v>744</v>
      </c>
      <c r="G79" s="59" t="s">
        <v>757</v>
      </c>
      <c r="H79" s="56"/>
      <c r="I79" s="56" t="s">
        <v>758</v>
      </c>
    </row>
    <row r="80" spans="1:9" x14ac:dyDescent="0.25">
      <c r="A80" s="56" t="s">
        <v>368</v>
      </c>
      <c r="B80" s="56" t="s">
        <v>367</v>
      </c>
      <c r="C80" s="56" t="s">
        <v>366</v>
      </c>
      <c r="D80" s="57">
        <v>46450</v>
      </c>
      <c r="E80" s="57">
        <v>46512</v>
      </c>
      <c r="F80" s="56" t="s">
        <v>744</v>
      </c>
      <c r="G80" s="59" t="s">
        <v>757</v>
      </c>
      <c r="H80" s="56"/>
      <c r="I80" s="56" t="s">
        <v>758</v>
      </c>
    </row>
    <row r="81" spans="1:9" x14ac:dyDescent="0.25">
      <c r="A81" s="56" t="s">
        <v>372</v>
      </c>
      <c r="B81" s="56" t="s">
        <v>317</v>
      </c>
      <c r="C81" s="56" t="s">
        <v>371</v>
      </c>
      <c r="D81" s="57">
        <v>46363</v>
      </c>
      <c r="E81" s="57">
        <v>46388</v>
      </c>
      <c r="F81" s="56" t="s">
        <v>744</v>
      </c>
      <c r="G81" s="59" t="s">
        <v>757</v>
      </c>
      <c r="H81" s="56"/>
      <c r="I81" s="56" t="s">
        <v>758</v>
      </c>
    </row>
    <row r="82" spans="1:9" x14ac:dyDescent="0.25">
      <c r="A82" s="56" t="s">
        <v>374</v>
      </c>
      <c r="B82" s="56" t="s">
        <v>320</v>
      </c>
      <c r="C82" s="56" t="s">
        <v>373</v>
      </c>
      <c r="D82" s="57">
        <v>46391</v>
      </c>
      <c r="E82" s="57">
        <v>46416</v>
      </c>
      <c r="F82" s="56" t="s">
        <v>744</v>
      </c>
      <c r="G82" s="59" t="s">
        <v>757</v>
      </c>
      <c r="H82" s="56"/>
      <c r="I82" s="56" t="s">
        <v>758</v>
      </c>
    </row>
    <row r="83" spans="1:9" x14ac:dyDescent="0.25">
      <c r="A83" s="56" t="s">
        <v>376</v>
      </c>
      <c r="B83" s="56" t="s">
        <v>323</v>
      </c>
      <c r="C83" s="56" t="s">
        <v>375</v>
      </c>
      <c r="D83" s="57">
        <v>46311</v>
      </c>
      <c r="E83" s="57">
        <v>46331</v>
      </c>
      <c r="F83" s="56" t="s">
        <v>744</v>
      </c>
      <c r="G83" s="59" t="s">
        <v>757</v>
      </c>
      <c r="H83" s="56"/>
      <c r="I83" s="56" t="s">
        <v>758</v>
      </c>
    </row>
    <row r="84" spans="1:9" x14ac:dyDescent="0.25">
      <c r="A84" s="56" t="s">
        <v>379</v>
      </c>
      <c r="B84" s="56" t="s">
        <v>331</v>
      </c>
      <c r="C84" s="56" t="s">
        <v>378</v>
      </c>
      <c r="D84" s="57">
        <v>46419</v>
      </c>
      <c r="E84" s="57">
        <v>46430</v>
      </c>
      <c r="F84" s="56" t="s">
        <v>744</v>
      </c>
      <c r="G84" s="59" t="s">
        <v>757</v>
      </c>
      <c r="H84" s="56"/>
      <c r="I84" s="56" t="s">
        <v>758</v>
      </c>
    </row>
    <row r="85" spans="1:9" x14ac:dyDescent="0.25">
      <c r="A85" s="56" t="s">
        <v>381</v>
      </c>
      <c r="B85" s="56" t="s">
        <v>334</v>
      </c>
      <c r="C85" s="56" t="s">
        <v>380</v>
      </c>
      <c r="D85" s="57">
        <v>46332</v>
      </c>
      <c r="E85" s="57">
        <v>46352</v>
      </c>
      <c r="F85" s="56" t="s">
        <v>744</v>
      </c>
      <c r="G85" s="59" t="s">
        <v>757</v>
      </c>
      <c r="H85" s="56"/>
      <c r="I85" s="56" t="s">
        <v>758</v>
      </c>
    </row>
    <row r="86" spans="1:9" x14ac:dyDescent="0.25">
      <c r="A86" s="56" t="s">
        <v>384</v>
      </c>
      <c r="B86" s="56" t="s">
        <v>383</v>
      </c>
      <c r="C86" s="56" t="s">
        <v>382</v>
      </c>
      <c r="D86" s="57">
        <v>46457</v>
      </c>
      <c r="E86" s="57">
        <v>46477</v>
      </c>
      <c r="F86" s="56" t="s">
        <v>744</v>
      </c>
      <c r="G86" s="59" t="s">
        <v>757</v>
      </c>
      <c r="H86" s="56"/>
      <c r="I86" s="56" t="s">
        <v>758</v>
      </c>
    </row>
    <row r="87" spans="1:9" x14ac:dyDescent="0.25">
      <c r="A87" s="56" t="s">
        <v>389</v>
      </c>
      <c r="B87" s="56" t="s">
        <v>388</v>
      </c>
      <c r="C87" s="56" t="s">
        <v>387</v>
      </c>
      <c r="D87" s="57">
        <v>46506</v>
      </c>
      <c r="E87" s="57">
        <v>46519</v>
      </c>
      <c r="F87" s="56" t="s">
        <v>744</v>
      </c>
      <c r="G87" s="59" t="s">
        <v>757</v>
      </c>
      <c r="H87" s="56"/>
      <c r="I87" s="56" t="s">
        <v>758</v>
      </c>
    </row>
    <row r="88" spans="1:9" x14ac:dyDescent="0.25">
      <c r="A88" s="56" t="s">
        <v>391</v>
      </c>
      <c r="B88" s="56" t="s">
        <v>348</v>
      </c>
      <c r="C88" s="56" t="s">
        <v>390</v>
      </c>
      <c r="D88" s="57">
        <v>46433</v>
      </c>
      <c r="E88" s="57">
        <v>46451</v>
      </c>
      <c r="F88" s="56" t="s">
        <v>744</v>
      </c>
      <c r="G88" s="59" t="s">
        <v>757</v>
      </c>
      <c r="H88" s="56"/>
      <c r="I88" s="56" t="s">
        <v>758</v>
      </c>
    </row>
    <row r="89" spans="1:9" x14ac:dyDescent="0.25">
      <c r="A89" s="56" t="s">
        <v>394</v>
      </c>
      <c r="B89" s="56" t="s">
        <v>353</v>
      </c>
      <c r="C89" s="56" t="s">
        <v>393</v>
      </c>
      <c r="D89" s="57">
        <v>46429</v>
      </c>
      <c r="E89" s="57">
        <v>46456</v>
      </c>
      <c r="F89" s="56" t="s">
        <v>744</v>
      </c>
      <c r="G89" s="59" t="s">
        <v>757</v>
      </c>
      <c r="H89" s="56"/>
      <c r="I89" s="56" t="s">
        <v>758</v>
      </c>
    </row>
    <row r="90" spans="1:9" x14ac:dyDescent="0.25">
      <c r="A90" s="56" t="s">
        <v>397</v>
      </c>
      <c r="B90" s="56" t="s">
        <v>358</v>
      </c>
      <c r="C90" s="56" t="s">
        <v>396</v>
      </c>
      <c r="D90" s="57">
        <v>46353</v>
      </c>
      <c r="E90" s="57">
        <v>46422</v>
      </c>
      <c r="F90" s="56" t="s">
        <v>750</v>
      </c>
      <c r="G90" s="58" t="s">
        <v>751</v>
      </c>
      <c r="H90" s="56" t="s">
        <v>768</v>
      </c>
      <c r="I90" s="56" t="s">
        <v>762</v>
      </c>
    </row>
    <row r="91" spans="1:9" x14ac:dyDescent="0.25">
      <c r="A91" s="56" t="s">
        <v>399</v>
      </c>
      <c r="B91" s="56" t="s">
        <v>361</v>
      </c>
      <c r="C91" s="56" t="s">
        <v>398</v>
      </c>
      <c r="D91" s="57">
        <v>46423</v>
      </c>
      <c r="E91" s="57">
        <v>46464</v>
      </c>
      <c r="F91" s="56" t="s">
        <v>744</v>
      </c>
      <c r="G91" s="59" t="s">
        <v>757</v>
      </c>
      <c r="H91" s="56"/>
      <c r="I91" s="56" t="s">
        <v>758</v>
      </c>
    </row>
    <row r="92" spans="1:9" x14ac:dyDescent="0.25">
      <c r="A92" s="56" t="s">
        <v>403</v>
      </c>
      <c r="B92" s="56" t="s">
        <v>317</v>
      </c>
      <c r="C92" s="56" t="s">
        <v>402</v>
      </c>
      <c r="D92" s="57">
        <v>46391</v>
      </c>
      <c r="E92" s="57">
        <v>46416</v>
      </c>
      <c r="F92" s="56" t="s">
        <v>744</v>
      </c>
      <c r="G92" s="59" t="s">
        <v>757</v>
      </c>
      <c r="H92" s="56"/>
      <c r="I92" s="56" t="s">
        <v>758</v>
      </c>
    </row>
    <row r="93" spans="1:9" x14ac:dyDescent="0.25">
      <c r="A93" s="56" t="s">
        <v>405</v>
      </c>
      <c r="B93" s="56" t="s">
        <v>320</v>
      </c>
      <c r="C93" s="56" t="s">
        <v>404</v>
      </c>
      <c r="D93" s="57">
        <v>46419</v>
      </c>
      <c r="E93" s="57">
        <v>46444</v>
      </c>
      <c r="F93" s="56" t="s">
        <v>744</v>
      </c>
      <c r="G93" s="59" t="s">
        <v>757</v>
      </c>
      <c r="H93" s="56"/>
      <c r="I93" s="56" t="s">
        <v>758</v>
      </c>
    </row>
    <row r="94" spans="1:9" x14ac:dyDescent="0.25">
      <c r="A94" s="56" t="s">
        <v>407</v>
      </c>
      <c r="B94" s="56" t="s">
        <v>323</v>
      </c>
      <c r="C94" s="56" t="s">
        <v>406</v>
      </c>
      <c r="D94" s="57">
        <v>46353</v>
      </c>
      <c r="E94" s="57">
        <v>46373</v>
      </c>
      <c r="F94" s="56" t="s">
        <v>744</v>
      </c>
      <c r="G94" s="59" t="s">
        <v>757</v>
      </c>
      <c r="H94" s="56"/>
      <c r="I94" s="56" t="s">
        <v>758</v>
      </c>
    </row>
    <row r="95" spans="1:9" x14ac:dyDescent="0.25">
      <c r="A95" s="56" t="s">
        <v>410</v>
      </c>
      <c r="B95" s="56" t="s">
        <v>331</v>
      </c>
      <c r="C95" s="56" t="s">
        <v>409</v>
      </c>
      <c r="D95" s="57">
        <v>46447</v>
      </c>
      <c r="E95" s="57">
        <v>46458</v>
      </c>
      <c r="F95" s="56" t="s">
        <v>744</v>
      </c>
      <c r="G95" s="59" t="s">
        <v>757</v>
      </c>
      <c r="H95" s="56"/>
      <c r="I95" s="56" t="s">
        <v>758</v>
      </c>
    </row>
    <row r="96" spans="1:9" x14ac:dyDescent="0.25">
      <c r="A96" s="56" t="s">
        <v>412</v>
      </c>
      <c r="B96" s="56" t="s">
        <v>334</v>
      </c>
      <c r="C96" s="56" t="s">
        <v>411</v>
      </c>
      <c r="D96" s="57">
        <v>46374</v>
      </c>
      <c r="E96" s="57">
        <v>46394</v>
      </c>
      <c r="F96" s="56" t="s">
        <v>744</v>
      </c>
      <c r="G96" s="59" t="s">
        <v>757</v>
      </c>
      <c r="H96" s="56"/>
      <c r="I96" s="56" t="s">
        <v>758</v>
      </c>
    </row>
    <row r="97" spans="1:9" x14ac:dyDescent="0.25">
      <c r="A97" s="56" t="s">
        <v>415</v>
      </c>
      <c r="B97" s="56" t="s">
        <v>345</v>
      </c>
      <c r="C97" s="56" t="s">
        <v>414</v>
      </c>
      <c r="D97" s="57">
        <v>46500</v>
      </c>
      <c r="E97" s="57">
        <v>46520</v>
      </c>
      <c r="F97" s="56" t="s">
        <v>744</v>
      </c>
      <c r="G97" s="59" t="s">
        <v>757</v>
      </c>
      <c r="H97" s="56"/>
      <c r="I97" s="56" t="s">
        <v>758</v>
      </c>
    </row>
    <row r="98" spans="1:9" x14ac:dyDescent="0.25">
      <c r="A98" s="56" t="s">
        <v>418</v>
      </c>
      <c r="B98" s="56" t="s">
        <v>417</v>
      </c>
      <c r="C98" s="56" t="s">
        <v>416</v>
      </c>
      <c r="D98" s="57">
        <v>46395</v>
      </c>
      <c r="E98" s="57">
        <v>46415</v>
      </c>
      <c r="F98" s="56" t="s">
        <v>744</v>
      </c>
      <c r="G98" s="59" t="s">
        <v>757</v>
      </c>
      <c r="H98" s="56"/>
      <c r="I98" s="56" t="s">
        <v>758</v>
      </c>
    </row>
    <row r="99" spans="1:9" x14ac:dyDescent="0.25">
      <c r="A99" s="56" t="s">
        <v>420</v>
      </c>
      <c r="B99" s="56" t="s">
        <v>388</v>
      </c>
      <c r="C99" s="56" t="s">
        <v>419</v>
      </c>
      <c r="D99" s="57">
        <v>46500</v>
      </c>
      <c r="E99" s="57">
        <v>46513</v>
      </c>
      <c r="F99" s="56" t="s">
        <v>744</v>
      </c>
      <c r="G99" s="59" t="s">
        <v>757</v>
      </c>
      <c r="H99" s="56"/>
      <c r="I99" s="56" t="s">
        <v>758</v>
      </c>
    </row>
    <row r="100" spans="1:9" x14ac:dyDescent="0.25">
      <c r="A100" s="56" t="s">
        <v>422</v>
      </c>
      <c r="B100" s="56" t="s">
        <v>348</v>
      </c>
      <c r="C100" s="56" t="s">
        <v>421</v>
      </c>
      <c r="D100" s="57">
        <v>46461</v>
      </c>
      <c r="E100" s="57">
        <v>46479</v>
      </c>
      <c r="F100" s="56" t="s">
        <v>744</v>
      </c>
      <c r="G100" s="59" t="s">
        <v>757</v>
      </c>
      <c r="H100" s="56"/>
      <c r="I100" s="56" t="s">
        <v>758</v>
      </c>
    </row>
    <row r="101" spans="1:9" x14ac:dyDescent="0.25">
      <c r="A101" s="56" t="s">
        <v>425</v>
      </c>
      <c r="B101" s="56" t="s">
        <v>353</v>
      </c>
      <c r="C101" s="56" t="s">
        <v>424</v>
      </c>
      <c r="D101" s="57">
        <v>46416</v>
      </c>
      <c r="E101" s="57">
        <v>46443</v>
      </c>
      <c r="F101" s="56" t="s">
        <v>744</v>
      </c>
      <c r="G101" s="59" t="s">
        <v>757</v>
      </c>
      <c r="H101" s="56"/>
      <c r="I101" s="56" t="s">
        <v>758</v>
      </c>
    </row>
    <row r="102" spans="1:9" x14ac:dyDescent="0.25">
      <c r="A102" s="56" t="s">
        <v>428</v>
      </c>
      <c r="B102" s="56" t="s">
        <v>358</v>
      </c>
      <c r="C102" s="56" t="s">
        <v>427</v>
      </c>
      <c r="D102" s="57">
        <v>46395</v>
      </c>
      <c r="E102" s="57">
        <v>46464</v>
      </c>
      <c r="F102" s="56" t="s">
        <v>750</v>
      </c>
      <c r="G102" s="58" t="s">
        <v>751</v>
      </c>
      <c r="H102" s="56" t="s">
        <v>768</v>
      </c>
      <c r="I102" s="56" t="s">
        <v>762</v>
      </c>
    </row>
    <row r="103" spans="1:9" x14ac:dyDescent="0.25">
      <c r="A103" s="56" t="s">
        <v>430</v>
      </c>
      <c r="B103" s="56" t="s">
        <v>361</v>
      </c>
      <c r="C103" s="56" t="s">
        <v>429</v>
      </c>
      <c r="D103" s="57">
        <v>46465</v>
      </c>
      <c r="E103" s="57">
        <v>46520</v>
      </c>
      <c r="F103" s="56" t="s">
        <v>744</v>
      </c>
      <c r="G103" s="59" t="s">
        <v>757</v>
      </c>
      <c r="H103" s="56"/>
      <c r="I103" s="56" t="s">
        <v>758</v>
      </c>
    </row>
    <row r="104" spans="1:9" x14ac:dyDescent="0.25">
      <c r="A104" s="56" t="s">
        <v>434</v>
      </c>
      <c r="B104" s="56" t="s">
        <v>317</v>
      </c>
      <c r="C104" s="56" t="s">
        <v>433</v>
      </c>
      <c r="D104" s="57">
        <v>46419</v>
      </c>
      <c r="E104" s="57">
        <v>46444</v>
      </c>
      <c r="F104" s="56" t="s">
        <v>744</v>
      </c>
      <c r="G104" s="59" t="s">
        <v>757</v>
      </c>
      <c r="H104" s="56"/>
      <c r="I104" s="56" t="s">
        <v>758</v>
      </c>
    </row>
    <row r="105" spans="1:9" x14ac:dyDescent="0.25">
      <c r="A105" s="56" t="s">
        <v>436</v>
      </c>
      <c r="B105" s="56" t="s">
        <v>320</v>
      </c>
      <c r="C105" s="56" t="s">
        <v>435</v>
      </c>
      <c r="D105" s="57">
        <v>46447</v>
      </c>
      <c r="E105" s="57">
        <v>46472</v>
      </c>
      <c r="F105" s="56" t="s">
        <v>744</v>
      </c>
      <c r="G105" s="59" t="s">
        <v>757</v>
      </c>
      <c r="H105" s="56"/>
      <c r="I105" s="56" t="s">
        <v>758</v>
      </c>
    </row>
    <row r="106" spans="1:9" x14ac:dyDescent="0.25">
      <c r="A106" s="56" t="s">
        <v>438</v>
      </c>
      <c r="B106" s="56" t="s">
        <v>323</v>
      </c>
      <c r="C106" s="56" t="s">
        <v>437</v>
      </c>
      <c r="D106" s="57">
        <v>46395</v>
      </c>
      <c r="E106" s="57">
        <v>46415</v>
      </c>
      <c r="F106" s="56" t="s">
        <v>744</v>
      </c>
      <c r="G106" s="59" t="s">
        <v>757</v>
      </c>
      <c r="H106" s="56"/>
      <c r="I106" s="56" t="s">
        <v>758</v>
      </c>
    </row>
    <row r="107" spans="1:9" x14ac:dyDescent="0.25">
      <c r="A107" s="56" t="s">
        <v>441</v>
      </c>
      <c r="B107" s="56" t="s">
        <v>331</v>
      </c>
      <c r="C107" s="56" t="s">
        <v>440</v>
      </c>
      <c r="D107" s="57">
        <v>46475</v>
      </c>
      <c r="E107" s="57">
        <v>46486</v>
      </c>
      <c r="F107" s="56" t="s">
        <v>744</v>
      </c>
      <c r="G107" s="59" t="s">
        <v>757</v>
      </c>
      <c r="H107" s="56"/>
      <c r="I107" s="56" t="s">
        <v>758</v>
      </c>
    </row>
    <row r="108" spans="1:9" x14ac:dyDescent="0.25">
      <c r="A108" s="56" t="s">
        <v>443</v>
      </c>
      <c r="B108" s="56" t="s">
        <v>334</v>
      </c>
      <c r="C108" s="56" t="s">
        <v>442</v>
      </c>
      <c r="D108" s="57">
        <v>46416</v>
      </c>
      <c r="E108" s="57">
        <v>46436</v>
      </c>
      <c r="F108" s="56" t="s">
        <v>744</v>
      </c>
      <c r="G108" s="59" t="s">
        <v>757</v>
      </c>
      <c r="H108" s="56"/>
      <c r="I108" s="56" t="s">
        <v>758</v>
      </c>
    </row>
    <row r="109" spans="1:9" x14ac:dyDescent="0.25">
      <c r="A109" s="56" t="s">
        <v>446</v>
      </c>
      <c r="B109" s="56" t="s">
        <v>417</v>
      </c>
      <c r="C109" s="56" t="s">
        <v>445</v>
      </c>
      <c r="D109" s="57">
        <v>46437</v>
      </c>
      <c r="E109" s="57">
        <v>46457</v>
      </c>
      <c r="F109" s="56" t="s">
        <v>744</v>
      </c>
      <c r="G109" s="59" t="s">
        <v>757</v>
      </c>
      <c r="H109" s="56"/>
      <c r="I109" s="56" t="s">
        <v>758</v>
      </c>
    </row>
    <row r="110" spans="1:9" x14ac:dyDescent="0.25">
      <c r="A110" s="56" t="s">
        <v>448</v>
      </c>
      <c r="B110" s="56" t="s">
        <v>388</v>
      </c>
      <c r="C110" s="56" t="s">
        <v>447</v>
      </c>
      <c r="D110" s="57">
        <v>46528</v>
      </c>
      <c r="E110" s="57">
        <v>46538</v>
      </c>
      <c r="F110" s="56" t="s">
        <v>744</v>
      </c>
      <c r="G110" s="59" t="s">
        <v>757</v>
      </c>
      <c r="H110" s="56"/>
      <c r="I110" s="56" t="s">
        <v>758</v>
      </c>
    </row>
    <row r="111" spans="1:9" x14ac:dyDescent="0.25">
      <c r="A111" s="56" t="s">
        <v>450</v>
      </c>
      <c r="B111" s="56" t="s">
        <v>345</v>
      </c>
      <c r="C111" s="56" t="s">
        <v>449</v>
      </c>
      <c r="D111" s="57">
        <v>46525</v>
      </c>
      <c r="E111" s="57">
        <v>46538</v>
      </c>
      <c r="F111" s="56" t="s">
        <v>744</v>
      </c>
      <c r="G111" s="59" t="s">
        <v>757</v>
      </c>
      <c r="H111" s="56"/>
      <c r="I111" s="56" t="s">
        <v>758</v>
      </c>
    </row>
    <row r="112" spans="1:9" x14ac:dyDescent="0.25">
      <c r="A112" s="56" t="s">
        <v>452</v>
      </c>
      <c r="B112" s="56" t="s">
        <v>348</v>
      </c>
      <c r="C112" s="56" t="s">
        <v>451</v>
      </c>
      <c r="D112" s="57">
        <v>46489</v>
      </c>
      <c r="E112" s="57">
        <v>46507</v>
      </c>
      <c r="F112" s="56" t="s">
        <v>744</v>
      </c>
      <c r="G112" s="59" t="s">
        <v>757</v>
      </c>
      <c r="H112" s="56"/>
      <c r="I112" s="56" t="s">
        <v>758</v>
      </c>
    </row>
    <row r="113" spans="1:9" x14ac:dyDescent="0.25">
      <c r="A113" s="56" t="s">
        <v>455</v>
      </c>
      <c r="B113" s="56" t="s">
        <v>353</v>
      </c>
      <c r="C113" s="56" t="s">
        <v>454</v>
      </c>
      <c r="D113" s="57">
        <v>46458</v>
      </c>
      <c r="E113" s="57">
        <v>46485</v>
      </c>
      <c r="F113" s="56" t="s">
        <v>744</v>
      </c>
      <c r="G113" s="59" t="s">
        <v>757</v>
      </c>
      <c r="H113" s="56"/>
      <c r="I113" s="56" t="s">
        <v>758</v>
      </c>
    </row>
    <row r="114" spans="1:9" x14ac:dyDescent="0.25">
      <c r="A114" s="56" t="s">
        <v>458</v>
      </c>
      <c r="B114" s="56" t="s">
        <v>358</v>
      </c>
      <c r="C114" s="56" t="s">
        <v>457</v>
      </c>
      <c r="D114" s="57">
        <v>46416</v>
      </c>
      <c r="E114" s="57">
        <v>46485</v>
      </c>
      <c r="F114" s="56" t="s">
        <v>750</v>
      </c>
      <c r="G114" s="58" t="s">
        <v>751</v>
      </c>
      <c r="H114" s="56" t="s">
        <v>768</v>
      </c>
      <c r="I114" s="56" t="s">
        <v>762</v>
      </c>
    </row>
    <row r="115" spans="1:9" x14ac:dyDescent="0.25">
      <c r="A115" s="56" t="s">
        <v>460</v>
      </c>
      <c r="B115" s="56" t="s">
        <v>361</v>
      </c>
      <c r="C115" s="56" t="s">
        <v>459</v>
      </c>
      <c r="D115" s="57">
        <v>46479</v>
      </c>
      <c r="E115" s="57">
        <v>46520</v>
      </c>
      <c r="F115" s="56" t="s">
        <v>744</v>
      </c>
      <c r="G115" s="59" t="s">
        <v>757</v>
      </c>
      <c r="H115" s="56"/>
      <c r="I115" s="56" t="s">
        <v>758</v>
      </c>
    </row>
    <row r="116" spans="1:9" x14ac:dyDescent="0.25">
      <c r="A116" s="56" t="s">
        <v>463</v>
      </c>
      <c r="B116" s="56" t="s">
        <v>462</v>
      </c>
      <c r="C116" s="56" t="s">
        <v>461</v>
      </c>
      <c r="D116" s="57">
        <v>46482</v>
      </c>
      <c r="E116" s="57">
        <v>46521</v>
      </c>
      <c r="F116" s="56" t="s">
        <v>744</v>
      </c>
      <c r="G116" s="59" t="s">
        <v>757</v>
      </c>
      <c r="H116" s="56"/>
      <c r="I116" s="56" t="s">
        <v>758</v>
      </c>
    </row>
    <row r="117" spans="1:9" x14ac:dyDescent="0.25">
      <c r="A117" s="56" t="s">
        <v>468</v>
      </c>
      <c r="B117" s="56" t="s">
        <v>317</v>
      </c>
      <c r="C117" s="56" t="s">
        <v>467</v>
      </c>
      <c r="D117" s="57">
        <v>46447</v>
      </c>
      <c r="E117" s="57">
        <v>46458</v>
      </c>
      <c r="F117" s="56" t="s">
        <v>744</v>
      </c>
      <c r="G117" s="59" t="s">
        <v>757</v>
      </c>
      <c r="H117" s="56"/>
      <c r="I117" s="56" t="s">
        <v>758</v>
      </c>
    </row>
    <row r="118" spans="1:9" x14ac:dyDescent="0.25">
      <c r="A118" s="56" t="s">
        <v>470</v>
      </c>
      <c r="B118" s="56" t="s">
        <v>323</v>
      </c>
      <c r="C118" s="56" t="s">
        <v>469</v>
      </c>
      <c r="D118" s="57">
        <v>46437</v>
      </c>
      <c r="E118" s="57">
        <v>46450</v>
      </c>
      <c r="F118" s="56" t="s">
        <v>744</v>
      </c>
      <c r="G118" s="59" t="s">
        <v>757</v>
      </c>
      <c r="H118" s="56"/>
      <c r="I118" s="56" t="s">
        <v>758</v>
      </c>
    </row>
    <row r="119" spans="1:9" x14ac:dyDescent="0.25">
      <c r="A119" s="56" t="s">
        <v>474</v>
      </c>
      <c r="B119" s="56" t="s">
        <v>473</v>
      </c>
      <c r="C119" s="56" t="s">
        <v>472</v>
      </c>
      <c r="D119" s="57">
        <v>46461</v>
      </c>
      <c r="E119" s="57">
        <v>46472</v>
      </c>
      <c r="F119" s="56" t="s">
        <v>744</v>
      </c>
      <c r="G119" s="59" t="s">
        <v>757</v>
      </c>
      <c r="H119" s="56"/>
      <c r="I119" s="56" t="s">
        <v>758</v>
      </c>
    </row>
    <row r="120" spans="1:9" x14ac:dyDescent="0.25">
      <c r="A120" s="56" t="s">
        <v>476</v>
      </c>
      <c r="B120" s="56" t="s">
        <v>334</v>
      </c>
      <c r="C120" s="56" t="s">
        <v>475</v>
      </c>
      <c r="D120" s="57">
        <v>46451</v>
      </c>
      <c r="E120" s="57">
        <v>46464</v>
      </c>
      <c r="F120" s="56" t="s">
        <v>744</v>
      </c>
      <c r="G120" s="59" t="s">
        <v>757</v>
      </c>
      <c r="H120" s="56"/>
      <c r="I120" s="56" t="s">
        <v>758</v>
      </c>
    </row>
    <row r="121" spans="1:9" x14ac:dyDescent="0.25">
      <c r="A121" s="56" t="s">
        <v>479</v>
      </c>
      <c r="B121" s="56" t="s">
        <v>417</v>
      </c>
      <c r="C121" s="56" t="s">
        <v>478</v>
      </c>
      <c r="D121" s="57">
        <v>46465</v>
      </c>
      <c r="E121" s="57">
        <v>46478</v>
      </c>
      <c r="F121" s="56" t="s">
        <v>744</v>
      </c>
      <c r="G121" s="59" t="s">
        <v>757</v>
      </c>
      <c r="H121" s="56"/>
      <c r="I121" s="56" t="s">
        <v>758</v>
      </c>
    </row>
    <row r="122" spans="1:9" x14ac:dyDescent="0.25">
      <c r="A122" s="56" t="s">
        <v>481</v>
      </c>
      <c r="B122" s="56" t="s">
        <v>388</v>
      </c>
      <c r="C122" s="56" t="s">
        <v>480</v>
      </c>
      <c r="D122" s="57">
        <v>46514</v>
      </c>
      <c r="E122" s="57">
        <v>46527</v>
      </c>
      <c r="F122" s="56" t="s">
        <v>744</v>
      </c>
      <c r="G122" s="59" t="s">
        <v>757</v>
      </c>
      <c r="H122" s="56"/>
      <c r="I122" s="56" t="s">
        <v>758</v>
      </c>
    </row>
    <row r="123" spans="1:9" x14ac:dyDescent="0.25">
      <c r="A123" s="56" t="s">
        <v>483</v>
      </c>
      <c r="B123" s="56" t="s">
        <v>345</v>
      </c>
      <c r="C123" s="56" t="s">
        <v>482</v>
      </c>
      <c r="D123" s="57">
        <v>46514</v>
      </c>
      <c r="E123" s="57">
        <v>46534</v>
      </c>
      <c r="F123" s="56" t="s">
        <v>744</v>
      </c>
      <c r="G123" s="59" t="s">
        <v>757</v>
      </c>
      <c r="H123" s="56"/>
      <c r="I123" s="56" t="s">
        <v>758</v>
      </c>
    </row>
    <row r="124" spans="1:9" x14ac:dyDescent="0.25">
      <c r="A124" s="56" t="s">
        <v>486</v>
      </c>
      <c r="B124" s="56" t="s">
        <v>353</v>
      </c>
      <c r="C124" s="56" t="s">
        <v>485</v>
      </c>
      <c r="D124" s="57">
        <v>46479</v>
      </c>
      <c r="E124" s="57">
        <v>46499</v>
      </c>
      <c r="F124" s="56" t="s">
        <v>744</v>
      </c>
      <c r="G124" s="59" t="s">
        <v>757</v>
      </c>
      <c r="H124" s="56"/>
      <c r="I124" s="56" t="s">
        <v>758</v>
      </c>
    </row>
    <row r="125" spans="1:9" x14ac:dyDescent="0.25">
      <c r="A125" s="56" t="s">
        <v>489</v>
      </c>
      <c r="B125" s="56" t="s">
        <v>358</v>
      </c>
      <c r="C125" s="56" t="s">
        <v>488</v>
      </c>
      <c r="D125" s="57">
        <v>46451</v>
      </c>
      <c r="E125" s="57">
        <v>46478</v>
      </c>
      <c r="F125" s="56" t="s">
        <v>750</v>
      </c>
      <c r="G125" s="58" t="s">
        <v>751</v>
      </c>
      <c r="H125" s="56" t="s">
        <v>768</v>
      </c>
      <c r="I125" s="56" t="s">
        <v>762</v>
      </c>
    </row>
    <row r="126" spans="1:9" x14ac:dyDescent="0.25">
      <c r="A126" s="56" t="s">
        <v>491</v>
      </c>
      <c r="B126" s="56" t="s">
        <v>361</v>
      </c>
      <c r="C126" s="56" t="s">
        <v>490</v>
      </c>
      <c r="D126" s="57">
        <v>46479</v>
      </c>
      <c r="E126" s="57">
        <v>46499</v>
      </c>
      <c r="F126" s="56" t="s">
        <v>744</v>
      </c>
      <c r="G126" s="59" t="s">
        <v>757</v>
      </c>
      <c r="H126" s="56"/>
      <c r="I126" s="56" t="s">
        <v>758</v>
      </c>
    </row>
    <row r="127" spans="1:9" x14ac:dyDescent="0.25">
      <c r="A127" s="56" t="s">
        <v>494</v>
      </c>
      <c r="B127" s="56" t="s">
        <v>493</v>
      </c>
      <c r="C127" s="56" t="s">
        <v>492</v>
      </c>
      <c r="D127" s="57">
        <v>46490</v>
      </c>
      <c r="E127" s="57">
        <v>46531</v>
      </c>
      <c r="F127" s="56" t="s">
        <v>744</v>
      </c>
      <c r="G127" s="59" t="s">
        <v>757</v>
      </c>
      <c r="H127" s="56"/>
      <c r="I127" s="56" t="s">
        <v>758</v>
      </c>
    </row>
    <row r="128" spans="1:9" x14ac:dyDescent="0.25">
      <c r="A128" s="56" t="s">
        <v>501</v>
      </c>
      <c r="B128" s="56" t="s">
        <v>500</v>
      </c>
      <c r="C128" s="56" t="s">
        <v>499</v>
      </c>
      <c r="D128" s="57">
        <v>46335</v>
      </c>
      <c r="E128" s="57">
        <v>46353</v>
      </c>
      <c r="F128" s="56" t="s">
        <v>744</v>
      </c>
      <c r="G128" s="59" t="s">
        <v>757</v>
      </c>
      <c r="H128" s="56"/>
      <c r="I128" s="56" t="s">
        <v>758</v>
      </c>
    </row>
    <row r="129" spans="1:9" x14ac:dyDescent="0.25">
      <c r="A129" s="56" t="s">
        <v>504</v>
      </c>
      <c r="B129" s="56" t="s">
        <v>503</v>
      </c>
      <c r="C129" s="56" t="s">
        <v>502</v>
      </c>
      <c r="D129" s="57">
        <v>46356</v>
      </c>
      <c r="E129" s="57">
        <v>46395</v>
      </c>
      <c r="F129" s="56" t="s">
        <v>744</v>
      </c>
      <c r="G129" s="59" t="s">
        <v>757</v>
      </c>
      <c r="H129" s="56"/>
      <c r="I129" s="56" t="s">
        <v>758</v>
      </c>
    </row>
    <row r="130" spans="1:9" x14ac:dyDescent="0.25">
      <c r="A130" s="56" t="s">
        <v>509</v>
      </c>
      <c r="B130" s="56" t="s">
        <v>508</v>
      </c>
      <c r="C130" s="56" t="s">
        <v>507</v>
      </c>
      <c r="D130" s="57">
        <v>46356</v>
      </c>
      <c r="E130" s="57">
        <v>46374</v>
      </c>
      <c r="F130" s="56" t="s">
        <v>744</v>
      </c>
      <c r="G130" s="59" t="s">
        <v>757</v>
      </c>
      <c r="H130" s="56"/>
      <c r="I130" s="56" t="s">
        <v>758</v>
      </c>
    </row>
    <row r="131" spans="1:9" x14ac:dyDescent="0.25">
      <c r="A131" s="56" t="s">
        <v>512</v>
      </c>
      <c r="B131" s="56" t="s">
        <v>511</v>
      </c>
      <c r="C131" s="56" t="s">
        <v>510</v>
      </c>
      <c r="D131" s="57">
        <v>46377</v>
      </c>
      <c r="E131" s="57">
        <v>46388</v>
      </c>
      <c r="F131" s="56" t="s">
        <v>744</v>
      </c>
      <c r="G131" s="59" t="s">
        <v>757</v>
      </c>
      <c r="H131" s="56"/>
      <c r="I131" s="56" t="s">
        <v>758</v>
      </c>
    </row>
    <row r="132" spans="1:9" x14ac:dyDescent="0.25">
      <c r="A132" s="56" t="s">
        <v>515</v>
      </c>
      <c r="B132" s="56" t="s">
        <v>514</v>
      </c>
      <c r="C132" s="56" t="s">
        <v>513</v>
      </c>
      <c r="D132" s="57">
        <v>46391</v>
      </c>
      <c r="E132" s="57">
        <v>46423</v>
      </c>
      <c r="F132" s="56" t="s">
        <v>744</v>
      </c>
      <c r="G132" s="59" t="s">
        <v>757</v>
      </c>
      <c r="H132" s="56"/>
      <c r="I132" s="56" t="s">
        <v>758</v>
      </c>
    </row>
    <row r="133" spans="1:9" x14ac:dyDescent="0.25">
      <c r="A133" s="56" t="s">
        <v>522</v>
      </c>
      <c r="B133" s="56" t="s">
        <v>521</v>
      </c>
      <c r="C133" s="56" t="s">
        <v>520</v>
      </c>
      <c r="D133" s="57">
        <v>46465</v>
      </c>
      <c r="E133" s="57">
        <v>46478</v>
      </c>
      <c r="F133" s="56" t="s">
        <v>744</v>
      </c>
      <c r="G133" s="59" t="s">
        <v>757</v>
      </c>
      <c r="H133" s="56"/>
      <c r="I133" s="56" t="s">
        <v>758</v>
      </c>
    </row>
    <row r="134" spans="1:9" x14ac:dyDescent="0.25">
      <c r="A134" s="56" t="s">
        <v>525</v>
      </c>
      <c r="B134" s="56" t="s">
        <v>524</v>
      </c>
      <c r="C134" s="56" t="s">
        <v>523</v>
      </c>
      <c r="D134" s="57">
        <v>46479</v>
      </c>
      <c r="E134" s="57">
        <v>46506</v>
      </c>
      <c r="F134" s="56" t="s">
        <v>744</v>
      </c>
      <c r="G134" s="59" t="s">
        <v>757</v>
      </c>
      <c r="H134" s="56"/>
      <c r="I134" s="56" t="s">
        <v>758</v>
      </c>
    </row>
    <row r="135" spans="1:9" x14ac:dyDescent="0.25">
      <c r="A135" s="56" t="s">
        <v>528</v>
      </c>
      <c r="B135" s="56" t="s">
        <v>527</v>
      </c>
      <c r="C135" s="56" t="s">
        <v>526</v>
      </c>
      <c r="D135" s="57">
        <v>46507</v>
      </c>
      <c r="E135" s="57">
        <v>46527</v>
      </c>
      <c r="F135" s="56" t="s">
        <v>744</v>
      </c>
      <c r="G135" s="59" t="s">
        <v>757</v>
      </c>
      <c r="H135" s="56"/>
      <c r="I135" s="56" t="s">
        <v>758</v>
      </c>
    </row>
    <row r="136" spans="1:9" x14ac:dyDescent="0.25">
      <c r="A136" s="56" t="s">
        <v>531</v>
      </c>
      <c r="B136" s="56" t="s">
        <v>530</v>
      </c>
      <c r="C136" s="56" t="s">
        <v>529</v>
      </c>
      <c r="D136" s="57">
        <v>46507</v>
      </c>
      <c r="E136" s="57">
        <v>46520</v>
      </c>
      <c r="F136" s="56" t="s">
        <v>744</v>
      </c>
      <c r="G136" s="59" t="s">
        <v>757</v>
      </c>
      <c r="H136" s="56"/>
      <c r="I136" s="56" t="s">
        <v>758</v>
      </c>
    </row>
    <row r="137" spans="1:9" x14ac:dyDescent="0.25">
      <c r="A137" s="56" t="s">
        <v>535</v>
      </c>
      <c r="B137" s="56" t="s">
        <v>521</v>
      </c>
      <c r="C137" s="56" t="s">
        <v>534</v>
      </c>
      <c r="D137" s="57">
        <v>46476</v>
      </c>
      <c r="E137" s="57">
        <v>46503</v>
      </c>
      <c r="F137" s="56" t="s">
        <v>744</v>
      </c>
      <c r="G137" s="59" t="s">
        <v>757</v>
      </c>
      <c r="H137" s="56"/>
      <c r="I137" s="56" t="s">
        <v>758</v>
      </c>
    </row>
    <row r="138" spans="1:9" x14ac:dyDescent="0.25">
      <c r="A138" s="56" t="s">
        <v>537</v>
      </c>
      <c r="B138" s="56" t="s">
        <v>530</v>
      </c>
      <c r="C138" s="56" t="s">
        <v>536</v>
      </c>
      <c r="D138" s="57">
        <v>46504</v>
      </c>
      <c r="E138" s="57">
        <v>46517</v>
      </c>
      <c r="F138" s="56" t="s">
        <v>744</v>
      </c>
      <c r="G138" s="59" t="s">
        <v>757</v>
      </c>
      <c r="H138" s="56"/>
      <c r="I138" s="56" t="s">
        <v>758</v>
      </c>
    </row>
    <row r="139" spans="1:9" x14ac:dyDescent="0.25">
      <c r="A139" s="56" t="s">
        <v>541</v>
      </c>
      <c r="B139" s="56" t="s">
        <v>521</v>
      </c>
      <c r="C139" s="56" t="s">
        <v>540</v>
      </c>
      <c r="D139" s="57">
        <v>46504</v>
      </c>
      <c r="E139" s="57">
        <v>46517</v>
      </c>
      <c r="F139" s="56" t="s">
        <v>744</v>
      </c>
      <c r="G139" s="59" t="s">
        <v>757</v>
      </c>
      <c r="H139" s="56"/>
      <c r="I139" s="56" t="s">
        <v>758</v>
      </c>
    </row>
    <row r="140" spans="1:9" x14ac:dyDescent="0.25">
      <c r="A140" s="56" t="s">
        <v>543</v>
      </c>
      <c r="B140" s="56" t="s">
        <v>524</v>
      </c>
      <c r="C140" s="56" t="s">
        <v>542</v>
      </c>
      <c r="D140" s="57">
        <v>46518</v>
      </c>
      <c r="E140" s="57">
        <v>46531</v>
      </c>
      <c r="F140" s="56" t="s">
        <v>744</v>
      </c>
      <c r="G140" s="59" t="s">
        <v>757</v>
      </c>
      <c r="H140" s="56"/>
      <c r="I140" s="56" t="s">
        <v>758</v>
      </c>
    </row>
    <row r="141" spans="1:9" x14ac:dyDescent="0.25">
      <c r="A141" s="56" t="s">
        <v>545</v>
      </c>
      <c r="B141" s="56" t="s">
        <v>530</v>
      </c>
      <c r="C141" s="56" t="s">
        <v>544</v>
      </c>
      <c r="D141" s="57">
        <v>46532</v>
      </c>
      <c r="E141" s="57">
        <v>46538</v>
      </c>
      <c r="F141" s="56" t="s">
        <v>744</v>
      </c>
      <c r="G141" s="59" t="s">
        <v>757</v>
      </c>
      <c r="H141" s="56"/>
      <c r="I141" s="56" t="s">
        <v>758</v>
      </c>
    </row>
    <row r="142" spans="1:9" ht="30" x14ac:dyDescent="0.25">
      <c r="A142" s="56" t="s">
        <v>552</v>
      </c>
      <c r="B142" s="56" t="s">
        <v>551</v>
      </c>
      <c r="C142" s="56" t="s">
        <v>550</v>
      </c>
      <c r="D142" s="57">
        <v>46436</v>
      </c>
      <c r="E142" s="57">
        <v>46463</v>
      </c>
      <c r="F142" s="56" t="s">
        <v>744</v>
      </c>
      <c r="G142" s="59" t="s">
        <v>757</v>
      </c>
      <c r="H142" s="56"/>
      <c r="I142" s="56" t="s">
        <v>758</v>
      </c>
    </row>
    <row r="143" spans="1:9" x14ac:dyDescent="0.25">
      <c r="A143" s="56" t="s">
        <v>555</v>
      </c>
      <c r="B143" s="56" t="s">
        <v>554</v>
      </c>
      <c r="C143" s="56" t="s">
        <v>553</v>
      </c>
      <c r="D143" s="57">
        <v>46436</v>
      </c>
      <c r="E143" s="57">
        <v>46449</v>
      </c>
      <c r="F143" s="56" t="s">
        <v>744</v>
      </c>
      <c r="G143" s="59" t="s">
        <v>757</v>
      </c>
      <c r="H143" s="56"/>
      <c r="I143" s="56" t="s">
        <v>758</v>
      </c>
    </row>
    <row r="144" spans="1:9" x14ac:dyDescent="0.25">
      <c r="A144" s="56" t="s">
        <v>559</v>
      </c>
      <c r="B144" s="56" t="s">
        <v>554</v>
      </c>
      <c r="C144" s="56" t="s">
        <v>558</v>
      </c>
      <c r="D144" s="57">
        <v>46457</v>
      </c>
      <c r="E144" s="57">
        <v>46470</v>
      </c>
      <c r="F144" s="56" t="s">
        <v>744</v>
      </c>
      <c r="G144" s="59" t="s">
        <v>757</v>
      </c>
      <c r="H144" s="56"/>
      <c r="I144" s="56" t="s">
        <v>758</v>
      </c>
    </row>
    <row r="145" spans="1:9" ht="30" x14ac:dyDescent="0.25">
      <c r="A145" s="56" t="s">
        <v>562</v>
      </c>
      <c r="B145" s="56" t="s">
        <v>561</v>
      </c>
      <c r="C145" s="56" t="s">
        <v>560</v>
      </c>
      <c r="D145" s="57">
        <v>46457</v>
      </c>
      <c r="E145" s="57">
        <v>46484</v>
      </c>
      <c r="F145" s="56" t="s">
        <v>744</v>
      </c>
      <c r="G145" s="59" t="s">
        <v>757</v>
      </c>
      <c r="H145" s="56"/>
      <c r="I145" s="56" t="s">
        <v>758</v>
      </c>
    </row>
    <row r="146" spans="1:9" ht="30" x14ac:dyDescent="0.25">
      <c r="A146" s="56" t="s">
        <v>564</v>
      </c>
      <c r="B146" s="56" t="s">
        <v>551</v>
      </c>
      <c r="C146" s="56" t="s">
        <v>563</v>
      </c>
      <c r="D146" s="57">
        <v>46457</v>
      </c>
      <c r="E146" s="57">
        <v>46484</v>
      </c>
      <c r="F146" s="56" t="s">
        <v>744</v>
      </c>
      <c r="G146" s="59" t="s">
        <v>757</v>
      </c>
      <c r="H146" s="56"/>
      <c r="I146" s="56" t="s">
        <v>758</v>
      </c>
    </row>
    <row r="147" spans="1:9" ht="30" x14ac:dyDescent="0.25">
      <c r="A147" s="56" t="s">
        <v>568</v>
      </c>
      <c r="B147" s="56" t="s">
        <v>567</v>
      </c>
      <c r="C147" s="56" t="s">
        <v>566</v>
      </c>
      <c r="D147" s="57">
        <v>46485</v>
      </c>
      <c r="E147" s="57">
        <v>46505</v>
      </c>
      <c r="F147" s="56" t="s">
        <v>744</v>
      </c>
      <c r="G147" s="59" t="s">
        <v>757</v>
      </c>
      <c r="H147" s="56"/>
      <c r="I147" s="56" t="s">
        <v>758</v>
      </c>
    </row>
    <row r="148" spans="1:9" ht="30" x14ac:dyDescent="0.25">
      <c r="A148" s="56" t="s">
        <v>572</v>
      </c>
      <c r="B148" s="56" t="s">
        <v>561</v>
      </c>
      <c r="C148" s="56" t="s">
        <v>571</v>
      </c>
      <c r="D148" s="57">
        <v>46444</v>
      </c>
      <c r="E148" s="57">
        <v>46471</v>
      </c>
      <c r="F148" s="56" t="s">
        <v>744</v>
      </c>
      <c r="G148" s="59" t="s">
        <v>757</v>
      </c>
      <c r="H148" s="56"/>
      <c r="I148" s="56" t="s">
        <v>758</v>
      </c>
    </row>
    <row r="149" spans="1:9" ht="30" x14ac:dyDescent="0.25">
      <c r="A149" s="56" t="s">
        <v>575</v>
      </c>
      <c r="B149" s="56" t="s">
        <v>567</v>
      </c>
      <c r="C149" s="56" t="s">
        <v>574</v>
      </c>
      <c r="D149" s="57">
        <v>46472</v>
      </c>
      <c r="E149" s="57">
        <v>46499</v>
      </c>
      <c r="F149" s="56" t="s">
        <v>744</v>
      </c>
      <c r="G149" s="59" t="s">
        <v>757</v>
      </c>
      <c r="H149" s="56"/>
      <c r="I149" s="56" t="s">
        <v>758</v>
      </c>
    </row>
    <row r="150" spans="1:9" x14ac:dyDescent="0.25">
      <c r="A150" s="56" t="s">
        <v>578</v>
      </c>
      <c r="B150" s="56" t="s">
        <v>577</v>
      </c>
      <c r="C150" s="56" t="s">
        <v>576</v>
      </c>
      <c r="D150" s="57">
        <v>46472</v>
      </c>
      <c r="E150" s="57">
        <v>46499</v>
      </c>
      <c r="F150" s="56" t="s">
        <v>744</v>
      </c>
      <c r="G150" s="59" t="s">
        <v>757</v>
      </c>
      <c r="H150" s="56"/>
      <c r="I150" s="56" t="s">
        <v>758</v>
      </c>
    </row>
    <row r="151" spans="1:9" ht="30" x14ac:dyDescent="0.25">
      <c r="A151" s="56" t="s">
        <v>583</v>
      </c>
      <c r="B151" s="56" t="s">
        <v>582</v>
      </c>
      <c r="C151" s="56" t="s">
        <v>581</v>
      </c>
      <c r="D151" s="57">
        <v>46486</v>
      </c>
      <c r="E151" s="57">
        <v>46513</v>
      </c>
      <c r="F151" s="56" t="s">
        <v>744</v>
      </c>
      <c r="G151" s="59" t="s">
        <v>757</v>
      </c>
      <c r="H151" s="56"/>
      <c r="I151" s="56" t="s">
        <v>758</v>
      </c>
    </row>
    <row r="152" spans="1:9" ht="30" x14ac:dyDescent="0.25">
      <c r="A152" s="56" t="s">
        <v>587</v>
      </c>
      <c r="B152" s="56" t="s">
        <v>586</v>
      </c>
      <c r="C152" s="56" t="s">
        <v>585</v>
      </c>
      <c r="D152" s="57">
        <v>46511</v>
      </c>
      <c r="E152" s="57">
        <v>46538</v>
      </c>
      <c r="F152" s="56" t="s">
        <v>744</v>
      </c>
      <c r="G152" s="59" t="s">
        <v>757</v>
      </c>
      <c r="H152" s="56"/>
      <c r="I152" s="56" t="s">
        <v>758</v>
      </c>
    </row>
    <row r="153" spans="1:9" ht="30" x14ac:dyDescent="0.25">
      <c r="A153" s="56" t="s">
        <v>590</v>
      </c>
      <c r="B153" s="56" t="s">
        <v>589</v>
      </c>
      <c r="C153" s="56" t="s">
        <v>588</v>
      </c>
      <c r="D153" s="57">
        <v>46511</v>
      </c>
      <c r="E153" s="57">
        <v>46538</v>
      </c>
      <c r="F153" s="56" t="s">
        <v>744</v>
      </c>
      <c r="G153" s="59" t="s">
        <v>757</v>
      </c>
      <c r="H153" s="56"/>
      <c r="I153" s="56" t="s">
        <v>758</v>
      </c>
    </row>
    <row r="154" spans="1:9" x14ac:dyDescent="0.25">
      <c r="A154" s="56" t="s">
        <v>593</v>
      </c>
      <c r="B154" s="56" t="s">
        <v>592</v>
      </c>
      <c r="C154" s="56" t="s">
        <v>591</v>
      </c>
      <c r="D154" s="57">
        <v>46514</v>
      </c>
      <c r="E154" s="57">
        <v>46534</v>
      </c>
      <c r="F154" s="56" t="s">
        <v>744</v>
      </c>
      <c r="G154" s="59" t="s">
        <v>757</v>
      </c>
      <c r="H154" s="56"/>
      <c r="I154" s="56" t="s">
        <v>758</v>
      </c>
    </row>
    <row r="155" spans="1:9" x14ac:dyDescent="0.25">
      <c r="A155" s="56" t="s">
        <v>598</v>
      </c>
      <c r="B155" s="56" t="s">
        <v>597</v>
      </c>
      <c r="C155" s="56" t="s">
        <v>596</v>
      </c>
      <c r="D155" s="57">
        <v>46500</v>
      </c>
      <c r="E155" s="57">
        <v>46513</v>
      </c>
      <c r="F155" s="56" t="s">
        <v>744</v>
      </c>
      <c r="G155" s="59" t="s">
        <v>757</v>
      </c>
      <c r="H155" s="56"/>
      <c r="I155" s="56" t="s">
        <v>758</v>
      </c>
    </row>
    <row r="156" spans="1:9" x14ac:dyDescent="0.25">
      <c r="A156" s="56" t="s">
        <v>603</v>
      </c>
      <c r="B156" s="56" t="s">
        <v>602</v>
      </c>
      <c r="C156" s="56" t="s">
        <v>601</v>
      </c>
      <c r="D156" s="57">
        <v>46482</v>
      </c>
      <c r="E156" s="57">
        <v>46521</v>
      </c>
      <c r="F156" s="56" t="s">
        <v>744</v>
      </c>
      <c r="G156" s="59" t="s">
        <v>757</v>
      </c>
      <c r="H156" s="56"/>
      <c r="I156" s="56" t="s">
        <v>758</v>
      </c>
    </row>
    <row r="157" spans="1:9" x14ac:dyDescent="0.25">
      <c r="A157" s="56" t="s">
        <v>608</v>
      </c>
      <c r="B157" s="56" t="s">
        <v>607</v>
      </c>
      <c r="C157" s="56" t="s">
        <v>606</v>
      </c>
      <c r="D157" s="57">
        <v>46353</v>
      </c>
      <c r="E157" s="57">
        <v>46387</v>
      </c>
      <c r="F157" s="56" t="s">
        <v>744</v>
      </c>
      <c r="G157" s="59" t="s">
        <v>757</v>
      </c>
      <c r="H157" s="56"/>
      <c r="I157" s="56" t="s">
        <v>758</v>
      </c>
    </row>
    <row r="158" spans="1:9" x14ac:dyDescent="0.25">
      <c r="A158" s="56" t="s">
        <v>611</v>
      </c>
      <c r="B158" s="56" t="s">
        <v>610</v>
      </c>
      <c r="C158" s="56" t="s">
        <v>609</v>
      </c>
      <c r="D158" s="57">
        <v>46365</v>
      </c>
      <c r="E158" s="57">
        <v>46392</v>
      </c>
      <c r="F158" s="56" t="s">
        <v>744</v>
      </c>
      <c r="G158" s="59" t="s">
        <v>757</v>
      </c>
      <c r="H158" s="56"/>
      <c r="I158" s="56" t="s">
        <v>758</v>
      </c>
    </row>
    <row r="159" spans="1:9" ht="30" x14ac:dyDescent="0.25">
      <c r="A159" s="56" t="s">
        <v>614</v>
      </c>
      <c r="B159" s="56" t="s">
        <v>613</v>
      </c>
      <c r="C159" s="56" t="s">
        <v>612</v>
      </c>
      <c r="D159" s="57">
        <v>46332</v>
      </c>
      <c r="E159" s="57">
        <v>46359</v>
      </c>
      <c r="F159" s="56" t="s">
        <v>744</v>
      </c>
      <c r="G159" s="59" t="s">
        <v>757</v>
      </c>
      <c r="H159" s="56"/>
      <c r="I159" s="56" t="s">
        <v>758</v>
      </c>
    </row>
    <row r="160" spans="1:9" ht="30" x14ac:dyDescent="0.25">
      <c r="A160" s="56" t="s">
        <v>617</v>
      </c>
      <c r="B160" s="56" t="s">
        <v>616</v>
      </c>
      <c r="C160" s="56" t="s">
        <v>615</v>
      </c>
      <c r="D160" s="57">
        <v>46365</v>
      </c>
      <c r="E160" s="57">
        <v>46441</v>
      </c>
      <c r="F160" s="56" t="s">
        <v>744</v>
      </c>
      <c r="G160" s="59" t="s">
        <v>757</v>
      </c>
      <c r="H160" s="56"/>
      <c r="I160" s="56" t="s">
        <v>758</v>
      </c>
    </row>
    <row r="161" spans="1:9" x14ac:dyDescent="0.25">
      <c r="A161" s="56" t="s">
        <v>620</v>
      </c>
      <c r="B161" s="56" t="s">
        <v>619</v>
      </c>
      <c r="C161" s="56" t="s">
        <v>618</v>
      </c>
      <c r="D161" s="57">
        <v>46374</v>
      </c>
      <c r="E161" s="57">
        <v>46457</v>
      </c>
      <c r="F161" s="56" t="s">
        <v>744</v>
      </c>
      <c r="G161" s="59" t="s">
        <v>757</v>
      </c>
      <c r="H161" s="56"/>
      <c r="I161" s="56" t="s">
        <v>758</v>
      </c>
    </row>
    <row r="162" spans="1:9" x14ac:dyDescent="0.25">
      <c r="A162" s="56" t="s">
        <v>623</v>
      </c>
      <c r="B162" s="56" t="s">
        <v>622</v>
      </c>
      <c r="C162" s="56" t="s">
        <v>621</v>
      </c>
      <c r="D162" s="57">
        <v>46374</v>
      </c>
      <c r="E162" s="57">
        <v>46443</v>
      </c>
      <c r="F162" s="56" t="s">
        <v>744</v>
      </c>
      <c r="G162" s="59" t="s">
        <v>757</v>
      </c>
      <c r="H162" s="56"/>
      <c r="I162" s="56" t="s">
        <v>758</v>
      </c>
    </row>
    <row r="163" spans="1:9" x14ac:dyDescent="0.25">
      <c r="A163" s="56" t="s">
        <v>629</v>
      </c>
      <c r="B163" s="56" t="s">
        <v>627</v>
      </c>
      <c r="C163" s="56" t="s">
        <v>628</v>
      </c>
      <c r="D163" s="57">
        <v>46405</v>
      </c>
      <c r="E163" s="57">
        <v>46465</v>
      </c>
      <c r="F163" s="56" t="s">
        <v>744</v>
      </c>
      <c r="G163" s="59" t="s">
        <v>757</v>
      </c>
      <c r="H163" s="56"/>
      <c r="I163" s="56" t="s">
        <v>758</v>
      </c>
    </row>
    <row r="164" spans="1:9" x14ac:dyDescent="0.25">
      <c r="A164" s="56" t="s">
        <v>633</v>
      </c>
      <c r="B164" s="56" t="s">
        <v>631</v>
      </c>
      <c r="C164" s="56" t="s">
        <v>632</v>
      </c>
      <c r="D164" s="57">
        <v>46468</v>
      </c>
      <c r="E164" s="57">
        <v>46528</v>
      </c>
      <c r="F164" s="56" t="s">
        <v>744</v>
      </c>
      <c r="G164" s="59" t="s">
        <v>757</v>
      </c>
      <c r="H164" s="56"/>
      <c r="I164" s="56" t="s">
        <v>758</v>
      </c>
    </row>
    <row r="165" spans="1:9" x14ac:dyDescent="0.25">
      <c r="A165" s="56" t="s">
        <v>638</v>
      </c>
      <c r="B165" s="56" t="s">
        <v>637</v>
      </c>
      <c r="C165" s="56" t="s">
        <v>636</v>
      </c>
      <c r="D165" s="57">
        <v>46449</v>
      </c>
      <c r="E165" s="57">
        <v>46490</v>
      </c>
      <c r="F165" s="56" t="s">
        <v>744</v>
      </c>
      <c r="G165" s="59" t="s">
        <v>757</v>
      </c>
      <c r="H165" s="56"/>
      <c r="I165" s="56" t="s">
        <v>758</v>
      </c>
    </row>
    <row r="166" spans="1:9" x14ac:dyDescent="0.25">
      <c r="A166" s="56" t="s">
        <v>643</v>
      </c>
      <c r="B166" s="56" t="s">
        <v>642</v>
      </c>
      <c r="C166" s="56" t="s">
        <v>641</v>
      </c>
      <c r="D166" s="57">
        <v>46468</v>
      </c>
      <c r="E166" s="57">
        <v>46528</v>
      </c>
      <c r="F166" s="56" t="s">
        <v>744</v>
      </c>
      <c r="G166" s="59" t="s">
        <v>757</v>
      </c>
      <c r="H166" s="56"/>
      <c r="I166" s="56" t="s">
        <v>758</v>
      </c>
    </row>
    <row r="167" spans="1:9" x14ac:dyDescent="0.25">
      <c r="A167" s="56" t="s">
        <v>646</v>
      </c>
      <c r="B167" s="56" t="s">
        <v>645</v>
      </c>
      <c r="C167" s="56" t="s">
        <v>644</v>
      </c>
      <c r="D167" s="57">
        <v>46419</v>
      </c>
      <c r="E167" s="57">
        <v>46479</v>
      </c>
      <c r="F167" s="56" t="s">
        <v>744</v>
      </c>
      <c r="G167" s="59" t="s">
        <v>757</v>
      </c>
      <c r="H167" s="56"/>
      <c r="I167" s="56" t="s">
        <v>758</v>
      </c>
    </row>
    <row r="168" spans="1:9" x14ac:dyDescent="0.25">
      <c r="A168" s="56" t="s">
        <v>649</v>
      </c>
      <c r="B168" s="56" t="s">
        <v>648</v>
      </c>
      <c r="C168" s="56" t="s">
        <v>647</v>
      </c>
      <c r="D168" s="57">
        <v>46419</v>
      </c>
      <c r="E168" s="57">
        <v>46458</v>
      </c>
      <c r="F168" s="56" t="s">
        <v>744</v>
      </c>
      <c r="G168" s="59" t="s">
        <v>757</v>
      </c>
      <c r="H168" s="56"/>
      <c r="I168" s="56" t="s">
        <v>758</v>
      </c>
    </row>
    <row r="169" spans="1:9" x14ac:dyDescent="0.25">
      <c r="A169" s="56" t="s">
        <v>652</v>
      </c>
      <c r="B169" s="56" t="s">
        <v>651</v>
      </c>
      <c r="C169" s="56" t="s">
        <v>650</v>
      </c>
      <c r="D169" s="57">
        <v>46468</v>
      </c>
      <c r="E169" s="57">
        <v>46493</v>
      </c>
      <c r="F169" s="56" t="s">
        <v>744</v>
      </c>
      <c r="G169" s="59" t="s">
        <v>757</v>
      </c>
      <c r="H169" s="56"/>
      <c r="I169" s="56" t="s">
        <v>758</v>
      </c>
    </row>
    <row r="170" spans="1:9" x14ac:dyDescent="0.25">
      <c r="A170" s="56" t="s">
        <v>658</v>
      </c>
      <c r="B170" s="56" t="s">
        <v>657</v>
      </c>
      <c r="C170" s="56" t="s">
        <v>656</v>
      </c>
      <c r="D170" s="57">
        <v>46325</v>
      </c>
      <c r="E170" s="57">
        <v>46366</v>
      </c>
      <c r="F170" s="56" t="s">
        <v>744</v>
      </c>
      <c r="G170" s="59" t="s">
        <v>757</v>
      </c>
      <c r="H170" s="56"/>
      <c r="I170" s="56" t="s">
        <v>758</v>
      </c>
    </row>
    <row r="171" spans="1:9" x14ac:dyDescent="0.25">
      <c r="A171" s="56" t="s">
        <v>661</v>
      </c>
      <c r="B171" s="56" t="s">
        <v>660</v>
      </c>
      <c r="C171" s="56" t="s">
        <v>659</v>
      </c>
      <c r="D171" s="57">
        <v>46367</v>
      </c>
      <c r="E171" s="57">
        <v>46464</v>
      </c>
      <c r="F171" s="56" t="s">
        <v>744</v>
      </c>
      <c r="G171" s="59" t="s">
        <v>757</v>
      </c>
      <c r="H171" s="56"/>
      <c r="I171" s="56" t="s">
        <v>758</v>
      </c>
    </row>
    <row r="172" spans="1:9" x14ac:dyDescent="0.25">
      <c r="A172" s="56" t="s">
        <v>664</v>
      </c>
      <c r="B172" s="56" t="s">
        <v>663</v>
      </c>
      <c r="C172" s="56" t="s">
        <v>662</v>
      </c>
      <c r="D172" s="57">
        <v>46465</v>
      </c>
      <c r="E172" s="57">
        <v>46506</v>
      </c>
      <c r="F172" s="56" t="s">
        <v>749</v>
      </c>
      <c r="G172" s="58" t="s">
        <v>751</v>
      </c>
      <c r="H172" s="56" t="s">
        <v>769</v>
      </c>
      <c r="I172" s="56" t="s">
        <v>770</v>
      </c>
    </row>
    <row r="173" spans="1:9" x14ac:dyDescent="0.25">
      <c r="A173" s="56" t="s">
        <v>667</v>
      </c>
      <c r="B173" s="56" t="s">
        <v>666</v>
      </c>
      <c r="C173" s="56" t="s">
        <v>665</v>
      </c>
      <c r="D173" s="57">
        <v>46507</v>
      </c>
      <c r="E173" s="57">
        <v>46520</v>
      </c>
      <c r="F173" s="56" t="s">
        <v>744</v>
      </c>
      <c r="G173" s="59" t="s">
        <v>757</v>
      </c>
      <c r="H173" s="56"/>
      <c r="I173" s="56" t="s">
        <v>758</v>
      </c>
    </row>
    <row r="174" spans="1:9" x14ac:dyDescent="0.25">
      <c r="A174" s="56" t="s">
        <v>671</v>
      </c>
      <c r="B174" s="56" t="s">
        <v>313</v>
      </c>
      <c r="C174" s="56" t="s">
        <v>670</v>
      </c>
      <c r="D174" s="57">
        <v>46426</v>
      </c>
      <c r="E174" s="57">
        <v>46437</v>
      </c>
      <c r="F174" s="56" t="s">
        <v>744</v>
      </c>
      <c r="G174" s="59" t="s">
        <v>757</v>
      </c>
      <c r="H174" s="56"/>
      <c r="I174" s="56" t="s">
        <v>758</v>
      </c>
    </row>
    <row r="175" spans="1:9" x14ac:dyDescent="0.25">
      <c r="A175" s="56" t="s">
        <v>674</v>
      </c>
      <c r="B175" s="56" t="s">
        <v>673</v>
      </c>
      <c r="C175" s="56" t="s">
        <v>672</v>
      </c>
      <c r="D175" s="57">
        <v>46454</v>
      </c>
      <c r="E175" s="57">
        <v>46465</v>
      </c>
      <c r="F175" s="56" t="s">
        <v>744</v>
      </c>
      <c r="G175" s="59" t="s">
        <v>757</v>
      </c>
      <c r="H175" s="56"/>
      <c r="I175" s="56" t="s">
        <v>758</v>
      </c>
    </row>
    <row r="176" spans="1:9" x14ac:dyDescent="0.25">
      <c r="A176" s="56" t="s">
        <v>676</v>
      </c>
      <c r="B176" s="56" t="s">
        <v>129</v>
      </c>
      <c r="C176" s="56" t="s">
        <v>675</v>
      </c>
      <c r="D176" s="57">
        <v>46482</v>
      </c>
      <c r="E176" s="57">
        <v>46493</v>
      </c>
      <c r="F176" s="56" t="s">
        <v>744</v>
      </c>
      <c r="G176" s="59" t="s">
        <v>757</v>
      </c>
      <c r="H176" s="56"/>
      <c r="I176" s="56" t="s">
        <v>758</v>
      </c>
    </row>
    <row r="177" spans="1:9" x14ac:dyDescent="0.25">
      <c r="A177" s="56" t="s">
        <v>678</v>
      </c>
      <c r="B177" s="56" t="s">
        <v>126</v>
      </c>
      <c r="C177" s="56" t="s">
        <v>677</v>
      </c>
      <c r="D177" s="57">
        <v>46510</v>
      </c>
      <c r="E177" s="57">
        <v>46521</v>
      </c>
      <c r="F177" s="56" t="s">
        <v>744</v>
      </c>
      <c r="G177" s="59" t="s">
        <v>757</v>
      </c>
      <c r="H177" s="56"/>
      <c r="I177" s="56" t="s">
        <v>758</v>
      </c>
    </row>
    <row r="178" spans="1:9" x14ac:dyDescent="0.25">
      <c r="A178" s="56" t="s">
        <v>683</v>
      </c>
      <c r="B178" s="56" t="s">
        <v>682</v>
      </c>
      <c r="C178" s="56" t="s">
        <v>681</v>
      </c>
      <c r="D178" s="57">
        <v>46465</v>
      </c>
      <c r="E178" s="57">
        <v>46534</v>
      </c>
      <c r="F178" s="56" t="s">
        <v>744</v>
      </c>
      <c r="G178" s="59" t="s">
        <v>757</v>
      </c>
      <c r="H178" s="56"/>
      <c r="I178" s="56" t="s">
        <v>758</v>
      </c>
    </row>
    <row r="179" spans="1:9" x14ac:dyDescent="0.25">
      <c r="A179" s="56" t="s">
        <v>686</v>
      </c>
      <c r="B179" s="56" t="s">
        <v>685</v>
      </c>
      <c r="C179" s="56" t="s">
        <v>684</v>
      </c>
      <c r="D179" s="57">
        <v>46398</v>
      </c>
      <c r="E179" s="57">
        <v>46458</v>
      </c>
      <c r="F179" s="56" t="s">
        <v>744</v>
      </c>
      <c r="G179" s="59" t="s">
        <v>757</v>
      </c>
      <c r="H179" s="56"/>
      <c r="I179" s="56" t="s">
        <v>758</v>
      </c>
    </row>
  </sheetData>
  <autoFilter ref="A7:I179" xr:uid="{00000000-0009-0000-0000-000004000000}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14" customWidth="1"/>
    <col min="4" max="5" width="12" customWidth="1"/>
  </cols>
  <sheetData>
    <row r="1" spans="1:5" x14ac:dyDescent="0.25">
      <c r="A1" s="60" t="s">
        <v>771</v>
      </c>
      <c r="B1" s="60" t="s">
        <v>772</v>
      </c>
      <c r="C1" s="60" t="s">
        <v>773</v>
      </c>
      <c r="D1" s="60" t="s">
        <v>774</v>
      </c>
      <c r="E1" s="60" t="s">
        <v>775</v>
      </c>
    </row>
    <row r="2" spans="1:5" x14ac:dyDescent="0.25">
      <c r="A2" s="61">
        <f>main!I5</f>
        <v>46076</v>
      </c>
      <c r="B2" s="61">
        <f>main!J5</f>
        <v>46538</v>
      </c>
      <c r="C2" s="61">
        <f>main!R4</f>
        <v>46045</v>
      </c>
      <c r="D2" s="62" t="str">
        <f>IF(main!R517="","",ROUND(main!R517*100,6))</f>
        <v/>
      </c>
      <c r="E2" s="62" t="str">
        <f>IF(main!R519="","",ROUND(main!R519*100,6))</f>
        <v/>
      </c>
    </row>
    <row r="3" spans="1:5" x14ac:dyDescent="0.25">
      <c r="A3" s="61">
        <f>main!I5</f>
        <v>46076</v>
      </c>
      <c r="B3" s="61">
        <f>main!J5</f>
        <v>46538</v>
      </c>
      <c r="C3" s="61">
        <f>main!S4</f>
        <v>46052</v>
      </c>
      <c r="D3" s="62" t="str">
        <f>IF(main!S517="","",ROUND(main!S517*100,6))</f>
        <v/>
      </c>
      <c r="E3" s="62" t="str">
        <f>IF(main!S519="","",ROUND(main!S519*100,6))</f>
        <v/>
      </c>
    </row>
    <row r="4" spans="1:5" x14ac:dyDescent="0.25">
      <c r="A4" s="61">
        <f>main!I5</f>
        <v>46076</v>
      </c>
      <c r="B4" s="61">
        <f>main!J5</f>
        <v>46538</v>
      </c>
      <c r="C4" s="61">
        <f>main!T4</f>
        <v>46059</v>
      </c>
      <c r="D4" s="62" t="str">
        <f>IF(main!T517="","",ROUND(main!T517*100,6))</f>
        <v/>
      </c>
      <c r="E4" s="62" t="str">
        <f>IF(main!T519="","",ROUND(main!T519*100,6))</f>
        <v/>
      </c>
    </row>
    <row r="5" spans="1:5" x14ac:dyDescent="0.25">
      <c r="A5" s="61">
        <f>main!I5</f>
        <v>46076</v>
      </c>
      <c r="B5" s="61">
        <f>main!J5</f>
        <v>46538</v>
      </c>
      <c r="C5" s="61">
        <f>main!U4</f>
        <v>46066</v>
      </c>
      <c r="D5" s="62" t="str">
        <f>IF(main!U517="","",ROUND(main!U517*100,6))</f>
        <v/>
      </c>
      <c r="E5" s="62" t="str">
        <f>IF(main!U519="","",ROUND(main!U519*100,6))</f>
        <v/>
      </c>
    </row>
    <row r="6" spans="1:5" x14ac:dyDescent="0.25">
      <c r="A6" s="61">
        <f>main!I5</f>
        <v>46076</v>
      </c>
      <c r="B6" s="61">
        <f>main!J5</f>
        <v>46538</v>
      </c>
      <c r="C6" s="61">
        <f>main!V4</f>
        <v>46073</v>
      </c>
      <c r="D6" s="62" t="str">
        <f>IF(main!V517="","",ROUND(main!V517*100,6))</f>
        <v/>
      </c>
      <c r="E6" s="62" t="str">
        <f>IF(main!V519="","",ROUND(main!V519*100,6))</f>
        <v/>
      </c>
    </row>
    <row r="7" spans="1:5" x14ac:dyDescent="0.25">
      <c r="A7" s="61">
        <f>main!I5</f>
        <v>46076</v>
      </c>
      <c r="B7" s="61">
        <f>main!J5</f>
        <v>46538</v>
      </c>
      <c r="C7" s="61">
        <f>main!W4</f>
        <v>46080</v>
      </c>
      <c r="D7" s="62">
        <f>IF(main!W517="","",ROUND(main!W517*100,6))</f>
        <v>8.8090000000000002E-2</v>
      </c>
      <c r="E7" s="62" t="str">
        <f>IF(main!W519="","",ROUND(main!W519*100,6))</f>
        <v/>
      </c>
    </row>
    <row r="8" spans="1:5" x14ac:dyDescent="0.25">
      <c r="A8" s="61">
        <f>main!I5</f>
        <v>46076</v>
      </c>
      <c r="B8" s="61">
        <f>main!J5</f>
        <v>46538</v>
      </c>
      <c r="C8" s="61">
        <f>main!X4</f>
        <v>46087</v>
      </c>
      <c r="D8" s="62">
        <f>IF(main!X517="","",ROUND(main!X517*100,6))</f>
        <v>0.197714</v>
      </c>
      <c r="E8" s="62" t="str">
        <f>IF(main!X519="","",ROUND(main!X519*100,6))</f>
        <v/>
      </c>
    </row>
    <row r="9" spans="1:5" x14ac:dyDescent="0.25">
      <c r="A9" s="61">
        <f>main!I5</f>
        <v>46076</v>
      </c>
      <c r="B9" s="61">
        <f>main!J5</f>
        <v>46538</v>
      </c>
      <c r="C9" s="61">
        <f>main!Y4</f>
        <v>46094</v>
      </c>
      <c r="D9" s="62">
        <f>IF(main!Y517="","",ROUND(main!Y517*100,6))</f>
        <v>0.29363400000000001</v>
      </c>
      <c r="E9" s="62" t="str">
        <f>IF(main!Y519="","",ROUND(main!Y519*100,6))</f>
        <v/>
      </c>
    </row>
    <row r="10" spans="1:5" x14ac:dyDescent="0.25">
      <c r="A10" s="61">
        <f>main!I5</f>
        <v>46076</v>
      </c>
      <c r="B10" s="61">
        <f>main!J5</f>
        <v>46538</v>
      </c>
      <c r="C10" s="61">
        <f>main!Z4</f>
        <v>46101</v>
      </c>
      <c r="D10" s="62">
        <f>IF(main!Z517="","",ROUND(main!Z517*100,6))</f>
        <v>0.37585200000000002</v>
      </c>
      <c r="E10" s="62" t="str">
        <f>IF(main!Z519="","",ROUND(main!Z519*100,6))</f>
        <v/>
      </c>
    </row>
    <row r="11" spans="1:5" x14ac:dyDescent="0.25">
      <c r="A11" s="61">
        <f>main!I5</f>
        <v>46076</v>
      </c>
      <c r="B11" s="61">
        <f>main!J5</f>
        <v>46538</v>
      </c>
      <c r="C11" s="61">
        <f>main!AA4</f>
        <v>46108</v>
      </c>
      <c r="D11" s="62">
        <f>IF(main!AA517="","",ROUND(main!AA517*100,6))</f>
        <v>0.44436599999999998</v>
      </c>
      <c r="E11" s="62" t="str">
        <f>IF(main!AA519="","",ROUND(main!AA519*100,6))</f>
        <v/>
      </c>
    </row>
    <row r="12" spans="1:5" x14ac:dyDescent="0.25">
      <c r="A12" s="61">
        <f>main!I5</f>
        <v>46076</v>
      </c>
      <c r="B12" s="61">
        <f>main!J5</f>
        <v>46538</v>
      </c>
      <c r="C12" s="61">
        <f>main!AB4</f>
        <v>46115</v>
      </c>
      <c r="D12" s="62">
        <f>IF(main!AB517="","",ROUND(main!AB517*100,6))</f>
        <v>0.49917800000000001</v>
      </c>
      <c r="E12" s="62" t="str">
        <f>IF(main!AB519="","",ROUND(main!AB519*100,6))</f>
        <v/>
      </c>
    </row>
    <row r="13" spans="1:5" x14ac:dyDescent="0.25">
      <c r="A13" s="61">
        <f>main!I5</f>
        <v>46076</v>
      </c>
      <c r="B13" s="61">
        <f>main!J5</f>
        <v>46538</v>
      </c>
      <c r="C13" s="61">
        <f>main!AC4</f>
        <v>46122</v>
      </c>
      <c r="D13" s="62">
        <f>IF(main!AC517="","",ROUND(main!AC517*100,6))</f>
        <v>0.54028699999999996</v>
      </c>
      <c r="E13" s="62" t="str">
        <f>IF(main!AC519="","",ROUND(main!AC519*100,6))</f>
        <v/>
      </c>
    </row>
    <row r="14" spans="1:5" x14ac:dyDescent="0.25">
      <c r="A14" s="61">
        <f>main!I5</f>
        <v>46076</v>
      </c>
      <c r="B14" s="61">
        <f>main!J5</f>
        <v>46538</v>
      </c>
      <c r="C14" s="61">
        <f>main!AD4</f>
        <v>46129</v>
      </c>
      <c r="D14" s="62">
        <f>IF(main!AD517="","",ROUND(main!AD517*100,6))</f>
        <v>0.59537799999999996</v>
      </c>
      <c r="E14" s="62" t="str">
        <f>IF(main!AD519="","",ROUND(main!AD519*100,6))</f>
        <v/>
      </c>
    </row>
    <row r="15" spans="1:5" x14ac:dyDescent="0.25">
      <c r="A15" s="61">
        <f>main!I5</f>
        <v>46076</v>
      </c>
      <c r="B15" s="61">
        <f>main!J5</f>
        <v>46538</v>
      </c>
      <c r="C15" s="61">
        <f>main!AE4</f>
        <v>46136</v>
      </c>
      <c r="D15" s="62">
        <f>IF(main!AE517="","",ROUND(main!AE517*100,6))</f>
        <v>0.80287900000000001</v>
      </c>
      <c r="E15" s="62" t="str">
        <f>IF(main!AE519="","",ROUND(main!AE519*100,6))</f>
        <v/>
      </c>
    </row>
    <row r="16" spans="1:5" x14ac:dyDescent="0.25">
      <c r="A16" s="61">
        <f>main!I5</f>
        <v>46076</v>
      </c>
      <c r="B16" s="61">
        <f>main!J5</f>
        <v>46538</v>
      </c>
      <c r="C16" s="61">
        <f>main!AF4</f>
        <v>46143</v>
      </c>
      <c r="D16" s="62">
        <f>IF(main!AF517="","",ROUND(main!AF517*100,6))</f>
        <v>0.99667799999999995</v>
      </c>
      <c r="E16" s="62" t="str">
        <f>IF(main!AF519="","",ROUND(main!AF519*100,6))</f>
        <v/>
      </c>
    </row>
    <row r="17" spans="1:5" x14ac:dyDescent="0.25">
      <c r="A17" s="61">
        <f>main!I5</f>
        <v>46076</v>
      </c>
      <c r="B17" s="61">
        <f>main!J5</f>
        <v>46538</v>
      </c>
      <c r="C17" s="61">
        <f>main!AG4</f>
        <v>46150</v>
      </c>
      <c r="D17" s="62">
        <f>IF(main!AG517="","",ROUND(main!AG517*100,6))</f>
        <v>1.218162</v>
      </c>
      <c r="E17" s="62" t="str">
        <f>IF(main!AG519="","",ROUND(main!AG519*100,6))</f>
        <v/>
      </c>
    </row>
    <row r="18" spans="1:5" x14ac:dyDescent="0.25">
      <c r="A18" s="61">
        <f>main!I5</f>
        <v>46076</v>
      </c>
      <c r="B18" s="61">
        <f>main!J5</f>
        <v>46538</v>
      </c>
      <c r="C18" s="61">
        <f>main!AH4</f>
        <v>46157</v>
      </c>
      <c r="D18" s="62">
        <f>IF(main!AH517="","",ROUND(main!AH517*100,6))</f>
        <v>1.6057589999999999</v>
      </c>
      <c r="E18" s="62" t="str">
        <f>IF(main!AH519="","",ROUND(main!AH519*100,6))</f>
        <v/>
      </c>
    </row>
    <row r="19" spans="1:5" x14ac:dyDescent="0.25">
      <c r="A19" s="61">
        <f>main!I5</f>
        <v>46076</v>
      </c>
      <c r="B19" s="61">
        <f>main!J5</f>
        <v>46538</v>
      </c>
      <c r="C19" s="61">
        <f>main!AI4</f>
        <v>46164</v>
      </c>
      <c r="D19" s="62">
        <f>IF(main!AI517="","",ROUND(main!AI517*100,6))</f>
        <v>1.993355</v>
      </c>
      <c r="E19" s="62" t="str">
        <f>IF(main!AI519="","",ROUND(main!AI519*100,6))</f>
        <v/>
      </c>
    </row>
    <row r="20" spans="1:5" x14ac:dyDescent="0.25">
      <c r="A20" s="61">
        <f>main!I5</f>
        <v>46076</v>
      </c>
      <c r="B20" s="61">
        <f>main!J5</f>
        <v>46538</v>
      </c>
      <c r="C20" s="61">
        <f>main!AJ4</f>
        <v>46171</v>
      </c>
      <c r="D20" s="62">
        <f>IF(main!AJ517="","",ROUND(main!AJ517*100,6))</f>
        <v>2.3532670000000002</v>
      </c>
      <c r="E20" s="62" t="str">
        <f>IF(main!AJ519="","",ROUND(main!AJ519*100,6))</f>
        <v/>
      </c>
    </row>
    <row r="21" spans="1:5" x14ac:dyDescent="0.25">
      <c r="A21" s="61">
        <f>main!I5</f>
        <v>46076</v>
      </c>
      <c r="B21" s="61">
        <f>main!J5</f>
        <v>46538</v>
      </c>
      <c r="C21" s="61">
        <f>main!AK4</f>
        <v>46178</v>
      </c>
      <c r="D21" s="62">
        <f>IF(main!AK517="","",ROUND(main!AK517*100,6))</f>
        <v>2.5470649999999999</v>
      </c>
      <c r="E21" s="62" t="str">
        <f>IF(main!AK519="","",ROUND(main!AK519*100,6))</f>
        <v/>
      </c>
    </row>
    <row r="22" spans="1:5" x14ac:dyDescent="0.25">
      <c r="A22" s="61">
        <f>main!I5</f>
        <v>46076</v>
      </c>
      <c r="B22" s="61">
        <f>main!J5</f>
        <v>46538</v>
      </c>
      <c r="C22" s="61">
        <f>main!AL4</f>
        <v>46185</v>
      </c>
      <c r="D22" s="62">
        <f>IF(main!AL517="","",ROUND(main!AL517*100,6))</f>
        <v>2.7408640000000002</v>
      </c>
      <c r="E22" s="62" t="str">
        <f>IF(main!AL519="","",ROUND(main!AL519*100,6))</f>
        <v/>
      </c>
    </row>
    <row r="23" spans="1:5" x14ac:dyDescent="0.25">
      <c r="A23" s="61">
        <f>main!I5</f>
        <v>46076</v>
      </c>
      <c r="B23" s="61">
        <f>main!J5</f>
        <v>46538</v>
      </c>
      <c r="C23" s="61">
        <f>main!AM4</f>
        <v>46192</v>
      </c>
      <c r="D23" s="62">
        <f>IF(main!AM517="","",ROUND(main!AM517*100,6))</f>
        <v>2.9277410000000001</v>
      </c>
      <c r="E23" s="62" t="str">
        <f>IF(main!AM519="","",ROUND(main!AM519*100,6))</f>
        <v/>
      </c>
    </row>
    <row r="24" spans="1:5" x14ac:dyDescent="0.25">
      <c r="A24" s="61">
        <f>main!I5</f>
        <v>46076</v>
      </c>
      <c r="B24" s="61">
        <f>main!J5</f>
        <v>46538</v>
      </c>
      <c r="C24" s="61">
        <f>main!AN4</f>
        <v>46199</v>
      </c>
      <c r="D24" s="62">
        <f>IF(main!AN517="","",ROUND(main!AN517*100,6))</f>
        <v>3.0730900000000001</v>
      </c>
      <c r="E24" s="62" t="str">
        <f>IF(main!AN519="","",ROUND(main!AN519*100,6))</f>
        <v/>
      </c>
    </row>
    <row r="25" spans="1:5" x14ac:dyDescent="0.25">
      <c r="A25" s="61">
        <f>main!I5</f>
        <v>46076</v>
      </c>
      <c r="B25" s="61">
        <f>main!J5</f>
        <v>46538</v>
      </c>
      <c r="C25" s="61">
        <f>main!AO4</f>
        <v>46206</v>
      </c>
      <c r="D25" s="62">
        <f>IF(main!AO517="","",ROUND(main!AO517*100,6))</f>
        <v>3.218439</v>
      </c>
      <c r="E25" s="62" t="str">
        <f>IF(main!AO519="","",ROUND(main!AO519*100,6))</f>
        <v/>
      </c>
    </row>
    <row r="26" spans="1:5" x14ac:dyDescent="0.25">
      <c r="A26" s="61">
        <f>main!I5</f>
        <v>46076</v>
      </c>
      <c r="B26" s="61">
        <f>main!J5</f>
        <v>46538</v>
      </c>
      <c r="C26" s="61">
        <f>main!AP4</f>
        <v>46213</v>
      </c>
      <c r="D26" s="62">
        <f>IF(main!AP517="","",ROUND(main!AP517*100,6))</f>
        <v>3.3637869999999999</v>
      </c>
      <c r="E26" s="62" t="str">
        <f>IF(main!AP519="","",ROUND(main!AP519*100,6))</f>
        <v/>
      </c>
    </row>
    <row r="27" spans="1:5" x14ac:dyDescent="0.25">
      <c r="A27" s="61">
        <f>main!I5</f>
        <v>46076</v>
      </c>
      <c r="B27" s="61">
        <f>main!J5</f>
        <v>46538</v>
      </c>
      <c r="C27" s="61">
        <f>main!AQ4</f>
        <v>46220</v>
      </c>
      <c r="D27" s="62">
        <f>IF(main!AQ517="","",ROUND(main!AQ517*100,6))</f>
        <v>3.5506639999999998</v>
      </c>
      <c r="E27" s="62" t="str">
        <f>IF(main!AQ519="","",ROUND(main!AQ519*100,6))</f>
        <v/>
      </c>
    </row>
    <row r="28" spans="1:5" x14ac:dyDescent="0.25">
      <c r="A28" s="61">
        <f>main!I5</f>
        <v>46076</v>
      </c>
      <c r="B28" s="61">
        <f>main!J5</f>
        <v>46538</v>
      </c>
      <c r="C28" s="61">
        <f>main!AR4</f>
        <v>46227</v>
      </c>
      <c r="D28" s="62">
        <f>IF(main!AR517="","",ROUND(main!AR517*100,6))</f>
        <v>3.9867110000000001</v>
      </c>
      <c r="E28" s="62" t="str">
        <f>IF(main!AR519="","",ROUND(main!AR519*100,6))</f>
        <v/>
      </c>
    </row>
    <row r="29" spans="1:5" x14ac:dyDescent="0.25">
      <c r="A29" s="61">
        <f>main!I5</f>
        <v>46076</v>
      </c>
      <c r="B29" s="61">
        <f>main!J5</f>
        <v>46538</v>
      </c>
      <c r="C29" s="61">
        <f>main!AS4</f>
        <v>46234</v>
      </c>
      <c r="D29" s="62">
        <f>IF(main!AS517="","",ROUND(main!AS517*100,6))</f>
        <v>4.6103040000000002</v>
      </c>
      <c r="E29" s="62" t="str">
        <f>IF(main!AS519="","",ROUND(main!AS519*100,6))</f>
        <v/>
      </c>
    </row>
    <row r="30" spans="1:5" x14ac:dyDescent="0.25">
      <c r="A30" s="61">
        <f>main!I5</f>
        <v>46076</v>
      </c>
      <c r="B30" s="61">
        <f>main!J5</f>
        <v>46538</v>
      </c>
      <c r="C30" s="61">
        <f>main!AT4</f>
        <v>46241</v>
      </c>
      <c r="D30" s="62">
        <f>IF(main!AT517="","",ROUND(main!AT517*100,6))</f>
        <v>5.2432749999999997</v>
      </c>
      <c r="E30" s="62" t="str">
        <f>IF(main!AT519="","",ROUND(main!AT519*100,6))</f>
        <v/>
      </c>
    </row>
    <row r="31" spans="1:5" x14ac:dyDescent="0.25">
      <c r="A31" s="61">
        <f>main!I5</f>
        <v>46076</v>
      </c>
      <c r="B31" s="61">
        <f>main!J5</f>
        <v>46538</v>
      </c>
      <c r="C31" s="61">
        <f>main!AU4</f>
        <v>46248</v>
      </c>
      <c r="D31" s="62">
        <f>IF(main!AU517="","",ROUND(main!AU517*100,6))</f>
        <v>5.7898399999999999</v>
      </c>
      <c r="E31" s="62" t="str">
        <f>IF(main!AU519="","",ROUND(main!AU519*100,6))</f>
        <v/>
      </c>
    </row>
    <row r="32" spans="1:5" x14ac:dyDescent="0.25">
      <c r="A32" s="61">
        <f>main!I5</f>
        <v>46076</v>
      </c>
      <c r="B32" s="61">
        <f>main!J5</f>
        <v>46538</v>
      </c>
      <c r="C32" s="61">
        <f>main!AV4</f>
        <v>46255</v>
      </c>
      <c r="D32" s="62">
        <f>IF(main!AV517="","",ROUND(main!AV517*100,6))</f>
        <v>6.4691770000000002</v>
      </c>
      <c r="E32" s="62" t="str">
        <f>IF(main!AV519="","",ROUND(main!AV519*100,6))</f>
        <v/>
      </c>
    </row>
    <row r="33" spans="1:5" x14ac:dyDescent="0.25">
      <c r="A33" s="61">
        <f>main!I5</f>
        <v>46076</v>
      </c>
      <c r="B33" s="61">
        <f>main!J5</f>
        <v>46538</v>
      </c>
      <c r="C33" s="61">
        <f>main!AW4</f>
        <v>46262</v>
      </c>
      <c r="D33" s="62">
        <f>IF(main!AW517="","",ROUND(main!AW517*100,6))</f>
        <v>7.3426109999999998</v>
      </c>
      <c r="E33" s="62" t="str">
        <f>IF(main!AW519="","",ROUND(main!AW519*100,6))</f>
        <v/>
      </c>
    </row>
    <row r="34" spans="1:5" x14ac:dyDescent="0.25">
      <c r="A34" s="61">
        <f>main!I5</f>
        <v>46076</v>
      </c>
      <c r="B34" s="61">
        <f>main!J5</f>
        <v>46538</v>
      </c>
      <c r="C34" s="61">
        <f>main!AX4</f>
        <v>46269</v>
      </c>
      <c r="D34" s="62">
        <f>IF(main!AX517="","",ROUND(main!AX517*100,6))</f>
        <v>8.2447499999999998</v>
      </c>
      <c r="E34" s="62" t="str">
        <f>IF(main!AX519="","",ROUND(main!AX519*100,6))</f>
        <v/>
      </c>
    </row>
    <row r="35" spans="1:5" x14ac:dyDescent="0.25">
      <c r="A35" s="61">
        <f>main!I5</f>
        <v>46076</v>
      </c>
      <c r="B35" s="61">
        <f>main!J5</f>
        <v>46538</v>
      </c>
      <c r="C35" s="61">
        <f>main!AY4</f>
        <v>46276</v>
      </c>
      <c r="D35" s="62">
        <f>IF(main!AY517="","",ROUND(main!AY517*100,6))</f>
        <v>8.7431429999999999</v>
      </c>
      <c r="E35" s="62" t="str">
        <f>IF(main!AY519="","",ROUND(main!AY519*100,6))</f>
        <v/>
      </c>
    </row>
    <row r="36" spans="1:5" x14ac:dyDescent="0.25">
      <c r="A36" s="61">
        <f>main!I5</f>
        <v>46076</v>
      </c>
      <c r="B36" s="61">
        <f>main!J5</f>
        <v>46538</v>
      </c>
      <c r="C36" s="61">
        <f>main!AZ4</f>
        <v>46283</v>
      </c>
      <c r="D36" s="62">
        <f>IF(main!AZ517="","",ROUND(main!AZ517*100,6))</f>
        <v>9.7860169999999993</v>
      </c>
      <c r="E36" s="62" t="str">
        <f>IF(main!AZ519="","",ROUND(main!AZ519*100,6))</f>
        <v/>
      </c>
    </row>
    <row r="37" spans="1:5" x14ac:dyDescent="0.25">
      <c r="A37" s="61">
        <f>main!I5</f>
        <v>46076</v>
      </c>
      <c r="B37" s="61">
        <f>main!J5</f>
        <v>46538</v>
      </c>
      <c r="C37" s="61">
        <f>main!BA4</f>
        <v>46290</v>
      </c>
      <c r="D37" s="62">
        <f>IF(main!BA517="","",ROUND(main!BA517*100,6))</f>
        <v>10.870419</v>
      </c>
      <c r="E37" s="62" t="str">
        <f>IF(main!BA519="","",ROUND(main!BA519*100,6))</f>
        <v/>
      </c>
    </row>
    <row r="38" spans="1:5" x14ac:dyDescent="0.25">
      <c r="A38" s="61">
        <f>main!I5</f>
        <v>46076</v>
      </c>
      <c r="B38" s="61">
        <f>main!J5</f>
        <v>46538</v>
      </c>
      <c r="C38" s="61">
        <f>main!BB4</f>
        <v>46297</v>
      </c>
      <c r="D38" s="62">
        <f>IF(main!BB517="","",ROUND(main!BB517*100,6))</f>
        <v>11.843539</v>
      </c>
      <c r="E38" s="62" t="str">
        <f>IF(main!BB519="","",ROUND(main!BB519*100,6))</f>
        <v/>
      </c>
    </row>
    <row r="39" spans="1:5" x14ac:dyDescent="0.25">
      <c r="A39" s="61">
        <f>main!I5</f>
        <v>46076</v>
      </c>
      <c r="B39" s="61">
        <f>main!J5</f>
        <v>46538</v>
      </c>
      <c r="C39" s="61">
        <f>main!BC4</f>
        <v>46304</v>
      </c>
      <c r="D39" s="62">
        <f>IF(main!BC517="","",ROUND(main!BC517*100,6))</f>
        <v>13.696384</v>
      </c>
      <c r="E39" s="62" t="str">
        <f>IF(main!BC519="","",ROUND(main!BC519*100,6))</f>
        <v/>
      </c>
    </row>
    <row r="40" spans="1:5" x14ac:dyDescent="0.25">
      <c r="A40" s="61">
        <f>main!I5</f>
        <v>46076</v>
      </c>
      <c r="B40" s="61">
        <f>main!J5</f>
        <v>46538</v>
      </c>
      <c r="C40" s="61">
        <f>main!BD4</f>
        <v>46311</v>
      </c>
      <c r="D40" s="62">
        <f>IF(main!BD517="","",ROUND(main!BD517*100,6))</f>
        <v>15.760187</v>
      </c>
      <c r="E40" s="62" t="str">
        <f>IF(main!BD519="","",ROUND(main!BD519*100,6))</f>
        <v/>
      </c>
    </row>
    <row r="41" spans="1:5" x14ac:dyDescent="0.25">
      <c r="A41" s="61">
        <f>main!I5</f>
        <v>46076</v>
      </c>
      <c r="B41" s="61">
        <f>main!J5</f>
        <v>46538</v>
      </c>
      <c r="C41" s="61">
        <f>main!BE4</f>
        <v>46318</v>
      </c>
      <c r="D41" s="62">
        <f>IF(main!BE517="","",ROUND(main!BE517*100,6))</f>
        <v>17.97578</v>
      </c>
      <c r="E41" s="62" t="str">
        <f>IF(main!BE519="","",ROUND(main!BE519*100,6))</f>
        <v/>
      </c>
    </row>
    <row r="42" spans="1:5" x14ac:dyDescent="0.25">
      <c r="A42" s="61">
        <f>main!I5</f>
        <v>46076</v>
      </c>
      <c r="B42" s="61">
        <f>main!J5</f>
        <v>46538</v>
      </c>
      <c r="C42" s="61">
        <f>main!BF4</f>
        <v>46325</v>
      </c>
      <c r="D42" s="62">
        <f>IF(main!BF517="","",ROUND(main!BF517*100,6))</f>
        <v>19.667221000000001</v>
      </c>
      <c r="E42" s="62" t="str">
        <f>IF(main!BF519="","",ROUND(main!BF519*100,6))</f>
        <v/>
      </c>
    </row>
    <row r="43" spans="1:5" x14ac:dyDescent="0.25">
      <c r="A43" s="61">
        <f>main!I5</f>
        <v>46076</v>
      </c>
      <c r="B43" s="61">
        <f>main!J5</f>
        <v>46538</v>
      </c>
      <c r="C43" s="61">
        <f>main!BG4</f>
        <v>46332</v>
      </c>
      <c r="D43" s="62">
        <f>IF(main!BG517="","",ROUND(main!BG517*100,6))</f>
        <v>21.241333999999998</v>
      </c>
      <c r="E43" s="62" t="str">
        <f>IF(main!BG519="","",ROUND(main!BG519*100,6))</f>
        <v/>
      </c>
    </row>
    <row r="44" spans="1:5" x14ac:dyDescent="0.25">
      <c r="A44" s="61">
        <f>main!I5</f>
        <v>46076</v>
      </c>
      <c r="B44" s="61">
        <f>main!J5</f>
        <v>46538</v>
      </c>
      <c r="C44" s="61">
        <f>main!BH4</f>
        <v>46339</v>
      </c>
      <c r="D44" s="62">
        <f>IF(main!BH517="","",ROUND(main!BH517*100,6))</f>
        <v>23.000730999999998</v>
      </c>
      <c r="E44" s="62" t="str">
        <f>IF(main!BH519="","",ROUND(main!BH519*100,6))</f>
        <v/>
      </c>
    </row>
    <row r="45" spans="1:5" x14ac:dyDescent="0.25">
      <c r="A45" s="61">
        <f>main!I5</f>
        <v>46076</v>
      </c>
      <c r="B45" s="61">
        <f>main!J5</f>
        <v>46538</v>
      </c>
      <c r="C45" s="61">
        <f>main!BI4</f>
        <v>46346</v>
      </c>
      <c r="D45" s="62">
        <f>IF(main!BI517="","",ROUND(main!BI517*100,6))</f>
        <v>24.737456999999999</v>
      </c>
      <c r="E45" s="62" t="str">
        <f>IF(main!BI519="","",ROUND(main!BI519*100,6))</f>
        <v/>
      </c>
    </row>
    <row r="46" spans="1:5" x14ac:dyDescent="0.25">
      <c r="A46" s="61">
        <f>main!I5</f>
        <v>46076</v>
      </c>
      <c r="B46" s="61">
        <f>main!J5</f>
        <v>46538</v>
      </c>
      <c r="C46" s="61">
        <f>main!BJ4</f>
        <v>46353</v>
      </c>
      <c r="D46" s="62">
        <f>IF(main!BJ517="","",ROUND(main!BJ517*100,6))</f>
        <v>26.306094000000002</v>
      </c>
      <c r="E46" s="62" t="str">
        <f>IF(main!BJ519="","",ROUND(main!BJ519*100,6))</f>
        <v/>
      </c>
    </row>
    <row r="47" spans="1:5" x14ac:dyDescent="0.25">
      <c r="A47" s="61">
        <f>main!I5</f>
        <v>46076</v>
      </c>
      <c r="B47" s="61">
        <f>main!J5</f>
        <v>46538</v>
      </c>
      <c r="C47" s="61">
        <f>main!BK4</f>
        <v>46360</v>
      </c>
      <c r="D47" s="62">
        <f>IF(main!BK517="","",ROUND(main!BK517*100,6))</f>
        <v>28.304539999999999</v>
      </c>
      <c r="E47" s="62" t="str">
        <f>IF(main!BK519="","",ROUND(main!BK519*100,6))</f>
        <v/>
      </c>
    </row>
    <row r="48" spans="1:5" x14ac:dyDescent="0.25">
      <c r="A48" s="61">
        <f>main!I5</f>
        <v>46076</v>
      </c>
      <c r="B48" s="61">
        <f>main!J5</f>
        <v>46538</v>
      </c>
      <c r="C48" s="61">
        <f>main!BL4</f>
        <v>46367</v>
      </c>
      <c r="D48" s="62">
        <f>IF(main!BL517="","",ROUND(main!BL517*100,6))</f>
        <v>30.434853</v>
      </c>
      <c r="E48" s="62" t="str">
        <f>IF(main!BL519="","",ROUND(main!BL519*100,6))</f>
        <v/>
      </c>
    </row>
    <row r="49" spans="1:5" x14ac:dyDescent="0.25">
      <c r="A49" s="61">
        <f>main!I5</f>
        <v>46076</v>
      </c>
      <c r="B49" s="61">
        <f>main!J5</f>
        <v>46538</v>
      </c>
      <c r="C49" s="61">
        <f>main!BM4</f>
        <v>46374</v>
      </c>
      <c r="D49" s="62">
        <f>IF(main!BM517="","",ROUND(main!BM517*100,6))</f>
        <v>32.884228</v>
      </c>
      <c r="E49" s="62" t="str">
        <f>IF(main!BM519="","",ROUND(main!BM519*100,6))</f>
        <v/>
      </c>
    </row>
    <row r="50" spans="1:5" x14ac:dyDescent="0.25">
      <c r="A50" s="61">
        <f>main!I5</f>
        <v>46076</v>
      </c>
      <c r="B50" s="61">
        <f>main!J5</f>
        <v>46538</v>
      </c>
      <c r="C50" s="61">
        <f>main!BN4</f>
        <v>46381</v>
      </c>
      <c r="D50" s="62">
        <f>IF(main!BN517="","",ROUND(main!BN517*100,6))</f>
        <v>35.715347000000001</v>
      </c>
      <c r="E50" s="62" t="str">
        <f>IF(main!BN519="","",ROUND(main!BN519*100,6))</f>
        <v/>
      </c>
    </row>
    <row r="51" spans="1:5" x14ac:dyDescent="0.25">
      <c r="A51" s="61">
        <f>main!I5</f>
        <v>46076</v>
      </c>
      <c r="B51" s="61">
        <f>main!J5</f>
        <v>46538</v>
      </c>
      <c r="C51" s="61">
        <f>main!BO4</f>
        <v>46388</v>
      </c>
      <c r="D51" s="62">
        <f>IF(main!BO517="","",ROUND(main!BO517*100,6))</f>
        <v>39.353408999999999</v>
      </c>
      <c r="E51" s="62" t="str">
        <f>IF(main!BO519="","",ROUND(main!BO519*100,6))</f>
        <v/>
      </c>
    </row>
    <row r="52" spans="1:5" x14ac:dyDescent="0.25">
      <c r="A52" s="61">
        <f>main!I5</f>
        <v>46076</v>
      </c>
      <c r="B52" s="61">
        <f>main!J5</f>
        <v>46538</v>
      </c>
      <c r="C52" s="61">
        <f>main!BP4</f>
        <v>46395</v>
      </c>
      <c r="D52" s="62">
        <f>IF(main!BP517="","",ROUND(main!BP517*100,6))</f>
        <v>42.652416000000002</v>
      </c>
      <c r="E52" s="62" t="str">
        <f>IF(main!BP519="","",ROUND(main!BP519*100,6))</f>
        <v/>
      </c>
    </row>
    <row r="53" spans="1:5" x14ac:dyDescent="0.25">
      <c r="A53" s="61">
        <f>main!I5</f>
        <v>46076</v>
      </c>
      <c r="B53" s="61">
        <f>main!J5</f>
        <v>46538</v>
      </c>
      <c r="C53" s="61">
        <f>main!BQ4</f>
        <v>46402</v>
      </c>
      <c r="D53" s="62">
        <f>IF(main!BQ517="","",ROUND(main!BQ517*100,6))</f>
        <v>45.951619999999998</v>
      </c>
      <c r="E53" s="62" t="str">
        <f>IF(main!BQ519="","",ROUND(main!BQ519*100,6))</f>
        <v/>
      </c>
    </row>
    <row r="54" spans="1:5" x14ac:dyDescent="0.25">
      <c r="A54" s="61">
        <f>main!I5</f>
        <v>46076</v>
      </c>
      <c r="B54" s="61">
        <f>main!J5</f>
        <v>46538</v>
      </c>
      <c r="C54" s="61">
        <f>main!BR4</f>
        <v>46409</v>
      </c>
      <c r="D54" s="62">
        <f>IF(main!BR517="","",ROUND(main!BR517*100,6))</f>
        <v>48.545960999999998</v>
      </c>
      <c r="E54" s="62" t="str">
        <f>IF(main!BR519="","",ROUND(main!BR519*100,6))</f>
        <v/>
      </c>
    </row>
    <row r="55" spans="1:5" x14ac:dyDescent="0.25">
      <c r="A55" s="61">
        <f>main!I5</f>
        <v>46076</v>
      </c>
      <c r="B55" s="61">
        <f>main!J5</f>
        <v>46538</v>
      </c>
      <c r="C55" s="61">
        <f>main!BS4</f>
        <v>46416</v>
      </c>
      <c r="D55" s="62">
        <f>IF(main!BS517="","",ROUND(main!BS517*100,6))</f>
        <v>50.827272999999998</v>
      </c>
      <c r="E55" s="62" t="str">
        <f>IF(main!BS519="","",ROUND(main!BS519*100,6))</f>
        <v/>
      </c>
    </row>
    <row r="56" spans="1:5" x14ac:dyDescent="0.25">
      <c r="A56" s="61">
        <f>main!I5</f>
        <v>46076</v>
      </c>
      <c r="B56" s="61">
        <f>main!J5</f>
        <v>46538</v>
      </c>
      <c r="C56" s="61">
        <f>main!BT4</f>
        <v>46423</v>
      </c>
      <c r="D56" s="62">
        <f>IF(main!BT517="","",ROUND(main!BT517*100,6))</f>
        <v>53.334204</v>
      </c>
      <c r="E56" s="62" t="str">
        <f>IF(main!BT519="","",ROUND(main!BT519*100,6))</f>
        <v/>
      </c>
    </row>
    <row r="57" spans="1:5" x14ac:dyDescent="0.25">
      <c r="A57" s="61">
        <f>main!I5</f>
        <v>46076</v>
      </c>
      <c r="B57" s="61">
        <f>main!J5</f>
        <v>46538</v>
      </c>
      <c r="C57" s="61">
        <f>main!BU4</f>
        <v>46430</v>
      </c>
      <c r="D57" s="62">
        <f>IF(main!BU517="","",ROUND(main!BU517*100,6))</f>
        <v>56.005595999999997</v>
      </c>
      <c r="E57" s="62" t="str">
        <f>IF(main!BU519="","",ROUND(main!BU519*100,6))</f>
        <v/>
      </c>
    </row>
    <row r="58" spans="1:5" x14ac:dyDescent="0.25">
      <c r="A58" s="61">
        <f>main!I5</f>
        <v>46076</v>
      </c>
      <c r="B58" s="61">
        <f>main!J5</f>
        <v>46538</v>
      </c>
      <c r="C58" s="61">
        <f>main!BV4</f>
        <v>46437</v>
      </c>
      <c r="D58" s="62">
        <f>IF(main!BV517="","",ROUND(main!BV517*100,6))</f>
        <v>58.962575000000001</v>
      </c>
      <c r="E58" s="62" t="str">
        <f>IF(main!BV519="","",ROUND(main!BV519*100,6))</f>
        <v/>
      </c>
    </row>
    <row r="59" spans="1:5" x14ac:dyDescent="0.25">
      <c r="A59" s="61">
        <f>main!I5</f>
        <v>46076</v>
      </c>
      <c r="B59" s="61">
        <f>main!J5</f>
        <v>46538</v>
      </c>
      <c r="C59" s="61">
        <f>main!BW4</f>
        <v>46444</v>
      </c>
      <c r="D59" s="62">
        <f>IF(main!BW517="","",ROUND(main!BW517*100,6))</f>
        <v>61.618955</v>
      </c>
      <c r="E59" s="62" t="str">
        <f>IF(main!BW519="","",ROUND(main!BW519*100,6))</f>
        <v/>
      </c>
    </row>
    <row r="60" spans="1:5" x14ac:dyDescent="0.25">
      <c r="A60" s="61">
        <f>main!I5</f>
        <v>46076</v>
      </c>
      <c r="B60" s="61">
        <f>main!J5</f>
        <v>46538</v>
      </c>
      <c r="C60" s="61">
        <f>main!BX4</f>
        <v>46451</v>
      </c>
      <c r="D60" s="62">
        <f>IF(main!BX517="","",ROUND(main!BX517*100,6))</f>
        <v>64.331265000000002</v>
      </c>
      <c r="E60" s="62" t="str">
        <f>IF(main!BX519="","",ROUND(main!BX519*100,6))</f>
        <v/>
      </c>
    </row>
    <row r="61" spans="1:5" x14ac:dyDescent="0.25">
      <c r="A61" s="61">
        <f>main!I5</f>
        <v>46076</v>
      </c>
      <c r="B61" s="61">
        <f>main!J5</f>
        <v>46538</v>
      </c>
      <c r="C61" s="61">
        <f>main!BY4</f>
        <v>46458</v>
      </c>
      <c r="D61" s="62">
        <f>IF(main!BY517="","",ROUND(main!BY517*100,6))</f>
        <v>67.413696999999999</v>
      </c>
      <c r="E61" s="62" t="str">
        <f>IF(main!BY519="","",ROUND(main!BY519*100,6))</f>
        <v/>
      </c>
    </row>
    <row r="62" spans="1:5" x14ac:dyDescent="0.25">
      <c r="A62" s="61">
        <f>main!I5</f>
        <v>46076</v>
      </c>
      <c r="B62" s="61">
        <f>main!J5</f>
        <v>46538</v>
      </c>
      <c r="C62" s="61">
        <f>main!BZ4</f>
        <v>46465</v>
      </c>
      <c r="D62" s="62">
        <f>IF(main!BZ517="","",ROUND(main!BZ517*100,6))</f>
        <v>70.609674999999996</v>
      </c>
      <c r="E62" s="62" t="str">
        <f>IF(main!BZ519="","",ROUND(main!BZ519*100,6))</f>
        <v/>
      </c>
    </row>
    <row r="63" spans="1:5" x14ac:dyDescent="0.25">
      <c r="A63" s="61">
        <f>main!I5</f>
        <v>46076</v>
      </c>
      <c r="B63" s="61">
        <f>main!J5</f>
        <v>46538</v>
      </c>
      <c r="C63" s="61">
        <f>main!CA4</f>
        <v>46472</v>
      </c>
      <c r="D63" s="62">
        <f>IF(main!CA517="","",ROUND(main!CA517*100,6))</f>
        <v>73.853369999999998</v>
      </c>
      <c r="E63" s="62" t="str">
        <f>IF(main!CA519="","",ROUND(main!CA519*100,6))</f>
        <v/>
      </c>
    </row>
    <row r="64" spans="1:5" x14ac:dyDescent="0.25">
      <c r="A64" s="61">
        <f>main!I5</f>
        <v>46076</v>
      </c>
      <c r="B64" s="61">
        <f>main!J5</f>
        <v>46538</v>
      </c>
      <c r="C64" s="61">
        <f>main!CB4</f>
        <v>46479</v>
      </c>
      <c r="D64" s="62">
        <f>IF(main!CB517="","",ROUND(main!CB517*100,6))</f>
        <v>76.756855999999999</v>
      </c>
      <c r="E64" s="62" t="str">
        <f>IF(main!CB519="","",ROUND(main!CB519*100,6))</f>
        <v/>
      </c>
    </row>
    <row r="65" spans="1:5" x14ac:dyDescent="0.25">
      <c r="A65" s="61">
        <f>main!I5</f>
        <v>46076</v>
      </c>
      <c r="B65" s="61">
        <f>main!J5</f>
        <v>46538</v>
      </c>
      <c r="C65" s="61">
        <f>main!CC4</f>
        <v>46486</v>
      </c>
      <c r="D65" s="62">
        <f>IF(main!CC517="","",ROUND(main!CC517*100,6))</f>
        <v>79.781442999999996</v>
      </c>
      <c r="E65" s="62" t="str">
        <f>IF(main!CC519="","",ROUND(main!CC519*100,6))</f>
        <v/>
      </c>
    </row>
    <row r="66" spans="1:5" x14ac:dyDescent="0.25">
      <c r="A66" s="61">
        <f>main!I5</f>
        <v>46076</v>
      </c>
      <c r="B66" s="61">
        <f>main!J5</f>
        <v>46538</v>
      </c>
      <c r="C66" s="61">
        <f>main!CD4</f>
        <v>46493</v>
      </c>
      <c r="D66" s="62">
        <f>IF(main!CD517="","",ROUND(main!CD517*100,6))</f>
        <v>82.693252000000001</v>
      </c>
      <c r="E66" s="62" t="str">
        <f>IF(main!CD519="","",ROUND(main!CD519*100,6))</f>
        <v/>
      </c>
    </row>
    <row r="67" spans="1:5" x14ac:dyDescent="0.25">
      <c r="A67" s="61">
        <f>main!I5</f>
        <v>46076</v>
      </c>
      <c r="B67" s="61">
        <f>main!J5</f>
        <v>46538</v>
      </c>
      <c r="C67" s="61">
        <f>main!CE4</f>
        <v>46500</v>
      </c>
      <c r="D67" s="62">
        <f>IF(main!CE517="","",ROUND(main!CE517*100,6))</f>
        <v>85.089003000000005</v>
      </c>
      <c r="E67" s="62" t="str">
        <f>IF(main!CE519="","",ROUND(main!CE519*100,6))</f>
        <v/>
      </c>
    </row>
    <row r="68" spans="1:5" x14ac:dyDescent="0.25">
      <c r="A68" s="61">
        <f>main!I5</f>
        <v>46076</v>
      </c>
      <c r="B68" s="61">
        <f>main!J5</f>
        <v>46538</v>
      </c>
      <c r="C68" s="61">
        <f>main!CF4</f>
        <v>46507</v>
      </c>
      <c r="D68" s="62">
        <f>IF(main!CF517="","",ROUND(main!CF517*100,6))</f>
        <v>87.934642999999994</v>
      </c>
      <c r="E68" s="62" t="str">
        <f>IF(main!CF519="","",ROUND(main!CF519*100,6))</f>
        <v/>
      </c>
    </row>
    <row r="69" spans="1:5" x14ac:dyDescent="0.25">
      <c r="A69" s="61">
        <f>main!I5</f>
        <v>46076</v>
      </c>
      <c r="B69" s="61">
        <f>main!J5</f>
        <v>46538</v>
      </c>
      <c r="C69" s="61">
        <f>main!CG4</f>
        <v>46514</v>
      </c>
      <c r="D69" s="62">
        <f>IF(main!CG517="","",ROUND(main!CG517*100,6))</f>
        <v>91.736175000000003</v>
      </c>
      <c r="E69" s="62" t="str">
        <f>IF(main!CG519="","",ROUND(main!CG519*100,6))</f>
        <v/>
      </c>
    </row>
    <row r="70" spans="1:5" x14ac:dyDescent="0.25">
      <c r="A70" s="61">
        <f>main!I5</f>
        <v>46076</v>
      </c>
      <c r="B70" s="61">
        <f>main!J5</f>
        <v>46538</v>
      </c>
      <c r="C70" s="61">
        <f>main!CH4</f>
        <v>46521</v>
      </c>
      <c r="D70" s="62">
        <f>IF(main!CH517="","",ROUND(main!CH517*100,6))</f>
        <v>95.453496999999999</v>
      </c>
      <c r="E70" s="62" t="str">
        <f>IF(main!CH519="","",ROUND(main!CH519*100,6))</f>
        <v/>
      </c>
    </row>
    <row r="71" spans="1:5" x14ac:dyDescent="0.25">
      <c r="A71" s="61">
        <f>main!I5</f>
        <v>46076</v>
      </c>
      <c r="B71" s="61">
        <f>main!J5</f>
        <v>46538</v>
      </c>
      <c r="C71" s="61">
        <f>main!CI4</f>
        <v>46528</v>
      </c>
      <c r="D71" s="62">
        <f>IF(main!CI517="","",ROUND(main!CI517*100,6))</f>
        <v>97.511325999999997</v>
      </c>
      <c r="E71" s="62" t="str">
        <f>IF(main!CI519="","",ROUND(main!CI519*100,6))</f>
        <v/>
      </c>
    </row>
    <row r="72" spans="1:5" x14ac:dyDescent="0.25">
      <c r="A72" s="61">
        <f>main!I5</f>
        <v>46076</v>
      </c>
      <c r="B72" s="61">
        <f>main!J5</f>
        <v>46538</v>
      </c>
      <c r="C72" s="61">
        <f>main!CJ4</f>
        <v>46535</v>
      </c>
      <c r="D72" s="62">
        <f>IF(main!CJ517="","",ROUND(main!CJ517*100,6))</f>
        <v>99.343098999999995</v>
      </c>
      <c r="E72" s="62" t="str">
        <f>IF(main!CJ519="","",ROUND(main!CJ519*100,6))</f>
        <v/>
      </c>
    </row>
    <row r="73" spans="1:5" x14ac:dyDescent="0.25">
      <c r="A73" s="61">
        <f>main!I5</f>
        <v>46076</v>
      </c>
      <c r="B73" s="61">
        <f>main!J5</f>
        <v>46538</v>
      </c>
      <c r="C73" s="61">
        <f>main!CK4</f>
        <v>46542</v>
      </c>
      <c r="D73" s="62">
        <f>IF(main!CK517="","",ROUND(main!CK517*100,6))</f>
        <v>100</v>
      </c>
      <c r="E73" s="62" t="str">
        <f>IF(main!CK519="","",ROUND(main!CK519*100,6))</f>
        <v/>
      </c>
    </row>
    <row r="74" spans="1:5" x14ac:dyDescent="0.25">
      <c r="A74" s="61">
        <f>main!I5</f>
        <v>46076</v>
      </c>
      <c r="B74" s="61">
        <f>main!J5</f>
        <v>46538</v>
      </c>
      <c r="C74" s="61">
        <f>main!CL4</f>
        <v>46549</v>
      </c>
      <c r="D74" s="62">
        <f>IF(main!CL517="","",ROUND(main!CL517*100,6))</f>
        <v>100</v>
      </c>
      <c r="E74" s="62" t="str">
        <f>IF(main!CL519="","",ROUND(main!CL519*100,6))</f>
        <v/>
      </c>
    </row>
    <row r="75" spans="1:5" x14ac:dyDescent="0.25">
      <c r="A75" s="61">
        <f>main!I5</f>
        <v>46076</v>
      </c>
      <c r="B75" s="61">
        <f>main!J5</f>
        <v>46538</v>
      </c>
      <c r="C75" s="61">
        <f>main!CM4</f>
        <v>46556</v>
      </c>
      <c r="D75" s="62">
        <f>IF(main!CM517="","",ROUND(main!CM517*100,6))</f>
        <v>100</v>
      </c>
      <c r="E75" s="62" t="str">
        <f>IF(main!CM519="","",ROUND(main!CM519*100,6))</f>
        <v/>
      </c>
    </row>
    <row r="76" spans="1:5" x14ac:dyDescent="0.25">
      <c r="A76" s="61">
        <f>main!I5</f>
        <v>46076</v>
      </c>
      <c r="B76" s="61">
        <f>main!J5</f>
        <v>46538</v>
      </c>
      <c r="C76" s="61">
        <f>main!CN4</f>
        <v>46563</v>
      </c>
      <c r="D76" s="62">
        <f>IF(main!CN517="","",ROUND(main!CN517*100,6))</f>
        <v>100</v>
      </c>
      <c r="E76" s="62" t="str">
        <f>IF(main!CN519="","",ROUND(main!CN519*100,6))</f>
        <v/>
      </c>
    </row>
    <row r="77" spans="1:5" x14ac:dyDescent="0.25">
      <c r="A77" s="61">
        <f>main!I5</f>
        <v>46076</v>
      </c>
      <c r="B77" s="61">
        <f>main!J5</f>
        <v>46538</v>
      </c>
      <c r="C77" s="61">
        <f>main!CO4</f>
        <v>46570</v>
      </c>
      <c r="D77" s="62">
        <f>IF(main!CO517="","",ROUND(main!CO517*100,6))</f>
        <v>100</v>
      </c>
      <c r="E77" s="62" t="str">
        <f>IF(main!CO519="","",ROUND(main!CO519*100,6))</f>
        <v/>
      </c>
    </row>
  </sheetData>
  <autoFilter ref="A1:E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511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46" customWidth="1"/>
    <col min="3" max="3" width="16" customWidth="1"/>
    <col min="4" max="4" width="8" customWidth="1"/>
    <col min="5" max="5" width="14" customWidth="1"/>
    <col min="6" max="81" width="12" customWidth="1"/>
  </cols>
  <sheetData>
    <row r="1" spans="1:81" ht="24" customHeight="1" x14ac:dyDescent="0.25">
      <c r="A1" s="63" t="s">
        <v>92</v>
      </c>
      <c r="B1" s="63" t="s">
        <v>746</v>
      </c>
      <c r="C1" s="63" t="s">
        <v>105</v>
      </c>
      <c r="D1" s="63" t="s">
        <v>94</v>
      </c>
      <c r="E1" s="63" t="s">
        <v>776</v>
      </c>
      <c r="F1" s="64">
        <f>main!R4</f>
        <v>46045</v>
      </c>
      <c r="G1" s="64">
        <f>main!S4</f>
        <v>46052</v>
      </c>
      <c r="H1" s="64">
        <f>main!T4</f>
        <v>46059</v>
      </c>
      <c r="I1" s="64">
        <f>main!U4</f>
        <v>46066</v>
      </c>
      <c r="J1" s="64">
        <f>main!V4</f>
        <v>46073</v>
      </c>
      <c r="K1" s="64">
        <f>main!W4</f>
        <v>46080</v>
      </c>
      <c r="L1" s="64">
        <f>main!X4</f>
        <v>46087</v>
      </c>
      <c r="M1" s="64">
        <f>main!Y4</f>
        <v>46094</v>
      </c>
      <c r="N1" s="64">
        <f>main!Z4</f>
        <v>46101</v>
      </c>
      <c r="O1" s="64">
        <f>main!AA4</f>
        <v>46108</v>
      </c>
      <c r="P1" s="64">
        <f>main!AB4</f>
        <v>46115</v>
      </c>
      <c r="Q1" s="64">
        <f>main!AC4</f>
        <v>46122</v>
      </c>
      <c r="R1" s="64">
        <f>main!AD4</f>
        <v>46129</v>
      </c>
      <c r="S1" s="64">
        <f>main!AE4</f>
        <v>46136</v>
      </c>
      <c r="T1" s="64">
        <f>main!AF4</f>
        <v>46143</v>
      </c>
      <c r="U1" s="64">
        <f>main!AG4</f>
        <v>46150</v>
      </c>
      <c r="V1" s="64">
        <f>main!AH4</f>
        <v>46157</v>
      </c>
      <c r="W1" s="64">
        <f>main!AI4</f>
        <v>46164</v>
      </c>
      <c r="X1" s="64">
        <f>main!AJ4</f>
        <v>46171</v>
      </c>
      <c r="Y1" s="64">
        <f>main!AK4</f>
        <v>46178</v>
      </c>
      <c r="Z1" s="64">
        <f>main!AL4</f>
        <v>46185</v>
      </c>
      <c r="AA1" s="64">
        <f>main!AM4</f>
        <v>46192</v>
      </c>
      <c r="AB1" s="64">
        <f>main!AN4</f>
        <v>46199</v>
      </c>
      <c r="AC1" s="64">
        <f>main!AO4</f>
        <v>46206</v>
      </c>
      <c r="AD1" s="64">
        <f>main!AP4</f>
        <v>46213</v>
      </c>
      <c r="AE1" s="64">
        <f>main!AQ4</f>
        <v>46220</v>
      </c>
      <c r="AF1" s="64">
        <f>main!AR4</f>
        <v>46227</v>
      </c>
      <c r="AG1" s="64">
        <f>main!AS4</f>
        <v>46234</v>
      </c>
      <c r="AH1" s="64">
        <f>main!AT4</f>
        <v>46241</v>
      </c>
      <c r="AI1" s="64">
        <f>main!AU4</f>
        <v>46248</v>
      </c>
      <c r="AJ1" s="64">
        <f>main!AV4</f>
        <v>46255</v>
      </c>
      <c r="AK1" s="64">
        <f>main!AW4</f>
        <v>46262</v>
      </c>
      <c r="AL1" s="64">
        <f>main!AX4</f>
        <v>46269</v>
      </c>
      <c r="AM1" s="64">
        <f>main!AY4</f>
        <v>46276</v>
      </c>
      <c r="AN1" s="64">
        <f>main!AZ4</f>
        <v>46283</v>
      </c>
      <c r="AO1" s="64">
        <f>main!BA4</f>
        <v>46290</v>
      </c>
      <c r="AP1" s="64">
        <f>main!BB4</f>
        <v>46297</v>
      </c>
      <c r="AQ1" s="64">
        <f>main!BC4</f>
        <v>46304</v>
      </c>
      <c r="AR1" s="64">
        <f>main!BD4</f>
        <v>46311</v>
      </c>
      <c r="AS1" s="64">
        <f>main!BE4</f>
        <v>46318</v>
      </c>
      <c r="AT1" s="64">
        <f>main!BF4</f>
        <v>46325</v>
      </c>
      <c r="AU1" s="64">
        <f>main!BG4</f>
        <v>46332</v>
      </c>
      <c r="AV1" s="64">
        <f>main!BH4</f>
        <v>46339</v>
      </c>
      <c r="AW1" s="64">
        <f>main!BI4</f>
        <v>46346</v>
      </c>
      <c r="AX1" s="64">
        <f>main!BJ4</f>
        <v>46353</v>
      </c>
      <c r="AY1" s="64">
        <f>main!BK4</f>
        <v>46360</v>
      </c>
      <c r="AZ1" s="64">
        <f>main!BL4</f>
        <v>46367</v>
      </c>
      <c r="BA1" s="64">
        <f>main!BM4</f>
        <v>46374</v>
      </c>
      <c r="BB1" s="64">
        <f>main!BN4</f>
        <v>46381</v>
      </c>
      <c r="BC1" s="64">
        <f>main!BO4</f>
        <v>46388</v>
      </c>
      <c r="BD1" s="64">
        <f>main!BP4</f>
        <v>46395</v>
      </c>
      <c r="BE1" s="64">
        <f>main!BQ4</f>
        <v>46402</v>
      </c>
      <c r="BF1" s="64">
        <f>main!BR4</f>
        <v>46409</v>
      </c>
      <c r="BG1" s="64">
        <f>main!BS4</f>
        <v>46416</v>
      </c>
      <c r="BH1" s="64">
        <f>main!BT4</f>
        <v>46423</v>
      </c>
      <c r="BI1" s="64">
        <f>main!BU4</f>
        <v>46430</v>
      </c>
      <c r="BJ1" s="64">
        <f>main!BV4</f>
        <v>46437</v>
      </c>
      <c r="BK1" s="64">
        <f>main!BW4</f>
        <v>46444</v>
      </c>
      <c r="BL1" s="64">
        <f>main!BX4</f>
        <v>46451</v>
      </c>
      <c r="BM1" s="64">
        <f>main!BY4</f>
        <v>46458</v>
      </c>
      <c r="BN1" s="64">
        <f>main!BZ4</f>
        <v>46465</v>
      </c>
      <c r="BO1" s="64">
        <f>main!CA4</f>
        <v>46472</v>
      </c>
      <c r="BP1" s="64">
        <f>main!CB4</f>
        <v>46479</v>
      </c>
      <c r="BQ1" s="64">
        <f>main!CC4</f>
        <v>46486</v>
      </c>
      <c r="BR1" s="64">
        <f>main!CD4</f>
        <v>46493</v>
      </c>
      <c r="BS1" s="64">
        <f>main!CE4</f>
        <v>46500</v>
      </c>
      <c r="BT1" s="64">
        <f>main!CF4</f>
        <v>46507</v>
      </c>
      <c r="BU1" s="64">
        <f>main!CG4</f>
        <v>46514</v>
      </c>
      <c r="BV1" s="64">
        <f>main!CH4</f>
        <v>46521</v>
      </c>
      <c r="BW1" s="64">
        <f>main!CI4</f>
        <v>46528</v>
      </c>
      <c r="BX1" s="64">
        <f>main!CJ4</f>
        <v>46535</v>
      </c>
      <c r="BY1" s="64">
        <f>main!CK4</f>
        <v>46542</v>
      </c>
      <c r="BZ1" s="64">
        <f>main!CL4</f>
        <v>46549</v>
      </c>
      <c r="CA1" s="64">
        <f>main!CM4</f>
        <v>46556</v>
      </c>
      <c r="CB1" s="64">
        <f>main!CN4</f>
        <v>46563</v>
      </c>
      <c r="CC1" s="64">
        <f>main!CO4</f>
        <v>46570</v>
      </c>
    </row>
    <row r="2" spans="1:81" x14ac:dyDescent="0.25">
      <c r="A2" s="65" t="s">
        <v>777</v>
      </c>
      <c r="B2" s="66" t="str">
        <f>main!C5</f>
        <v>NKC2</v>
      </c>
      <c r="C2" s="67">
        <f>main!O5</f>
        <v>17200000</v>
      </c>
      <c r="D2" s="65" t="s">
        <v>110</v>
      </c>
      <c r="E2" s="68">
        <f t="shared" ref="E2:E65" si="0">IF(COUNT(F2:CC2)=0,"",ROUND(SUM(F2:CC2),6))</f>
        <v>99.999995999999996</v>
      </c>
      <c r="F2" s="68" t="str">
        <f>IF(main!R5="","",ROUND(main!R5*100,6))</f>
        <v/>
      </c>
      <c r="G2" s="68" t="str">
        <f>IF(main!S5="","",ROUND(main!S5*100,6))</f>
        <v/>
      </c>
      <c r="H2" s="68" t="str">
        <f>IF(main!T5="","",ROUND(main!T5*100,6))</f>
        <v/>
      </c>
      <c r="I2" s="68" t="str">
        <f>IF(main!U5="","",ROUND(main!U5*100,6))</f>
        <v/>
      </c>
      <c r="J2" s="68" t="str">
        <f>IF(main!V5="","",ROUND(main!V5*100,6))</f>
        <v/>
      </c>
      <c r="K2" s="68">
        <f>IF(main!W5="","",ROUND(main!W5*100,6))</f>
        <v>8.8090000000000002E-2</v>
      </c>
      <c r="L2" s="68">
        <f>IF(main!X5="","",ROUND(main!X5*100,6))</f>
        <v>0.109623</v>
      </c>
      <c r="M2" s="68">
        <f>IF(main!Y5="","",ROUND(main!Y5*100,6))</f>
        <v>9.5920000000000005E-2</v>
      </c>
      <c r="N2" s="68">
        <f>IF(main!Z5="","",ROUND(main!Z5*100,6))</f>
        <v>8.2217999999999999E-2</v>
      </c>
      <c r="O2" s="68">
        <f>IF(main!AA5="","",ROUND(main!AA5*100,6))</f>
        <v>6.8515000000000006E-2</v>
      </c>
      <c r="P2" s="68">
        <f>IF(main!AB5="","",ROUND(main!AB5*100,6))</f>
        <v>5.4812E-2</v>
      </c>
      <c r="Q2" s="68">
        <f>IF(main!AC5="","",ROUND(main!AC5*100,6))</f>
        <v>4.1109E-2</v>
      </c>
      <c r="R2" s="68">
        <f>IF(main!AD5="","",ROUND(main!AD5*100,6))</f>
        <v>5.5091000000000001E-2</v>
      </c>
      <c r="S2" s="68">
        <f>IF(main!AE5="","",ROUND(main!AE5*100,6))</f>
        <v>0.20750099999999999</v>
      </c>
      <c r="T2" s="68">
        <f>IF(main!AF5="","",ROUND(main!AF5*100,6))</f>
        <v>0.193798</v>
      </c>
      <c r="U2" s="68">
        <f>IF(main!AG5="","",ROUND(main!AG5*100,6))</f>
        <v>0.22148399999999999</v>
      </c>
      <c r="V2" s="68">
        <f>IF(main!AH5="","",ROUND(main!AH5*100,6))</f>
        <v>0.38759700000000002</v>
      </c>
      <c r="W2" s="68">
        <f>IF(main!AI5="","",ROUND(main!AI5*100,6))</f>
        <v>0.38759700000000002</v>
      </c>
      <c r="X2" s="68">
        <f>IF(main!AJ5="","",ROUND(main!AJ5*100,6))</f>
        <v>0.35991099999999998</v>
      </c>
      <c r="Y2" s="68">
        <f>IF(main!AK5="","",ROUND(main!AK5*100,6))</f>
        <v>0.193798</v>
      </c>
      <c r="Z2" s="68">
        <f>IF(main!AL5="","",ROUND(main!AL5*100,6))</f>
        <v>0.193798</v>
      </c>
      <c r="AA2" s="68">
        <f>IF(main!AM5="","",ROUND(main!AM5*100,6))</f>
        <v>0.18687699999999999</v>
      </c>
      <c r="AB2" s="68">
        <f>IF(main!AN5="","",ROUND(main!AN5*100,6))</f>
        <v>0.14534900000000001</v>
      </c>
      <c r="AC2" s="68">
        <f>IF(main!AO5="","",ROUND(main!AO5*100,6))</f>
        <v>0.14534900000000001</v>
      </c>
      <c r="AD2" s="68">
        <f>IF(main!AP5="","",ROUND(main!AP5*100,6))</f>
        <v>0.14534900000000001</v>
      </c>
      <c r="AE2" s="68">
        <f>IF(main!AQ5="","",ROUND(main!AQ5*100,6))</f>
        <v>0.18687699999999999</v>
      </c>
      <c r="AF2" s="68">
        <f>IF(main!AR5="","",ROUND(main!AR5*100,6))</f>
        <v>0.43604700000000002</v>
      </c>
      <c r="AG2" s="68">
        <f>IF(main!AS5="","",ROUND(main!AS5*100,6))</f>
        <v>0.62359299999999995</v>
      </c>
      <c r="AH2" s="68">
        <f>IF(main!AT5="","",ROUND(main!AT5*100,6))</f>
        <v>0.63297099999999995</v>
      </c>
      <c r="AI2" s="68">
        <f>IF(main!AU5="","",ROUND(main!AU5*100,6))</f>
        <v>0.54656499999999997</v>
      </c>
      <c r="AJ2" s="68">
        <f>IF(main!AV5="","",ROUND(main!AV5*100,6))</f>
        <v>0.67933699999999997</v>
      </c>
      <c r="AK2" s="68">
        <f>IF(main!AW5="","",ROUND(main!AW5*100,6))</f>
        <v>0.87343400000000004</v>
      </c>
      <c r="AL2" s="68">
        <f>IF(main!AX5="","",ROUND(main!AX5*100,6))</f>
        <v>0.90213900000000002</v>
      </c>
      <c r="AM2" s="68">
        <f>IF(main!AY5="","",ROUND(main!AY5*100,6))</f>
        <v>0.49839299999999997</v>
      </c>
      <c r="AN2" s="68">
        <f>IF(main!AZ5="","",ROUND(main!AZ5*100,6))</f>
        <v>1.0428740000000001</v>
      </c>
      <c r="AO2" s="68">
        <f>IF(main!BA5="","",ROUND(main!BA5*100,6))</f>
        <v>1.0844020000000001</v>
      </c>
      <c r="AP2" s="68">
        <f>IF(main!BB5="","",ROUND(main!BB5*100,6))</f>
        <v>0.97311999999999999</v>
      </c>
      <c r="AQ2" s="68">
        <f>IF(main!BC5="","",ROUND(main!BC5*100,6))</f>
        <v>1.8528450000000001</v>
      </c>
      <c r="AR2" s="68">
        <f>IF(main!BD5="","",ROUND(main!BD5*100,6))</f>
        <v>2.0638030000000001</v>
      </c>
      <c r="AS2" s="68">
        <f>IF(main!BE5="","",ROUND(main!BE5*100,6))</f>
        <v>2.2155930000000001</v>
      </c>
      <c r="AT2" s="68">
        <f>IF(main!BF5="","",ROUND(main!BF5*100,6))</f>
        <v>1.691441</v>
      </c>
      <c r="AU2" s="68">
        <f>IF(main!BG5="","",ROUND(main!BG5*100,6))</f>
        <v>1.5741130000000001</v>
      </c>
      <c r="AV2" s="68">
        <f>IF(main!BH5="","",ROUND(main!BH5*100,6))</f>
        <v>1.759396</v>
      </c>
      <c r="AW2" s="68">
        <f>IF(main!BI5="","",ROUND(main!BI5*100,6))</f>
        <v>1.736726</v>
      </c>
      <c r="AX2" s="68">
        <f>IF(main!BJ5="","",ROUND(main!BJ5*100,6))</f>
        <v>1.5686370000000001</v>
      </c>
      <c r="AY2" s="68">
        <f>IF(main!BK5="","",ROUND(main!BK5*100,6))</f>
        <v>1.9984459999999999</v>
      </c>
      <c r="AZ2" s="68">
        <f>IF(main!BL5="","",ROUND(main!BL5*100,6))</f>
        <v>2.1303130000000001</v>
      </c>
      <c r="BA2" s="68">
        <f>IF(main!BM5="","",ROUND(main!BM5*100,6))</f>
        <v>2.4493749999999999</v>
      </c>
      <c r="BB2" s="68">
        <f>IF(main!BN5="","",ROUND(main!BN5*100,6))</f>
        <v>2.831118</v>
      </c>
      <c r="BC2" s="68">
        <f>IF(main!BO5="","",ROUND(main!BO5*100,6))</f>
        <v>3.6380629999999998</v>
      </c>
      <c r="BD2" s="68">
        <f>IF(main!BP5="","",ROUND(main!BP5*100,6))</f>
        <v>3.299007</v>
      </c>
      <c r="BE2" s="68">
        <f>IF(main!BQ5="","",ROUND(main!BQ5*100,6))</f>
        <v>3.299204</v>
      </c>
      <c r="BF2" s="68">
        <f>IF(main!BR5="","",ROUND(main!BR5*100,6))</f>
        <v>2.5943399999999999</v>
      </c>
      <c r="BG2" s="68">
        <f>IF(main!BS5="","",ROUND(main!BS5*100,6))</f>
        <v>2.2813119999999998</v>
      </c>
      <c r="BH2" s="68">
        <f>IF(main!BT5="","",ROUND(main!BT5*100,6))</f>
        <v>2.5069309999999998</v>
      </c>
      <c r="BI2" s="68">
        <f>IF(main!BU5="","",ROUND(main!BU5*100,6))</f>
        <v>2.6713909999999998</v>
      </c>
      <c r="BJ2" s="68">
        <f>IF(main!BV5="","",ROUND(main!BV5*100,6))</f>
        <v>2.956979</v>
      </c>
      <c r="BK2" s="68">
        <f>IF(main!BW5="","",ROUND(main!BW5*100,6))</f>
        <v>2.65638</v>
      </c>
      <c r="BL2" s="68">
        <f>IF(main!BX5="","",ROUND(main!BX5*100,6))</f>
        <v>2.71231</v>
      </c>
      <c r="BM2" s="68">
        <f>IF(main!BY5="","",ROUND(main!BY5*100,6))</f>
        <v>3.0824319999999998</v>
      </c>
      <c r="BN2" s="68">
        <f>IF(main!BZ5="","",ROUND(main!BZ5*100,6))</f>
        <v>3.1959780000000002</v>
      </c>
      <c r="BO2" s="68">
        <f>IF(main!CA5="","",ROUND(main!CA5*100,6))</f>
        <v>3.2436950000000002</v>
      </c>
      <c r="BP2" s="68">
        <f>IF(main!CB5="","",ROUND(main!CB5*100,6))</f>
        <v>2.903486</v>
      </c>
      <c r="BQ2" s="68">
        <f>IF(main!CC5="","",ROUND(main!CC5*100,6))</f>
        <v>3.0245869999999999</v>
      </c>
      <c r="BR2" s="68">
        <f>IF(main!CD5="","",ROUND(main!CD5*100,6))</f>
        <v>2.91181</v>
      </c>
      <c r="BS2" s="68">
        <f>IF(main!CE5="","",ROUND(main!CE5*100,6))</f>
        <v>2.3957510000000002</v>
      </c>
      <c r="BT2" s="68">
        <f>IF(main!CF5="","",ROUND(main!CF5*100,6))</f>
        <v>2.8456399999999999</v>
      </c>
      <c r="BU2" s="68">
        <f>IF(main!CG5="","",ROUND(main!CG5*100,6))</f>
        <v>3.8015319999999999</v>
      </c>
      <c r="BV2" s="68">
        <f>IF(main!CH5="","",ROUND(main!CH5*100,6))</f>
        <v>3.7173219999999998</v>
      </c>
      <c r="BW2" s="68">
        <f>IF(main!CI5="","",ROUND(main!CI5*100,6))</f>
        <v>2.0578280000000002</v>
      </c>
      <c r="BX2" s="68">
        <f>IF(main!CJ5="","",ROUND(main!CJ5*100,6))</f>
        <v>1.8317730000000001</v>
      </c>
      <c r="BY2" s="68">
        <f>IF(main!CK5="","",ROUND(main!CK5*100,6))</f>
        <v>0.65690099999999996</v>
      </c>
      <c r="BZ2" s="68" t="str">
        <f>IF(main!CL5="","",ROUND(main!CL5*100,6))</f>
        <v/>
      </c>
      <c r="CA2" s="68" t="str">
        <f>IF(main!CM5="","",ROUND(main!CM5*100,6))</f>
        <v/>
      </c>
      <c r="CB2" s="68" t="str">
        <f>IF(main!CN5="","",ROUND(main!CN5*100,6))</f>
        <v/>
      </c>
      <c r="CC2" s="68" t="str">
        <f>IF(main!CO5="","",ROUND(main!CO5*100,6))</f>
        <v/>
      </c>
    </row>
    <row r="3" spans="1:81" x14ac:dyDescent="0.25">
      <c r="A3" s="65" t="s">
        <v>777</v>
      </c>
      <c r="B3" s="66" t="str">
        <f>main!C5</f>
        <v>NKC2</v>
      </c>
      <c r="C3" s="67">
        <f>main!O5</f>
        <v>17200000</v>
      </c>
      <c r="D3" s="65" t="s">
        <v>111</v>
      </c>
      <c r="E3" s="68" t="str">
        <f t="shared" si="0"/>
        <v/>
      </c>
      <c r="F3" s="68" t="str">
        <f>IF(main!R6="","",ROUND(main!R6*100,6))</f>
        <v/>
      </c>
      <c r="G3" s="68" t="str">
        <f>IF(main!S6="","",ROUND(main!S6*100,6))</f>
        <v/>
      </c>
      <c r="H3" s="68" t="str">
        <f>IF(main!T6="","",ROUND(main!T6*100,6))</f>
        <v/>
      </c>
      <c r="I3" s="68" t="str">
        <f>IF(main!U6="","",ROUND(main!U6*100,6))</f>
        <v/>
      </c>
      <c r="J3" s="68" t="str">
        <f>IF(main!V6="","",ROUND(main!V6*100,6))</f>
        <v/>
      </c>
      <c r="K3" s="68" t="str">
        <f>IF(main!W6="","",ROUND(main!W6*100,6))</f>
        <v/>
      </c>
      <c r="L3" s="68" t="str">
        <f>IF(main!X6="","",ROUND(main!X6*100,6))</f>
        <v/>
      </c>
      <c r="M3" s="68" t="str">
        <f>IF(main!Y6="","",ROUND(main!Y6*100,6))</f>
        <v/>
      </c>
      <c r="N3" s="68" t="str">
        <f>IF(main!Z6="","",ROUND(main!Z6*100,6))</f>
        <v/>
      </c>
      <c r="O3" s="68" t="str">
        <f>IF(main!AA6="","",ROUND(main!AA6*100,6))</f>
        <v/>
      </c>
      <c r="P3" s="68" t="str">
        <f>IF(main!AB6="","",ROUND(main!AB6*100,6))</f>
        <v/>
      </c>
      <c r="Q3" s="68" t="str">
        <f>IF(main!AC6="","",ROUND(main!AC6*100,6))</f>
        <v/>
      </c>
      <c r="R3" s="68" t="str">
        <f>IF(main!AD6="","",ROUND(main!AD6*100,6))</f>
        <v/>
      </c>
      <c r="S3" s="68" t="str">
        <f>IF(main!AE6="","",ROUND(main!AE6*100,6))</f>
        <v/>
      </c>
      <c r="T3" s="68" t="str">
        <f>IF(main!AF6="","",ROUND(main!AF6*100,6))</f>
        <v/>
      </c>
      <c r="U3" s="68" t="str">
        <f>IF(main!AG6="","",ROUND(main!AG6*100,6))</f>
        <v/>
      </c>
      <c r="V3" s="68" t="str">
        <f>IF(main!AH6="","",ROUND(main!AH6*100,6))</f>
        <v/>
      </c>
      <c r="W3" s="68" t="str">
        <f>IF(main!AI6="","",ROUND(main!AI6*100,6))</f>
        <v/>
      </c>
      <c r="X3" s="68" t="str">
        <f>IF(main!AJ6="","",ROUND(main!AJ6*100,6))</f>
        <v/>
      </c>
      <c r="Y3" s="68" t="str">
        <f>IF(main!AK6="","",ROUND(main!AK6*100,6))</f>
        <v/>
      </c>
      <c r="Z3" s="68" t="str">
        <f>IF(main!AL6="","",ROUND(main!AL6*100,6))</f>
        <v/>
      </c>
      <c r="AA3" s="68" t="str">
        <f>IF(main!AM6="","",ROUND(main!AM6*100,6))</f>
        <v/>
      </c>
      <c r="AB3" s="68" t="str">
        <f>IF(main!AN6="","",ROUND(main!AN6*100,6))</f>
        <v/>
      </c>
      <c r="AC3" s="68" t="str">
        <f>IF(main!AO6="","",ROUND(main!AO6*100,6))</f>
        <v/>
      </c>
      <c r="AD3" s="68" t="str">
        <f>IF(main!AP6="","",ROUND(main!AP6*100,6))</f>
        <v/>
      </c>
      <c r="AE3" s="68" t="str">
        <f>IF(main!AQ6="","",ROUND(main!AQ6*100,6))</f>
        <v/>
      </c>
      <c r="AF3" s="68" t="str">
        <f>IF(main!AR6="","",ROUND(main!AR6*100,6))</f>
        <v/>
      </c>
      <c r="AG3" s="68" t="str">
        <f>IF(main!AS6="","",ROUND(main!AS6*100,6))</f>
        <v/>
      </c>
      <c r="AH3" s="68" t="str">
        <f>IF(main!AT6="","",ROUND(main!AT6*100,6))</f>
        <v/>
      </c>
      <c r="AI3" s="68" t="str">
        <f>IF(main!AU6="","",ROUND(main!AU6*100,6))</f>
        <v/>
      </c>
      <c r="AJ3" s="68" t="str">
        <f>IF(main!AV6="","",ROUND(main!AV6*100,6))</f>
        <v/>
      </c>
      <c r="AK3" s="68" t="str">
        <f>IF(main!AW6="","",ROUND(main!AW6*100,6))</f>
        <v/>
      </c>
      <c r="AL3" s="68" t="str">
        <f>IF(main!AX6="","",ROUND(main!AX6*100,6))</f>
        <v/>
      </c>
      <c r="AM3" s="68" t="str">
        <f>IF(main!AY6="","",ROUND(main!AY6*100,6))</f>
        <v/>
      </c>
      <c r="AN3" s="68" t="str">
        <f>IF(main!AZ6="","",ROUND(main!AZ6*100,6))</f>
        <v/>
      </c>
      <c r="AO3" s="68" t="str">
        <f>IF(main!BA6="","",ROUND(main!BA6*100,6))</f>
        <v/>
      </c>
      <c r="AP3" s="68" t="str">
        <f>IF(main!BB6="","",ROUND(main!BB6*100,6))</f>
        <v/>
      </c>
      <c r="AQ3" s="68" t="str">
        <f>IF(main!BC6="","",ROUND(main!BC6*100,6))</f>
        <v/>
      </c>
      <c r="AR3" s="68" t="str">
        <f>IF(main!BD6="","",ROUND(main!BD6*100,6))</f>
        <v/>
      </c>
      <c r="AS3" s="68" t="str">
        <f>IF(main!BE6="","",ROUND(main!BE6*100,6))</f>
        <v/>
      </c>
      <c r="AT3" s="68" t="str">
        <f>IF(main!BF6="","",ROUND(main!BF6*100,6))</f>
        <v/>
      </c>
      <c r="AU3" s="68" t="str">
        <f>IF(main!BG6="","",ROUND(main!BG6*100,6))</f>
        <v/>
      </c>
      <c r="AV3" s="68" t="str">
        <f>IF(main!BH6="","",ROUND(main!BH6*100,6))</f>
        <v/>
      </c>
      <c r="AW3" s="68" t="str">
        <f>IF(main!BI6="","",ROUND(main!BI6*100,6))</f>
        <v/>
      </c>
      <c r="AX3" s="68" t="str">
        <f>IF(main!BJ6="","",ROUND(main!BJ6*100,6))</f>
        <v/>
      </c>
      <c r="AY3" s="68" t="str">
        <f>IF(main!BK6="","",ROUND(main!BK6*100,6))</f>
        <v/>
      </c>
      <c r="AZ3" s="68" t="str">
        <f>IF(main!BL6="","",ROUND(main!BL6*100,6))</f>
        <v/>
      </c>
      <c r="BA3" s="68" t="str">
        <f>IF(main!BM6="","",ROUND(main!BM6*100,6))</f>
        <v/>
      </c>
      <c r="BB3" s="68" t="str">
        <f>IF(main!BN6="","",ROUND(main!BN6*100,6))</f>
        <v/>
      </c>
      <c r="BC3" s="68" t="str">
        <f>IF(main!BO6="","",ROUND(main!BO6*100,6))</f>
        <v/>
      </c>
      <c r="BD3" s="68" t="str">
        <f>IF(main!BP6="","",ROUND(main!BP6*100,6))</f>
        <v/>
      </c>
      <c r="BE3" s="68" t="str">
        <f>IF(main!BQ6="","",ROUND(main!BQ6*100,6))</f>
        <v/>
      </c>
      <c r="BF3" s="68" t="str">
        <f>IF(main!BR6="","",ROUND(main!BR6*100,6))</f>
        <v/>
      </c>
      <c r="BG3" s="68" t="str">
        <f>IF(main!BS6="","",ROUND(main!BS6*100,6))</f>
        <v/>
      </c>
      <c r="BH3" s="68" t="str">
        <f>IF(main!BT6="","",ROUND(main!BT6*100,6))</f>
        <v/>
      </c>
      <c r="BI3" s="68" t="str">
        <f>IF(main!BU6="","",ROUND(main!BU6*100,6))</f>
        <v/>
      </c>
      <c r="BJ3" s="68" t="str">
        <f>IF(main!BV6="","",ROUND(main!BV6*100,6))</f>
        <v/>
      </c>
      <c r="BK3" s="68" t="str">
        <f>IF(main!BW6="","",ROUND(main!BW6*100,6))</f>
        <v/>
      </c>
      <c r="BL3" s="68" t="str">
        <f>IF(main!BX6="","",ROUND(main!BX6*100,6))</f>
        <v/>
      </c>
      <c r="BM3" s="68" t="str">
        <f>IF(main!BY6="","",ROUND(main!BY6*100,6))</f>
        <v/>
      </c>
      <c r="BN3" s="68" t="str">
        <f>IF(main!BZ6="","",ROUND(main!BZ6*100,6))</f>
        <v/>
      </c>
      <c r="BO3" s="68" t="str">
        <f>IF(main!CA6="","",ROUND(main!CA6*100,6))</f>
        <v/>
      </c>
      <c r="BP3" s="68" t="str">
        <f>IF(main!CB6="","",ROUND(main!CB6*100,6))</f>
        <v/>
      </c>
      <c r="BQ3" s="68" t="str">
        <f>IF(main!CC6="","",ROUND(main!CC6*100,6))</f>
        <v/>
      </c>
      <c r="BR3" s="68" t="str">
        <f>IF(main!CD6="","",ROUND(main!CD6*100,6))</f>
        <v/>
      </c>
      <c r="BS3" s="68" t="str">
        <f>IF(main!CE6="","",ROUND(main!CE6*100,6))</f>
        <v/>
      </c>
      <c r="BT3" s="68" t="str">
        <f>IF(main!CF6="","",ROUND(main!CF6*100,6))</f>
        <v/>
      </c>
      <c r="BU3" s="68" t="str">
        <f>IF(main!CG6="","",ROUND(main!CG6*100,6))</f>
        <v/>
      </c>
      <c r="BV3" s="68" t="str">
        <f>IF(main!CH6="","",ROUND(main!CH6*100,6))</f>
        <v/>
      </c>
      <c r="BW3" s="68" t="str">
        <f>IF(main!CI6="","",ROUND(main!CI6*100,6))</f>
        <v/>
      </c>
      <c r="BX3" s="68" t="str">
        <f>IF(main!CJ6="","",ROUND(main!CJ6*100,6))</f>
        <v/>
      </c>
      <c r="BY3" s="68" t="str">
        <f>IF(main!CK6="","",ROUND(main!CK6*100,6))</f>
        <v/>
      </c>
      <c r="BZ3" s="68" t="str">
        <f>IF(main!CL6="","",ROUND(main!CL6*100,6))</f>
        <v/>
      </c>
      <c r="CA3" s="68" t="str">
        <f>IF(main!CM6="","",ROUND(main!CM6*100,6))</f>
        <v/>
      </c>
      <c r="CB3" s="68" t="str">
        <f>IF(main!CN6="","",ROUND(main!CN6*100,6))</f>
        <v/>
      </c>
      <c r="CC3" s="68" t="str">
        <f>IF(main!CO6="","",ROUND(main!CO6*100,6))</f>
        <v/>
      </c>
    </row>
    <row r="4" spans="1:81" x14ac:dyDescent="0.25">
      <c r="A4" s="65" t="s">
        <v>112</v>
      </c>
      <c r="B4" s="66" t="str">
        <f>main!C7</f>
        <v>งานเตรียมงาน</v>
      </c>
      <c r="C4" s="67">
        <f>main!O7</f>
        <v>1100000</v>
      </c>
      <c r="D4" s="65" t="s">
        <v>110</v>
      </c>
      <c r="E4" s="68">
        <f t="shared" si="0"/>
        <v>99.999999000000003</v>
      </c>
      <c r="F4" s="68" t="str">
        <f>IF(main!R7="","",ROUND(main!R7*100,6))</f>
        <v/>
      </c>
      <c r="G4" s="68" t="str">
        <f>IF(main!S7="","",ROUND(main!S7*100,6))</f>
        <v/>
      </c>
      <c r="H4" s="68" t="str">
        <f>IF(main!T7="","",ROUND(main!T7*100,6))</f>
        <v/>
      </c>
      <c r="I4" s="68" t="str">
        <f>IF(main!U7="","",ROUND(main!U7*100,6))</f>
        <v/>
      </c>
      <c r="J4" s="68" t="str">
        <f>IF(main!V7="","",ROUND(main!V7*100,6))</f>
        <v/>
      </c>
      <c r="K4" s="68">
        <f>IF(main!W7="","",ROUND(main!W7*100,6))</f>
        <v>1.37741</v>
      </c>
      <c r="L4" s="68">
        <f>IF(main!X7="","",ROUND(main!X7*100,6))</f>
        <v>1.7141109999999999</v>
      </c>
      <c r="M4" s="68">
        <f>IF(main!Y7="","",ROUND(main!Y7*100,6))</f>
        <v>1.4998469999999999</v>
      </c>
      <c r="N4" s="68">
        <f>IF(main!Z7="","",ROUND(main!Z7*100,6))</f>
        <v>1.2855829999999999</v>
      </c>
      <c r="O4" s="68">
        <f>IF(main!AA7="","",ROUND(main!AA7*100,6))</f>
        <v>1.0713189999999999</v>
      </c>
      <c r="P4" s="68">
        <f>IF(main!AB7="","",ROUND(main!AB7*100,6))</f>
        <v>0.85705500000000001</v>
      </c>
      <c r="Q4" s="68">
        <f>IF(main!AC7="","",ROUND(main!AC7*100,6))</f>
        <v>0.64279200000000003</v>
      </c>
      <c r="R4" s="68">
        <f>IF(main!AD7="","",ROUND(main!AD7*100,6))</f>
        <v>0.86142799999999997</v>
      </c>
      <c r="S4" s="68">
        <f>IF(main!AE7="","",ROUND(main!AE7*100,6))</f>
        <v>3.244567</v>
      </c>
      <c r="T4" s="68">
        <f>IF(main!AF7="","",ROUND(main!AF7*100,6))</f>
        <v>3.030303</v>
      </c>
      <c r="U4" s="68">
        <f>IF(main!AG7="","",ROUND(main!AG7*100,6))</f>
        <v>3.463203</v>
      </c>
      <c r="V4" s="68">
        <f>IF(main!AH7="","",ROUND(main!AH7*100,6))</f>
        <v>6.0606059999999999</v>
      </c>
      <c r="W4" s="68">
        <f>IF(main!AI7="","",ROUND(main!AI7*100,6))</f>
        <v>6.0606059999999999</v>
      </c>
      <c r="X4" s="68">
        <f>IF(main!AJ7="","",ROUND(main!AJ7*100,6))</f>
        <v>5.6277059999999999</v>
      </c>
      <c r="Y4" s="68">
        <f>IF(main!AK7="","",ROUND(main!AK7*100,6))</f>
        <v>3.030303</v>
      </c>
      <c r="Z4" s="68">
        <f>IF(main!AL7="","",ROUND(main!AL7*100,6))</f>
        <v>3.030303</v>
      </c>
      <c r="AA4" s="68">
        <f>IF(main!AM7="","",ROUND(main!AM7*100,6))</f>
        <v>2.922078</v>
      </c>
      <c r="AB4" s="68">
        <f>IF(main!AN7="","",ROUND(main!AN7*100,6))</f>
        <v>2.2727270000000002</v>
      </c>
      <c r="AC4" s="68">
        <f>IF(main!AO7="","",ROUND(main!AO7*100,6))</f>
        <v>2.2727270000000002</v>
      </c>
      <c r="AD4" s="68">
        <f>IF(main!AP7="","",ROUND(main!AP7*100,6))</f>
        <v>2.2727270000000002</v>
      </c>
      <c r="AE4" s="68">
        <f>IF(main!AQ7="","",ROUND(main!AQ7*100,6))</f>
        <v>2.922078</v>
      </c>
      <c r="AF4" s="68">
        <f>IF(main!AR7="","",ROUND(main!AR7*100,6))</f>
        <v>6.8181820000000002</v>
      </c>
      <c r="AG4" s="68">
        <f>IF(main!AS7="","",ROUND(main!AS7*100,6))</f>
        <v>6.8181820000000002</v>
      </c>
      <c r="AH4" s="68">
        <f>IF(main!AT7="","",ROUND(main!AT7*100,6))</f>
        <v>6.8181820000000002</v>
      </c>
      <c r="AI4" s="68">
        <f>IF(main!AU7="","",ROUND(main!AU7*100,6))</f>
        <v>6.493506</v>
      </c>
      <c r="AJ4" s="68">
        <f>IF(main!AV7="","",ROUND(main!AV7*100,6))</f>
        <v>4.5454549999999996</v>
      </c>
      <c r="AK4" s="68">
        <f>IF(main!AW7="","",ROUND(main!AW7*100,6))</f>
        <v>5.1948049999999997</v>
      </c>
      <c r="AL4" s="68">
        <f>IF(main!AX7="","",ROUND(main!AX7*100,6))</f>
        <v>7.7922079999999996</v>
      </c>
      <c r="AM4" s="68" t="str">
        <f>IF(main!AY7="","",ROUND(main!AY7*100,6))</f>
        <v/>
      </c>
      <c r="AN4" s="68" t="str">
        <f>IF(main!AZ7="","",ROUND(main!AZ7*100,6))</f>
        <v/>
      </c>
      <c r="AO4" s="68" t="str">
        <f>IF(main!BA7="","",ROUND(main!BA7*100,6))</f>
        <v/>
      </c>
      <c r="AP4" s="68" t="str">
        <f>IF(main!BB7="","",ROUND(main!BB7*100,6))</f>
        <v/>
      </c>
      <c r="AQ4" s="68" t="str">
        <f>IF(main!BC7="","",ROUND(main!BC7*100,6))</f>
        <v/>
      </c>
      <c r="AR4" s="68" t="str">
        <f>IF(main!BD7="","",ROUND(main!BD7*100,6))</f>
        <v/>
      </c>
      <c r="AS4" s="68" t="str">
        <f>IF(main!BE7="","",ROUND(main!BE7*100,6))</f>
        <v/>
      </c>
      <c r="AT4" s="68" t="str">
        <f>IF(main!BF7="","",ROUND(main!BF7*100,6))</f>
        <v/>
      </c>
      <c r="AU4" s="68" t="str">
        <f>IF(main!BG7="","",ROUND(main!BG7*100,6))</f>
        <v/>
      </c>
      <c r="AV4" s="68" t="str">
        <f>IF(main!BH7="","",ROUND(main!BH7*100,6))</f>
        <v/>
      </c>
      <c r="AW4" s="68" t="str">
        <f>IF(main!BI7="","",ROUND(main!BI7*100,6))</f>
        <v/>
      </c>
      <c r="AX4" s="68" t="str">
        <f>IF(main!BJ7="","",ROUND(main!BJ7*100,6))</f>
        <v/>
      </c>
      <c r="AY4" s="68" t="str">
        <f>IF(main!BK7="","",ROUND(main!BK7*100,6))</f>
        <v/>
      </c>
      <c r="AZ4" s="68" t="str">
        <f>IF(main!BL7="","",ROUND(main!BL7*100,6))</f>
        <v/>
      </c>
      <c r="BA4" s="68" t="str">
        <f>IF(main!BM7="","",ROUND(main!BM7*100,6))</f>
        <v/>
      </c>
      <c r="BB4" s="68" t="str">
        <f>IF(main!BN7="","",ROUND(main!BN7*100,6))</f>
        <v/>
      </c>
      <c r="BC4" s="68" t="str">
        <f>IF(main!BO7="","",ROUND(main!BO7*100,6))</f>
        <v/>
      </c>
      <c r="BD4" s="68" t="str">
        <f>IF(main!BP7="","",ROUND(main!BP7*100,6))</f>
        <v/>
      </c>
      <c r="BE4" s="68" t="str">
        <f>IF(main!BQ7="","",ROUND(main!BQ7*100,6))</f>
        <v/>
      </c>
      <c r="BF4" s="68" t="str">
        <f>IF(main!BR7="","",ROUND(main!BR7*100,6))</f>
        <v/>
      </c>
      <c r="BG4" s="68" t="str">
        <f>IF(main!BS7="","",ROUND(main!BS7*100,6))</f>
        <v/>
      </c>
      <c r="BH4" s="68" t="str">
        <f>IF(main!BT7="","",ROUND(main!BT7*100,6))</f>
        <v/>
      </c>
      <c r="BI4" s="68" t="str">
        <f>IF(main!BU7="","",ROUND(main!BU7*100,6))</f>
        <v/>
      </c>
      <c r="BJ4" s="68" t="str">
        <f>IF(main!BV7="","",ROUND(main!BV7*100,6))</f>
        <v/>
      </c>
      <c r="BK4" s="68" t="str">
        <f>IF(main!BW7="","",ROUND(main!BW7*100,6))</f>
        <v/>
      </c>
      <c r="BL4" s="68" t="str">
        <f>IF(main!BX7="","",ROUND(main!BX7*100,6))</f>
        <v/>
      </c>
      <c r="BM4" s="68" t="str">
        <f>IF(main!BY7="","",ROUND(main!BY7*100,6))</f>
        <v/>
      </c>
      <c r="BN4" s="68" t="str">
        <f>IF(main!BZ7="","",ROUND(main!BZ7*100,6))</f>
        <v/>
      </c>
      <c r="BO4" s="68" t="str">
        <f>IF(main!CA7="","",ROUND(main!CA7*100,6))</f>
        <v/>
      </c>
      <c r="BP4" s="68" t="str">
        <f>IF(main!CB7="","",ROUND(main!CB7*100,6))</f>
        <v/>
      </c>
      <c r="BQ4" s="68" t="str">
        <f>IF(main!CC7="","",ROUND(main!CC7*100,6))</f>
        <v/>
      </c>
      <c r="BR4" s="68" t="str">
        <f>IF(main!CD7="","",ROUND(main!CD7*100,6))</f>
        <v/>
      </c>
      <c r="BS4" s="68" t="str">
        <f>IF(main!CE7="","",ROUND(main!CE7*100,6))</f>
        <v/>
      </c>
      <c r="BT4" s="68" t="str">
        <f>IF(main!CF7="","",ROUND(main!CF7*100,6))</f>
        <v/>
      </c>
      <c r="BU4" s="68" t="str">
        <f>IF(main!CG7="","",ROUND(main!CG7*100,6))</f>
        <v/>
      </c>
      <c r="BV4" s="68" t="str">
        <f>IF(main!CH7="","",ROUND(main!CH7*100,6))</f>
        <v/>
      </c>
      <c r="BW4" s="68" t="str">
        <f>IF(main!CI7="","",ROUND(main!CI7*100,6))</f>
        <v/>
      </c>
      <c r="BX4" s="68" t="str">
        <f>IF(main!CJ7="","",ROUND(main!CJ7*100,6))</f>
        <v/>
      </c>
      <c r="BY4" s="68" t="str">
        <f>IF(main!CK7="","",ROUND(main!CK7*100,6))</f>
        <v/>
      </c>
      <c r="BZ4" s="68" t="str">
        <f>IF(main!CL7="","",ROUND(main!CL7*100,6))</f>
        <v/>
      </c>
      <c r="CA4" s="68" t="str">
        <f>IF(main!CM7="","",ROUND(main!CM7*100,6))</f>
        <v/>
      </c>
      <c r="CB4" s="68" t="str">
        <f>IF(main!CN7="","",ROUND(main!CN7*100,6))</f>
        <v/>
      </c>
      <c r="CC4" s="68" t="str">
        <f>IF(main!CO7="","",ROUND(main!CO7*100,6))</f>
        <v/>
      </c>
    </row>
    <row r="5" spans="1:81" x14ac:dyDescent="0.25">
      <c r="A5" s="65" t="s">
        <v>112</v>
      </c>
      <c r="B5" s="66" t="str">
        <f>main!C7</f>
        <v>งานเตรียมงาน</v>
      </c>
      <c r="C5" s="67">
        <f>main!O7</f>
        <v>1100000</v>
      </c>
      <c r="D5" s="65" t="s">
        <v>111</v>
      </c>
      <c r="E5" s="68" t="str">
        <f t="shared" si="0"/>
        <v/>
      </c>
      <c r="F5" s="68" t="str">
        <f>IF(main!R8="","",ROUND(main!R8*100,6))</f>
        <v/>
      </c>
      <c r="G5" s="68" t="str">
        <f>IF(main!S8="","",ROUND(main!S8*100,6))</f>
        <v/>
      </c>
      <c r="H5" s="68" t="str">
        <f>IF(main!T8="","",ROUND(main!T8*100,6))</f>
        <v/>
      </c>
      <c r="I5" s="68" t="str">
        <f>IF(main!U8="","",ROUND(main!U8*100,6))</f>
        <v/>
      </c>
      <c r="J5" s="68" t="str">
        <f>IF(main!V8="","",ROUND(main!V8*100,6))</f>
        <v/>
      </c>
      <c r="K5" s="68" t="str">
        <f>IF(main!W8="","",ROUND(main!W8*100,6))</f>
        <v/>
      </c>
      <c r="L5" s="68" t="str">
        <f>IF(main!X8="","",ROUND(main!X8*100,6))</f>
        <v/>
      </c>
      <c r="M5" s="68" t="str">
        <f>IF(main!Y8="","",ROUND(main!Y8*100,6))</f>
        <v/>
      </c>
      <c r="N5" s="68" t="str">
        <f>IF(main!Z8="","",ROUND(main!Z8*100,6))</f>
        <v/>
      </c>
      <c r="O5" s="68" t="str">
        <f>IF(main!AA8="","",ROUND(main!AA8*100,6))</f>
        <v/>
      </c>
      <c r="P5" s="68" t="str">
        <f>IF(main!AB8="","",ROUND(main!AB8*100,6))</f>
        <v/>
      </c>
      <c r="Q5" s="68" t="str">
        <f>IF(main!AC8="","",ROUND(main!AC8*100,6))</f>
        <v/>
      </c>
      <c r="R5" s="68" t="str">
        <f>IF(main!AD8="","",ROUND(main!AD8*100,6))</f>
        <v/>
      </c>
      <c r="S5" s="68" t="str">
        <f>IF(main!AE8="","",ROUND(main!AE8*100,6))</f>
        <v/>
      </c>
      <c r="T5" s="68" t="str">
        <f>IF(main!AF8="","",ROUND(main!AF8*100,6))</f>
        <v/>
      </c>
      <c r="U5" s="68" t="str">
        <f>IF(main!AG8="","",ROUND(main!AG8*100,6))</f>
        <v/>
      </c>
      <c r="V5" s="68" t="str">
        <f>IF(main!AH8="","",ROUND(main!AH8*100,6))</f>
        <v/>
      </c>
      <c r="W5" s="68" t="str">
        <f>IF(main!AI8="","",ROUND(main!AI8*100,6))</f>
        <v/>
      </c>
      <c r="X5" s="68" t="str">
        <f>IF(main!AJ8="","",ROUND(main!AJ8*100,6))</f>
        <v/>
      </c>
      <c r="Y5" s="68" t="str">
        <f>IF(main!AK8="","",ROUND(main!AK8*100,6))</f>
        <v/>
      </c>
      <c r="Z5" s="68" t="str">
        <f>IF(main!AL8="","",ROUND(main!AL8*100,6))</f>
        <v/>
      </c>
      <c r="AA5" s="68" t="str">
        <f>IF(main!AM8="","",ROUND(main!AM8*100,6))</f>
        <v/>
      </c>
      <c r="AB5" s="68" t="str">
        <f>IF(main!AN8="","",ROUND(main!AN8*100,6))</f>
        <v/>
      </c>
      <c r="AC5" s="68" t="str">
        <f>IF(main!AO8="","",ROUND(main!AO8*100,6))</f>
        <v/>
      </c>
      <c r="AD5" s="68" t="str">
        <f>IF(main!AP8="","",ROUND(main!AP8*100,6))</f>
        <v/>
      </c>
      <c r="AE5" s="68" t="str">
        <f>IF(main!AQ8="","",ROUND(main!AQ8*100,6))</f>
        <v/>
      </c>
      <c r="AF5" s="68" t="str">
        <f>IF(main!AR8="","",ROUND(main!AR8*100,6))</f>
        <v/>
      </c>
      <c r="AG5" s="68" t="str">
        <f>IF(main!AS8="","",ROUND(main!AS8*100,6))</f>
        <v/>
      </c>
      <c r="AH5" s="68" t="str">
        <f>IF(main!AT8="","",ROUND(main!AT8*100,6))</f>
        <v/>
      </c>
      <c r="AI5" s="68" t="str">
        <f>IF(main!AU8="","",ROUND(main!AU8*100,6))</f>
        <v/>
      </c>
      <c r="AJ5" s="68" t="str">
        <f>IF(main!AV8="","",ROUND(main!AV8*100,6))</f>
        <v/>
      </c>
      <c r="AK5" s="68" t="str">
        <f>IF(main!AW8="","",ROUND(main!AW8*100,6))</f>
        <v/>
      </c>
      <c r="AL5" s="68" t="str">
        <f>IF(main!AX8="","",ROUND(main!AX8*100,6))</f>
        <v/>
      </c>
      <c r="AM5" s="68" t="str">
        <f>IF(main!AY8="","",ROUND(main!AY8*100,6))</f>
        <v/>
      </c>
      <c r="AN5" s="68" t="str">
        <f>IF(main!AZ8="","",ROUND(main!AZ8*100,6))</f>
        <v/>
      </c>
      <c r="AO5" s="68" t="str">
        <f>IF(main!BA8="","",ROUND(main!BA8*100,6))</f>
        <v/>
      </c>
      <c r="AP5" s="68" t="str">
        <f>IF(main!BB8="","",ROUND(main!BB8*100,6))</f>
        <v/>
      </c>
      <c r="AQ5" s="68" t="str">
        <f>IF(main!BC8="","",ROUND(main!BC8*100,6))</f>
        <v/>
      </c>
      <c r="AR5" s="68" t="str">
        <f>IF(main!BD8="","",ROUND(main!BD8*100,6))</f>
        <v/>
      </c>
      <c r="AS5" s="68" t="str">
        <f>IF(main!BE8="","",ROUND(main!BE8*100,6))</f>
        <v/>
      </c>
      <c r="AT5" s="68" t="str">
        <f>IF(main!BF8="","",ROUND(main!BF8*100,6))</f>
        <v/>
      </c>
      <c r="AU5" s="68" t="str">
        <f>IF(main!BG8="","",ROUND(main!BG8*100,6))</f>
        <v/>
      </c>
      <c r="AV5" s="68" t="str">
        <f>IF(main!BH8="","",ROUND(main!BH8*100,6))</f>
        <v/>
      </c>
      <c r="AW5" s="68" t="str">
        <f>IF(main!BI8="","",ROUND(main!BI8*100,6))</f>
        <v/>
      </c>
      <c r="AX5" s="68" t="str">
        <f>IF(main!BJ8="","",ROUND(main!BJ8*100,6))</f>
        <v/>
      </c>
      <c r="AY5" s="68" t="str">
        <f>IF(main!BK8="","",ROUND(main!BK8*100,6))</f>
        <v/>
      </c>
      <c r="AZ5" s="68" t="str">
        <f>IF(main!BL8="","",ROUND(main!BL8*100,6))</f>
        <v/>
      </c>
      <c r="BA5" s="68" t="str">
        <f>IF(main!BM8="","",ROUND(main!BM8*100,6))</f>
        <v/>
      </c>
      <c r="BB5" s="68" t="str">
        <f>IF(main!BN8="","",ROUND(main!BN8*100,6))</f>
        <v/>
      </c>
      <c r="BC5" s="68" t="str">
        <f>IF(main!BO8="","",ROUND(main!BO8*100,6))</f>
        <v/>
      </c>
      <c r="BD5" s="68" t="str">
        <f>IF(main!BP8="","",ROUND(main!BP8*100,6))</f>
        <v/>
      </c>
      <c r="BE5" s="68" t="str">
        <f>IF(main!BQ8="","",ROUND(main!BQ8*100,6))</f>
        <v/>
      </c>
      <c r="BF5" s="68" t="str">
        <f>IF(main!BR8="","",ROUND(main!BR8*100,6))</f>
        <v/>
      </c>
      <c r="BG5" s="68" t="str">
        <f>IF(main!BS8="","",ROUND(main!BS8*100,6))</f>
        <v/>
      </c>
      <c r="BH5" s="68" t="str">
        <f>IF(main!BT8="","",ROUND(main!BT8*100,6))</f>
        <v/>
      </c>
      <c r="BI5" s="68" t="str">
        <f>IF(main!BU8="","",ROUND(main!BU8*100,6))</f>
        <v/>
      </c>
      <c r="BJ5" s="68" t="str">
        <f>IF(main!BV8="","",ROUND(main!BV8*100,6))</f>
        <v/>
      </c>
      <c r="BK5" s="68" t="str">
        <f>IF(main!BW8="","",ROUND(main!BW8*100,6))</f>
        <v/>
      </c>
      <c r="BL5" s="68" t="str">
        <f>IF(main!BX8="","",ROUND(main!BX8*100,6))</f>
        <v/>
      </c>
      <c r="BM5" s="68" t="str">
        <f>IF(main!BY8="","",ROUND(main!BY8*100,6))</f>
        <v/>
      </c>
      <c r="BN5" s="68" t="str">
        <f>IF(main!BZ8="","",ROUND(main!BZ8*100,6))</f>
        <v/>
      </c>
      <c r="BO5" s="68" t="str">
        <f>IF(main!CA8="","",ROUND(main!CA8*100,6))</f>
        <v/>
      </c>
      <c r="BP5" s="68" t="str">
        <f>IF(main!CB8="","",ROUND(main!CB8*100,6))</f>
        <v/>
      </c>
      <c r="BQ5" s="68" t="str">
        <f>IF(main!CC8="","",ROUND(main!CC8*100,6))</f>
        <v/>
      </c>
      <c r="BR5" s="68" t="str">
        <f>IF(main!CD8="","",ROUND(main!CD8*100,6))</f>
        <v/>
      </c>
      <c r="BS5" s="68" t="str">
        <f>IF(main!CE8="","",ROUND(main!CE8*100,6))</f>
        <v/>
      </c>
      <c r="BT5" s="68" t="str">
        <f>IF(main!CF8="","",ROUND(main!CF8*100,6))</f>
        <v/>
      </c>
      <c r="BU5" s="68" t="str">
        <f>IF(main!CG8="","",ROUND(main!CG8*100,6))</f>
        <v/>
      </c>
      <c r="BV5" s="68" t="str">
        <f>IF(main!CH8="","",ROUND(main!CH8*100,6))</f>
        <v/>
      </c>
      <c r="BW5" s="68" t="str">
        <f>IF(main!CI8="","",ROUND(main!CI8*100,6))</f>
        <v/>
      </c>
      <c r="BX5" s="68" t="str">
        <f>IF(main!CJ8="","",ROUND(main!CJ8*100,6))</f>
        <v/>
      </c>
      <c r="BY5" s="68" t="str">
        <f>IF(main!CK8="","",ROUND(main!CK8*100,6))</f>
        <v/>
      </c>
      <c r="BZ5" s="68" t="str">
        <f>IF(main!CL8="","",ROUND(main!CL8*100,6))</f>
        <v/>
      </c>
      <c r="CA5" s="68" t="str">
        <f>IF(main!CM8="","",ROUND(main!CM8*100,6))</f>
        <v/>
      </c>
      <c r="CB5" s="68" t="str">
        <f>IF(main!CN8="","",ROUND(main!CN8*100,6))</f>
        <v/>
      </c>
      <c r="CC5" s="68" t="str">
        <f>IF(main!CO8="","",ROUND(main!CO8*100,6))</f>
        <v/>
      </c>
    </row>
    <row r="6" spans="1:81" x14ac:dyDescent="0.25">
      <c r="A6" s="65" t="s">
        <v>114</v>
      </c>
      <c r="B6" s="66" t="str">
        <f>main!C9</f>
        <v>Mobilization</v>
      </c>
      <c r="C6" s="67">
        <f>main!O9</f>
        <v>100000</v>
      </c>
      <c r="D6" s="65" t="s">
        <v>110</v>
      </c>
      <c r="E6" s="68">
        <f t="shared" si="0"/>
        <v>99.999999000000003</v>
      </c>
      <c r="F6" s="68" t="str">
        <f>IF(main!R9="","",ROUND(main!R9*100,6))</f>
        <v/>
      </c>
      <c r="G6" s="68" t="str">
        <f>IF(main!S9="","",ROUND(main!S9*100,6))</f>
        <v/>
      </c>
      <c r="H6" s="68" t="str">
        <f>IF(main!T9="","",ROUND(main!T9*100,6))</f>
        <v/>
      </c>
      <c r="I6" s="68" t="str">
        <f>IF(main!U9="","",ROUND(main!U9*100,6))</f>
        <v/>
      </c>
      <c r="J6" s="68" t="str">
        <f>IF(main!V9="","",ROUND(main!V9*100,6))</f>
        <v/>
      </c>
      <c r="K6" s="68">
        <f>IF(main!W9="","",ROUND(main!W9*100,6))</f>
        <v>15.151515</v>
      </c>
      <c r="L6" s="68">
        <f>IF(main!X9="","",ROUND(main!X9*100,6))</f>
        <v>18.855219000000002</v>
      </c>
      <c r="M6" s="68">
        <f>IF(main!Y9="","",ROUND(main!Y9*100,6))</f>
        <v>16.498315999999999</v>
      </c>
      <c r="N6" s="68">
        <f>IF(main!Z9="","",ROUND(main!Z9*100,6))</f>
        <v>14.141413999999999</v>
      </c>
      <c r="O6" s="68">
        <f>IF(main!AA9="","",ROUND(main!AA9*100,6))</f>
        <v>11.784511999999999</v>
      </c>
      <c r="P6" s="68">
        <f>IF(main!AB9="","",ROUND(main!AB9*100,6))</f>
        <v>9.4276090000000003</v>
      </c>
      <c r="Q6" s="68">
        <f>IF(main!AC9="","",ROUND(main!AC9*100,6))</f>
        <v>7.0707069999999996</v>
      </c>
      <c r="R6" s="68">
        <f>IF(main!AD9="","",ROUND(main!AD9*100,6))</f>
        <v>4.7138049999999998</v>
      </c>
      <c r="S6" s="68">
        <f>IF(main!AE9="","",ROUND(main!AE9*100,6))</f>
        <v>2.3569019999999998</v>
      </c>
      <c r="T6" s="68" t="str">
        <f>IF(main!AF9="","",ROUND(main!AF9*100,6))</f>
        <v/>
      </c>
      <c r="U6" s="68" t="str">
        <f>IF(main!AG9="","",ROUND(main!AG9*100,6))</f>
        <v/>
      </c>
      <c r="V6" s="68" t="str">
        <f>IF(main!AH9="","",ROUND(main!AH9*100,6))</f>
        <v/>
      </c>
      <c r="W6" s="68" t="str">
        <f>IF(main!AI9="","",ROUND(main!AI9*100,6))</f>
        <v/>
      </c>
      <c r="X6" s="68" t="str">
        <f>IF(main!AJ9="","",ROUND(main!AJ9*100,6))</f>
        <v/>
      </c>
      <c r="Y6" s="68" t="str">
        <f>IF(main!AK9="","",ROUND(main!AK9*100,6))</f>
        <v/>
      </c>
      <c r="Z6" s="68" t="str">
        <f>IF(main!AL9="","",ROUND(main!AL9*100,6))</f>
        <v/>
      </c>
      <c r="AA6" s="68" t="str">
        <f>IF(main!AM9="","",ROUND(main!AM9*100,6))</f>
        <v/>
      </c>
      <c r="AB6" s="68" t="str">
        <f>IF(main!AN9="","",ROUND(main!AN9*100,6))</f>
        <v/>
      </c>
      <c r="AC6" s="68" t="str">
        <f>IF(main!AO9="","",ROUND(main!AO9*100,6))</f>
        <v/>
      </c>
      <c r="AD6" s="68" t="str">
        <f>IF(main!AP9="","",ROUND(main!AP9*100,6))</f>
        <v/>
      </c>
      <c r="AE6" s="68" t="str">
        <f>IF(main!AQ9="","",ROUND(main!AQ9*100,6))</f>
        <v/>
      </c>
      <c r="AF6" s="68" t="str">
        <f>IF(main!AR9="","",ROUND(main!AR9*100,6))</f>
        <v/>
      </c>
      <c r="AG6" s="68" t="str">
        <f>IF(main!AS9="","",ROUND(main!AS9*100,6))</f>
        <v/>
      </c>
      <c r="AH6" s="68" t="str">
        <f>IF(main!AT9="","",ROUND(main!AT9*100,6))</f>
        <v/>
      </c>
      <c r="AI6" s="68" t="str">
        <f>IF(main!AU9="","",ROUND(main!AU9*100,6))</f>
        <v/>
      </c>
      <c r="AJ6" s="68" t="str">
        <f>IF(main!AV9="","",ROUND(main!AV9*100,6))</f>
        <v/>
      </c>
      <c r="AK6" s="68" t="str">
        <f>IF(main!AW9="","",ROUND(main!AW9*100,6))</f>
        <v/>
      </c>
      <c r="AL6" s="68" t="str">
        <f>IF(main!AX9="","",ROUND(main!AX9*100,6))</f>
        <v/>
      </c>
      <c r="AM6" s="68" t="str">
        <f>IF(main!AY9="","",ROUND(main!AY9*100,6))</f>
        <v/>
      </c>
      <c r="AN6" s="68" t="str">
        <f>IF(main!AZ9="","",ROUND(main!AZ9*100,6))</f>
        <v/>
      </c>
      <c r="AO6" s="68" t="str">
        <f>IF(main!BA9="","",ROUND(main!BA9*100,6))</f>
        <v/>
      </c>
      <c r="AP6" s="68" t="str">
        <f>IF(main!BB9="","",ROUND(main!BB9*100,6))</f>
        <v/>
      </c>
      <c r="AQ6" s="68" t="str">
        <f>IF(main!BC9="","",ROUND(main!BC9*100,6))</f>
        <v/>
      </c>
      <c r="AR6" s="68" t="str">
        <f>IF(main!BD9="","",ROUND(main!BD9*100,6))</f>
        <v/>
      </c>
      <c r="AS6" s="68" t="str">
        <f>IF(main!BE9="","",ROUND(main!BE9*100,6))</f>
        <v/>
      </c>
      <c r="AT6" s="68" t="str">
        <f>IF(main!BF9="","",ROUND(main!BF9*100,6))</f>
        <v/>
      </c>
      <c r="AU6" s="68" t="str">
        <f>IF(main!BG9="","",ROUND(main!BG9*100,6))</f>
        <v/>
      </c>
      <c r="AV6" s="68" t="str">
        <f>IF(main!BH9="","",ROUND(main!BH9*100,6))</f>
        <v/>
      </c>
      <c r="AW6" s="68" t="str">
        <f>IF(main!BI9="","",ROUND(main!BI9*100,6))</f>
        <v/>
      </c>
      <c r="AX6" s="68" t="str">
        <f>IF(main!BJ9="","",ROUND(main!BJ9*100,6))</f>
        <v/>
      </c>
      <c r="AY6" s="68" t="str">
        <f>IF(main!BK9="","",ROUND(main!BK9*100,6))</f>
        <v/>
      </c>
      <c r="AZ6" s="68" t="str">
        <f>IF(main!BL9="","",ROUND(main!BL9*100,6))</f>
        <v/>
      </c>
      <c r="BA6" s="68" t="str">
        <f>IF(main!BM9="","",ROUND(main!BM9*100,6))</f>
        <v/>
      </c>
      <c r="BB6" s="68" t="str">
        <f>IF(main!BN9="","",ROUND(main!BN9*100,6))</f>
        <v/>
      </c>
      <c r="BC6" s="68" t="str">
        <f>IF(main!BO9="","",ROUND(main!BO9*100,6))</f>
        <v/>
      </c>
      <c r="BD6" s="68" t="str">
        <f>IF(main!BP9="","",ROUND(main!BP9*100,6))</f>
        <v/>
      </c>
      <c r="BE6" s="68" t="str">
        <f>IF(main!BQ9="","",ROUND(main!BQ9*100,6))</f>
        <v/>
      </c>
      <c r="BF6" s="68" t="str">
        <f>IF(main!BR9="","",ROUND(main!BR9*100,6))</f>
        <v/>
      </c>
      <c r="BG6" s="68" t="str">
        <f>IF(main!BS9="","",ROUND(main!BS9*100,6))</f>
        <v/>
      </c>
      <c r="BH6" s="68" t="str">
        <f>IF(main!BT9="","",ROUND(main!BT9*100,6))</f>
        <v/>
      </c>
      <c r="BI6" s="68" t="str">
        <f>IF(main!BU9="","",ROUND(main!BU9*100,6))</f>
        <v/>
      </c>
      <c r="BJ6" s="68" t="str">
        <f>IF(main!BV9="","",ROUND(main!BV9*100,6))</f>
        <v/>
      </c>
      <c r="BK6" s="68" t="str">
        <f>IF(main!BW9="","",ROUND(main!BW9*100,6))</f>
        <v/>
      </c>
      <c r="BL6" s="68" t="str">
        <f>IF(main!BX9="","",ROUND(main!BX9*100,6))</f>
        <v/>
      </c>
      <c r="BM6" s="68" t="str">
        <f>IF(main!BY9="","",ROUND(main!BY9*100,6))</f>
        <v/>
      </c>
      <c r="BN6" s="68" t="str">
        <f>IF(main!BZ9="","",ROUND(main!BZ9*100,6))</f>
        <v/>
      </c>
      <c r="BO6" s="68" t="str">
        <f>IF(main!CA9="","",ROUND(main!CA9*100,6))</f>
        <v/>
      </c>
      <c r="BP6" s="68" t="str">
        <f>IF(main!CB9="","",ROUND(main!CB9*100,6))</f>
        <v/>
      </c>
      <c r="BQ6" s="68" t="str">
        <f>IF(main!CC9="","",ROUND(main!CC9*100,6))</f>
        <v/>
      </c>
      <c r="BR6" s="68" t="str">
        <f>IF(main!CD9="","",ROUND(main!CD9*100,6))</f>
        <v/>
      </c>
      <c r="BS6" s="68" t="str">
        <f>IF(main!CE9="","",ROUND(main!CE9*100,6))</f>
        <v/>
      </c>
      <c r="BT6" s="68" t="str">
        <f>IF(main!CF9="","",ROUND(main!CF9*100,6))</f>
        <v/>
      </c>
      <c r="BU6" s="68" t="str">
        <f>IF(main!CG9="","",ROUND(main!CG9*100,6))</f>
        <v/>
      </c>
      <c r="BV6" s="68" t="str">
        <f>IF(main!CH9="","",ROUND(main!CH9*100,6))</f>
        <v/>
      </c>
      <c r="BW6" s="68" t="str">
        <f>IF(main!CI9="","",ROUND(main!CI9*100,6))</f>
        <v/>
      </c>
      <c r="BX6" s="68" t="str">
        <f>IF(main!CJ9="","",ROUND(main!CJ9*100,6))</f>
        <v/>
      </c>
      <c r="BY6" s="68" t="str">
        <f>IF(main!CK9="","",ROUND(main!CK9*100,6))</f>
        <v/>
      </c>
      <c r="BZ6" s="68" t="str">
        <f>IF(main!CL9="","",ROUND(main!CL9*100,6))</f>
        <v/>
      </c>
      <c r="CA6" s="68" t="str">
        <f>IF(main!CM9="","",ROUND(main!CM9*100,6))</f>
        <v/>
      </c>
      <c r="CB6" s="68" t="str">
        <f>IF(main!CN9="","",ROUND(main!CN9*100,6))</f>
        <v/>
      </c>
      <c r="CC6" s="68" t="str">
        <f>IF(main!CO9="","",ROUND(main!CO9*100,6))</f>
        <v/>
      </c>
    </row>
    <row r="7" spans="1:81" x14ac:dyDescent="0.25">
      <c r="A7" s="65" t="s">
        <v>114</v>
      </c>
      <c r="B7" s="66" t="str">
        <f>main!C9</f>
        <v>Mobilization</v>
      </c>
      <c r="C7" s="67">
        <f>main!O9</f>
        <v>100000</v>
      </c>
      <c r="D7" s="65" t="s">
        <v>111</v>
      </c>
      <c r="E7" s="68" t="str">
        <f t="shared" si="0"/>
        <v/>
      </c>
      <c r="F7" s="68" t="str">
        <f>IF(main!R10="","",ROUND(main!R10*100,6))</f>
        <v/>
      </c>
      <c r="G7" s="68" t="str">
        <f>IF(main!S10="","",ROUND(main!S10*100,6))</f>
        <v/>
      </c>
      <c r="H7" s="68" t="str">
        <f>IF(main!T10="","",ROUND(main!T10*100,6))</f>
        <v/>
      </c>
      <c r="I7" s="68" t="str">
        <f>IF(main!U10="","",ROUND(main!U10*100,6))</f>
        <v/>
      </c>
      <c r="J7" s="68" t="str">
        <f>IF(main!V10="","",ROUND(main!V10*100,6))</f>
        <v/>
      </c>
      <c r="K7" s="68" t="str">
        <f>IF(main!W10="","",ROUND(main!W10*100,6))</f>
        <v/>
      </c>
      <c r="L7" s="68" t="str">
        <f>IF(main!X10="","",ROUND(main!X10*100,6))</f>
        <v/>
      </c>
      <c r="M7" s="68" t="str">
        <f>IF(main!Y10="","",ROUND(main!Y10*100,6))</f>
        <v/>
      </c>
      <c r="N7" s="68" t="str">
        <f>IF(main!Z10="","",ROUND(main!Z10*100,6))</f>
        <v/>
      </c>
      <c r="O7" s="68" t="str">
        <f>IF(main!AA10="","",ROUND(main!AA10*100,6))</f>
        <v/>
      </c>
      <c r="P7" s="68" t="str">
        <f>IF(main!AB10="","",ROUND(main!AB10*100,6))</f>
        <v/>
      </c>
      <c r="Q7" s="68" t="str">
        <f>IF(main!AC10="","",ROUND(main!AC10*100,6))</f>
        <v/>
      </c>
      <c r="R7" s="68" t="str">
        <f>IF(main!AD10="","",ROUND(main!AD10*100,6))</f>
        <v/>
      </c>
      <c r="S7" s="68" t="str">
        <f>IF(main!AE10="","",ROUND(main!AE10*100,6))</f>
        <v/>
      </c>
      <c r="T7" s="68" t="str">
        <f>IF(main!AF10="","",ROUND(main!AF10*100,6))</f>
        <v/>
      </c>
      <c r="U7" s="68" t="str">
        <f>IF(main!AG10="","",ROUND(main!AG10*100,6))</f>
        <v/>
      </c>
      <c r="V7" s="68" t="str">
        <f>IF(main!AH10="","",ROUND(main!AH10*100,6))</f>
        <v/>
      </c>
      <c r="W7" s="68" t="str">
        <f>IF(main!AI10="","",ROUND(main!AI10*100,6))</f>
        <v/>
      </c>
      <c r="X7" s="68" t="str">
        <f>IF(main!AJ10="","",ROUND(main!AJ10*100,6))</f>
        <v/>
      </c>
      <c r="Y7" s="68" t="str">
        <f>IF(main!AK10="","",ROUND(main!AK10*100,6))</f>
        <v/>
      </c>
      <c r="Z7" s="68" t="str">
        <f>IF(main!AL10="","",ROUND(main!AL10*100,6))</f>
        <v/>
      </c>
      <c r="AA7" s="68" t="str">
        <f>IF(main!AM10="","",ROUND(main!AM10*100,6))</f>
        <v/>
      </c>
      <c r="AB7" s="68" t="str">
        <f>IF(main!AN10="","",ROUND(main!AN10*100,6))</f>
        <v/>
      </c>
      <c r="AC7" s="68" t="str">
        <f>IF(main!AO10="","",ROUND(main!AO10*100,6))</f>
        <v/>
      </c>
      <c r="AD7" s="68" t="str">
        <f>IF(main!AP10="","",ROUND(main!AP10*100,6))</f>
        <v/>
      </c>
      <c r="AE7" s="68" t="str">
        <f>IF(main!AQ10="","",ROUND(main!AQ10*100,6))</f>
        <v/>
      </c>
      <c r="AF7" s="68" t="str">
        <f>IF(main!AR10="","",ROUND(main!AR10*100,6))</f>
        <v/>
      </c>
      <c r="AG7" s="68" t="str">
        <f>IF(main!AS10="","",ROUND(main!AS10*100,6))</f>
        <v/>
      </c>
      <c r="AH7" s="68" t="str">
        <f>IF(main!AT10="","",ROUND(main!AT10*100,6))</f>
        <v/>
      </c>
      <c r="AI7" s="68" t="str">
        <f>IF(main!AU10="","",ROUND(main!AU10*100,6))</f>
        <v/>
      </c>
      <c r="AJ7" s="68" t="str">
        <f>IF(main!AV10="","",ROUND(main!AV10*100,6))</f>
        <v/>
      </c>
      <c r="AK7" s="68" t="str">
        <f>IF(main!AW10="","",ROUND(main!AW10*100,6))</f>
        <v/>
      </c>
      <c r="AL7" s="68" t="str">
        <f>IF(main!AX10="","",ROUND(main!AX10*100,6))</f>
        <v/>
      </c>
      <c r="AM7" s="68" t="str">
        <f>IF(main!AY10="","",ROUND(main!AY10*100,6))</f>
        <v/>
      </c>
      <c r="AN7" s="68" t="str">
        <f>IF(main!AZ10="","",ROUND(main!AZ10*100,6))</f>
        <v/>
      </c>
      <c r="AO7" s="68" t="str">
        <f>IF(main!BA10="","",ROUND(main!BA10*100,6))</f>
        <v/>
      </c>
      <c r="AP7" s="68" t="str">
        <f>IF(main!BB10="","",ROUND(main!BB10*100,6))</f>
        <v/>
      </c>
      <c r="AQ7" s="68" t="str">
        <f>IF(main!BC10="","",ROUND(main!BC10*100,6))</f>
        <v/>
      </c>
      <c r="AR7" s="68" t="str">
        <f>IF(main!BD10="","",ROUND(main!BD10*100,6))</f>
        <v/>
      </c>
      <c r="AS7" s="68" t="str">
        <f>IF(main!BE10="","",ROUND(main!BE10*100,6))</f>
        <v/>
      </c>
      <c r="AT7" s="68" t="str">
        <f>IF(main!BF10="","",ROUND(main!BF10*100,6))</f>
        <v/>
      </c>
      <c r="AU7" s="68" t="str">
        <f>IF(main!BG10="","",ROUND(main!BG10*100,6))</f>
        <v/>
      </c>
      <c r="AV7" s="68" t="str">
        <f>IF(main!BH10="","",ROUND(main!BH10*100,6))</f>
        <v/>
      </c>
      <c r="AW7" s="68" t="str">
        <f>IF(main!BI10="","",ROUND(main!BI10*100,6))</f>
        <v/>
      </c>
      <c r="AX7" s="68" t="str">
        <f>IF(main!BJ10="","",ROUND(main!BJ10*100,6))</f>
        <v/>
      </c>
      <c r="AY7" s="68" t="str">
        <f>IF(main!BK10="","",ROUND(main!BK10*100,6))</f>
        <v/>
      </c>
      <c r="AZ7" s="68" t="str">
        <f>IF(main!BL10="","",ROUND(main!BL10*100,6))</f>
        <v/>
      </c>
      <c r="BA7" s="68" t="str">
        <f>IF(main!BM10="","",ROUND(main!BM10*100,6))</f>
        <v/>
      </c>
      <c r="BB7" s="68" t="str">
        <f>IF(main!BN10="","",ROUND(main!BN10*100,6))</f>
        <v/>
      </c>
      <c r="BC7" s="68" t="str">
        <f>IF(main!BO10="","",ROUND(main!BO10*100,6))</f>
        <v/>
      </c>
      <c r="BD7" s="68" t="str">
        <f>IF(main!BP10="","",ROUND(main!BP10*100,6))</f>
        <v/>
      </c>
      <c r="BE7" s="68" t="str">
        <f>IF(main!BQ10="","",ROUND(main!BQ10*100,6))</f>
        <v/>
      </c>
      <c r="BF7" s="68" t="str">
        <f>IF(main!BR10="","",ROUND(main!BR10*100,6))</f>
        <v/>
      </c>
      <c r="BG7" s="68" t="str">
        <f>IF(main!BS10="","",ROUND(main!BS10*100,6))</f>
        <v/>
      </c>
      <c r="BH7" s="68" t="str">
        <f>IF(main!BT10="","",ROUND(main!BT10*100,6))</f>
        <v/>
      </c>
      <c r="BI7" s="68" t="str">
        <f>IF(main!BU10="","",ROUND(main!BU10*100,6))</f>
        <v/>
      </c>
      <c r="BJ7" s="68" t="str">
        <f>IF(main!BV10="","",ROUND(main!BV10*100,6))</f>
        <v/>
      </c>
      <c r="BK7" s="68" t="str">
        <f>IF(main!BW10="","",ROUND(main!BW10*100,6))</f>
        <v/>
      </c>
      <c r="BL7" s="68" t="str">
        <f>IF(main!BX10="","",ROUND(main!BX10*100,6))</f>
        <v/>
      </c>
      <c r="BM7" s="68" t="str">
        <f>IF(main!BY10="","",ROUND(main!BY10*100,6))</f>
        <v/>
      </c>
      <c r="BN7" s="68" t="str">
        <f>IF(main!BZ10="","",ROUND(main!BZ10*100,6))</f>
        <v/>
      </c>
      <c r="BO7" s="68" t="str">
        <f>IF(main!CA10="","",ROUND(main!CA10*100,6))</f>
        <v/>
      </c>
      <c r="BP7" s="68" t="str">
        <f>IF(main!CB10="","",ROUND(main!CB10*100,6))</f>
        <v/>
      </c>
      <c r="BQ7" s="68" t="str">
        <f>IF(main!CC10="","",ROUND(main!CC10*100,6))</f>
        <v/>
      </c>
      <c r="BR7" s="68" t="str">
        <f>IF(main!CD10="","",ROUND(main!CD10*100,6))</f>
        <v/>
      </c>
      <c r="BS7" s="68" t="str">
        <f>IF(main!CE10="","",ROUND(main!CE10*100,6))</f>
        <v/>
      </c>
      <c r="BT7" s="68" t="str">
        <f>IF(main!CF10="","",ROUND(main!CF10*100,6))</f>
        <v/>
      </c>
      <c r="BU7" s="68" t="str">
        <f>IF(main!CG10="","",ROUND(main!CG10*100,6))</f>
        <v/>
      </c>
      <c r="BV7" s="68" t="str">
        <f>IF(main!CH10="","",ROUND(main!CH10*100,6))</f>
        <v/>
      </c>
      <c r="BW7" s="68" t="str">
        <f>IF(main!CI10="","",ROUND(main!CI10*100,6))</f>
        <v/>
      </c>
      <c r="BX7" s="68" t="str">
        <f>IF(main!CJ10="","",ROUND(main!CJ10*100,6))</f>
        <v/>
      </c>
      <c r="BY7" s="68" t="str">
        <f>IF(main!CK10="","",ROUND(main!CK10*100,6))</f>
        <v/>
      </c>
      <c r="BZ7" s="68" t="str">
        <f>IF(main!CL10="","",ROUND(main!CL10*100,6))</f>
        <v/>
      </c>
      <c r="CA7" s="68" t="str">
        <f>IF(main!CM10="","",ROUND(main!CM10*100,6))</f>
        <v/>
      </c>
      <c r="CB7" s="68" t="str">
        <f>IF(main!CN10="","",ROUND(main!CN10*100,6))</f>
        <v/>
      </c>
      <c r="CC7" s="68" t="str">
        <f>IF(main!CO10="","",ROUND(main!CO10*100,6))</f>
        <v/>
      </c>
    </row>
    <row r="8" spans="1:81" x14ac:dyDescent="0.25">
      <c r="A8" s="65" t="s">
        <v>117</v>
      </c>
      <c r="B8" s="66" t="str">
        <f>main!C11</f>
        <v>Site Mobilization</v>
      </c>
      <c r="C8" s="67">
        <f>main!O11</f>
        <v>100000</v>
      </c>
      <c r="D8" s="65" t="s">
        <v>110</v>
      </c>
      <c r="E8" s="68">
        <f t="shared" si="0"/>
        <v>99.999999000000003</v>
      </c>
      <c r="F8" s="68" t="str">
        <f>IF(main!R11="","",ROUND(main!R11*100,6))</f>
        <v/>
      </c>
      <c r="G8" s="68" t="str">
        <f>IF(main!S11="","",ROUND(main!S11*100,6))</f>
        <v/>
      </c>
      <c r="H8" s="68" t="str">
        <f>IF(main!T11="","",ROUND(main!T11*100,6))</f>
        <v/>
      </c>
      <c r="I8" s="68" t="str">
        <f>IF(main!U11="","",ROUND(main!U11*100,6))</f>
        <v/>
      </c>
      <c r="J8" s="68" t="str">
        <f>IF(main!V11="","",ROUND(main!V11*100,6))</f>
        <v/>
      </c>
      <c r="K8" s="68">
        <f>IF(main!W11="","",ROUND(main!W11*100,6))</f>
        <v>15.151515</v>
      </c>
      <c r="L8" s="68">
        <f>IF(main!X11="","",ROUND(main!X11*100,6))</f>
        <v>18.855219000000002</v>
      </c>
      <c r="M8" s="68">
        <f>IF(main!Y11="","",ROUND(main!Y11*100,6))</f>
        <v>16.498315999999999</v>
      </c>
      <c r="N8" s="68">
        <f>IF(main!Z11="","",ROUND(main!Z11*100,6))</f>
        <v>14.141413999999999</v>
      </c>
      <c r="O8" s="68">
        <f>IF(main!AA11="","",ROUND(main!AA11*100,6))</f>
        <v>11.784511999999999</v>
      </c>
      <c r="P8" s="68">
        <f>IF(main!AB11="","",ROUND(main!AB11*100,6))</f>
        <v>9.4276090000000003</v>
      </c>
      <c r="Q8" s="68">
        <f>IF(main!AC11="","",ROUND(main!AC11*100,6))</f>
        <v>7.0707069999999996</v>
      </c>
      <c r="R8" s="68">
        <f>IF(main!AD11="","",ROUND(main!AD11*100,6))</f>
        <v>4.7138049999999998</v>
      </c>
      <c r="S8" s="68">
        <f>IF(main!AE11="","",ROUND(main!AE11*100,6))</f>
        <v>2.3569019999999998</v>
      </c>
      <c r="T8" s="68" t="str">
        <f>IF(main!AF11="","",ROUND(main!AF11*100,6))</f>
        <v/>
      </c>
      <c r="U8" s="68" t="str">
        <f>IF(main!AG11="","",ROUND(main!AG11*100,6))</f>
        <v/>
      </c>
      <c r="V8" s="68" t="str">
        <f>IF(main!AH11="","",ROUND(main!AH11*100,6))</f>
        <v/>
      </c>
      <c r="W8" s="68" t="str">
        <f>IF(main!AI11="","",ROUND(main!AI11*100,6))</f>
        <v/>
      </c>
      <c r="X8" s="68" t="str">
        <f>IF(main!AJ11="","",ROUND(main!AJ11*100,6))</f>
        <v/>
      </c>
      <c r="Y8" s="68" t="str">
        <f>IF(main!AK11="","",ROUND(main!AK11*100,6))</f>
        <v/>
      </c>
      <c r="Z8" s="68" t="str">
        <f>IF(main!AL11="","",ROUND(main!AL11*100,6))</f>
        <v/>
      </c>
      <c r="AA8" s="68" t="str">
        <f>IF(main!AM11="","",ROUND(main!AM11*100,6))</f>
        <v/>
      </c>
      <c r="AB8" s="68" t="str">
        <f>IF(main!AN11="","",ROUND(main!AN11*100,6))</f>
        <v/>
      </c>
      <c r="AC8" s="68" t="str">
        <f>IF(main!AO11="","",ROUND(main!AO11*100,6))</f>
        <v/>
      </c>
      <c r="AD8" s="68" t="str">
        <f>IF(main!AP11="","",ROUND(main!AP11*100,6))</f>
        <v/>
      </c>
      <c r="AE8" s="68" t="str">
        <f>IF(main!AQ11="","",ROUND(main!AQ11*100,6))</f>
        <v/>
      </c>
      <c r="AF8" s="68" t="str">
        <f>IF(main!AR11="","",ROUND(main!AR11*100,6))</f>
        <v/>
      </c>
      <c r="AG8" s="68" t="str">
        <f>IF(main!AS11="","",ROUND(main!AS11*100,6))</f>
        <v/>
      </c>
      <c r="AH8" s="68" t="str">
        <f>IF(main!AT11="","",ROUND(main!AT11*100,6))</f>
        <v/>
      </c>
      <c r="AI8" s="68" t="str">
        <f>IF(main!AU11="","",ROUND(main!AU11*100,6))</f>
        <v/>
      </c>
      <c r="AJ8" s="68" t="str">
        <f>IF(main!AV11="","",ROUND(main!AV11*100,6))</f>
        <v/>
      </c>
      <c r="AK8" s="68" t="str">
        <f>IF(main!AW11="","",ROUND(main!AW11*100,6))</f>
        <v/>
      </c>
      <c r="AL8" s="68" t="str">
        <f>IF(main!AX11="","",ROUND(main!AX11*100,6))</f>
        <v/>
      </c>
      <c r="AM8" s="68" t="str">
        <f>IF(main!AY11="","",ROUND(main!AY11*100,6))</f>
        <v/>
      </c>
      <c r="AN8" s="68" t="str">
        <f>IF(main!AZ11="","",ROUND(main!AZ11*100,6))</f>
        <v/>
      </c>
      <c r="AO8" s="68" t="str">
        <f>IF(main!BA11="","",ROUND(main!BA11*100,6))</f>
        <v/>
      </c>
      <c r="AP8" s="68" t="str">
        <f>IF(main!BB11="","",ROUND(main!BB11*100,6))</f>
        <v/>
      </c>
      <c r="AQ8" s="68" t="str">
        <f>IF(main!BC11="","",ROUND(main!BC11*100,6))</f>
        <v/>
      </c>
      <c r="AR8" s="68" t="str">
        <f>IF(main!BD11="","",ROUND(main!BD11*100,6))</f>
        <v/>
      </c>
      <c r="AS8" s="68" t="str">
        <f>IF(main!BE11="","",ROUND(main!BE11*100,6))</f>
        <v/>
      </c>
      <c r="AT8" s="68" t="str">
        <f>IF(main!BF11="","",ROUND(main!BF11*100,6))</f>
        <v/>
      </c>
      <c r="AU8" s="68" t="str">
        <f>IF(main!BG11="","",ROUND(main!BG11*100,6))</f>
        <v/>
      </c>
      <c r="AV8" s="68" t="str">
        <f>IF(main!BH11="","",ROUND(main!BH11*100,6))</f>
        <v/>
      </c>
      <c r="AW8" s="68" t="str">
        <f>IF(main!BI11="","",ROUND(main!BI11*100,6))</f>
        <v/>
      </c>
      <c r="AX8" s="68" t="str">
        <f>IF(main!BJ11="","",ROUND(main!BJ11*100,6))</f>
        <v/>
      </c>
      <c r="AY8" s="68" t="str">
        <f>IF(main!BK11="","",ROUND(main!BK11*100,6))</f>
        <v/>
      </c>
      <c r="AZ8" s="68" t="str">
        <f>IF(main!BL11="","",ROUND(main!BL11*100,6))</f>
        <v/>
      </c>
      <c r="BA8" s="68" t="str">
        <f>IF(main!BM11="","",ROUND(main!BM11*100,6))</f>
        <v/>
      </c>
      <c r="BB8" s="68" t="str">
        <f>IF(main!BN11="","",ROUND(main!BN11*100,6))</f>
        <v/>
      </c>
      <c r="BC8" s="68" t="str">
        <f>IF(main!BO11="","",ROUND(main!BO11*100,6))</f>
        <v/>
      </c>
      <c r="BD8" s="68" t="str">
        <f>IF(main!BP11="","",ROUND(main!BP11*100,6))</f>
        <v/>
      </c>
      <c r="BE8" s="68" t="str">
        <f>IF(main!BQ11="","",ROUND(main!BQ11*100,6))</f>
        <v/>
      </c>
      <c r="BF8" s="68" t="str">
        <f>IF(main!BR11="","",ROUND(main!BR11*100,6))</f>
        <v/>
      </c>
      <c r="BG8" s="68" t="str">
        <f>IF(main!BS11="","",ROUND(main!BS11*100,6))</f>
        <v/>
      </c>
      <c r="BH8" s="68" t="str">
        <f>IF(main!BT11="","",ROUND(main!BT11*100,6))</f>
        <v/>
      </c>
      <c r="BI8" s="68" t="str">
        <f>IF(main!BU11="","",ROUND(main!BU11*100,6))</f>
        <v/>
      </c>
      <c r="BJ8" s="68" t="str">
        <f>IF(main!BV11="","",ROUND(main!BV11*100,6))</f>
        <v/>
      </c>
      <c r="BK8" s="68" t="str">
        <f>IF(main!BW11="","",ROUND(main!BW11*100,6))</f>
        <v/>
      </c>
      <c r="BL8" s="68" t="str">
        <f>IF(main!BX11="","",ROUND(main!BX11*100,6))</f>
        <v/>
      </c>
      <c r="BM8" s="68" t="str">
        <f>IF(main!BY11="","",ROUND(main!BY11*100,6))</f>
        <v/>
      </c>
      <c r="BN8" s="68" t="str">
        <f>IF(main!BZ11="","",ROUND(main!BZ11*100,6))</f>
        <v/>
      </c>
      <c r="BO8" s="68" t="str">
        <f>IF(main!CA11="","",ROUND(main!CA11*100,6))</f>
        <v/>
      </c>
      <c r="BP8" s="68" t="str">
        <f>IF(main!CB11="","",ROUND(main!CB11*100,6))</f>
        <v/>
      </c>
      <c r="BQ8" s="68" t="str">
        <f>IF(main!CC11="","",ROUND(main!CC11*100,6))</f>
        <v/>
      </c>
      <c r="BR8" s="68" t="str">
        <f>IF(main!CD11="","",ROUND(main!CD11*100,6))</f>
        <v/>
      </c>
      <c r="BS8" s="68" t="str">
        <f>IF(main!CE11="","",ROUND(main!CE11*100,6))</f>
        <v/>
      </c>
      <c r="BT8" s="68" t="str">
        <f>IF(main!CF11="","",ROUND(main!CF11*100,6))</f>
        <v/>
      </c>
      <c r="BU8" s="68" t="str">
        <f>IF(main!CG11="","",ROUND(main!CG11*100,6))</f>
        <v/>
      </c>
      <c r="BV8" s="68" t="str">
        <f>IF(main!CH11="","",ROUND(main!CH11*100,6))</f>
        <v/>
      </c>
      <c r="BW8" s="68" t="str">
        <f>IF(main!CI11="","",ROUND(main!CI11*100,6))</f>
        <v/>
      </c>
      <c r="BX8" s="68" t="str">
        <f>IF(main!CJ11="","",ROUND(main!CJ11*100,6))</f>
        <v/>
      </c>
      <c r="BY8" s="68" t="str">
        <f>IF(main!CK11="","",ROUND(main!CK11*100,6))</f>
        <v/>
      </c>
      <c r="BZ8" s="68" t="str">
        <f>IF(main!CL11="","",ROUND(main!CL11*100,6))</f>
        <v/>
      </c>
      <c r="CA8" s="68" t="str">
        <f>IF(main!CM11="","",ROUND(main!CM11*100,6))</f>
        <v/>
      </c>
      <c r="CB8" s="68" t="str">
        <f>IF(main!CN11="","",ROUND(main!CN11*100,6))</f>
        <v/>
      </c>
      <c r="CC8" s="68" t="str">
        <f>IF(main!CO11="","",ROUND(main!CO11*100,6))</f>
        <v/>
      </c>
    </row>
    <row r="9" spans="1:81" x14ac:dyDescent="0.25">
      <c r="A9" s="65" t="s">
        <v>117</v>
      </c>
      <c r="B9" s="66" t="str">
        <f>main!C11</f>
        <v>Site Mobilization</v>
      </c>
      <c r="C9" s="67">
        <f>main!O11</f>
        <v>100000</v>
      </c>
      <c r="D9" s="65" t="s">
        <v>111</v>
      </c>
      <c r="E9" s="68" t="str">
        <f t="shared" si="0"/>
        <v/>
      </c>
      <c r="F9" s="68" t="str">
        <f>IF(main!R12="","",ROUND(main!R12*100,6))</f>
        <v/>
      </c>
      <c r="G9" s="68" t="str">
        <f>IF(main!S12="","",ROUND(main!S12*100,6))</f>
        <v/>
      </c>
      <c r="H9" s="68" t="str">
        <f>IF(main!T12="","",ROUND(main!T12*100,6))</f>
        <v/>
      </c>
      <c r="I9" s="68" t="str">
        <f>IF(main!U12="","",ROUND(main!U12*100,6))</f>
        <v/>
      </c>
      <c r="J9" s="68" t="str">
        <f>IF(main!V12="","",ROUND(main!V12*100,6))</f>
        <v/>
      </c>
      <c r="K9" s="68" t="str">
        <f>IF(main!W12="","",ROUND(main!W12*100,6))</f>
        <v/>
      </c>
      <c r="L9" s="68" t="str">
        <f>IF(main!X12="","",ROUND(main!X12*100,6))</f>
        <v/>
      </c>
      <c r="M9" s="68" t="str">
        <f>IF(main!Y12="","",ROUND(main!Y12*100,6))</f>
        <v/>
      </c>
      <c r="N9" s="68" t="str">
        <f>IF(main!Z12="","",ROUND(main!Z12*100,6))</f>
        <v/>
      </c>
      <c r="O9" s="68" t="str">
        <f>IF(main!AA12="","",ROUND(main!AA12*100,6))</f>
        <v/>
      </c>
      <c r="P9" s="68" t="str">
        <f>IF(main!AB12="","",ROUND(main!AB12*100,6))</f>
        <v/>
      </c>
      <c r="Q9" s="68" t="str">
        <f>IF(main!AC12="","",ROUND(main!AC12*100,6))</f>
        <v/>
      </c>
      <c r="R9" s="68" t="str">
        <f>IF(main!AD12="","",ROUND(main!AD12*100,6))</f>
        <v/>
      </c>
      <c r="S9" s="68" t="str">
        <f>IF(main!AE12="","",ROUND(main!AE12*100,6))</f>
        <v/>
      </c>
      <c r="T9" s="68" t="str">
        <f>IF(main!AF12="","",ROUND(main!AF12*100,6))</f>
        <v/>
      </c>
      <c r="U9" s="68" t="str">
        <f>IF(main!AG12="","",ROUND(main!AG12*100,6))</f>
        <v/>
      </c>
      <c r="V9" s="68" t="str">
        <f>IF(main!AH12="","",ROUND(main!AH12*100,6))</f>
        <v/>
      </c>
      <c r="W9" s="68" t="str">
        <f>IF(main!AI12="","",ROUND(main!AI12*100,6))</f>
        <v/>
      </c>
      <c r="X9" s="68" t="str">
        <f>IF(main!AJ12="","",ROUND(main!AJ12*100,6))</f>
        <v/>
      </c>
      <c r="Y9" s="68" t="str">
        <f>IF(main!AK12="","",ROUND(main!AK12*100,6))</f>
        <v/>
      </c>
      <c r="Z9" s="68" t="str">
        <f>IF(main!AL12="","",ROUND(main!AL12*100,6))</f>
        <v/>
      </c>
      <c r="AA9" s="68" t="str">
        <f>IF(main!AM12="","",ROUND(main!AM12*100,6))</f>
        <v/>
      </c>
      <c r="AB9" s="68" t="str">
        <f>IF(main!AN12="","",ROUND(main!AN12*100,6))</f>
        <v/>
      </c>
      <c r="AC9" s="68" t="str">
        <f>IF(main!AO12="","",ROUND(main!AO12*100,6))</f>
        <v/>
      </c>
      <c r="AD9" s="68" t="str">
        <f>IF(main!AP12="","",ROUND(main!AP12*100,6))</f>
        <v/>
      </c>
      <c r="AE9" s="68" t="str">
        <f>IF(main!AQ12="","",ROUND(main!AQ12*100,6))</f>
        <v/>
      </c>
      <c r="AF9" s="68" t="str">
        <f>IF(main!AR12="","",ROUND(main!AR12*100,6))</f>
        <v/>
      </c>
      <c r="AG9" s="68" t="str">
        <f>IF(main!AS12="","",ROUND(main!AS12*100,6))</f>
        <v/>
      </c>
      <c r="AH9" s="68" t="str">
        <f>IF(main!AT12="","",ROUND(main!AT12*100,6))</f>
        <v/>
      </c>
      <c r="AI9" s="68" t="str">
        <f>IF(main!AU12="","",ROUND(main!AU12*100,6))</f>
        <v/>
      </c>
      <c r="AJ9" s="68" t="str">
        <f>IF(main!AV12="","",ROUND(main!AV12*100,6))</f>
        <v/>
      </c>
      <c r="AK9" s="68" t="str">
        <f>IF(main!AW12="","",ROUND(main!AW12*100,6))</f>
        <v/>
      </c>
      <c r="AL9" s="68" t="str">
        <f>IF(main!AX12="","",ROUND(main!AX12*100,6))</f>
        <v/>
      </c>
      <c r="AM9" s="68" t="str">
        <f>IF(main!AY12="","",ROUND(main!AY12*100,6))</f>
        <v/>
      </c>
      <c r="AN9" s="68" t="str">
        <f>IF(main!AZ12="","",ROUND(main!AZ12*100,6))</f>
        <v/>
      </c>
      <c r="AO9" s="68" t="str">
        <f>IF(main!BA12="","",ROUND(main!BA12*100,6))</f>
        <v/>
      </c>
      <c r="AP9" s="68" t="str">
        <f>IF(main!BB12="","",ROUND(main!BB12*100,6))</f>
        <v/>
      </c>
      <c r="AQ9" s="68" t="str">
        <f>IF(main!BC12="","",ROUND(main!BC12*100,6))</f>
        <v/>
      </c>
      <c r="AR9" s="68" t="str">
        <f>IF(main!BD12="","",ROUND(main!BD12*100,6))</f>
        <v/>
      </c>
      <c r="AS9" s="68" t="str">
        <f>IF(main!BE12="","",ROUND(main!BE12*100,6))</f>
        <v/>
      </c>
      <c r="AT9" s="68" t="str">
        <f>IF(main!BF12="","",ROUND(main!BF12*100,6))</f>
        <v/>
      </c>
      <c r="AU9" s="68" t="str">
        <f>IF(main!BG12="","",ROUND(main!BG12*100,6))</f>
        <v/>
      </c>
      <c r="AV9" s="68" t="str">
        <f>IF(main!BH12="","",ROUND(main!BH12*100,6))</f>
        <v/>
      </c>
      <c r="AW9" s="68" t="str">
        <f>IF(main!BI12="","",ROUND(main!BI12*100,6))</f>
        <v/>
      </c>
      <c r="AX9" s="68" t="str">
        <f>IF(main!BJ12="","",ROUND(main!BJ12*100,6))</f>
        <v/>
      </c>
      <c r="AY9" s="68" t="str">
        <f>IF(main!BK12="","",ROUND(main!BK12*100,6))</f>
        <v/>
      </c>
      <c r="AZ9" s="68" t="str">
        <f>IF(main!BL12="","",ROUND(main!BL12*100,6))</f>
        <v/>
      </c>
      <c r="BA9" s="68" t="str">
        <f>IF(main!BM12="","",ROUND(main!BM12*100,6))</f>
        <v/>
      </c>
      <c r="BB9" s="68" t="str">
        <f>IF(main!BN12="","",ROUND(main!BN12*100,6))</f>
        <v/>
      </c>
      <c r="BC9" s="68" t="str">
        <f>IF(main!BO12="","",ROUND(main!BO12*100,6))</f>
        <v/>
      </c>
      <c r="BD9" s="68" t="str">
        <f>IF(main!BP12="","",ROUND(main!BP12*100,6))</f>
        <v/>
      </c>
      <c r="BE9" s="68" t="str">
        <f>IF(main!BQ12="","",ROUND(main!BQ12*100,6))</f>
        <v/>
      </c>
      <c r="BF9" s="68" t="str">
        <f>IF(main!BR12="","",ROUND(main!BR12*100,6))</f>
        <v/>
      </c>
      <c r="BG9" s="68" t="str">
        <f>IF(main!BS12="","",ROUND(main!BS12*100,6))</f>
        <v/>
      </c>
      <c r="BH9" s="68" t="str">
        <f>IF(main!BT12="","",ROUND(main!BT12*100,6))</f>
        <v/>
      </c>
      <c r="BI9" s="68" t="str">
        <f>IF(main!BU12="","",ROUND(main!BU12*100,6))</f>
        <v/>
      </c>
      <c r="BJ9" s="68" t="str">
        <f>IF(main!BV12="","",ROUND(main!BV12*100,6))</f>
        <v/>
      </c>
      <c r="BK9" s="68" t="str">
        <f>IF(main!BW12="","",ROUND(main!BW12*100,6))</f>
        <v/>
      </c>
      <c r="BL9" s="68" t="str">
        <f>IF(main!BX12="","",ROUND(main!BX12*100,6))</f>
        <v/>
      </c>
      <c r="BM9" s="68" t="str">
        <f>IF(main!BY12="","",ROUND(main!BY12*100,6))</f>
        <v/>
      </c>
      <c r="BN9" s="68" t="str">
        <f>IF(main!BZ12="","",ROUND(main!BZ12*100,6))</f>
        <v/>
      </c>
      <c r="BO9" s="68" t="str">
        <f>IF(main!CA12="","",ROUND(main!CA12*100,6))</f>
        <v/>
      </c>
      <c r="BP9" s="68" t="str">
        <f>IF(main!CB12="","",ROUND(main!CB12*100,6))</f>
        <v/>
      </c>
      <c r="BQ9" s="68" t="str">
        <f>IF(main!CC12="","",ROUND(main!CC12*100,6))</f>
        <v/>
      </c>
      <c r="BR9" s="68" t="str">
        <f>IF(main!CD12="","",ROUND(main!CD12*100,6))</f>
        <v/>
      </c>
      <c r="BS9" s="68" t="str">
        <f>IF(main!CE12="","",ROUND(main!CE12*100,6))</f>
        <v/>
      </c>
      <c r="BT9" s="68" t="str">
        <f>IF(main!CF12="","",ROUND(main!CF12*100,6))</f>
        <v/>
      </c>
      <c r="BU9" s="68" t="str">
        <f>IF(main!CG12="","",ROUND(main!CG12*100,6))</f>
        <v/>
      </c>
      <c r="BV9" s="68" t="str">
        <f>IF(main!CH12="","",ROUND(main!CH12*100,6))</f>
        <v/>
      </c>
      <c r="BW9" s="68" t="str">
        <f>IF(main!CI12="","",ROUND(main!CI12*100,6))</f>
        <v/>
      </c>
      <c r="BX9" s="68" t="str">
        <f>IF(main!CJ12="","",ROUND(main!CJ12*100,6))</f>
        <v/>
      </c>
      <c r="BY9" s="68" t="str">
        <f>IF(main!CK12="","",ROUND(main!CK12*100,6))</f>
        <v/>
      </c>
      <c r="BZ9" s="68" t="str">
        <f>IF(main!CL12="","",ROUND(main!CL12*100,6))</f>
        <v/>
      </c>
      <c r="CA9" s="68" t="str">
        <f>IF(main!CM12="","",ROUND(main!CM12*100,6))</f>
        <v/>
      </c>
      <c r="CB9" s="68" t="str">
        <f>IF(main!CN12="","",ROUND(main!CN12*100,6))</f>
        <v/>
      </c>
      <c r="CC9" s="68" t="str">
        <f>IF(main!CO12="","",ROUND(main!CO12*100,6))</f>
        <v/>
      </c>
    </row>
    <row r="10" spans="1:81" x14ac:dyDescent="0.25">
      <c r="A10" s="65" t="s">
        <v>120</v>
      </c>
      <c r="B10" s="66" t="str">
        <f>main!C13</f>
        <v>งานรื้อถอน</v>
      </c>
      <c r="C10" s="67">
        <f>main!O13</f>
        <v>600000</v>
      </c>
      <c r="D10" s="65" t="s">
        <v>110</v>
      </c>
      <c r="E10" s="68">
        <f t="shared" si="0"/>
        <v>100.000004</v>
      </c>
      <c r="F10" s="68" t="str">
        <f>IF(main!R13="","",ROUND(main!R13*100,6))</f>
        <v/>
      </c>
      <c r="G10" s="68" t="str">
        <f>IF(main!S13="","",ROUND(main!S13*100,6))</f>
        <v/>
      </c>
      <c r="H10" s="68" t="str">
        <f>IF(main!T13="","",ROUND(main!T13*100,6))</f>
        <v/>
      </c>
      <c r="I10" s="68" t="str">
        <f>IF(main!U13="","",ROUND(main!U13*100,6))</f>
        <v/>
      </c>
      <c r="J10" s="68" t="str">
        <f>IF(main!V13="","",ROUND(main!V13*100,6))</f>
        <v/>
      </c>
      <c r="K10" s="68" t="str">
        <f>IF(main!W13="","",ROUND(main!W13*100,6))</f>
        <v/>
      </c>
      <c r="L10" s="68" t="str">
        <f>IF(main!X13="","",ROUND(main!X13*100,6))</f>
        <v/>
      </c>
      <c r="M10" s="68" t="str">
        <f>IF(main!Y13="","",ROUND(main!Y13*100,6))</f>
        <v/>
      </c>
      <c r="N10" s="68" t="str">
        <f>IF(main!Z13="","",ROUND(main!Z13*100,6))</f>
        <v/>
      </c>
      <c r="O10" s="68" t="str">
        <f>IF(main!AA13="","",ROUND(main!AA13*100,6))</f>
        <v/>
      </c>
      <c r="P10" s="68" t="str">
        <f>IF(main!AB13="","",ROUND(main!AB13*100,6))</f>
        <v/>
      </c>
      <c r="Q10" s="68" t="str">
        <f>IF(main!AC13="","",ROUND(main!AC13*100,6))</f>
        <v/>
      </c>
      <c r="R10" s="68">
        <f>IF(main!AD13="","",ROUND(main!AD13*100,6))</f>
        <v>0.793651</v>
      </c>
      <c r="S10" s="68">
        <f>IF(main!AE13="","",ROUND(main!AE13*100,6))</f>
        <v>5.5555560000000002</v>
      </c>
      <c r="T10" s="68">
        <f>IF(main!AF13="","",ROUND(main!AF13*100,6))</f>
        <v>5.5555560000000002</v>
      </c>
      <c r="U10" s="68">
        <f>IF(main!AG13="","",ROUND(main!AG13*100,6))</f>
        <v>6.3492059999999997</v>
      </c>
      <c r="V10" s="68">
        <f>IF(main!AH13="","",ROUND(main!AH13*100,6))</f>
        <v>11.111110999999999</v>
      </c>
      <c r="W10" s="68">
        <f>IF(main!AI13="","",ROUND(main!AI13*100,6))</f>
        <v>11.111110999999999</v>
      </c>
      <c r="X10" s="68">
        <f>IF(main!AJ13="","",ROUND(main!AJ13*100,6))</f>
        <v>10.317460000000001</v>
      </c>
      <c r="Y10" s="68">
        <f>IF(main!AK13="","",ROUND(main!AK13*100,6))</f>
        <v>5.5555560000000002</v>
      </c>
      <c r="Z10" s="68">
        <f>IF(main!AL13="","",ROUND(main!AL13*100,6))</f>
        <v>5.5555560000000002</v>
      </c>
      <c r="AA10" s="68">
        <f>IF(main!AM13="","",ROUND(main!AM13*100,6))</f>
        <v>5.3571429999999998</v>
      </c>
      <c r="AB10" s="68">
        <f>IF(main!AN13="","",ROUND(main!AN13*100,6))</f>
        <v>4.1666670000000003</v>
      </c>
      <c r="AC10" s="68">
        <f>IF(main!AO13="","",ROUND(main!AO13*100,6))</f>
        <v>4.1666670000000003</v>
      </c>
      <c r="AD10" s="68">
        <f>IF(main!AP13="","",ROUND(main!AP13*100,6))</f>
        <v>4.1666670000000003</v>
      </c>
      <c r="AE10" s="68">
        <f>IF(main!AQ13="","",ROUND(main!AQ13*100,6))</f>
        <v>4.1666670000000003</v>
      </c>
      <c r="AF10" s="68">
        <f>IF(main!AR13="","",ROUND(main!AR13*100,6))</f>
        <v>4.1666670000000003</v>
      </c>
      <c r="AG10" s="68">
        <f>IF(main!AS13="","",ROUND(main!AS13*100,6))</f>
        <v>4.1666670000000003</v>
      </c>
      <c r="AH10" s="68">
        <f>IF(main!AT13="","",ROUND(main!AT13*100,6))</f>
        <v>4.1666670000000003</v>
      </c>
      <c r="AI10" s="68">
        <f>IF(main!AU13="","",ROUND(main!AU13*100,6))</f>
        <v>3.5714290000000002</v>
      </c>
      <c r="AJ10" s="68" t="str">
        <f>IF(main!AV13="","",ROUND(main!AV13*100,6))</f>
        <v/>
      </c>
      <c r="AK10" s="68" t="str">
        <f>IF(main!AW13="","",ROUND(main!AW13*100,6))</f>
        <v/>
      </c>
      <c r="AL10" s="68" t="str">
        <f>IF(main!AX13="","",ROUND(main!AX13*100,6))</f>
        <v/>
      </c>
      <c r="AM10" s="68" t="str">
        <f>IF(main!AY13="","",ROUND(main!AY13*100,6))</f>
        <v/>
      </c>
      <c r="AN10" s="68" t="str">
        <f>IF(main!AZ13="","",ROUND(main!AZ13*100,6))</f>
        <v/>
      </c>
      <c r="AO10" s="68" t="str">
        <f>IF(main!BA13="","",ROUND(main!BA13*100,6))</f>
        <v/>
      </c>
      <c r="AP10" s="68" t="str">
        <f>IF(main!BB13="","",ROUND(main!BB13*100,6))</f>
        <v/>
      </c>
      <c r="AQ10" s="68" t="str">
        <f>IF(main!BC13="","",ROUND(main!BC13*100,6))</f>
        <v/>
      </c>
      <c r="AR10" s="68" t="str">
        <f>IF(main!BD13="","",ROUND(main!BD13*100,6))</f>
        <v/>
      </c>
      <c r="AS10" s="68" t="str">
        <f>IF(main!BE13="","",ROUND(main!BE13*100,6))</f>
        <v/>
      </c>
      <c r="AT10" s="68" t="str">
        <f>IF(main!BF13="","",ROUND(main!BF13*100,6))</f>
        <v/>
      </c>
      <c r="AU10" s="68" t="str">
        <f>IF(main!BG13="","",ROUND(main!BG13*100,6))</f>
        <v/>
      </c>
      <c r="AV10" s="68" t="str">
        <f>IF(main!BH13="","",ROUND(main!BH13*100,6))</f>
        <v/>
      </c>
      <c r="AW10" s="68" t="str">
        <f>IF(main!BI13="","",ROUND(main!BI13*100,6))</f>
        <v/>
      </c>
      <c r="AX10" s="68" t="str">
        <f>IF(main!BJ13="","",ROUND(main!BJ13*100,6))</f>
        <v/>
      </c>
      <c r="AY10" s="68" t="str">
        <f>IF(main!BK13="","",ROUND(main!BK13*100,6))</f>
        <v/>
      </c>
      <c r="AZ10" s="68" t="str">
        <f>IF(main!BL13="","",ROUND(main!BL13*100,6))</f>
        <v/>
      </c>
      <c r="BA10" s="68" t="str">
        <f>IF(main!BM13="","",ROUND(main!BM13*100,6))</f>
        <v/>
      </c>
      <c r="BB10" s="68" t="str">
        <f>IF(main!BN13="","",ROUND(main!BN13*100,6))</f>
        <v/>
      </c>
      <c r="BC10" s="68" t="str">
        <f>IF(main!BO13="","",ROUND(main!BO13*100,6))</f>
        <v/>
      </c>
      <c r="BD10" s="68" t="str">
        <f>IF(main!BP13="","",ROUND(main!BP13*100,6))</f>
        <v/>
      </c>
      <c r="BE10" s="68" t="str">
        <f>IF(main!BQ13="","",ROUND(main!BQ13*100,6))</f>
        <v/>
      </c>
      <c r="BF10" s="68" t="str">
        <f>IF(main!BR13="","",ROUND(main!BR13*100,6))</f>
        <v/>
      </c>
      <c r="BG10" s="68" t="str">
        <f>IF(main!BS13="","",ROUND(main!BS13*100,6))</f>
        <v/>
      </c>
      <c r="BH10" s="68" t="str">
        <f>IF(main!BT13="","",ROUND(main!BT13*100,6))</f>
        <v/>
      </c>
      <c r="BI10" s="68" t="str">
        <f>IF(main!BU13="","",ROUND(main!BU13*100,6))</f>
        <v/>
      </c>
      <c r="BJ10" s="68" t="str">
        <f>IF(main!BV13="","",ROUND(main!BV13*100,6))</f>
        <v/>
      </c>
      <c r="BK10" s="68" t="str">
        <f>IF(main!BW13="","",ROUND(main!BW13*100,6))</f>
        <v/>
      </c>
      <c r="BL10" s="68" t="str">
        <f>IF(main!BX13="","",ROUND(main!BX13*100,6))</f>
        <v/>
      </c>
      <c r="BM10" s="68" t="str">
        <f>IF(main!BY13="","",ROUND(main!BY13*100,6))</f>
        <v/>
      </c>
      <c r="BN10" s="68" t="str">
        <f>IF(main!BZ13="","",ROUND(main!BZ13*100,6))</f>
        <v/>
      </c>
      <c r="BO10" s="68" t="str">
        <f>IF(main!CA13="","",ROUND(main!CA13*100,6))</f>
        <v/>
      </c>
      <c r="BP10" s="68" t="str">
        <f>IF(main!CB13="","",ROUND(main!CB13*100,6))</f>
        <v/>
      </c>
      <c r="BQ10" s="68" t="str">
        <f>IF(main!CC13="","",ROUND(main!CC13*100,6))</f>
        <v/>
      </c>
      <c r="BR10" s="68" t="str">
        <f>IF(main!CD13="","",ROUND(main!CD13*100,6))</f>
        <v/>
      </c>
      <c r="BS10" s="68" t="str">
        <f>IF(main!CE13="","",ROUND(main!CE13*100,6))</f>
        <v/>
      </c>
      <c r="BT10" s="68" t="str">
        <f>IF(main!CF13="","",ROUND(main!CF13*100,6))</f>
        <v/>
      </c>
      <c r="BU10" s="68" t="str">
        <f>IF(main!CG13="","",ROUND(main!CG13*100,6))</f>
        <v/>
      </c>
      <c r="BV10" s="68" t="str">
        <f>IF(main!CH13="","",ROUND(main!CH13*100,6))</f>
        <v/>
      </c>
      <c r="BW10" s="68" t="str">
        <f>IF(main!CI13="","",ROUND(main!CI13*100,6))</f>
        <v/>
      </c>
      <c r="BX10" s="68" t="str">
        <f>IF(main!CJ13="","",ROUND(main!CJ13*100,6))</f>
        <v/>
      </c>
      <c r="BY10" s="68" t="str">
        <f>IF(main!CK13="","",ROUND(main!CK13*100,6))</f>
        <v/>
      </c>
      <c r="BZ10" s="68" t="str">
        <f>IF(main!CL13="","",ROUND(main!CL13*100,6))</f>
        <v/>
      </c>
      <c r="CA10" s="68" t="str">
        <f>IF(main!CM13="","",ROUND(main!CM13*100,6))</f>
        <v/>
      </c>
      <c r="CB10" s="68" t="str">
        <f>IF(main!CN13="","",ROUND(main!CN13*100,6))</f>
        <v/>
      </c>
      <c r="CC10" s="68" t="str">
        <f>IF(main!CO13="","",ROUND(main!CO13*100,6))</f>
        <v/>
      </c>
    </row>
    <row r="11" spans="1:81" x14ac:dyDescent="0.25">
      <c r="A11" s="65" t="s">
        <v>120</v>
      </c>
      <c r="B11" s="66" t="str">
        <f>main!C13</f>
        <v>งานรื้อถอน</v>
      </c>
      <c r="C11" s="67">
        <f>main!O13</f>
        <v>600000</v>
      </c>
      <c r="D11" s="65" t="s">
        <v>111</v>
      </c>
      <c r="E11" s="68" t="str">
        <f t="shared" si="0"/>
        <v/>
      </c>
      <c r="F11" s="68" t="str">
        <f>IF(main!R14="","",ROUND(main!R14*100,6))</f>
        <v/>
      </c>
      <c r="G11" s="68" t="str">
        <f>IF(main!S14="","",ROUND(main!S14*100,6))</f>
        <v/>
      </c>
      <c r="H11" s="68" t="str">
        <f>IF(main!T14="","",ROUND(main!T14*100,6))</f>
        <v/>
      </c>
      <c r="I11" s="68" t="str">
        <f>IF(main!U14="","",ROUND(main!U14*100,6))</f>
        <v/>
      </c>
      <c r="J11" s="68" t="str">
        <f>IF(main!V14="","",ROUND(main!V14*100,6))</f>
        <v/>
      </c>
      <c r="K11" s="68" t="str">
        <f>IF(main!W14="","",ROUND(main!W14*100,6))</f>
        <v/>
      </c>
      <c r="L11" s="68" t="str">
        <f>IF(main!X14="","",ROUND(main!X14*100,6))</f>
        <v/>
      </c>
      <c r="M11" s="68" t="str">
        <f>IF(main!Y14="","",ROUND(main!Y14*100,6))</f>
        <v/>
      </c>
      <c r="N11" s="68" t="str">
        <f>IF(main!Z14="","",ROUND(main!Z14*100,6))</f>
        <v/>
      </c>
      <c r="O11" s="68" t="str">
        <f>IF(main!AA14="","",ROUND(main!AA14*100,6))</f>
        <v/>
      </c>
      <c r="P11" s="68" t="str">
        <f>IF(main!AB14="","",ROUND(main!AB14*100,6))</f>
        <v/>
      </c>
      <c r="Q11" s="68" t="str">
        <f>IF(main!AC14="","",ROUND(main!AC14*100,6))</f>
        <v/>
      </c>
      <c r="R11" s="68" t="str">
        <f>IF(main!AD14="","",ROUND(main!AD14*100,6))</f>
        <v/>
      </c>
      <c r="S11" s="68" t="str">
        <f>IF(main!AE14="","",ROUND(main!AE14*100,6))</f>
        <v/>
      </c>
      <c r="T11" s="68" t="str">
        <f>IF(main!AF14="","",ROUND(main!AF14*100,6))</f>
        <v/>
      </c>
      <c r="U11" s="68" t="str">
        <f>IF(main!AG14="","",ROUND(main!AG14*100,6))</f>
        <v/>
      </c>
      <c r="V11" s="68" t="str">
        <f>IF(main!AH14="","",ROUND(main!AH14*100,6))</f>
        <v/>
      </c>
      <c r="W11" s="68" t="str">
        <f>IF(main!AI14="","",ROUND(main!AI14*100,6))</f>
        <v/>
      </c>
      <c r="X11" s="68" t="str">
        <f>IF(main!AJ14="","",ROUND(main!AJ14*100,6))</f>
        <v/>
      </c>
      <c r="Y11" s="68" t="str">
        <f>IF(main!AK14="","",ROUND(main!AK14*100,6))</f>
        <v/>
      </c>
      <c r="Z11" s="68" t="str">
        <f>IF(main!AL14="","",ROUND(main!AL14*100,6))</f>
        <v/>
      </c>
      <c r="AA11" s="68" t="str">
        <f>IF(main!AM14="","",ROUND(main!AM14*100,6))</f>
        <v/>
      </c>
      <c r="AB11" s="68" t="str">
        <f>IF(main!AN14="","",ROUND(main!AN14*100,6))</f>
        <v/>
      </c>
      <c r="AC11" s="68" t="str">
        <f>IF(main!AO14="","",ROUND(main!AO14*100,6))</f>
        <v/>
      </c>
      <c r="AD11" s="68" t="str">
        <f>IF(main!AP14="","",ROUND(main!AP14*100,6))</f>
        <v/>
      </c>
      <c r="AE11" s="68" t="str">
        <f>IF(main!AQ14="","",ROUND(main!AQ14*100,6))</f>
        <v/>
      </c>
      <c r="AF11" s="68" t="str">
        <f>IF(main!AR14="","",ROUND(main!AR14*100,6))</f>
        <v/>
      </c>
      <c r="AG11" s="68" t="str">
        <f>IF(main!AS14="","",ROUND(main!AS14*100,6))</f>
        <v/>
      </c>
      <c r="AH11" s="68" t="str">
        <f>IF(main!AT14="","",ROUND(main!AT14*100,6))</f>
        <v/>
      </c>
      <c r="AI11" s="68" t="str">
        <f>IF(main!AU14="","",ROUND(main!AU14*100,6))</f>
        <v/>
      </c>
      <c r="AJ11" s="68" t="str">
        <f>IF(main!AV14="","",ROUND(main!AV14*100,6))</f>
        <v/>
      </c>
      <c r="AK11" s="68" t="str">
        <f>IF(main!AW14="","",ROUND(main!AW14*100,6))</f>
        <v/>
      </c>
      <c r="AL11" s="68" t="str">
        <f>IF(main!AX14="","",ROUND(main!AX14*100,6))</f>
        <v/>
      </c>
      <c r="AM11" s="68" t="str">
        <f>IF(main!AY14="","",ROUND(main!AY14*100,6))</f>
        <v/>
      </c>
      <c r="AN11" s="68" t="str">
        <f>IF(main!AZ14="","",ROUND(main!AZ14*100,6))</f>
        <v/>
      </c>
      <c r="AO11" s="68" t="str">
        <f>IF(main!BA14="","",ROUND(main!BA14*100,6))</f>
        <v/>
      </c>
      <c r="AP11" s="68" t="str">
        <f>IF(main!BB14="","",ROUND(main!BB14*100,6))</f>
        <v/>
      </c>
      <c r="AQ11" s="68" t="str">
        <f>IF(main!BC14="","",ROUND(main!BC14*100,6))</f>
        <v/>
      </c>
      <c r="AR11" s="68" t="str">
        <f>IF(main!BD14="","",ROUND(main!BD14*100,6))</f>
        <v/>
      </c>
      <c r="AS11" s="68" t="str">
        <f>IF(main!BE14="","",ROUND(main!BE14*100,6))</f>
        <v/>
      </c>
      <c r="AT11" s="68" t="str">
        <f>IF(main!BF14="","",ROUND(main!BF14*100,6))</f>
        <v/>
      </c>
      <c r="AU11" s="68" t="str">
        <f>IF(main!BG14="","",ROUND(main!BG14*100,6))</f>
        <v/>
      </c>
      <c r="AV11" s="68" t="str">
        <f>IF(main!BH14="","",ROUND(main!BH14*100,6))</f>
        <v/>
      </c>
      <c r="AW11" s="68" t="str">
        <f>IF(main!BI14="","",ROUND(main!BI14*100,6))</f>
        <v/>
      </c>
      <c r="AX11" s="68" t="str">
        <f>IF(main!BJ14="","",ROUND(main!BJ14*100,6))</f>
        <v/>
      </c>
      <c r="AY11" s="68" t="str">
        <f>IF(main!BK14="","",ROUND(main!BK14*100,6))</f>
        <v/>
      </c>
      <c r="AZ11" s="68" t="str">
        <f>IF(main!BL14="","",ROUND(main!BL14*100,6))</f>
        <v/>
      </c>
      <c r="BA11" s="68" t="str">
        <f>IF(main!BM14="","",ROUND(main!BM14*100,6))</f>
        <v/>
      </c>
      <c r="BB11" s="68" t="str">
        <f>IF(main!BN14="","",ROUND(main!BN14*100,6))</f>
        <v/>
      </c>
      <c r="BC11" s="68" t="str">
        <f>IF(main!BO14="","",ROUND(main!BO14*100,6))</f>
        <v/>
      </c>
      <c r="BD11" s="68" t="str">
        <f>IF(main!BP14="","",ROUND(main!BP14*100,6))</f>
        <v/>
      </c>
      <c r="BE11" s="68" t="str">
        <f>IF(main!BQ14="","",ROUND(main!BQ14*100,6))</f>
        <v/>
      </c>
      <c r="BF11" s="68" t="str">
        <f>IF(main!BR14="","",ROUND(main!BR14*100,6))</f>
        <v/>
      </c>
      <c r="BG11" s="68" t="str">
        <f>IF(main!BS14="","",ROUND(main!BS14*100,6))</f>
        <v/>
      </c>
      <c r="BH11" s="68" t="str">
        <f>IF(main!BT14="","",ROUND(main!BT14*100,6))</f>
        <v/>
      </c>
      <c r="BI11" s="68" t="str">
        <f>IF(main!BU14="","",ROUND(main!BU14*100,6))</f>
        <v/>
      </c>
      <c r="BJ11" s="68" t="str">
        <f>IF(main!BV14="","",ROUND(main!BV14*100,6))</f>
        <v/>
      </c>
      <c r="BK11" s="68" t="str">
        <f>IF(main!BW14="","",ROUND(main!BW14*100,6))</f>
        <v/>
      </c>
      <c r="BL11" s="68" t="str">
        <f>IF(main!BX14="","",ROUND(main!BX14*100,6))</f>
        <v/>
      </c>
      <c r="BM11" s="68" t="str">
        <f>IF(main!BY14="","",ROUND(main!BY14*100,6))</f>
        <v/>
      </c>
      <c r="BN11" s="68" t="str">
        <f>IF(main!BZ14="","",ROUND(main!BZ14*100,6))</f>
        <v/>
      </c>
      <c r="BO11" s="68" t="str">
        <f>IF(main!CA14="","",ROUND(main!CA14*100,6))</f>
        <v/>
      </c>
      <c r="BP11" s="68" t="str">
        <f>IF(main!CB14="","",ROUND(main!CB14*100,6))</f>
        <v/>
      </c>
      <c r="BQ11" s="68" t="str">
        <f>IF(main!CC14="","",ROUND(main!CC14*100,6))</f>
        <v/>
      </c>
      <c r="BR11" s="68" t="str">
        <f>IF(main!CD14="","",ROUND(main!CD14*100,6))</f>
        <v/>
      </c>
      <c r="BS11" s="68" t="str">
        <f>IF(main!CE14="","",ROUND(main!CE14*100,6))</f>
        <v/>
      </c>
      <c r="BT11" s="68" t="str">
        <f>IF(main!CF14="","",ROUND(main!CF14*100,6))</f>
        <v/>
      </c>
      <c r="BU11" s="68" t="str">
        <f>IF(main!CG14="","",ROUND(main!CG14*100,6))</f>
        <v/>
      </c>
      <c r="BV11" s="68" t="str">
        <f>IF(main!CH14="","",ROUND(main!CH14*100,6))</f>
        <v/>
      </c>
      <c r="BW11" s="68" t="str">
        <f>IF(main!CI14="","",ROUND(main!CI14*100,6))</f>
        <v/>
      </c>
      <c r="BX11" s="68" t="str">
        <f>IF(main!CJ14="","",ROUND(main!CJ14*100,6))</f>
        <v/>
      </c>
      <c r="BY11" s="68" t="str">
        <f>IF(main!CK14="","",ROUND(main!CK14*100,6))</f>
        <v/>
      </c>
      <c r="BZ11" s="68" t="str">
        <f>IF(main!CL14="","",ROUND(main!CL14*100,6))</f>
        <v/>
      </c>
      <c r="CA11" s="68" t="str">
        <f>IF(main!CM14="","",ROUND(main!CM14*100,6))</f>
        <v/>
      </c>
      <c r="CB11" s="68" t="str">
        <f>IF(main!CN14="","",ROUND(main!CN14*100,6))</f>
        <v/>
      </c>
      <c r="CC11" s="68" t="str">
        <f>IF(main!CO14="","",ROUND(main!CO14*100,6))</f>
        <v/>
      </c>
    </row>
    <row r="12" spans="1:81" x14ac:dyDescent="0.25">
      <c r="A12" s="65" t="s">
        <v>122</v>
      </c>
      <c r="B12" s="66" t="str">
        <f>main!C15</f>
        <v>Roof &amp; Roof Floor</v>
      </c>
      <c r="C12" s="67">
        <f>main!O15</f>
        <v>100000</v>
      </c>
      <c r="D12" s="65" t="s">
        <v>110</v>
      </c>
      <c r="E12" s="68">
        <f t="shared" si="0"/>
        <v>100</v>
      </c>
      <c r="F12" s="68" t="str">
        <f>IF(main!R15="","",ROUND(main!R15*100,6))</f>
        <v/>
      </c>
      <c r="G12" s="68" t="str">
        <f>IF(main!S15="","",ROUND(main!S15*100,6))</f>
        <v/>
      </c>
      <c r="H12" s="68" t="str">
        <f>IF(main!T15="","",ROUND(main!T15*100,6))</f>
        <v/>
      </c>
      <c r="I12" s="68" t="str">
        <f>IF(main!U15="","",ROUND(main!U15*100,6))</f>
        <v/>
      </c>
      <c r="J12" s="68" t="str">
        <f>IF(main!V15="","",ROUND(main!V15*100,6))</f>
        <v/>
      </c>
      <c r="K12" s="68" t="str">
        <f>IF(main!W15="","",ROUND(main!W15*100,6))</f>
        <v/>
      </c>
      <c r="L12" s="68" t="str">
        <f>IF(main!X15="","",ROUND(main!X15*100,6))</f>
        <v/>
      </c>
      <c r="M12" s="68" t="str">
        <f>IF(main!Y15="","",ROUND(main!Y15*100,6))</f>
        <v/>
      </c>
      <c r="N12" s="68" t="str">
        <f>IF(main!Z15="","",ROUND(main!Z15*100,6))</f>
        <v/>
      </c>
      <c r="O12" s="68" t="str">
        <f>IF(main!AA15="","",ROUND(main!AA15*100,6))</f>
        <v/>
      </c>
      <c r="P12" s="68" t="str">
        <f>IF(main!AB15="","",ROUND(main!AB15*100,6))</f>
        <v/>
      </c>
      <c r="Q12" s="68" t="str">
        <f>IF(main!AC15="","",ROUND(main!AC15*100,6))</f>
        <v/>
      </c>
      <c r="R12" s="68" t="str">
        <f>IF(main!AD15="","",ROUND(main!AD15*100,6))</f>
        <v/>
      </c>
      <c r="S12" s="68" t="str">
        <f>IF(main!AE15="","",ROUND(main!AE15*100,6))</f>
        <v/>
      </c>
      <c r="T12" s="68" t="str">
        <f>IF(main!AF15="","",ROUND(main!AF15*100,6))</f>
        <v/>
      </c>
      <c r="U12" s="68">
        <f>IF(main!AG15="","",ROUND(main!AG15*100,6))</f>
        <v>4.7619049999999996</v>
      </c>
      <c r="V12" s="68">
        <f>IF(main!AH15="","",ROUND(main!AH15*100,6))</f>
        <v>33.333333000000003</v>
      </c>
      <c r="W12" s="68">
        <f>IF(main!AI15="","",ROUND(main!AI15*100,6))</f>
        <v>33.333333000000003</v>
      </c>
      <c r="X12" s="68">
        <f>IF(main!AJ15="","",ROUND(main!AJ15*100,6))</f>
        <v>28.571428999999998</v>
      </c>
      <c r="Y12" s="68" t="str">
        <f>IF(main!AK15="","",ROUND(main!AK15*100,6))</f>
        <v/>
      </c>
      <c r="Z12" s="68" t="str">
        <f>IF(main!AL15="","",ROUND(main!AL15*100,6))</f>
        <v/>
      </c>
      <c r="AA12" s="68" t="str">
        <f>IF(main!AM15="","",ROUND(main!AM15*100,6))</f>
        <v/>
      </c>
      <c r="AB12" s="68" t="str">
        <f>IF(main!AN15="","",ROUND(main!AN15*100,6))</f>
        <v/>
      </c>
      <c r="AC12" s="68" t="str">
        <f>IF(main!AO15="","",ROUND(main!AO15*100,6))</f>
        <v/>
      </c>
      <c r="AD12" s="68" t="str">
        <f>IF(main!AP15="","",ROUND(main!AP15*100,6))</f>
        <v/>
      </c>
      <c r="AE12" s="68" t="str">
        <f>IF(main!AQ15="","",ROUND(main!AQ15*100,6))</f>
        <v/>
      </c>
      <c r="AF12" s="68" t="str">
        <f>IF(main!AR15="","",ROUND(main!AR15*100,6))</f>
        <v/>
      </c>
      <c r="AG12" s="68" t="str">
        <f>IF(main!AS15="","",ROUND(main!AS15*100,6))</f>
        <v/>
      </c>
      <c r="AH12" s="68" t="str">
        <f>IF(main!AT15="","",ROUND(main!AT15*100,6))</f>
        <v/>
      </c>
      <c r="AI12" s="68" t="str">
        <f>IF(main!AU15="","",ROUND(main!AU15*100,6))</f>
        <v/>
      </c>
      <c r="AJ12" s="68" t="str">
        <f>IF(main!AV15="","",ROUND(main!AV15*100,6))</f>
        <v/>
      </c>
      <c r="AK12" s="68" t="str">
        <f>IF(main!AW15="","",ROUND(main!AW15*100,6))</f>
        <v/>
      </c>
      <c r="AL12" s="68" t="str">
        <f>IF(main!AX15="","",ROUND(main!AX15*100,6))</f>
        <v/>
      </c>
      <c r="AM12" s="68" t="str">
        <f>IF(main!AY15="","",ROUND(main!AY15*100,6))</f>
        <v/>
      </c>
      <c r="AN12" s="68" t="str">
        <f>IF(main!AZ15="","",ROUND(main!AZ15*100,6))</f>
        <v/>
      </c>
      <c r="AO12" s="68" t="str">
        <f>IF(main!BA15="","",ROUND(main!BA15*100,6))</f>
        <v/>
      </c>
      <c r="AP12" s="68" t="str">
        <f>IF(main!BB15="","",ROUND(main!BB15*100,6))</f>
        <v/>
      </c>
      <c r="AQ12" s="68" t="str">
        <f>IF(main!BC15="","",ROUND(main!BC15*100,6))</f>
        <v/>
      </c>
      <c r="AR12" s="68" t="str">
        <f>IF(main!BD15="","",ROUND(main!BD15*100,6))</f>
        <v/>
      </c>
      <c r="AS12" s="68" t="str">
        <f>IF(main!BE15="","",ROUND(main!BE15*100,6))</f>
        <v/>
      </c>
      <c r="AT12" s="68" t="str">
        <f>IF(main!BF15="","",ROUND(main!BF15*100,6))</f>
        <v/>
      </c>
      <c r="AU12" s="68" t="str">
        <f>IF(main!BG15="","",ROUND(main!BG15*100,6))</f>
        <v/>
      </c>
      <c r="AV12" s="68" t="str">
        <f>IF(main!BH15="","",ROUND(main!BH15*100,6))</f>
        <v/>
      </c>
      <c r="AW12" s="68" t="str">
        <f>IF(main!BI15="","",ROUND(main!BI15*100,6))</f>
        <v/>
      </c>
      <c r="AX12" s="68" t="str">
        <f>IF(main!BJ15="","",ROUND(main!BJ15*100,6))</f>
        <v/>
      </c>
      <c r="AY12" s="68" t="str">
        <f>IF(main!BK15="","",ROUND(main!BK15*100,6))</f>
        <v/>
      </c>
      <c r="AZ12" s="68" t="str">
        <f>IF(main!BL15="","",ROUND(main!BL15*100,6))</f>
        <v/>
      </c>
      <c r="BA12" s="68" t="str">
        <f>IF(main!BM15="","",ROUND(main!BM15*100,6))</f>
        <v/>
      </c>
      <c r="BB12" s="68" t="str">
        <f>IF(main!BN15="","",ROUND(main!BN15*100,6))</f>
        <v/>
      </c>
      <c r="BC12" s="68" t="str">
        <f>IF(main!BO15="","",ROUND(main!BO15*100,6))</f>
        <v/>
      </c>
      <c r="BD12" s="68" t="str">
        <f>IF(main!BP15="","",ROUND(main!BP15*100,6))</f>
        <v/>
      </c>
      <c r="BE12" s="68" t="str">
        <f>IF(main!BQ15="","",ROUND(main!BQ15*100,6))</f>
        <v/>
      </c>
      <c r="BF12" s="68" t="str">
        <f>IF(main!BR15="","",ROUND(main!BR15*100,6))</f>
        <v/>
      </c>
      <c r="BG12" s="68" t="str">
        <f>IF(main!BS15="","",ROUND(main!BS15*100,6))</f>
        <v/>
      </c>
      <c r="BH12" s="68" t="str">
        <f>IF(main!BT15="","",ROUND(main!BT15*100,6))</f>
        <v/>
      </c>
      <c r="BI12" s="68" t="str">
        <f>IF(main!BU15="","",ROUND(main!BU15*100,6))</f>
        <v/>
      </c>
      <c r="BJ12" s="68" t="str">
        <f>IF(main!BV15="","",ROUND(main!BV15*100,6))</f>
        <v/>
      </c>
      <c r="BK12" s="68" t="str">
        <f>IF(main!BW15="","",ROUND(main!BW15*100,6))</f>
        <v/>
      </c>
      <c r="BL12" s="68" t="str">
        <f>IF(main!BX15="","",ROUND(main!BX15*100,6))</f>
        <v/>
      </c>
      <c r="BM12" s="68" t="str">
        <f>IF(main!BY15="","",ROUND(main!BY15*100,6))</f>
        <v/>
      </c>
      <c r="BN12" s="68" t="str">
        <f>IF(main!BZ15="","",ROUND(main!BZ15*100,6))</f>
        <v/>
      </c>
      <c r="BO12" s="68" t="str">
        <f>IF(main!CA15="","",ROUND(main!CA15*100,6))</f>
        <v/>
      </c>
      <c r="BP12" s="68" t="str">
        <f>IF(main!CB15="","",ROUND(main!CB15*100,6))</f>
        <v/>
      </c>
      <c r="BQ12" s="68" t="str">
        <f>IF(main!CC15="","",ROUND(main!CC15*100,6))</f>
        <v/>
      </c>
      <c r="BR12" s="68" t="str">
        <f>IF(main!CD15="","",ROUND(main!CD15*100,6))</f>
        <v/>
      </c>
      <c r="BS12" s="68" t="str">
        <f>IF(main!CE15="","",ROUND(main!CE15*100,6))</f>
        <v/>
      </c>
      <c r="BT12" s="68" t="str">
        <f>IF(main!CF15="","",ROUND(main!CF15*100,6))</f>
        <v/>
      </c>
      <c r="BU12" s="68" t="str">
        <f>IF(main!CG15="","",ROUND(main!CG15*100,6))</f>
        <v/>
      </c>
      <c r="BV12" s="68" t="str">
        <f>IF(main!CH15="","",ROUND(main!CH15*100,6))</f>
        <v/>
      </c>
      <c r="BW12" s="68" t="str">
        <f>IF(main!CI15="","",ROUND(main!CI15*100,6))</f>
        <v/>
      </c>
      <c r="BX12" s="68" t="str">
        <f>IF(main!CJ15="","",ROUND(main!CJ15*100,6))</f>
        <v/>
      </c>
      <c r="BY12" s="68" t="str">
        <f>IF(main!CK15="","",ROUND(main!CK15*100,6))</f>
        <v/>
      </c>
      <c r="BZ12" s="68" t="str">
        <f>IF(main!CL15="","",ROUND(main!CL15*100,6))</f>
        <v/>
      </c>
      <c r="CA12" s="68" t="str">
        <f>IF(main!CM15="","",ROUND(main!CM15*100,6))</f>
        <v/>
      </c>
      <c r="CB12" s="68" t="str">
        <f>IF(main!CN15="","",ROUND(main!CN15*100,6))</f>
        <v/>
      </c>
      <c r="CC12" s="68" t="str">
        <f>IF(main!CO15="","",ROUND(main!CO15*100,6))</f>
        <v/>
      </c>
    </row>
    <row r="13" spans="1:81" x14ac:dyDescent="0.25">
      <c r="A13" s="65" t="s">
        <v>122</v>
      </c>
      <c r="B13" s="66" t="str">
        <f>main!C15</f>
        <v>Roof &amp; Roof Floor</v>
      </c>
      <c r="C13" s="67">
        <f>main!O15</f>
        <v>100000</v>
      </c>
      <c r="D13" s="65" t="s">
        <v>111</v>
      </c>
      <c r="E13" s="68" t="str">
        <f t="shared" si="0"/>
        <v/>
      </c>
      <c r="F13" s="68" t="str">
        <f>IF(main!R16="","",ROUND(main!R16*100,6))</f>
        <v/>
      </c>
      <c r="G13" s="68" t="str">
        <f>IF(main!S16="","",ROUND(main!S16*100,6))</f>
        <v/>
      </c>
      <c r="H13" s="68" t="str">
        <f>IF(main!T16="","",ROUND(main!T16*100,6))</f>
        <v/>
      </c>
      <c r="I13" s="68" t="str">
        <f>IF(main!U16="","",ROUND(main!U16*100,6))</f>
        <v/>
      </c>
      <c r="J13" s="68" t="str">
        <f>IF(main!V16="","",ROUND(main!V16*100,6))</f>
        <v/>
      </c>
      <c r="K13" s="68" t="str">
        <f>IF(main!W16="","",ROUND(main!W16*100,6))</f>
        <v/>
      </c>
      <c r="L13" s="68" t="str">
        <f>IF(main!X16="","",ROUND(main!X16*100,6))</f>
        <v/>
      </c>
      <c r="M13" s="68" t="str">
        <f>IF(main!Y16="","",ROUND(main!Y16*100,6))</f>
        <v/>
      </c>
      <c r="N13" s="68" t="str">
        <f>IF(main!Z16="","",ROUND(main!Z16*100,6))</f>
        <v/>
      </c>
      <c r="O13" s="68" t="str">
        <f>IF(main!AA16="","",ROUND(main!AA16*100,6))</f>
        <v/>
      </c>
      <c r="P13" s="68" t="str">
        <f>IF(main!AB16="","",ROUND(main!AB16*100,6))</f>
        <v/>
      </c>
      <c r="Q13" s="68" t="str">
        <f>IF(main!AC16="","",ROUND(main!AC16*100,6))</f>
        <v/>
      </c>
      <c r="R13" s="68" t="str">
        <f>IF(main!AD16="","",ROUND(main!AD16*100,6))</f>
        <v/>
      </c>
      <c r="S13" s="68" t="str">
        <f>IF(main!AE16="","",ROUND(main!AE16*100,6))</f>
        <v/>
      </c>
      <c r="T13" s="68" t="str">
        <f>IF(main!AF16="","",ROUND(main!AF16*100,6))</f>
        <v/>
      </c>
      <c r="U13" s="68" t="str">
        <f>IF(main!AG16="","",ROUND(main!AG16*100,6))</f>
        <v/>
      </c>
      <c r="V13" s="68" t="str">
        <f>IF(main!AH16="","",ROUND(main!AH16*100,6))</f>
        <v/>
      </c>
      <c r="W13" s="68" t="str">
        <f>IF(main!AI16="","",ROUND(main!AI16*100,6))</f>
        <v/>
      </c>
      <c r="X13" s="68" t="str">
        <f>IF(main!AJ16="","",ROUND(main!AJ16*100,6))</f>
        <v/>
      </c>
      <c r="Y13" s="68" t="str">
        <f>IF(main!AK16="","",ROUND(main!AK16*100,6))</f>
        <v/>
      </c>
      <c r="Z13" s="68" t="str">
        <f>IF(main!AL16="","",ROUND(main!AL16*100,6))</f>
        <v/>
      </c>
      <c r="AA13" s="68" t="str">
        <f>IF(main!AM16="","",ROUND(main!AM16*100,6))</f>
        <v/>
      </c>
      <c r="AB13" s="68" t="str">
        <f>IF(main!AN16="","",ROUND(main!AN16*100,6))</f>
        <v/>
      </c>
      <c r="AC13" s="68" t="str">
        <f>IF(main!AO16="","",ROUND(main!AO16*100,6))</f>
        <v/>
      </c>
      <c r="AD13" s="68" t="str">
        <f>IF(main!AP16="","",ROUND(main!AP16*100,6))</f>
        <v/>
      </c>
      <c r="AE13" s="68" t="str">
        <f>IF(main!AQ16="","",ROUND(main!AQ16*100,6))</f>
        <v/>
      </c>
      <c r="AF13" s="68" t="str">
        <f>IF(main!AR16="","",ROUND(main!AR16*100,6))</f>
        <v/>
      </c>
      <c r="AG13" s="68" t="str">
        <f>IF(main!AS16="","",ROUND(main!AS16*100,6))</f>
        <v/>
      </c>
      <c r="AH13" s="68" t="str">
        <f>IF(main!AT16="","",ROUND(main!AT16*100,6))</f>
        <v/>
      </c>
      <c r="AI13" s="68" t="str">
        <f>IF(main!AU16="","",ROUND(main!AU16*100,6))</f>
        <v/>
      </c>
      <c r="AJ13" s="68" t="str">
        <f>IF(main!AV16="","",ROUND(main!AV16*100,6))</f>
        <v/>
      </c>
      <c r="AK13" s="68" t="str">
        <f>IF(main!AW16="","",ROUND(main!AW16*100,6))</f>
        <v/>
      </c>
      <c r="AL13" s="68" t="str">
        <f>IF(main!AX16="","",ROUND(main!AX16*100,6))</f>
        <v/>
      </c>
      <c r="AM13" s="68" t="str">
        <f>IF(main!AY16="","",ROUND(main!AY16*100,6))</f>
        <v/>
      </c>
      <c r="AN13" s="68" t="str">
        <f>IF(main!AZ16="","",ROUND(main!AZ16*100,6))</f>
        <v/>
      </c>
      <c r="AO13" s="68" t="str">
        <f>IF(main!BA16="","",ROUND(main!BA16*100,6))</f>
        <v/>
      </c>
      <c r="AP13" s="68" t="str">
        <f>IF(main!BB16="","",ROUND(main!BB16*100,6))</f>
        <v/>
      </c>
      <c r="AQ13" s="68" t="str">
        <f>IF(main!BC16="","",ROUND(main!BC16*100,6))</f>
        <v/>
      </c>
      <c r="AR13" s="68" t="str">
        <f>IF(main!BD16="","",ROUND(main!BD16*100,6))</f>
        <v/>
      </c>
      <c r="AS13" s="68" t="str">
        <f>IF(main!BE16="","",ROUND(main!BE16*100,6))</f>
        <v/>
      </c>
      <c r="AT13" s="68" t="str">
        <f>IF(main!BF16="","",ROUND(main!BF16*100,6))</f>
        <v/>
      </c>
      <c r="AU13" s="68" t="str">
        <f>IF(main!BG16="","",ROUND(main!BG16*100,6))</f>
        <v/>
      </c>
      <c r="AV13" s="68" t="str">
        <f>IF(main!BH16="","",ROUND(main!BH16*100,6))</f>
        <v/>
      </c>
      <c r="AW13" s="68" t="str">
        <f>IF(main!BI16="","",ROUND(main!BI16*100,6))</f>
        <v/>
      </c>
      <c r="AX13" s="68" t="str">
        <f>IF(main!BJ16="","",ROUND(main!BJ16*100,6))</f>
        <v/>
      </c>
      <c r="AY13" s="68" t="str">
        <f>IF(main!BK16="","",ROUND(main!BK16*100,6))</f>
        <v/>
      </c>
      <c r="AZ13" s="68" t="str">
        <f>IF(main!BL16="","",ROUND(main!BL16*100,6))</f>
        <v/>
      </c>
      <c r="BA13" s="68" t="str">
        <f>IF(main!BM16="","",ROUND(main!BM16*100,6))</f>
        <v/>
      </c>
      <c r="BB13" s="68" t="str">
        <f>IF(main!BN16="","",ROUND(main!BN16*100,6))</f>
        <v/>
      </c>
      <c r="BC13" s="68" t="str">
        <f>IF(main!BO16="","",ROUND(main!BO16*100,6))</f>
        <v/>
      </c>
      <c r="BD13" s="68" t="str">
        <f>IF(main!BP16="","",ROUND(main!BP16*100,6))</f>
        <v/>
      </c>
      <c r="BE13" s="68" t="str">
        <f>IF(main!BQ16="","",ROUND(main!BQ16*100,6))</f>
        <v/>
      </c>
      <c r="BF13" s="68" t="str">
        <f>IF(main!BR16="","",ROUND(main!BR16*100,6))</f>
        <v/>
      </c>
      <c r="BG13" s="68" t="str">
        <f>IF(main!BS16="","",ROUND(main!BS16*100,6))</f>
        <v/>
      </c>
      <c r="BH13" s="68" t="str">
        <f>IF(main!BT16="","",ROUND(main!BT16*100,6))</f>
        <v/>
      </c>
      <c r="BI13" s="68" t="str">
        <f>IF(main!BU16="","",ROUND(main!BU16*100,6))</f>
        <v/>
      </c>
      <c r="BJ13" s="68" t="str">
        <f>IF(main!BV16="","",ROUND(main!BV16*100,6))</f>
        <v/>
      </c>
      <c r="BK13" s="68" t="str">
        <f>IF(main!BW16="","",ROUND(main!BW16*100,6))</f>
        <v/>
      </c>
      <c r="BL13" s="68" t="str">
        <f>IF(main!BX16="","",ROUND(main!BX16*100,6))</f>
        <v/>
      </c>
      <c r="BM13" s="68" t="str">
        <f>IF(main!BY16="","",ROUND(main!BY16*100,6))</f>
        <v/>
      </c>
      <c r="BN13" s="68" t="str">
        <f>IF(main!BZ16="","",ROUND(main!BZ16*100,6))</f>
        <v/>
      </c>
      <c r="BO13" s="68" t="str">
        <f>IF(main!CA16="","",ROUND(main!CA16*100,6))</f>
        <v/>
      </c>
      <c r="BP13" s="68" t="str">
        <f>IF(main!CB16="","",ROUND(main!CB16*100,6))</f>
        <v/>
      </c>
      <c r="BQ13" s="68" t="str">
        <f>IF(main!CC16="","",ROUND(main!CC16*100,6))</f>
        <v/>
      </c>
      <c r="BR13" s="68" t="str">
        <f>IF(main!CD16="","",ROUND(main!CD16*100,6))</f>
        <v/>
      </c>
      <c r="BS13" s="68" t="str">
        <f>IF(main!CE16="","",ROUND(main!CE16*100,6))</f>
        <v/>
      </c>
      <c r="BT13" s="68" t="str">
        <f>IF(main!CF16="","",ROUND(main!CF16*100,6))</f>
        <v/>
      </c>
      <c r="BU13" s="68" t="str">
        <f>IF(main!CG16="","",ROUND(main!CG16*100,6))</f>
        <v/>
      </c>
      <c r="BV13" s="68" t="str">
        <f>IF(main!CH16="","",ROUND(main!CH16*100,6))</f>
        <v/>
      </c>
      <c r="BW13" s="68" t="str">
        <f>IF(main!CI16="","",ROUND(main!CI16*100,6))</f>
        <v/>
      </c>
      <c r="BX13" s="68" t="str">
        <f>IF(main!CJ16="","",ROUND(main!CJ16*100,6))</f>
        <v/>
      </c>
      <c r="BY13" s="68" t="str">
        <f>IF(main!CK16="","",ROUND(main!CK16*100,6))</f>
        <v/>
      </c>
      <c r="BZ13" s="68" t="str">
        <f>IF(main!CL16="","",ROUND(main!CL16*100,6))</f>
        <v/>
      </c>
      <c r="CA13" s="68" t="str">
        <f>IF(main!CM16="","",ROUND(main!CM16*100,6))</f>
        <v/>
      </c>
      <c r="CB13" s="68" t="str">
        <f>IF(main!CN16="","",ROUND(main!CN16*100,6))</f>
        <v/>
      </c>
      <c r="CC13" s="68" t="str">
        <f>IF(main!CO16="","",ROUND(main!CO16*100,6))</f>
        <v/>
      </c>
    </row>
    <row r="14" spans="1:81" x14ac:dyDescent="0.25">
      <c r="A14" s="65" t="s">
        <v>125</v>
      </c>
      <c r="B14" s="66" t="str">
        <f>main!C17</f>
        <v>3rd Floor</v>
      </c>
      <c r="C14" s="67">
        <f>main!O17</f>
        <v>100000</v>
      </c>
      <c r="D14" s="65" t="s">
        <v>110</v>
      </c>
      <c r="E14" s="68">
        <f t="shared" si="0"/>
        <v>100</v>
      </c>
      <c r="F14" s="68" t="str">
        <f>IF(main!R17="","",ROUND(main!R17*100,6))</f>
        <v/>
      </c>
      <c r="G14" s="68" t="str">
        <f>IF(main!S17="","",ROUND(main!S17*100,6))</f>
        <v/>
      </c>
      <c r="H14" s="68" t="str">
        <f>IF(main!T17="","",ROUND(main!T17*100,6))</f>
        <v/>
      </c>
      <c r="I14" s="68" t="str">
        <f>IF(main!U17="","",ROUND(main!U17*100,6))</f>
        <v/>
      </c>
      <c r="J14" s="68" t="str">
        <f>IF(main!V17="","",ROUND(main!V17*100,6))</f>
        <v/>
      </c>
      <c r="K14" s="68" t="str">
        <f>IF(main!W17="","",ROUND(main!W17*100,6))</f>
        <v/>
      </c>
      <c r="L14" s="68" t="str">
        <f>IF(main!X17="","",ROUND(main!X17*100,6))</f>
        <v/>
      </c>
      <c r="M14" s="68" t="str">
        <f>IF(main!Y17="","",ROUND(main!Y17*100,6))</f>
        <v/>
      </c>
      <c r="N14" s="68" t="str">
        <f>IF(main!Z17="","",ROUND(main!Z17*100,6))</f>
        <v/>
      </c>
      <c r="O14" s="68" t="str">
        <f>IF(main!AA17="","",ROUND(main!AA17*100,6))</f>
        <v/>
      </c>
      <c r="P14" s="68" t="str">
        <f>IF(main!AB17="","",ROUND(main!AB17*100,6))</f>
        <v/>
      </c>
      <c r="Q14" s="68" t="str">
        <f>IF(main!AC17="","",ROUND(main!AC17*100,6))</f>
        <v/>
      </c>
      <c r="R14" s="68">
        <f>IF(main!AD17="","",ROUND(main!AD17*100,6))</f>
        <v>4.7619049999999996</v>
      </c>
      <c r="S14" s="68">
        <f>IF(main!AE17="","",ROUND(main!AE17*100,6))</f>
        <v>33.333333000000003</v>
      </c>
      <c r="T14" s="68">
        <f>IF(main!AF17="","",ROUND(main!AF17*100,6))</f>
        <v>33.333333000000003</v>
      </c>
      <c r="U14" s="68">
        <f>IF(main!AG17="","",ROUND(main!AG17*100,6))</f>
        <v>28.571428999999998</v>
      </c>
      <c r="V14" s="68" t="str">
        <f>IF(main!AH17="","",ROUND(main!AH17*100,6))</f>
        <v/>
      </c>
      <c r="W14" s="68" t="str">
        <f>IF(main!AI17="","",ROUND(main!AI17*100,6))</f>
        <v/>
      </c>
      <c r="X14" s="68" t="str">
        <f>IF(main!AJ17="","",ROUND(main!AJ17*100,6))</f>
        <v/>
      </c>
      <c r="Y14" s="68" t="str">
        <f>IF(main!AK17="","",ROUND(main!AK17*100,6))</f>
        <v/>
      </c>
      <c r="Z14" s="68" t="str">
        <f>IF(main!AL17="","",ROUND(main!AL17*100,6))</f>
        <v/>
      </c>
      <c r="AA14" s="68" t="str">
        <f>IF(main!AM17="","",ROUND(main!AM17*100,6))</f>
        <v/>
      </c>
      <c r="AB14" s="68" t="str">
        <f>IF(main!AN17="","",ROUND(main!AN17*100,6))</f>
        <v/>
      </c>
      <c r="AC14" s="68" t="str">
        <f>IF(main!AO17="","",ROUND(main!AO17*100,6))</f>
        <v/>
      </c>
      <c r="AD14" s="68" t="str">
        <f>IF(main!AP17="","",ROUND(main!AP17*100,6))</f>
        <v/>
      </c>
      <c r="AE14" s="68" t="str">
        <f>IF(main!AQ17="","",ROUND(main!AQ17*100,6))</f>
        <v/>
      </c>
      <c r="AF14" s="68" t="str">
        <f>IF(main!AR17="","",ROUND(main!AR17*100,6))</f>
        <v/>
      </c>
      <c r="AG14" s="68" t="str">
        <f>IF(main!AS17="","",ROUND(main!AS17*100,6))</f>
        <v/>
      </c>
      <c r="AH14" s="68" t="str">
        <f>IF(main!AT17="","",ROUND(main!AT17*100,6))</f>
        <v/>
      </c>
      <c r="AI14" s="68" t="str">
        <f>IF(main!AU17="","",ROUND(main!AU17*100,6))</f>
        <v/>
      </c>
      <c r="AJ14" s="68" t="str">
        <f>IF(main!AV17="","",ROUND(main!AV17*100,6))</f>
        <v/>
      </c>
      <c r="AK14" s="68" t="str">
        <f>IF(main!AW17="","",ROUND(main!AW17*100,6))</f>
        <v/>
      </c>
      <c r="AL14" s="68" t="str">
        <f>IF(main!AX17="","",ROUND(main!AX17*100,6))</f>
        <v/>
      </c>
      <c r="AM14" s="68" t="str">
        <f>IF(main!AY17="","",ROUND(main!AY17*100,6))</f>
        <v/>
      </c>
      <c r="AN14" s="68" t="str">
        <f>IF(main!AZ17="","",ROUND(main!AZ17*100,6))</f>
        <v/>
      </c>
      <c r="AO14" s="68" t="str">
        <f>IF(main!BA17="","",ROUND(main!BA17*100,6))</f>
        <v/>
      </c>
      <c r="AP14" s="68" t="str">
        <f>IF(main!BB17="","",ROUND(main!BB17*100,6))</f>
        <v/>
      </c>
      <c r="AQ14" s="68" t="str">
        <f>IF(main!BC17="","",ROUND(main!BC17*100,6))</f>
        <v/>
      </c>
      <c r="AR14" s="68" t="str">
        <f>IF(main!BD17="","",ROUND(main!BD17*100,6))</f>
        <v/>
      </c>
      <c r="AS14" s="68" t="str">
        <f>IF(main!BE17="","",ROUND(main!BE17*100,6))</f>
        <v/>
      </c>
      <c r="AT14" s="68" t="str">
        <f>IF(main!BF17="","",ROUND(main!BF17*100,6))</f>
        <v/>
      </c>
      <c r="AU14" s="68" t="str">
        <f>IF(main!BG17="","",ROUND(main!BG17*100,6))</f>
        <v/>
      </c>
      <c r="AV14" s="68" t="str">
        <f>IF(main!BH17="","",ROUND(main!BH17*100,6))</f>
        <v/>
      </c>
      <c r="AW14" s="68" t="str">
        <f>IF(main!BI17="","",ROUND(main!BI17*100,6))</f>
        <v/>
      </c>
      <c r="AX14" s="68" t="str">
        <f>IF(main!BJ17="","",ROUND(main!BJ17*100,6))</f>
        <v/>
      </c>
      <c r="AY14" s="68" t="str">
        <f>IF(main!BK17="","",ROUND(main!BK17*100,6))</f>
        <v/>
      </c>
      <c r="AZ14" s="68" t="str">
        <f>IF(main!BL17="","",ROUND(main!BL17*100,6))</f>
        <v/>
      </c>
      <c r="BA14" s="68" t="str">
        <f>IF(main!BM17="","",ROUND(main!BM17*100,6))</f>
        <v/>
      </c>
      <c r="BB14" s="68" t="str">
        <f>IF(main!BN17="","",ROUND(main!BN17*100,6))</f>
        <v/>
      </c>
      <c r="BC14" s="68" t="str">
        <f>IF(main!BO17="","",ROUND(main!BO17*100,6))</f>
        <v/>
      </c>
      <c r="BD14" s="68" t="str">
        <f>IF(main!BP17="","",ROUND(main!BP17*100,6))</f>
        <v/>
      </c>
      <c r="BE14" s="68" t="str">
        <f>IF(main!BQ17="","",ROUND(main!BQ17*100,6))</f>
        <v/>
      </c>
      <c r="BF14" s="68" t="str">
        <f>IF(main!BR17="","",ROUND(main!BR17*100,6))</f>
        <v/>
      </c>
      <c r="BG14" s="68" t="str">
        <f>IF(main!BS17="","",ROUND(main!BS17*100,6))</f>
        <v/>
      </c>
      <c r="BH14" s="68" t="str">
        <f>IF(main!BT17="","",ROUND(main!BT17*100,6))</f>
        <v/>
      </c>
      <c r="BI14" s="68" t="str">
        <f>IF(main!BU17="","",ROUND(main!BU17*100,6))</f>
        <v/>
      </c>
      <c r="BJ14" s="68" t="str">
        <f>IF(main!BV17="","",ROUND(main!BV17*100,6))</f>
        <v/>
      </c>
      <c r="BK14" s="68" t="str">
        <f>IF(main!BW17="","",ROUND(main!BW17*100,6))</f>
        <v/>
      </c>
      <c r="BL14" s="68" t="str">
        <f>IF(main!BX17="","",ROUND(main!BX17*100,6))</f>
        <v/>
      </c>
      <c r="BM14" s="68" t="str">
        <f>IF(main!BY17="","",ROUND(main!BY17*100,6))</f>
        <v/>
      </c>
      <c r="BN14" s="68" t="str">
        <f>IF(main!BZ17="","",ROUND(main!BZ17*100,6))</f>
        <v/>
      </c>
      <c r="BO14" s="68" t="str">
        <f>IF(main!CA17="","",ROUND(main!CA17*100,6))</f>
        <v/>
      </c>
      <c r="BP14" s="68" t="str">
        <f>IF(main!CB17="","",ROUND(main!CB17*100,6))</f>
        <v/>
      </c>
      <c r="BQ14" s="68" t="str">
        <f>IF(main!CC17="","",ROUND(main!CC17*100,6))</f>
        <v/>
      </c>
      <c r="BR14" s="68" t="str">
        <f>IF(main!CD17="","",ROUND(main!CD17*100,6))</f>
        <v/>
      </c>
      <c r="BS14" s="68" t="str">
        <f>IF(main!CE17="","",ROUND(main!CE17*100,6))</f>
        <v/>
      </c>
      <c r="BT14" s="68" t="str">
        <f>IF(main!CF17="","",ROUND(main!CF17*100,6))</f>
        <v/>
      </c>
      <c r="BU14" s="68" t="str">
        <f>IF(main!CG17="","",ROUND(main!CG17*100,6))</f>
        <v/>
      </c>
      <c r="BV14" s="68" t="str">
        <f>IF(main!CH17="","",ROUND(main!CH17*100,6))</f>
        <v/>
      </c>
      <c r="BW14" s="68" t="str">
        <f>IF(main!CI17="","",ROUND(main!CI17*100,6))</f>
        <v/>
      </c>
      <c r="BX14" s="68" t="str">
        <f>IF(main!CJ17="","",ROUND(main!CJ17*100,6))</f>
        <v/>
      </c>
      <c r="BY14" s="68" t="str">
        <f>IF(main!CK17="","",ROUND(main!CK17*100,6))</f>
        <v/>
      </c>
      <c r="BZ14" s="68" t="str">
        <f>IF(main!CL17="","",ROUND(main!CL17*100,6))</f>
        <v/>
      </c>
      <c r="CA14" s="68" t="str">
        <f>IF(main!CM17="","",ROUND(main!CM17*100,6))</f>
        <v/>
      </c>
      <c r="CB14" s="68" t="str">
        <f>IF(main!CN17="","",ROUND(main!CN17*100,6))</f>
        <v/>
      </c>
      <c r="CC14" s="68" t="str">
        <f>IF(main!CO17="","",ROUND(main!CO17*100,6))</f>
        <v/>
      </c>
    </row>
    <row r="15" spans="1:81" x14ac:dyDescent="0.25">
      <c r="A15" s="65" t="s">
        <v>125</v>
      </c>
      <c r="B15" s="66" t="str">
        <f>main!C17</f>
        <v>3rd Floor</v>
      </c>
      <c r="C15" s="67">
        <f>main!O17</f>
        <v>100000</v>
      </c>
      <c r="D15" s="65" t="s">
        <v>111</v>
      </c>
      <c r="E15" s="68" t="str">
        <f t="shared" si="0"/>
        <v/>
      </c>
      <c r="F15" s="68" t="str">
        <f>IF(main!R18="","",ROUND(main!R18*100,6))</f>
        <v/>
      </c>
      <c r="G15" s="68" t="str">
        <f>IF(main!S18="","",ROUND(main!S18*100,6))</f>
        <v/>
      </c>
      <c r="H15" s="68" t="str">
        <f>IF(main!T18="","",ROUND(main!T18*100,6))</f>
        <v/>
      </c>
      <c r="I15" s="68" t="str">
        <f>IF(main!U18="","",ROUND(main!U18*100,6))</f>
        <v/>
      </c>
      <c r="J15" s="68" t="str">
        <f>IF(main!V18="","",ROUND(main!V18*100,6))</f>
        <v/>
      </c>
      <c r="K15" s="68" t="str">
        <f>IF(main!W18="","",ROUND(main!W18*100,6))</f>
        <v/>
      </c>
      <c r="L15" s="68" t="str">
        <f>IF(main!X18="","",ROUND(main!X18*100,6))</f>
        <v/>
      </c>
      <c r="M15" s="68" t="str">
        <f>IF(main!Y18="","",ROUND(main!Y18*100,6))</f>
        <v/>
      </c>
      <c r="N15" s="68" t="str">
        <f>IF(main!Z18="","",ROUND(main!Z18*100,6))</f>
        <v/>
      </c>
      <c r="O15" s="68" t="str">
        <f>IF(main!AA18="","",ROUND(main!AA18*100,6))</f>
        <v/>
      </c>
      <c r="P15" s="68" t="str">
        <f>IF(main!AB18="","",ROUND(main!AB18*100,6))</f>
        <v/>
      </c>
      <c r="Q15" s="68" t="str">
        <f>IF(main!AC18="","",ROUND(main!AC18*100,6))</f>
        <v/>
      </c>
      <c r="R15" s="68" t="str">
        <f>IF(main!AD18="","",ROUND(main!AD18*100,6))</f>
        <v/>
      </c>
      <c r="S15" s="68" t="str">
        <f>IF(main!AE18="","",ROUND(main!AE18*100,6))</f>
        <v/>
      </c>
      <c r="T15" s="68" t="str">
        <f>IF(main!AF18="","",ROUND(main!AF18*100,6))</f>
        <v/>
      </c>
      <c r="U15" s="68" t="str">
        <f>IF(main!AG18="","",ROUND(main!AG18*100,6))</f>
        <v/>
      </c>
      <c r="V15" s="68" t="str">
        <f>IF(main!AH18="","",ROUND(main!AH18*100,6))</f>
        <v/>
      </c>
      <c r="W15" s="68" t="str">
        <f>IF(main!AI18="","",ROUND(main!AI18*100,6))</f>
        <v/>
      </c>
      <c r="X15" s="68" t="str">
        <f>IF(main!AJ18="","",ROUND(main!AJ18*100,6))</f>
        <v/>
      </c>
      <c r="Y15" s="68" t="str">
        <f>IF(main!AK18="","",ROUND(main!AK18*100,6))</f>
        <v/>
      </c>
      <c r="Z15" s="68" t="str">
        <f>IF(main!AL18="","",ROUND(main!AL18*100,6))</f>
        <v/>
      </c>
      <c r="AA15" s="68" t="str">
        <f>IF(main!AM18="","",ROUND(main!AM18*100,6))</f>
        <v/>
      </c>
      <c r="AB15" s="68" t="str">
        <f>IF(main!AN18="","",ROUND(main!AN18*100,6))</f>
        <v/>
      </c>
      <c r="AC15" s="68" t="str">
        <f>IF(main!AO18="","",ROUND(main!AO18*100,6))</f>
        <v/>
      </c>
      <c r="AD15" s="68" t="str">
        <f>IF(main!AP18="","",ROUND(main!AP18*100,6))</f>
        <v/>
      </c>
      <c r="AE15" s="68" t="str">
        <f>IF(main!AQ18="","",ROUND(main!AQ18*100,6))</f>
        <v/>
      </c>
      <c r="AF15" s="68" t="str">
        <f>IF(main!AR18="","",ROUND(main!AR18*100,6))</f>
        <v/>
      </c>
      <c r="AG15" s="68" t="str">
        <f>IF(main!AS18="","",ROUND(main!AS18*100,6))</f>
        <v/>
      </c>
      <c r="AH15" s="68" t="str">
        <f>IF(main!AT18="","",ROUND(main!AT18*100,6))</f>
        <v/>
      </c>
      <c r="AI15" s="68" t="str">
        <f>IF(main!AU18="","",ROUND(main!AU18*100,6))</f>
        <v/>
      </c>
      <c r="AJ15" s="68" t="str">
        <f>IF(main!AV18="","",ROUND(main!AV18*100,6))</f>
        <v/>
      </c>
      <c r="AK15" s="68" t="str">
        <f>IF(main!AW18="","",ROUND(main!AW18*100,6))</f>
        <v/>
      </c>
      <c r="AL15" s="68" t="str">
        <f>IF(main!AX18="","",ROUND(main!AX18*100,6))</f>
        <v/>
      </c>
      <c r="AM15" s="68" t="str">
        <f>IF(main!AY18="","",ROUND(main!AY18*100,6))</f>
        <v/>
      </c>
      <c r="AN15" s="68" t="str">
        <f>IF(main!AZ18="","",ROUND(main!AZ18*100,6))</f>
        <v/>
      </c>
      <c r="AO15" s="68" t="str">
        <f>IF(main!BA18="","",ROUND(main!BA18*100,6))</f>
        <v/>
      </c>
      <c r="AP15" s="68" t="str">
        <f>IF(main!BB18="","",ROUND(main!BB18*100,6))</f>
        <v/>
      </c>
      <c r="AQ15" s="68" t="str">
        <f>IF(main!BC18="","",ROUND(main!BC18*100,6))</f>
        <v/>
      </c>
      <c r="AR15" s="68" t="str">
        <f>IF(main!BD18="","",ROUND(main!BD18*100,6))</f>
        <v/>
      </c>
      <c r="AS15" s="68" t="str">
        <f>IF(main!BE18="","",ROUND(main!BE18*100,6))</f>
        <v/>
      </c>
      <c r="AT15" s="68" t="str">
        <f>IF(main!BF18="","",ROUND(main!BF18*100,6))</f>
        <v/>
      </c>
      <c r="AU15" s="68" t="str">
        <f>IF(main!BG18="","",ROUND(main!BG18*100,6))</f>
        <v/>
      </c>
      <c r="AV15" s="68" t="str">
        <f>IF(main!BH18="","",ROUND(main!BH18*100,6))</f>
        <v/>
      </c>
      <c r="AW15" s="68" t="str">
        <f>IF(main!BI18="","",ROUND(main!BI18*100,6))</f>
        <v/>
      </c>
      <c r="AX15" s="68" t="str">
        <f>IF(main!BJ18="","",ROUND(main!BJ18*100,6))</f>
        <v/>
      </c>
      <c r="AY15" s="68" t="str">
        <f>IF(main!BK18="","",ROUND(main!BK18*100,6))</f>
        <v/>
      </c>
      <c r="AZ15" s="68" t="str">
        <f>IF(main!BL18="","",ROUND(main!BL18*100,6))</f>
        <v/>
      </c>
      <c r="BA15" s="68" t="str">
        <f>IF(main!BM18="","",ROUND(main!BM18*100,6))</f>
        <v/>
      </c>
      <c r="BB15" s="68" t="str">
        <f>IF(main!BN18="","",ROUND(main!BN18*100,6))</f>
        <v/>
      </c>
      <c r="BC15" s="68" t="str">
        <f>IF(main!BO18="","",ROUND(main!BO18*100,6))</f>
        <v/>
      </c>
      <c r="BD15" s="68" t="str">
        <f>IF(main!BP18="","",ROUND(main!BP18*100,6))</f>
        <v/>
      </c>
      <c r="BE15" s="68" t="str">
        <f>IF(main!BQ18="","",ROUND(main!BQ18*100,6))</f>
        <v/>
      </c>
      <c r="BF15" s="68" t="str">
        <f>IF(main!BR18="","",ROUND(main!BR18*100,6))</f>
        <v/>
      </c>
      <c r="BG15" s="68" t="str">
        <f>IF(main!BS18="","",ROUND(main!BS18*100,6))</f>
        <v/>
      </c>
      <c r="BH15" s="68" t="str">
        <f>IF(main!BT18="","",ROUND(main!BT18*100,6))</f>
        <v/>
      </c>
      <c r="BI15" s="68" t="str">
        <f>IF(main!BU18="","",ROUND(main!BU18*100,6))</f>
        <v/>
      </c>
      <c r="BJ15" s="68" t="str">
        <f>IF(main!BV18="","",ROUND(main!BV18*100,6))</f>
        <v/>
      </c>
      <c r="BK15" s="68" t="str">
        <f>IF(main!BW18="","",ROUND(main!BW18*100,6))</f>
        <v/>
      </c>
      <c r="BL15" s="68" t="str">
        <f>IF(main!BX18="","",ROUND(main!BX18*100,6))</f>
        <v/>
      </c>
      <c r="BM15" s="68" t="str">
        <f>IF(main!BY18="","",ROUND(main!BY18*100,6))</f>
        <v/>
      </c>
      <c r="BN15" s="68" t="str">
        <f>IF(main!BZ18="","",ROUND(main!BZ18*100,6))</f>
        <v/>
      </c>
      <c r="BO15" s="68" t="str">
        <f>IF(main!CA18="","",ROUND(main!CA18*100,6))</f>
        <v/>
      </c>
      <c r="BP15" s="68" t="str">
        <f>IF(main!CB18="","",ROUND(main!CB18*100,6))</f>
        <v/>
      </c>
      <c r="BQ15" s="68" t="str">
        <f>IF(main!CC18="","",ROUND(main!CC18*100,6))</f>
        <v/>
      </c>
      <c r="BR15" s="68" t="str">
        <f>IF(main!CD18="","",ROUND(main!CD18*100,6))</f>
        <v/>
      </c>
      <c r="BS15" s="68" t="str">
        <f>IF(main!CE18="","",ROUND(main!CE18*100,6))</f>
        <v/>
      </c>
      <c r="BT15" s="68" t="str">
        <f>IF(main!CF18="","",ROUND(main!CF18*100,6))</f>
        <v/>
      </c>
      <c r="BU15" s="68" t="str">
        <f>IF(main!CG18="","",ROUND(main!CG18*100,6))</f>
        <v/>
      </c>
      <c r="BV15" s="68" t="str">
        <f>IF(main!CH18="","",ROUND(main!CH18*100,6))</f>
        <v/>
      </c>
      <c r="BW15" s="68" t="str">
        <f>IF(main!CI18="","",ROUND(main!CI18*100,6))</f>
        <v/>
      </c>
      <c r="BX15" s="68" t="str">
        <f>IF(main!CJ18="","",ROUND(main!CJ18*100,6))</f>
        <v/>
      </c>
      <c r="BY15" s="68" t="str">
        <f>IF(main!CK18="","",ROUND(main!CK18*100,6))</f>
        <v/>
      </c>
      <c r="BZ15" s="68" t="str">
        <f>IF(main!CL18="","",ROUND(main!CL18*100,6))</f>
        <v/>
      </c>
      <c r="CA15" s="68" t="str">
        <f>IF(main!CM18="","",ROUND(main!CM18*100,6))</f>
        <v/>
      </c>
      <c r="CB15" s="68" t="str">
        <f>IF(main!CN18="","",ROUND(main!CN18*100,6))</f>
        <v/>
      </c>
      <c r="CC15" s="68" t="str">
        <f>IF(main!CO18="","",ROUND(main!CO18*100,6))</f>
        <v/>
      </c>
    </row>
    <row r="16" spans="1:81" x14ac:dyDescent="0.25">
      <c r="A16" s="65" t="s">
        <v>128</v>
      </c>
      <c r="B16" s="66" t="str">
        <f>main!C19</f>
        <v>2nd Floor</v>
      </c>
      <c r="C16" s="67">
        <f>main!O19</f>
        <v>100000</v>
      </c>
      <c r="D16" s="65" t="s">
        <v>110</v>
      </c>
      <c r="E16" s="68">
        <f t="shared" si="0"/>
        <v>100</v>
      </c>
      <c r="F16" s="68" t="str">
        <f>IF(main!R19="","",ROUND(main!R19*100,6))</f>
        <v/>
      </c>
      <c r="G16" s="68" t="str">
        <f>IF(main!S19="","",ROUND(main!S19*100,6))</f>
        <v/>
      </c>
      <c r="H16" s="68" t="str">
        <f>IF(main!T19="","",ROUND(main!T19*100,6))</f>
        <v/>
      </c>
      <c r="I16" s="68" t="str">
        <f>IF(main!U19="","",ROUND(main!U19*100,6))</f>
        <v/>
      </c>
      <c r="J16" s="68" t="str">
        <f>IF(main!V19="","",ROUND(main!V19*100,6))</f>
        <v/>
      </c>
      <c r="K16" s="68" t="str">
        <f>IF(main!W19="","",ROUND(main!W19*100,6))</f>
        <v/>
      </c>
      <c r="L16" s="68" t="str">
        <f>IF(main!X19="","",ROUND(main!X19*100,6))</f>
        <v/>
      </c>
      <c r="M16" s="68" t="str">
        <f>IF(main!Y19="","",ROUND(main!Y19*100,6))</f>
        <v/>
      </c>
      <c r="N16" s="68" t="str">
        <f>IF(main!Z19="","",ROUND(main!Z19*100,6))</f>
        <v/>
      </c>
      <c r="O16" s="68" t="str">
        <f>IF(main!AA19="","",ROUND(main!AA19*100,6))</f>
        <v/>
      </c>
      <c r="P16" s="68" t="str">
        <f>IF(main!AB19="","",ROUND(main!AB19*100,6))</f>
        <v/>
      </c>
      <c r="Q16" s="68" t="str">
        <f>IF(main!AC19="","",ROUND(main!AC19*100,6))</f>
        <v/>
      </c>
      <c r="R16" s="68" t="str">
        <f>IF(main!AD19="","",ROUND(main!AD19*100,6))</f>
        <v/>
      </c>
      <c r="S16" s="68" t="str">
        <f>IF(main!AE19="","",ROUND(main!AE19*100,6))</f>
        <v/>
      </c>
      <c r="T16" s="68" t="str">
        <f>IF(main!AF19="","",ROUND(main!AF19*100,6))</f>
        <v/>
      </c>
      <c r="U16" s="68">
        <f>IF(main!AG19="","",ROUND(main!AG19*100,6))</f>
        <v>4.7619049999999996</v>
      </c>
      <c r="V16" s="68">
        <f>IF(main!AH19="","",ROUND(main!AH19*100,6))</f>
        <v>33.333333000000003</v>
      </c>
      <c r="W16" s="68">
        <f>IF(main!AI19="","",ROUND(main!AI19*100,6))</f>
        <v>33.333333000000003</v>
      </c>
      <c r="X16" s="68">
        <f>IF(main!AJ19="","",ROUND(main!AJ19*100,6))</f>
        <v>28.571428999999998</v>
      </c>
      <c r="Y16" s="68" t="str">
        <f>IF(main!AK19="","",ROUND(main!AK19*100,6))</f>
        <v/>
      </c>
      <c r="Z16" s="68" t="str">
        <f>IF(main!AL19="","",ROUND(main!AL19*100,6))</f>
        <v/>
      </c>
      <c r="AA16" s="68" t="str">
        <f>IF(main!AM19="","",ROUND(main!AM19*100,6))</f>
        <v/>
      </c>
      <c r="AB16" s="68" t="str">
        <f>IF(main!AN19="","",ROUND(main!AN19*100,6))</f>
        <v/>
      </c>
      <c r="AC16" s="68" t="str">
        <f>IF(main!AO19="","",ROUND(main!AO19*100,6))</f>
        <v/>
      </c>
      <c r="AD16" s="68" t="str">
        <f>IF(main!AP19="","",ROUND(main!AP19*100,6))</f>
        <v/>
      </c>
      <c r="AE16" s="68" t="str">
        <f>IF(main!AQ19="","",ROUND(main!AQ19*100,6))</f>
        <v/>
      </c>
      <c r="AF16" s="68" t="str">
        <f>IF(main!AR19="","",ROUND(main!AR19*100,6))</f>
        <v/>
      </c>
      <c r="AG16" s="68" t="str">
        <f>IF(main!AS19="","",ROUND(main!AS19*100,6))</f>
        <v/>
      </c>
      <c r="AH16" s="68" t="str">
        <f>IF(main!AT19="","",ROUND(main!AT19*100,6))</f>
        <v/>
      </c>
      <c r="AI16" s="68" t="str">
        <f>IF(main!AU19="","",ROUND(main!AU19*100,6))</f>
        <v/>
      </c>
      <c r="AJ16" s="68" t="str">
        <f>IF(main!AV19="","",ROUND(main!AV19*100,6))</f>
        <v/>
      </c>
      <c r="AK16" s="68" t="str">
        <f>IF(main!AW19="","",ROUND(main!AW19*100,6))</f>
        <v/>
      </c>
      <c r="AL16" s="68" t="str">
        <f>IF(main!AX19="","",ROUND(main!AX19*100,6))</f>
        <v/>
      </c>
      <c r="AM16" s="68" t="str">
        <f>IF(main!AY19="","",ROUND(main!AY19*100,6))</f>
        <v/>
      </c>
      <c r="AN16" s="68" t="str">
        <f>IF(main!AZ19="","",ROUND(main!AZ19*100,6))</f>
        <v/>
      </c>
      <c r="AO16" s="68" t="str">
        <f>IF(main!BA19="","",ROUND(main!BA19*100,6))</f>
        <v/>
      </c>
      <c r="AP16" s="68" t="str">
        <f>IF(main!BB19="","",ROUND(main!BB19*100,6))</f>
        <v/>
      </c>
      <c r="AQ16" s="68" t="str">
        <f>IF(main!BC19="","",ROUND(main!BC19*100,6))</f>
        <v/>
      </c>
      <c r="AR16" s="68" t="str">
        <f>IF(main!BD19="","",ROUND(main!BD19*100,6))</f>
        <v/>
      </c>
      <c r="AS16" s="68" t="str">
        <f>IF(main!BE19="","",ROUND(main!BE19*100,6))</f>
        <v/>
      </c>
      <c r="AT16" s="68" t="str">
        <f>IF(main!BF19="","",ROUND(main!BF19*100,6))</f>
        <v/>
      </c>
      <c r="AU16" s="68" t="str">
        <f>IF(main!BG19="","",ROUND(main!BG19*100,6))</f>
        <v/>
      </c>
      <c r="AV16" s="68" t="str">
        <f>IF(main!BH19="","",ROUND(main!BH19*100,6))</f>
        <v/>
      </c>
      <c r="AW16" s="68" t="str">
        <f>IF(main!BI19="","",ROUND(main!BI19*100,6))</f>
        <v/>
      </c>
      <c r="AX16" s="68" t="str">
        <f>IF(main!BJ19="","",ROUND(main!BJ19*100,6))</f>
        <v/>
      </c>
      <c r="AY16" s="68" t="str">
        <f>IF(main!BK19="","",ROUND(main!BK19*100,6))</f>
        <v/>
      </c>
      <c r="AZ16" s="68" t="str">
        <f>IF(main!BL19="","",ROUND(main!BL19*100,6))</f>
        <v/>
      </c>
      <c r="BA16" s="68" t="str">
        <f>IF(main!BM19="","",ROUND(main!BM19*100,6))</f>
        <v/>
      </c>
      <c r="BB16" s="68" t="str">
        <f>IF(main!BN19="","",ROUND(main!BN19*100,6))</f>
        <v/>
      </c>
      <c r="BC16" s="68" t="str">
        <f>IF(main!BO19="","",ROUND(main!BO19*100,6))</f>
        <v/>
      </c>
      <c r="BD16" s="68" t="str">
        <f>IF(main!BP19="","",ROUND(main!BP19*100,6))</f>
        <v/>
      </c>
      <c r="BE16" s="68" t="str">
        <f>IF(main!BQ19="","",ROUND(main!BQ19*100,6))</f>
        <v/>
      </c>
      <c r="BF16" s="68" t="str">
        <f>IF(main!BR19="","",ROUND(main!BR19*100,6))</f>
        <v/>
      </c>
      <c r="BG16" s="68" t="str">
        <f>IF(main!BS19="","",ROUND(main!BS19*100,6))</f>
        <v/>
      </c>
      <c r="BH16" s="68" t="str">
        <f>IF(main!BT19="","",ROUND(main!BT19*100,6))</f>
        <v/>
      </c>
      <c r="BI16" s="68" t="str">
        <f>IF(main!BU19="","",ROUND(main!BU19*100,6))</f>
        <v/>
      </c>
      <c r="BJ16" s="68" t="str">
        <f>IF(main!BV19="","",ROUND(main!BV19*100,6))</f>
        <v/>
      </c>
      <c r="BK16" s="68" t="str">
        <f>IF(main!BW19="","",ROUND(main!BW19*100,6))</f>
        <v/>
      </c>
      <c r="BL16" s="68" t="str">
        <f>IF(main!BX19="","",ROUND(main!BX19*100,6))</f>
        <v/>
      </c>
      <c r="BM16" s="68" t="str">
        <f>IF(main!BY19="","",ROUND(main!BY19*100,6))</f>
        <v/>
      </c>
      <c r="BN16" s="68" t="str">
        <f>IF(main!BZ19="","",ROUND(main!BZ19*100,6))</f>
        <v/>
      </c>
      <c r="BO16" s="68" t="str">
        <f>IF(main!CA19="","",ROUND(main!CA19*100,6))</f>
        <v/>
      </c>
      <c r="BP16" s="68" t="str">
        <f>IF(main!CB19="","",ROUND(main!CB19*100,6))</f>
        <v/>
      </c>
      <c r="BQ16" s="68" t="str">
        <f>IF(main!CC19="","",ROUND(main!CC19*100,6))</f>
        <v/>
      </c>
      <c r="BR16" s="68" t="str">
        <f>IF(main!CD19="","",ROUND(main!CD19*100,6))</f>
        <v/>
      </c>
      <c r="BS16" s="68" t="str">
        <f>IF(main!CE19="","",ROUND(main!CE19*100,6))</f>
        <v/>
      </c>
      <c r="BT16" s="68" t="str">
        <f>IF(main!CF19="","",ROUND(main!CF19*100,6))</f>
        <v/>
      </c>
      <c r="BU16" s="68" t="str">
        <f>IF(main!CG19="","",ROUND(main!CG19*100,6))</f>
        <v/>
      </c>
      <c r="BV16" s="68" t="str">
        <f>IF(main!CH19="","",ROUND(main!CH19*100,6))</f>
        <v/>
      </c>
      <c r="BW16" s="68" t="str">
        <f>IF(main!CI19="","",ROUND(main!CI19*100,6))</f>
        <v/>
      </c>
      <c r="BX16" s="68" t="str">
        <f>IF(main!CJ19="","",ROUND(main!CJ19*100,6))</f>
        <v/>
      </c>
      <c r="BY16" s="68" t="str">
        <f>IF(main!CK19="","",ROUND(main!CK19*100,6))</f>
        <v/>
      </c>
      <c r="BZ16" s="68" t="str">
        <f>IF(main!CL19="","",ROUND(main!CL19*100,6))</f>
        <v/>
      </c>
      <c r="CA16" s="68" t="str">
        <f>IF(main!CM19="","",ROUND(main!CM19*100,6))</f>
        <v/>
      </c>
      <c r="CB16" s="68" t="str">
        <f>IF(main!CN19="","",ROUND(main!CN19*100,6))</f>
        <v/>
      </c>
      <c r="CC16" s="68" t="str">
        <f>IF(main!CO19="","",ROUND(main!CO19*100,6))</f>
        <v/>
      </c>
    </row>
    <row r="17" spans="1:81" x14ac:dyDescent="0.25">
      <c r="A17" s="65" t="s">
        <v>128</v>
      </c>
      <c r="B17" s="66" t="str">
        <f>main!C19</f>
        <v>2nd Floor</v>
      </c>
      <c r="C17" s="67">
        <f>main!O19</f>
        <v>100000</v>
      </c>
      <c r="D17" s="65" t="s">
        <v>111</v>
      </c>
      <c r="E17" s="68" t="str">
        <f t="shared" si="0"/>
        <v/>
      </c>
      <c r="F17" s="68" t="str">
        <f>IF(main!R20="","",ROUND(main!R20*100,6))</f>
        <v/>
      </c>
      <c r="G17" s="68" t="str">
        <f>IF(main!S20="","",ROUND(main!S20*100,6))</f>
        <v/>
      </c>
      <c r="H17" s="68" t="str">
        <f>IF(main!T20="","",ROUND(main!T20*100,6))</f>
        <v/>
      </c>
      <c r="I17" s="68" t="str">
        <f>IF(main!U20="","",ROUND(main!U20*100,6))</f>
        <v/>
      </c>
      <c r="J17" s="68" t="str">
        <f>IF(main!V20="","",ROUND(main!V20*100,6))</f>
        <v/>
      </c>
      <c r="K17" s="68" t="str">
        <f>IF(main!W20="","",ROUND(main!W20*100,6))</f>
        <v/>
      </c>
      <c r="L17" s="68" t="str">
        <f>IF(main!X20="","",ROUND(main!X20*100,6))</f>
        <v/>
      </c>
      <c r="M17" s="68" t="str">
        <f>IF(main!Y20="","",ROUND(main!Y20*100,6))</f>
        <v/>
      </c>
      <c r="N17" s="68" t="str">
        <f>IF(main!Z20="","",ROUND(main!Z20*100,6))</f>
        <v/>
      </c>
      <c r="O17" s="68" t="str">
        <f>IF(main!AA20="","",ROUND(main!AA20*100,6))</f>
        <v/>
      </c>
      <c r="P17" s="68" t="str">
        <f>IF(main!AB20="","",ROUND(main!AB20*100,6))</f>
        <v/>
      </c>
      <c r="Q17" s="68" t="str">
        <f>IF(main!AC20="","",ROUND(main!AC20*100,6))</f>
        <v/>
      </c>
      <c r="R17" s="68" t="str">
        <f>IF(main!AD20="","",ROUND(main!AD20*100,6))</f>
        <v/>
      </c>
      <c r="S17" s="68" t="str">
        <f>IF(main!AE20="","",ROUND(main!AE20*100,6))</f>
        <v/>
      </c>
      <c r="T17" s="68" t="str">
        <f>IF(main!AF20="","",ROUND(main!AF20*100,6))</f>
        <v/>
      </c>
      <c r="U17" s="68" t="str">
        <f>IF(main!AG20="","",ROUND(main!AG20*100,6))</f>
        <v/>
      </c>
      <c r="V17" s="68" t="str">
        <f>IF(main!AH20="","",ROUND(main!AH20*100,6))</f>
        <v/>
      </c>
      <c r="W17" s="68" t="str">
        <f>IF(main!AI20="","",ROUND(main!AI20*100,6))</f>
        <v/>
      </c>
      <c r="X17" s="68" t="str">
        <f>IF(main!AJ20="","",ROUND(main!AJ20*100,6))</f>
        <v/>
      </c>
      <c r="Y17" s="68" t="str">
        <f>IF(main!AK20="","",ROUND(main!AK20*100,6))</f>
        <v/>
      </c>
      <c r="Z17" s="68" t="str">
        <f>IF(main!AL20="","",ROUND(main!AL20*100,6))</f>
        <v/>
      </c>
      <c r="AA17" s="68" t="str">
        <f>IF(main!AM20="","",ROUND(main!AM20*100,6))</f>
        <v/>
      </c>
      <c r="AB17" s="68" t="str">
        <f>IF(main!AN20="","",ROUND(main!AN20*100,6))</f>
        <v/>
      </c>
      <c r="AC17" s="68" t="str">
        <f>IF(main!AO20="","",ROUND(main!AO20*100,6))</f>
        <v/>
      </c>
      <c r="AD17" s="68" t="str">
        <f>IF(main!AP20="","",ROUND(main!AP20*100,6))</f>
        <v/>
      </c>
      <c r="AE17" s="68" t="str">
        <f>IF(main!AQ20="","",ROUND(main!AQ20*100,6))</f>
        <v/>
      </c>
      <c r="AF17" s="68" t="str">
        <f>IF(main!AR20="","",ROUND(main!AR20*100,6))</f>
        <v/>
      </c>
      <c r="AG17" s="68" t="str">
        <f>IF(main!AS20="","",ROUND(main!AS20*100,6))</f>
        <v/>
      </c>
      <c r="AH17" s="68" t="str">
        <f>IF(main!AT20="","",ROUND(main!AT20*100,6))</f>
        <v/>
      </c>
      <c r="AI17" s="68" t="str">
        <f>IF(main!AU20="","",ROUND(main!AU20*100,6))</f>
        <v/>
      </c>
      <c r="AJ17" s="68" t="str">
        <f>IF(main!AV20="","",ROUND(main!AV20*100,6))</f>
        <v/>
      </c>
      <c r="AK17" s="68" t="str">
        <f>IF(main!AW20="","",ROUND(main!AW20*100,6))</f>
        <v/>
      </c>
      <c r="AL17" s="68" t="str">
        <f>IF(main!AX20="","",ROUND(main!AX20*100,6))</f>
        <v/>
      </c>
      <c r="AM17" s="68" t="str">
        <f>IF(main!AY20="","",ROUND(main!AY20*100,6))</f>
        <v/>
      </c>
      <c r="AN17" s="68" t="str">
        <f>IF(main!AZ20="","",ROUND(main!AZ20*100,6))</f>
        <v/>
      </c>
      <c r="AO17" s="68" t="str">
        <f>IF(main!BA20="","",ROUND(main!BA20*100,6))</f>
        <v/>
      </c>
      <c r="AP17" s="68" t="str">
        <f>IF(main!BB20="","",ROUND(main!BB20*100,6))</f>
        <v/>
      </c>
      <c r="AQ17" s="68" t="str">
        <f>IF(main!BC20="","",ROUND(main!BC20*100,6))</f>
        <v/>
      </c>
      <c r="AR17" s="68" t="str">
        <f>IF(main!BD20="","",ROUND(main!BD20*100,6))</f>
        <v/>
      </c>
      <c r="AS17" s="68" t="str">
        <f>IF(main!BE20="","",ROUND(main!BE20*100,6))</f>
        <v/>
      </c>
      <c r="AT17" s="68" t="str">
        <f>IF(main!BF20="","",ROUND(main!BF20*100,6))</f>
        <v/>
      </c>
      <c r="AU17" s="68" t="str">
        <f>IF(main!BG20="","",ROUND(main!BG20*100,6))</f>
        <v/>
      </c>
      <c r="AV17" s="68" t="str">
        <f>IF(main!BH20="","",ROUND(main!BH20*100,6))</f>
        <v/>
      </c>
      <c r="AW17" s="68" t="str">
        <f>IF(main!BI20="","",ROUND(main!BI20*100,6))</f>
        <v/>
      </c>
      <c r="AX17" s="68" t="str">
        <f>IF(main!BJ20="","",ROUND(main!BJ20*100,6))</f>
        <v/>
      </c>
      <c r="AY17" s="68" t="str">
        <f>IF(main!BK20="","",ROUND(main!BK20*100,6))</f>
        <v/>
      </c>
      <c r="AZ17" s="68" t="str">
        <f>IF(main!BL20="","",ROUND(main!BL20*100,6))</f>
        <v/>
      </c>
      <c r="BA17" s="68" t="str">
        <f>IF(main!BM20="","",ROUND(main!BM20*100,6))</f>
        <v/>
      </c>
      <c r="BB17" s="68" t="str">
        <f>IF(main!BN20="","",ROUND(main!BN20*100,6))</f>
        <v/>
      </c>
      <c r="BC17" s="68" t="str">
        <f>IF(main!BO20="","",ROUND(main!BO20*100,6))</f>
        <v/>
      </c>
      <c r="BD17" s="68" t="str">
        <f>IF(main!BP20="","",ROUND(main!BP20*100,6))</f>
        <v/>
      </c>
      <c r="BE17" s="68" t="str">
        <f>IF(main!BQ20="","",ROUND(main!BQ20*100,6))</f>
        <v/>
      </c>
      <c r="BF17" s="68" t="str">
        <f>IF(main!BR20="","",ROUND(main!BR20*100,6))</f>
        <v/>
      </c>
      <c r="BG17" s="68" t="str">
        <f>IF(main!BS20="","",ROUND(main!BS20*100,6))</f>
        <v/>
      </c>
      <c r="BH17" s="68" t="str">
        <f>IF(main!BT20="","",ROUND(main!BT20*100,6))</f>
        <v/>
      </c>
      <c r="BI17" s="68" t="str">
        <f>IF(main!BU20="","",ROUND(main!BU20*100,6))</f>
        <v/>
      </c>
      <c r="BJ17" s="68" t="str">
        <f>IF(main!BV20="","",ROUND(main!BV20*100,6))</f>
        <v/>
      </c>
      <c r="BK17" s="68" t="str">
        <f>IF(main!BW20="","",ROUND(main!BW20*100,6))</f>
        <v/>
      </c>
      <c r="BL17" s="68" t="str">
        <f>IF(main!BX20="","",ROUND(main!BX20*100,6))</f>
        <v/>
      </c>
      <c r="BM17" s="68" t="str">
        <f>IF(main!BY20="","",ROUND(main!BY20*100,6))</f>
        <v/>
      </c>
      <c r="BN17" s="68" t="str">
        <f>IF(main!BZ20="","",ROUND(main!BZ20*100,6))</f>
        <v/>
      </c>
      <c r="BO17" s="68" t="str">
        <f>IF(main!CA20="","",ROUND(main!CA20*100,6))</f>
        <v/>
      </c>
      <c r="BP17" s="68" t="str">
        <f>IF(main!CB20="","",ROUND(main!CB20*100,6))</f>
        <v/>
      </c>
      <c r="BQ17" s="68" t="str">
        <f>IF(main!CC20="","",ROUND(main!CC20*100,6))</f>
        <v/>
      </c>
      <c r="BR17" s="68" t="str">
        <f>IF(main!CD20="","",ROUND(main!CD20*100,6))</f>
        <v/>
      </c>
      <c r="BS17" s="68" t="str">
        <f>IF(main!CE20="","",ROUND(main!CE20*100,6))</f>
        <v/>
      </c>
      <c r="BT17" s="68" t="str">
        <f>IF(main!CF20="","",ROUND(main!CF20*100,6))</f>
        <v/>
      </c>
      <c r="BU17" s="68" t="str">
        <f>IF(main!CG20="","",ROUND(main!CG20*100,6))</f>
        <v/>
      </c>
      <c r="BV17" s="68" t="str">
        <f>IF(main!CH20="","",ROUND(main!CH20*100,6))</f>
        <v/>
      </c>
      <c r="BW17" s="68" t="str">
        <f>IF(main!CI20="","",ROUND(main!CI20*100,6))</f>
        <v/>
      </c>
      <c r="BX17" s="68" t="str">
        <f>IF(main!CJ20="","",ROUND(main!CJ20*100,6))</f>
        <v/>
      </c>
      <c r="BY17" s="68" t="str">
        <f>IF(main!CK20="","",ROUND(main!CK20*100,6))</f>
        <v/>
      </c>
      <c r="BZ17" s="68" t="str">
        <f>IF(main!CL20="","",ROUND(main!CL20*100,6))</f>
        <v/>
      </c>
      <c r="CA17" s="68" t="str">
        <f>IF(main!CM20="","",ROUND(main!CM20*100,6))</f>
        <v/>
      </c>
      <c r="CB17" s="68" t="str">
        <f>IF(main!CN20="","",ROUND(main!CN20*100,6))</f>
        <v/>
      </c>
      <c r="CC17" s="68" t="str">
        <f>IF(main!CO20="","",ROUND(main!CO20*100,6))</f>
        <v/>
      </c>
    </row>
    <row r="18" spans="1:81" x14ac:dyDescent="0.25">
      <c r="A18" s="65" t="s">
        <v>131</v>
      </c>
      <c r="B18" s="66" t="str">
        <f>main!C21</f>
        <v>Mezzanine Floor</v>
      </c>
      <c r="C18" s="67">
        <f>main!O21</f>
        <v>100000</v>
      </c>
      <c r="D18" s="65" t="s">
        <v>110</v>
      </c>
      <c r="E18" s="68">
        <f t="shared" si="0"/>
        <v>100</v>
      </c>
      <c r="F18" s="68" t="str">
        <f>IF(main!R21="","",ROUND(main!R21*100,6))</f>
        <v/>
      </c>
      <c r="G18" s="68" t="str">
        <f>IF(main!S21="","",ROUND(main!S21*100,6))</f>
        <v/>
      </c>
      <c r="H18" s="68" t="str">
        <f>IF(main!T21="","",ROUND(main!T21*100,6))</f>
        <v/>
      </c>
      <c r="I18" s="68" t="str">
        <f>IF(main!U21="","",ROUND(main!U21*100,6))</f>
        <v/>
      </c>
      <c r="J18" s="68" t="str">
        <f>IF(main!V21="","",ROUND(main!V21*100,6))</f>
        <v/>
      </c>
      <c r="K18" s="68" t="str">
        <f>IF(main!W21="","",ROUND(main!W21*100,6))</f>
        <v/>
      </c>
      <c r="L18" s="68" t="str">
        <f>IF(main!X21="","",ROUND(main!X21*100,6))</f>
        <v/>
      </c>
      <c r="M18" s="68" t="str">
        <f>IF(main!Y21="","",ROUND(main!Y21*100,6))</f>
        <v/>
      </c>
      <c r="N18" s="68" t="str">
        <f>IF(main!Z21="","",ROUND(main!Z21*100,6))</f>
        <v/>
      </c>
      <c r="O18" s="68" t="str">
        <f>IF(main!AA21="","",ROUND(main!AA21*100,6))</f>
        <v/>
      </c>
      <c r="P18" s="68" t="str">
        <f>IF(main!AB21="","",ROUND(main!AB21*100,6))</f>
        <v/>
      </c>
      <c r="Q18" s="68" t="str">
        <f>IF(main!AC21="","",ROUND(main!AC21*100,6))</f>
        <v/>
      </c>
      <c r="R18" s="68" t="str">
        <f>IF(main!AD21="","",ROUND(main!AD21*100,6))</f>
        <v/>
      </c>
      <c r="S18" s="68" t="str">
        <f>IF(main!AE21="","",ROUND(main!AE21*100,6))</f>
        <v/>
      </c>
      <c r="T18" s="68" t="str">
        <f>IF(main!AF21="","",ROUND(main!AF21*100,6))</f>
        <v/>
      </c>
      <c r="U18" s="68" t="str">
        <f>IF(main!AG21="","",ROUND(main!AG21*100,6))</f>
        <v/>
      </c>
      <c r="V18" s="68" t="str">
        <f>IF(main!AH21="","",ROUND(main!AH21*100,6))</f>
        <v/>
      </c>
      <c r="W18" s="68" t="str">
        <f>IF(main!AI21="","",ROUND(main!AI21*100,6))</f>
        <v/>
      </c>
      <c r="X18" s="68">
        <f>IF(main!AJ21="","",ROUND(main!AJ21*100,6))</f>
        <v>4.7619049999999996</v>
      </c>
      <c r="Y18" s="68">
        <f>IF(main!AK21="","",ROUND(main!AK21*100,6))</f>
        <v>33.333333000000003</v>
      </c>
      <c r="Z18" s="68">
        <f>IF(main!AL21="","",ROUND(main!AL21*100,6))</f>
        <v>33.333333000000003</v>
      </c>
      <c r="AA18" s="68">
        <f>IF(main!AM21="","",ROUND(main!AM21*100,6))</f>
        <v>28.571428999999998</v>
      </c>
      <c r="AB18" s="68" t="str">
        <f>IF(main!AN21="","",ROUND(main!AN21*100,6))</f>
        <v/>
      </c>
      <c r="AC18" s="68" t="str">
        <f>IF(main!AO21="","",ROUND(main!AO21*100,6))</f>
        <v/>
      </c>
      <c r="AD18" s="68" t="str">
        <f>IF(main!AP21="","",ROUND(main!AP21*100,6))</f>
        <v/>
      </c>
      <c r="AE18" s="68" t="str">
        <f>IF(main!AQ21="","",ROUND(main!AQ21*100,6))</f>
        <v/>
      </c>
      <c r="AF18" s="68" t="str">
        <f>IF(main!AR21="","",ROUND(main!AR21*100,6))</f>
        <v/>
      </c>
      <c r="AG18" s="68" t="str">
        <f>IF(main!AS21="","",ROUND(main!AS21*100,6))</f>
        <v/>
      </c>
      <c r="AH18" s="68" t="str">
        <f>IF(main!AT21="","",ROUND(main!AT21*100,6))</f>
        <v/>
      </c>
      <c r="AI18" s="68" t="str">
        <f>IF(main!AU21="","",ROUND(main!AU21*100,6))</f>
        <v/>
      </c>
      <c r="AJ18" s="68" t="str">
        <f>IF(main!AV21="","",ROUND(main!AV21*100,6))</f>
        <v/>
      </c>
      <c r="AK18" s="68" t="str">
        <f>IF(main!AW21="","",ROUND(main!AW21*100,6))</f>
        <v/>
      </c>
      <c r="AL18" s="68" t="str">
        <f>IF(main!AX21="","",ROUND(main!AX21*100,6))</f>
        <v/>
      </c>
      <c r="AM18" s="68" t="str">
        <f>IF(main!AY21="","",ROUND(main!AY21*100,6))</f>
        <v/>
      </c>
      <c r="AN18" s="68" t="str">
        <f>IF(main!AZ21="","",ROUND(main!AZ21*100,6))</f>
        <v/>
      </c>
      <c r="AO18" s="68" t="str">
        <f>IF(main!BA21="","",ROUND(main!BA21*100,6))</f>
        <v/>
      </c>
      <c r="AP18" s="68" t="str">
        <f>IF(main!BB21="","",ROUND(main!BB21*100,6))</f>
        <v/>
      </c>
      <c r="AQ18" s="68" t="str">
        <f>IF(main!BC21="","",ROUND(main!BC21*100,6))</f>
        <v/>
      </c>
      <c r="AR18" s="68" t="str">
        <f>IF(main!BD21="","",ROUND(main!BD21*100,6))</f>
        <v/>
      </c>
      <c r="AS18" s="68" t="str">
        <f>IF(main!BE21="","",ROUND(main!BE21*100,6))</f>
        <v/>
      </c>
      <c r="AT18" s="68" t="str">
        <f>IF(main!BF21="","",ROUND(main!BF21*100,6))</f>
        <v/>
      </c>
      <c r="AU18" s="68" t="str">
        <f>IF(main!BG21="","",ROUND(main!BG21*100,6))</f>
        <v/>
      </c>
      <c r="AV18" s="68" t="str">
        <f>IF(main!BH21="","",ROUND(main!BH21*100,6))</f>
        <v/>
      </c>
      <c r="AW18" s="68" t="str">
        <f>IF(main!BI21="","",ROUND(main!BI21*100,6))</f>
        <v/>
      </c>
      <c r="AX18" s="68" t="str">
        <f>IF(main!BJ21="","",ROUND(main!BJ21*100,6))</f>
        <v/>
      </c>
      <c r="AY18" s="68" t="str">
        <f>IF(main!BK21="","",ROUND(main!BK21*100,6))</f>
        <v/>
      </c>
      <c r="AZ18" s="68" t="str">
        <f>IF(main!BL21="","",ROUND(main!BL21*100,6))</f>
        <v/>
      </c>
      <c r="BA18" s="68" t="str">
        <f>IF(main!BM21="","",ROUND(main!BM21*100,6))</f>
        <v/>
      </c>
      <c r="BB18" s="68" t="str">
        <f>IF(main!BN21="","",ROUND(main!BN21*100,6))</f>
        <v/>
      </c>
      <c r="BC18" s="68" t="str">
        <f>IF(main!BO21="","",ROUND(main!BO21*100,6))</f>
        <v/>
      </c>
      <c r="BD18" s="68" t="str">
        <f>IF(main!BP21="","",ROUND(main!BP21*100,6))</f>
        <v/>
      </c>
      <c r="BE18" s="68" t="str">
        <f>IF(main!BQ21="","",ROUND(main!BQ21*100,6))</f>
        <v/>
      </c>
      <c r="BF18" s="68" t="str">
        <f>IF(main!BR21="","",ROUND(main!BR21*100,6))</f>
        <v/>
      </c>
      <c r="BG18" s="68" t="str">
        <f>IF(main!BS21="","",ROUND(main!BS21*100,6))</f>
        <v/>
      </c>
      <c r="BH18" s="68" t="str">
        <f>IF(main!BT21="","",ROUND(main!BT21*100,6))</f>
        <v/>
      </c>
      <c r="BI18" s="68" t="str">
        <f>IF(main!BU21="","",ROUND(main!BU21*100,6))</f>
        <v/>
      </c>
      <c r="BJ18" s="68" t="str">
        <f>IF(main!BV21="","",ROUND(main!BV21*100,6))</f>
        <v/>
      </c>
      <c r="BK18" s="68" t="str">
        <f>IF(main!BW21="","",ROUND(main!BW21*100,6))</f>
        <v/>
      </c>
      <c r="BL18" s="68" t="str">
        <f>IF(main!BX21="","",ROUND(main!BX21*100,6))</f>
        <v/>
      </c>
      <c r="BM18" s="68" t="str">
        <f>IF(main!BY21="","",ROUND(main!BY21*100,6))</f>
        <v/>
      </c>
      <c r="BN18" s="68" t="str">
        <f>IF(main!BZ21="","",ROUND(main!BZ21*100,6))</f>
        <v/>
      </c>
      <c r="BO18" s="68" t="str">
        <f>IF(main!CA21="","",ROUND(main!CA21*100,6))</f>
        <v/>
      </c>
      <c r="BP18" s="68" t="str">
        <f>IF(main!CB21="","",ROUND(main!CB21*100,6))</f>
        <v/>
      </c>
      <c r="BQ18" s="68" t="str">
        <f>IF(main!CC21="","",ROUND(main!CC21*100,6))</f>
        <v/>
      </c>
      <c r="BR18" s="68" t="str">
        <f>IF(main!CD21="","",ROUND(main!CD21*100,6))</f>
        <v/>
      </c>
      <c r="BS18" s="68" t="str">
        <f>IF(main!CE21="","",ROUND(main!CE21*100,6))</f>
        <v/>
      </c>
      <c r="BT18" s="68" t="str">
        <f>IF(main!CF21="","",ROUND(main!CF21*100,6))</f>
        <v/>
      </c>
      <c r="BU18" s="68" t="str">
        <f>IF(main!CG21="","",ROUND(main!CG21*100,6))</f>
        <v/>
      </c>
      <c r="BV18" s="68" t="str">
        <f>IF(main!CH21="","",ROUND(main!CH21*100,6))</f>
        <v/>
      </c>
      <c r="BW18" s="68" t="str">
        <f>IF(main!CI21="","",ROUND(main!CI21*100,6))</f>
        <v/>
      </c>
      <c r="BX18" s="68" t="str">
        <f>IF(main!CJ21="","",ROUND(main!CJ21*100,6))</f>
        <v/>
      </c>
      <c r="BY18" s="68" t="str">
        <f>IF(main!CK21="","",ROUND(main!CK21*100,6))</f>
        <v/>
      </c>
      <c r="BZ18" s="68" t="str">
        <f>IF(main!CL21="","",ROUND(main!CL21*100,6))</f>
        <v/>
      </c>
      <c r="CA18" s="68" t="str">
        <f>IF(main!CM21="","",ROUND(main!CM21*100,6))</f>
        <v/>
      </c>
      <c r="CB18" s="68" t="str">
        <f>IF(main!CN21="","",ROUND(main!CN21*100,6))</f>
        <v/>
      </c>
      <c r="CC18" s="68" t="str">
        <f>IF(main!CO21="","",ROUND(main!CO21*100,6))</f>
        <v/>
      </c>
    </row>
    <row r="19" spans="1:81" x14ac:dyDescent="0.25">
      <c r="A19" s="65" t="s">
        <v>131</v>
      </c>
      <c r="B19" s="66" t="str">
        <f>main!C21</f>
        <v>Mezzanine Floor</v>
      </c>
      <c r="C19" s="67">
        <f>main!O21</f>
        <v>100000</v>
      </c>
      <c r="D19" s="65" t="s">
        <v>111</v>
      </c>
      <c r="E19" s="68" t="str">
        <f t="shared" si="0"/>
        <v/>
      </c>
      <c r="F19" s="68" t="str">
        <f>IF(main!R22="","",ROUND(main!R22*100,6))</f>
        <v/>
      </c>
      <c r="G19" s="68" t="str">
        <f>IF(main!S22="","",ROUND(main!S22*100,6))</f>
        <v/>
      </c>
      <c r="H19" s="68" t="str">
        <f>IF(main!T22="","",ROUND(main!T22*100,6))</f>
        <v/>
      </c>
      <c r="I19" s="68" t="str">
        <f>IF(main!U22="","",ROUND(main!U22*100,6))</f>
        <v/>
      </c>
      <c r="J19" s="68" t="str">
        <f>IF(main!V22="","",ROUND(main!V22*100,6))</f>
        <v/>
      </c>
      <c r="K19" s="68" t="str">
        <f>IF(main!W22="","",ROUND(main!W22*100,6))</f>
        <v/>
      </c>
      <c r="L19" s="68" t="str">
        <f>IF(main!X22="","",ROUND(main!X22*100,6))</f>
        <v/>
      </c>
      <c r="M19" s="68" t="str">
        <f>IF(main!Y22="","",ROUND(main!Y22*100,6))</f>
        <v/>
      </c>
      <c r="N19" s="68" t="str">
        <f>IF(main!Z22="","",ROUND(main!Z22*100,6))</f>
        <v/>
      </c>
      <c r="O19" s="68" t="str">
        <f>IF(main!AA22="","",ROUND(main!AA22*100,6))</f>
        <v/>
      </c>
      <c r="P19" s="68" t="str">
        <f>IF(main!AB22="","",ROUND(main!AB22*100,6))</f>
        <v/>
      </c>
      <c r="Q19" s="68" t="str">
        <f>IF(main!AC22="","",ROUND(main!AC22*100,6))</f>
        <v/>
      </c>
      <c r="R19" s="68" t="str">
        <f>IF(main!AD22="","",ROUND(main!AD22*100,6))</f>
        <v/>
      </c>
      <c r="S19" s="68" t="str">
        <f>IF(main!AE22="","",ROUND(main!AE22*100,6))</f>
        <v/>
      </c>
      <c r="T19" s="68" t="str">
        <f>IF(main!AF22="","",ROUND(main!AF22*100,6))</f>
        <v/>
      </c>
      <c r="U19" s="68" t="str">
        <f>IF(main!AG22="","",ROUND(main!AG22*100,6))</f>
        <v/>
      </c>
      <c r="V19" s="68" t="str">
        <f>IF(main!AH22="","",ROUND(main!AH22*100,6))</f>
        <v/>
      </c>
      <c r="W19" s="68" t="str">
        <f>IF(main!AI22="","",ROUND(main!AI22*100,6))</f>
        <v/>
      </c>
      <c r="X19" s="68" t="str">
        <f>IF(main!AJ22="","",ROUND(main!AJ22*100,6))</f>
        <v/>
      </c>
      <c r="Y19" s="68" t="str">
        <f>IF(main!AK22="","",ROUND(main!AK22*100,6))</f>
        <v/>
      </c>
      <c r="Z19" s="68" t="str">
        <f>IF(main!AL22="","",ROUND(main!AL22*100,6))</f>
        <v/>
      </c>
      <c r="AA19" s="68" t="str">
        <f>IF(main!AM22="","",ROUND(main!AM22*100,6))</f>
        <v/>
      </c>
      <c r="AB19" s="68" t="str">
        <f>IF(main!AN22="","",ROUND(main!AN22*100,6))</f>
        <v/>
      </c>
      <c r="AC19" s="68" t="str">
        <f>IF(main!AO22="","",ROUND(main!AO22*100,6))</f>
        <v/>
      </c>
      <c r="AD19" s="68" t="str">
        <f>IF(main!AP22="","",ROUND(main!AP22*100,6))</f>
        <v/>
      </c>
      <c r="AE19" s="68" t="str">
        <f>IF(main!AQ22="","",ROUND(main!AQ22*100,6))</f>
        <v/>
      </c>
      <c r="AF19" s="68" t="str">
        <f>IF(main!AR22="","",ROUND(main!AR22*100,6))</f>
        <v/>
      </c>
      <c r="AG19" s="68" t="str">
        <f>IF(main!AS22="","",ROUND(main!AS22*100,6))</f>
        <v/>
      </c>
      <c r="AH19" s="68" t="str">
        <f>IF(main!AT22="","",ROUND(main!AT22*100,6))</f>
        <v/>
      </c>
      <c r="AI19" s="68" t="str">
        <f>IF(main!AU22="","",ROUND(main!AU22*100,6))</f>
        <v/>
      </c>
      <c r="AJ19" s="68" t="str">
        <f>IF(main!AV22="","",ROUND(main!AV22*100,6))</f>
        <v/>
      </c>
      <c r="AK19" s="68" t="str">
        <f>IF(main!AW22="","",ROUND(main!AW22*100,6))</f>
        <v/>
      </c>
      <c r="AL19" s="68" t="str">
        <f>IF(main!AX22="","",ROUND(main!AX22*100,6))</f>
        <v/>
      </c>
      <c r="AM19" s="68" t="str">
        <f>IF(main!AY22="","",ROUND(main!AY22*100,6))</f>
        <v/>
      </c>
      <c r="AN19" s="68" t="str">
        <f>IF(main!AZ22="","",ROUND(main!AZ22*100,6))</f>
        <v/>
      </c>
      <c r="AO19" s="68" t="str">
        <f>IF(main!BA22="","",ROUND(main!BA22*100,6))</f>
        <v/>
      </c>
      <c r="AP19" s="68" t="str">
        <f>IF(main!BB22="","",ROUND(main!BB22*100,6))</f>
        <v/>
      </c>
      <c r="AQ19" s="68" t="str">
        <f>IF(main!BC22="","",ROUND(main!BC22*100,6))</f>
        <v/>
      </c>
      <c r="AR19" s="68" t="str">
        <f>IF(main!BD22="","",ROUND(main!BD22*100,6))</f>
        <v/>
      </c>
      <c r="AS19" s="68" t="str">
        <f>IF(main!BE22="","",ROUND(main!BE22*100,6))</f>
        <v/>
      </c>
      <c r="AT19" s="68" t="str">
        <f>IF(main!BF22="","",ROUND(main!BF22*100,6))</f>
        <v/>
      </c>
      <c r="AU19" s="68" t="str">
        <f>IF(main!BG22="","",ROUND(main!BG22*100,6))</f>
        <v/>
      </c>
      <c r="AV19" s="68" t="str">
        <f>IF(main!BH22="","",ROUND(main!BH22*100,6))</f>
        <v/>
      </c>
      <c r="AW19" s="68" t="str">
        <f>IF(main!BI22="","",ROUND(main!BI22*100,6))</f>
        <v/>
      </c>
      <c r="AX19" s="68" t="str">
        <f>IF(main!BJ22="","",ROUND(main!BJ22*100,6))</f>
        <v/>
      </c>
      <c r="AY19" s="68" t="str">
        <f>IF(main!BK22="","",ROUND(main!BK22*100,6))</f>
        <v/>
      </c>
      <c r="AZ19" s="68" t="str">
        <f>IF(main!BL22="","",ROUND(main!BL22*100,6))</f>
        <v/>
      </c>
      <c r="BA19" s="68" t="str">
        <f>IF(main!BM22="","",ROUND(main!BM22*100,6))</f>
        <v/>
      </c>
      <c r="BB19" s="68" t="str">
        <f>IF(main!BN22="","",ROUND(main!BN22*100,6))</f>
        <v/>
      </c>
      <c r="BC19" s="68" t="str">
        <f>IF(main!BO22="","",ROUND(main!BO22*100,6))</f>
        <v/>
      </c>
      <c r="BD19" s="68" t="str">
        <f>IF(main!BP22="","",ROUND(main!BP22*100,6))</f>
        <v/>
      </c>
      <c r="BE19" s="68" t="str">
        <f>IF(main!BQ22="","",ROUND(main!BQ22*100,6))</f>
        <v/>
      </c>
      <c r="BF19" s="68" t="str">
        <f>IF(main!BR22="","",ROUND(main!BR22*100,6))</f>
        <v/>
      </c>
      <c r="BG19" s="68" t="str">
        <f>IF(main!BS22="","",ROUND(main!BS22*100,6))</f>
        <v/>
      </c>
      <c r="BH19" s="68" t="str">
        <f>IF(main!BT22="","",ROUND(main!BT22*100,6))</f>
        <v/>
      </c>
      <c r="BI19" s="68" t="str">
        <f>IF(main!BU22="","",ROUND(main!BU22*100,6))</f>
        <v/>
      </c>
      <c r="BJ19" s="68" t="str">
        <f>IF(main!BV22="","",ROUND(main!BV22*100,6))</f>
        <v/>
      </c>
      <c r="BK19" s="68" t="str">
        <f>IF(main!BW22="","",ROUND(main!BW22*100,6))</f>
        <v/>
      </c>
      <c r="BL19" s="68" t="str">
        <f>IF(main!BX22="","",ROUND(main!BX22*100,6))</f>
        <v/>
      </c>
      <c r="BM19" s="68" t="str">
        <f>IF(main!BY22="","",ROUND(main!BY22*100,6))</f>
        <v/>
      </c>
      <c r="BN19" s="68" t="str">
        <f>IF(main!BZ22="","",ROUND(main!BZ22*100,6))</f>
        <v/>
      </c>
      <c r="BO19" s="68" t="str">
        <f>IF(main!CA22="","",ROUND(main!CA22*100,6))</f>
        <v/>
      </c>
      <c r="BP19" s="68" t="str">
        <f>IF(main!CB22="","",ROUND(main!CB22*100,6))</f>
        <v/>
      </c>
      <c r="BQ19" s="68" t="str">
        <f>IF(main!CC22="","",ROUND(main!CC22*100,6))</f>
        <v/>
      </c>
      <c r="BR19" s="68" t="str">
        <f>IF(main!CD22="","",ROUND(main!CD22*100,6))</f>
        <v/>
      </c>
      <c r="BS19" s="68" t="str">
        <f>IF(main!CE22="","",ROUND(main!CE22*100,6))</f>
        <v/>
      </c>
      <c r="BT19" s="68" t="str">
        <f>IF(main!CF22="","",ROUND(main!CF22*100,6))</f>
        <v/>
      </c>
      <c r="BU19" s="68" t="str">
        <f>IF(main!CG22="","",ROUND(main!CG22*100,6))</f>
        <v/>
      </c>
      <c r="BV19" s="68" t="str">
        <f>IF(main!CH22="","",ROUND(main!CH22*100,6))</f>
        <v/>
      </c>
      <c r="BW19" s="68" t="str">
        <f>IF(main!CI22="","",ROUND(main!CI22*100,6))</f>
        <v/>
      </c>
      <c r="BX19" s="68" t="str">
        <f>IF(main!CJ22="","",ROUND(main!CJ22*100,6))</f>
        <v/>
      </c>
      <c r="BY19" s="68" t="str">
        <f>IF(main!CK22="","",ROUND(main!CK22*100,6))</f>
        <v/>
      </c>
      <c r="BZ19" s="68" t="str">
        <f>IF(main!CL22="","",ROUND(main!CL22*100,6))</f>
        <v/>
      </c>
      <c r="CA19" s="68" t="str">
        <f>IF(main!CM22="","",ROUND(main!CM22*100,6))</f>
        <v/>
      </c>
      <c r="CB19" s="68" t="str">
        <f>IF(main!CN22="","",ROUND(main!CN22*100,6))</f>
        <v/>
      </c>
      <c r="CC19" s="68" t="str">
        <f>IF(main!CO22="","",ROUND(main!CO22*100,6))</f>
        <v/>
      </c>
    </row>
    <row r="20" spans="1:81" x14ac:dyDescent="0.25">
      <c r="A20" s="65" t="s">
        <v>134</v>
      </c>
      <c r="B20" s="66" t="str">
        <f>main!C23</f>
        <v>Ground  Floor</v>
      </c>
      <c r="C20" s="67">
        <f>main!O23</f>
        <v>100000</v>
      </c>
      <c r="D20" s="65" t="s">
        <v>110</v>
      </c>
      <c r="E20" s="68">
        <f t="shared" si="0"/>
        <v>100</v>
      </c>
      <c r="F20" s="68" t="str">
        <f>IF(main!R23="","",ROUND(main!R23*100,6))</f>
        <v/>
      </c>
      <c r="G20" s="68" t="str">
        <f>IF(main!S23="","",ROUND(main!S23*100,6))</f>
        <v/>
      </c>
      <c r="H20" s="68" t="str">
        <f>IF(main!T23="","",ROUND(main!T23*100,6))</f>
        <v/>
      </c>
      <c r="I20" s="68" t="str">
        <f>IF(main!U23="","",ROUND(main!U23*100,6))</f>
        <v/>
      </c>
      <c r="J20" s="68" t="str">
        <f>IF(main!V23="","",ROUND(main!V23*100,6))</f>
        <v/>
      </c>
      <c r="K20" s="68" t="str">
        <f>IF(main!W23="","",ROUND(main!W23*100,6))</f>
        <v/>
      </c>
      <c r="L20" s="68" t="str">
        <f>IF(main!X23="","",ROUND(main!X23*100,6))</f>
        <v/>
      </c>
      <c r="M20" s="68" t="str">
        <f>IF(main!Y23="","",ROUND(main!Y23*100,6))</f>
        <v/>
      </c>
      <c r="N20" s="68" t="str">
        <f>IF(main!Z23="","",ROUND(main!Z23*100,6))</f>
        <v/>
      </c>
      <c r="O20" s="68" t="str">
        <f>IF(main!AA23="","",ROUND(main!AA23*100,6))</f>
        <v/>
      </c>
      <c r="P20" s="68" t="str">
        <f>IF(main!AB23="","",ROUND(main!AB23*100,6))</f>
        <v/>
      </c>
      <c r="Q20" s="68" t="str">
        <f>IF(main!AC23="","",ROUND(main!AC23*100,6))</f>
        <v/>
      </c>
      <c r="R20" s="68" t="str">
        <f>IF(main!AD23="","",ROUND(main!AD23*100,6))</f>
        <v/>
      </c>
      <c r="S20" s="68" t="str">
        <f>IF(main!AE23="","",ROUND(main!AE23*100,6))</f>
        <v/>
      </c>
      <c r="T20" s="68" t="str">
        <f>IF(main!AF23="","",ROUND(main!AF23*100,6))</f>
        <v/>
      </c>
      <c r="U20" s="68" t="str">
        <f>IF(main!AG23="","",ROUND(main!AG23*100,6))</f>
        <v/>
      </c>
      <c r="V20" s="68" t="str">
        <f>IF(main!AH23="","",ROUND(main!AH23*100,6))</f>
        <v/>
      </c>
      <c r="W20" s="68" t="str">
        <f>IF(main!AI23="","",ROUND(main!AI23*100,6))</f>
        <v/>
      </c>
      <c r="X20" s="68" t="str">
        <f>IF(main!AJ23="","",ROUND(main!AJ23*100,6))</f>
        <v/>
      </c>
      <c r="Y20" s="68" t="str">
        <f>IF(main!AK23="","",ROUND(main!AK23*100,6))</f>
        <v/>
      </c>
      <c r="Z20" s="68" t="str">
        <f>IF(main!AL23="","",ROUND(main!AL23*100,6))</f>
        <v/>
      </c>
      <c r="AA20" s="68">
        <f>IF(main!AM23="","",ROUND(main!AM23*100,6))</f>
        <v>3.5714290000000002</v>
      </c>
      <c r="AB20" s="68">
        <f>IF(main!AN23="","",ROUND(main!AN23*100,6))</f>
        <v>25</v>
      </c>
      <c r="AC20" s="68">
        <f>IF(main!AO23="","",ROUND(main!AO23*100,6))</f>
        <v>25</v>
      </c>
      <c r="AD20" s="68">
        <f>IF(main!AP23="","",ROUND(main!AP23*100,6))</f>
        <v>25</v>
      </c>
      <c r="AE20" s="68">
        <f>IF(main!AQ23="","",ROUND(main!AQ23*100,6))</f>
        <v>21.428571000000002</v>
      </c>
      <c r="AF20" s="68" t="str">
        <f>IF(main!AR23="","",ROUND(main!AR23*100,6))</f>
        <v/>
      </c>
      <c r="AG20" s="68" t="str">
        <f>IF(main!AS23="","",ROUND(main!AS23*100,6))</f>
        <v/>
      </c>
      <c r="AH20" s="68" t="str">
        <f>IF(main!AT23="","",ROUND(main!AT23*100,6))</f>
        <v/>
      </c>
      <c r="AI20" s="68" t="str">
        <f>IF(main!AU23="","",ROUND(main!AU23*100,6))</f>
        <v/>
      </c>
      <c r="AJ20" s="68" t="str">
        <f>IF(main!AV23="","",ROUND(main!AV23*100,6))</f>
        <v/>
      </c>
      <c r="AK20" s="68" t="str">
        <f>IF(main!AW23="","",ROUND(main!AW23*100,6))</f>
        <v/>
      </c>
      <c r="AL20" s="68" t="str">
        <f>IF(main!AX23="","",ROUND(main!AX23*100,6))</f>
        <v/>
      </c>
      <c r="AM20" s="68" t="str">
        <f>IF(main!AY23="","",ROUND(main!AY23*100,6))</f>
        <v/>
      </c>
      <c r="AN20" s="68" t="str">
        <f>IF(main!AZ23="","",ROUND(main!AZ23*100,6))</f>
        <v/>
      </c>
      <c r="AO20" s="68" t="str">
        <f>IF(main!BA23="","",ROUND(main!BA23*100,6))</f>
        <v/>
      </c>
      <c r="AP20" s="68" t="str">
        <f>IF(main!BB23="","",ROUND(main!BB23*100,6))</f>
        <v/>
      </c>
      <c r="AQ20" s="68" t="str">
        <f>IF(main!BC23="","",ROUND(main!BC23*100,6))</f>
        <v/>
      </c>
      <c r="AR20" s="68" t="str">
        <f>IF(main!BD23="","",ROUND(main!BD23*100,6))</f>
        <v/>
      </c>
      <c r="AS20" s="68" t="str">
        <f>IF(main!BE23="","",ROUND(main!BE23*100,6))</f>
        <v/>
      </c>
      <c r="AT20" s="68" t="str">
        <f>IF(main!BF23="","",ROUND(main!BF23*100,6))</f>
        <v/>
      </c>
      <c r="AU20" s="68" t="str">
        <f>IF(main!BG23="","",ROUND(main!BG23*100,6))</f>
        <v/>
      </c>
      <c r="AV20" s="68" t="str">
        <f>IF(main!BH23="","",ROUND(main!BH23*100,6))</f>
        <v/>
      </c>
      <c r="AW20" s="68" t="str">
        <f>IF(main!BI23="","",ROUND(main!BI23*100,6))</f>
        <v/>
      </c>
      <c r="AX20" s="68" t="str">
        <f>IF(main!BJ23="","",ROUND(main!BJ23*100,6))</f>
        <v/>
      </c>
      <c r="AY20" s="68" t="str">
        <f>IF(main!BK23="","",ROUND(main!BK23*100,6))</f>
        <v/>
      </c>
      <c r="AZ20" s="68" t="str">
        <f>IF(main!BL23="","",ROUND(main!BL23*100,6))</f>
        <v/>
      </c>
      <c r="BA20" s="68" t="str">
        <f>IF(main!BM23="","",ROUND(main!BM23*100,6))</f>
        <v/>
      </c>
      <c r="BB20" s="68" t="str">
        <f>IF(main!BN23="","",ROUND(main!BN23*100,6))</f>
        <v/>
      </c>
      <c r="BC20" s="68" t="str">
        <f>IF(main!BO23="","",ROUND(main!BO23*100,6))</f>
        <v/>
      </c>
      <c r="BD20" s="68" t="str">
        <f>IF(main!BP23="","",ROUND(main!BP23*100,6))</f>
        <v/>
      </c>
      <c r="BE20" s="68" t="str">
        <f>IF(main!BQ23="","",ROUND(main!BQ23*100,6))</f>
        <v/>
      </c>
      <c r="BF20" s="68" t="str">
        <f>IF(main!BR23="","",ROUND(main!BR23*100,6))</f>
        <v/>
      </c>
      <c r="BG20" s="68" t="str">
        <f>IF(main!BS23="","",ROUND(main!BS23*100,6))</f>
        <v/>
      </c>
      <c r="BH20" s="68" t="str">
        <f>IF(main!BT23="","",ROUND(main!BT23*100,6))</f>
        <v/>
      </c>
      <c r="BI20" s="68" t="str">
        <f>IF(main!BU23="","",ROUND(main!BU23*100,6))</f>
        <v/>
      </c>
      <c r="BJ20" s="68" t="str">
        <f>IF(main!BV23="","",ROUND(main!BV23*100,6))</f>
        <v/>
      </c>
      <c r="BK20" s="68" t="str">
        <f>IF(main!BW23="","",ROUND(main!BW23*100,6))</f>
        <v/>
      </c>
      <c r="BL20" s="68" t="str">
        <f>IF(main!BX23="","",ROUND(main!BX23*100,6))</f>
        <v/>
      </c>
      <c r="BM20" s="68" t="str">
        <f>IF(main!BY23="","",ROUND(main!BY23*100,6))</f>
        <v/>
      </c>
      <c r="BN20" s="68" t="str">
        <f>IF(main!BZ23="","",ROUND(main!BZ23*100,6))</f>
        <v/>
      </c>
      <c r="BO20" s="68" t="str">
        <f>IF(main!CA23="","",ROUND(main!CA23*100,6))</f>
        <v/>
      </c>
      <c r="BP20" s="68" t="str">
        <f>IF(main!CB23="","",ROUND(main!CB23*100,6))</f>
        <v/>
      </c>
      <c r="BQ20" s="68" t="str">
        <f>IF(main!CC23="","",ROUND(main!CC23*100,6))</f>
        <v/>
      </c>
      <c r="BR20" s="68" t="str">
        <f>IF(main!CD23="","",ROUND(main!CD23*100,6))</f>
        <v/>
      </c>
      <c r="BS20" s="68" t="str">
        <f>IF(main!CE23="","",ROUND(main!CE23*100,6))</f>
        <v/>
      </c>
      <c r="BT20" s="68" t="str">
        <f>IF(main!CF23="","",ROUND(main!CF23*100,6))</f>
        <v/>
      </c>
      <c r="BU20" s="68" t="str">
        <f>IF(main!CG23="","",ROUND(main!CG23*100,6))</f>
        <v/>
      </c>
      <c r="BV20" s="68" t="str">
        <f>IF(main!CH23="","",ROUND(main!CH23*100,6))</f>
        <v/>
      </c>
      <c r="BW20" s="68" t="str">
        <f>IF(main!CI23="","",ROUND(main!CI23*100,6))</f>
        <v/>
      </c>
      <c r="BX20" s="68" t="str">
        <f>IF(main!CJ23="","",ROUND(main!CJ23*100,6))</f>
        <v/>
      </c>
      <c r="BY20" s="68" t="str">
        <f>IF(main!CK23="","",ROUND(main!CK23*100,6))</f>
        <v/>
      </c>
      <c r="BZ20" s="68" t="str">
        <f>IF(main!CL23="","",ROUND(main!CL23*100,6))</f>
        <v/>
      </c>
      <c r="CA20" s="68" t="str">
        <f>IF(main!CM23="","",ROUND(main!CM23*100,6))</f>
        <v/>
      </c>
      <c r="CB20" s="68" t="str">
        <f>IF(main!CN23="","",ROUND(main!CN23*100,6))</f>
        <v/>
      </c>
      <c r="CC20" s="68" t="str">
        <f>IF(main!CO23="","",ROUND(main!CO23*100,6))</f>
        <v/>
      </c>
    </row>
    <row r="21" spans="1:81" x14ac:dyDescent="0.25">
      <c r="A21" s="65" t="s">
        <v>134</v>
      </c>
      <c r="B21" s="66" t="str">
        <f>main!C23</f>
        <v>Ground  Floor</v>
      </c>
      <c r="C21" s="67">
        <f>main!O23</f>
        <v>100000</v>
      </c>
      <c r="D21" s="65" t="s">
        <v>111</v>
      </c>
      <c r="E21" s="68" t="str">
        <f t="shared" si="0"/>
        <v/>
      </c>
      <c r="F21" s="68" t="str">
        <f>IF(main!R24="","",ROUND(main!R24*100,6))</f>
        <v/>
      </c>
      <c r="G21" s="68" t="str">
        <f>IF(main!S24="","",ROUND(main!S24*100,6))</f>
        <v/>
      </c>
      <c r="H21" s="68" t="str">
        <f>IF(main!T24="","",ROUND(main!T24*100,6))</f>
        <v/>
      </c>
      <c r="I21" s="68" t="str">
        <f>IF(main!U24="","",ROUND(main!U24*100,6))</f>
        <v/>
      </c>
      <c r="J21" s="68" t="str">
        <f>IF(main!V24="","",ROUND(main!V24*100,6))</f>
        <v/>
      </c>
      <c r="K21" s="68" t="str">
        <f>IF(main!W24="","",ROUND(main!W24*100,6))</f>
        <v/>
      </c>
      <c r="L21" s="68" t="str">
        <f>IF(main!X24="","",ROUND(main!X24*100,6))</f>
        <v/>
      </c>
      <c r="M21" s="68" t="str">
        <f>IF(main!Y24="","",ROUND(main!Y24*100,6))</f>
        <v/>
      </c>
      <c r="N21" s="68" t="str">
        <f>IF(main!Z24="","",ROUND(main!Z24*100,6))</f>
        <v/>
      </c>
      <c r="O21" s="68" t="str">
        <f>IF(main!AA24="","",ROUND(main!AA24*100,6))</f>
        <v/>
      </c>
      <c r="P21" s="68" t="str">
        <f>IF(main!AB24="","",ROUND(main!AB24*100,6))</f>
        <v/>
      </c>
      <c r="Q21" s="68" t="str">
        <f>IF(main!AC24="","",ROUND(main!AC24*100,6))</f>
        <v/>
      </c>
      <c r="R21" s="68" t="str">
        <f>IF(main!AD24="","",ROUND(main!AD24*100,6))</f>
        <v/>
      </c>
      <c r="S21" s="68" t="str">
        <f>IF(main!AE24="","",ROUND(main!AE24*100,6))</f>
        <v/>
      </c>
      <c r="T21" s="68" t="str">
        <f>IF(main!AF24="","",ROUND(main!AF24*100,6))</f>
        <v/>
      </c>
      <c r="U21" s="68" t="str">
        <f>IF(main!AG24="","",ROUND(main!AG24*100,6))</f>
        <v/>
      </c>
      <c r="V21" s="68" t="str">
        <f>IF(main!AH24="","",ROUND(main!AH24*100,6))</f>
        <v/>
      </c>
      <c r="W21" s="68" t="str">
        <f>IF(main!AI24="","",ROUND(main!AI24*100,6))</f>
        <v/>
      </c>
      <c r="X21" s="68" t="str">
        <f>IF(main!AJ24="","",ROUND(main!AJ24*100,6))</f>
        <v/>
      </c>
      <c r="Y21" s="68" t="str">
        <f>IF(main!AK24="","",ROUND(main!AK24*100,6))</f>
        <v/>
      </c>
      <c r="Z21" s="68" t="str">
        <f>IF(main!AL24="","",ROUND(main!AL24*100,6))</f>
        <v/>
      </c>
      <c r="AA21" s="68" t="str">
        <f>IF(main!AM24="","",ROUND(main!AM24*100,6))</f>
        <v/>
      </c>
      <c r="AB21" s="68" t="str">
        <f>IF(main!AN24="","",ROUND(main!AN24*100,6))</f>
        <v/>
      </c>
      <c r="AC21" s="68" t="str">
        <f>IF(main!AO24="","",ROUND(main!AO24*100,6))</f>
        <v/>
      </c>
      <c r="AD21" s="68" t="str">
        <f>IF(main!AP24="","",ROUND(main!AP24*100,6))</f>
        <v/>
      </c>
      <c r="AE21" s="68" t="str">
        <f>IF(main!AQ24="","",ROUND(main!AQ24*100,6))</f>
        <v/>
      </c>
      <c r="AF21" s="68" t="str">
        <f>IF(main!AR24="","",ROUND(main!AR24*100,6))</f>
        <v/>
      </c>
      <c r="AG21" s="68" t="str">
        <f>IF(main!AS24="","",ROUND(main!AS24*100,6))</f>
        <v/>
      </c>
      <c r="AH21" s="68" t="str">
        <f>IF(main!AT24="","",ROUND(main!AT24*100,6))</f>
        <v/>
      </c>
      <c r="AI21" s="68" t="str">
        <f>IF(main!AU24="","",ROUND(main!AU24*100,6))</f>
        <v/>
      </c>
      <c r="AJ21" s="68" t="str">
        <f>IF(main!AV24="","",ROUND(main!AV24*100,6))</f>
        <v/>
      </c>
      <c r="AK21" s="68" t="str">
        <f>IF(main!AW24="","",ROUND(main!AW24*100,6))</f>
        <v/>
      </c>
      <c r="AL21" s="68" t="str">
        <f>IF(main!AX24="","",ROUND(main!AX24*100,6))</f>
        <v/>
      </c>
      <c r="AM21" s="68" t="str">
        <f>IF(main!AY24="","",ROUND(main!AY24*100,6))</f>
        <v/>
      </c>
      <c r="AN21" s="68" t="str">
        <f>IF(main!AZ24="","",ROUND(main!AZ24*100,6))</f>
        <v/>
      </c>
      <c r="AO21" s="68" t="str">
        <f>IF(main!BA24="","",ROUND(main!BA24*100,6))</f>
        <v/>
      </c>
      <c r="AP21" s="68" t="str">
        <f>IF(main!BB24="","",ROUND(main!BB24*100,6))</f>
        <v/>
      </c>
      <c r="AQ21" s="68" t="str">
        <f>IF(main!BC24="","",ROUND(main!BC24*100,6))</f>
        <v/>
      </c>
      <c r="AR21" s="68" t="str">
        <f>IF(main!BD24="","",ROUND(main!BD24*100,6))</f>
        <v/>
      </c>
      <c r="AS21" s="68" t="str">
        <f>IF(main!BE24="","",ROUND(main!BE24*100,6))</f>
        <v/>
      </c>
      <c r="AT21" s="68" t="str">
        <f>IF(main!BF24="","",ROUND(main!BF24*100,6))</f>
        <v/>
      </c>
      <c r="AU21" s="68" t="str">
        <f>IF(main!BG24="","",ROUND(main!BG24*100,6))</f>
        <v/>
      </c>
      <c r="AV21" s="68" t="str">
        <f>IF(main!BH24="","",ROUND(main!BH24*100,6))</f>
        <v/>
      </c>
      <c r="AW21" s="68" t="str">
        <f>IF(main!BI24="","",ROUND(main!BI24*100,6))</f>
        <v/>
      </c>
      <c r="AX21" s="68" t="str">
        <f>IF(main!BJ24="","",ROUND(main!BJ24*100,6))</f>
        <v/>
      </c>
      <c r="AY21" s="68" t="str">
        <f>IF(main!BK24="","",ROUND(main!BK24*100,6))</f>
        <v/>
      </c>
      <c r="AZ21" s="68" t="str">
        <f>IF(main!BL24="","",ROUND(main!BL24*100,6))</f>
        <v/>
      </c>
      <c r="BA21" s="68" t="str">
        <f>IF(main!BM24="","",ROUND(main!BM24*100,6))</f>
        <v/>
      </c>
      <c r="BB21" s="68" t="str">
        <f>IF(main!BN24="","",ROUND(main!BN24*100,6))</f>
        <v/>
      </c>
      <c r="BC21" s="68" t="str">
        <f>IF(main!BO24="","",ROUND(main!BO24*100,6))</f>
        <v/>
      </c>
      <c r="BD21" s="68" t="str">
        <f>IF(main!BP24="","",ROUND(main!BP24*100,6))</f>
        <v/>
      </c>
      <c r="BE21" s="68" t="str">
        <f>IF(main!BQ24="","",ROUND(main!BQ24*100,6))</f>
        <v/>
      </c>
      <c r="BF21" s="68" t="str">
        <f>IF(main!BR24="","",ROUND(main!BR24*100,6))</f>
        <v/>
      </c>
      <c r="BG21" s="68" t="str">
        <f>IF(main!BS24="","",ROUND(main!BS24*100,6))</f>
        <v/>
      </c>
      <c r="BH21" s="68" t="str">
        <f>IF(main!BT24="","",ROUND(main!BT24*100,6))</f>
        <v/>
      </c>
      <c r="BI21" s="68" t="str">
        <f>IF(main!BU24="","",ROUND(main!BU24*100,6))</f>
        <v/>
      </c>
      <c r="BJ21" s="68" t="str">
        <f>IF(main!BV24="","",ROUND(main!BV24*100,6))</f>
        <v/>
      </c>
      <c r="BK21" s="68" t="str">
        <f>IF(main!BW24="","",ROUND(main!BW24*100,6))</f>
        <v/>
      </c>
      <c r="BL21" s="68" t="str">
        <f>IF(main!BX24="","",ROUND(main!BX24*100,6))</f>
        <v/>
      </c>
      <c r="BM21" s="68" t="str">
        <f>IF(main!BY24="","",ROUND(main!BY24*100,6))</f>
        <v/>
      </c>
      <c r="BN21" s="68" t="str">
        <f>IF(main!BZ24="","",ROUND(main!BZ24*100,6))</f>
        <v/>
      </c>
      <c r="BO21" s="68" t="str">
        <f>IF(main!CA24="","",ROUND(main!CA24*100,6))</f>
        <v/>
      </c>
      <c r="BP21" s="68" t="str">
        <f>IF(main!CB24="","",ROUND(main!CB24*100,6))</f>
        <v/>
      </c>
      <c r="BQ21" s="68" t="str">
        <f>IF(main!CC24="","",ROUND(main!CC24*100,6))</f>
        <v/>
      </c>
      <c r="BR21" s="68" t="str">
        <f>IF(main!CD24="","",ROUND(main!CD24*100,6))</f>
        <v/>
      </c>
      <c r="BS21" s="68" t="str">
        <f>IF(main!CE24="","",ROUND(main!CE24*100,6))</f>
        <v/>
      </c>
      <c r="BT21" s="68" t="str">
        <f>IF(main!CF24="","",ROUND(main!CF24*100,6))</f>
        <v/>
      </c>
      <c r="BU21" s="68" t="str">
        <f>IF(main!CG24="","",ROUND(main!CG24*100,6))</f>
        <v/>
      </c>
      <c r="BV21" s="68" t="str">
        <f>IF(main!CH24="","",ROUND(main!CH24*100,6))</f>
        <v/>
      </c>
      <c r="BW21" s="68" t="str">
        <f>IF(main!CI24="","",ROUND(main!CI24*100,6))</f>
        <v/>
      </c>
      <c r="BX21" s="68" t="str">
        <f>IF(main!CJ24="","",ROUND(main!CJ24*100,6))</f>
        <v/>
      </c>
      <c r="BY21" s="68" t="str">
        <f>IF(main!CK24="","",ROUND(main!CK24*100,6))</f>
        <v/>
      </c>
      <c r="BZ21" s="68" t="str">
        <f>IF(main!CL24="","",ROUND(main!CL24*100,6))</f>
        <v/>
      </c>
      <c r="CA21" s="68" t="str">
        <f>IF(main!CM24="","",ROUND(main!CM24*100,6))</f>
        <v/>
      </c>
      <c r="CB21" s="68" t="str">
        <f>IF(main!CN24="","",ROUND(main!CN24*100,6))</f>
        <v/>
      </c>
      <c r="CC21" s="68" t="str">
        <f>IF(main!CO24="","",ROUND(main!CO24*100,6))</f>
        <v/>
      </c>
    </row>
    <row r="22" spans="1:81" x14ac:dyDescent="0.25">
      <c r="A22" s="65" t="s">
        <v>137</v>
      </c>
      <c r="B22" s="66" t="str">
        <f>main!C25</f>
        <v>External</v>
      </c>
      <c r="C22" s="67">
        <f>main!O25</f>
        <v>100000</v>
      </c>
      <c r="D22" s="65" t="s">
        <v>110</v>
      </c>
      <c r="E22" s="68">
        <f t="shared" si="0"/>
        <v>100</v>
      </c>
      <c r="F22" s="68" t="str">
        <f>IF(main!R25="","",ROUND(main!R25*100,6))</f>
        <v/>
      </c>
      <c r="G22" s="68" t="str">
        <f>IF(main!S25="","",ROUND(main!S25*100,6))</f>
        <v/>
      </c>
      <c r="H22" s="68" t="str">
        <f>IF(main!T25="","",ROUND(main!T25*100,6))</f>
        <v/>
      </c>
      <c r="I22" s="68" t="str">
        <f>IF(main!U25="","",ROUND(main!U25*100,6))</f>
        <v/>
      </c>
      <c r="J22" s="68" t="str">
        <f>IF(main!V25="","",ROUND(main!V25*100,6))</f>
        <v/>
      </c>
      <c r="K22" s="68" t="str">
        <f>IF(main!W25="","",ROUND(main!W25*100,6))</f>
        <v/>
      </c>
      <c r="L22" s="68" t="str">
        <f>IF(main!X25="","",ROUND(main!X25*100,6))</f>
        <v/>
      </c>
      <c r="M22" s="68" t="str">
        <f>IF(main!Y25="","",ROUND(main!Y25*100,6))</f>
        <v/>
      </c>
      <c r="N22" s="68" t="str">
        <f>IF(main!Z25="","",ROUND(main!Z25*100,6))</f>
        <v/>
      </c>
      <c r="O22" s="68" t="str">
        <f>IF(main!AA25="","",ROUND(main!AA25*100,6))</f>
        <v/>
      </c>
      <c r="P22" s="68" t="str">
        <f>IF(main!AB25="","",ROUND(main!AB25*100,6))</f>
        <v/>
      </c>
      <c r="Q22" s="68" t="str">
        <f>IF(main!AC25="","",ROUND(main!AC25*100,6))</f>
        <v/>
      </c>
      <c r="R22" s="68" t="str">
        <f>IF(main!AD25="","",ROUND(main!AD25*100,6))</f>
        <v/>
      </c>
      <c r="S22" s="68" t="str">
        <f>IF(main!AE25="","",ROUND(main!AE25*100,6))</f>
        <v/>
      </c>
      <c r="T22" s="68" t="str">
        <f>IF(main!AF25="","",ROUND(main!AF25*100,6))</f>
        <v/>
      </c>
      <c r="U22" s="68" t="str">
        <f>IF(main!AG25="","",ROUND(main!AG25*100,6))</f>
        <v/>
      </c>
      <c r="V22" s="68" t="str">
        <f>IF(main!AH25="","",ROUND(main!AH25*100,6))</f>
        <v/>
      </c>
      <c r="W22" s="68" t="str">
        <f>IF(main!AI25="","",ROUND(main!AI25*100,6))</f>
        <v/>
      </c>
      <c r="X22" s="68" t="str">
        <f>IF(main!AJ25="","",ROUND(main!AJ25*100,6))</f>
        <v/>
      </c>
      <c r="Y22" s="68" t="str">
        <f>IF(main!AK25="","",ROUND(main!AK25*100,6))</f>
        <v/>
      </c>
      <c r="Z22" s="68" t="str">
        <f>IF(main!AL25="","",ROUND(main!AL25*100,6))</f>
        <v/>
      </c>
      <c r="AA22" s="68" t="str">
        <f>IF(main!AM25="","",ROUND(main!AM25*100,6))</f>
        <v/>
      </c>
      <c r="AB22" s="68" t="str">
        <f>IF(main!AN25="","",ROUND(main!AN25*100,6))</f>
        <v/>
      </c>
      <c r="AC22" s="68" t="str">
        <f>IF(main!AO25="","",ROUND(main!AO25*100,6))</f>
        <v/>
      </c>
      <c r="AD22" s="68" t="str">
        <f>IF(main!AP25="","",ROUND(main!AP25*100,6))</f>
        <v/>
      </c>
      <c r="AE22" s="68">
        <f>IF(main!AQ25="","",ROUND(main!AQ25*100,6))</f>
        <v>3.5714290000000002</v>
      </c>
      <c r="AF22" s="68">
        <f>IF(main!AR25="","",ROUND(main!AR25*100,6))</f>
        <v>25</v>
      </c>
      <c r="AG22" s="68">
        <f>IF(main!AS25="","",ROUND(main!AS25*100,6))</f>
        <v>25</v>
      </c>
      <c r="AH22" s="68">
        <f>IF(main!AT25="","",ROUND(main!AT25*100,6))</f>
        <v>25</v>
      </c>
      <c r="AI22" s="68">
        <f>IF(main!AU25="","",ROUND(main!AU25*100,6))</f>
        <v>21.428571000000002</v>
      </c>
      <c r="AJ22" s="68" t="str">
        <f>IF(main!AV25="","",ROUND(main!AV25*100,6))</f>
        <v/>
      </c>
      <c r="AK22" s="68" t="str">
        <f>IF(main!AW25="","",ROUND(main!AW25*100,6))</f>
        <v/>
      </c>
      <c r="AL22" s="68" t="str">
        <f>IF(main!AX25="","",ROUND(main!AX25*100,6))</f>
        <v/>
      </c>
      <c r="AM22" s="68" t="str">
        <f>IF(main!AY25="","",ROUND(main!AY25*100,6))</f>
        <v/>
      </c>
      <c r="AN22" s="68" t="str">
        <f>IF(main!AZ25="","",ROUND(main!AZ25*100,6))</f>
        <v/>
      </c>
      <c r="AO22" s="68" t="str">
        <f>IF(main!BA25="","",ROUND(main!BA25*100,6))</f>
        <v/>
      </c>
      <c r="AP22" s="68" t="str">
        <f>IF(main!BB25="","",ROUND(main!BB25*100,6))</f>
        <v/>
      </c>
      <c r="AQ22" s="68" t="str">
        <f>IF(main!BC25="","",ROUND(main!BC25*100,6))</f>
        <v/>
      </c>
      <c r="AR22" s="68" t="str">
        <f>IF(main!BD25="","",ROUND(main!BD25*100,6))</f>
        <v/>
      </c>
      <c r="AS22" s="68" t="str">
        <f>IF(main!BE25="","",ROUND(main!BE25*100,6))</f>
        <v/>
      </c>
      <c r="AT22" s="68" t="str">
        <f>IF(main!BF25="","",ROUND(main!BF25*100,6))</f>
        <v/>
      </c>
      <c r="AU22" s="68" t="str">
        <f>IF(main!BG25="","",ROUND(main!BG25*100,6))</f>
        <v/>
      </c>
      <c r="AV22" s="68" t="str">
        <f>IF(main!BH25="","",ROUND(main!BH25*100,6))</f>
        <v/>
      </c>
      <c r="AW22" s="68" t="str">
        <f>IF(main!BI25="","",ROUND(main!BI25*100,6))</f>
        <v/>
      </c>
      <c r="AX22" s="68" t="str">
        <f>IF(main!BJ25="","",ROUND(main!BJ25*100,6))</f>
        <v/>
      </c>
      <c r="AY22" s="68" t="str">
        <f>IF(main!BK25="","",ROUND(main!BK25*100,6))</f>
        <v/>
      </c>
      <c r="AZ22" s="68" t="str">
        <f>IF(main!BL25="","",ROUND(main!BL25*100,6))</f>
        <v/>
      </c>
      <c r="BA22" s="68" t="str">
        <f>IF(main!BM25="","",ROUND(main!BM25*100,6))</f>
        <v/>
      </c>
      <c r="BB22" s="68" t="str">
        <f>IF(main!BN25="","",ROUND(main!BN25*100,6))</f>
        <v/>
      </c>
      <c r="BC22" s="68" t="str">
        <f>IF(main!BO25="","",ROUND(main!BO25*100,6))</f>
        <v/>
      </c>
      <c r="BD22" s="68" t="str">
        <f>IF(main!BP25="","",ROUND(main!BP25*100,6))</f>
        <v/>
      </c>
      <c r="BE22" s="68" t="str">
        <f>IF(main!BQ25="","",ROUND(main!BQ25*100,6))</f>
        <v/>
      </c>
      <c r="BF22" s="68" t="str">
        <f>IF(main!BR25="","",ROUND(main!BR25*100,6))</f>
        <v/>
      </c>
      <c r="BG22" s="68" t="str">
        <f>IF(main!BS25="","",ROUND(main!BS25*100,6))</f>
        <v/>
      </c>
      <c r="BH22" s="68" t="str">
        <f>IF(main!BT25="","",ROUND(main!BT25*100,6))</f>
        <v/>
      </c>
      <c r="BI22" s="68" t="str">
        <f>IF(main!BU25="","",ROUND(main!BU25*100,6))</f>
        <v/>
      </c>
      <c r="BJ22" s="68" t="str">
        <f>IF(main!BV25="","",ROUND(main!BV25*100,6))</f>
        <v/>
      </c>
      <c r="BK22" s="68" t="str">
        <f>IF(main!BW25="","",ROUND(main!BW25*100,6))</f>
        <v/>
      </c>
      <c r="BL22" s="68" t="str">
        <f>IF(main!BX25="","",ROUND(main!BX25*100,6))</f>
        <v/>
      </c>
      <c r="BM22" s="68" t="str">
        <f>IF(main!BY25="","",ROUND(main!BY25*100,6))</f>
        <v/>
      </c>
      <c r="BN22" s="68" t="str">
        <f>IF(main!BZ25="","",ROUND(main!BZ25*100,6))</f>
        <v/>
      </c>
      <c r="BO22" s="68" t="str">
        <f>IF(main!CA25="","",ROUND(main!CA25*100,6))</f>
        <v/>
      </c>
      <c r="BP22" s="68" t="str">
        <f>IF(main!CB25="","",ROUND(main!CB25*100,6))</f>
        <v/>
      </c>
      <c r="BQ22" s="68" t="str">
        <f>IF(main!CC25="","",ROUND(main!CC25*100,6))</f>
        <v/>
      </c>
      <c r="BR22" s="68" t="str">
        <f>IF(main!CD25="","",ROUND(main!CD25*100,6))</f>
        <v/>
      </c>
      <c r="BS22" s="68" t="str">
        <f>IF(main!CE25="","",ROUND(main!CE25*100,6))</f>
        <v/>
      </c>
      <c r="BT22" s="68" t="str">
        <f>IF(main!CF25="","",ROUND(main!CF25*100,6))</f>
        <v/>
      </c>
      <c r="BU22" s="68" t="str">
        <f>IF(main!CG25="","",ROUND(main!CG25*100,6))</f>
        <v/>
      </c>
      <c r="BV22" s="68" t="str">
        <f>IF(main!CH25="","",ROUND(main!CH25*100,6))</f>
        <v/>
      </c>
      <c r="BW22" s="68" t="str">
        <f>IF(main!CI25="","",ROUND(main!CI25*100,6))</f>
        <v/>
      </c>
      <c r="BX22" s="68" t="str">
        <f>IF(main!CJ25="","",ROUND(main!CJ25*100,6))</f>
        <v/>
      </c>
      <c r="BY22" s="68" t="str">
        <f>IF(main!CK25="","",ROUND(main!CK25*100,6))</f>
        <v/>
      </c>
      <c r="BZ22" s="68" t="str">
        <f>IF(main!CL25="","",ROUND(main!CL25*100,6))</f>
        <v/>
      </c>
      <c r="CA22" s="68" t="str">
        <f>IF(main!CM25="","",ROUND(main!CM25*100,6))</f>
        <v/>
      </c>
      <c r="CB22" s="68" t="str">
        <f>IF(main!CN25="","",ROUND(main!CN25*100,6))</f>
        <v/>
      </c>
      <c r="CC22" s="68" t="str">
        <f>IF(main!CO25="","",ROUND(main!CO25*100,6))</f>
        <v/>
      </c>
    </row>
    <row r="23" spans="1:81" x14ac:dyDescent="0.25">
      <c r="A23" s="65" t="s">
        <v>137</v>
      </c>
      <c r="B23" s="66" t="str">
        <f>main!C25</f>
        <v>External</v>
      </c>
      <c r="C23" s="67">
        <f>main!O25</f>
        <v>100000</v>
      </c>
      <c r="D23" s="65" t="s">
        <v>111</v>
      </c>
      <c r="E23" s="68" t="str">
        <f t="shared" si="0"/>
        <v/>
      </c>
      <c r="F23" s="68" t="str">
        <f>IF(main!R26="","",ROUND(main!R26*100,6))</f>
        <v/>
      </c>
      <c r="G23" s="68" t="str">
        <f>IF(main!S26="","",ROUND(main!S26*100,6))</f>
        <v/>
      </c>
      <c r="H23" s="68" t="str">
        <f>IF(main!T26="","",ROUND(main!T26*100,6))</f>
        <v/>
      </c>
      <c r="I23" s="68" t="str">
        <f>IF(main!U26="","",ROUND(main!U26*100,6))</f>
        <v/>
      </c>
      <c r="J23" s="68" t="str">
        <f>IF(main!V26="","",ROUND(main!V26*100,6))</f>
        <v/>
      </c>
      <c r="K23" s="68" t="str">
        <f>IF(main!W26="","",ROUND(main!W26*100,6))</f>
        <v/>
      </c>
      <c r="L23" s="68" t="str">
        <f>IF(main!X26="","",ROUND(main!X26*100,6))</f>
        <v/>
      </c>
      <c r="M23" s="68" t="str">
        <f>IF(main!Y26="","",ROUND(main!Y26*100,6))</f>
        <v/>
      </c>
      <c r="N23" s="68" t="str">
        <f>IF(main!Z26="","",ROUND(main!Z26*100,6))</f>
        <v/>
      </c>
      <c r="O23" s="68" t="str">
        <f>IF(main!AA26="","",ROUND(main!AA26*100,6))</f>
        <v/>
      </c>
      <c r="P23" s="68" t="str">
        <f>IF(main!AB26="","",ROUND(main!AB26*100,6))</f>
        <v/>
      </c>
      <c r="Q23" s="68" t="str">
        <f>IF(main!AC26="","",ROUND(main!AC26*100,6))</f>
        <v/>
      </c>
      <c r="R23" s="68" t="str">
        <f>IF(main!AD26="","",ROUND(main!AD26*100,6))</f>
        <v/>
      </c>
      <c r="S23" s="68" t="str">
        <f>IF(main!AE26="","",ROUND(main!AE26*100,6))</f>
        <v/>
      </c>
      <c r="T23" s="68" t="str">
        <f>IF(main!AF26="","",ROUND(main!AF26*100,6))</f>
        <v/>
      </c>
      <c r="U23" s="68" t="str">
        <f>IF(main!AG26="","",ROUND(main!AG26*100,6))</f>
        <v/>
      </c>
      <c r="V23" s="68" t="str">
        <f>IF(main!AH26="","",ROUND(main!AH26*100,6))</f>
        <v/>
      </c>
      <c r="W23" s="68" t="str">
        <f>IF(main!AI26="","",ROUND(main!AI26*100,6))</f>
        <v/>
      </c>
      <c r="X23" s="68" t="str">
        <f>IF(main!AJ26="","",ROUND(main!AJ26*100,6))</f>
        <v/>
      </c>
      <c r="Y23" s="68" t="str">
        <f>IF(main!AK26="","",ROUND(main!AK26*100,6))</f>
        <v/>
      </c>
      <c r="Z23" s="68" t="str">
        <f>IF(main!AL26="","",ROUND(main!AL26*100,6))</f>
        <v/>
      </c>
      <c r="AA23" s="68" t="str">
        <f>IF(main!AM26="","",ROUND(main!AM26*100,6))</f>
        <v/>
      </c>
      <c r="AB23" s="68" t="str">
        <f>IF(main!AN26="","",ROUND(main!AN26*100,6))</f>
        <v/>
      </c>
      <c r="AC23" s="68" t="str">
        <f>IF(main!AO26="","",ROUND(main!AO26*100,6))</f>
        <v/>
      </c>
      <c r="AD23" s="68" t="str">
        <f>IF(main!AP26="","",ROUND(main!AP26*100,6))</f>
        <v/>
      </c>
      <c r="AE23" s="68" t="str">
        <f>IF(main!AQ26="","",ROUND(main!AQ26*100,6))</f>
        <v/>
      </c>
      <c r="AF23" s="68" t="str">
        <f>IF(main!AR26="","",ROUND(main!AR26*100,6))</f>
        <v/>
      </c>
      <c r="AG23" s="68" t="str">
        <f>IF(main!AS26="","",ROUND(main!AS26*100,6))</f>
        <v/>
      </c>
      <c r="AH23" s="68" t="str">
        <f>IF(main!AT26="","",ROUND(main!AT26*100,6))</f>
        <v/>
      </c>
      <c r="AI23" s="68" t="str">
        <f>IF(main!AU26="","",ROUND(main!AU26*100,6))</f>
        <v/>
      </c>
      <c r="AJ23" s="68" t="str">
        <f>IF(main!AV26="","",ROUND(main!AV26*100,6))</f>
        <v/>
      </c>
      <c r="AK23" s="68" t="str">
        <f>IF(main!AW26="","",ROUND(main!AW26*100,6))</f>
        <v/>
      </c>
      <c r="AL23" s="68" t="str">
        <f>IF(main!AX26="","",ROUND(main!AX26*100,6))</f>
        <v/>
      </c>
      <c r="AM23" s="68" t="str">
        <f>IF(main!AY26="","",ROUND(main!AY26*100,6))</f>
        <v/>
      </c>
      <c r="AN23" s="68" t="str">
        <f>IF(main!AZ26="","",ROUND(main!AZ26*100,6))</f>
        <v/>
      </c>
      <c r="AO23" s="68" t="str">
        <f>IF(main!BA26="","",ROUND(main!BA26*100,6))</f>
        <v/>
      </c>
      <c r="AP23" s="68" t="str">
        <f>IF(main!BB26="","",ROUND(main!BB26*100,6))</f>
        <v/>
      </c>
      <c r="AQ23" s="68" t="str">
        <f>IF(main!BC26="","",ROUND(main!BC26*100,6))</f>
        <v/>
      </c>
      <c r="AR23" s="68" t="str">
        <f>IF(main!BD26="","",ROUND(main!BD26*100,6))</f>
        <v/>
      </c>
      <c r="AS23" s="68" t="str">
        <f>IF(main!BE26="","",ROUND(main!BE26*100,6))</f>
        <v/>
      </c>
      <c r="AT23" s="68" t="str">
        <f>IF(main!BF26="","",ROUND(main!BF26*100,6))</f>
        <v/>
      </c>
      <c r="AU23" s="68" t="str">
        <f>IF(main!BG26="","",ROUND(main!BG26*100,6))</f>
        <v/>
      </c>
      <c r="AV23" s="68" t="str">
        <f>IF(main!BH26="","",ROUND(main!BH26*100,6))</f>
        <v/>
      </c>
      <c r="AW23" s="68" t="str">
        <f>IF(main!BI26="","",ROUND(main!BI26*100,6))</f>
        <v/>
      </c>
      <c r="AX23" s="68" t="str">
        <f>IF(main!BJ26="","",ROUND(main!BJ26*100,6))</f>
        <v/>
      </c>
      <c r="AY23" s="68" t="str">
        <f>IF(main!BK26="","",ROUND(main!BK26*100,6))</f>
        <v/>
      </c>
      <c r="AZ23" s="68" t="str">
        <f>IF(main!BL26="","",ROUND(main!BL26*100,6))</f>
        <v/>
      </c>
      <c r="BA23" s="68" t="str">
        <f>IF(main!BM26="","",ROUND(main!BM26*100,6))</f>
        <v/>
      </c>
      <c r="BB23" s="68" t="str">
        <f>IF(main!BN26="","",ROUND(main!BN26*100,6))</f>
        <v/>
      </c>
      <c r="BC23" s="68" t="str">
        <f>IF(main!BO26="","",ROUND(main!BO26*100,6))</f>
        <v/>
      </c>
      <c r="BD23" s="68" t="str">
        <f>IF(main!BP26="","",ROUND(main!BP26*100,6))</f>
        <v/>
      </c>
      <c r="BE23" s="68" t="str">
        <f>IF(main!BQ26="","",ROUND(main!BQ26*100,6))</f>
        <v/>
      </c>
      <c r="BF23" s="68" t="str">
        <f>IF(main!BR26="","",ROUND(main!BR26*100,6))</f>
        <v/>
      </c>
      <c r="BG23" s="68" t="str">
        <f>IF(main!BS26="","",ROUND(main!BS26*100,6))</f>
        <v/>
      </c>
      <c r="BH23" s="68" t="str">
        <f>IF(main!BT26="","",ROUND(main!BT26*100,6))</f>
        <v/>
      </c>
      <c r="BI23" s="68" t="str">
        <f>IF(main!BU26="","",ROUND(main!BU26*100,6))</f>
        <v/>
      </c>
      <c r="BJ23" s="68" t="str">
        <f>IF(main!BV26="","",ROUND(main!BV26*100,6))</f>
        <v/>
      </c>
      <c r="BK23" s="68" t="str">
        <f>IF(main!BW26="","",ROUND(main!BW26*100,6))</f>
        <v/>
      </c>
      <c r="BL23" s="68" t="str">
        <f>IF(main!BX26="","",ROUND(main!BX26*100,6))</f>
        <v/>
      </c>
      <c r="BM23" s="68" t="str">
        <f>IF(main!BY26="","",ROUND(main!BY26*100,6))</f>
        <v/>
      </c>
      <c r="BN23" s="68" t="str">
        <f>IF(main!BZ26="","",ROUND(main!BZ26*100,6))</f>
        <v/>
      </c>
      <c r="BO23" s="68" t="str">
        <f>IF(main!CA26="","",ROUND(main!CA26*100,6))</f>
        <v/>
      </c>
      <c r="BP23" s="68" t="str">
        <f>IF(main!CB26="","",ROUND(main!CB26*100,6))</f>
        <v/>
      </c>
      <c r="BQ23" s="68" t="str">
        <f>IF(main!CC26="","",ROUND(main!CC26*100,6))</f>
        <v/>
      </c>
      <c r="BR23" s="68" t="str">
        <f>IF(main!CD26="","",ROUND(main!CD26*100,6))</f>
        <v/>
      </c>
      <c r="BS23" s="68" t="str">
        <f>IF(main!CE26="","",ROUND(main!CE26*100,6))</f>
        <v/>
      </c>
      <c r="BT23" s="68" t="str">
        <f>IF(main!CF26="","",ROUND(main!CF26*100,6))</f>
        <v/>
      </c>
      <c r="BU23" s="68" t="str">
        <f>IF(main!CG26="","",ROUND(main!CG26*100,6))</f>
        <v/>
      </c>
      <c r="BV23" s="68" t="str">
        <f>IF(main!CH26="","",ROUND(main!CH26*100,6))</f>
        <v/>
      </c>
      <c r="BW23" s="68" t="str">
        <f>IF(main!CI26="","",ROUND(main!CI26*100,6))</f>
        <v/>
      </c>
      <c r="BX23" s="68" t="str">
        <f>IF(main!CJ26="","",ROUND(main!CJ26*100,6))</f>
        <v/>
      </c>
      <c r="BY23" s="68" t="str">
        <f>IF(main!CK26="","",ROUND(main!CK26*100,6))</f>
        <v/>
      </c>
      <c r="BZ23" s="68" t="str">
        <f>IF(main!CL26="","",ROUND(main!CL26*100,6))</f>
        <v/>
      </c>
      <c r="CA23" s="68" t="str">
        <f>IF(main!CM26="","",ROUND(main!CM26*100,6))</f>
        <v/>
      </c>
      <c r="CB23" s="68" t="str">
        <f>IF(main!CN26="","",ROUND(main!CN26*100,6))</f>
        <v/>
      </c>
      <c r="CC23" s="68" t="str">
        <f>IF(main!CO26="","",ROUND(main!CO26*100,6))</f>
        <v/>
      </c>
    </row>
    <row r="24" spans="1:81" x14ac:dyDescent="0.25">
      <c r="A24" s="65" t="s">
        <v>140</v>
      </c>
      <c r="B24" s="66" t="str">
        <f>main!C27</f>
        <v>งานซ่อมโครงสร้าง</v>
      </c>
      <c r="C24" s="67">
        <f>main!O27</f>
        <v>400000</v>
      </c>
      <c r="D24" s="65" t="s">
        <v>110</v>
      </c>
      <c r="E24" s="68">
        <f t="shared" si="0"/>
        <v>99.999999000000003</v>
      </c>
      <c r="F24" s="68" t="str">
        <f>IF(main!R27="","",ROUND(main!R27*100,6))</f>
        <v/>
      </c>
      <c r="G24" s="68" t="str">
        <f>IF(main!S27="","",ROUND(main!S27*100,6))</f>
        <v/>
      </c>
      <c r="H24" s="68" t="str">
        <f>IF(main!T27="","",ROUND(main!T27*100,6))</f>
        <v/>
      </c>
      <c r="I24" s="68" t="str">
        <f>IF(main!U27="","",ROUND(main!U27*100,6))</f>
        <v/>
      </c>
      <c r="J24" s="68" t="str">
        <f>IF(main!V27="","",ROUND(main!V27*100,6))</f>
        <v/>
      </c>
      <c r="K24" s="68" t="str">
        <f>IF(main!W27="","",ROUND(main!W27*100,6))</f>
        <v/>
      </c>
      <c r="L24" s="68" t="str">
        <f>IF(main!X27="","",ROUND(main!X27*100,6))</f>
        <v/>
      </c>
      <c r="M24" s="68" t="str">
        <f>IF(main!Y27="","",ROUND(main!Y27*100,6))</f>
        <v/>
      </c>
      <c r="N24" s="68" t="str">
        <f>IF(main!Z27="","",ROUND(main!Z27*100,6))</f>
        <v/>
      </c>
      <c r="O24" s="68" t="str">
        <f>IF(main!AA27="","",ROUND(main!AA27*100,6))</f>
        <v/>
      </c>
      <c r="P24" s="68" t="str">
        <f>IF(main!AB27="","",ROUND(main!AB27*100,6))</f>
        <v/>
      </c>
      <c r="Q24" s="68" t="str">
        <f>IF(main!AC27="","",ROUND(main!AC27*100,6))</f>
        <v/>
      </c>
      <c r="R24" s="68" t="str">
        <f>IF(main!AD27="","",ROUND(main!AD27*100,6))</f>
        <v/>
      </c>
      <c r="S24" s="68" t="str">
        <f>IF(main!AE27="","",ROUND(main!AE27*100,6))</f>
        <v/>
      </c>
      <c r="T24" s="68" t="str">
        <f>IF(main!AF27="","",ROUND(main!AF27*100,6))</f>
        <v/>
      </c>
      <c r="U24" s="68" t="str">
        <f>IF(main!AG27="","",ROUND(main!AG27*100,6))</f>
        <v/>
      </c>
      <c r="V24" s="68" t="str">
        <f>IF(main!AH27="","",ROUND(main!AH27*100,6))</f>
        <v/>
      </c>
      <c r="W24" s="68" t="str">
        <f>IF(main!AI27="","",ROUND(main!AI27*100,6))</f>
        <v/>
      </c>
      <c r="X24" s="68" t="str">
        <f>IF(main!AJ27="","",ROUND(main!AJ27*100,6))</f>
        <v/>
      </c>
      <c r="Y24" s="68" t="str">
        <f>IF(main!AK27="","",ROUND(main!AK27*100,6))</f>
        <v/>
      </c>
      <c r="Z24" s="68" t="str">
        <f>IF(main!AL27="","",ROUND(main!AL27*100,6))</f>
        <v/>
      </c>
      <c r="AA24" s="68" t="str">
        <f>IF(main!AM27="","",ROUND(main!AM27*100,6))</f>
        <v/>
      </c>
      <c r="AB24" s="68" t="str">
        <f>IF(main!AN27="","",ROUND(main!AN27*100,6))</f>
        <v/>
      </c>
      <c r="AC24" s="68" t="str">
        <f>IF(main!AO27="","",ROUND(main!AO27*100,6))</f>
        <v/>
      </c>
      <c r="AD24" s="68" t="str">
        <f>IF(main!AP27="","",ROUND(main!AP27*100,6))</f>
        <v/>
      </c>
      <c r="AE24" s="68">
        <f>IF(main!AQ27="","",ROUND(main!AQ27*100,6))</f>
        <v>1.785714</v>
      </c>
      <c r="AF24" s="68">
        <f>IF(main!AR27="","",ROUND(main!AR27*100,6))</f>
        <v>12.5</v>
      </c>
      <c r="AG24" s="68">
        <f>IF(main!AS27="","",ROUND(main!AS27*100,6))</f>
        <v>12.5</v>
      </c>
      <c r="AH24" s="68">
        <f>IF(main!AT27="","",ROUND(main!AT27*100,6))</f>
        <v>12.5</v>
      </c>
      <c r="AI24" s="68">
        <f>IF(main!AU27="","",ROUND(main!AU27*100,6))</f>
        <v>12.5</v>
      </c>
      <c r="AJ24" s="68">
        <f>IF(main!AV27="","",ROUND(main!AV27*100,6))</f>
        <v>12.5</v>
      </c>
      <c r="AK24" s="68">
        <f>IF(main!AW27="","",ROUND(main!AW27*100,6))</f>
        <v>14.285714</v>
      </c>
      <c r="AL24" s="68">
        <f>IF(main!AX27="","",ROUND(main!AX27*100,6))</f>
        <v>21.428571000000002</v>
      </c>
      <c r="AM24" s="68" t="str">
        <f>IF(main!AY27="","",ROUND(main!AY27*100,6))</f>
        <v/>
      </c>
      <c r="AN24" s="68" t="str">
        <f>IF(main!AZ27="","",ROUND(main!AZ27*100,6))</f>
        <v/>
      </c>
      <c r="AO24" s="68" t="str">
        <f>IF(main!BA27="","",ROUND(main!BA27*100,6))</f>
        <v/>
      </c>
      <c r="AP24" s="68" t="str">
        <f>IF(main!BB27="","",ROUND(main!BB27*100,6))</f>
        <v/>
      </c>
      <c r="AQ24" s="68" t="str">
        <f>IF(main!BC27="","",ROUND(main!BC27*100,6))</f>
        <v/>
      </c>
      <c r="AR24" s="68" t="str">
        <f>IF(main!BD27="","",ROUND(main!BD27*100,6))</f>
        <v/>
      </c>
      <c r="AS24" s="68" t="str">
        <f>IF(main!BE27="","",ROUND(main!BE27*100,6))</f>
        <v/>
      </c>
      <c r="AT24" s="68" t="str">
        <f>IF(main!BF27="","",ROUND(main!BF27*100,6))</f>
        <v/>
      </c>
      <c r="AU24" s="68" t="str">
        <f>IF(main!BG27="","",ROUND(main!BG27*100,6))</f>
        <v/>
      </c>
      <c r="AV24" s="68" t="str">
        <f>IF(main!BH27="","",ROUND(main!BH27*100,6))</f>
        <v/>
      </c>
      <c r="AW24" s="68" t="str">
        <f>IF(main!BI27="","",ROUND(main!BI27*100,6))</f>
        <v/>
      </c>
      <c r="AX24" s="68" t="str">
        <f>IF(main!BJ27="","",ROUND(main!BJ27*100,6))</f>
        <v/>
      </c>
      <c r="AY24" s="68" t="str">
        <f>IF(main!BK27="","",ROUND(main!BK27*100,6))</f>
        <v/>
      </c>
      <c r="AZ24" s="68" t="str">
        <f>IF(main!BL27="","",ROUND(main!BL27*100,6))</f>
        <v/>
      </c>
      <c r="BA24" s="68" t="str">
        <f>IF(main!BM27="","",ROUND(main!BM27*100,6))</f>
        <v/>
      </c>
      <c r="BB24" s="68" t="str">
        <f>IF(main!BN27="","",ROUND(main!BN27*100,6))</f>
        <v/>
      </c>
      <c r="BC24" s="68" t="str">
        <f>IF(main!BO27="","",ROUND(main!BO27*100,6))</f>
        <v/>
      </c>
      <c r="BD24" s="68" t="str">
        <f>IF(main!BP27="","",ROUND(main!BP27*100,6))</f>
        <v/>
      </c>
      <c r="BE24" s="68" t="str">
        <f>IF(main!BQ27="","",ROUND(main!BQ27*100,6))</f>
        <v/>
      </c>
      <c r="BF24" s="68" t="str">
        <f>IF(main!BR27="","",ROUND(main!BR27*100,6))</f>
        <v/>
      </c>
      <c r="BG24" s="68" t="str">
        <f>IF(main!BS27="","",ROUND(main!BS27*100,6))</f>
        <v/>
      </c>
      <c r="BH24" s="68" t="str">
        <f>IF(main!BT27="","",ROUND(main!BT27*100,6))</f>
        <v/>
      </c>
      <c r="BI24" s="68" t="str">
        <f>IF(main!BU27="","",ROUND(main!BU27*100,6))</f>
        <v/>
      </c>
      <c r="BJ24" s="68" t="str">
        <f>IF(main!BV27="","",ROUND(main!BV27*100,6))</f>
        <v/>
      </c>
      <c r="BK24" s="68" t="str">
        <f>IF(main!BW27="","",ROUND(main!BW27*100,6))</f>
        <v/>
      </c>
      <c r="BL24" s="68" t="str">
        <f>IF(main!BX27="","",ROUND(main!BX27*100,6))</f>
        <v/>
      </c>
      <c r="BM24" s="68" t="str">
        <f>IF(main!BY27="","",ROUND(main!BY27*100,6))</f>
        <v/>
      </c>
      <c r="BN24" s="68" t="str">
        <f>IF(main!BZ27="","",ROUND(main!BZ27*100,6))</f>
        <v/>
      </c>
      <c r="BO24" s="68" t="str">
        <f>IF(main!CA27="","",ROUND(main!CA27*100,6))</f>
        <v/>
      </c>
      <c r="BP24" s="68" t="str">
        <f>IF(main!CB27="","",ROUND(main!CB27*100,6))</f>
        <v/>
      </c>
      <c r="BQ24" s="68" t="str">
        <f>IF(main!CC27="","",ROUND(main!CC27*100,6))</f>
        <v/>
      </c>
      <c r="BR24" s="68" t="str">
        <f>IF(main!CD27="","",ROUND(main!CD27*100,6))</f>
        <v/>
      </c>
      <c r="BS24" s="68" t="str">
        <f>IF(main!CE27="","",ROUND(main!CE27*100,6))</f>
        <v/>
      </c>
      <c r="BT24" s="68" t="str">
        <f>IF(main!CF27="","",ROUND(main!CF27*100,6))</f>
        <v/>
      </c>
      <c r="BU24" s="68" t="str">
        <f>IF(main!CG27="","",ROUND(main!CG27*100,6))</f>
        <v/>
      </c>
      <c r="BV24" s="68" t="str">
        <f>IF(main!CH27="","",ROUND(main!CH27*100,6))</f>
        <v/>
      </c>
      <c r="BW24" s="68" t="str">
        <f>IF(main!CI27="","",ROUND(main!CI27*100,6))</f>
        <v/>
      </c>
      <c r="BX24" s="68" t="str">
        <f>IF(main!CJ27="","",ROUND(main!CJ27*100,6))</f>
        <v/>
      </c>
      <c r="BY24" s="68" t="str">
        <f>IF(main!CK27="","",ROUND(main!CK27*100,6))</f>
        <v/>
      </c>
      <c r="BZ24" s="68" t="str">
        <f>IF(main!CL27="","",ROUND(main!CL27*100,6))</f>
        <v/>
      </c>
      <c r="CA24" s="68" t="str">
        <f>IF(main!CM27="","",ROUND(main!CM27*100,6))</f>
        <v/>
      </c>
      <c r="CB24" s="68" t="str">
        <f>IF(main!CN27="","",ROUND(main!CN27*100,6))</f>
        <v/>
      </c>
      <c r="CC24" s="68" t="str">
        <f>IF(main!CO27="","",ROUND(main!CO27*100,6))</f>
        <v/>
      </c>
    </row>
    <row r="25" spans="1:81" x14ac:dyDescent="0.25">
      <c r="A25" s="65" t="s">
        <v>140</v>
      </c>
      <c r="B25" s="66" t="str">
        <f>main!C27</f>
        <v>งานซ่อมโครงสร้าง</v>
      </c>
      <c r="C25" s="67">
        <f>main!O27</f>
        <v>400000</v>
      </c>
      <c r="D25" s="65" t="s">
        <v>111</v>
      </c>
      <c r="E25" s="68" t="str">
        <f t="shared" si="0"/>
        <v/>
      </c>
      <c r="F25" s="68" t="str">
        <f>IF(main!R28="","",ROUND(main!R28*100,6))</f>
        <v/>
      </c>
      <c r="G25" s="68" t="str">
        <f>IF(main!S28="","",ROUND(main!S28*100,6))</f>
        <v/>
      </c>
      <c r="H25" s="68" t="str">
        <f>IF(main!T28="","",ROUND(main!T28*100,6))</f>
        <v/>
      </c>
      <c r="I25" s="68" t="str">
        <f>IF(main!U28="","",ROUND(main!U28*100,6))</f>
        <v/>
      </c>
      <c r="J25" s="68" t="str">
        <f>IF(main!V28="","",ROUND(main!V28*100,6))</f>
        <v/>
      </c>
      <c r="K25" s="68" t="str">
        <f>IF(main!W28="","",ROUND(main!W28*100,6))</f>
        <v/>
      </c>
      <c r="L25" s="68" t="str">
        <f>IF(main!X28="","",ROUND(main!X28*100,6))</f>
        <v/>
      </c>
      <c r="M25" s="68" t="str">
        <f>IF(main!Y28="","",ROUND(main!Y28*100,6))</f>
        <v/>
      </c>
      <c r="N25" s="68" t="str">
        <f>IF(main!Z28="","",ROUND(main!Z28*100,6))</f>
        <v/>
      </c>
      <c r="O25" s="68" t="str">
        <f>IF(main!AA28="","",ROUND(main!AA28*100,6))</f>
        <v/>
      </c>
      <c r="P25" s="68" t="str">
        <f>IF(main!AB28="","",ROUND(main!AB28*100,6))</f>
        <v/>
      </c>
      <c r="Q25" s="68" t="str">
        <f>IF(main!AC28="","",ROUND(main!AC28*100,6))</f>
        <v/>
      </c>
      <c r="R25" s="68" t="str">
        <f>IF(main!AD28="","",ROUND(main!AD28*100,6))</f>
        <v/>
      </c>
      <c r="S25" s="68" t="str">
        <f>IF(main!AE28="","",ROUND(main!AE28*100,6))</f>
        <v/>
      </c>
      <c r="T25" s="68" t="str">
        <f>IF(main!AF28="","",ROUND(main!AF28*100,6))</f>
        <v/>
      </c>
      <c r="U25" s="68" t="str">
        <f>IF(main!AG28="","",ROUND(main!AG28*100,6))</f>
        <v/>
      </c>
      <c r="V25" s="68" t="str">
        <f>IF(main!AH28="","",ROUND(main!AH28*100,6))</f>
        <v/>
      </c>
      <c r="W25" s="68" t="str">
        <f>IF(main!AI28="","",ROUND(main!AI28*100,6))</f>
        <v/>
      </c>
      <c r="X25" s="68" t="str">
        <f>IF(main!AJ28="","",ROUND(main!AJ28*100,6))</f>
        <v/>
      </c>
      <c r="Y25" s="68" t="str">
        <f>IF(main!AK28="","",ROUND(main!AK28*100,6))</f>
        <v/>
      </c>
      <c r="Z25" s="68" t="str">
        <f>IF(main!AL28="","",ROUND(main!AL28*100,6))</f>
        <v/>
      </c>
      <c r="AA25" s="68" t="str">
        <f>IF(main!AM28="","",ROUND(main!AM28*100,6))</f>
        <v/>
      </c>
      <c r="AB25" s="68" t="str">
        <f>IF(main!AN28="","",ROUND(main!AN28*100,6))</f>
        <v/>
      </c>
      <c r="AC25" s="68" t="str">
        <f>IF(main!AO28="","",ROUND(main!AO28*100,6))</f>
        <v/>
      </c>
      <c r="AD25" s="68" t="str">
        <f>IF(main!AP28="","",ROUND(main!AP28*100,6))</f>
        <v/>
      </c>
      <c r="AE25" s="68" t="str">
        <f>IF(main!AQ28="","",ROUND(main!AQ28*100,6))</f>
        <v/>
      </c>
      <c r="AF25" s="68" t="str">
        <f>IF(main!AR28="","",ROUND(main!AR28*100,6))</f>
        <v/>
      </c>
      <c r="AG25" s="68" t="str">
        <f>IF(main!AS28="","",ROUND(main!AS28*100,6))</f>
        <v/>
      </c>
      <c r="AH25" s="68" t="str">
        <f>IF(main!AT28="","",ROUND(main!AT28*100,6))</f>
        <v/>
      </c>
      <c r="AI25" s="68" t="str">
        <f>IF(main!AU28="","",ROUND(main!AU28*100,6))</f>
        <v/>
      </c>
      <c r="AJ25" s="68" t="str">
        <f>IF(main!AV28="","",ROUND(main!AV28*100,6))</f>
        <v/>
      </c>
      <c r="AK25" s="68" t="str">
        <f>IF(main!AW28="","",ROUND(main!AW28*100,6))</f>
        <v/>
      </c>
      <c r="AL25" s="68" t="str">
        <f>IF(main!AX28="","",ROUND(main!AX28*100,6))</f>
        <v/>
      </c>
      <c r="AM25" s="68" t="str">
        <f>IF(main!AY28="","",ROUND(main!AY28*100,6))</f>
        <v/>
      </c>
      <c r="AN25" s="68" t="str">
        <f>IF(main!AZ28="","",ROUND(main!AZ28*100,6))</f>
        <v/>
      </c>
      <c r="AO25" s="68" t="str">
        <f>IF(main!BA28="","",ROUND(main!BA28*100,6))</f>
        <v/>
      </c>
      <c r="AP25" s="68" t="str">
        <f>IF(main!BB28="","",ROUND(main!BB28*100,6))</f>
        <v/>
      </c>
      <c r="AQ25" s="68" t="str">
        <f>IF(main!BC28="","",ROUND(main!BC28*100,6))</f>
        <v/>
      </c>
      <c r="AR25" s="68" t="str">
        <f>IF(main!BD28="","",ROUND(main!BD28*100,6))</f>
        <v/>
      </c>
      <c r="AS25" s="68" t="str">
        <f>IF(main!BE28="","",ROUND(main!BE28*100,6))</f>
        <v/>
      </c>
      <c r="AT25" s="68" t="str">
        <f>IF(main!BF28="","",ROUND(main!BF28*100,6))</f>
        <v/>
      </c>
      <c r="AU25" s="68" t="str">
        <f>IF(main!BG28="","",ROUND(main!BG28*100,6))</f>
        <v/>
      </c>
      <c r="AV25" s="68" t="str">
        <f>IF(main!BH28="","",ROUND(main!BH28*100,6))</f>
        <v/>
      </c>
      <c r="AW25" s="68" t="str">
        <f>IF(main!BI28="","",ROUND(main!BI28*100,6))</f>
        <v/>
      </c>
      <c r="AX25" s="68" t="str">
        <f>IF(main!BJ28="","",ROUND(main!BJ28*100,6))</f>
        <v/>
      </c>
      <c r="AY25" s="68" t="str">
        <f>IF(main!BK28="","",ROUND(main!BK28*100,6))</f>
        <v/>
      </c>
      <c r="AZ25" s="68" t="str">
        <f>IF(main!BL28="","",ROUND(main!BL28*100,6))</f>
        <v/>
      </c>
      <c r="BA25" s="68" t="str">
        <f>IF(main!BM28="","",ROUND(main!BM28*100,6))</f>
        <v/>
      </c>
      <c r="BB25" s="68" t="str">
        <f>IF(main!BN28="","",ROUND(main!BN28*100,6))</f>
        <v/>
      </c>
      <c r="BC25" s="68" t="str">
        <f>IF(main!BO28="","",ROUND(main!BO28*100,6))</f>
        <v/>
      </c>
      <c r="BD25" s="68" t="str">
        <f>IF(main!BP28="","",ROUND(main!BP28*100,6))</f>
        <v/>
      </c>
      <c r="BE25" s="68" t="str">
        <f>IF(main!BQ28="","",ROUND(main!BQ28*100,6))</f>
        <v/>
      </c>
      <c r="BF25" s="68" t="str">
        <f>IF(main!BR28="","",ROUND(main!BR28*100,6))</f>
        <v/>
      </c>
      <c r="BG25" s="68" t="str">
        <f>IF(main!BS28="","",ROUND(main!BS28*100,6))</f>
        <v/>
      </c>
      <c r="BH25" s="68" t="str">
        <f>IF(main!BT28="","",ROUND(main!BT28*100,6))</f>
        <v/>
      </c>
      <c r="BI25" s="68" t="str">
        <f>IF(main!BU28="","",ROUND(main!BU28*100,6))</f>
        <v/>
      </c>
      <c r="BJ25" s="68" t="str">
        <f>IF(main!BV28="","",ROUND(main!BV28*100,6))</f>
        <v/>
      </c>
      <c r="BK25" s="68" t="str">
        <f>IF(main!BW28="","",ROUND(main!BW28*100,6))</f>
        <v/>
      </c>
      <c r="BL25" s="68" t="str">
        <f>IF(main!BX28="","",ROUND(main!BX28*100,6))</f>
        <v/>
      </c>
      <c r="BM25" s="68" t="str">
        <f>IF(main!BY28="","",ROUND(main!BY28*100,6))</f>
        <v/>
      </c>
      <c r="BN25" s="68" t="str">
        <f>IF(main!BZ28="","",ROUND(main!BZ28*100,6))</f>
        <v/>
      </c>
      <c r="BO25" s="68" t="str">
        <f>IF(main!CA28="","",ROUND(main!CA28*100,6))</f>
        <v/>
      </c>
      <c r="BP25" s="68" t="str">
        <f>IF(main!CB28="","",ROUND(main!CB28*100,6))</f>
        <v/>
      </c>
      <c r="BQ25" s="68" t="str">
        <f>IF(main!CC28="","",ROUND(main!CC28*100,6))</f>
        <v/>
      </c>
      <c r="BR25" s="68" t="str">
        <f>IF(main!CD28="","",ROUND(main!CD28*100,6))</f>
        <v/>
      </c>
      <c r="BS25" s="68" t="str">
        <f>IF(main!CE28="","",ROUND(main!CE28*100,6))</f>
        <v/>
      </c>
      <c r="BT25" s="68" t="str">
        <f>IF(main!CF28="","",ROUND(main!CF28*100,6))</f>
        <v/>
      </c>
      <c r="BU25" s="68" t="str">
        <f>IF(main!CG28="","",ROUND(main!CG28*100,6))</f>
        <v/>
      </c>
      <c r="BV25" s="68" t="str">
        <f>IF(main!CH28="","",ROUND(main!CH28*100,6))</f>
        <v/>
      </c>
      <c r="BW25" s="68" t="str">
        <f>IF(main!CI28="","",ROUND(main!CI28*100,6))</f>
        <v/>
      </c>
      <c r="BX25" s="68" t="str">
        <f>IF(main!CJ28="","",ROUND(main!CJ28*100,6))</f>
        <v/>
      </c>
      <c r="BY25" s="68" t="str">
        <f>IF(main!CK28="","",ROUND(main!CK28*100,6))</f>
        <v/>
      </c>
      <c r="BZ25" s="68" t="str">
        <f>IF(main!CL28="","",ROUND(main!CL28*100,6))</f>
        <v/>
      </c>
      <c r="CA25" s="68" t="str">
        <f>IF(main!CM28="","",ROUND(main!CM28*100,6))</f>
        <v/>
      </c>
      <c r="CB25" s="68" t="str">
        <f>IF(main!CN28="","",ROUND(main!CN28*100,6))</f>
        <v/>
      </c>
      <c r="CC25" s="68" t="str">
        <f>IF(main!CO28="","",ROUND(main!CO28*100,6))</f>
        <v/>
      </c>
    </row>
    <row r="26" spans="1:81" x14ac:dyDescent="0.25">
      <c r="A26" s="65" t="s">
        <v>142</v>
      </c>
      <c r="B26" s="66" t="str">
        <f>main!C29</f>
        <v>Ground FL</v>
      </c>
      <c r="C26" s="67">
        <f>main!O29</f>
        <v>100000</v>
      </c>
      <c r="D26" s="65" t="s">
        <v>110</v>
      </c>
      <c r="E26" s="68">
        <f t="shared" si="0"/>
        <v>100</v>
      </c>
      <c r="F26" s="68" t="str">
        <f>IF(main!R29="","",ROUND(main!R29*100,6))</f>
        <v/>
      </c>
      <c r="G26" s="68" t="str">
        <f>IF(main!S29="","",ROUND(main!S29*100,6))</f>
        <v/>
      </c>
      <c r="H26" s="68" t="str">
        <f>IF(main!T29="","",ROUND(main!T29*100,6))</f>
        <v/>
      </c>
      <c r="I26" s="68" t="str">
        <f>IF(main!U29="","",ROUND(main!U29*100,6))</f>
        <v/>
      </c>
      <c r="J26" s="68" t="str">
        <f>IF(main!V29="","",ROUND(main!V29*100,6))</f>
        <v/>
      </c>
      <c r="K26" s="68" t="str">
        <f>IF(main!W29="","",ROUND(main!W29*100,6))</f>
        <v/>
      </c>
      <c r="L26" s="68" t="str">
        <f>IF(main!X29="","",ROUND(main!X29*100,6))</f>
        <v/>
      </c>
      <c r="M26" s="68" t="str">
        <f>IF(main!Y29="","",ROUND(main!Y29*100,6))</f>
        <v/>
      </c>
      <c r="N26" s="68" t="str">
        <f>IF(main!Z29="","",ROUND(main!Z29*100,6))</f>
        <v/>
      </c>
      <c r="O26" s="68" t="str">
        <f>IF(main!AA29="","",ROUND(main!AA29*100,6))</f>
        <v/>
      </c>
      <c r="P26" s="68" t="str">
        <f>IF(main!AB29="","",ROUND(main!AB29*100,6))</f>
        <v/>
      </c>
      <c r="Q26" s="68" t="str">
        <f>IF(main!AC29="","",ROUND(main!AC29*100,6))</f>
        <v/>
      </c>
      <c r="R26" s="68" t="str">
        <f>IF(main!AD29="","",ROUND(main!AD29*100,6))</f>
        <v/>
      </c>
      <c r="S26" s="68" t="str">
        <f>IF(main!AE29="","",ROUND(main!AE29*100,6))</f>
        <v/>
      </c>
      <c r="T26" s="68" t="str">
        <f>IF(main!AF29="","",ROUND(main!AF29*100,6))</f>
        <v/>
      </c>
      <c r="U26" s="68" t="str">
        <f>IF(main!AG29="","",ROUND(main!AG29*100,6))</f>
        <v/>
      </c>
      <c r="V26" s="68" t="str">
        <f>IF(main!AH29="","",ROUND(main!AH29*100,6))</f>
        <v/>
      </c>
      <c r="W26" s="68" t="str">
        <f>IF(main!AI29="","",ROUND(main!AI29*100,6))</f>
        <v/>
      </c>
      <c r="X26" s="68" t="str">
        <f>IF(main!AJ29="","",ROUND(main!AJ29*100,6))</f>
        <v/>
      </c>
      <c r="Y26" s="68" t="str">
        <f>IF(main!AK29="","",ROUND(main!AK29*100,6))</f>
        <v/>
      </c>
      <c r="Z26" s="68" t="str">
        <f>IF(main!AL29="","",ROUND(main!AL29*100,6))</f>
        <v/>
      </c>
      <c r="AA26" s="68" t="str">
        <f>IF(main!AM29="","",ROUND(main!AM29*100,6))</f>
        <v/>
      </c>
      <c r="AB26" s="68" t="str">
        <f>IF(main!AN29="","",ROUND(main!AN29*100,6))</f>
        <v/>
      </c>
      <c r="AC26" s="68" t="str">
        <f>IF(main!AO29="","",ROUND(main!AO29*100,6))</f>
        <v/>
      </c>
      <c r="AD26" s="68" t="str">
        <f>IF(main!AP29="","",ROUND(main!AP29*100,6))</f>
        <v/>
      </c>
      <c r="AE26" s="68">
        <f>IF(main!AQ29="","",ROUND(main!AQ29*100,6))</f>
        <v>7.1428570000000002</v>
      </c>
      <c r="AF26" s="68">
        <f>IF(main!AR29="","",ROUND(main!AR29*100,6))</f>
        <v>50</v>
      </c>
      <c r="AG26" s="68">
        <f>IF(main!AS29="","",ROUND(main!AS29*100,6))</f>
        <v>42.857143000000001</v>
      </c>
      <c r="AH26" s="68" t="str">
        <f>IF(main!AT29="","",ROUND(main!AT29*100,6))</f>
        <v/>
      </c>
      <c r="AI26" s="68" t="str">
        <f>IF(main!AU29="","",ROUND(main!AU29*100,6))</f>
        <v/>
      </c>
      <c r="AJ26" s="68" t="str">
        <f>IF(main!AV29="","",ROUND(main!AV29*100,6))</f>
        <v/>
      </c>
      <c r="AK26" s="68" t="str">
        <f>IF(main!AW29="","",ROUND(main!AW29*100,6))</f>
        <v/>
      </c>
      <c r="AL26" s="68" t="str">
        <f>IF(main!AX29="","",ROUND(main!AX29*100,6))</f>
        <v/>
      </c>
      <c r="AM26" s="68" t="str">
        <f>IF(main!AY29="","",ROUND(main!AY29*100,6))</f>
        <v/>
      </c>
      <c r="AN26" s="68" t="str">
        <f>IF(main!AZ29="","",ROUND(main!AZ29*100,6))</f>
        <v/>
      </c>
      <c r="AO26" s="68" t="str">
        <f>IF(main!BA29="","",ROUND(main!BA29*100,6))</f>
        <v/>
      </c>
      <c r="AP26" s="68" t="str">
        <f>IF(main!BB29="","",ROUND(main!BB29*100,6))</f>
        <v/>
      </c>
      <c r="AQ26" s="68" t="str">
        <f>IF(main!BC29="","",ROUND(main!BC29*100,6))</f>
        <v/>
      </c>
      <c r="AR26" s="68" t="str">
        <f>IF(main!BD29="","",ROUND(main!BD29*100,6))</f>
        <v/>
      </c>
      <c r="AS26" s="68" t="str">
        <f>IF(main!BE29="","",ROUND(main!BE29*100,6))</f>
        <v/>
      </c>
      <c r="AT26" s="68" t="str">
        <f>IF(main!BF29="","",ROUND(main!BF29*100,6))</f>
        <v/>
      </c>
      <c r="AU26" s="68" t="str">
        <f>IF(main!BG29="","",ROUND(main!BG29*100,6))</f>
        <v/>
      </c>
      <c r="AV26" s="68" t="str">
        <f>IF(main!BH29="","",ROUND(main!BH29*100,6))</f>
        <v/>
      </c>
      <c r="AW26" s="68" t="str">
        <f>IF(main!BI29="","",ROUND(main!BI29*100,6))</f>
        <v/>
      </c>
      <c r="AX26" s="68" t="str">
        <f>IF(main!BJ29="","",ROUND(main!BJ29*100,6))</f>
        <v/>
      </c>
      <c r="AY26" s="68" t="str">
        <f>IF(main!BK29="","",ROUND(main!BK29*100,6))</f>
        <v/>
      </c>
      <c r="AZ26" s="68" t="str">
        <f>IF(main!BL29="","",ROUND(main!BL29*100,6))</f>
        <v/>
      </c>
      <c r="BA26" s="68" t="str">
        <f>IF(main!BM29="","",ROUND(main!BM29*100,6))</f>
        <v/>
      </c>
      <c r="BB26" s="68" t="str">
        <f>IF(main!BN29="","",ROUND(main!BN29*100,6))</f>
        <v/>
      </c>
      <c r="BC26" s="68" t="str">
        <f>IF(main!BO29="","",ROUND(main!BO29*100,6))</f>
        <v/>
      </c>
      <c r="BD26" s="68" t="str">
        <f>IF(main!BP29="","",ROUND(main!BP29*100,6))</f>
        <v/>
      </c>
      <c r="BE26" s="68" t="str">
        <f>IF(main!BQ29="","",ROUND(main!BQ29*100,6))</f>
        <v/>
      </c>
      <c r="BF26" s="68" t="str">
        <f>IF(main!BR29="","",ROUND(main!BR29*100,6))</f>
        <v/>
      </c>
      <c r="BG26" s="68" t="str">
        <f>IF(main!BS29="","",ROUND(main!BS29*100,6))</f>
        <v/>
      </c>
      <c r="BH26" s="68" t="str">
        <f>IF(main!BT29="","",ROUND(main!BT29*100,6))</f>
        <v/>
      </c>
      <c r="BI26" s="68" t="str">
        <f>IF(main!BU29="","",ROUND(main!BU29*100,6))</f>
        <v/>
      </c>
      <c r="BJ26" s="68" t="str">
        <f>IF(main!BV29="","",ROUND(main!BV29*100,6))</f>
        <v/>
      </c>
      <c r="BK26" s="68" t="str">
        <f>IF(main!BW29="","",ROUND(main!BW29*100,6))</f>
        <v/>
      </c>
      <c r="BL26" s="68" t="str">
        <f>IF(main!BX29="","",ROUND(main!BX29*100,6))</f>
        <v/>
      </c>
      <c r="BM26" s="68" t="str">
        <f>IF(main!BY29="","",ROUND(main!BY29*100,6))</f>
        <v/>
      </c>
      <c r="BN26" s="68" t="str">
        <f>IF(main!BZ29="","",ROUND(main!BZ29*100,6))</f>
        <v/>
      </c>
      <c r="BO26" s="68" t="str">
        <f>IF(main!CA29="","",ROUND(main!CA29*100,6))</f>
        <v/>
      </c>
      <c r="BP26" s="68" t="str">
        <f>IF(main!CB29="","",ROUND(main!CB29*100,6))</f>
        <v/>
      </c>
      <c r="BQ26" s="68" t="str">
        <f>IF(main!CC29="","",ROUND(main!CC29*100,6))</f>
        <v/>
      </c>
      <c r="BR26" s="68" t="str">
        <f>IF(main!CD29="","",ROUND(main!CD29*100,6))</f>
        <v/>
      </c>
      <c r="BS26" s="68" t="str">
        <f>IF(main!CE29="","",ROUND(main!CE29*100,6))</f>
        <v/>
      </c>
      <c r="BT26" s="68" t="str">
        <f>IF(main!CF29="","",ROUND(main!CF29*100,6))</f>
        <v/>
      </c>
      <c r="BU26" s="68" t="str">
        <f>IF(main!CG29="","",ROUND(main!CG29*100,6))</f>
        <v/>
      </c>
      <c r="BV26" s="68" t="str">
        <f>IF(main!CH29="","",ROUND(main!CH29*100,6))</f>
        <v/>
      </c>
      <c r="BW26" s="68" t="str">
        <f>IF(main!CI29="","",ROUND(main!CI29*100,6))</f>
        <v/>
      </c>
      <c r="BX26" s="68" t="str">
        <f>IF(main!CJ29="","",ROUND(main!CJ29*100,6))</f>
        <v/>
      </c>
      <c r="BY26" s="68" t="str">
        <f>IF(main!CK29="","",ROUND(main!CK29*100,6))</f>
        <v/>
      </c>
      <c r="BZ26" s="68" t="str">
        <f>IF(main!CL29="","",ROUND(main!CL29*100,6))</f>
        <v/>
      </c>
      <c r="CA26" s="68" t="str">
        <f>IF(main!CM29="","",ROUND(main!CM29*100,6))</f>
        <v/>
      </c>
      <c r="CB26" s="68" t="str">
        <f>IF(main!CN29="","",ROUND(main!CN29*100,6))</f>
        <v/>
      </c>
      <c r="CC26" s="68" t="str">
        <f>IF(main!CO29="","",ROUND(main!CO29*100,6))</f>
        <v/>
      </c>
    </row>
    <row r="27" spans="1:81" x14ac:dyDescent="0.25">
      <c r="A27" s="65" t="s">
        <v>142</v>
      </c>
      <c r="B27" s="66" t="str">
        <f>main!C29</f>
        <v>Ground FL</v>
      </c>
      <c r="C27" s="67">
        <f>main!O29</f>
        <v>100000</v>
      </c>
      <c r="D27" s="65" t="s">
        <v>111</v>
      </c>
      <c r="E27" s="68" t="str">
        <f t="shared" si="0"/>
        <v/>
      </c>
      <c r="F27" s="68" t="str">
        <f>IF(main!R30="","",ROUND(main!R30*100,6))</f>
        <v/>
      </c>
      <c r="G27" s="68" t="str">
        <f>IF(main!S30="","",ROUND(main!S30*100,6))</f>
        <v/>
      </c>
      <c r="H27" s="68" t="str">
        <f>IF(main!T30="","",ROUND(main!T30*100,6))</f>
        <v/>
      </c>
      <c r="I27" s="68" t="str">
        <f>IF(main!U30="","",ROUND(main!U30*100,6))</f>
        <v/>
      </c>
      <c r="J27" s="68" t="str">
        <f>IF(main!V30="","",ROUND(main!V30*100,6))</f>
        <v/>
      </c>
      <c r="K27" s="68" t="str">
        <f>IF(main!W30="","",ROUND(main!W30*100,6))</f>
        <v/>
      </c>
      <c r="L27" s="68" t="str">
        <f>IF(main!X30="","",ROUND(main!X30*100,6))</f>
        <v/>
      </c>
      <c r="M27" s="68" t="str">
        <f>IF(main!Y30="","",ROUND(main!Y30*100,6))</f>
        <v/>
      </c>
      <c r="N27" s="68" t="str">
        <f>IF(main!Z30="","",ROUND(main!Z30*100,6))</f>
        <v/>
      </c>
      <c r="O27" s="68" t="str">
        <f>IF(main!AA30="","",ROUND(main!AA30*100,6))</f>
        <v/>
      </c>
      <c r="P27" s="68" t="str">
        <f>IF(main!AB30="","",ROUND(main!AB30*100,6))</f>
        <v/>
      </c>
      <c r="Q27" s="68" t="str">
        <f>IF(main!AC30="","",ROUND(main!AC30*100,6))</f>
        <v/>
      </c>
      <c r="R27" s="68" t="str">
        <f>IF(main!AD30="","",ROUND(main!AD30*100,6))</f>
        <v/>
      </c>
      <c r="S27" s="68" t="str">
        <f>IF(main!AE30="","",ROUND(main!AE30*100,6))</f>
        <v/>
      </c>
      <c r="T27" s="68" t="str">
        <f>IF(main!AF30="","",ROUND(main!AF30*100,6))</f>
        <v/>
      </c>
      <c r="U27" s="68" t="str">
        <f>IF(main!AG30="","",ROUND(main!AG30*100,6))</f>
        <v/>
      </c>
      <c r="V27" s="68" t="str">
        <f>IF(main!AH30="","",ROUND(main!AH30*100,6))</f>
        <v/>
      </c>
      <c r="W27" s="68" t="str">
        <f>IF(main!AI30="","",ROUND(main!AI30*100,6))</f>
        <v/>
      </c>
      <c r="X27" s="68" t="str">
        <f>IF(main!AJ30="","",ROUND(main!AJ30*100,6))</f>
        <v/>
      </c>
      <c r="Y27" s="68" t="str">
        <f>IF(main!AK30="","",ROUND(main!AK30*100,6))</f>
        <v/>
      </c>
      <c r="Z27" s="68" t="str">
        <f>IF(main!AL30="","",ROUND(main!AL30*100,6))</f>
        <v/>
      </c>
      <c r="AA27" s="68" t="str">
        <f>IF(main!AM30="","",ROUND(main!AM30*100,6))</f>
        <v/>
      </c>
      <c r="AB27" s="68" t="str">
        <f>IF(main!AN30="","",ROUND(main!AN30*100,6))</f>
        <v/>
      </c>
      <c r="AC27" s="68" t="str">
        <f>IF(main!AO30="","",ROUND(main!AO30*100,6))</f>
        <v/>
      </c>
      <c r="AD27" s="68" t="str">
        <f>IF(main!AP30="","",ROUND(main!AP30*100,6))</f>
        <v/>
      </c>
      <c r="AE27" s="68" t="str">
        <f>IF(main!AQ30="","",ROUND(main!AQ30*100,6))</f>
        <v/>
      </c>
      <c r="AF27" s="68" t="str">
        <f>IF(main!AR30="","",ROUND(main!AR30*100,6))</f>
        <v/>
      </c>
      <c r="AG27" s="68" t="str">
        <f>IF(main!AS30="","",ROUND(main!AS30*100,6))</f>
        <v/>
      </c>
      <c r="AH27" s="68" t="str">
        <f>IF(main!AT30="","",ROUND(main!AT30*100,6))</f>
        <v/>
      </c>
      <c r="AI27" s="68" t="str">
        <f>IF(main!AU30="","",ROUND(main!AU30*100,6))</f>
        <v/>
      </c>
      <c r="AJ27" s="68" t="str">
        <f>IF(main!AV30="","",ROUND(main!AV30*100,6))</f>
        <v/>
      </c>
      <c r="AK27" s="68" t="str">
        <f>IF(main!AW30="","",ROUND(main!AW30*100,6))</f>
        <v/>
      </c>
      <c r="AL27" s="68" t="str">
        <f>IF(main!AX30="","",ROUND(main!AX30*100,6))</f>
        <v/>
      </c>
      <c r="AM27" s="68" t="str">
        <f>IF(main!AY30="","",ROUND(main!AY30*100,6))</f>
        <v/>
      </c>
      <c r="AN27" s="68" t="str">
        <f>IF(main!AZ30="","",ROUND(main!AZ30*100,6))</f>
        <v/>
      </c>
      <c r="AO27" s="68" t="str">
        <f>IF(main!BA30="","",ROUND(main!BA30*100,6))</f>
        <v/>
      </c>
      <c r="AP27" s="68" t="str">
        <f>IF(main!BB30="","",ROUND(main!BB30*100,6))</f>
        <v/>
      </c>
      <c r="AQ27" s="68" t="str">
        <f>IF(main!BC30="","",ROUND(main!BC30*100,6))</f>
        <v/>
      </c>
      <c r="AR27" s="68" t="str">
        <f>IF(main!BD30="","",ROUND(main!BD30*100,6))</f>
        <v/>
      </c>
      <c r="AS27" s="68" t="str">
        <f>IF(main!BE30="","",ROUND(main!BE30*100,6))</f>
        <v/>
      </c>
      <c r="AT27" s="68" t="str">
        <f>IF(main!BF30="","",ROUND(main!BF30*100,6))</f>
        <v/>
      </c>
      <c r="AU27" s="68" t="str">
        <f>IF(main!BG30="","",ROUND(main!BG30*100,6))</f>
        <v/>
      </c>
      <c r="AV27" s="68" t="str">
        <f>IF(main!BH30="","",ROUND(main!BH30*100,6))</f>
        <v/>
      </c>
      <c r="AW27" s="68" t="str">
        <f>IF(main!BI30="","",ROUND(main!BI30*100,6))</f>
        <v/>
      </c>
      <c r="AX27" s="68" t="str">
        <f>IF(main!BJ30="","",ROUND(main!BJ30*100,6))</f>
        <v/>
      </c>
      <c r="AY27" s="68" t="str">
        <f>IF(main!BK30="","",ROUND(main!BK30*100,6))</f>
        <v/>
      </c>
      <c r="AZ27" s="68" t="str">
        <f>IF(main!BL30="","",ROUND(main!BL30*100,6))</f>
        <v/>
      </c>
      <c r="BA27" s="68" t="str">
        <f>IF(main!BM30="","",ROUND(main!BM30*100,6))</f>
        <v/>
      </c>
      <c r="BB27" s="68" t="str">
        <f>IF(main!BN30="","",ROUND(main!BN30*100,6))</f>
        <v/>
      </c>
      <c r="BC27" s="68" t="str">
        <f>IF(main!BO30="","",ROUND(main!BO30*100,6))</f>
        <v/>
      </c>
      <c r="BD27" s="68" t="str">
        <f>IF(main!BP30="","",ROUND(main!BP30*100,6))</f>
        <v/>
      </c>
      <c r="BE27" s="68" t="str">
        <f>IF(main!BQ30="","",ROUND(main!BQ30*100,6))</f>
        <v/>
      </c>
      <c r="BF27" s="68" t="str">
        <f>IF(main!BR30="","",ROUND(main!BR30*100,6))</f>
        <v/>
      </c>
      <c r="BG27" s="68" t="str">
        <f>IF(main!BS30="","",ROUND(main!BS30*100,6))</f>
        <v/>
      </c>
      <c r="BH27" s="68" t="str">
        <f>IF(main!BT30="","",ROUND(main!BT30*100,6))</f>
        <v/>
      </c>
      <c r="BI27" s="68" t="str">
        <f>IF(main!BU30="","",ROUND(main!BU30*100,6))</f>
        <v/>
      </c>
      <c r="BJ27" s="68" t="str">
        <f>IF(main!BV30="","",ROUND(main!BV30*100,6))</f>
        <v/>
      </c>
      <c r="BK27" s="68" t="str">
        <f>IF(main!BW30="","",ROUND(main!BW30*100,6))</f>
        <v/>
      </c>
      <c r="BL27" s="68" t="str">
        <f>IF(main!BX30="","",ROUND(main!BX30*100,6))</f>
        <v/>
      </c>
      <c r="BM27" s="68" t="str">
        <f>IF(main!BY30="","",ROUND(main!BY30*100,6))</f>
        <v/>
      </c>
      <c r="BN27" s="68" t="str">
        <f>IF(main!BZ30="","",ROUND(main!BZ30*100,6))</f>
        <v/>
      </c>
      <c r="BO27" s="68" t="str">
        <f>IF(main!CA30="","",ROUND(main!CA30*100,6))</f>
        <v/>
      </c>
      <c r="BP27" s="68" t="str">
        <f>IF(main!CB30="","",ROUND(main!CB30*100,6))</f>
        <v/>
      </c>
      <c r="BQ27" s="68" t="str">
        <f>IF(main!CC30="","",ROUND(main!CC30*100,6))</f>
        <v/>
      </c>
      <c r="BR27" s="68" t="str">
        <f>IF(main!CD30="","",ROUND(main!CD30*100,6))</f>
        <v/>
      </c>
      <c r="BS27" s="68" t="str">
        <f>IF(main!CE30="","",ROUND(main!CE30*100,6))</f>
        <v/>
      </c>
      <c r="BT27" s="68" t="str">
        <f>IF(main!CF30="","",ROUND(main!CF30*100,6))</f>
        <v/>
      </c>
      <c r="BU27" s="68" t="str">
        <f>IF(main!CG30="","",ROUND(main!CG30*100,6))</f>
        <v/>
      </c>
      <c r="BV27" s="68" t="str">
        <f>IF(main!CH30="","",ROUND(main!CH30*100,6))</f>
        <v/>
      </c>
      <c r="BW27" s="68" t="str">
        <f>IF(main!CI30="","",ROUND(main!CI30*100,6))</f>
        <v/>
      </c>
      <c r="BX27" s="68" t="str">
        <f>IF(main!CJ30="","",ROUND(main!CJ30*100,6))</f>
        <v/>
      </c>
      <c r="BY27" s="68" t="str">
        <f>IF(main!CK30="","",ROUND(main!CK30*100,6))</f>
        <v/>
      </c>
      <c r="BZ27" s="68" t="str">
        <f>IF(main!CL30="","",ROUND(main!CL30*100,6))</f>
        <v/>
      </c>
      <c r="CA27" s="68" t="str">
        <f>IF(main!CM30="","",ROUND(main!CM30*100,6))</f>
        <v/>
      </c>
      <c r="CB27" s="68" t="str">
        <f>IF(main!CN30="","",ROUND(main!CN30*100,6))</f>
        <v/>
      </c>
      <c r="CC27" s="68" t="str">
        <f>IF(main!CO30="","",ROUND(main!CO30*100,6))</f>
        <v/>
      </c>
    </row>
    <row r="28" spans="1:81" x14ac:dyDescent="0.25">
      <c r="A28" s="65" t="s">
        <v>145</v>
      </c>
      <c r="B28" s="66" t="str">
        <f>main!C31</f>
        <v>2nd FL</v>
      </c>
      <c r="C28" s="67">
        <f>main!O31</f>
        <v>100000</v>
      </c>
      <c r="D28" s="65" t="s">
        <v>110</v>
      </c>
      <c r="E28" s="68">
        <f t="shared" si="0"/>
        <v>100</v>
      </c>
      <c r="F28" s="68" t="str">
        <f>IF(main!R31="","",ROUND(main!R31*100,6))</f>
        <v/>
      </c>
      <c r="G28" s="68" t="str">
        <f>IF(main!S31="","",ROUND(main!S31*100,6))</f>
        <v/>
      </c>
      <c r="H28" s="68" t="str">
        <f>IF(main!T31="","",ROUND(main!T31*100,6))</f>
        <v/>
      </c>
      <c r="I28" s="68" t="str">
        <f>IF(main!U31="","",ROUND(main!U31*100,6))</f>
        <v/>
      </c>
      <c r="J28" s="68" t="str">
        <f>IF(main!V31="","",ROUND(main!V31*100,6))</f>
        <v/>
      </c>
      <c r="K28" s="68" t="str">
        <f>IF(main!W31="","",ROUND(main!W31*100,6))</f>
        <v/>
      </c>
      <c r="L28" s="68" t="str">
        <f>IF(main!X31="","",ROUND(main!X31*100,6))</f>
        <v/>
      </c>
      <c r="M28" s="68" t="str">
        <f>IF(main!Y31="","",ROUND(main!Y31*100,6))</f>
        <v/>
      </c>
      <c r="N28" s="68" t="str">
        <f>IF(main!Z31="","",ROUND(main!Z31*100,6))</f>
        <v/>
      </c>
      <c r="O28" s="68" t="str">
        <f>IF(main!AA31="","",ROUND(main!AA31*100,6))</f>
        <v/>
      </c>
      <c r="P28" s="68" t="str">
        <f>IF(main!AB31="","",ROUND(main!AB31*100,6))</f>
        <v/>
      </c>
      <c r="Q28" s="68" t="str">
        <f>IF(main!AC31="","",ROUND(main!AC31*100,6))</f>
        <v/>
      </c>
      <c r="R28" s="68" t="str">
        <f>IF(main!AD31="","",ROUND(main!AD31*100,6))</f>
        <v/>
      </c>
      <c r="S28" s="68" t="str">
        <f>IF(main!AE31="","",ROUND(main!AE31*100,6))</f>
        <v/>
      </c>
      <c r="T28" s="68" t="str">
        <f>IF(main!AF31="","",ROUND(main!AF31*100,6))</f>
        <v/>
      </c>
      <c r="U28" s="68" t="str">
        <f>IF(main!AG31="","",ROUND(main!AG31*100,6))</f>
        <v/>
      </c>
      <c r="V28" s="68" t="str">
        <f>IF(main!AH31="","",ROUND(main!AH31*100,6))</f>
        <v/>
      </c>
      <c r="W28" s="68" t="str">
        <f>IF(main!AI31="","",ROUND(main!AI31*100,6))</f>
        <v/>
      </c>
      <c r="X28" s="68" t="str">
        <f>IF(main!AJ31="","",ROUND(main!AJ31*100,6))</f>
        <v/>
      </c>
      <c r="Y28" s="68" t="str">
        <f>IF(main!AK31="","",ROUND(main!AK31*100,6))</f>
        <v/>
      </c>
      <c r="Z28" s="68" t="str">
        <f>IF(main!AL31="","",ROUND(main!AL31*100,6))</f>
        <v/>
      </c>
      <c r="AA28" s="68" t="str">
        <f>IF(main!AM31="","",ROUND(main!AM31*100,6))</f>
        <v/>
      </c>
      <c r="AB28" s="68" t="str">
        <f>IF(main!AN31="","",ROUND(main!AN31*100,6))</f>
        <v/>
      </c>
      <c r="AC28" s="68" t="str">
        <f>IF(main!AO31="","",ROUND(main!AO31*100,6))</f>
        <v/>
      </c>
      <c r="AD28" s="68" t="str">
        <f>IF(main!AP31="","",ROUND(main!AP31*100,6))</f>
        <v/>
      </c>
      <c r="AE28" s="68" t="str">
        <f>IF(main!AQ31="","",ROUND(main!AQ31*100,6))</f>
        <v/>
      </c>
      <c r="AF28" s="68" t="str">
        <f>IF(main!AR31="","",ROUND(main!AR31*100,6))</f>
        <v/>
      </c>
      <c r="AG28" s="68">
        <f>IF(main!AS31="","",ROUND(main!AS31*100,6))</f>
        <v>7.1428570000000002</v>
      </c>
      <c r="AH28" s="68">
        <f>IF(main!AT31="","",ROUND(main!AT31*100,6))</f>
        <v>50</v>
      </c>
      <c r="AI28" s="68">
        <f>IF(main!AU31="","",ROUND(main!AU31*100,6))</f>
        <v>42.857143000000001</v>
      </c>
      <c r="AJ28" s="68" t="str">
        <f>IF(main!AV31="","",ROUND(main!AV31*100,6))</f>
        <v/>
      </c>
      <c r="AK28" s="68" t="str">
        <f>IF(main!AW31="","",ROUND(main!AW31*100,6))</f>
        <v/>
      </c>
      <c r="AL28" s="68" t="str">
        <f>IF(main!AX31="","",ROUND(main!AX31*100,6))</f>
        <v/>
      </c>
      <c r="AM28" s="68" t="str">
        <f>IF(main!AY31="","",ROUND(main!AY31*100,6))</f>
        <v/>
      </c>
      <c r="AN28" s="68" t="str">
        <f>IF(main!AZ31="","",ROUND(main!AZ31*100,6))</f>
        <v/>
      </c>
      <c r="AO28" s="68" t="str">
        <f>IF(main!BA31="","",ROUND(main!BA31*100,6))</f>
        <v/>
      </c>
      <c r="AP28" s="68" t="str">
        <f>IF(main!BB31="","",ROUND(main!BB31*100,6))</f>
        <v/>
      </c>
      <c r="AQ28" s="68" t="str">
        <f>IF(main!BC31="","",ROUND(main!BC31*100,6))</f>
        <v/>
      </c>
      <c r="AR28" s="68" t="str">
        <f>IF(main!BD31="","",ROUND(main!BD31*100,6))</f>
        <v/>
      </c>
      <c r="AS28" s="68" t="str">
        <f>IF(main!BE31="","",ROUND(main!BE31*100,6))</f>
        <v/>
      </c>
      <c r="AT28" s="68" t="str">
        <f>IF(main!BF31="","",ROUND(main!BF31*100,6))</f>
        <v/>
      </c>
      <c r="AU28" s="68" t="str">
        <f>IF(main!BG31="","",ROUND(main!BG31*100,6))</f>
        <v/>
      </c>
      <c r="AV28" s="68" t="str">
        <f>IF(main!BH31="","",ROUND(main!BH31*100,6))</f>
        <v/>
      </c>
      <c r="AW28" s="68" t="str">
        <f>IF(main!BI31="","",ROUND(main!BI31*100,6))</f>
        <v/>
      </c>
      <c r="AX28" s="68" t="str">
        <f>IF(main!BJ31="","",ROUND(main!BJ31*100,6))</f>
        <v/>
      </c>
      <c r="AY28" s="68" t="str">
        <f>IF(main!BK31="","",ROUND(main!BK31*100,6))</f>
        <v/>
      </c>
      <c r="AZ28" s="68" t="str">
        <f>IF(main!BL31="","",ROUND(main!BL31*100,6))</f>
        <v/>
      </c>
      <c r="BA28" s="68" t="str">
        <f>IF(main!BM31="","",ROUND(main!BM31*100,6))</f>
        <v/>
      </c>
      <c r="BB28" s="68" t="str">
        <f>IF(main!BN31="","",ROUND(main!BN31*100,6))</f>
        <v/>
      </c>
      <c r="BC28" s="68" t="str">
        <f>IF(main!BO31="","",ROUND(main!BO31*100,6))</f>
        <v/>
      </c>
      <c r="BD28" s="68" t="str">
        <f>IF(main!BP31="","",ROUND(main!BP31*100,6))</f>
        <v/>
      </c>
      <c r="BE28" s="68" t="str">
        <f>IF(main!BQ31="","",ROUND(main!BQ31*100,6))</f>
        <v/>
      </c>
      <c r="BF28" s="68" t="str">
        <f>IF(main!BR31="","",ROUND(main!BR31*100,6))</f>
        <v/>
      </c>
      <c r="BG28" s="68" t="str">
        <f>IF(main!BS31="","",ROUND(main!BS31*100,6))</f>
        <v/>
      </c>
      <c r="BH28" s="68" t="str">
        <f>IF(main!BT31="","",ROUND(main!BT31*100,6))</f>
        <v/>
      </c>
      <c r="BI28" s="68" t="str">
        <f>IF(main!BU31="","",ROUND(main!BU31*100,6))</f>
        <v/>
      </c>
      <c r="BJ28" s="68" t="str">
        <f>IF(main!BV31="","",ROUND(main!BV31*100,6))</f>
        <v/>
      </c>
      <c r="BK28" s="68" t="str">
        <f>IF(main!BW31="","",ROUND(main!BW31*100,6))</f>
        <v/>
      </c>
      <c r="BL28" s="68" t="str">
        <f>IF(main!BX31="","",ROUND(main!BX31*100,6))</f>
        <v/>
      </c>
      <c r="BM28" s="68" t="str">
        <f>IF(main!BY31="","",ROUND(main!BY31*100,6))</f>
        <v/>
      </c>
      <c r="BN28" s="68" t="str">
        <f>IF(main!BZ31="","",ROUND(main!BZ31*100,6))</f>
        <v/>
      </c>
      <c r="BO28" s="68" t="str">
        <f>IF(main!CA31="","",ROUND(main!CA31*100,6))</f>
        <v/>
      </c>
      <c r="BP28" s="68" t="str">
        <f>IF(main!CB31="","",ROUND(main!CB31*100,6))</f>
        <v/>
      </c>
      <c r="BQ28" s="68" t="str">
        <f>IF(main!CC31="","",ROUND(main!CC31*100,6))</f>
        <v/>
      </c>
      <c r="BR28" s="68" t="str">
        <f>IF(main!CD31="","",ROUND(main!CD31*100,6))</f>
        <v/>
      </c>
      <c r="BS28" s="68" t="str">
        <f>IF(main!CE31="","",ROUND(main!CE31*100,6))</f>
        <v/>
      </c>
      <c r="BT28" s="68" t="str">
        <f>IF(main!CF31="","",ROUND(main!CF31*100,6))</f>
        <v/>
      </c>
      <c r="BU28" s="68" t="str">
        <f>IF(main!CG31="","",ROUND(main!CG31*100,6))</f>
        <v/>
      </c>
      <c r="BV28" s="68" t="str">
        <f>IF(main!CH31="","",ROUND(main!CH31*100,6))</f>
        <v/>
      </c>
      <c r="BW28" s="68" t="str">
        <f>IF(main!CI31="","",ROUND(main!CI31*100,6))</f>
        <v/>
      </c>
      <c r="BX28" s="68" t="str">
        <f>IF(main!CJ31="","",ROUND(main!CJ31*100,6))</f>
        <v/>
      </c>
      <c r="BY28" s="68" t="str">
        <f>IF(main!CK31="","",ROUND(main!CK31*100,6))</f>
        <v/>
      </c>
      <c r="BZ28" s="68" t="str">
        <f>IF(main!CL31="","",ROUND(main!CL31*100,6))</f>
        <v/>
      </c>
      <c r="CA28" s="68" t="str">
        <f>IF(main!CM31="","",ROUND(main!CM31*100,6))</f>
        <v/>
      </c>
      <c r="CB28" s="68" t="str">
        <f>IF(main!CN31="","",ROUND(main!CN31*100,6))</f>
        <v/>
      </c>
      <c r="CC28" s="68" t="str">
        <f>IF(main!CO31="","",ROUND(main!CO31*100,6))</f>
        <v/>
      </c>
    </row>
    <row r="29" spans="1:81" x14ac:dyDescent="0.25">
      <c r="A29" s="65" t="s">
        <v>145</v>
      </c>
      <c r="B29" s="66" t="str">
        <f>main!C31</f>
        <v>2nd FL</v>
      </c>
      <c r="C29" s="67">
        <f>main!O31</f>
        <v>100000</v>
      </c>
      <c r="D29" s="65" t="s">
        <v>111</v>
      </c>
      <c r="E29" s="68" t="str">
        <f t="shared" si="0"/>
        <v/>
      </c>
      <c r="F29" s="68" t="str">
        <f>IF(main!R32="","",ROUND(main!R32*100,6))</f>
        <v/>
      </c>
      <c r="G29" s="68" t="str">
        <f>IF(main!S32="","",ROUND(main!S32*100,6))</f>
        <v/>
      </c>
      <c r="H29" s="68" t="str">
        <f>IF(main!T32="","",ROUND(main!T32*100,6))</f>
        <v/>
      </c>
      <c r="I29" s="68" t="str">
        <f>IF(main!U32="","",ROUND(main!U32*100,6))</f>
        <v/>
      </c>
      <c r="J29" s="68" t="str">
        <f>IF(main!V32="","",ROUND(main!V32*100,6))</f>
        <v/>
      </c>
      <c r="K29" s="68" t="str">
        <f>IF(main!W32="","",ROUND(main!W32*100,6))</f>
        <v/>
      </c>
      <c r="L29" s="68" t="str">
        <f>IF(main!X32="","",ROUND(main!X32*100,6))</f>
        <v/>
      </c>
      <c r="M29" s="68" t="str">
        <f>IF(main!Y32="","",ROUND(main!Y32*100,6))</f>
        <v/>
      </c>
      <c r="N29" s="68" t="str">
        <f>IF(main!Z32="","",ROUND(main!Z32*100,6))</f>
        <v/>
      </c>
      <c r="O29" s="68" t="str">
        <f>IF(main!AA32="","",ROUND(main!AA32*100,6))</f>
        <v/>
      </c>
      <c r="P29" s="68" t="str">
        <f>IF(main!AB32="","",ROUND(main!AB32*100,6))</f>
        <v/>
      </c>
      <c r="Q29" s="68" t="str">
        <f>IF(main!AC32="","",ROUND(main!AC32*100,6))</f>
        <v/>
      </c>
      <c r="R29" s="68" t="str">
        <f>IF(main!AD32="","",ROUND(main!AD32*100,6))</f>
        <v/>
      </c>
      <c r="S29" s="68" t="str">
        <f>IF(main!AE32="","",ROUND(main!AE32*100,6))</f>
        <v/>
      </c>
      <c r="T29" s="68" t="str">
        <f>IF(main!AF32="","",ROUND(main!AF32*100,6))</f>
        <v/>
      </c>
      <c r="U29" s="68" t="str">
        <f>IF(main!AG32="","",ROUND(main!AG32*100,6))</f>
        <v/>
      </c>
      <c r="V29" s="68" t="str">
        <f>IF(main!AH32="","",ROUND(main!AH32*100,6))</f>
        <v/>
      </c>
      <c r="W29" s="68" t="str">
        <f>IF(main!AI32="","",ROUND(main!AI32*100,6))</f>
        <v/>
      </c>
      <c r="X29" s="68" t="str">
        <f>IF(main!AJ32="","",ROUND(main!AJ32*100,6))</f>
        <v/>
      </c>
      <c r="Y29" s="68" t="str">
        <f>IF(main!AK32="","",ROUND(main!AK32*100,6))</f>
        <v/>
      </c>
      <c r="Z29" s="68" t="str">
        <f>IF(main!AL32="","",ROUND(main!AL32*100,6))</f>
        <v/>
      </c>
      <c r="AA29" s="68" t="str">
        <f>IF(main!AM32="","",ROUND(main!AM32*100,6))</f>
        <v/>
      </c>
      <c r="AB29" s="68" t="str">
        <f>IF(main!AN32="","",ROUND(main!AN32*100,6))</f>
        <v/>
      </c>
      <c r="AC29" s="68" t="str">
        <f>IF(main!AO32="","",ROUND(main!AO32*100,6))</f>
        <v/>
      </c>
      <c r="AD29" s="68" t="str">
        <f>IF(main!AP32="","",ROUND(main!AP32*100,6))</f>
        <v/>
      </c>
      <c r="AE29" s="68" t="str">
        <f>IF(main!AQ32="","",ROUND(main!AQ32*100,6))</f>
        <v/>
      </c>
      <c r="AF29" s="68" t="str">
        <f>IF(main!AR32="","",ROUND(main!AR32*100,6))</f>
        <v/>
      </c>
      <c r="AG29" s="68" t="str">
        <f>IF(main!AS32="","",ROUND(main!AS32*100,6))</f>
        <v/>
      </c>
      <c r="AH29" s="68" t="str">
        <f>IF(main!AT32="","",ROUND(main!AT32*100,6))</f>
        <v/>
      </c>
      <c r="AI29" s="68" t="str">
        <f>IF(main!AU32="","",ROUND(main!AU32*100,6))</f>
        <v/>
      </c>
      <c r="AJ29" s="68" t="str">
        <f>IF(main!AV32="","",ROUND(main!AV32*100,6))</f>
        <v/>
      </c>
      <c r="AK29" s="68" t="str">
        <f>IF(main!AW32="","",ROUND(main!AW32*100,6))</f>
        <v/>
      </c>
      <c r="AL29" s="68" t="str">
        <f>IF(main!AX32="","",ROUND(main!AX32*100,6))</f>
        <v/>
      </c>
      <c r="AM29" s="68" t="str">
        <f>IF(main!AY32="","",ROUND(main!AY32*100,6))</f>
        <v/>
      </c>
      <c r="AN29" s="68" t="str">
        <f>IF(main!AZ32="","",ROUND(main!AZ32*100,6))</f>
        <v/>
      </c>
      <c r="AO29" s="68" t="str">
        <f>IF(main!BA32="","",ROUND(main!BA32*100,6))</f>
        <v/>
      </c>
      <c r="AP29" s="68" t="str">
        <f>IF(main!BB32="","",ROUND(main!BB32*100,6))</f>
        <v/>
      </c>
      <c r="AQ29" s="68" t="str">
        <f>IF(main!BC32="","",ROUND(main!BC32*100,6))</f>
        <v/>
      </c>
      <c r="AR29" s="68" t="str">
        <f>IF(main!BD32="","",ROUND(main!BD32*100,6))</f>
        <v/>
      </c>
      <c r="AS29" s="68" t="str">
        <f>IF(main!BE32="","",ROUND(main!BE32*100,6))</f>
        <v/>
      </c>
      <c r="AT29" s="68" t="str">
        <f>IF(main!BF32="","",ROUND(main!BF32*100,6))</f>
        <v/>
      </c>
      <c r="AU29" s="68" t="str">
        <f>IF(main!BG32="","",ROUND(main!BG32*100,6))</f>
        <v/>
      </c>
      <c r="AV29" s="68" t="str">
        <f>IF(main!BH32="","",ROUND(main!BH32*100,6))</f>
        <v/>
      </c>
      <c r="AW29" s="68" t="str">
        <f>IF(main!BI32="","",ROUND(main!BI32*100,6))</f>
        <v/>
      </c>
      <c r="AX29" s="68" t="str">
        <f>IF(main!BJ32="","",ROUND(main!BJ32*100,6))</f>
        <v/>
      </c>
      <c r="AY29" s="68" t="str">
        <f>IF(main!BK32="","",ROUND(main!BK32*100,6))</f>
        <v/>
      </c>
      <c r="AZ29" s="68" t="str">
        <f>IF(main!BL32="","",ROUND(main!BL32*100,6))</f>
        <v/>
      </c>
      <c r="BA29" s="68" t="str">
        <f>IF(main!BM32="","",ROUND(main!BM32*100,6))</f>
        <v/>
      </c>
      <c r="BB29" s="68" t="str">
        <f>IF(main!BN32="","",ROUND(main!BN32*100,6))</f>
        <v/>
      </c>
      <c r="BC29" s="68" t="str">
        <f>IF(main!BO32="","",ROUND(main!BO32*100,6))</f>
        <v/>
      </c>
      <c r="BD29" s="68" t="str">
        <f>IF(main!BP32="","",ROUND(main!BP32*100,6))</f>
        <v/>
      </c>
      <c r="BE29" s="68" t="str">
        <f>IF(main!BQ32="","",ROUND(main!BQ32*100,6))</f>
        <v/>
      </c>
      <c r="BF29" s="68" t="str">
        <f>IF(main!BR32="","",ROUND(main!BR32*100,6))</f>
        <v/>
      </c>
      <c r="BG29" s="68" t="str">
        <f>IF(main!BS32="","",ROUND(main!BS32*100,6))</f>
        <v/>
      </c>
      <c r="BH29" s="68" t="str">
        <f>IF(main!BT32="","",ROUND(main!BT32*100,6))</f>
        <v/>
      </c>
      <c r="BI29" s="68" t="str">
        <f>IF(main!BU32="","",ROUND(main!BU32*100,6))</f>
        <v/>
      </c>
      <c r="BJ29" s="68" t="str">
        <f>IF(main!BV32="","",ROUND(main!BV32*100,6))</f>
        <v/>
      </c>
      <c r="BK29" s="68" t="str">
        <f>IF(main!BW32="","",ROUND(main!BW32*100,6))</f>
        <v/>
      </c>
      <c r="BL29" s="68" t="str">
        <f>IF(main!BX32="","",ROUND(main!BX32*100,6))</f>
        <v/>
      </c>
      <c r="BM29" s="68" t="str">
        <f>IF(main!BY32="","",ROUND(main!BY32*100,6))</f>
        <v/>
      </c>
      <c r="BN29" s="68" t="str">
        <f>IF(main!BZ32="","",ROUND(main!BZ32*100,6))</f>
        <v/>
      </c>
      <c r="BO29" s="68" t="str">
        <f>IF(main!CA32="","",ROUND(main!CA32*100,6))</f>
        <v/>
      </c>
      <c r="BP29" s="68" t="str">
        <f>IF(main!CB32="","",ROUND(main!CB32*100,6))</f>
        <v/>
      </c>
      <c r="BQ29" s="68" t="str">
        <f>IF(main!CC32="","",ROUND(main!CC32*100,6))</f>
        <v/>
      </c>
      <c r="BR29" s="68" t="str">
        <f>IF(main!CD32="","",ROUND(main!CD32*100,6))</f>
        <v/>
      </c>
      <c r="BS29" s="68" t="str">
        <f>IF(main!CE32="","",ROUND(main!CE32*100,6))</f>
        <v/>
      </c>
      <c r="BT29" s="68" t="str">
        <f>IF(main!CF32="","",ROUND(main!CF32*100,6))</f>
        <v/>
      </c>
      <c r="BU29" s="68" t="str">
        <f>IF(main!CG32="","",ROUND(main!CG32*100,6))</f>
        <v/>
      </c>
      <c r="BV29" s="68" t="str">
        <f>IF(main!CH32="","",ROUND(main!CH32*100,6))</f>
        <v/>
      </c>
      <c r="BW29" s="68" t="str">
        <f>IF(main!CI32="","",ROUND(main!CI32*100,6))</f>
        <v/>
      </c>
      <c r="BX29" s="68" t="str">
        <f>IF(main!CJ32="","",ROUND(main!CJ32*100,6))</f>
        <v/>
      </c>
      <c r="BY29" s="68" t="str">
        <f>IF(main!CK32="","",ROUND(main!CK32*100,6))</f>
        <v/>
      </c>
      <c r="BZ29" s="68" t="str">
        <f>IF(main!CL32="","",ROUND(main!CL32*100,6))</f>
        <v/>
      </c>
      <c r="CA29" s="68" t="str">
        <f>IF(main!CM32="","",ROUND(main!CM32*100,6))</f>
        <v/>
      </c>
      <c r="CB29" s="68" t="str">
        <f>IF(main!CN32="","",ROUND(main!CN32*100,6))</f>
        <v/>
      </c>
      <c r="CC29" s="68" t="str">
        <f>IF(main!CO32="","",ROUND(main!CO32*100,6))</f>
        <v/>
      </c>
    </row>
    <row r="30" spans="1:81" x14ac:dyDescent="0.25">
      <c r="A30" s="65" t="s">
        <v>148</v>
      </c>
      <c r="B30" s="66" t="str">
        <f>main!C33</f>
        <v>3rd FL</v>
      </c>
      <c r="C30" s="67">
        <f>main!O33</f>
        <v>100000</v>
      </c>
      <c r="D30" s="65" t="s">
        <v>110</v>
      </c>
      <c r="E30" s="68">
        <f t="shared" si="0"/>
        <v>100</v>
      </c>
      <c r="F30" s="68" t="str">
        <f>IF(main!R33="","",ROUND(main!R33*100,6))</f>
        <v/>
      </c>
      <c r="G30" s="68" t="str">
        <f>IF(main!S33="","",ROUND(main!S33*100,6))</f>
        <v/>
      </c>
      <c r="H30" s="68" t="str">
        <f>IF(main!T33="","",ROUND(main!T33*100,6))</f>
        <v/>
      </c>
      <c r="I30" s="68" t="str">
        <f>IF(main!U33="","",ROUND(main!U33*100,6))</f>
        <v/>
      </c>
      <c r="J30" s="68" t="str">
        <f>IF(main!V33="","",ROUND(main!V33*100,6))</f>
        <v/>
      </c>
      <c r="K30" s="68" t="str">
        <f>IF(main!W33="","",ROUND(main!W33*100,6))</f>
        <v/>
      </c>
      <c r="L30" s="68" t="str">
        <f>IF(main!X33="","",ROUND(main!X33*100,6))</f>
        <v/>
      </c>
      <c r="M30" s="68" t="str">
        <f>IF(main!Y33="","",ROUND(main!Y33*100,6))</f>
        <v/>
      </c>
      <c r="N30" s="68" t="str">
        <f>IF(main!Z33="","",ROUND(main!Z33*100,6))</f>
        <v/>
      </c>
      <c r="O30" s="68" t="str">
        <f>IF(main!AA33="","",ROUND(main!AA33*100,6))</f>
        <v/>
      </c>
      <c r="P30" s="68" t="str">
        <f>IF(main!AB33="","",ROUND(main!AB33*100,6))</f>
        <v/>
      </c>
      <c r="Q30" s="68" t="str">
        <f>IF(main!AC33="","",ROUND(main!AC33*100,6))</f>
        <v/>
      </c>
      <c r="R30" s="68" t="str">
        <f>IF(main!AD33="","",ROUND(main!AD33*100,6))</f>
        <v/>
      </c>
      <c r="S30" s="68" t="str">
        <f>IF(main!AE33="","",ROUND(main!AE33*100,6))</f>
        <v/>
      </c>
      <c r="T30" s="68" t="str">
        <f>IF(main!AF33="","",ROUND(main!AF33*100,6))</f>
        <v/>
      </c>
      <c r="U30" s="68" t="str">
        <f>IF(main!AG33="","",ROUND(main!AG33*100,6))</f>
        <v/>
      </c>
      <c r="V30" s="68" t="str">
        <f>IF(main!AH33="","",ROUND(main!AH33*100,6))</f>
        <v/>
      </c>
      <c r="W30" s="68" t="str">
        <f>IF(main!AI33="","",ROUND(main!AI33*100,6))</f>
        <v/>
      </c>
      <c r="X30" s="68" t="str">
        <f>IF(main!AJ33="","",ROUND(main!AJ33*100,6))</f>
        <v/>
      </c>
      <c r="Y30" s="68" t="str">
        <f>IF(main!AK33="","",ROUND(main!AK33*100,6))</f>
        <v/>
      </c>
      <c r="Z30" s="68" t="str">
        <f>IF(main!AL33="","",ROUND(main!AL33*100,6))</f>
        <v/>
      </c>
      <c r="AA30" s="68" t="str">
        <f>IF(main!AM33="","",ROUND(main!AM33*100,6))</f>
        <v/>
      </c>
      <c r="AB30" s="68" t="str">
        <f>IF(main!AN33="","",ROUND(main!AN33*100,6))</f>
        <v/>
      </c>
      <c r="AC30" s="68" t="str">
        <f>IF(main!AO33="","",ROUND(main!AO33*100,6))</f>
        <v/>
      </c>
      <c r="AD30" s="68" t="str">
        <f>IF(main!AP33="","",ROUND(main!AP33*100,6))</f>
        <v/>
      </c>
      <c r="AE30" s="68" t="str">
        <f>IF(main!AQ33="","",ROUND(main!AQ33*100,6))</f>
        <v/>
      </c>
      <c r="AF30" s="68" t="str">
        <f>IF(main!AR33="","",ROUND(main!AR33*100,6))</f>
        <v/>
      </c>
      <c r="AG30" s="68" t="str">
        <f>IF(main!AS33="","",ROUND(main!AS33*100,6))</f>
        <v/>
      </c>
      <c r="AH30" s="68" t="str">
        <f>IF(main!AT33="","",ROUND(main!AT33*100,6))</f>
        <v/>
      </c>
      <c r="AI30" s="68">
        <f>IF(main!AU33="","",ROUND(main!AU33*100,6))</f>
        <v>7.1428570000000002</v>
      </c>
      <c r="AJ30" s="68">
        <f>IF(main!AV33="","",ROUND(main!AV33*100,6))</f>
        <v>50</v>
      </c>
      <c r="AK30" s="68">
        <f>IF(main!AW33="","",ROUND(main!AW33*100,6))</f>
        <v>42.857143000000001</v>
      </c>
      <c r="AL30" s="68" t="str">
        <f>IF(main!AX33="","",ROUND(main!AX33*100,6))</f>
        <v/>
      </c>
      <c r="AM30" s="68" t="str">
        <f>IF(main!AY33="","",ROUND(main!AY33*100,6))</f>
        <v/>
      </c>
      <c r="AN30" s="68" t="str">
        <f>IF(main!AZ33="","",ROUND(main!AZ33*100,6))</f>
        <v/>
      </c>
      <c r="AO30" s="68" t="str">
        <f>IF(main!BA33="","",ROUND(main!BA33*100,6))</f>
        <v/>
      </c>
      <c r="AP30" s="68" t="str">
        <f>IF(main!BB33="","",ROUND(main!BB33*100,6))</f>
        <v/>
      </c>
      <c r="AQ30" s="68" t="str">
        <f>IF(main!BC33="","",ROUND(main!BC33*100,6))</f>
        <v/>
      </c>
      <c r="AR30" s="68" t="str">
        <f>IF(main!BD33="","",ROUND(main!BD33*100,6))</f>
        <v/>
      </c>
      <c r="AS30" s="68" t="str">
        <f>IF(main!BE33="","",ROUND(main!BE33*100,6))</f>
        <v/>
      </c>
      <c r="AT30" s="68" t="str">
        <f>IF(main!BF33="","",ROUND(main!BF33*100,6))</f>
        <v/>
      </c>
      <c r="AU30" s="68" t="str">
        <f>IF(main!BG33="","",ROUND(main!BG33*100,6))</f>
        <v/>
      </c>
      <c r="AV30" s="68" t="str">
        <f>IF(main!BH33="","",ROUND(main!BH33*100,6))</f>
        <v/>
      </c>
      <c r="AW30" s="68" t="str">
        <f>IF(main!BI33="","",ROUND(main!BI33*100,6))</f>
        <v/>
      </c>
      <c r="AX30" s="68" t="str">
        <f>IF(main!BJ33="","",ROUND(main!BJ33*100,6))</f>
        <v/>
      </c>
      <c r="AY30" s="68" t="str">
        <f>IF(main!BK33="","",ROUND(main!BK33*100,6))</f>
        <v/>
      </c>
      <c r="AZ30" s="68" t="str">
        <f>IF(main!BL33="","",ROUND(main!BL33*100,6))</f>
        <v/>
      </c>
      <c r="BA30" s="68" t="str">
        <f>IF(main!BM33="","",ROUND(main!BM33*100,6))</f>
        <v/>
      </c>
      <c r="BB30" s="68" t="str">
        <f>IF(main!BN33="","",ROUND(main!BN33*100,6))</f>
        <v/>
      </c>
      <c r="BC30" s="68" t="str">
        <f>IF(main!BO33="","",ROUND(main!BO33*100,6))</f>
        <v/>
      </c>
      <c r="BD30" s="68" t="str">
        <f>IF(main!BP33="","",ROUND(main!BP33*100,6))</f>
        <v/>
      </c>
      <c r="BE30" s="68" t="str">
        <f>IF(main!BQ33="","",ROUND(main!BQ33*100,6))</f>
        <v/>
      </c>
      <c r="BF30" s="68" t="str">
        <f>IF(main!BR33="","",ROUND(main!BR33*100,6))</f>
        <v/>
      </c>
      <c r="BG30" s="68" t="str">
        <f>IF(main!BS33="","",ROUND(main!BS33*100,6))</f>
        <v/>
      </c>
      <c r="BH30" s="68" t="str">
        <f>IF(main!BT33="","",ROUND(main!BT33*100,6))</f>
        <v/>
      </c>
      <c r="BI30" s="68" t="str">
        <f>IF(main!BU33="","",ROUND(main!BU33*100,6))</f>
        <v/>
      </c>
      <c r="BJ30" s="68" t="str">
        <f>IF(main!BV33="","",ROUND(main!BV33*100,6))</f>
        <v/>
      </c>
      <c r="BK30" s="68" t="str">
        <f>IF(main!BW33="","",ROUND(main!BW33*100,6))</f>
        <v/>
      </c>
      <c r="BL30" s="68" t="str">
        <f>IF(main!BX33="","",ROUND(main!BX33*100,6))</f>
        <v/>
      </c>
      <c r="BM30" s="68" t="str">
        <f>IF(main!BY33="","",ROUND(main!BY33*100,6))</f>
        <v/>
      </c>
      <c r="BN30" s="68" t="str">
        <f>IF(main!BZ33="","",ROUND(main!BZ33*100,6))</f>
        <v/>
      </c>
      <c r="BO30" s="68" t="str">
        <f>IF(main!CA33="","",ROUND(main!CA33*100,6))</f>
        <v/>
      </c>
      <c r="BP30" s="68" t="str">
        <f>IF(main!CB33="","",ROUND(main!CB33*100,6))</f>
        <v/>
      </c>
      <c r="BQ30" s="68" t="str">
        <f>IF(main!CC33="","",ROUND(main!CC33*100,6))</f>
        <v/>
      </c>
      <c r="BR30" s="68" t="str">
        <f>IF(main!CD33="","",ROUND(main!CD33*100,6))</f>
        <v/>
      </c>
      <c r="BS30" s="68" t="str">
        <f>IF(main!CE33="","",ROUND(main!CE33*100,6))</f>
        <v/>
      </c>
      <c r="BT30" s="68" t="str">
        <f>IF(main!CF33="","",ROUND(main!CF33*100,6))</f>
        <v/>
      </c>
      <c r="BU30" s="68" t="str">
        <f>IF(main!CG33="","",ROUND(main!CG33*100,6))</f>
        <v/>
      </c>
      <c r="BV30" s="68" t="str">
        <f>IF(main!CH33="","",ROUND(main!CH33*100,6))</f>
        <v/>
      </c>
      <c r="BW30" s="68" t="str">
        <f>IF(main!CI33="","",ROUND(main!CI33*100,6))</f>
        <v/>
      </c>
      <c r="BX30" s="68" t="str">
        <f>IF(main!CJ33="","",ROUND(main!CJ33*100,6))</f>
        <v/>
      </c>
      <c r="BY30" s="68" t="str">
        <f>IF(main!CK33="","",ROUND(main!CK33*100,6))</f>
        <v/>
      </c>
      <c r="BZ30" s="68" t="str">
        <f>IF(main!CL33="","",ROUND(main!CL33*100,6))</f>
        <v/>
      </c>
      <c r="CA30" s="68" t="str">
        <f>IF(main!CM33="","",ROUND(main!CM33*100,6))</f>
        <v/>
      </c>
      <c r="CB30" s="68" t="str">
        <f>IF(main!CN33="","",ROUND(main!CN33*100,6))</f>
        <v/>
      </c>
      <c r="CC30" s="68" t="str">
        <f>IF(main!CO33="","",ROUND(main!CO33*100,6))</f>
        <v/>
      </c>
    </row>
    <row r="31" spans="1:81" x14ac:dyDescent="0.25">
      <c r="A31" s="65" t="s">
        <v>148</v>
      </c>
      <c r="B31" s="66" t="str">
        <f>main!C33</f>
        <v>3rd FL</v>
      </c>
      <c r="C31" s="67">
        <f>main!O33</f>
        <v>100000</v>
      </c>
      <c r="D31" s="65" t="s">
        <v>111</v>
      </c>
      <c r="E31" s="68" t="str">
        <f t="shared" si="0"/>
        <v/>
      </c>
      <c r="F31" s="68" t="str">
        <f>IF(main!R34="","",ROUND(main!R34*100,6))</f>
        <v/>
      </c>
      <c r="G31" s="68" t="str">
        <f>IF(main!S34="","",ROUND(main!S34*100,6))</f>
        <v/>
      </c>
      <c r="H31" s="68" t="str">
        <f>IF(main!T34="","",ROUND(main!T34*100,6))</f>
        <v/>
      </c>
      <c r="I31" s="68" t="str">
        <f>IF(main!U34="","",ROUND(main!U34*100,6))</f>
        <v/>
      </c>
      <c r="J31" s="68" t="str">
        <f>IF(main!V34="","",ROUND(main!V34*100,6))</f>
        <v/>
      </c>
      <c r="K31" s="68" t="str">
        <f>IF(main!W34="","",ROUND(main!W34*100,6))</f>
        <v/>
      </c>
      <c r="L31" s="68" t="str">
        <f>IF(main!X34="","",ROUND(main!X34*100,6))</f>
        <v/>
      </c>
      <c r="M31" s="68" t="str">
        <f>IF(main!Y34="","",ROUND(main!Y34*100,6))</f>
        <v/>
      </c>
      <c r="N31" s="68" t="str">
        <f>IF(main!Z34="","",ROUND(main!Z34*100,6))</f>
        <v/>
      </c>
      <c r="O31" s="68" t="str">
        <f>IF(main!AA34="","",ROUND(main!AA34*100,6))</f>
        <v/>
      </c>
      <c r="P31" s="68" t="str">
        <f>IF(main!AB34="","",ROUND(main!AB34*100,6))</f>
        <v/>
      </c>
      <c r="Q31" s="68" t="str">
        <f>IF(main!AC34="","",ROUND(main!AC34*100,6))</f>
        <v/>
      </c>
      <c r="R31" s="68" t="str">
        <f>IF(main!AD34="","",ROUND(main!AD34*100,6))</f>
        <v/>
      </c>
      <c r="S31" s="68" t="str">
        <f>IF(main!AE34="","",ROUND(main!AE34*100,6))</f>
        <v/>
      </c>
      <c r="T31" s="68" t="str">
        <f>IF(main!AF34="","",ROUND(main!AF34*100,6))</f>
        <v/>
      </c>
      <c r="U31" s="68" t="str">
        <f>IF(main!AG34="","",ROUND(main!AG34*100,6))</f>
        <v/>
      </c>
      <c r="V31" s="68" t="str">
        <f>IF(main!AH34="","",ROUND(main!AH34*100,6))</f>
        <v/>
      </c>
      <c r="W31" s="68" t="str">
        <f>IF(main!AI34="","",ROUND(main!AI34*100,6))</f>
        <v/>
      </c>
      <c r="X31" s="68" t="str">
        <f>IF(main!AJ34="","",ROUND(main!AJ34*100,6))</f>
        <v/>
      </c>
      <c r="Y31" s="68" t="str">
        <f>IF(main!AK34="","",ROUND(main!AK34*100,6))</f>
        <v/>
      </c>
      <c r="Z31" s="68" t="str">
        <f>IF(main!AL34="","",ROUND(main!AL34*100,6))</f>
        <v/>
      </c>
      <c r="AA31" s="68" t="str">
        <f>IF(main!AM34="","",ROUND(main!AM34*100,6))</f>
        <v/>
      </c>
      <c r="AB31" s="68" t="str">
        <f>IF(main!AN34="","",ROUND(main!AN34*100,6))</f>
        <v/>
      </c>
      <c r="AC31" s="68" t="str">
        <f>IF(main!AO34="","",ROUND(main!AO34*100,6))</f>
        <v/>
      </c>
      <c r="AD31" s="68" t="str">
        <f>IF(main!AP34="","",ROUND(main!AP34*100,6))</f>
        <v/>
      </c>
      <c r="AE31" s="68" t="str">
        <f>IF(main!AQ34="","",ROUND(main!AQ34*100,6))</f>
        <v/>
      </c>
      <c r="AF31" s="68" t="str">
        <f>IF(main!AR34="","",ROUND(main!AR34*100,6))</f>
        <v/>
      </c>
      <c r="AG31" s="68" t="str">
        <f>IF(main!AS34="","",ROUND(main!AS34*100,6))</f>
        <v/>
      </c>
      <c r="AH31" s="68" t="str">
        <f>IF(main!AT34="","",ROUND(main!AT34*100,6))</f>
        <v/>
      </c>
      <c r="AI31" s="68" t="str">
        <f>IF(main!AU34="","",ROUND(main!AU34*100,6))</f>
        <v/>
      </c>
      <c r="AJ31" s="68" t="str">
        <f>IF(main!AV34="","",ROUND(main!AV34*100,6))</f>
        <v/>
      </c>
      <c r="AK31" s="68" t="str">
        <f>IF(main!AW34="","",ROUND(main!AW34*100,6))</f>
        <v/>
      </c>
      <c r="AL31" s="68" t="str">
        <f>IF(main!AX34="","",ROUND(main!AX34*100,6))</f>
        <v/>
      </c>
      <c r="AM31" s="68" t="str">
        <f>IF(main!AY34="","",ROUND(main!AY34*100,6))</f>
        <v/>
      </c>
      <c r="AN31" s="68" t="str">
        <f>IF(main!AZ34="","",ROUND(main!AZ34*100,6))</f>
        <v/>
      </c>
      <c r="AO31" s="68" t="str">
        <f>IF(main!BA34="","",ROUND(main!BA34*100,6))</f>
        <v/>
      </c>
      <c r="AP31" s="68" t="str">
        <f>IF(main!BB34="","",ROUND(main!BB34*100,6))</f>
        <v/>
      </c>
      <c r="AQ31" s="68" t="str">
        <f>IF(main!BC34="","",ROUND(main!BC34*100,6))</f>
        <v/>
      </c>
      <c r="AR31" s="68" t="str">
        <f>IF(main!BD34="","",ROUND(main!BD34*100,6))</f>
        <v/>
      </c>
      <c r="AS31" s="68" t="str">
        <f>IF(main!BE34="","",ROUND(main!BE34*100,6))</f>
        <v/>
      </c>
      <c r="AT31" s="68" t="str">
        <f>IF(main!BF34="","",ROUND(main!BF34*100,6))</f>
        <v/>
      </c>
      <c r="AU31" s="68" t="str">
        <f>IF(main!BG34="","",ROUND(main!BG34*100,6))</f>
        <v/>
      </c>
      <c r="AV31" s="68" t="str">
        <f>IF(main!BH34="","",ROUND(main!BH34*100,6))</f>
        <v/>
      </c>
      <c r="AW31" s="68" t="str">
        <f>IF(main!BI34="","",ROUND(main!BI34*100,6))</f>
        <v/>
      </c>
      <c r="AX31" s="68" t="str">
        <f>IF(main!BJ34="","",ROUND(main!BJ34*100,6))</f>
        <v/>
      </c>
      <c r="AY31" s="68" t="str">
        <f>IF(main!BK34="","",ROUND(main!BK34*100,6))</f>
        <v/>
      </c>
      <c r="AZ31" s="68" t="str">
        <f>IF(main!BL34="","",ROUND(main!BL34*100,6))</f>
        <v/>
      </c>
      <c r="BA31" s="68" t="str">
        <f>IF(main!BM34="","",ROUND(main!BM34*100,6))</f>
        <v/>
      </c>
      <c r="BB31" s="68" t="str">
        <f>IF(main!BN34="","",ROUND(main!BN34*100,6))</f>
        <v/>
      </c>
      <c r="BC31" s="68" t="str">
        <f>IF(main!BO34="","",ROUND(main!BO34*100,6))</f>
        <v/>
      </c>
      <c r="BD31" s="68" t="str">
        <f>IF(main!BP34="","",ROUND(main!BP34*100,6))</f>
        <v/>
      </c>
      <c r="BE31" s="68" t="str">
        <f>IF(main!BQ34="","",ROUND(main!BQ34*100,6))</f>
        <v/>
      </c>
      <c r="BF31" s="68" t="str">
        <f>IF(main!BR34="","",ROUND(main!BR34*100,6))</f>
        <v/>
      </c>
      <c r="BG31" s="68" t="str">
        <f>IF(main!BS34="","",ROUND(main!BS34*100,6))</f>
        <v/>
      </c>
      <c r="BH31" s="68" t="str">
        <f>IF(main!BT34="","",ROUND(main!BT34*100,6))</f>
        <v/>
      </c>
      <c r="BI31" s="68" t="str">
        <f>IF(main!BU34="","",ROUND(main!BU34*100,6))</f>
        <v/>
      </c>
      <c r="BJ31" s="68" t="str">
        <f>IF(main!BV34="","",ROUND(main!BV34*100,6))</f>
        <v/>
      </c>
      <c r="BK31" s="68" t="str">
        <f>IF(main!BW34="","",ROUND(main!BW34*100,6))</f>
        <v/>
      </c>
      <c r="BL31" s="68" t="str">
        <f>IF(main!BX34="","",ROUND(main!BX34*100,6))</f>
        <v/>
      </c>
      <c r="BM31" s="68" t="str">
        <f>IF(main!BY34="","",ROUND(main!BY34*100,6))</f>
        <v/>
      </c>
      <c r="BN31" s="68" t="str">
        <f>IF(main!BZ34="","",ROUND(main!BZ34*100,6))</f>
        <v/>
      </c>
      <c r="BO31" s="68" t="str">
        <f>IF(main!CA34="","",ROUND(main!CA34*100,6))</f>
        <v/>
      </c>
      <c r="BP31" s="68" t="str">
        <f>IF(main!CB34="","",ROUND(main!CB34*100,6))</f>
        <v/>
      </c>
      <c r="BQ31" s="68" t="str">
        <f>IF(main!CC34="","",ROUND(main!CC34*100,6))</f>
        <v/>
      </c>
      <c r="BR31" s="68" t="str">
        <f>IF(main!CD34="","",ROUND(main!CD34*100,6))</f>
        <v/>
      </c>
      <c r="BS31" s="68" t="str">
        <f>IF(main!CE34="","",ROUND(main!CE34*100,6))</f>
        <v/>
      </c>
      <c r="BT31" s="68" t="str">
        <f>IF(main!CF34="","",ROUND(main!CF34*100,6))</f>
        <v/>
      </c>
      <c r="BU31" s="68" t="str">
        <f>IF(main!CG34="","",ROUND(main!CG34*100,6))</f>
        <v/>
      </c>
      <c r="BV31" s="68" t="str">
        <f>IF(main!CH34="","",ROUND(main!CH34*100,6))</f>
        <v/>
      </c>
      <c r="BW31" s="68" t="str">
        <f>IF(main!CI34="","",ROUND(main!CI34*100,6))</f>
        <v/>
      </c>
      <c r="BX31" s="68" t="str">
        <f>IF(main!CJ34="","",ROUND(main!CJ34*100,6))</f>
        <v/>
      </c>
      <c r="BY31" s="68" t="str">
        <f>IF(main!CK34="","",ROUND(main!CK34*100,6))</f>
        <v/>
      </c>
      <c r="BZ31" s="68" t="str">
        <f>IF(main!CL34="","",ROUND(main!CL34*100,6))</f>
        <v/>
      </c>
      <c r="CA31" s="68" t="str">
        <f>IF(main!CM34="","",ROUND(main!CM34*100,6))</f>
        <v/>
      </c>
      <c r="CB31" s="68" t="str">
        <f>IF(main!CN34="","",ROUND(main!CN34*100,6))</f>
        <v/>
      </c>
      <c r="CC31" s="68" t="str">
        <f>IF(main!CO34="","",ROUND(main!CO34*100,6))</f>
        <v/>
      </c>
    </row>
    <row r="32" spans="1:81" x14ac:dyDescent="0.25">
      <c r="A32" s="65" t="s">
        <v>151</v>
      </c>
      <c r="B32" s="66" t="str">
        <f>main!C35</f>
        <v>Roof FL</v>
      </c>
      <c r="C32" s="67">
        <f>main!O35</f>
        <v>100000</v>
      </c>
      <c r="D32" s="65" t="s">
        <v>110</v>
      </c>
      <c r="E32" s="68">
        <f t="shared" si="0"/>
        <v>100</v>
      </c>
      <c r="F32" s="68" t="str">
        <f>IF(main!R35="","",ROUND(main!R35*100,6))</f>
        <v/>
      </c>
      <c r="G32" s="68" t="str">
        <f>IF(main!S35="","",ROUND(main!S35*100,6))</f>
        <v/>
      </c>
      <c r="H32" s="68" t="str">
        <f>IF(main!T35="","",ROUND(main!T35*100,6))</f>
        <v/>
      </c>
      <c r="I32" s="68" t="str">
        <f>IF(main!U35="","",ROUND(main!U35*100,6))</f>
        <v/>
      </c>
      <c r="J32" s="68" t="str">
        <f>IF(main!V35="","",ROUND(main!V35*100,6))</f>
        <v/>
      </c>
      <c r="K32" s="68" t="str">
        <f>IF(main!W35="","",ROUND(main!W35*100,6))</f>
        <v/>
      </c>
      <c r="L32" s="68" t="str">
        <f>IF(main!X35="","",ROUND(main!X35*100,6))</f>
        <v/>
      </c>
      <c r="M32" s="68" t="str">
        <f>IF(main!Y35="","",ROUND(main!Y35*100,6))</f>
        <v/>
      </c>
      <c r="N32" s="68" t="str">
        <f>IF(main!Z35="","",ROUND(main!Z35*100,6))</f>
        <v/>
      </c>
      <c r="O32" s="68" t="str">
        <f>IF(main!AA35="","",ROUND(main!AA35*100,6))</f>
        <v/>
      </c>
      <c r="P32" s="68" t="str">
        <f>IF(main!AB35="","",ROUND(main!AB35*100,6))</f>
        <v/>
      </c>
      <c r="Q32" s="68" t="str">
        <f>IF(main!AC35="","",ROUND(main!AC35*100,6))</f>
        <v/>
      </c>
      <c r="R32" s="68" t="str">
        <f>IF(main!AD35="","",ROUND(main!AD35*100,6))</f>
        <v/>
      </c>
      <c r="S32" s="68" t="str">
        <f>IF(main!AE35="","",ROUND(main!AE35*100,6))</f>
        <v/>
      </c>
      <c r="T32" s="68" t="str">
        <f>IF(main!AF35="","",ROUND(main!AF35*100,6))</f>
        <v/>
      </c>
      <c r="U32" s="68" t="str">
        <f>IF(main!AG35="","",ROUND(main!AG35*100,6))</f>
        <v/>
      </c>
      <c r="V32" s="68" t="str">
        <f>IF(main!AH35="","",ROUND(main!AH35*100,6))</f>
        <v/>
      </c>
      <c r="W32" s="68" t="str">
        <f>IF(main!AI35="","",ROUND(main!AI35*100,6))</f>
        <v/>
      </c>
      <c r="X32" s="68" t="str">
        <f>IF(main!AJ35="","",ROUND(main!AJ35*100,6))</f>
        <v/>
      </c>
      <c r="Y32" s="68" t="str">
        <f>IF(main!AK35="","",ROUND(main!AK35*100,6))</f>
        <v/>
      </c>
      <c r="Z32" s="68" t="str">
        <f>IF(main!AL35="","",ROUND(main!AL35*100,6))</f>
        <v/>
      </c>
      <c r="AA32" s="68" t="str">
        <f>IF(main!AM35="","",ROUND(main!AM35*100,6))</f>
        <v/>
      </c>
      <c r="AB32" s="68" t="str">
        <f>IF(main!AN35="","",ROUND(main!AN35*100,6))</f>
        <v/>
      </c>
      <c r="AC32" s="68" t="str">
        <f>IF(main!AO35="","",ROUND(main!AO35*100,6))</f>
        <v/>
      </c>
      <c r="AD32" s="68" t="str">
        <f>IF(main!AP35="","",ROUND(main!AP35*100,6))</f>
        <v/>
      </c>
      <c r="AE32" s="68" t="str">
        <f>IF(main!AQ35="","",ROUND(main!AQ35*100,6))</f>
        <v/>
      </c>
      <c r="AF32" s="68" t="str">
        <f>IF(main!AR35="","",ROUND(main!AR35*100,6))</f>
        <v/>
      </c>
      <c r="AG32" s="68" t="str">
        <f>IF(main!AS35="","",ROUND(main!AS35*100,6))</f>
        <v/>
      </c>
      <c r="AH32" s="68" t="str">
        <f>IF(main!AT35="","",ROUND(main!AT35*100,6))</f>
        <v/>
      </c>
      <c r="AI32" s="68" t="str">
        <f>IF(main!AU35="","",ROUND(main!AU35*100,6))</f>
        <v/>
      </c>
      <c r="AJ32" s="68" t="str">
        <f>IF(main!AV35="","",ROUND(main!AV35*100,6))</f>
        <v/>
      </c>
      <c r="AK32" s="68">
        <f>IF(main!AW35="","",ROUND(main!AW35*100,6))</f>
        <v>14.285714</v>
      </c>
      <c r="AL32" s="68">
        <f>IF(main!AX35="","",ROUND(main!AX35*100,6))</f>
        <v>85.714286000000001</v>
      </c>
      <c r="AM32" s="68" t="str">
        <f>IF(main!AY35="","",ROUND(main!AY35*100,6))</f>
        <v/>
      </c>
      <c r="AN32" s="68" t="str">
        <f>IF(main!AZ35="","",ROUND(main!AZ35*100,6))</f>
        <v/>
      </c>
      <c r="AO32" s="68" t="str">
        <f>IF(main!BA35="","",ROUND(main!BA35*100,6))</f>
        <v/>
      </c>
      <c r="AP32" s="68" t="str">
        <f>IF(main!BB35="","",ROUND(main!BB35*100,6))</f>
        <v/>
      </c>
      <c r="AQ32" s="68" t="str">
        <f>IF(main!BC35="","",ROUND(main!BC35*100,6))</f>
        <v/>
      </c>
      <c r="AR32" s="68" t="str">
        <f>IF(main!BD35="","",ROUND(main!BD35*100,6))</f>
        <v/>
      </c>
      <c r="AS32" s="68" t="str">
        <f>IF(main!BE35="","",ROUND(main!BE35*100,6))</f>
        <v/>
      </c>
      <c r="AT32" s="68" t="str">
        <f>IF(main!BF35="","",ROUND(main!BF35*100,6))</f>
        <v/>
      </c>
      <c r="AU32" s="68" t="str">
        <f>IF(main!BG35="","",ROUND(main!BG35*100,6))</f>
        <v/>
      </c>
      <c r="AV32" s="68" t="str">
        <f>IF(main!BH35="","",ROUND(main!BH35*100,6))</f>
        <v/>
      </c>
      <c r="AW32" s="68" t="str">
        <f>IF(main!BI35="","",ROUND(main!BI35*100,6))</f>
        <v/>
      </c>
      <c r="AX32" s="68" t="str">
        <f>IF(main!BJ35="","",ROUND(main!BJ35*100,6))</f>
        <v/>
      </c>
      <c r="AY32" s="68" t="str">
        <f>IF(main!BK35="","",ROUND(main!BK35*100,6))</f>
        <v/>
      </c>
      <c r="AZ32" s="68" t="str">
        <f>IF(main!BL35="","",ROUND(main!BL35*100,6))</f>
        <v/>
      </c>
      <c r="BA32" s="68" t="str">
        <f>IF(main!BM35="","",ROUND(main!BM35*100,6))</f>
        <v/>
      </c>
      <c r="BB32" s="68" t="str">
        <f>IF(main!BN35="","",ROUND(main!BN35*100,6))</f>
        <v/>
      </c>
      <c r="BC32" s="68" t="str">
        <f>IF(main!BO35="","",ROUND(main!BO35*100,6))</f>
        <v/>
      </c>
      <c r="BD32" s="68" t="str">
        <f>IF(main!BP35="","",ROUND(main!BP35*100,6))</f>
        <v/>
      </c>
      <c r="BE32" s="68" t="str">
        <f>IF(main!BQ35="","",ROUND(main!BQ35*100,6))</f>
        <v/>
      </c>
      <c r="BF32" s="68" t="str">
        <f>IF(main!BR35="","",ROUND(main!BR35*100,6))</f>
        <v/>
      </c>
      <c r="BG32" s="68" t="str">
        <f>IF(main!BS35="","",ROUND(main!BS35*100,6))</f>
        <v/>
      </c>
      <c r="BH32" s="68" t="str">
        <f>IF(main!BT35="","",ROUND(main!BT35*100,6))</f>
        <v/>
      </c>
      <c r="BI32" s="68" t="str">
        <f>IF(main!BU35="","",ROUND(main!BU35*100,6))</f>
        <v/>
      </c>
      <c r="BJ32" s="68" t="str">
        <f>IF(main!BV35="","",ROUND(main!BV35*100,6))</f>
        <v/>
      </c>
      <c r="BK32" s="68" t="str">
        <f>IF(main!BW35="","",ROUND(main!BW35*100,6))</f>
        <v/>
      </c>
      <c r="BL32" s="68" t="str">
        <f>IF(main!BX35="","",ROUND(main!BX35*100,6))</f>
        <v/>
      </c>
      <c r="BM32" s="68" t="str">
        <f>IF(main!BY35="","",ROUND(main!BY35*100,6))</f>
        <v/>
      </c>
      <c r="BN32" s="68" t="str">
        <f>IF(main!BZ35="","",ROUND(main!BZ35*100,6))</f>
        <v/>
      </c>
      <c r="BO32" s="68" t="str">
        <f>IF(main!CA35="","",ROUND(main!CA35*100,6))</f>
        <v/>
      </c>
      <c r="BP32" s="68" t="str">
        <f>IF(main!CB35="","",ROUND(main!CB35*100,6))</f>
        <v/>
      </c>
      <c r="BQ32" s="68" t="str">
        <f>IF(main!CC35="","",ROUND(main!CC35*100,6))</f>
        <v/>
      </c>
      <c r="BR32" s="68" t="str">
        <f>IF(main!CD35="","",ROUND(main!CD35*100,6))</f>
        <v/>
      </c>
      <c r="BS32" s="68" t="str">
        <f>IF(main!CE35="","",ROUND(main!CE35*100,6))</f>
        <v/>
      </c>
      <c r="BT32" s="68" t="str">
        <f>IF(main!CF35="","",ROUND(main!CF35*100,6))</f>
        <v/>
      </c>
      <c r="BU32" s="68" t="str">
        <f>IF(main!CG35="","",ROUND(main!CG35*100,6))</f>
        <v/>
      </c>
      <c r="BV32" s="68" t="str">
        <f>IF(main!CH35="","",ROUND(main!CH35*100,6))</f>
        <v/>
      </c>
      <c r="BW32" s="68" t="str">
        <f>IF(main!CI35="","",ROUND(main!CI35*100,6))</f>
        <v/>
      </c>
      <c r="BX32" s="68" t="str">
        <f>IF(main!CJ35="","",ROUND(main!CJ35*100,6))</f>
        <v/>
      </c>
      <c r="BY32" s="68" t="str">
        <f>IF(main!CK35="","",ROUND(main!CK35*100,6))</f>
        <v/>
      </c>
      <c r="BZ32" s="68" t="str">
        <f>IF(main!CL35="","",ROUND(main!CL35*100,6))</f>
        <v/>
      </c>
      <c r="CA32" s="68" t="str">
        <f>IF(main!CM35="","",ROUND(main!CM35*100,6))</f>
        <v/>
      </c>
      <c r="CB32" s="68" t="str">
        <f>IF(main!CN35="","",ROUND(main!CN35*100,6))</f>
        <v/>
      </c>
      <c r="CC32" s="68" t="str">
        <f>IF(main!CO35="","",ROUND(main!CO35*100,6))</f>
        <v/>
      </c>
    </row>
    <row r="33" spans="1:81" x14ac:dyDescent="0.25">
      <c r="A33" s="65" t="s">
        <v>151</v>
      </c>
      <c r="B33" s="66" t="str">
        <f>main!C35</f>
        <v>Roof FL</v>
      </c>
      <c r="C33" s="67">
        <f>main!O35</f>
        <v>100000</v>
      </c>
      <c r="D33" s="65" t="s">
        <v>111</v>
      </c>
      <c r="E33" s="68" t="str">
        <f t="shared" si="0"/>
        <v/>
      </c>
      <c r="F33" s="68" t="str">
        <f>IF(main!R36="","",ROUND(main!R36*100,6))</f>
        <v/>
      </c>
      <c r="G33" s="68" t="str">
        <f>IF(main!S36="","",ROUND(main!S36*100,6))</f>
        <v/>
      </c>
      <c r="H33" s="68" t="str">
        <f>IF(main!T36="","",ROUND(main!T36*100,6))</f>
        <v/>
      </c>
      <c r="I33" s="68" t="str">
        <f>IF(main!U36="","",ROUND(main!U36*100,6))</f>
        <v/>
      </c>
      <c r="J33" s="68" t="str">
        <f>IF(main!V36="","",ROUND(main!V36*100,6))</f>
        <v/>
      </c>
      <c r="K33" s="68" t="str">
        <f>IF(main!W36="","",ROUND(main!W36*100,6))</f>
        <v/>
      </c>
      <c r="L33" s="68" t="str">
        <f>IF(main!X36="","",ROUND(main!X36*100,6))</f>
        <v/>
      </c>
      <c r="M33" s="68" t="str">
        <f>IF(main!Y36="","",ROUND(main!Y36*100,6))</f>
        <v/>
      </c>
      <c r="N33" s="68" t="str">
        <f>IF(main!Z36="","",ROUND(main!Z36*100,6))</f>
        <v/>
      </c>
      <c r="O33" s="68" t="str">
        <f>IF(main!AA36="","",ROUND(main!AA36*100,6))</f>
        <v/>
      </c>
      <c r="P33" s="68" t="str">
        <f>IF(main!AB36="","",ROUND(main!AB36*100,6))</f>
        <v/>
      </c>
      <c r="Q33" s="68" t="str">
        <f>IF(main!AC36="","",ROUND(main!AC36*100,6))</f>
        <v/>
      </c>
      <c r="R33" s="68" t="str">
        <f>IF(main!AD36="","",ROUND(main!AD36*100,6))</f>
        <v/>
      </c>
      <c r="S33" s="68" t="str">
        <f>IF(main!AE36="","",ROUND(main!AE36*100,6))</f>
        <v/>
      </c>
      <c r="T33" s="68" t="str">
        <f>IF(main!AF36="","",ROUND(main!AF36*100,6))</f>
        <v/>
      </c>
      <c r="U33" s="68" t="str">
        <f>IF(main!AG36="","",ROUND(main!AG36*100,6))</f>
        <v/>
      </c>
      <c r="V33" s="68" t="str">
        <f>IF(main!AH36="","",ROUND(main!AH36*100,6))</f>
        <v/>
      </c>
      <c r="W33" s="68" t="str">
        <f>IF(main!AI36="","",ROUND(main!AI36*100,6))</f>
        <v/>
      </c>
      <c r="X33" s="68" t="str">
        <f>IF(main!AJ36="","",ROUND(main!AJ36*100,6))</f>
        <v/>
      </c>
      <c r="Y33" s="68" t="str">
        <f>IF(main!AK36="","",ROUND(main!AK36*100,6))</f>
        <v/>
      </c>
      <c r="Z33" s="68" t="str">
        <f>IF(main!AL36="","",ROUND(main!AL36*100,6))</f>
        <v/>
      </c>
      <c r="AA33" s="68" t="str">
        <f>IF(main!AM36="","",ROUND(main!AM36*100,6))</f>
        <v/>
      </c>
      <c r="AB33" s="68" t="str">
        <f>IF(main!AN36="","",ROUND(main!AN36*100,6))</f>
        <v/>
      </c>
      <c r="AC33" s="68" t="str">
        <f>IF(main!AO36="","",ROUND(main!AO36*100,6))</f>
        <v/>
      </c>
      <c r="AD33" s="68" t="str">
        <f>IF(main!AP36="","",ROUND(main!AP36*100,6))</f>
        <v/>
      </c>
      <c r="AE33" s="68" t="str">
        <f>IF(main!AQ36="","",ROUND(main!AQ36*100,6))</f>
        <v/>
      </c>
      <c r="AF33" s="68" t="str">
        <f>IF(main!AR36="","",ROUND(main!AR36*100,6))</f>
        <v/>
      </c>
      <c r="AG33" s="68" t="str">
        <f>IF(main!AS36="","",ROUND(main!AS36*100,6))</f>
        <v/>
      </c>
      <c r="AH33" s="68" t="str">
        <f>IF(main!AT36="","",ROUND(main!AT36*100,6))</f>
        <v/>
      </c>
      <c r="AI33" s="68" t="str">
        <f>IF(main!AU36="","",ROUND(main!AU36*100,6))</f>
        <v/>
      </c>
      <c r="AJ33" s="68" t="str">
        <f>IF(main!AV36="","",ROUND(main!AV36*100,6))</f>
        <v/>
      </c>
      <c r="AK33" s="68" t="str">
        <f>IF(main!AW36="","",ROUND(main!AW36*100,6))</f>
        <v/>
      </c>
      <c r="AL33" s="68" t="str">
        <f>IF(main!AX36="","",ROUND(main!AX36*100,6))</f>
        <v/>
      </c>
      <c r="AM33" s="68" t="str">
        <f>IF(main!AY36="","",ROUND(main!AY36*100,6))</f>
        <v/>
      </c>
      <c r="AN33" s="68" t="str">
        <f>IF(main!AZ36="","",ROUND(main!AZ36*100,6))</f>
        <v/>
      </c>
      <c r="AO33" s="68" t="str">
        <f>IF(main!BA36="","",ROUND(main!BA36*100,6))</f>
        <v/>
      </c>
      <c r="AP33" s="68" t="str">
        <f>IF(main!BB36="","",ROUND(main!BB36*100,6))</f>
        <v/>
      </c>
      <c r="AQ33" s="68" t="str">
        <f>IF(main!BC36="","",ROUND(main!BC36*100,6))</f>
        <v/>
      </c>
      <c r="AR33" s="68" t="str">
        <f>IF(main!BD36="","",ROUND(main!BD36*100,6))</f>
        <v/>
      </c>
      <c r="AS33" s="68" t="str">
        <f>IF(main!BE36="","",ROUND(main!BE36*100,6))</f>
        <v/>
      </c>
      <c r="AT33" s="68" t="str">
        <f>IF(main!BF36="","",ROUND(main!BF36*100,6))</f>
        <v/>
      </c>
      <c r="AU33" s="68" t="str">
        <f>IF(main!BG36="","",ROUND(main!BG36*100,6))</f>
        <v/>
      </c>
      <c r="AV33" s="68" t="str">
        <f>IF(main!BH36="","",ROUND(main!BH36*100,6))</f>
        <v/>
      </c>
      <c r="AW33" s="68" t="str">
        <f>IF(main!BI36="","",ROUND(main!BI36*100,6))</f>
        <v/>
      </c>
      <c r="AX33" s="68" t="str">
        <f>IF(main!BJ36="","",ROUND(main!BJ36*100,6))</f>
        <v/>
      </c>
      <c r="AY33" s="68" t="str">
        <f>IF(main!BK36="","",ROUND(main!BK36*100,6))</f>
        <v/>
      </c>
      <c r="AZ33" s="68" t="str">
        <f>IF(main!BL36="","",ROUND(main!BL36*100,6))</f>
        <v/>
      </c>
      <c r="BA33" s="68" t="str">
        <f>IF(main!BM36="","",ROUND(main!BM36*100,6))</f>
        <v/>
      </c>
      <c r="BB33" s="68" t="str">
        <f>IF(main!BN36="","",ROUND(main!BN36*100,6))</f>
        <v/>
      </c>
      <c r="BC33" s="68" t="str">
        <f>IF(main!BO36="","",ROUND(main!BO36*100,6))</f>
        <v/>
      </c>
      <c r="BD33" s="68" t="str">
        <f>IF(main!BP36="","",ROUND(main!BP36*100,6))</f>
        <v/>
      </c>
      <c r="BE33" s="68" t="str">
        <f>IF(main!BQ36="","",ROUND(main!BQ36*100,6))</f>
        <v/>
      </c>
      <c r="BF33" s="68" t="str">
        <f>IF(main!BR36="","",ROUND(main!BR36*100,6))</f>
        <v/>
      </c>
      <c r="BG33" s="68" t="str">
        <f>IF(main!BS36="","",ROUND(main!BS36*100,6))</f>
        <v/>
      </c>
      <c r="BH33" s="68" t="str">
        <f>IF(main!BT36="","",ROUND(main!BT36*100,6))</f>
        <v/>
      </c>
      <c r="BI33" s="68" t="str">
        <f>IF(main!BU36="","",ROUND(main!BU36*100,6))</f>
        <v/>
      </c>
      <c r="BJ33" s="68" t="str">
        <f>IF(main!BV36="","",ROUND(main!BV36*100,6))</f>
        <v/>
      </c>
      <c r="BK33" s="68" t="str">
        <f>IF(main!BW36="","",ROUND(main!BW36*100,6))</f>
        <v/>
      </c>
      <c r="BL33" s="68" t="str">
        <f>IF(main!BX36="","",ROUND(main!BX36*100,6))</f>
        <v/>
      </c>
      <c r="BM33" s="68" t="str">
        <f>IF(main!BY36="","",ROUND(main!BY36*100,6))</f>
        <v/>
      </c>
      <c r="BN33" s="68" t="str">
        <f>IF(main!BZ36="","",ROUND(main!BZ36*100,6))</f>
        <v/>
      </c>
      <c r="BO33" s="68" t="str">
        <f>IF(main!CA36="","",ROUND(main!CA36*100,6))</f>
        <v/>
      </c>
      <c r="BP33" s="68" t="str">
        <f>IF(main!CB36="","",ROUND(main!CB36*100,6))</f>
        <v/>
      </c>
      <c r="BQ33" s="68" t="str">
        <f>IF(main!CC36="","",ROUND(main!CC36*100,6))</f>
        <v/>
      </c>
      <c r="BR33" s="68" t="str">
        <f>IF(main!CD36="","",ROUND(main!CD36*100,6))</f>
        <v/>
      </c>
      <c r="BS33" s="68" t="str">
        <f>IF(main!CE36="","",ROUND(main!CE36*100,6))</f>
        <v/>
      </c>
      <c r="BT33" s="68" t="str">
        <f>IF(main!CF36="","",ROUND(main!CF36*100,6))</f>
        <v/>
      </c>
      <c r="BU33" s="68" t="str">
        <f>IF(main!CG36="","",ROUND(main!CG36*100,6))</f>
        <v/>
      </c>
      <c r="BV33" s="68" t="str">
        <f>IF(main!CH36="","",ROUND(main!CH36*100,6))</f>
        <v/>
      </c>
      <c r="BW33" s="68" t="str">
        <f>IF(main!CI36="","",ROUND(main!CI36*100,6))</f>
        <v/>
      </c>
      <c r="BX33" s="68" t="str">
        <f>IF(main!CJ36="","",ROUND(main!CJ36*100,6))</f>
        <v/>
      </c>
      <c r="BY33" s="68" t="str">
        <f>IF(main!CK36="","",ROUND(main!CK36*100,6))</f>
        <v/>
      </c>
      <c r="BZ33" s="68" t="str">
        <f>IF(main!CL36="","",ROUND(main!CL36*100,6))</f>
        <v/>
      </c>
      <c r="CA33" s="68" t="str">
        <f>IF(main!CM36="","",ROUND(main!CM36*100,6))</f>
        <v/>
      </c>
      <c r="CB33" s="68" t="str">
        <f>IF(main!CN36="","",ROUND(main!CN36*100,6))</f>
        <v/>
      </c>
      <c r="CC33" s="68" t="str">
        <f>IF(main!CO36="","",ROUND(main!CO36*100,6))</f>
        <v/>
      </c>
    </row>
    <row r="34" spans="1:81" x14ac:dyDescent="0.25">
      <c r="A34" s="65" t="s">
        <v>154</v>
      </c>
      <c r="B34" s="66" t="str">
        <f>main!C37</f>
        <v>Structure</v>
      </c>
      <c r="C34" s="67">
        <f>main!O37</f>
        <v>4300000</v>
      </c>
      <c r="D34" s="65" t="s">
        <v>110</v>
      </c>
      <c r="E34" s="68">
        <f t="shared" si="0"/>
        <v>99.999999000000003</v>
      </c>
      <c r="F34" s="68" t="str">
        <f>IF(main!R37="","",ROUND(main!R37*100,6))</f>
        <v/>
      </c>
      <c r="G34" s="68" t="str">
        <f>IF(main!S37="","",ROUND(main!S37*100,6))</f>
        <v/>
      </c>
      <c r="H34" s="68" t="str">
        <f>IF(main!T37="","",ROUND(main!T37*100,6))</f>
        <v/>
      </c>
      <c r="I34" s="68" t="str">
        <f>IF(main!U37="","",ROUND(main!U37*100,6))</f>
        <v/>
      </c>
      <c r="J34" s="68" t="str">
        <f>IF(main!V37="","",ROUND(main!V37*100,6))</f>
        <v/>
      </c>
      <c r="K34" s="68" t="str">
        <f>IF(main!W37="","",ROUND(main!W37*100,6))</f>
        <v/>
      </c>
      <c r="L34" s="68" t="str">
        <f>IF(main!X37="","",ROUND(main!X37*100,6))</f>
        <v/>
      </c>
      <c r="M34" s="68" t="str">
        <f>IF(main!Y37="","",ROUND(main!Y37*100,6))</f>
        <v/>
      </c>
      <c r="N34" s="68" t="str">
        <f>IF(main!Z37="","",ROUND(main!Z37*100,6))</f>
        <v/>
      </c>
      <c r="O34" s="68" t="str">
        <f>IF(main!AA37="","",ROUND(main!AA37*100,6))</f>
        <v/>
      </c>
      <c r="P34" s="68" t="str">
        <f>IF(main!AB37="","",ROUND(main!AB37*100,6))</f>
        <v/>
      </c>
      <c r="Q34" s="68" t="str">
        <f>IF(main!AC37="","",ROUND(main!AC37*100,6))</f>
        <v/>
      </c>
      <c r="R34" s="68" t="str">
        <f>IF(main!AD37="","",ROUND(main!AD37*100,6))</f>
        <v/>
      </c>
      <c r="S34" s="68" t="str">
        <f>IF(main!AE37="","",ROUND(main!AE37*100,6))</f>
        <v/>
      </c>
      <c r="T34" s="68" t="str">
        <f>IF(main!AF37="","",ROUND(main!AF37*100,6))</f>
        <v/>
      </c>
      <c r="U34" s="68" t="str">
        <f>IF(main!AG37="","",ROUND(main!AG37*100,6))</f>
        <v/>
      </c>
      <c r="V34" s="68" t="str">
        <f>IF(main!AH37="","",ROUND(main!AH37*100,6))</f>
        <v/>
      </c>
      <c r="W34" s="68" t="str">
        <f>IF(main!AI37="","",ROUND(main!AI37*100,6))</f>
        <v/>
      </c>
      <c r="X34" s="68" t="str">
        <f>IF(main!AJ37="","",ROUND(main!AJ37*100,6))</f>
        <v/>
      </c>
      <c r="Y34" s="68" t="str">
        <f>IF(main!AK37="","",ROUND(main!AK37*100,6))</f>
        <v/>
      </c>
      <c r="Z34" s="68" t="str">
        <f>IF(main!AL37="","",ROUND(main!AL37*100,6))</f>
        <v/>
      </c>
      <c r="AA34" s="68" t="str">
        <f>IF(main!AM37="","",ROUND(main!AM37*100,6))</f>
        <v/>
      </c>
      <c r="AB34" s="68" t="str">
        <f>IF(main!AN37="","",ROUND(main!AN37*100,6))</f>
        <v/>
      </c>
      <c r="AC34" s="68" t="str">
        <f>IF(main!AO37="","",ROUND(main!AO37*100,6))</f>
        <v/>
      </c>
      <c r="AD34" s="68" t="str">
        <f>IF(main!AP37="","",ROUND(main!AP37*100,6))</f>
        <v/>
      </c>
      <c r="AE34" s="68" t="str">
        <f>IF(main!AQ37="","",ROUND(main!AQ37*100,6))</f>
        <v/>
      </c>
      <c r="AF34" s="68" t="str">
        <f>IF(main!AR37="","",ROUND(main!AR37*100,6))</f>
        <v/>
      </c>
      <c r="AG34" s="68">
        <f>IF(main!AS37="","",ROUND(main!AS37*100,6))</f>
        <v>0.75018799999999997</v>
      </c>
      <c r="AH34" s="68">
        <f>IF(main!AT37="","",ROUND(main!AT37*100,6))</f>
        <v>0.78769699999999998</v>
      </c>
      <c r="AI34" s="68">
        <f>IF(main!AU37="","",ROUND(main!AU37*100,6))</f>
        <v>0.52513100000000001</v>
      </c>
      <c r="AJ34" s="68">
        <f>IF(main!AV37="","",ROUND(main!AV37*100,6))</f>
        <v>1.5545549999999999</v>
      </c>
      <c r="AK34" s="68">
        <f>IF(main!AW37="","",ROUND(main!AW37*100,6))</f>
        <v>2.1648339999999999</v>
      </c>
      <c r="AL34" s="68">
        <f>IF(main!AX37="","",ROUND(main!AX37*100,6))</f>
        <v>1.2829759999999999</v>
      </c>
      <c r="AM34" s="68">
        <f>IF(main!AY37="","",ROUND(main!AY37*100,6))</f>
        <v>0.83077900000000005</v>
      </c>
      <c r="AN34" s="68">
        <f>IF(main!AZ37="","",ROUND(main!AZ37*100,6))</f>
        <v>3.008705</v>
      </c>
      <c r="AO34" s="68">
        <f>IF(main!BA37="","",ROUND(main!BA37*100,6))</f>
        <v>3.1748180000000001</v>
      </c>
      <c r="AP34" s="68">
        <f>IF(main!BB37="","",ROUND(main!BB37*100,6))</f>
        <v>2.7296870000000002</v>
      </c>
      <c r="AQ34" s="68">
        <f>IF(main!BC37="","",ROUND(main!BC37*100,6))</f>
        <v>6.2485900000000001</v>
      </c>
      <c r="AR34" s="68">
        <f>IF(main!BD37="","",ROUND(main!BD37*100,6))</f>
        <v>7.0072359999999998</v>
      </c>
      <c r="AS34" s="68">
        <f>IF(main!BE37="","",ROUND(main!BE37*100,6))</f>
        <v>7.5505069999999996</v>
      </c>
      <c r="AT34" s="68">
        <f>IF(main!BF37="","",ROUND(main!BF37*100,6))</f>
        <v>5.3985250000000002</v>
      </c>
      <c r="AU34" s="68">
        <f>IF(main!BG37="","",ROUND(main!BG37*100,6))</f>
        <v>4.5139339999999999</v>
      </c>
      <c r="AV34" s="68">
        <f>IF(main!BH37="","",ROUND(main!BH37*100,6))</f>
        <v>3.6975039999999999</v>
      </c>
      <c r="AW34" s="68">
        <f>IF(main!BI37="","",ROUND(main!BI37*100,6))</f>
        <v>3.1722939999999999</v>
      </c>
      <c r="AX34" s="68">
        <f>IF(main!BJ37="","",ROUND(main!BJ37*100,6))</f>
        <v>2.3365130000000001</v>
      </c>
      <c r="AY34" s="68">
        <f>IF(main!BK37="","",ROUND(main!BK37*100,6))</f>
        <v>3.500829</v>
      </c>
      <c r="AZ34" s="68">
        <f>IF(main!BL37="","",ROUND(main!BL37*100,6))</f>
        <v>3.359524</v>
      </c>
      <c r="BA34" s="68">
        <f>IF(main!BM37="","",ROUND(main!BM37*100,6))</f>
        <v>3.7361620000000002</v>
      </c>
      <c r="BB34" s="68">
        <f>IF(main!BN37="","",ROUND(main!BN37*100,6))</f>
        <v>4.681495</v>
      </c>
      <c r="BC34" s="68">
        <f>IF(main!BO37="","",ROUND(main!BO37*100,6))</f>
        <v>7.2049399999999997</v>
      </c>
      <c r="BD34" s="68">
        <f>IF(main!BP37="","",ROUND(main!BP37*100,6))</f>
        <v>5.850867</v>
      </c>
      <c r="BE34" s="68">
        <f>IF(main!BQ37="","",ROUND(main!BQ37*100,6))</f>
        <v>5.2971579999999996</v>
      </c>
      <c r="BF34" s="68">
        <f>IF(main!BR37="","",ROUND(main!BR37*100,6))</f>
        <v>3.3222589999999999</v>
      </c>
      <c r="BG34" s="68">
        <f>IF(main!BS37="","",ROUND(main!BS37*100,6))</f>
        <v>1.8547100000000001</v>
      </c>
      <c r="BH34" s="68">
        <f>IF(main!BT37="","",ROUND(main!BT37*100,6))</f>
        <v>1.648048</v>
      </c>
      <c r="BI34" s="68">
        <f>IF(main!BU37="","",ROUND(main!BU37*100,6))</f>
        <v>1.148404</v>
      </c>
      <c r="BJ34" s="68">
        <f>IF(main!BV37="","",ROUND(main!BV37*100,6))</f>
        <v>1.66113</v>
      </c>
      <c r="BK34" s="68" t="str">
        <f>IF(main!BW37="","",ROUND(main!BW37*100,6))</f>
        <v/>
      </c>
      <c r="BL34" s="68" t="str">
        <f>IF(main!BX37="","",ROUND(main!BX37*100,6))</f>
        <v/>
      </c>
      <c r="BM34" s="68" t="str">
        <f>IF(main!BY37="","",ROUND(main!BY37*100,6))</f>
        <v/>
      </c>
      <c r="BN34" s="68" t="str">
        <f>IF(main!BZ37="","",ROUND(main!BZ37*100,6))</f>
        <v/>
      </c>
      <c r="BO34" s="68" t="str">
        <f>IF(main!CA37="","",ROUND(main!CA37*100,6))</f>
        <v/>
      </c>
      <c r="BP34" s="68" t="str">
        <f>IF(main!CB37="","",ROUND(main!CB37*100,6))</f>
        <v/>
      </c>
      <c r="BQ34" s="68" t="str">
        <f>IF(main!CC37="","",ROUND(main!CC37*100,6))</f>
        <v/>
      </c>
      <c r="BR34" s="68" t="str">
        <f>IF(main!CD37="","",ROUND(main!CD37*100,6))</f>
        <v/>
      </c>
      <c r="BS34" s="68" t="str">
        <f>IF(main!CE37="","",ROUND(main!CE37*100,6))</f>
        <v/>
      </c>
      <c r="BT34" s="68" t="str">
        <f>IF(main!CF37="","",ROUND(main!CF37*100,6))</f>
        <v/>
      </c>
      <c r="BU34" s="68" t="str">
        <f>IF(main!CG37="","",ROUND(main!CG37*100,6))</f>
        <v/>
      </c>
      <c r="BV34" s="68" t="str">
        <f>IF(main!CH37="","",ROUND(main!CH37*100,6))</f>
        <v/>
      </c>
      <c r="BW34" s="68" t="str">
        <f>IF(main!CI37="","",ROUND(main!CI37*100,6))</f>
        <v/>
      </c>
      <c r="BX34" s="68" t="str">
        <f>IF(main!CJ37="","",ROUND(main!CJ37*100,6))</f>
        <v/>
      </c>
      <c r="BY34" s="68" t="str">
        <f>IF(main!CK37="","",ROUND(main!CK37*100,6))</f>
        <v/>
      </c>
      <c r="BZ34" s="68" t="str">
        <f>IF(main!CL37="","",ROUND(main!CL37*100,6))</f>
        <v/>
      </c>
      <c r="CA34" s="68" t="str">
        <f>IF(main!CM37="","",ROUND(main!CM37*100,6))</f>
        <v/>
      </c>
      <c r="CB34" s="68" t="str">
        <f>IF(main!CN37="","",ROUND(main!CN37*100,6))</f>
        <v/>
      </c>
      <c r="CC34" s="68" t="str">
        <f>IF(main!CO37="","",ROUND(main!CO37*100,6))</f>
        <v/>
      </c>
    </row>
    <row r="35" spans="1:81" x14ac:dyDescent="0.25">
      <c r="A35" s="65" t="s">
        <v>154</v>
      </c>
      <c r="B35" s="66" t="str">
        <f>main!C37</f>
        <v>Structure</v>
      </c>
      <c r="C35" s="67">
        <f>main!O37</f>
        <v>4300000</v>
      </c>
      <c r="D35" s="65" t="s">
        <v>111</v>
      </c>
      <c r="E35" s="68" t="str">
        <f t="shared" si="0"/>
        <v/>
      </c>
      <c r="F35" s="68" t="str">
        <f>IF(main!R38="","",ROUND(main!R38*100,6))</f>
        <v/>
      </c>
      <c r="G35" s="68" t="str">
        <f>IF(main!S38="","",ROUND(main!S38*100,6))</f>
        <v/>
      </c>
      <c r="H35" s="68" t="str">
        <f>IF(main!T38="","",ROUND(main!T38*100,6))</f>
        <v/>
      </c>
      <c r="I35" s="68" t="str">
        <f>IF(main!U38="","",ROUND(main!U38*100,6))</f>
        <v/>
      </c>
      <c r="J35" s="68" t="str">
        <f>IF(main!V38="","",ROUND(main!V38*100,6))</f>
        <v/>
      </c>
      <c r="K35" s="68" t="str">
        <f>IF(main!W38="","",ROUND(main!W38*100,6))</f>
        <v/>
      </c>
      <c r="L35" s="68" t="str">
        <f>IF(main!X38="","",ROUND(main!X38*100,6))</f>
        <v/>
      </c>
      <c r="M35" s="68" t="str">
        <f>IF(main!Y38="","",ROUND(main!Y38*100,6))</f>
        <v/>
      </c>
      <c r="N35" s="68" t="str">
        <f>IF(main!Z38="","",ROUND(main!Z38*100,6))</f>
        <v/>
      </c>
      <c r="O35" s="68" t="str">
        <f>IF(main!AA38="","",ROUND(main!AA38*100,6))</f>
        <v/>
      </c>
      <c r="P35" s="68" t="str">
        <f>IF(main!AB38="","",ROUND(main!AB38*100,6))</f>
        <v/>
      </c>
      <c r="Q35" s="68" t="str">
        <f>IF(main!AC38="","",ROUND(main!AC38*100,6))</f>
        <v/>
      </c>
      <c r="R35" s="68" t="str">
        <f>IF(main!AD38="","",ROUND(main!AD38*100,6))</f>
        <v/>
      </c>
      <c r="S35" s="68" t="str">
        <f>IF(main!AE38="","",ROUND(main!AE38*100,6))</f>
        <v/>
      </c>
      <c r="T35" s="68" t="str">
        <f>IF(main!AF38="","",ROUND(main!AF38*100,6))</f>
        <v/>
      </c>
      <c r="U35" s="68" t="str">
        <f>IF(main!AG38="","",ROUND(main!AG38*100,6))</f>
        <v/>
      </c>
      <c r="V35" s="68" t="str">
        <f>IF(main!AH38="","",ROUND(main!AH38*100,6))</f>
        <v/>
      </c>
      <c r="W35" s="68" t="str">
        <f>IF(main!AI38="","",ROUND(main!AI38*100,6))</f>
        <v/>
      </c>
      <c r="X35" s="68" t="str">
        <f>IF(main!AJ38="","",ROUND(main!AJ38*100,6))</f>
        <v/>
      </c>
      <c r="Y35" s="68" t="str">
        <f>IF(main!AK38="","",ROUND(main!AK38*100,6))</f>
        <v/>
      </c>
      <c r="Z35" s="68" t="str">
        <f>IF(main!AL38="","",ROUND(main!AL38*100,6))</f>
        <v/>
      </c>
      <c r="AA35" s="68" t="str">
        <f>IF(main!AM38="","",ROUND(main!AM38*100,6))</f>
        <v/>
      </c>
      <c r="AB35" s="68" t="str">
        <f>IF(main!AN38="","",ROUND(main!AN38*100,6))</f>
        <v/>
      </c>
      <c r="AC35" s="68" t="str">
        <f>IF(main!AO38="","",ROUND(main!AO38*100,6))</f>
        <v/>
      </c>
      <c r="AD35" s="68" t="str">
        <f>IF(main!AP38="","",ROUND(main!AP38*100,6))</f>
        <v/>
      </c>
      <c r="AE35" s="68" t="str">
        <f>IF(main!AQ38="","",ROUND(main!AQ38*100,6))</f>
        <v/>
      </c>
      <c r="AF35" s="68" t="str">
        <f>IF(main!AR38="","",ROUND(main!AR38*100,6))</f>
        <v/>
      </c>
      <c r="AG35" s="68" t="str">
        <f>IF(main!AS38="","",ROUND(main!AS38*100,6))</f>
        <v/>
      </c>
      <c r="AH35" s="68" t="str">
        <f>IF(main!AT38="","",ROUND(main!AT38*100,6))</f>
        <v/>
      </c>
      <c r="AI35" s="68" t="str">
        <f>IF(main!AU38="","",ROUND(main!AU38*100,6))</f>
        <v/>
      </c>
      <c r="AJ35" s="68" t="str">
        <f>IF(main!AV38="","",ROUND(main!AV38*100,6))</f>
        <v/>
      </c>
      <c r="AK35" s="68" t="str">
        <f>IF(main!AW38="","",ROUND(main!AW38*100,6))</f>
        <v/>
      </c>
      <c r="AL35" s="68" t="str">
        <f>IF(main!AX38="","",ROUND(main!AX38*100,6))</f>
        <v/>
      </c>
      <c r="AM35" s="68" t="str">
        <f>IF(main!AY38="","",ROUND(main!AY38*100,6))</f>
        <v/>
      </c>
      <c r="AN35" s="68" t="str">
        <f>IF(main!AZ38="","",ROUND(main!AZ38*100,6))</f>
        <v/>
      </c>
      <c r="AO35" s="68" t="str">
        <f>IF(main!BA38="","",ROUND(main!BA38*100,6))</f>
        <v/>
      </c>
      <c r="AP35" s="68" t="str">
        <f>IF(main!BB38="","",ROUND(main!BB38*100,6))</f>
        <v/>
      </c>
      <c r="AQ35" s="68" t="str">
        <f>IF(main!BC38="","",ROUND(main!BC38*100,6))</f>
        <v/>
      </c>
      <c r="AR35" s="68" t="str">
        <f>IF(main!BD38="","",ROUND(main!BD38*100,6))</f>
        <v/>
      </c>
      <c r="AS35" s="68" t="str">
        <f>IF(main!BE38="","",ROUND(main!BE38*100,6))</f>
        <v/>
      </c>
      <c r="AT35" s="68" t="str">
        <f>IF(main!BF38="","",ROUND(main!BF38*100,6))</f>
        <v/>
      </c>
      <c r="AU35" s="68" t="str">
        <f>IF(main!BG38="","",ROUND(main!BG38*100,6))</f>
        <v/>
      </c>
      <c r="AV35" s="68" t="str">
        <f>IF(main!BH38="","",ROUND(main!BH38*100,6))</f>
        <v/>
      </c>
      <c r="AW35" s="68" t="str">
        <f>IF(main!BI38="","",ROUND(main!BI38*100,6))</f>
        <v/>
      </c>
      <c r="AX35" s="68" t="str">
        <f>IF(main!BJ38="","",ROUND(main!BJ38*100,6))</f>
        <v/>
      </c>
      <c r="AY35" s="68" t="str">
        <f>IF(main!BK38="","",ROUND(main!BK38*100,6))</f>
        <v/>
      </c>
      <c r="AZ35" s="68" t="str">
        <f>IF(main!BL38="","",ROUND(main!BL38*100,6))</f>
        <v/>
      </c>
      <c r="BA35" s="68" t="str">
        <f>IF(main!BM38="","",ROUND(main!BM38*100,6))</f>
        <v/>
      </c>
      <c r="BB35" s="68" t="str">
        <f>IF(main!BN38="","",ROUND(main!BN38*100,6))</f>
        <v/>
      </c>
      <c r="BC35" s="68" t="str">
        <f>IF(main!BO38="","",ROUND(main!BO38*100,6))</f>
        <v/>
      </c>
      <c r="BD35" s="68" t="str">
        <f>IF(main!BP38="","",ROUND(main!BP38*100,6))</f>
        <v/>
      </c>
      <c r="BE35" s="68" t="str">
        <f>IF(main!BQ38="","",ROUND(main!BQ38*100,6))</f>
        <v/>
      </c>
      <c r="BF35" s="68" t="str">
        <f>IF(main!BR38="","",ROUND(main!BR38*100,6))</f>
        <v/>
      </c>
      <c r="BG35" s="68" t="str">
        <f>IF(main!BS38="","",ROUND(main!BS38*100,6))</f>
        <v/>
      </c>
      <c r="BH35" s="68" t="str">
        <f>IF(main!BT38="","",ROUND(main!BT38*100,6))</f>
        <v/>
      </c>
      <c r="BI35" s="68" t="str">
        <f>IF(main!BU38="","",ROUND(main!BU38*100,6))</f>
        <v/>
      </c>
      <c r="BJ35" s="68" t="str">
        <f>IF(main!BV38="","",ROUND(main!BV38*100,6))</f>
        <v/>
      </c>
      <c r="BK35" s="68" t="str">
        <f>IF(main!BW38="","",ROUND(main!BW38*100,6))</f>
        <v/>
      </c>
      <c r="BL35" s="68" t="str">
        <f>IF(main!BX38="","",ROUND(main!BX38*100,6))</f>
        <v/>
      </c>
      <c r="BM35" s="68" t="str">
        <f>IF(main!BY38="","",ROUND(main!BY38*100,6))</f>
        <v/>
      </c>
      <c r="BN35" s="68" t="str">
        <f>IF(main!BZ38="","",ROUND(main!BZ38*100,6))</f>
        <v/>
      </c>
      <c r="BO35" s="68" t="str">
        <f>IF(main!CA38="","",ROUND(main!CA38*100,6))</f>
        <v/>
      </c>
      <c r="BP35" s="68" t="str">
        <f>IF(main!CB38="","",ROUND(main!CB38*100,6))</f>
        <v/>
      </c>
      <c r="BQ35" s="68" t="str">
        <f>IF(main!CC38="","",ROUND(main!CC38*100,6))</f>
        <v/>
      </c>
      <c r="BR35" s="68" t="str">
        <f>IF(main!CD38="","",ROUND(main!CD38*100,6))</f>
        <v/>
      </c>
      <c r="BS35" s="68" t="str">
        <f>IF(main!CE38="","",ROUND(main!CE38*100,6))</f>
        <v/>
      </c>
      <c r="BT35" s="68" t="str">
        <f>IF(main!CF38="","",ROUND(main!CF38*100,6))</f>
        <v/>
      </c>
      <c r="BU35" s="68" t="str">
        <f>IF(main!CG38="","",ROUND(main!CG38*100,6))</f>
        <v/>
      </c>
      <c r="BV35" s="68" t="str">
        <f>IF(main!CH38="","",ROUND(main!CH38*100,6))</f>
        <v/>
      </c>
      <c r="BW35" s="68" t="str">
        <f>IF(main!CI38="","",ROUND(main!CI38*100,6))</f>
        <v/>
      </c>
      <c r="BX35" s="68" t="str">
        <f>IF(main!CJ38="","",ROUND(main!CJ38*100,6))</f>
        <v/>
      </c>
      <c r="BY35" s="68" t="str">
        <f>IF(main!CK38="","",ROUND(main!CK38*100,6))</f>
        <v/>
      </c>
      <c r="BZ35" s="68" t="str">
        <f>IF(main!CL38="","",ROUND(main!CL38*100,6))</f>
        <v/>
      </c>
      <c r="CA35" s="68" t="str">
        <f>IF(main!CM38="","",ROUND(main!CM38*100,6))</f>
        <v/>
      </c>
      <c r="CB35" s="68" t="str">
        <f>IF(main!CN38="","",ROUND(main!CN38*100,6))</f>
        <v/>
      </c>
      <c r="CC35" s="68" t="str">
        <f>IF(main!CO38="","",ROUND(main!CO38*100,6))</f>
        <v/>
      </c>
    </row>
    <row r="36" spans="1:81" x14ac:dyDescent="0.25">
      <c r="A36" s="65" t="s">
        <v>156</v>
      </c>
      <c r="B36" s="66" t="str">
        <f>main!C39</f>
        <v>Pilling Work</v>
      </c>
      <c r="C36" s="67">
        <f>main!O39</f>
        <v>100000</v>
      </c>
      <c r="D36" s="65" t="s">
        <v>110</v>
      </c>
      <c r="E36" s="68">
        <f t="shared" si="0"/>
        <v>100.000001</v>
      </c>
      <c r="F36" s="68" t="str">
        <f>IF(main!R39="","",ROUND(main!R39*100,6))</f>
        <v/>
      </c>
      <c r="G36" s="68" t="str">
        <f>IF(main!S39="","",ROUND(main!S39*100,6))</f>
        <v/>
      </c>
      <c r="H36" s="68" t="str">
        <f>IF(main!T39="","",ROUND(main!T39*100,6))</f>
        <v/>
      </c>
      <c r="I36" s="68" t="str">
        <f>IF(main!U39="","",ROUND(main!U39*100,6))</f>
        <v/>
      </c>
      <c r="J36" s="68" t="str">
        <f>IF(main!V39="","",ROUND(main!V39*100,6))</f>
        <v/>
      </c>
      <c r="K36" s="68" t="str">
        <f>IF(main!W39="","",ROUND(main!W39*100,6))</f>
        <v/>
      </c>
      <c r="L36" s="68" t="str">
        <f>IF(main!X39="","",ROUND(main!X39*100,6))</f>
        <v/>
      </c>
      <c r="M36" s="68" t="str">
        <f>IF(main!Y39="","",ROUND(main!Y39*100,6))</f>
        <v/>
      </c>
      <c r="N36" s="68" t="str">
        <f>IF(main!Z39="","",ROUND(main!Z39*100,6))</f>
        <v/>
      </c>
      <c r="O36" s="68" t="str">
        <f>IF(main!AA39="","",ROUND(main!AA39*100,6))</f>
        <v/>
      </c>
      <c r="P36" s="68" t="str">
        <f>IF(main!AB39="","",ROUND(main!AB39*100,6))</f>
        <v/>
      </c>
      <c r="Q36" s="68" t="str">
        <f>IF(main!AC39="","",ROUND(main!AC39*100,6))</f>
        <v/>
      </c>
      <c r="R36" s="68" t="str">
        <f>IF(main!AD39="","",ROUND(main!AD39*100,6))</f>
        <v/>
      </c>
      <c r="S36" s="68" t="str">
        <f>IF(main!AE39="","",ROUND(main!AE39*100,6))</f>
        <v/>
      </c>
      <c r="T36" s="68" t="str">
        <f>IF(main!AF39="","",ROUND(main!AF39*100,6))</f>
        <v/>
      </c>
      <c r="U36" s="68" t="str">
        <f>IF(main!AG39="","",ROUND(main!AG39*100,6))</f>
        <v/>
      </c>
      <c r="V36" s="68" t="str">
        <f>IF(main!AH39="","",ROUND(main!AH39*100,6))</f>
        <v/>
      </c>
      <c r="W36" s="68" t="str">
        <f>IF(main!AI39="","",ROUND(main!AI39*100,6))</f>
        <v/>
      </c>
      <c r="X36" s="68" t="str">
        <f>IF(main!AJ39="","",ROUND(main!AJ39*100,6))</f>
        <v/>
      </c>
      <c r="Y36" s="68" t="str">
        <f>IF(main!AK39="","",ROUND(main!AK39*100,6))</f>
        <v/>
      </c>
      <c r="Z36" s="68" t="str">
        <f>IF(main!AL39="","",ROUND(main!AL39*100,6))</f>
        <v/>
      </c>
      <c r="AA36" s="68" t="str">
        <f>IF(main!AM39="","",ROUND(main!AM39*100,6))</f>
        <v/>
      </c>
      <c r="AB36" s="68" t="str">
        <f>IF(main!AN39="","",ROUND(main!AN39*100,6))</f>
        <v/>
      </c>
      <c r="AC36" s="68" t="str">
        <f>IF(main!AO39="","",ROUND(main!AO39*100,6))</f>
        <v/>
      </c>
      <c r="AD36" s="68" t="str">
        <f>IF(main!AP39="","",ROUND(main!AP39*100,6))</f>
        <v/>
      </c>
      <c r="AE36" s="68" t="str">
        <f>IF(main!AQ39="","",ROUND(main!AQ39*100,6))</f>
        <v/>
      </c>
      <c r="AF36" s="68" t="str">
        <f>IF(main!AR39="","",ROUND(main!AR39*100,6))</f>
        <v/>
      </c>
      <c r="AG36" s="68">
        <f>IF(main!AS39="","",ROUND(main!AS39*100,6))</f>
        <v>32.258065000000002</v>
      </c>
      <c r="AH36" s="68">
        <f>IF(main!AT39="","",ROUND(main!AT39*100,6))</f>
        <v>33.870967999999998</v>
      </c>
      <c r="AI36" s="68">
        <f>IF(main!AU39="","",ROUND(main!AU39*100,6))</f>
        <v>22.580645000000001</v>
      </c>
      <c r="AJ36" s="68">
        <f>IF(main!AV39="","",ROUND(main!AV39*100,6))</f>
        <v>11.290323000000001</v>
      </c>
      <c r="AK36" s="68" t="str">
        <f>IF(main!AW39="","",ROUND(main!AW39*100,6))</f>
        <v/>
      </c>
      <c r="AL36" s="68" t="str">
        <f>IF(main!AX39="","",ROUND(main!AX39*100,6))</f>
        <v/>
      </c>
      <c r="AM36" s="68" t="str">
        <f>IF(main!AY39="","",ROUND(main!AY39*100,6))</f>
        <v/>
      </c>
      <c r="AN36" s="68" t="str">
        <f>IF(main!AZ39="","",ROUND(main!AZ39*100,6))</f>
        <v/>
      </c>
      <c r="AO36" s="68" t="str">
        <f>IF(main!BA39="","",ROUND(main!BA39*100,6))</f>
        <v/>
      </c>
      <c r="AP36" s="68" t="str">
        <f>IF(main!BB39="","",ROUND(main!BB39*100,6))</f>
        <v/>
      </c>
      <c r="AQ36" s="68" t="str">
        <f>IF(main!BC39="","",ROUND(main!BC39*100,6))</f>
        <v/>
      </c>
      <c r="AR36" s="68" t="str">
        <f>IF(main!BD39="","",ROUND(main!BD39*100,6))</f>
        <v/>
      </c>
      <c r="AS36" s="68" t="str">
        <f>IF(main!BE39="","",ROUND(main!BE39*100,6))</f>
        <v/>
      </c>
      <c r="AT36" s="68" t="str">
        <f>IF(main!BF39="","",ROUND(main!BF39*100,6))</f>
        <v/>
      </c>
      <c r="AU36" s="68" t="str">
        <f>IF(main!BG39="","",ROUND(main!BG39*100,6))</f>
        <v/>
      </c>
      <c r="AV36" s="68" t="str">
        <f>IF(main!BH39="","",ROUND(main!BH39*100,6))</f>
        <v/>
      </c>
      <c r="AW36" s="68" t="str">
        <f>IF(main!BI39="","",ROUND(main!BI39*100,6))</f>
        <v/>
      </c>
      <c r="AX36" s="68" t="str">
        <f>IF(main!BJ39="","",ROUND(main!BJ39*100,6))</f>
        <v/>
      </c>
      <c r="AY36" s="68" t="str">
        <f>IF(main!BK39="","",ROUND(main!BK39*100,6))</f>
        <v/>
      </c>
      <c r="AZ36" s="68" t="str">
        <f>IF(main!BL39="","",ROUND(main!BL39*100,6))</f>
        <v/>
      </c>
      <c r="BA36" s="68" t="str">
        <f>IF(main!BM39="","",ROUND(main!BM39*100,6))</f>
        <v/>
      </c>
      <c r="BB36" s="68" t="str">
        <f>IF(main!BN39="","",ROUND(main!BN39*100,6))</f>
        <v/>
      </c>
      <c r="BC36" s="68" t="str">
        <f>IF(main!BO39="","",ROUND(main!BO39*100,6))</f>
        <v/>
      </c>
      <c r="BD36" s="68" t="str">
        <f>IF(main!BP39="","",ROUND(main!BP39*100,6))</f>
        <v/>
      </c>
      <c r="BE36" s="68" t="str">
        <f>IF(main!BQ39="","",ROUND(main!BQ39*100,6))</f>
        <v/>
      </c>
      <c r="BF36" s="68" t="str">
        <f>IF(main!BR39="","",ROUND(main!BR39*100,6))</f>
        <v/>
      </c>
      <c r="BG36" s="68" t="str">
        <f>IF(main!BS39="","",ROUND(main!BS39*100,6))</f>
        <v/>
      </c>
      <c r="BH36" s="68" t="str">
        <f>IF(main!BT39="","",ROUND(main!BT39*100,6))</f>
        <v/>
      </c>
      <c r="BI36" s="68" t="str">
        <f>IF(main!BU39="","",ROUND(main!BU39*100,6))</f>
        <v/>
      </c>
      <c r="BJ36" s="68" t="str">
        <f>IF(main!BV39="","",ROUND(main!BV39*100,6))</f>
        <v/>
      </c>
      <c r="BK36" s="68" t="str">
        <f>IF(main!BW39="","",ROUND(main!BW39*100,6))</f>
        <v/>
      </c>
      <c r="BL36" s="68" t="str">
        <f>IF(main!BX39="","",ROUND(main!BX39*100,6))</f>
        <v/>
      </c>
      <c r="BM36" s="68" t="str">
        <f>IF(main!BY39="","",ROUND(main!BY39*100,6))</f>
        <v/>
      </c>
      <c r="BN36" s="68" t="str">
        <f>IF(main!BZ39="","",ROUND(main!BZ39*100,6))</f>
        <v/>
      </c>
      <c r="BO36" s="68" t="str">
        <f>IF(main!CA39="","",ROUND(main!CA39*100,6))</f>
        <v/>
      </c>
      <c r="BP36" s="68" t="str">
        <f>IF(main!CB39="","",ROUND(main!CB39*100,6))</f>
        <v/>
      </c>
      <c r="BQ36" s="68" t="str">
        <f>IF(main!CC39="","",ROUND(main!CC39*100,6))</f>
        <v/>
      </c>
      <c r="BR36" s="68" t="str">
        <f>IF(main!CD39="","",ROUND(main!CD39*100,6))</f>
        <v/>
      </c>
      <c r="BS36" s="68" t="str">
        <f>IF(main!CE39="","",ROUND(main!CE39*100,6))</f>
        <v/>
      </c>
      <c r="BT36" s="68" t="str">
        <f>IF(main!CF39="","",ROUND(main!CF39*100,6))</f>
        <v/>
      </c>
      <c r="BU36" s="68" t="str">
        <f>IF(main!CG39="","",ROUND(main!CG39*100,6))</f>
        <v/>
      </c>
      <c r="BV36" s="68" t="str">
        <f>IF(main!CH39="","",ROUND(main!CH39*100,6))</f>
        <v/>
      </c>
      <c r="BW36" s="68" t="str">
        <f>IF(main!CI39="","",ROUND(main!CI39*100,6))</f>
        <v/>
      </c>
      <c r="BX36" s="68" t="str">
        <f>IF(main!CJ39="","",ROUND(main!CJ39*100,6))</f>
        <v/>
      </c>
      <c r="BY36" s="68" t="str">
        <f>IF(main!CK39="","",ROUND(main!CK39*100,6))</f>
        <v/>
      </c>
      <c r="BZ36" s="68" t="str">
        <f>IF(main!CL39="","",ROUND(main!CL39*100,6))</f>
        <v/>
      </c>
      <c r="CA36" s="68" t="str">
        <f>IF(main!CM39="","",ROUND(main!CM39*100,6))</f>
        <v/>
      </c>
      <c r="CB36" s="68" t="str">
        <f>IF(main!CN39="","",ROUND(main!CN39*100,6))</f>
        <v/>
      </c>
      <c r="CC36" s="68" t="str">
        <f>IF(main!CO39="","",ROUND(main!CO39*100,6))</f>
        <v/>
      </c>
    </row>
    <row r="37" spans="1:81" x14ac:dyDescent="0.25">
      <c r="A37" s="65" t="s">
        <v>156</v>
      </c>
      <c r="B37" s="66" t="str">
        <f>main!C39</f>
        <v>Pilling Work</v>
      </c>
      <c r="C37" s="67">
        <f>main!O39</f>
        <v>100000</v>
      </c>
      <c r="D37" s="65" t="s">
        <v>111</v>
      </c>
      <c r="E37" s="68" t="str">
        <f t="shared" si="0"/>
        <v/>
      </c>
      <c r="F37" s="68" t="str">
        <f>IF(main!R40="","",ROUND(main!R40*100,6))</f>
        <v/>
      </c>
      <c r="G37" s="68" t="str">
        <f>IF(main!S40="","",ROUND(main!S40*100,6))</f>
        <v/>
      </c>
      <c r="H37" s="68" t="str">
        <f>IF(main!T40="","",ROUND(main!T40*100,6))</f>
        <v/>
      </c>
      <c r="I37" s="68" t="str">
        <f>IF(main!U40="","",ROUND(main!U40*100,6))</f>
        <v/>
      </c>
      <c r="J37" s="68" t="str">
        <f>IF(main!V40="","",ROUND(main!V40*100,6))</f>
        <v/>
      </c>
      <c r="K37" s="68" t="str">
        <f>IF(main!W40="","",ROUND(main!W40*100,6))</f>
        <v/>
      </c>
      <c r="L37" s="68" t="str">
        <f>IF(main!X40="","",ROUND(main!X40*100,6))</f>
        <v/>
      </c>
      <c r="M37" s="68" t="str">
        <f>IF(main!Y40="","",ROUND(main!Y40*100,6))</f>
        <v/>
      </c>
      <c r="N37" s="68" t="str">
        <f>IF(main!Z40="","",ROUND(main!Z40*100,6))</f>
        <v/>
      </c>
      <c r="O37" s="68" t="str">
        <f>IF(main!AA40="","",ROUND(main!AA40*100,6))</f>
        <v/>
      </c>
      <c r="P37" s="68" t="str">
        <f>IF(main!AB40="","",ROUND(main!AB40*100,6))</f>
        <v/>
      </c>
      <c r="Q37" s="68" t="str">
        <f>IF(main!AC40="","",ROUND(main!AC40*100,6))</f>
        <v/>
      </c>
      <c r="R37" s="68" t="str">
        <f>IF(main!AD40="","",ROUND(main!AD40*100,6))</f>
        <v/>
      </c>
      <c r="S37" s="68" t="str">
        <f>IF(main!AE40="","",ROUND(main!AE40*100,6))</f>
        <v/>
      </c>
      <c r="T37" s="68" t="str">
        <f>IF(main!AF40="","",ROUND(main!AF40*100,6))</f>
        <v/>
      </c>
      <c r="U37" s="68" t="str">
        <f>IF(main!AG40="","",ROUND(main!AG40*100,6))</f>
        <v/>
      </c>
      <c r="V37" s="68" t="str">
        <f>IF(main!AH40="","",ROUND(main!AH40*100,6))</f>
        <v/>
      </c>
      <c r="W37" s="68" t="str">
        <f>IF(main!AI40="","",ROUND(main!AI40*100,6))</f>
        <v/>
      </c>
      <c r="X37" s="68" t="str">
        <f>IF(main!AJ40="","",ROUND(main!AJ40*100,6))</f>
        <v/>
      </c>
      <c r="Y37" s="68" t="str">
        <f>IF(main!AK40="","",ROUND(main!AK40*100,6))</f>
        <v/>
      </c>
      <c r="Z37" s="68" t="str">
        <f>IF(main!AL40="","",ROUND(main!AL40*100,6))</f>
        <v/>
      </c>
      <c r="AA37" s="68" t="str">
        <f>IF(main!AM40="","",ROUND(main!AM40*100,6))</f>
        <v/>
      </c>
      <c r="AB37" s="68" t="str">
        <f>IF(main!AN40="","",ROUND(main!AN40*100,6))</f>
        <v/>
      </c>
      <c r="AC37" s="68" t="str">
        <f>IF(main!AO40="","",ROUND(main!AO40*100,6))</f>
        <v/>
      </c>
      <c r="AD37" s="68" t="str">
        <f>IF(main!AP40="","",ROUND(main!AP40*100,6))</f>
        <v/>
      </c>
      <c r="AE37" s="68" t="str">
        <f>IF(main!AQ40="","",ROUND(main!AQ40*100,6))</f>
        <v/>
      </c>
      <c r="AF37" s="68" t="str">
        <f>IF(main!AR40="","",ROUND(main!AR40*100,6))</f>
        <v/>
      </c>
      <c r="AG37" s="68" t="str">
        <f>IF(main!AS40="","",ROUND(main!AS40*100,6))</f>
        <v/>
      </c>
      <c r="AH37" s="68" t="str">
        <f>IF(main!AT40="","",ROUND(main!AT40*100,6))</f>
        <v/>
      </c>
      <c r="AI37" s="68" t="str">
        <f>IF(main!AU40="","",ROUND(main!AU40*100,6))</f>
        <v/>
      </c>
      <c r="AJ37" s="68" t="str">
        <f>IF(main!AV40="","",ROUND(main!AV40*100,6))</f>
        <v/>
      </c>
      <c r="AK37" s="68" t="str">
        <f>IF(main!AW40="","",ROUND(main!AW40*100,6))</f>
        <v/>
      </c>
      <c r="AL37" s="68" t="str">
        <f>IF(main!AX40="","",ROUND(main!AX40*100,6))</f>
        <v/>
      </c>
      <c r="AM37" s="68" t="str">
        <f>IF(main!AY40="","",ROUND(main!AY40*100,6))</f>
        <v/>
      </c>
      <c r="AN37" s="68" t="str">
        <f>IF(main!AZ40="","",ROUND(main!AZ40*100,6))</f>
        <v/>
      </c>
      <c r="AO37" s="68" t="str">
        <f>IF(main!BA40="","",ROUND(main!BA40*100,6))</f>
        <v/>
      </c>
      <c r="AP37" s="68" t="str">
        <f>IF(main!BB40="","",ROUND(main!BB40*100,6))</f>
        <v/>
      </c>
      <c r="AQ37" s="68" t="str">
        <f>IF(main!BC40="","",ROUND(main!BC40*100,6))</f>
        <v/>
      </c>
      <c r="AR37" s="68" t="str">
        <f>IF(main!BD40="","",ROUND(main!BD40*100,6))</f>
        <v/>
      </c>
      <c r="AS37" s="68" t="str">
        <f>IF(main!BE40="","",ROUND(main!BE40*100,6))</f>
        <v/>
      </c>
      <c r="AT37" s="68" t="str">
        <f>IF(main!BF40="","",ROUND(main!BF40*100,6))</f>
        <v/>
      </c>
      <c r="AU37" s="68" t="str">
        <f>IF(main!BG40="","",ROUND(main!BG40*100,6))</f>
        <v/>
      </c>
      <c r="AV37" s="68" t="str">
        <f>IF(main!BH40="","",ROUND(main!BH40*100,6))</f>
        <v/>
      </c>
      <c r="AW37" s="68" t="str">
        <f>IF(main!BI40="","",ROUND(main!BI40*100,6))</f>
        <v/>
      </c>
      <c r="AX37" s="68" t="str">
        <f>IF(main!BJ40="","",ROUND(main!BJ40*100,6))</f>
        <v/>
      </c>
      <c r="AY37" s="68" t="str">
        <f>IF(main!BK40="","",ROUND(main!BK40*100,6))</f>
        <v/>
      </c>
      <c r="AZ37" s="68" t="str">
        <f>IF(main!BL40="","",ROUND(main!BL40*100,6))</f>
        <v/>
      </c>
      <c r="BA37" s="68" t="str">
        <f>IF(main!BM40="","",ROUND(main!BM40*100,6))</f>
        <v/>
      </c>
      <c r="BB37" s="68" t="str">
        <f>IF(main!BN40="","",ROUND(main!BN40*100,6))</f>
        <v/>
      </c>
      <c r="BC37" s="68" t="str">
        <f>IF(main!BO40="","",ROUND(main!BO40*100,6))</f>
        <v/>
      </c>
      <c r="BD37" s="68" t="str">
        <f>IF(main!BP40="","",ROUND(main!BP40*100,6))</f>
        <v/>
      </c>
      <c r="BE37" s="68" t="str">
        <f>IF(main!BQ40="","",ROUND(main!BQ40*100,6))</f>
        <v/>
      </c>
      <c r="BF37" s="68" t="str">
        <f>IF(main!BR40="","",ROUND(main!BR40*100,6))</f>
        <v/>
      </c>
      <c r="BG37" s="68" t="str">
        <f>IF(main!BS40="","",ROUND(main!BS40*100,6))</f>
        <v/>
      </c>
      <c r="BH37" s="68" t="str">
        <f>IF(main!BT40="","",ROUND(main!BT40*100,6))</f>
        <v/>
      </c>
      <c r="BI37" s="68" t="str">
        <f>IF(main!BU40="","",ROUND(main!BU40*100,6))</f>
        <v/>
      </c>
      <c r="BJ37" s="68" t="str">
        <f>IF(main!BV40="","",ROUND(main!BV40*100,6))</f>
        <v/>
      </c>
      <c r="BK37" s="68" t="str">
        <f>IF(main!BW40="","",ROUND(main!BW40*100,6))</f>
        <v/>
      </c>
      <c r="BL37" s="68" t="str">
        <f>IF(main!BX40="","",ROUND(main!BX40*100,6))</f>
        <v/>
      </c>
      <c r="BM37" s="68" t="str">
        <f>IF(main!BY40="","",ROUND(main!BY40*100,6))</f>
        <v/>
      </c>
      <c r="BN37" s="68" t="str">
        <f>IF(main!BZ40="","",ROUND(main!BZ40*100,6))</f>
        <v/>
      </c>
      <c r="BO37" s="68" t="str">
        <f>IF(main!CA40="","",ROUND(main!CA40*100,6))</f>
        <v/>
      </c>
      <c r="BP37" s="68" t="str">
        <f>IF(main!CB40="","",ROUND(main!CB40*100,6))</f>
        <v/>
      </c>
      <c r="BQ37" s="68" t="str">
        <f>IF(main!CC40="","",ROUND(main!CC40*100,6))</f>
        <v/>
      </c>
      <c r="BR37" s="68" t="str">
        <f>IF(main!CD40="","",ROUND(main!CD40*100,6))</f>
        <v/>
      </c>
      <c r="BS37" s="68" t="str">
        <f>IF(main!CE40="","",ROUND(main!CE40*100,6))</f>
        <v/>
      </c>
      <c r="BT37" s="68" t="str">
        <f>IF(main!CF40="","",ROUND(main!CF40*100,6))</f>
        <v/>
      </c>
      <c r="BU37" s="68" t="str">
        <f>IF(main!CG40="","",ROUND(main!CG40*100,6))</f>
        <v/>
      </c>
      <c r="BV37" s="68" t="str">
        <f>IF(main!CH40="","",ROUND(main!CH40*100,6))</f>
        <v/>
      </c>
      <c r="BW37" s="68" t="str">
        <f>IF(main!CI40="","",ROUND(main!CI40*100,6))</f>
        <v/>
      </c>
      <c r="BX37" s="68" t="str">
        <f>IF(main!CJ40="","",ROUND(main!CJ40*100,6))</f>
        <v/>
      </c>
      <c r="BY37" s="68" t="str">
        <f>IF(main!CK40="","",ROUND(main!CK40*100,6))</f>
        <v/>
      </c>
      <c r="BZ37" s="68" t="str">
        <f>IF(main!CL40="","",ROUND(main!CL40*100,6))</f>
        <v/>
      </c>
      <c r="CA37" s="68" t="str">
        <f>IF(main!CM40="","",ROUND(main!CM40*100,6))</f>
        <v/>
      </c>
      <c r="CB37" s="68" t="str">
        <f>IF(main!CN40="","",ROUND(main!CN40*100,6))</f>
        <v/>
      </c>
      <c r="CC37" s="68" t="str">
        <f>IF(main!CO40="","",ROUND(main!CO40*100,6))</f>
        <v/>
      </c>
    </row>
    <row r="38" spans="1:81" x14ac:dyDescent="0.25">
      <c r="A38" s="65" t="s">
        <v>158</v>
      </c>
      <c r="B38" s="66" t="str">
        <f>main!C41</f>
        <v>Bored Pile</v>
      </c>
      <c r="C38" s="67">
        <f>main!O41</f>
        <v>100000</v>
      </c>
      <c r="D38" s="65" t="s">
        <v>110</v>
      </c>
      <c r="E38" s="68">
        <f t="shared" si="0"/>
        <v>100.000001</v>
      </c>
      <c r="F38" s="68" t="str">
        <f>IF(main!R41="","",ROUND(main!R41*100,6))</f>
        <v/>
      </c>
      <c r="G38" s="68" t="str">
        <f>IF(main!S41="","",ROUND(main!S41*100,6))</f>
        <v/>
      </c>
      <c r="H38" s="68" t="str">
        <f>IF(main!T41="","",ROUND(main!T41*100,6))</f>
        <v/>
      </c>
      <c r="I38" s="68" t="str">
        <f>IF(main!U41="","",ROUND(main!U41*100,6))</f>
        <v/>
      </c>
      <c r="J38" s="68" t="str">
        <f>IF(main!V41="","",ROUND(main!V41*100,6))</f>
        <v/>
      </c>
      <c r="K38" s="68" t="str">
        <f>IF(main!W41="","",ROUND(main!W41*100,6))</f>
        <v/>
      </c>
      <c r="L38" s="68" t="str">
        <f>IF(main!X41="","",ROUND(main!X41*100,6))</f>
        <v/>
      </c>
      <c r="M38" s="68" t="str">
        <f>IF(main!Y41="","",ROUND(main!Y41*100,6))</f>
        <v/>
      </c>
      <c r="N38" s="68" t="str">
        <f>IF(main!Z41="","",ROUND(main!Z41*100,6))</f>
        <v/>
      </c>
      <c r="O38" s="68" t="str">
        <f>IF(main!AA41="","",ROUND(main!AA41*100,6))</f>
        <v/>
      </c>
      <c r="P38" s="68" t="str">
        <f>IF(main!AB41="","",ROUND(main!AB41*100,6))</f>
        <v/>
      </c>
      <c r="Q38" s="68" t="str">
        <f>IF(main!AC41="","",ROUND(main!AC41*100,6))</f>
        <v/>
      </c>
      <c r="R38" s="68" t="str">
        <f>IF(main!AD41="","",ROUND(main!AD41*100,6))</f>
        <v/>
      </c>
      <c r="S38" s="68" t="str">
        <f>IF(main!AE41="","",ROUND(main!AE41*100,6))</f>
        <v/>
      </c>
      <c r="T38" s="68" t="str">
        <f>IF(main!AF41="","",ROUND(main!AF41*100,6))</f>
        <v/>
      </c>
      <c r="U38" s="68" t="str">
        <f>IF(main!AG41="","",ROUND(main!AG41*100,6))</f>
        <v/>
      </c>
      <c r="V38" s="68" t="str">
        <f>IF(main!AH41="","",ROUND(main!AH41*100,6))</f>
        <v/>
      </c>
      <c r="W38" s="68" t="str">
        <f>IF(main!AI41="","",ROUND(main!AI41*100,6))</f>
        <v/>
      </c>
      <c r="X38" s="68" t="str">
        <f>IF(main!AJ41="","",ROUND(main!AJ41*100,6))</f>
        <v/>
      </c>
      <c r="Y38" s="68" t="str">
        <f>IF(main!AK41="","",ROUND(main!AK41*100,6))</f>
        <v/>
      </c>
      <c r="Z38" s="68" t="str">
        <f>IF(main!AL41="","",ROUND(main!AL41*100,6))</f>
        <v/>
      </c>
      <c r="AA38" s="68" t="str">
        <f>IF(main!AM41="","",ROUND(main!AM41*100,6))</f>
        <v/>
      </c>
      <c r="AB38" s="68" t="str">
        <f>IF(main!AN41="","",ROUND(main!AN41*100,6))</f>
        <v/>
      </c>
      <c r="AC38" s="68" t="str">
        <f>IF(main!AO41="","",ROUND(main!AO41*100,6))</f>
        <v/>
      </c>
      <c r="AD38" s="68" t="str">
        <f>IF(main!AP41="","",ROUND(main!AP41*100,6))</f>
        <v/>
      </c>
      <c r="AE38" s="68" t="str">
        <f>IF(main!AQ41="","",ROUND(main!AQ41*100,6))</f>
        <v/>
      </c>
      <c r="AF38" s="68" t="str">
        <f>IF(main!AR41="","",ROUND(main!AR41*100,6))</f>
        <v/>
      </c>
      <c r="AG38" s="68">
        <f>IF(main!AS41="","",ROUND(main!AS41*100,6))</f>
        <v>32.258065000000002</v>
      </c>
      <c r="AH38" s="68">
        <f>IF(main!AT41="","",ROUND(main!AT41*100,6))</f>
        <v>33.870967999999998</v>
      </c>
      <c r="AI38" s="68">
        <f>IF(main!AU41="","",ROUND(main!AU41*100,6))</f>
        <v>22.580645000000001</v>
      </c>
      <c r="AJ38" s="68">
        <f>IF(main!AV41="","",ROUND(main!AV41*100,6))</f>
        <v>11.290323000000001</v>
      </c>
      <c r="AK38" s="68" t="str">
        <f>IF(main!AW41="","",ROUND(main!AW41*100,6))</f>
        <v/>
      </c>
      <c r="AL38" s="68" t="str">
        <f>IF(main!AX41="","",ROUND(main!AX41*100,6))</f>
        <v/>
      </c>
      <c r="AM38" s="68" t="str">
        <f>IF(main!AY41="","",ROUND(main!AY41*100,6))</f>
        <v/>
      </c>
      <c r="AN38" s="68" t="str">
        <f>IF(main!AZ41="","",ROUND(main!AZ41*100,6))</f>
        <v/>
      </c>
      <c r="AO38" s="68" t="str">
        <f>IF(main!BA41="","",ROUND(main!BA41*100,6))</f>
        <v/>
      </c>
      <c r="AP38" s="68" t="str">
        <f>IF(main!BB41="","",ROUND(main!BB41*100,6))</f>
        <v/>
      </c>
      <c r="AQ38" s="68" t="str">
        <f>IF(main!BC41="","",ROUND(main!BC41*100,6))</f>
        <v/>
      </c>
      <c r="AR38" s="68" t="str">
        <f>IF(main!BD41="","",ROUND(main!BD41*100,6))</f>
        <v/>
      </c>
      <c r="AS38" s="68" t="str">
        <f>IF(main!BE41="","",ROUND(main!BE41*100,6))</f>
        <v/>
      </c>
      <c r="AT38" s="68" t="str">
        <f>IF(main!BF41="","",ROUND(main!BF41*100,6))</f>
        <v/>
      </c>
      <c r="AU38" s="68" t="str">
        <f>IF(main!BG41="","",ROUND(main!BG41*100,6))</f>
        <v/>
      </c>
      <c r="AV38" s="68" t="str">
        <f>IF(main!BH41="","",ROUND(main!BH41*100,6))</f>
        <v/>
      </c>
      <c r="AW38" s="68" t="str">
        <f>IF(main!BI41="","",ROUND(main!BI41*100,6))</f>
        <v/>
      </c>
      <c r="AX38" s="68" t="str">
        <f>IF(main!BJ41="","",ROUND(main!BJ41*100,6))</f>
        <v/>
      </c>
      <c r="AY38" s="68" t="str">
        <f>IF(main!BK41="","",ROUND(main!BK41*100,6))</f>
        <v/>
      </c>
      <c r="AZ38" s="68" t="str">
        <f>IF(main!BL41="","",ROUND(main!BL41*100,6))</f>
        <v/>
      </c>
      <c r="BA38" s="68" t="str">
        <f>IF(main!BM41="","",ROUND(main!BM41*100,6))</f>
        <v/>
      </c>
      <c r="BB38" s="68" t="str">
        <f>IF(main!BN41="","",ROUND(main!BN41*100,6))</f>
        <v/>
      </c>
      <c r="BC38" s="68" t="str">
        <f>IF(main!BO41="","",ROUND(main!BO41*100,6))</f>
        <v/>
      </c>
      <c r="BD38" s="68" t="str">
        <f>IF(main!BP41="","",ROUND(main!BP41*100,6))</f>
        <v/>
      </c>
      <c r="BE38" s="68" t="str">
        <f>IF(main!BQ41="","",ROUND(main!BQ41*100,6))</f>
        <v/>
      </c>
      <c r="BF38" s="68" t="str">
        <f>IF(main!BR41="","",ROUND(main!BR41*100,6))</f>
        <v/>
      </c>
      <c r="BG38" s="68" t="str">
        <f>IF(main!BS41="","",ROUND(main!BS41*100,6))</f>
        <v/>
      </c>
      <c r="BH38" s="68" t="str">
        <f>IF(main!BT41="","",ROUND(main!BT41*100,6))</f>
        <v/>
      </c>
      <c r="BI38" s="68" t="str">
        <f>IF(main!BU41="","",ROUND(main!BU41*100,6))</f>
        <v/>
      </c>
      <c r="BJ38" s="68" t="str">
        <f>IF(main!BV41="","",ROUND(main!BV41*100,6))</f>
        <v/>
      </c>
      <c r="BK38" s="68" t="str">
        <f>IF(main!BW41="","",ROUND(main!BW41*100,6))</f>
        <v/>
      </c>
      <c r="BL38" s="68" t="str">
        <f>IF(main!BX41="","",ROUND(main!BX41*100,6))</f>
        <v/>
      </c>
      <c r="BM38" s="68" t="str">
        <f>IF(main!BY41="","",ROUND(main!BY41*100,6))</f>
        <v/>
      </c>
      <c r="BN38" s="68" t="str">
        <f>IF(main!BZ41="","",ROUND(main!BZ41*100,6))</f>
        <v/>
      </c>
      <c r="BO38" s="68" t="str">
        <f>IF(main!CA41="","",ROUND(main!CA41*100,6))</f>
        <v/>
      </c>
      <c r="BP38" s="68" t="str">
        <f>IF(main!CB41="","",ROUND(main!CB41*100,6))</f>
        <v/>
      </c>
      <c r="BQ38" s="68" t="str">
        <f>IF(main!CC41="","",ROUND(main!CC41*100,6))</f>
        <v/>
      </c>
      <c r="BR38" s="68" t="str">
        <f>IF(main!CD41="","",ROUND(main!CD41*100,6))</f>
        <v/>
      </c>
      <c r="BS38" s="68" t="str">
        <f>IF(main!CE41="","",ROUND(main!CE41*100,6))</f>
        <v/>
      </c>
      <c r="BT38" s="68" t="str">
        <f>IF(main!CF41="","",ROUND(main!CF41*100,6))</f>
        <v/>
      </c>
      <c r="BU38" s="68" t="str">
        <f>IF(main!CG41="","",ROUND(main!CG41*100,6))</f>
        <v/>
      </c>
      <c r="BV38" s="68" t="str">
        <f>IF(main!CH41="","",ROUND(main!CH41*100,6))</f>
        <v/>
      </c>
      <c r="BW38" s="68" t="str">
        <f>IF(main!CI41="","",ROUND(main!CI41*100,6))</f>
        <v/>
      </c>
      <c r="BX38" s="68" t="str">
        <f>IF(main!CJ41="","",ROUND(main!CJ41*100,6))</f>
        <v/>
      </c>
      <c r="BY38" s="68" t="str">
        <f>IF(main!CK41="","",ROUND(main!CK41*100,6))</f>
        <v/>
      </c>
      <c r="BZ38" s="68" t="str">
        <f>IF(main!CL41="","",ROUND(main!CL41*100,6))</f>
        <v/>
      </c>
      <c r="CA38" s="68" t="str">
        <f>IF(main!CM41="","",ROUND(main!CM41*100,6))</f>
        <v/>
      </c>
      <c r="CB38" s="68" t="str">
        <f>IF(main!CN41="","",ROUND(main!CN41*100,6))</f>
        <v/>
      </c>
      <c r="CC38" s="68" t="str">
        <f>IF(main!CO41="","",ROUND(main!CO41*100,6))</f>
        <v/>
      </c>
    </row>
    <row r="39" spans="1:81" x14ac:dyDescent="0.25">
      <c r="A39" s="65" t="s">
        <v>158</v>
      </c>
      <c r="B39" s="66" t="str">
        <f>main!C41</f>
        <v>Bored Pile</v>
      </c>
      <c r="C39" s="67">
        <f>main!O41</f>
        <v>100000</v>
      </c>
      <c r="D39" s="65" t="s">
        <v>111</v>
      </c>
      <c r="E39" s="68" t="str">
        <f t="shared" si="0"/>
        <v/>
      </c>
      <c r="F39" s="68" t="str">
        <f>IF(main!R42="","",ROUND(main!R42*100,6))</f>
        <v/>
      </c>
      <c r="G39" s="68" t="str">
        <f>IF(main!S42="","",ROUND(main!S42*100,6))</f>
        <v/>
      </c>
      <c r="H39" s="68" t="str">
        <f>IF(main!T42="","",ROUND(main!T42*100,6))</f>
        <v/>
      </c>
      <c r="I39" s="68" t="str">
        <f>IF(main!U42="","",ROUND(main!U42*100,6))</f>
        <v/>
      </c>
      <c r="J39" s="68" t="str">
        <f>IF(main!V42="","",ROUND(main!V42*100,6))</f>
        <v/>
      </c>
      <c r="K39" s="68" t="str">
        <f>IF(main!W42="","",ROUND(main!W42*100,6))</f>
        <v/>
      </c>
      <c r="L39" s="68" t="str">
        <f>IF(main!X42="","",ROUND(main!X42*100,6))</f>
        <v/>
      </c>
      <c r="M39" s="68" t="str">
        <f>IF(main!Y42="","",ROUND(main!Y42*100,6))</f>
        <v/>
      </c>
      <c r="N39" s="68" t="str">
        <f>IF(main!Z42="","",ROUND(main!Z42*100,6))</f>
        <v/>
      </c>
      <c r="O39" s="68" t="str">
        <f>IF(main!AA42="","",ROUND(main!AA42*100,6))</f>
        <v/>
      </c>
      <c r="P39" s="68" t="str">
        <f>IF(main!AB42="","",ROUND(main!AB42*100,6))</f>
        <v/>
      </c>
      <c r="Q39" s="68" t="str">
        <f>IF(main!AC42="","",ROUND(main!AC42*100,6))</f>
        <v/>
      </c>
      <c r="R39" s="68" t="str">
        <f>IF(main!AD42="","",ROUND(main!AD42*100,6))</f>
        <v/>
      </c>
      <c r="S39" s="68" t="str">
        <f>IF(main!AE42="","",ROUND(main!AE42*100,6))</f>
        <v/>
      </c>
      <c r="T39" s="68" t="str">
        <f>IF(main!AF42="","",ROUND(main!AF42*100,6))</f>
        <v/>
      </c>
      <c r="U39" s="68" t="str">
        <f>IF(main!AG42="","",ROUND(main!AG42*100,6))</f>
        <v/>
      </c>
      <c r="V39" s="68" t="str">
        <f>IF(main!AH42="","",ROUND(main!AH42*100,6))</f>
        <v/>
      </c>
      <c r="W39" s="68" t="str">
        <f>IF(main!AI42="","",ROUND(main!AI42*100,6))</f>
        <v/>
      </c>
      <c r="X39" s="68" t="str">
        <f>IF(main!AJ42="","",ROUND(main!AJ42*100,6))</f>
        <v/>
      </c>
      <c r="Y39" s="68" t="str">
        <f>IF(main!AK42="","",ROUND(main!AK42*100,6))</f>
        <v/>
      </c>
      <c r="Z39" s="68" t="str">
        <f>IF(main!AL42="","",ROUND(main!AL42*100,6))</f>
        <v/>
      </c>
      <c r="AA39" s="68" t="str">
        <f>IF(main!AM42="","",ROUND(main!AM42*100,6))</f>
        <v/>
      </c>
      <c r="AB39" s="68" t="str">
        <f>IF(main!AN42="","",ROUND(main!AN42*100,6))</f>
        <v/>
      </c>
      <c r="AC39" s="68" t="str">
        <f>IF(main!AO42="","",ROUND(main!AO42*100,6))</f>
        <v/>
      </c>
      <c r="AD39" s="68" t="str">
        <f>IF(main!AP42="","",ROUND(main!AP42*100,6))</f>
        <v/>
      </c>
      <c r="AE39" s="68" t="str">
        <f>IF(main!AQ42="","",ROUND(main!AQ42*100,6))</f>
        <v/>
      </c>
      <c r="AF39" s="68" t="str">
        <f>IF(main!AR42="","",ROUND(main!AR42*100,6))</f>
        <v/>
      </c>
      <c r="AG39" s="68" t="str">
        <f>IF(main!AS42="","",ROUND(main!AS42*100,6))</f>
        <v/>
      </c>
      <c r="AH39" s="68" t="str">
        <f>IF(main!AT42="","",ROUND(main!AT42*100,6))</f>
        <v/>
      </c>
      <c r="AI39" s="68" t="str">
        <f>IF(main!AU42="","",ROUND(main!AU42*100,6))</f>
        <v/>
      </c>
      <c r="AJ39" s="68" t="str">
        <f>IF(main!AV42="","",ROUND(main!AV42*100,6))</f>
        <v/>
      </c>
      <c r="AK39" s="68" t="str">
        <f>IF(main!AW42="","",ROUND(main!AW42*100,6))</f>
        <v/>
      </c>
      <c r="AL39" s="68" t="str">
        <f>IF(main!AX42="","",ROUND(main!AX42*100,6))</f>
        <v/>
      </c>
      <c r="AM39" s="68" t="str">
        <f>IF(main!AY42="","",ROUND(main!AY42*100,6))</f>
        <v/>
      </c>
      <c r="AN39" s="68" t="str">
        <f>IF(main!AZ42="","",ROUND(main!AZ42*100,6))</f>
        <v/>
      </c>
      <c r="AO39" s="68" t="str">
        <f>IF(main!BA42="","",ROUND(main!BA42*100,6))</f>
        <v/>
      </c>
      <c r="AP39" s="68" t="str">
        <f>IF(main!BB42="","",ROUND(main!BB42*100,6))</f>
        <v/>
      </c>
      <c r="AQ39" s="68" t="str">
        <f>IF(main!BC42="","",ROUND(main!BC42*100,6))</f>
        <v/>
      </c>
      <c r="AR39" s="68" t="str">
        <f>IF(main!BD42="","",ROUND(main!BD42*100,6))</f>
        <v/>
      </c>
      <c r="AS39" s="68" t="str">
        <f>IF(main!BE42="","",ROUND(main!BE42*100,6))</f>
        <v/>
      </c>
      <c r="AT39" s="68" t="str">
        <f>IF(main!BF42="","",ROUND(main!BF42*100,6))</f>
        <v/>
      </c>
      <c r="AU39" s="68" t="str">
        <f>IF(main!BG42="","",ROUND(main!BG42*100,6))</f>
        <v/>
      </c>
      <c r="AV39" s="68" t="str">
        <f>IF(main!BH42="","",ROUND(main!BH42*100,6))</f>
        <v/>
      </c>
      <c r="AW39" s="68" t="str">
        <f>IF(main!BI42="","",ROUND(main!BI42*100,6))</f>
        <v/>
      </c>
      <c r="AX39" s="68" t="str">
        <f>IF(main!BJ42="","",ROUND(main!BJ42*100,6))</f>
        <v/>
      </c>
      <c r="AY39" s="68" t="str">
        <f>IF(main!BK42="","",ROUND(main!BK42*100,6))</f>
        <v/>
      </c>
      <c r="AZ39" s="68" t="str">
        <f>IF(main!BL42="","",ROUND(main!BL42*100,6))</f>
        <v/>
      </c>
      <c r="BA39" s="68" t="str">
        <f>IF(main!BM42="","",ROUND(main!BM42*100,6))</f>
        <v/>
      </c>
      <c r="BB39" s="68" t="str">
        <f>IF(main!BN42="","",ROUND(main!BN42*100,6))</f>
        <v/>
      </c>
      <c r="BC39" s="68" t="str">
        <f>IF(main!BO42="","",ROUND(main!BO42*100,6))</f>
        <v/>
      </c>
      <c r="BD39" s="68" t="str">
        <f>IF(main!BP42="","",ROUND(main!BP42*100,6))</f>
        <v/>
      </c>
      <c r="BE39" s="68" t="str">
        <f>IF(main!BQ42="","",ROUND(main!BQ42*100,6))</f>
        <v/>
      </c>
      <c r="BF39" s="68" t="str">
        <f>IF(main!BR42="","",ROUND(main!BR42*100,6))</f>
        <v/>
      </c>
      <c r="BG39" s="68" t="str">
        <f>IF(main!BS42="","",ROUND(main!BS42*100,6))</f>
        <v/>
      </c>
      <c r="BH39" s="68" t="str">
        <f>IF(main!BT42="","",ROUND(main!BT42*100,6))</f>
        <v/>
      </c>
      <c r="BI39" s="68" t="str">
        <f>IF(main!BU42="","",ROUND(main!BU42*100,6))</f>
        <v/>
      </c>
      <c r="BJ39" s="68" t="str">
        <f>IF(main!BV42="","",ROUND(main!BV42*100,6))</f>
        <v/>
      </c>
      <c r="BK39" s="68" t="str">
        <f>IF(main!BW42="","",ROUND(main!BW42*100,6))</f>
        <v/>
      </c>
      <c r="BL39" s="68" t="str">
        <f>IF(main!BX42="","",ROUND(main!BX42*100,6))</f>
        <v/>
      </c>
      <c r="BM39" s="68" t="str">
        <f>IF(main!BY42="","",ROUND(main!BY42*100,6))</f>
        <v/>
      </c>
      <c r="BN39" s="68" t="str">
        <f>IF(main!BZ42="","",ROUND(main!BZ42*100,6))</f>
        <v/>
      </c>
      <c r="BO39" s="68" t="str">
        <f>IF(main!CA42="","",ROUND(main!CA42*100,6))</f>
        <v/>
      </c>
      <c r="BP39" s="68" t="str">
        <f>IF(main!CB42="","",ROUND(main!CB42*100,6))</f>
        <v/>
      </c>
      <c r="BQ39" s="68" t="str">
        <f>IF(main!CC42="","",ROUND(main!CC42*100,6))</f>
        <v/>
      </c>
      <c r="BR39" s="68" t="str">
        <f>IF(main!CD42="","",ROUND(main!CD42*100,6))</f>
        <v/>
      </c>
      <c r="BS39" s="68" t="str">
        <f>IF(main!CE42="","",ROUND(main!CE42*100,6))</f>
        <v/>
      </c>
      <c r="BT39" s="68" t="str">
        <f>IF(main!CF42="","",ROUND(main!CF42*100,6))</f>
        <v/>
      </c>
      <c r="BU39" s="68" t="str">
        <f>IF(main!CG42="","",ROUND(main!CG42*100,6))</f>
        <v/>
      </c>
      <c r="BV39" s="68" t="str">
        <f>IF(main!CH42="","",ROUND(main!CH42*100,6))</f>
        <v/>
      </c>
      <c r="BW39" s="68" t="str">
        <f>IF(main!CI42="","",ROUND(main!CI42*100,6))</f>
        <v/>
      </c>
      <c r="BX39" s="68" t="str">
        <f>IF(main!CJ42="","",ROUND(main!CJ42*100,6))</f>
        <v/>
      </c>
      <c r="BY39" s="68" t="str">
        <f>IF(main!CK42="","",ROUND(main!CK42*100,6))</f>
        <v/>
      </c>
      <c r="BZ39" s="68" t="str">
        <f>IF(main!CL42="","",ROUND(main!CL42*100,6))</f>
        <v/>
      </c>
      <c r="CA39" s="68" t="str">
        <f>IF(main!CM42="","",ROUND(main!CM42*100,6))</f>
        <v/>
      </c>
      <c r="CB39" s="68" t="str">
        <f>IF(main!CN42="","",ROUND(main!CN42*100,6))</f>
        <v/>
      </c>
      <c r="CC39" s="68" t="str">
        <f>IF(main!CO42="","",ROUND(main!CO42*100,6))</f>
        <v/>
      </c>
    </row>
    <row r="40" spans="1:81" x14ac:dyDescent="0.25">
      <c r="A40" s="65" t="s">
        <v>161</v>
      </c>
      <c r="B40" s="66" t="str">
        <f>main!C43</f>
        <v>Toilet &amp; Pantry</v>
      </c>
      <c r="C40" s="67">
        <f>main!O43</f>
        <v>400000</v>
      </c>
      <c r="D40" s="65" t="s">
        <v>110</v>
      </c>
      <c r="E40" s="68">
        <f t="shared" si="0"/>
        <v>100</v>
      </c>
      <c r="F40" s="68" t="str">
        <f>IF(main!R43="","",ROUND(main!R43*100,6))</f>
        <v/>
      </c>
      <c r="G40" s="68" t="str">
        <f>IF(main!S43="","",ROUND(main!S43*100,6))</f>
        <v/>
      </c>
      <c r="H40" s="68" t="str">
        <f>IF(main!T43="","",ROUND(main!T43*100,6))</f>
        <v/>
      </c>
      <c r="I40" s="68" t="str">
        <f>IF(main!U43="","",ROUND(main!U43*100,6))</f>
        <v/>
      </c>
      <c r="J40" s="68" t="str">
        <f>IF(main!V43="","",ROUND(main!V43*100,6))</f>
        <v/>
      </c>
      <c r="K40" s="68" t="str">
        <f>IF(main!W43="","",ROUND(main!W43*100,6))</f>
        <v/>
      </c>
      <c r="L40" s="68" t="str">
        <f>IF(main!X43="","",ROUND(main!X43*100,6))</f>
        <v/>
      </c>
      <c r="M40" s="68" t="str">
        <f>IF(main!Y43="","",ROUND(main!Y43*100,6))</f>
        <v/>
      </c>
      <c r="N40" s="68" t="str">
        <f>IF(main!Z43="","",ROUND(main!Z43*100,6))</f>
        <v/>
      </c>
      <c r="O40" s="68" t="str">
        <f>IF(main!AA43="","",ROUND(main!AA43*100,6))</f>
        <v/>
      </c>
      <c r="P40" s="68" t="str">
        <f>IF(main!AB43="","",ROUND(main!AB43*100,6))</f>
        <v/>
      </c>
      <c r="Q40" s="68" t="str">
        <f>IF(main!AC43="","",ROUND(main!AC43*100,6))</f>
        <v/>
      </c>
      <c r="R40" s="68" t="str">
        <f>IF(main!AD43="","",ROUND(main!AD43*100,6))</f>
        <v/>
      </c>
      <c r="S40" s="68" t="str">
        <f>IF(main!AE43="","",ROUND(main!AE43*100,6))</f>
        <v/>
      </c>
      <c r="T40" s="68" t="str">
        <f>IF(main!AF43="","",ROUND(main!AF43*100,6))</f>
        <v/>
      </c>
      <c r="U40" s="68" t="str">
        <f>IF(main!AG43="","",ROUND(main!AG43*100,6))</f>
        <v/>
      </c>
      <c r="V40" s="68" t="str">
        <f>IF(main!AH43="","",ROUND(main!AH43*100,6))</f>
        <v/>
      </c>
      <c r="W40" s="68" t="str">
        <f>IF(main!AI43="","",ROUND(main!AI43*100,6))</f>
        <v/>
      </c>
      <c r="X40" s="68" t="str">
        <f>IF(main!AJ43="","",ROUND(main!AJ43*100,6))</f>
        <v/>
      </c>
      <c r="Y40" s="68" t="str">
        <f>IF(main!AK43="","",ROUND(main!AK43*100,6))</f>
        <v/>
      </c>
      <c r="Z40" s="68" t="str">
        <f>IF(main!AL43="","",ROUND(main!AL43*100,6))</f>
        <v/>
      </c>
      <c r="AA40" s="68" t="str">
        <f>IF(main!AM43="","",ROUND(main!AM43*100,6))</f>
        <v/>
      </c>
      <c r="AB40" s="68" t="str">
        <f>IF(main!AN43="","",ROUND(main!AN43*100,6))</f>
        <v/>
      </c>
      <c r="AC40" s="68" t="str">
        <f>IF(main!AO43="","",ROUND(main!AO43*100,6))</f>
        <v/>
      </c>
      <c r="AD40" s="68" t="str">
        <f>IF(main!AP43="","",ROUND(main!AP43*100,6))</f>
        <v/>
      </c>
      <c r="AE40" s="68" t="str">
        <f>IF(main!AQ43="","",ROUND(main!AQ43*100,6))</f>
        <v/>
      </c>
      <c r="AF40" s="68" t="str">
        <f>IF(main!AR43="","",ROUND(main!AR43*100,6))</f>
        <v/>
      </c>
      <c r="AG40" s="68" t="str">
        <f>IF(main!AS43="","",ROUND(main!AS43*100,6))</f>
        <v/>
      </c>
      <c r="AH40" s="68" t="str">
        <f>IF(main!AT43="","",ROUND(main!AT43*100,6))</f>
        <v/>
      </c>
      <c r="AI40" s="68" t="str">
        <f>IF(main!AU43="","",ROUND(main!AU43*100,6))</f>
        <v/>
      </c>
      <c r="AJ40" s="68" t="str">
        <f>IF(main!AV43="","",ROUND(main!AV43*100,6))</f>
        <v/>
      </c>
      <c r="AK40" s="68">
        <f>IF(main!AW43="","",ROUND(main!AW43*100,6))</f>
        <v>10.416667</v>
      </c>
      <c r="AL40" s="68">
        <f>IF(main!AX43="","",ROUND(main!AX43*100,6))</f>
        <v>9.7222220000000004</v>
      </c>
      <c r="AM40" s="68">
        <f>IF(main!AY43="","",ROUND(main!AY43*100,6))</f>
        <v>4.8611110000000002</v>
      </c>
      <c r="AN40" s="68">
        <f>IF(main!AZ43="","",ROUND(main!AZ43*100,6))</f>
        <v>10.416667</v>
      </c>
      <c r="AO40" s="68">
        <f>IF(main!BA43="","",ROUND(main!BA43*100,6))</f>
        <v>14.583333</v>
      </c>
      <c r="AP40" s="68">
        <f>IF(main!BB43="","",ROUND(main!BB43*100,6))</f>
        <v>4.3063390000000004</v>
      </c>
      <c r="AQ40" s="68">
        <f>IF(main!BC43="","",ROUND(main!BC43*100,6))</f>
        <v>14.664787</v>
      </c>
      <c r="AR40" s="68">
        <f>IF(main!BD43="","",ROUND(main!BD43*100,6))</f>
        <v>6.0288740000000001</v>
      </c>
      <c r="AS40" s="68">
        <f>IF(main!BE43="","",ROUND(main!BE43*100,6))</f>
        <v>4.3063390000000004</v>
      </c>
      <c r="AT40" s="68">
        <f>IF(main!BF43="","",ROUND(main!BF43*100,6))</f>
        <v>14.664787</v>
      </c>
      <c r="AU40" s="68">
        <f>IF(main!BG43="","",ROUND(main!BG43*100,6))</f>
        <v>6.0288740000000001</v>
      </c>
      <c r="AV40" s="68" t="str">
        <f>IF(main!BH43="","",ROUND(main!BH43*100,6))</f>
        <v/>
      </c>
      <c r="AW40" s="68" t="str">
        <f>IF(main!BI43="","",ROUND(main!BI43*100,6))</f>
        <v/>
      </c>
      <c r="AX40" s="68" t="str">
        <f>IF(main!BJ43="","",ROUND(main!BJ43*100,6))</f>
        <v/>
      </c>
      <c r="AY40" s="68" t="str">
        <f>IF(main!BK43="","",ROUND(main!BK43*100,6))</f>
        <v/>
      </c>
      <c r="AZ40" s="68" t="str">
        <f>IF(main!BL43="","",ROUND(main!BL43*100,6))</f>
        <v/>
      </c>
      <c r="BA40" s="68" t="str">
        <f>IF(main!BM43="","",ROUND(main!BM43*100,6))</f>
        <v/>
      </c>
      <c r="BB40" s="68" t="str">
        <f>IF(main!BN43="","",ROUND(main!BN43*100,6))</f>
        <v/>
      </c>
      <c r="BC40" s="68" t="str">
        <f>IF(main!BO43="","",ROUND(main!BO43*100,6))</f>
        <v/>
      </c>
      <c r="BD40" s="68" t="str">
        <f>IF(main!BP43="","",ROUND(main!BP43*100,6))</f>
        <v/>
      </c>
      <c r="BE40" s="68" t="str">
        <f>IF(main!BQ43="","",ROUND(main!BQ43*100,6))</f>
        <v/>
      </c>
      <c r="BF40" s="68" t="str">
        <f>IF(main!BR43="","",ROUND(main!BR43*100,6))</f>
        <v/>
      </c>
      <c r="BG40" s="68" t="str">
        <f>IF(main!BS43="","",ROUND(main!BS43*100,6))</f>
        <v/>
      </c>
      <c r="BH40" s="68" t="str">
        <f>IF(main!BT43="","",ROUND(main!BT43*100,6))</f>
        <v/>
      </c>
      <c r="BI40" s="68" t="str">
        <f>IF(main!BU43="","",ROUND(main!BU43*100,6))</f>
        <v/>
      </c>
      <c r="BJ40" s="68" t="str">
        <f>IF(main!BV43="","",ROUND(main!BV43*100,6))</f>
        <v/>
      </c>
      <c r="BK40" s="68" t="str">
        <f>IF(main!BW43="","",ROUND(main!BW43*100,6))</f>
        <v/>
      </c>
      <c r="BL40" s="68" t="str">
        <f>IF(main!BX43="","",ROUND(main!BX43*100,6))</f>
        <v/>
      </c>
      <c r="BM40" s="68" t="str">
        <f>IF(main!BY43="","",ROUND(main!BY43*100,6))</f>
        <v/>
      </c>
      <c r="BN40" s="68" t="str">
        <f>IF(main!BZ43="","",ROUND(main!BZ43*100,6))</f>
        <v/>
      </c>
      <c r="BO40" s="68" t="str">
        <f>IF(main!CA43="","",ROUND(main!CA43*100,6))</f>
        <v/>
      </c>
      <c r="BP40" s="68" t="str">
        <f>IF(main!CB43="","",ROUND(main!CB43*100,6))</f>
        <v/>
      </c>
      <c r="BQ40" s="68" t="str">
        <f>IF(main!CC43="","",ROUND(main!CC43*100,6))</f>
        <v/>
      </c>
      <c r="BR40" s="68" t="str">
        <f>IF(main!CD43="","",ROUND(main!CD43*100,6))</f>
        <v/>
      </c>
      <c r="BS40" s="68" t="str">
        <f>IF(main!CE43="","",ROUND(main!CE43*100,6))</f>
        <v/>
      </c>
      <c r="BT40" s="68" t="str">
        <f>IF(main!CF43="","",ROUND(main!CF43*100,6))</f>
        <v/>
      </c>
      <c r="BU40" s="68" t="str">
        <f>IF(main!CG43="","",ROUND(main!CG43*100,6))</f>
        <v/>
      </c>
      <c r="BV40" s="68" t="str">
        <f>IF(main!CH43="","",ROUND(main!CH43*100,6))</f>
        <v/>
      </c>
      <c r="BW40" s="68" t="str">
        <f>IF(main!CI43="","",ROUND(main!CI43*100,6))</f>
        <v/>
      </c>
      <c r="BX40" s="68" t="str">
        <f>IF(main!CJ43="","",ROUND(main!CJ43*100,6))</f>
        <v/>
      </c>
      <c r="BY40" s="68" t="str">
        <f>IF(main!CK43="","",ROUND(main!CK43*100,6))</f>
        <v/>
      </c>
      <c r="BZ40" s="68" t="str">
        <f>IF(main!CL43="","",ROUND(main!CL43*100,6))</f>
        <v/>
      </c>
      <c r="CA40" s="68" t="str">
        <f>IF(main!CM43="","",ROUND(main!CM43*100,6))</f>
        <v/>
      </c>
      <c r="CB40" s="68" t="str">
        <f>IF(main!CN43="","",ROUND(main!CN43*100,6))</f>
        <v/>
      </c>
      <c r="CC40" s="68" t="str">
        <f>IF(main!CO43="","",ROUND(main!CO43*100,6))</f>
        <v/>
      </c>
    </row>
    <row r="41" spans="1:81" x14ac:dyDescent="0.25">
      <c r="A41" s="65" t="s">
        <v>161</v>
      </c>
      <c r="B41" s="66" t="str">
        <f>main!C43</f>
        <v>Toilet &amp; Pantry</v>
      </c>
      <c r="C41" s="67">
        <f>main!O43</f>
        <v>400000</v>
      </c>
      <c r="D41" s="65" t="s">
        <v>111</v>
      </c>
      <c r="E41" s="68" t="str">
        <f t="shared" si="0"/>
        <v/>
      </c>
      <c r="F41" s="68" t="str">
        <f>IF(main!R44="","",ROUND(main!R44*100,6))</f>
        <v/>
      </c>
      <c r="G41" s="68" t="str">
        <f>IF(main!S44="","",ROUND(main!S44*100,6))</f>
        <v/>
      </c>
      <c r="H41" s="68" t="str">
        <f>IF(main!T44="","",ROUND(main!T44*100,6))</f>
        <v/>
      </c>
      <c r="I41" s="68" t="str">
        <f>IF(main!U44="","",ROUND(main!U44*100,6))</f>
        <v/>
      </c>
      <c r="J41" s="68" t="str">
        <f>IF(main!V44="","",ROUND(main!V44*100,6))</f>
        <v/>
      </c>
      <c r="K41" s="68" t="str">
        <f>IF(main!W44="","",ROUND(main!W44*100,6))</f>
        <v/>
      </c>
      <c r="L41" s="68" t="str">
        <f>IF(main!X44="","",ROUND(main!X44*100,6))</f>
        <v/>
      </c>
      <c r="M41" s="68" t="str">
        <f>IF(main!Y44="","",ROUND(main!Y44*100,6))</f>
        <v/>
      </c>
      <c r="N41" s="68" t="str">
        <f>IF(main!Z44="","",ROUND(main!Z44*100,6))</f>
        <v/>
      </c>
      <c r="O41" s="68" t="str">
        <f>IF(main!AA44="","",ROUND(main!AA44*100,6))</f>
        <v/>
      </c>
      <c r="P41" s="68" t="str">
        <f>IF(main!AB44="","",ROUND(main!AB44*100,6))</f>
        <v/>
      </c>
      <c r="Q41" s="68" t="str">
        <f>IF(main!AC44="","",ROUND(main!AC44*100,6))</f>
        <v/>
      </c>
      <c r="R41" s="68" t="str">
        <f>IF(main!AD44="","",ROUND(main!AD44*100,6))</f>
        <v/>
      </c>
      <c r="S41" s="68" t="str">
        <f>IF(main!AE44="","",ROUND(main!AE44*100,6))</f>
        <v/>
      </c>
      <c r="T41" s="68" t="str">
        <f>IF(main!AF44="","",ROUND(main!AF44*100,6))</f>
        <v/>
      </c>
      <c r="U41" s="68" t="str">
        <f>IF(main!AG44="","",ROUND(main!AG44*100,6))</f>
        <v/>
      </c>
      <c r="V41" s="68" t="str">
        <f>IF(main!AH44="","",ROUND(main!AH44*100,6))</f>
        <v/>
      </c>
      <c r="W41" s="68" t="str">
        <f>IF(main!AI44="","",ROUND(main!AI44*100,6))</f>
        <v/>
      </c>
      <c r="X41" s="68" t="str">
        <f>IF(main!AJ44="","",ROUND(main!AJ44*100,6))</f>
        <v/>
      </c>
      <c r="Y41" s="68" t="str">
        <f>IF(main!AK44="","",ROUND(main!AK44*100,6))</f>
        <v/>
      </c>
      <c r="Z41" s="68" t="str">
        <f>IF(main!AL44="","",ROUND(main!AL44*100,6))</f>
        <v/>
      </c>
      <c r="AA41" s="68" t="str">
        <f>IF(main!AM44="","",ROUND(main!AM44*100,6))</f>
        <v/>
      </c>
      <c r="AB41" s="68" t="str">
        <f>IF(main!AN44="","",ROUND(main!AN44*100,6))</f>
        <v/>
      </c>
      <c r="AC41" s="68" t="str">
        <f>IF(main!AO44="","",ROUND(main!AO44*100,6))</f>
        <v/>
      </c>
      <c r="AD41" s="68" t="str">
        <f>IF(main!AP44="","",ROUND(main!AP44*100,6))</f>
        <v/>
      </c>
      <c r="AE41" s="68" t="str">
        <f>IF(main!AQ44="","",ROUND(main!AQ44*100,6))</f>
        <v/>
      </c>
      <c r="AF41" s="68" t="str">
        <f>IF(main!AR44="","",ROUND(main!AR44*100,6))</f>
        <v/>
      </c>
      <c r="AG41" s="68" t="str">
        <f>IF(main!AS44="","",ROUND(main!AS44*100,6))</f>
        <v/>
      </c>
      <c r="AH41" s="68" t="str">
        <f>IF(main!AT44="","",ROUND(main!AT44*100,6))</f>
        <v/>
      </c>
      <c r="AI41" s="68" t="str">
        <f>IF(main!AU44="","",ROUND(main!AU44*100,6))</f>
        <v/>
      </c>
      <c r="AJ41" s="68" t="str">
        <f>IF(main!AV44="","",ROUND(main!AV44*100,6))</f>
        <v/>
      </c>
      <c r="AK41" s="68" t="str">
        <f>IF(main!AW44="","",ROUND(main!AW44*100,6))</f>
        <v/>
      </c>
      <c r="AL41" s="68" t="str">
        <f>IF(main!AX44="","",ROUND(main!AX44*100,6))</f>
        <v/>
      </c>
      <c r="AM41" s="68" t="str">
        <f>IF(main!AY44="","",ROUND(main!AY44*100,6))</f>
        <v/>
      </c>
      <c r="AN41" s="68" t="str">
        <f>IF(main!AZ44="","",ROUND(main!AZ44*100,6))</f>
        <v/>
      </c>
      <c r="AO41" s="68" t="str">
        <f>IF(main!BA44="","",ROUND(main!BA44*100,6))</f>
        <v/>
      </c>
      <c r="AP41" s="68" t="str">
        <f>IF(main!BB44="","",ROUND(main!BB44*100,6))</f>
        <v/>
      </c>
      <c r="AQ41" s="68" t="str">
        <f>IF(main!BC44="","",ROUND(main!BC44*100,6))</f>
        <v/>
      </c>
      <c r="AR41" s="68" t="str">
        <f>IF(main!BD44="","",ROUND(main!BD44*100,6))</f>
        <v/>
      </c>
      <c r="AS41" s="68" t="str">
        <f>IF(main!BE44="","",ROUND(main!BE44*100,6))</f>
        <v/>
      </c>
      <c r="AT41" s="68" t="str">
        <f>IF(main!BF44="","",ROUND(main!BF44*100,6))</f>
        <v/>
      </c>
      <c r="AU41" s="68" t="str">
        <f>IF(main!BG44="","",ROUND(main!BG44*100,6))</f>
        <v/>
      </c>
      <c r="AV41" s="68" t="str">
        <f>IF(main!BH44="","",ROUND(main!BH44*100,6))</f>
        <v/>
      </c>
      <c r="AW41" s="68" t="str">
        <f>IF(main!BI44="","",ROUND(main!BI44*100,6))</f>
        <v/>
      </c>
      <c r="AX41" s="68" t="str">
        <f>IF(main!BJ44="","",ROUND(main!BJ44*100,6))</f>
        <v/>
      </c>
      <c r="AY41" s="68" t="str">
        <f>IF(main!BK44="","",ROUND(main!BK44*100,6))</f>
        <v/>
      </c>
      <c r="AZ41" s="68" t="str">
        <f>IF(main!BL44="","",ROUND(main!BL44*100,6))</f>
        <v/>
      </c>
      <c r="BA41" s="68" t="str">
        <f>IF(main!BM44="","",ROUND(main!BM44*100,6))</f>
        <v/>
      </c>
      <c r="BB41" s="68" t="str">
        <f>IF(main!BN44="","",ROUND(main!BN44*100,6))</f>
        <v/>
      </c>
      <c r="BC41" s="68" t="str">
        <f>IF(main!BO44="","",ROUND(main!BO44*100,6))</f>
        <v/>
      </c>
      <c r="BD41" s="68" t="str">
        <f>IF(main!BP44="","",ROUND(main!BP44*100,6))</f>
        <v/>
      </c>
      <c r="BE41" s="68" t="str">
        <f>IF(main!BQ44="","",ROUND(main!BQ44*100,6))</f>
        <v/>
      </c>
      <c r="BF41" s="68" t="str">
        <f>IF(main!BR44="","",ROUND(main!BR44*100,6))</f>
        <v/>
      </c>
      <c r="BG41" s="68" t="str">
        <f>IF(main!BS44="","",ROUND(main!BS44*100,6))</f>
        <v/>
      </c>
      <c r="BH41" s="68" t="str">
        <f>IF(main!BT44="","",ROUND(main!BT44*100,6))</f>
        <v/>
      </c>
      <c r="BI41" s="68" t="str">
        <f>IF(main!BU44="","",ROUND(main!BU44*100,6))</f>
        <v/>
      </c>
      <c r="BJ41" s="68" t="str">
        <f>IF(main!BV44="","",ROUND(main!BV44*100,6))</f>
        <v/>
      </c>
      <c r="BK41" s="68" t="str">
        <f>IF(main!BW44="","",ROUND(main!BW44*100,6))</f>
        <v/>
      </c>
      <c r="BL41" s="68" t="str">
        <f>IF(main!BX44="","",ROUND(main!BX44*100,6))</f>
        <v/>
      </c>
      <c r="BM41" s="68" t="str">
        <f>IF(main!BY44="","",ROUND(main!BY44*100,6))</f>
        <v/>
      </c>
      <c r="BN41" s="68" t="str">
        <f>IF(main!BZ44="","",ROUND(main!BZ44*100,6))</f>
        <v/>
      </c>
      <c r="BO41" s="68" t="str">
        <f>IF(main!CA44="","",ROUND(main!CA44*100,6))</f>
        <v/>
      </c>
      <c r="BP41" s="68" t="str">
        <f>IF(main!CB44="","",ROUND(main!CB44*100,6))</f>
        <v/>
      </c>
      <c r="BQ41" s="68" t="str">
        <f>IF(main!CC44="","",ROUND(main!CC44*100,6))</f>
        <v/>
      </c>
      <c r="BR41" s="68" t="str">
        <f>IF(main!CD44="","",ROUND(main!CD44*100,6))</f>
        <v/>
      </c>
      <c r="BS41" s="68" t="str">
        <f>IF(main!CE44="","",ROUND(main!CE44*100,6))</f>
        <v/>
      </c>
      <c r="BT41" s="68" t="str">
        <f>IF(main!CF44="","",ROUND(main!CF44*100,6))</f>
        <v/>
      </c>
      <c r="BU41" s="68" t="str">
        <f>IF(main!CG44="","",ROUND(main!CG44*100,6))</f>
        <v/>
      </c>
      <c r="BV41" s="68" t="str">
        <f>IF(main!CH44="","",ROUND(main!CH44*100,6))</f>
        <v/>
      </c>
      <c r="BW41" s="68" t="str">
        <f>IF(main!CI44="","",ROUND(main!CI44*100,6))</f>
        <v/>
      </c>
      <c r="BX41" s="68" t="str">
        <f>IF(main!CJ44="","",ROUND(main!CJ44*100,6))</f>
        <v/>
      </c>
      <c r="BY41" s="68" t="str">
        <f>IF(main!CK44="","",ROUND(main!CK44*100,6))</f>
        <v/>
      </c>
      <c r="BZ41" s="68" t="str">
        <f>IF(main!CL44="","",ROUND(main!CL44*100,6))</f>
        <v/>
      </c>
      <c r="CA41" s="68" t="str">
        <f>IF(main!CM44="","",ROUND(main!CM44*100,6))</f>
        <v/>
      </c>
      <c r="CB41" s="68" t="str">
        <f>IF(main!CN44="","",ROUND(main!CN44*100,6))</f>
        <v/>
      </c>
      <c r="CC41" s="68" t="str">
        <f>IF(main!CO44="","",ROUND(main!CO44*100,6))</f>
        <v/>
      </c>
    </row>
    <row r="42" spans="1:81" x14ac:dyDescent="0.25">
      <c r="A42" s="65" t="s">
        <v>163</v>
      </c>
      <c r="B42" s="66" t="str">
        <f>main!C45</f>
        <v>Foundation</v>
      </c>
      <c r="C42" s="67">
        <f>main!O45</f>
        <v>100000</v>
      </c>
      <c r="D42" s="65" t="s">
        <v>110</v>
      </c>
      <c r="E42" s="68">
        <f t="shared" si="0"/>
        <v>100</v>
      </c>
      <c r="F42" s="68" t="str">
        <f>IF(main!R45="","",ROUND(main!R45*100,6))</f>
        <v/>
      </c>
      <c r="G42" s="68" t="str">
        <f>IF(main!S45="","",ROUND(main!S45*100,6))</f>
        <v/>
      </c>
      <c r="H42" s="68" t="str">
        <f>IF(main!T45="","",ROUND(main!T45*100,6))</f>
        <v/>
      </c>
      <c r="I42" s="68" t="str">
        <f>IF(main!U45="","",ROUND(main!U45*100,6))</f>
        <v/>
      </c>
      <c r="J42" s="68" t="str">
        <f>IF(main!V45="","",ROUND(main!V45*100,6))</f>
        <v/>
      </c>
      <c r="K42" s="68" t="str">
        <f>IF(main!W45="","",ROUND(main!W45*100,6))</f>
        <v/>
      </c>
      <c r="L42" s="68" t="str">
        <f>IF(main!X45="","",ROUND(main!X45*100,6))</f>
        <v/>
      </c>
      <c r="M42" s="68" t="str">
        <f>IF(main!Y45="","",ROUND(main!Y45*100,6))</f>
        <v/>
      </c>
      <c r="N42" s="68" t="str">
        <f>IF(main!Z45="","",ROUND(main!Z45*100,6))</f>
        <v/>
      </c>
      <c r="O42" s="68" t="str">
        <f>IF(main!AA45="","",ROUND(main!AA45*100,6))</f>
        <v/>
      </c>
      <c r="P42" s="68" t="str">
        <f>IF(main!AB45="","",ROUND(main!AB45*100,6))</f>
        <v/>
      </c>
      <c r="Q42" s="68" t="str">
        <f>IF(main!AC45="","",ROUND(main!AC45*100,6))</f>
        <v/>
      </c>
      <c r="R42" s="68" t="str">
        <f>IF(main!AD45="","",ROUND(main!AD45*100,6))</f>
        <v/>
      </c>
      <c r="S42" s="68" t="str">
        <f>IF(main!AE45="","",ROUND(main!AE45*100,6))</f>
        <v/>
      </c>
      <c r="T42" s="68" t="str">
        <f>IF(main!AF45="","",ROUND(main!AF45*100,6))</f>
        <v/>
      </c>
      <c r="U42" s="68" t="str">
        <f>IF(main!AG45="","",ROUND(main!AG45*100,6))</f>
        <v/>
      </c>
      <c r="V42" s="68" t="str">
        <f>IF(main!AH45="","",ROUND(main!AH45*100,6))</f>
        <v/>
      </c>
      <c r="W42" s="68" t="str">
        <f>IF(main!AI45="","",ROUND(main!AI45*100,6))</f>
        <v/>
      </c>
      <c r="X42" s="68" t="str">
        <f>IF(main!AJ45="","",ROUND(main!AJ45*100,6))</f>
        <v/>
      </c>
      <c r="Y42" s="68" t="str">
        <f>IF(main!AK45="","",ROUND(main!AK45*100,6))</f>
        <v/>
      </c>
      <c r="Z42" s="68" t="str">
        <f>IF(main!AL45="","",ROUND(main!AL45*100,6))</f>
        <v/>
      </c>
      <c r="AA42" s="68" t="str">
        <f>IF(main!AM45="","",ROUND(main!AM45*100,6))</f>
        <v/>
      </c>
      <c r="AB42" s="68" t="str">
        <f>IF(main!AN45="","",ROUND(main!AN45*100,6))</f>
        <v/>
      </c>
      <c r="AC42" s="68" t="str">
        <f>IF(main!AO45="","",ROUND(main!AO45*100,6))</f>
        <v/>
      </c>
      <c r="AD42" s="68" t="str">
        <f>IF(main!AP45="","",ROUND(main!AP45*100,6))</f>
        <v/>
      </c>
      <c r="AE42" s="68" t="str">
        <f>IF(main!AQ45="","",ROUND(main!AQ45*100,6))</f>
        <v/>
      </c>
      <c r="AF42" s="68" t="str">
        <f>IF(main!AR45="","",ROUND(main!AR45*100,6))</f>
        <v/>
      </c>
      <c r="AG42" s="68" t="str">
        <f>IF(main!AS45="","",ROUND(main!AS45*100,6))</f>
        <v/>
      </c>
      <c r="AH42" s="68" t="str">
        <f>IF(main!AT45="","",ROUND(main!AT45*100,6))</f>
        <v/>
      </c>
      <c r="AI42" s="68" t="str">
        <f>IF(main!AU45="","",ROUND(main!AU45*100,6))</f>
        <v/>
      </c>
      <c r="AJ42" s="68" t="str">
        <f>IF(main!AV45="","",ROUND(main!AV45*100,6))</f>
        <v/>
      </c>
      <c r="AK42" s="68">
        <f>IF(main!AW45="","",ROUND(main!AW45*100,6))</f>
        <v>41.666666999999997</v>
      </c>
      <c r="AL42" s="68">
        <f>IF(main!AX45="","",ROUND(main!AX45*100,6))</f>
        <v>38.888888999999999</v>
      </c>
      <c r="AM42" s="68">
        <f>IF(main!AY45="","",ROUND(main!AY45*100,6))</f>
        <v>19.444444000000001</v>
      </c>
      <c r="AN42" s="68" t="str">
        <f>IF(main!AZ45="","",ROUND(main!AZ45*100,6))</f>
        <v/>
      </c>
      <c r="AO42" s="68" t="str">
        <f>IF(main!BA45="","",ROUND(main!BA45*100,6))</f>
        <v/>
      </c>
      <c r="AP42" s="68" t="str">
        <f>IF(main!BB45="","",ROUND(main!BB45*100,6))</f>
        <v/>
      </c>
      <c r="AQ42" s="68" t="str">
        <f>IF(main!BC45="","",ROUND(main!BC45*100,6))</f>
        <v/>
      </c>
      <c r="AR42" s="68" t="str">
        <f>IF(main!BD45="","",ROUND(main!BD45*100,6))</f>
        <v/>
      </c>
      <c r="AS42" s="68" t="str">
        <f>IF(main!BE45="","",ROUND(main!BE45*100,6))</f>
        <v/>
      </c>
      <c r="AT42" s="68" t="str">
        <f>IF(main!BF45="","",ROUND(main!BF45*100,6))</f>
        <v/>
      </c>
      <c r="AU42" s="68" t="str">
        <f>IF(main!BG45="","",ROUND(main!BG45*100,6))</f>
        <v/>
      </c>
      <c r="AV42" s="68" t="str">
        <f>IF(main!BH45="","",ROUND(main!BH45*100,6))</f>
        <v/>
      </c>
      <c r="AW42" s="68" t="str">
        <f>IF(main!BI45="","",ROUND(main!BI45*100,6))</f>
        <v/>
      </c>
      <c r="AX42" s="68" t="str">
        <f>IF(main!BJ45="","",ROUND(main!BJ45*100,6))</f>
        <v/>
      </c>
      <c r="AY42" s="68" t="str">
        <f>IF(main!BK45="","",ROUND(main!BK45*100,6))</f>
        <v/>
      </c>
      <c r="AZ42" s="68" t="str">
        <f>IF(main!BL45="","",ROUND(main!BL45*100,6))</f>
        <v/>
      </c>
      <c r="BA42" s="68" t="str">
        <f>IF(main!BM45="","",ROUND(main!BM45*100,6))</f>
        <v/>
      </c>
      <c r="BB42" s="68" t="str">
        <f>IF(main!BN45="","",ROUND(main!BN45*100,6))</f>
        <v/>
      </c>
      <c r="BC42" s="68" t="str">
        <f>IF(main!BO45="","",ROUND(main!BO45*100,6))</f>
        <v/>
      </c>
      <c r="BD42" s="68" t="str">
        <f>IF(main!BP45="","",ROUND(main!BP45*100,6))</f>
        <v/>
      </c>
      <c r="BE42" s="68" t="str">
        <f>IF(main!BQ45="","",ROUND(main!BQ45*100,6))</f>
        <v/>
      </c>
      <c r="BF42" s="68" t="str">
        <f>IF(main!BR45="","",ROUND(main!BR45*100,6))</f>
        <v/>
      </c>
      <c r="BG42" s="68" t="str">
        <f>IF(main!BS45="","",ROUND(main!BS45*100,6))</f>
        <v/>
      </c>
      <c r="BH42" s="68" t="str">
        <f>IF(main!BT45="","",ROUND(main!BT45*100,6))</f>
        <v/>
      </c>
      <c r="BI42" s="68" t="str">
        <f>IF(main!BU45="","",ROUND(main!BU45*100,6))</f>
        <v/>
      </c>
      <c r="BJ42" s="68" t="str">
        <f>IF(main!BV45="","",ROUND(main!BV45*100,6))</f>
        <v/>
      </c>
      <c r="BK42" s="68" t="str">
        <f>IF(main!BW45="","",ROUND(main!BW45*100,6))</f>
        <v/>
      </c>
      <c r="BL42" s="68" t="str">
        <f>IF(main!BX45="","",ROUND(main!BX45*100,6))</f>
        <v/>
      </c>
      <c r="BM42" s="68" t="str">
        <f>IF(main!BY45="","",ROUND(main!BY45*100,6))</f>
        <v/>
      </c>
      <c r="BN42" s="68" t="str">
        <f>IF(main!BZ45="","",ROUND(main!BZ45*100,6))</f>
        <v/>
      </c>
      <c r="BO42" s="68" t="str">
        <f>IF(main!CA45="","",ROUND(main!CA45*100,6))</f>
        <v/>
      </c>
      <c r="BP42" s="68" t="str">
        <f>IF(main!CB45="","",ROUND(main!CB45*100,6))</f>
        <v/>
      </c>
      <c r="BQ42" s="68" t="str">
        <f>IF(main!CC45="","",ROUND(main!CC45*100,6))</f>
        <v/>
      </c>
      <c r="BR42" s="68" t="str">
        <f>IF(main!CD45="","",ROUND(main!CD45*100,6))</f>
        <v/>
      </c>
      <c r="BS42" s="68" t="str">
        <f>IF(main!CE45="","",ROUND(main!CE45*100,6))</f>
        <v/>
      </c>
      <c r="BT42" s="68" t="str">
        <f>IF(main!CF45="","",ROUND(main!CF45*100,6))</f>
        <v/>
      </c>
      <c r="BU42" s="68" t="str">
        <f>IF(main!CG45="","",ROUND(main!CG45*100,6))</f>
        <v/>
      </c>
      <c r="BV42" s="68" t="str">
        <f>IF(main!CH45="","",ROUND(main!CH45*100,6))</f>
        <v/>
      </c>
      <c r="BW42" s="68" t="str">
        <f>IF(main!CI45="","",ROUND(main!CI45*100,6))</f>
        <v/>
      </c>
      <c r="BX42" s="68" t="str">
        <f>IF(main!CJ45="","",ROUND(main!CJ45*100,6))</f>
        <v/>
      </c>
      <c r="BY42" s="68" t="str">
        <f>IF(main!CK45="","",ROUND(main!CK45*100,6))</f>
        <v/>
      </c>
      <c r="BZ42" s="68" t="str">
        <f>IF(main!CL45="","",ROUND(main!CL45*100,6))</f>
        <v/>
      </c>
      <c r="CA42" s="68" t="str">
        <f>IF(main!CM45="","",ROUND(main!CM45*100,6))</f>
        <v/>
      </c>
      <c r="CB42" s="68" t="str">
        <f>IF(main!CN45="","",ROUND(main!CN45*100,6))</f>
        <v/>
      </c>
      <c r="CC42" s="68" t="str">
        <f>IF(main!CO45="","",ROUND(main!CO45*100,6))</f>
        <v/>
      </c>
    </row>
    <row r="43" spans="1:81" x14ac:dyDescent="0.25">
      <c r="A43" s="65" t="s">
        <v>163</v>
      </c>
      <c r="B43" s="66" t="str">
        <f>main!C45</f>
        <v>Foundation</v>
      </c>
      <c r="C43" s="67">
        <f>main!O45</f>
        <v>100000</v>
      </c>
      <c r="D43" s="65" t="s">
        <v>111</v>
      </c>
      <c r="E43" s="68" t="str">
        <f t="shared" si="0"/>
        <v/>
      </c>
      <c r="F43" s="68" t="str">
        <f>IF(main!R46="","",ROUND(main!R46*100,6))</f>
        <v/>
      </c>
      <c r="G43" s="68" t="str">
        <f>IF(main!S46="","",ROUND(main!S46*100,6))</f>
        <v/>
      </c>
      <c r="H43" s="68" t="str">
        <f>IF(main!T46="","",ROUND(main!T46*100,6))</f>
        <v/>
      </c>
      <c r="I43" s="68" t="str">
        <f>IF(main!U46="","",ROUND(main!U46*100,6))</f>
        <v/>
      </c>
      <c r="J43" s="68" t="str">
        <f>IF(main!V46="","",ROUND(main!V46*100,6))</f>
        <v/>
      </c>
      <c r="K43" s="68" t="str">
        <f>IF(main!W46="","",ROUND(main!W46*100,6))</f>
        <v/>
      </c>
      <c r="L43" s="68" t="str">
        <f>IF(main!X46="","",ROUND(main!X46*100,6))</f>
        <v/>
      </c>
      <c r="M43" s="68" t="str">
        <f>IF(main!Y46="","",ROUND(main!Y46*100,6))</f>
        <v/>
      </c>
      <c r="N43" s="68" t="str">
        <f>IF(main!Z46="","",ROUND(main!Z46*100,6))</f>
        <v/>
      </c>
      <c r="O43" s="68" t="str">
        <f>IF(main!AA46="","",ROUND(main!AA46*100,6))</f>
        <v/>
      </c>
      <c r="P43" s="68" t="str">
        <f>IF(main!AB46="","",ROUND(main!AB46*100,6))</f>
        <v/>
      </c>
      <c r="Q43" s="68" t="str">
        <f>IF(main!AC46="","",ROUND(main!AC46*100,6))</f>
        <v/>
      </c>
      <c r="R43" s="68" t="str">
        <f>IF(main!AD46="","",ROUND(main!AD46*100,6))</f>
        <v/>
      </c>
      <c r="S43" s="68" t="str">
        <f>IF(main!AE46="","",ROUND(main!AE46*100,6))</f>
        <v/>
      </c>
      <c r="T43" s="68" t="str">
        <f>IF(main!AF46="","",ROUND(main!AF46*100,6))</f>
        <v/>
      </c>
      <c r="U43" s="68" t="str">
        <f>IF(main!AG46="","",ROUND(main!AG46*100,6))</f>
        <v/>
      </c>
      <c r="V43" s="68" t="str">
        <f>IF(main!AH46="","",ROUND(main!AH46*100,6))</f>
        <v/>
      </c>
      <c r="W43" s="68" t="str">
        <f>IF(main!AI46="","",ROUND(main!AI46*100,6))</f>
        <v/>
      </c>
      <c r="X43" s="68" t="str">
        <f>IF(main!AJ46="","",ROUND(main!AJ46*100,6))</f>
        <v/>
      </c>
      <c r="Y43" s="68" t="str">
        <f>IF(main!AK46="","",ROUND(main!AK46*100,6))</f>
        <v/>
      </c>
      <c r="Z43" s="68" t="str">
        <f>IF(main!AL46="","",ROUND(main!AL46*100,6))</f>
        <v/>
      </c>
      <c r="AA43" s="68" t="str">
        <f>IF(main!AM46="","",ROUND(main!AM46*100,6))</f>
        <v/>
      </c>
      <c r="AB43" s="68" t="str">
        <f>IF(main!AN46="","",ROUND(main!AN46*100,6))</f>
        <v/>
      </c>
      <c r="AC43" s="68" t="str">
        <f>IF(main!AO46="","",ROUND(main!AO46*100,6))</f>
        <v/>
      </c>
      <c r="AD43" s="68" t="str">
        <f>IF(main!AP46="","",ROUND(main!AP46*100,6))</f>
        <v/>
      </c>
      <c r="AE43" s="68" t="str">
        <f>IF(main!AQ46="","",ROUND(main!AQ46*100,6))</f>
        <v/>
      </c>
      <c r="AF43" s="68" t="str">
        <f>IF(main!AR46="","",ROUND(main!AR46*100,6))</f>
        <v/>
      </c>
      <c r="AG43" s="68" t="str">
        <f>IF(main!AS46="","",ROUND(main!AS46*100,6))</f>
        <v/>
      </c>
      <c r="AH43" s="68" t="str">
        <f>IF(main!AT46="","",ROUND(main!AT46*100,6))</f>
        <v/>
      </c>
      <c r="AI43" s="68" t="str">
        <f>IF(main!AU46="","",ROUND(main!AU46*100,6))</f>
        <v/>
      </c>
      <c r="AJ43" s="68" t="str">
        <f>IF(main!AV46="","",ROUND(main!AV46*100,6))</f>
        <v/>
      </c>
      <c r="AK43" s="68" t="str">
        <f>IF(main!AW46="","",ROUND(main!AW46*100,6))</f>
        <v/>
      </c>
      <c r="AL43" s="68" t="str">
        <f>IF(main!AX46="","",ROUND(main!AX46*100,6))</f>
        <v/>
      </c>
      <c r="AM43" s="68" t="str">
        <f>IF(main!AY46="","",ROUND(main!AY46*100,6))</f>
        <v/>
      </c>
      <c r="AN43" s="68" t="str">
        <f>IF(main!AZ46="","",ROUND(main!AZ46*100,6))</f>
        <v/>
      </c>
      <c r="AO43" s="68" t="str">
        <f>IF(main!BA46="","",ROUND(main!BA46*100,6))</f>
        <v/>
      </c>
      <c r="AP43" s="68" t="str">
        <f>IF(main!BB46="","",ROUND(main!BB46*100,6))</f>
        <v/>
      </c>
      <c r="AQ43" s="68" t="str">
        <f>IF(main!BC46="","",ROUND(main!BC46*100,6))</f>
        <v/>
      </c>
      <c r="AR43" s="68" t="str">
        <f>IF(main!BD46="","",ROUND(main!BD46*100,6))</f>
        <v/>
      </c>
      <c r="AS43" s="68" t="str">
        <f>IF(main!BE46="","",ROUND(main!BE46*100,6))</f>
        <v/>
      </c>
      <c r="AT43" s="68" t="str">
        <f>IF(main!BF46="","",ROUND(main!BF46*100,6))</f>
        <v/>
      </c>
      <c r="AU43" s="68" t="str">
        <f>IF(main!BG46="","",ROUND(main!BG46*100,6))</f>
        <v/>
      </c>
      <c r="AV43" s="68" t="str">
        <f>IF(main!BH46="","",ROUND(main!BH46*100,6))</f>
        <v/>
      </c>
      <c r="AW43" s="68" t="str">
        <f>IF(main!BI46="","",ROUND(main!BI46*100,6))</f>
        <v/>
      </c>
      <c r="AX43" s="68" t="str">
        <f>IF(main!BJ46="","",ROUND(main!BJ46*100,6))</f>
        <v/>
      </c>
      <c r="AY43" s="68" t="str">
        <f>IF(main!BK46="","",ROUND(main!BK46*100,6))</f>
        <v/>
      </c>
      <c r="AZ43" s="68" t="str">
        <f>IF(main!BL46="","",ROUND(main!BL46*100,6))</f>
        <v/>
      </c>
      <c r="BA43" s="68" t="str">
        <f>IF(main!BM46="","",ROUND(main!BM46*100,6))</f>
        <v/>
      </c>
      <c r="BB43" s="68" t="str">
        <f>IF(main!BN46="","",ROUND(main!BN46*100,6))</f>
        <v/>
      </c>
      <c r="BC43" s="68" t="str">
        <f>IF(main!BO46="","",ROUND(main!BO46*100,6))</f>
        <v/>
      </c>
      <c r="BD43" s="68" t="str">
        <f>IF(main!BP46="","",ROUND(main!BP46*100,6))</f>
        <v/>
      </c>
      <c r="BE43" s="68" t="str">
        <f>IF(main!BQ46="","",ROUND(main!BQ46*100,6))</f>
        <v/>
      </c>
      <c r="BF43" s="68" t="str">
        <f>IF(main!BR46="","",ROUND(main!BR46*100,6))</f>
        <v/>
      </c>
      <c r="BG43" s="68" t="str">
        <f>IF(main!BS46="","",ROUND(main!BS46*100,6))</f>
        <v/>
      </c>
      <c r="BH43" s="68" t="str">
        <f>IF(main!BT46="","",ROUND(main!BT46*100,6))</f>
        <v/>
      </c>
      <c r="BI43" s="68" t="str">
        <f>IF(main!BU46="","",ROUND(main!BU46*100,6))</f>
        <v/>
      </c>
      <c r="BJ43" s="68" t="str">
        <f>IF(main!BV46="","",ROUND(main!BV46*100,6))</f>
        <v/>
      </c>
      <c r="BK43" s="68" t="str">
        <f>IF(main!BW46="","",ROUND(main!BW46*100,6))</f>
        <v/>
      </c>
      <c r="BL43" s="68" t="str">
        <f>IF(main!BX46="","",ROUND(main!BX46*100,6))</f>
        <v/>
      </c>
      <c r="BM43" s="68" t="str">
        <f>IF(main!BY46="","",ROUND(main!BY46*100,6))</f>
        <v/>
      </c>
      <c r="BN43" s="68" t="str">
        <f>IF(main!BZ46="","",ROUND(main!BZ46*100,6))</f>
        <v/>
      </c>
      <c r="BO43" s="68" t="str">
        <f>IF(main!CA46="","",ROUND(main!CA46*100,6))</f>
        <v/>
      </c>
      <c r="BP43" s="68" t="str">
        <f>IF(main!CB46="","",ROUND(main!CB46*100,6))</f>
        <v/>
      </c>
      <c r="BQ43" s="68" t="str">
        <f>IF(main!CC46="","",ROUND(main!CC46*100,6))</f>
        <v/>
      </c>
      <c r="BR43" s="68" t="str">
        <f>IF(main!CD46="","",ROUND(main!CD46*100,6))</f>
        <v/>
      </c>
      <c r="BS43" s="68" t="str">
        <f>IF(main!CE46="","",ROUND(main!CE46*100,6))</f>
        <v/>
      </c>
      <c r="BT43" s="68" t="str">
        <f>IF(main!CF46="","",ROUND(main!CF46*100,6))</f>
        <v/>
      </c>
      <c r="BU43" s="68" t="str">
        <f>IF(main!CG46="","",ROUND(main!CG46*100,6))</f>
        <v/>
      </c>
      <c r="BV43" s="68" t="str">
        <f>IF(main!CH46="","",ROUND(main!CH46*100,6))</f>
        <v/>
      </c>
      <c r="BW43" s="68" t="str">
        <f>IF(main!CI46="","",ROUND(main!CI46*100,6))</f>
        <v/>
      </c>
      <c r="BX43" s="68" t="str">
        <f>IF(main!CJ46="","",ROUND(main!CJ46*100,6))</f>
        <v/>
      </c>
      <c r="BY43" s="68" t="str">
        <f>IF(main!CK46="","",ROUND(main!CK46*100,6))</f>
        <v/>
      </c>
      <c r="BZ43" s="68" t="str">
        <f>IF(main!CL46="","",ROUND(main!CL46*100,6))</f>
        <v/>
      </c>
      <c r="CA43" s="68" t="str">
        <f>IF(main!CM46="","",ROUND(main!CM46*100,6))</f>
        <v/>
      </c>
      <c r="CB43" s="68" t="str">
        <f>IF(main!CN46="","",ROUND(main!CN46*100,6))</f>
        <v/>
      </c>
      <c r="CC43" s="68" t="str">
        <f>IF(main!CO46="","",ROUND(main!CO46*100,6))</f>
        <v/>
      </c>
    </row>
    <row r="44" spans="1:81" x14ac:dyDescent="0.25">
      <c r="A44" s="65" t="s">
        <v>166</v>
      </c>
      <c r="B44" s="66" t="str">
        <f>main!C47</f>
        <v>RC Beam &amp; Slab for GL.Floor</v>
      </c>
      <c r="C44" s="67">
        <f>main!O47</f>
        <v>100000</v>
      </c>
      <c r="D44" s="65" t="s">
        <v>110</v>
      </c>
      <c r="E44" s="68">
        <f t="shared" si="0"/>
        <v>100</v>
      </c>
      <c r="F44" s="68" t="str">
        <f>IF(main!R47="","",ROUND(main!R47*100,6))</f>
        <v/>
      </c>
      <c r="G44" s="68" t="str">
        <f>IF(main!S47="","",ROUND(main!S47*100,6))</f>
        <v/>
      </c>
      <c r="H44" s="68" t="str">
        <f>IF(main!T47="","",ROUND(main!T47*100,6))</f>
        <v/>
      </c>
      <c r="I44" s="68" t="str">
        <f>IF(main!U47="","",ROUND(main!U47*100,6))</f>
        <v/>
      </c>
      <c r="J44" s="68" t="str">
        <f>IF(main!V47="","",ROUND(main!V47*100,6))</f>
        <v/>
      </c>
      <c r="K44" s="68" t="str">
        <f>IF(main!W47="","",ROUND(main!W47*100,6))</f>
        <v/>
      </c>
      <c r="L44" s="68" t="str">
        <f>IF(main!X47="","",ROUND(main!X47*100,6))</f>
        <v/>
      </c>
      <c r="M44" s="68" t="str">
        <f>IF(main!Y47="","",ROUND(main!Y47*100,6))</f>
        <v/>
      </c>
      <c r="N44" s="68" t="str">
        <f>IF(main!Z47="","",ROUND(main!Z47*100,6))</f>
        <v/>
      </c>
      <c r="O44" s="68" t="str">
        <f>IF(main!AA47="","",ROUND(main!AA47*100,6))</f>
        <v/>
      </c>
      <c r="P44" s="68" t="str">
        <f>IF(main!AB47="","",ROUND(main!AB47*100,6))</f>
        <v/>
      </c>
      <c r="Q44" s="68" t="str">
        <f>IF(main!AC47="","",ROUND(main!AC47*100,6))</f>
        <v/>
      </c>
      <c r="R44" s="68" t="str">
        <f>IF(main!AD47="","",ROUND(main!AD47*100,6))</f>
        <v/>
      </c>
      <c r="S44" s="68" t="str">
        <f>IF(main!AE47="","",ROUND(main!AE47*100,6))</f>
        <v/>
      </c>
      <c r="T44" s="68" t="str">
        <f>IF(main!AF47="","",ROUND(main!AF47*100,6))</f>
        <v/>
      </c>
      <c r="U44" s="68" t="str">
        <f>IF(main!AG47="","",ROUND(main!AG47*100,6))</f>
        <v/>
      </c>
      <c r="V44" s="68" t="str">
        <f>IF(main!AH47="","",ROUND(main!AH47*100,6))</f>
        <v/>
      </c>
      <c r="W44" s="68" t="str">
        <f>IF(main!AI47="","",ROUND(main!AI47*100,6))</f>
        <v/>
      </c>
      <c r="X44" s="68" t="str">
        <f>IF(main!AJ47="","",ROUND(main!AJ47*100,6))</f>
        <v/>
      </c>
      <c r="Y44" s="68" t="str">
        <f>IF(main!AK47="","",ROUND(main!AK47*100,6))</f>
        <v/>
      </c>
      <c r="Z44" s="68" t="str">
        <f>IF(main!AL47="","",ROUND(main!AL47*100,6))</f>
        <v/>
      </c>
      <c r="AA44" s="68" t="str">
        <f>IF(main!AM47="","",ROUND(main!AM47*100,6))</f>
        <v/>
      </c>
      <c r="AB44" s="68" t="str">
        <f>IF(main!AN47="","",ROUND(main!AN47*100,6))</f>
        <v/>
      </c>
      <c r="AC44" s="68" t="str">
        <f>IF(main!AO47="","",ROUND(main!AO47*100,6))</f>
        <v/>
      </c>
      <c r="AD44" s="68" t="str">
        <f>IF(main!AP47="","",ROUND(main!AP47*100,6))</f>
        <v/>
      </c>
      <c r="AE44" s="68" t="str">
        <f>IF(main!AQ47="","",ROUND(main!AQ47*100,6))</f>
        <v/>
      </c>
      <c r="AF44" s="68" t="str">
        <f>IF(main!AR47="","",ROUND(main!AR47*100,6))</f>
        <v/>
      </c>
      <c r="AG44" s="68" t="str">
        <f>IF(main!AS47="","",ROUND(main!AS47*100,6))</f>
        <v/>
      </c>
      <c r="AH44" s="68" t="str">
        <f>IF(main!AT47="","",ROUND(main!AT47*100,6))</f>
        <v/>
      </c>
      <c r="AI44" s="68" t="str">
        <f>IF(main!AU47="","",ROUND(main!AU47*100,6))</f>
        <v/>
      </c>
      <c r="AJ44" s="68" t="str">
        <f>IF(main!AV47="","",ROUND(main!AV47*100,6))</f>
        <v/>
      </c>
      <c r="AK44" s="68" t="str">
        <f>IF(main!AW47="","",ROUND(main!AW47*100,6))</f>
        <v/>
      </c>
      <c r="AL44" s="68" t="str">
        <f>IF(main!AX47="","",ROUND(main!AX47*100,6))</f>
        <v/>
      </c>
      <c r="AM44" s="68" t="str">
        <f>IF(main!AY47="","",ROUND(main!AY47*100,6))</f>
        <v/>
      </c>
      <c r="AN44" s="68">
        <f>IF(main!AZ47="","",ROUND(main!AZ47*100,6))</f>
        <v>41.666666999999997</v>
      </c>
      <c r="AO44" s="68">
        <f>IF(main!BA47="","",ROUND(main!BA47*100,6))</f>
        <v>58.333333000000003</v>
      </c>
      <c r="AP44" s="68" t="str">
        <f>IF(main!BB47="","",ROUND(main!BB47*100,6))</f>
        <v/>
      </c>
      <c r="AQ44" s="68" t="str">
        <f>IF(main!BC47="","",ROUND(main!BC47*100,6))</f>
        <v/>
      </c>
      <c r="AR44" s="68" t="str">
        <f>IF(main!BD47="","",ROUND(main!BD47*100,6))</f>
        <v/>
      </c>
      <c r="AS44" s="68" t="str">
        <f>IF(main!BE47="","",ROUND(main!BE47*100,6))</f>
        <v/>
      </c>
      <c r="AT44" s="68" t="str">
        <f>IF(main!BF47="","",ROUND(main!BF47*100,6))</f>
        <v/>
      </c>
      <c r="AU44" s="68" t="str">
        <f>IF(main!BG47="","",ROUND(main!BG47*100,6))</f>
        <v/>
      </c>
      <c r="AV44" s="68" t="str">
        <f>IF(main!BH47="","",ROUND(main!BH47*100,6))</f>
        <v/>
      </c>
      <c r="AW44" s="68" t="str">
        <f>IF(main!BI47="","",ROUND(main!BI47*100,6))</f>
        <v/>
      </c>
      <c r="AX44" s="68" t="str">
        <f>IF(main!BJ47="","",ROUND(main!BJ47*100,6))</f>
        <v/>
      </c>
      <c r="AY44" s="68" t="str">
        <f>IF(main!BK47="","",ROUND(main!BK47*100,6))</f>
        <v/>
      </c>
      <c r="AZ44" s="68" t="str">
        <f>IF(main!BL47="","",ROUND(main!BL47*100,6))</f>
        <v/>
      </c>
      <c r="BA44" s="68" t="str">
        <f>IF(main!BM47="","",ROUND(main!BM47*100,6))</f>
        <v/>
      </c>
      <c r="BB44" s="68" t="str">
        <f>IF(main!BN47="","",ROUND(main!BN47*100,6))</f>
        <v/>
      </c>
      <c r="BC44" s="68" t="str">
        <f>IF(main!BO47="","",ROUND(main!BO47*100,6))</f>
        <v/>
      </c>
      <c r="BD44" s="68" t="str">
        <f>IF(main!BP47="","",ROUND(main!BP47*100,6))</f>
        <v/>
      </c>
      <c r="BE44" s="68" t="str">
        <f>IF(main!BQ47="","",ROUND(main!BQ47*100,6))</f>
        <v/>
      </c>
      <c r="BF44" s="68" t="str">
        <f>IF(main!BR47="","",ROUND(main!BR47*100,6))</f>
        <v/>
      </c>
      <c r="BG44" s="68" t="str">
        <f>IF(main!BS47="","",ROUND(main!BS47*100,6))</f>
        <v/>
      </c>
      <c r="BH44" s="68" t="str">
        <f>IF(main!BT47="","",ROUND(main!BT47*100,6))</f>
        <v/>
      </c>
      <c r="BI44" s="68" t="str">
        <f>IF(main!BU47="","",ROUND(main!BU47*100,6))</f>
        <v/>
      </c>
      <c r="BJ44" s="68" t="str">
        <f>IF(main!BV47="","",ROUND(main!BV47*100,6))</f>
        <v/>
      </c>
      <c r="BK44" s="68" t="str">
        <f>IF(main!BW47="","",ROUND(main!BW47*100,6))</f>
        <v/>
      </c>
      <c r="BL44" s="68" t="str">
        <f>IF(main!BX47="","",ROUND(main!BX47*100,6))</f>
        <v/>
      </c>
      <c r="BM44" s="68" t="str">
        <f>IF(main!BY47="","",ROUND(main!BY47*100,6))</f>
        <v/>
      </c>
      <c r="BN44" s="68" t="str">
        <f>IF(main!BZ47="","",ROUND(main!BZ47*100,6))</f>
        <v/>
      </c>
      <c r="BO44" s="68" t="str">
        <f>IF(main!CA47="","",ROUND(main!CA47*100,6))</f>
        <v/>
      </c>
      <c r="BP44" s="68" t="str">
        <f>IF(main!CB47="","",ROUND(main!CB47*100,6))</f>
        <v/>
      </c>
      <c r="BQ44" s="68" t="str">
        <f>IF(main!CC47="","",ROUND(main!CC47*100,6))</f>
        <v/>
      </c>
      <c r="BR44" s="68" t="str">
        <f>IF(main!CD47="","",ROUND(main!CD47*100,6))</f>
        <v/>
      </c>
      <c r="BS44" s="68" t="str">
        <f>IF(main!CE47="","",ROUND(main!CE47*100,6))</f>
        <v/>
      </c>
      <c r="BT44" s="68" t="str">
        <f>IF(main!CF47="","",ROUND(main!CF47*100,6))</f>
        <v/>
      </c>
      <c r="BU44" s="68" t="str">
        <f>IF(main!CG47="","",ROUND(main!CG47*100,6))</f>
        <v/>
      </c>
      <c r="BV44" s="68" t="str">
        <f>IF(main!CH47="","",ROUND(main!CH47*100,6))</f>
        <v/>
      </c>
      <c r="BW44" s="68" t="str">
        <f>IF(main!CI47="","",ROUND(main!CI47*100,6))</f>
        <v/>
      </c>
      <c r="BX44" s="68" t="str">
        <f>IF(main!CJ47="","",ROUND(main!CJ47*100,6))</f>
        <v/>
      </c>
      <c r="BY44" s="68" t="str">
        <f>IF(main!CK47="","",ROUND(main!CK47*100,6))</f>
        <v/>
      </c>
      <c r="BZ44" s="68" t="str">
        <f>IF(main!CL47="","",ROUND(main!CL47*100,6))</f>
        <v/>
      </c>
      <c r="CA44" s="68" t="str">
        <f>IF(main!CM47="","",ROUND(main!CM47*100,6))</f>
        <v/>
      </c>
      <c r="CB44" s="68" t="str">
        <f>IF(main!CN47="","",ROUND(main!CN47*100,6))</f>
        <v/>
      </c>
      <c r="CC44" s="68" t="str">
        <f>IF(main!CO47="","",ROUND(main!CO47*100,6))</f>
        <v/>
      </c>
    </row>
    <row r="45" spans="1:81" x14ac:dyDescent="0.25">
      <c r="A45" s="65" t="s">
        <v>166</v>
      </c>
      <c r="B45" s="66" t="str">
        <f>main!C47</f>
        <v>RC Beam &amp; Slab for GL.Floor</v>
      </c>
      <c r="C45" s="67">
        <f>main!O47</f>
        <v>100000</v>
      </c>
      <c r="D45" s="65" t="s">
        <v>111</v>
      </c>
      <c r="E45" s="68" t="str">
        <f t="shared" si="0"/>
        <v/>
      </c>
      <c r="F45" s="68" t="str">
        <f>IF(main!R48="","",ROUND(main!R48*100,6))</f>
        <v/>
      </c>
      <c r="G45" s="68" t="str">
        <f>IF(main!S48="","",ROUND(main!S48*100,6))</f>
        <v/>
      </c>
      <c r="H45" s="68" t="str">
        <f>IF(main!T48="","",ROUND(main!T48*100,6))</f>
        <v/>
      </c>
      <c r="I45" s="68" t="str">
        <f>IF(main!U48="","",ROUND(main!U48*100,6))</f>
        <v/>
      </c>
      <c r="J45" s="68" t="str">
        <f>IF(main!V48="","",ROUND(main!V48*100,6))</f>
        <v/>
      </c>
      <c r="K45" s="68" t="str">
        <f>IF(main!W48="","",ROUND(main!W48*100,6))</f>
        <v/>
      </c>
      <c r="L45" s="68" t="str">
        <f>IF(main!X48="","",ROUND(main!X48*100,6))</f>
        <v/>
      </c>
      <c r="M45" s="68" t="str">
        <f>IF(main!Y48="","",ROUND(main!Y48*100,6))</f>
        <v/>
      </c>
      <c r="N45" s="68" t="str">
        <f>IF(main!Z48="","",ROUND(main!Z48*100,6))</f>
        <v/>
      </c>
      <c r="O45" s="68" t="str">
        <f>IF(main!AA48="","",ROUND(main!AA48*100,6))</f>
        <v/>
      </c>
      <c r="P45" s="68" t="str">
        <f>IF(main!AB48="","",ROUND(main!AB48*100,6))</f>
        <v/>
      </c>
      <c r="Q45" s="68" t="str">
        <f>IF(main!AC48="","",ROUND(main!AC48*100,6))</f>
        <v/>
      </c>
      <c r="R45" s="68" t="str">
        <f>IF(main!AD48="","",ROUND(main!AD48*100,6))</f>
        <v/>
      </c>
      <c r="S45" s="68" t="str">
        <f>IF(main!AE48="","",ROUND(main!AE48*100,6))</f>
        <v/>
      </c>
      <c r="T45" s="68" t="str">
        <f>IF(main!AF48="","",ROUND(main!AF48*100,6))</f>
        <v/>
      </c>
      <c r="U45" s="68" t="str">
        <f>IF(main!AG48="","",ROUND(main!AG48*100,6))</f>
        <v/>
      </c>
      <c r="V45" s="68" t="str">
        <f>IF(main!AH48="","",ROUND(main!AH48*100,6))</f>
        <v/>
      </c>
      <c r="W45" s="68" t="str">
        <f>IF(main!AI48="","",ROUND(main!AI48*100,6))</f>
        <v/>
      </c>
      <c r="X45" s="68" t="str">
        <f>IF(main!AJ48="","",ROUND(main!AJ48*100,6))</f>
        <v/>
      </c>
      <c r="Y45" s="68" t="str">
        <f>IF(main!AK48="","",ROUND(main!AK48*100,6))</f>
        <v/>
      </c>
      <c r="Z45" s="68" t="str">
        <f>IF(main!AL48="","",ROUND(main!AL48*100,6))</f>
        <v/>
      </c>
      <c r="AA45" s="68" t="str">
        <f>IF(main!AM48="","",ROUND(main!AM48*100,6))</f>
        <v/>
      </c>
      <c r="AB45" s="68" t="str">
        <f>IF(main!AN48="","",ROUND(main!AN48*100,6))</f>
        <v/>
      </c>
      <c r="AC45" s="68" t="str">
        <f>IF(main!AO48="","",ROUND(main!AO48*100,6))</f>
        <v/>
      </c>
      <c r="AD45" s="68" t="str">
        <f>IF(main!AP48="","",ROUND(main!AP48*100,6))</f>
        <v/>
      </c>
      <c r="AE45" s="68" t="str">
        <f>IF(main!AQ48="","",ROUND(main!AQ48*100,6))</f>
        <v/>
      </c>
      <c r="AF45" s="68" t="str">
        <f>IF(main!AR48="","",ROUND(main!AR48*100,6))</f>
        <v/>
      </c>
      <c r="AG45" s="68" t="str">
        <f>IF(main!AS48="","",ROUND(main!AS48*100,6))</f>
        <v/>
      </c>
      <c r="AH45" s="68" t="str">
        <f>IF(main!AT48="","",ROUND(main!AT48*100,6))</f>
        <v/>
      </c>
      <c r="AI45" s="68" t="str">
        <f>IF(main!AU48="","",ROUND(main!AU48*100,6))</f>
        <v/>
      </c>
      <c r="AJ45" s="68" t="str">
        <f>IF(main!AV48="","",ROUND(main!AV48*100,6))</f>
        <v/>
      </c>
      <c r="AK45" s="68" t="str">
        <f>IF(main!AW48="","",ROUND(main!AW48*100,6))</f>
        <v/>
      </c>
      <c r="AL45" s="68" t="str">
        <f>IF(main!AX48="","",ROUND(main!AX48*100,6))</f>
        <v/>
      </c>
      <c r="AM45" s="68" t="str">
        <f>IF(main!AY48="","",ROUND(main!AY48*100,6))</f>
        <v/>
      </c>
      <c r="AN45" s="68" t="str">
        <f>IF(main!AZ48="","",ROUND(main!AZ48*100,6))</f>
        <v/>
      </c>
      <c r="AO45" s="68" t="str">
        <f>IF(main!BA48="","",ROUND(main!BA48*100,6))</f>
        <v/>
      </c>
      <c r="AP45" s="68" t="str">
        <f>IF(main!BB48="","",ROUND(main!BB48*100,6))</f>
        <v/>
      </c>
      <c r="AQ45" s="68" t="str">
        <f>IF(main!BC48="","",ROUND(main!BC48*100,6))</f>
        <v/>
      </c>
      <c r="AR45" s="68" t="str">
        <f>IF(main!BD48="","",ROUND(main!BD48*100,6))</f>
        <v/>
      </c>
      <c r="AS45" s="68" t="str">
        <f>IF(main!BE48="","",ROUND(main!BE48*100,6))</f>
        <v/>
      </c>
      <c r="AT45" s="68" t="str">
        <f>IF(main!BF48="","",ROUND(main!BF48*100,6))</f>
        <v/>
      </c>
      <c r="AU45" s="68" t="str">
        <f>IF(main!BG48="","",ROUND(main!BG48*100,6))</f>
        <v/>
      </c>
      <c r="AV45" s="68" t="str">
        <f>IF(main!BH48="","",ROUND(main!BH48*100,6))</f>
        <v/>
      </c>
      <c r="AW45" s="68" t="str">
        <f>IF(main!BI48="","",ROUND(main!BI48*100,6))</f>
        <v/>
      </c>
      <c r="AX45" s="68" t="str">
        <f>IF(main!BJ48="","",ROUND(main!BJ48*100,6))</f>
        <v/>
      </c>
      <c r="AY45" s="68" t="str">
        <f>IF(main!BK48="","",ROUND(main!BK48*100,6))</f>
        <v/>
      </c>
      <c r="AZ45" s="68" t="str">
        <f>IF(main!BL48="","",ROUND(main!BL48*100,6))</f>
        <v/>
      </c>
      <c r="BA45" s="68" t="str">
        <f>IF(main!BM48="","",ROUND(main!BM48*100,6))</f>
        <v/>
      </c>
      <c r="BB45" s="68" t="str">
        <f>IF(main!BN48="","",ROUND(main!BN48*100,6))</f>
        <v/>
      </c>
      <c r="BC45" s="68" t="str">
        <f>IF(main!BO48="","",ROUND(main!BO48*100,6))</f>
        <v/>
      </c>
      <c r="BD45" s="68" t="str">
        <f>IF(main!BP48="","",ROUND(main!BP48*100,6))</f>
        <v/>
      </c>
      <c r="BE45" s="68" t="str">
        <f>IF(main!BQ48="","",ROUND(main!BQ48*100,6))</f>
        <v/>
      </c>
      <c r="BF45" s="68" t="str">
        <f>IF(main!BR48="","",ROUND(main!BR48*100,6))</f>
        <v/>
      </c>
      <c r="BG45" s="68" t="str">
        <f>IF(main!BS48="","",ROUND(main!BS48*100,6))</f>
        <v/>
      </c>
      <c r="BH45" s="68" t="str">
        <f>IF(main!BT48="","",ROUND(main!BT48*100,6))</f>
        <v/>
      </c>
      <c r="BI45" s="68" t="str">
        <f>IF(main!BU48="","",ROUND(main!BU48*100,6))</f>
        <v/>
      </c>
      <c r="BJ45" s="68" t="str">
        <f>IF(main!BV48="","",ROUND(main!BV48*100,6))</f>
        <v/>
      </c>
      <c r="BK45" s="68" t="str">
        <f>IF(main!BW48="","",ROUND(main!BW48*100,6))</f>
        <v/>
      </c>
      <c r="BL45" s="68" t="str">
        <f>IF(main!BX48="","",ROUND(main!BX48*100,6))</f>
        <v/>
      </c>
      <c r="BM45" s="68" t="str">
        <f>IF(main!BY48="","",ROUND(main!BY48*100,6))</f>
        <v/>
      </c>
      <c r="BN45" s="68" t="str">
        <f>IF(main!BZ48="","",ROUND(main!BZ48*100,6))</f>
        <v/>
      </c>
      <c r="BO45" s="68" t="str">
        <f>IF(main!CA48="","",ROUND(main!CA48*100,6))</f>
        <v/>
      </c>
      <c r="BP45" s="68" t="str">
        <f>IF(main!CB48="","",ROUND(main!CB48*100,6))</f>
        <v/>
      </c>
      <c r="BQ45" s="68" t="str">
        <f>IF(main!CC48="","",ROUND(main!CC48*100,6))</f>
        <v/>
      </c>
      <c r="BR45" s="68" t="str">
        <f>IF(main!CD48="","",ROUND(main!CD48*100,6))</f>
        <v/>
      </c>
      <c r="BS45" s="68" t="str">
        <f>IF(main!CE48="","",ROUND(main!CE48*100,6))</f>
        <v/>
      </c>
      <c r="BT45" s="68" t="str">
        <f>IF(main!CF48="","",ROUND(main!CF48*100,6))</f>
        <v/>
      </c>
      <c r="BU45" s="68" t="str">
        <f>IF(main!CG48="","",ROUND(main!CG48*100,6))</f>
        <v/>
      </c>
      <c r="BV45" s="68" t="str">
        <f>IF(main!CH48="","",ROUND(main!CH48*100,6))</f>
        <v/>
      </c>
      <c r="BW45" s="68" t="str">
        <f>IF(main!CI48="","",ROUND(main!CI48*100,6))</f>
        <v/>
      </c>
      <c r="BX45" s="68" t="str">
        <f>IF(main!CJ48="","",ROUND(main!CJ48*100,6))</f>
        <v/>
      </c>
      <c r="BY45" s="68" t="str">
        <f>IF(main!CK48="","",ROUND(main!CK48*100,6))</f>
        <v/>
      </c>
      <c r="BZ45" s="68" t="str">
        <f>IF(main!CL48="","",ROUND(main!CL48*100,6))</f>
        <v/>
      </c>
      <c r="CA45" s="68" t="str">
        <f>IF(main!CM48="","",ROUND(main!CM48*100,6))</f>
        <v/>
      </c>
      <c r="CB45" s="68" t="str">
        <f>IF(main!CN48="","",ROUND(main!CN48*100,6))</f>
        <v/>
      </c>
      <c r="CC45" s="68" t="str">
        <f>IF(main!CO48="","",ROUND(main!CO48*100,6))</f>
        <v/>
      </c>
    </row>
    <row r="46" spans="1:81" x14ac:dyDescent="0.25">
      <c r="A46" s="65" t="s">
        <v>169</v>
      </c>
      <c r="B46" s="66" t="str">
        <f>main!C49</f>
        <v>Steel Column &amp; Beam M to R</v>
      </c>
      <c r="C46" s="67">
        <f>main!O49</f>
        <v>100000</v>
      </c>
      <c r="D46" s="65" t="s">
        <v>110</v>
      </c>
      <c r="E46" s="68">
        <f t="shared" si="0"/>
        <v>100</v>
      </c>
      <c r="F46" s="68" t="str">
        <f>IF(main!R49="","",ROUND(main!R49*100,6))</f>
        <v/>
      </c>
      <c r="G46" s="68" t="str">
        <f>IF(main!S49="","",ROUND(main!S49*100,6))</f>
        <v/>
      </c>
      <c r="H46" s="68" t="str">
        <f>IF(main!T49="","",ROUND(main!T49*100,6))</f>
        <v/>
      </c>
      <c r="I46" s="68" t="str">
        <f>IF(main!U49="","",ROUND(main!U49*100,6))</f>
        <v/>
      </c>
      <c r="J46" s="68" t="str">
        <f>IF(main!V49="","",ROUND(main!V49*100,6))</f>
        <v/>
      </c>
      <c r="K46" s="68" t="str">
        <f>IF(main!W49="","",ROUND(main!W49*100,6))</f>
        <v/>
      </c>
      <c r="L46" s="68" t="str">
        <f>IF(main!X49="","",ROUND(main!X49*100,6))</f>
        <v/>
      </c>
      <c r="M46" s="68" t="str">
        <f>IF(main!Y49="","",ROUND(main!Y49*100,6))</f>
        <v/>
      </c>
      <c r="N46" s="68" t="str">
        <f>IF(main!Z49="","",ROUND(main!Z49*100,6))</f>
        <v/>
      </c>
      <c r="O46" s="68" t="str">
        <f>IF(main!AA49="","",ROUND(main!AA49*100,6))</f>
        <v/>
      </c>
      <c r="P46" s="68" t="str">
        <f>IF(main!AB49="","",ROUND(main!AB49*100,6))</f>
        <v/>
      </c>
      <c r="Q46" s="68" t="str">
        <f>IF(main!AC49="","",ROUND(main!AC49*100,6))</f>
        <v/>
      </c>
      <c r="R46" s="68" t="str">
        <f>IF(main!AD49="","",ROUND(main!AD49*100,6))</f>
        <v/>
      </c>
      <c r="S46" s="68" t="str">
        <f>IF(main!AE49="","",ROUND(main!AE49*100,6))</f>
        <v/>
      </c>
      <c r="T46" s="68" t="str">
        <f>IF(main!AF49="","",ROUND(main!AF49*100,6))</f>
        <v/>
      </c>
      <c r="U46" s="68" t="str">
        <f>IF(main!AG49="","",ROUND(main!AG49*100,6))</f>
        <v/>
      </c>
      <c r="V46" s="68" t="str">
        <f>IF(main!AH49="","",ROUND(main!AH49*100,6))</f>
        <v/>
      </c>
      <c r="W46" s="68" t="str">
        <f>IF(main!AI49="","",ROUND(main!AI49*100,6))</f>
        <v/>
      </c>
      <c r="X46" s="68" t="str">
        <f>IF(main!AJ49="","",ROUND(main!AJ49*100,6))</f>
        <v/>
      </c>
      <c r="Y46" s="68" t="str">
        <f>IF(main!AK49="","",ROUND(main!AK49*100,6))</f>
        <v/>
      </c>
      <c r="Z46" s="68" t="str">
        <f>IF(main!AL49="","",ROUND(main!AL49*100,6))</f>
        <v/>
      </c>
      <c r="AA46" s="68" t="str">
        <f>IF(main!AM49="","",ROUND(main!AM49*100,6))</f>
        <v/>
      </c>
      <c r="AB46" s="68" t="str">
        <f>IF(main!AN49="","",ROUND(main!AN49*100,6))</f>
        <v/>
      </c>
      <c r="AC46" s="68" t="str">
        <f>IF(main!AO49="","",ROUND(main!AO49*100,6))</f>
        <v/>
      </c>
      <c r="AD46" s="68" t="str">
        <f>IF(main!AP49="","",ROUND(main!AP49*100,6))</f>
        <v/>
      </c>
      <c r="AE46" s="68" t="str">
        <f>IF(main!AQ49="","",ROUND(main!AQ49*100,6))</f>
        <v/>
      </c>
      <c r="AF46" s="68" t="str">
        <f>IF(main!AR49="","",ROUND(main!AR49*100,6))</f>
        <v/>
      </c>
      <c r="AG46" s="68" t="str">
        <f>IF(main!AS49="","",ROUND(main!AS49*100,6))</f>
        <v/>
      </c>
      <c r="AH46" s="68" t="str">
        <f>IF(main!AT49="","",ROUND(main!AT49*100,6))</f>
        <v/>
      </c>
      <c r="AI46" s="68" t="str">
        <f>IF(main!AU49="","",ROUND(main!AU49*100,6))</f>
        <v/>
      </c>
      <c r="AJ46" s="68" t="str">
        <f>IF(main!AV49="","",ROUND(main!AV49*100,6))</f>
        <v/>
      </c>
      <c r="AK46" s="68" t="str">
        <f>IF(main!AW49="","",ROUND(main!AW49*100,6))</f>
        <v/>
      </c>
      <c r="AL46" s="68" t="str">
        <f>IF(main!AX49="","",ROUND(main!AX49*100,6))</f>
        <v/>
      </c>
      <c r="AM46" s="68" t="str">
        <f>IF(main!AY49="","",ROUND(main!AY49*100,6))</f>
        <v/>
      </c>
      <c r="AN46" s="68" t="str">
        <f>IF(main!AZ49="","",ROUND(main!AZ49*100,6))</f>
        <v/>
      </c>
      <c r="AO46" s="68" t="str">
        <f>IF(main!BA49="","",ROUND(main!BA49*100,6))</f>
        <v/>
      </c>
      <c r="AP46" s="68">
        <f>IF(main!BB49="","",ROUND(main!BB49*100,6))</f>
        <v>17.225355</v>
      </c>
      <c r="AQ46" s="68">
        <f>IF(main!BC49="","",ROUND(main!BC49*100,6))</f>
        <v>58.659148000000002</v>
      </c>
      <c r="AR46" s="68">
        <f>IF(main!BD49="","",ROUND(main!BD49*100,6))</f>
        <v>24.115497000000001</v>
      </c>
      <c r="AS46" s="68" t="str">
        <f>IF(main!BE49="","",ROUND(main!BE49*100,6))</f>
        <v/>
      </c>
      <c r="AT46" s="68" t="str">
        <f>IF(main!BF49="","",ROUND(main!BF49*100,6))</f>
        <v/>
      </c>
      <c r="AU46" s="68" t="str">
        <f>IF(main!BG49="","",ROUND(main!BG49*100,6))</f>
        <v/>
      </c>
      <c r="AV46" s="68" t="str">
        <f>IF(main!BH49="","",ROUND(main!BH49*100,6))</f>
        <v/>
      </c>
      <c r="AW46" s="68" t="str">
        <f>IF(main!BI49="","",ROUND(main!BI49*100,6))</f>
        <v/>
      </c>
      <c r="AX46" s="68" t="str">
        <f>IF(main!BJ49="","",ROUND(main!BJ49*100,6))</f>
        <v/>
      </c>
      <c r="AY46" s="68" t="str">
        <f>IF(main!BK49="","",ROUND(main!BK49*100,6))</f>
        <v/>
      </c>
      <c r="AZ46" s="68" t="str">
        <f>IF(main!BL49="","",ROUND(main!BL49*100,6))</f>
        <v/>
      </c>
      <c r="BA46" s="68" t="str">
        <f>IF(main!BM49="","",ROUND(main!BM49*100,6))</f>
        <v/>
      </c>
      <c r="BB46" s="68" t="str">
        <f>IF(main!BN49="","",ROUND(main!BN49*100,6))</f>
        <v/>
      </c>
      <c r="BC46" s="68" t="str">
        <f>IF(main!BO49="","",ROUND(main!BO49*100,6))</f>
        <v/>
      </c>
      <c r="BD46" s="68" t="str">
        <f>IF(main!BP49="","",ROUND(main!BP49*100,6))</f>
        <v/>
      </c>
      <c r="BE46" s="68" t="str">
        <f>IF(main!BQ49="","",ROUND(main!BQ49*100,6))</f>
        <v/>
      </c>
      <c r="BF46" s="68" t="str">
        <f>IF(main!BR49="","",ROUND(main!BR49*100,6))</f>
        <v/>
      </c>
      <c r="BG46" s="68" t="str">
        <f>IF(main!BS49="","",ROUND(main!BS49*100,6))</f>
        <v/>
      </c>
      <c r="BH46" s="68" t="str">
        <f>IF(main!BT49="","",ROUND(main!BT49*100,6))</f>
        <v/>
      </c>
      <c r="BI46" s="68" t="str">
        <f>IF(main!BU49="","",ROUND(main!BU49*100,6))</f>
        <v/>
      </c>
      <c r="BJ46" s="68" t="str">
        <f>IF(main!BV49="","",ROUND(main!BV49*100,6))</f>
        <v/>
      </c>
      <c r="BK46" s="68" t="str">
        <f>IF(main!BW49="","",ROUND(main!BW49*100,6))</f>
        <v/>
      </c>
      <c r="BL46" s="68" t="str">
        <f>IF(main!BX49="","",ROUND(main!BX49*100,6))</f>
        <v/>
      </c>
      <c r="BM46" s="68" t="str">
        <f>IF(main!BY49="","",ROUND(main!BY49*100,6))</f>
        <v/>
      </c>
      <c r="BN46" s="68" t="str">
        <f>IF(main!BZ49="","",ROUND(main!BZ49*100,6))</f>
        <v/>
      </c>
      <c r="BO46" s="68" t="str">
        <f>IF(main!CA49="","",ROUND(main!CA49*100,6))</f>
        <v/>
      </c>
      <c r="BP46" s="68" t="str">
        <f>IF(main!CB49="","",ROUND(main!CB49*100,6))</f>
        <v/>
      </c>
      <c r="BQ46" s="68" t="str">
        <f>IF(main!CC49="","",ROUND(main!CC49*100,6))</f>
        <v/>
      </c>
      <c r="BR46" s="68" t="str">
        <f>IF(main!CD49="","",ROUND(main!CD49*100,6))</f>
        <v/>
      </c>
      <c r="BS46" s="68" t="str">
        <f>IF(main!CE49="","",ROUND(main!CE49*100,6))</f>
        <v/>
      </c>
      <c r="BT46" s="68" t="str">
        <f>IF(main!CF49="","",ROUND(main!CF49*100,6))</f>
        <v/>
      </c>
      <c r="BU46" s="68" t="str">
        <f>IF(main!CG49="","",ROUND(main!CG49*100,6))</f>
        <v/>
      </c>
      <c r="BV46" s="68" t="str">
        <f>IF(main!CH49="","",ROUND(main!CH49*100,6))</f>
        <v/>
      </c>
      <c r="BW46" s="68" t="str">
        <f>IF(main!CI49="","",ROUND(main!CI49*100,6))</f>
        <v/>
      </c>
      <c r="BX46" s="68" t="str">
        <f>IF(main!CJ49="","",ROUND(main!CJ49*100,6))</f>
        <v/>
      </c>
      <c r="BY46" s="68" t="str">
        <f>IF(main!CK49="","",ROUND(main!CK49*100,6))</f>
        <v/>
      </c>
      <c r="BZ46" s="68" t="str">
        <f>IF(main!CL49="","",ROUND(main!CL49*100,6))</f>
        <v/>
      </c>
      <c r="CA46" s="68" t="str">
        <f>IF(main!CM49="","",ROUND(main!CM49*100,6))</f>
        <v/>
      </c>
      <c r="CB46" s="68" t="str">
        <f>IF(main!CN49="","",ROUND(main!CN49*100,6))</f>
        <v/>
      </c>
      <c r="CC46" s="68" t="str">
        <f>IF(main!CO49="","",ROUND(main!CO49*100,6))</f>
        <v/>
      </c>
    </row>
    <row r="47" spans="1:81" x14ac:dyDescent="0.25">
      <c r="A47" s="65" t="s">
        <v>169</v>
      </c>
      <c r="B47" s="66" t="str">
        <f>main!C49</f>
        <v>Steel Column &amp; Beam M to R</v>
      </c>
      <c r="C47" s="67">
        <f>main!O49</f>
        <v>100000</v>
      </c>
      <c r="D47" s="65" t="s">
        <v>111</v>
      </c>
      <c r="E47" s="68" t="str">
        <f t="shared" si="0"/>
        <v/>
      </c>
      <c r="F47" s="68" t="str">
        <f>IF(main!R50="","",ROUND(main!R50*100,6))</f>
        <v/>
      </c>
      <c r="G47" s="68" t="str">
        <f>IF(main!S50="","",ROUND(main!S50*100,6))</f>
        <v/>
      </c>
      <c r="H47" s="68" t="str">
        <f>IF(main!T50="","",ROUND(main!T50*100,6))</f>
        <v/>
      </c>
      <c r="I47" s="68" t="str">
        <f>IF(main!U50="","",ROUND(main!U50*100,6))</f>
        <v/>
      </c>
      <c r="J47" s="68" t="str">
        <f>IF(main!V50="","",ROUND(main!V50*100,6))</f>
        <v/>
      </c>
      <c r="K47" s="68" t="str">
        <f>IF(main!W50="","",ROUND(main!W50*100,6))</f>
        <v/>
      </c>
      <c r="L47" s="68" t="str">
        <f>IF(main!X50="","",ROUND(main!X50*100,6))</f>
        <v/>
      </c>
      <c r="M47" s="68" t="str">
        <f>IF(main!Y50="","",ROUND(main!Y50*100,6))</f>
        <v/>
      </c>
      <c r="N47" s="68" t="str">
        <f>IF(main!Z50="","",ROUND(main!Z50*100,6))</f>
        <v/>
      </c>
      <c r="O47" s="68" t="str">
        <f>IF(main!AA50="","",ROUND(main!AA50*100,6))</f>
        <v/>
      </c>
      <c r="P47" s="68" t="str">
        <f>IF(main!AB50="","",ROUND(main!AB50*100,6))</f>
        <v/>
      </c>
      <c r="Q47" s="68" t="str">
        <f>IF(main!AC50="","",ROUND(main!AC50*100,6))</f>
        <v/>
      </c>
      <c r="R47" s="68" t="str">
        <f>IF(main!AD50="","",ROUND(main!AD50*100,6))</f>
        <v/>
      </c>
      <c r="S47" s="68" t="str">
        <f>IF(main!AE50="","",ROUND(main!AE50*100,6))</f>
        <v/>
      </c>
      <c r="T47" s="68" t="str">
        <f>IF(main!AF50="","",ROUND(main!AF50*100,6))</f>
        <v/>
      </c>
      <c r="U47" s="68" t="str">
        <f>IF(main!AG50="","",ROUND(main!AG50*100,6))</f>
        <v/>
      </c>
      <c r="V47" s="68" t="str">
        <f>IF(main!AH50="","",ROUND(main!AH50*100,6))</f>
        <v/>
      </c>
      <c r="W47" s="68" t="str">
        <f>IF(main!AI50="","",ROUND(main!AI50*100,6))</f>
        <v/>
      </c>
      <c r="X47" s="68" t="str">
        <f>IF(main!AJ50="","",ROUND(main!AJ50*100,6))</f>
        <v/>
      </c>
      <c r="Y47" s="68" t="str">
        <f>IF(main!AK50="","",ROUND(main!AK50*100,6))</f>
        <v/>
      </c>
      <c r="Z47" s="68" t="str">
        <f>IF(main!AL50="","",ROUND(main!AL50*100,6))</f>
        <v/>
      </c>
      <c r="AA47" s="68" t="str">
        <f>IF(main!AM50="","",ROUND(main!AM50*100,6))</f>
        <v/>
      </c>
      <c r="AB47" s="68" t="str">
        <f>IF(main!AN50="","",ROUND(main!AN50*100,6))</f>
        <v/>
      </c>
      <c r="AC47" s="68" t="str">
        <f>IF(main!AO50="","",ROUND(main!AO50*100,6))</f>
        <v/>
      </c>
      <c r="AD47" s="68" t="str">
        <f>IF(main!AP50="","",ROUND(main!AP50*100,6))</f>
        <v/>
      </c>
      <c r="AE47" s="68" t="str">
        <f>IF(main!AQ50="","",ROUND(main!AQ50*100,6))</f>
        <v/>
      </c>
      <c r="AF47" s="68" t="str">
        <f>IF(main!AR50="","",ROUND(main!AR50*100,6))</f>
        <v/>
      </c>
      <c r="AG47" s="68" t="str">
        <f>IF(main!AS50="","",ROUND(main!AS50*100,6))</f>
        <v/>
      </c>
      <c r="AH47" s="68" t="str">
        <f>IF(main!AT50="","",ROUND(main!AT50*100,6))</f>
        <v/>
      </c>
      <c r="AI47" s="68" t="str">
        <f>IF(main!AU50="","",ROUND(main!AU50*100,6))</f>
        <v/>
      </c>
      <c r="AJ47" s="68" t="str">
        <f>IF(main!AV50="","",ROUND(main!AV50*100,6))</f>
        <v/>
      </c>
      <c r="AK47" s="68" t="str">
        <f>IF(main!AW50="","",ROUND(main!AW50*100,6))</f>
        <v/>
      </c>
      <c r="AL47" s="68" t="str">
        <f>IF(main!AX50="","",ROUND(main!AX50*100,6))</f>
        <v/>
      </c>
      <c r="AM47" s="68" t="str">
        <f>IF(main!AY50="","",ROUND(main!AY50*100,6))</f>
        <v/>
      </c>
      <c r="AN47" s="68" t="str">
        <f>IF(main!AZ50="","",ROUND(main!AZ50*100,6))</f>
        <v/>
      </c>
      <c r="AO47" s="68" t="str">
        <f>IF(main!BA50="","",ROUND(main!BA50*100,6))</f>
        <v/>
      </c>
      <c r="AP47" s="68" t="str">
        <f>IF(main!BB50="","",ROUND(main!BB50*100,6))</f>
        <v/>
      </c>
      <c r="AQ47" s="68" t="str">
        <f>IF(main!BC50="","",ROUND(main!BC50*100,6))</f>
        <v/>
      </c>
      <c r="AR47" s="68" t="str">
        <f>IF(main!BD50="","",ROUND(main!BD50*100,6))</f>
        <v/>
      </c>
      <c r="AS47" s="68" t="str">
        <f>IF(main!BE50="","",ROUND(main!BE50*100,6))</f>
        <v/>
      </c>
      <c r="AT47" s="68" t="str">
        <f>IF(main!BF50="","",ROUND(main!BF50*100,6))</f>
        <v/>
      </c>
      <c r="AU47" s="68" t="str">
        <f>IF(main!BG50="","",ROUND(main!BG50*100,6))</f>
        <v/>
      </c>
      <c r="AV47" s="68" t="str">
        <f>IF(main!BH50="","",ROUND(main!BH50*100,6))</f>
        <v/>
      </c>
      <c r="AW47" s="68" t="str">
        <f>IF(main!BI50="","",ROUND(main!BI50*100,6))</f>
        <v/>
      </c>
      <c r="AX47" s="68" t="str">
        <f>IF(main!BJ50="","",ROUND(main!BJ50*100,6))</f>
        <v/>
      </c>
      <c r="AY47" s="68" t="str">
        <f>IF(main!BK50="","",ROUND(main!BK50*100,6))</f>
        <v/>
      </c>
      <c r="AZ47" s="68" t="str">
        <f>IF(main!BL50="","",ROUND(main!BL50*100,6))</f>
        <v/>
      </c>
      <c r="BA47" s="68" t="str">
        <f>IF(main!BM50="","",ROUND(main!BM50*100,6))</f>
        <v/>
      </c>
      <c r="BB47" s="68" t="str">
        <f>IF(main!BN50="","",ROUND(main!BN50*100,6))</f>
        <v/>
      </c>
      <c r="BC47" s="68" t="str">
        <f>IF(main!BO50="","",ROUND(main!BO50*100,6))</f>
        <v/>
      </c>
      <c r="BD47" s="68" t="str">
        <f>IF(main!BP50="","",ROUND(main!BP50*100,6))</f>
        <v/>
      </c>
      <c r="BE47" s="68" t="str">
        <f>IF(main!BQ50="","",ROUND(main!BQ50*100,6))</f>
        <v/>
      </c>
      <c r="BF47" s="68" t="str">
        <f>IF(main!BR50="","",ROUND(main!BR50*100,6))</f>
        <v/>
      </c>
      <c r="BG47" s="68" t="str">
        <f>IF(main!BS50="","",ROUND(main!BS50*100,6))</f>
        <v/>
      </c>
      <c r="BH47" s="68" t="str">
        <f>IF(main!BT50="","",ROUND(main!BT50*100,6))</f>
        <v/>
      </c>
      <c r="BI47" s="68" t="str">
        <f>IF(main!BU50="","",ROUND(main!BU50*100,6))</f>
        <v/>
      </c>
      <c r="BJ47" s="68" t="str">
        <f>IF(main!BV50="","",ROUND(main!BV50*100,6))</f>
        <v/>
      </c>
      <c r="BK47" s="68" t="str">
        <f>IF(main!BW50="","",ROUND(main!BW50*100,6))</f>
        <v/>
      </c>
      <c r="BL47" s="68" t="str">
        <f>IF(main!BX50="","",ROUND(main!BX50*100,6))</f>
        <v/>
      </c>
      <c r="BM47" s="68" t="str">
        <f>IF(main!BY50="","",ROUND(main!BY50*100,6))</f>
        <v/>
      </c>
      <c r="BN47" s="68" t="str">
        <f>IF(main!BZ50="","",ROUND(main!BZ50*100,6))</f>
        <v/>
      </c>
      <c r="BO47" s="68" t="str">
        <f>IF(main!CA50="","",ROUND(main!CA50*100,6))</f>
        <v/>
      </c>
      <c r="BP47" s="68" t="str">
        <f>IF(main!CB50="","",ROUND(main!CB50*100,6))</f>
        <v/>
      </c>
      <c r="BQ47" s="68" t="str">
        <f>IF(main!CC50="","",ROUND(main!CC50*100,6))</f>
        <v/>
      </c>
      <c r="BR47" s="68" t="str">
        <f>IF(main!CD50="","",ROUND(main!CD50*100,6))</f>
        <v/>
      </c>
      <c r="BS47" s="68" t="str">
        <f>IF(main!CE50="","",ROUND(main!CE50*100,6))</f>
        <v/>
      </c>
      <c r="BT47" s="68" t="str">
        <f>IF(main!CF50="","",ROUND(main!CF50*100,6))</f>
        <v/>
      </c>
      <c r="BU47" s="68" t="str">
        <f>IF(main!CG50="","",ROUND(main!CG50*100,6))</f>
        <v/>
      </c>
      <c r="BV47" s="68" t="str">
        <f>IF(main!CH50="","",ROUND(main!CH50*100,6))</f>
        <v/>
      </c>
      <c r="BW47" s="68" t="str">
        <f>IF(main!CI50="","",ROUND(main!CI50*100,6))</f>
        <v/>
      </c>
      <c r="BX47" s="68" t="str">
        <f>IF(main!CJ50="","",ROUND(main!CJ50*100,6))</f>
        <v/>
      </c>
      <c r="BY47" s="68" t="str">
        <f>IF(main!CK50="","",ROUND(main!CK50*100,6))</f>
        <v/>
      </c>
      <c r="BZ47" s="68" t="str">
        <f>IF(main!CL50="","",ROUND(main!CL50*100,6))</f>
        <v/>
      </c>
      <c r="CA47" s="68" t="str">
        <f>IF(main!CM50="","",ROUND(main!CM50*100,6))</f>
        <v/>
      </c>
      <c r="CB47" s="68" t="str">
        <f>IF(main!CN50="","",ROUND(main!CN50*100,6))</f>
        <v/>
      </c>
      <c r="CC47" s="68" t="str">
        <f>IF(main!CO50="","",ROUND(main!CO50*100,6))</f>
        <v/>
      </c>
    </row>
    <row r="48" spans="1:81" x14ac:dyDescent="0.25">
      <c r="A48" s="65" t="s">
        <v>172</v>
      </c>
      <c r="B48" s="66" t="str">
        <f>main!C51</f>
        <v>RC Slab M to R</v>
      </c>
      <c r="C48" s="67">
        <f>main!O51</f>
        <v>100000</v>
      </c>
      <c r="D48" s="65" t="s">
        <v>110</v>
      </c>
      <c r="E48" s="68">
        <f t="shared" si="0"/>
        <v>100</v>
      </c>
      <c r="F48" s="68" t="str">
        <f>IF(main!R51="","",ROUND(main!R51*100,6))</f>
        <v/>
      </c>
      <c r="G48" s="68" t="str">
        <f>IF(main!S51="","",ROUND(main!S51*100,6))</f>
        <v/>
      </c>
      <c r="H48" s="68" t="str">
        <f>IF(main!T51="","",ROUND(main!T51*100,6))</f>
        <v/>
      </c>
      <c r="I48" s="68" t="str">
        <f>IF(main!U51="","",ROUND(main!U51*100,6))</f>
        <v/>
      </c>
      <c r="J48" s="68" t="str">
        <f>IF(main!V51="","",ROUND(main!V51*100,6))</f>
        <v/>
      </c>
      <c r="K48" s="68" t="str">
        <f>IF(main!W51="","",ROUND(main!W51*100,6))</f>
        <v/>
      </c>
      <c r="L48" s="68" t="str">
        <f>IF(main!X51="","",ROUND(main!X51*100,6))</f>
        <v/>
      </c>
      <c r="M48" s="68" t="str">
        <f>IF(main!Y51="","",ROUND(main!Y51*100,6))</f>
        <v/>
      </c>
      <c r="N48" s="68" t="str">
        <f>IF(main!Z51="","",ROUND(main!Z51*100,6))</f>
        <v/>
      </c>
      <c r="O48" s="68" t="str">
        <f>IF(main!AA51="","",ROUND(main!AA51*100,6))</f>
        <v/>
      </c>
      <c r="P48" s="68" t="str">
        <f>IF(main!AB51="","",ROUND(main!AB51*100,6))</f>
        <v/>
      </c>
      <c r="Q48" s="68" t="str">
        <f>IF(main!AC51="","",ROUND(main!AC51*100,6))</f>
        <v/>
      </c>
      <c r="R48" s="68" t="str">
        <f>IF(main!AD51="","",ROUND(main!AD51*100,6))</f>
        <v/>
      </c>
      <c r="S48" s="68" t="str">
        <f>IF(main!AE51="","",ROUND(main!AE51*100,6))</f>
        <v/>
      </c>
      <c r="T48" s="68" t="str">
        <f>IF(main!AF51="","",ROUND(main!AF51*100,6))</f>
        <v/>
      </c>
      <c r="U48" s="68" t="str">
        <f>IF(main!AG51="","",ROUND(main!AG51*100,6))</f>
        <v/>
      </c>
      <c r="V48" s="68" t="str">
        <f>IF(main!AH51="","",ROUND(main!AH51*100,6))</f>
        <v/>
      </c>
      <c r="W48" s="68" t="str">
        <f>IF(main!AI51="","",ROUND(main!AI51*100,6))</f>
        <v/>
      </c>
      <c r="X48" s="68" t="str">
        <f>IF(main!AJ51="","",ROUND(main!AJ51*100,6))</f>
        <v/>
      </c>
      <c r="Y48" s="68" t="str">
        <f>IF(main!AK51="","",ROUND(main!AK51*100,6))</f>
        <v/>
      </c>
      <c r="Z48" s="68" t="str">
        <f>IF(main!AL51="","",ROUND(main!AL51*100,6))</f>
        <v/>
      </c>
      <c r="AA48" s="68" t="str">
        <f>IF(main!AM51="","",ROUND(main!AM51*100,6))</f>
        <v/>
      </c>
      <c r="AB48" s="68" t="str">
        <f>IF(main!AN51="","",ROUND(main!AN51*100,6))</f>
        <v/>
      </c>
      <c r="AC48" s="68" t="str">
        <f>IF(main!AO51="","",ROUND(main!AO51*100,6))</f>
        <v/>
      </c>
      <c r="AD48" s="68" t="str">
        <f>IF(main!AP51="","",ROUND(main!AP51*100,6))</f>
        <v/>
      </c>
      <c r="AE48" s="68" t="str">
        <f>IF(main!AQ51="","",ROUND(main!AQ51*100,6))</f>
        <v/>
      </c>
      <c r="AF48" s="68" t="str">
        <f>IF(main!AR51="","",ROUND(main!AR51*100,6))</f>
        <v/>
      </c>
      <c r="AG48" s="68" t="str">
        <f>IF(main!AS51="","",ROUND(main!AS51*100,6))</f>
        <v/>
      </c>
      <c r="AH48" s="68" t="str">
        <f>IF(main!AT51="","",ROUND(main!AT51*100,6))</f>
        <v/>
      </c>
      <c r="AI48" s="68" t="str">
        <f>IF(main!AU51="","",ROUND(main!AU51*100,6))</f>
        <v/>
      </c>
      <c r="AJ48" s="68" t="str">
        <f>IF(main!AV51="","",ROUND(main!AV51*100,6))</f>
        <v/>
      </c>
      <c r="AK48" s="68" t="str">
        <f>IF(main!AW51="","",ROUND(main!AW51*100,6))</f>
        <v/>
      </c>
      <c r="AL48" s="68" t="str">
        <f>IF(main!AX51="","",ROUND(main!AX51*100,6))</f>
        <v/>
      </c>
      <c r="AM48" s="68" t="str">
        <f>IF(main!AY51="","",ROUND(main!AY51*100,6))</f>
        <v/>
      </c>
      <c r="AN48" s="68" t="str">
        <f>IF(main!AZ51="","",ROUND(main!AZ51*100,6))</f>
        <v/>
      </c>
      <c r="AO48" s="68" t="str">
        <f>IF(main!BA51="","",ROUND(main!BA51*100,6))</f>
        <v/>
      </c>
      <c r="AP48" s="68" t="str">
        <f>IF(main!BB51="","",ROUND(main!BB51*100,6))</f>
        <v/>
      </c>
      <c r="AQ48" s="68" t="str">
        <f>IF(main!BC51="","",ROUND(main!BC51*100,6))</f>
        <v/>
      </c>
      <c r="AR48" s="68" t="str">
        <f>IF(main!BD51="","",ROUND(main!BD51*100,6))</f>
        <v/>
      </c>
      <c r="AS48" s="68">
        <f>IF(main!BE51="","",ROUND(main!BE51*100,6))</f>
        <v>17.225355</v>
      </c>
      <c r="AT48" s="68">
        <f>IF(main!BF51="","",ROUND(main!BF51*100,6))</f>
        <v>58.659148000000002</v>
      </c>
      <c r="AU48" s="68">
        <f>IF(main!BG51="","",ROUND(main!BG51*100,6))</f>
        <v>24.115497000000001</v>
      </c>
      <c r="AV48" s="68" t="str">
        <f>IF(main!BH51="","",ROUND(main!BH51*100,6))</f>
        <v/>
      </c>
      <c r="AW48" s="68" t="str">
        <f>IF(main!BI51="","",ROUND(main!BI51*100,6))</f>
        <v/>
      </c>
      <c r="AX48" s="68" t="str">
        <f>IF(main!BJ51="","",ROUND(main!BJ51*100,6))</f>
        <v/>
      </c>
      <c r="AY48" s="68" t="str">
        <f>IF(main!BK51="","",ROUND(main!BK51*100,6))</f>
        <v/>
      </c>
      <c r="AZ48" s="68" t="str">
        <f>IF(main!BL51="","",ROUND(main!BL51*100,6))</f>
        <v/>
      </c>
      <c r="BA48" s="68" t="str">
        <f>IF(main!BM51="","",ROUND(main!BM51*100,6))</f>
        <v/>
      </c>
      <c r="BB48" s="68" t="str">
        <f>IF(main!BN51="","",ROUND(main!BN51*100,6))</f>
        <v/>
      </c>
      <c r="BC48" s="68" t="str">
        <f>IF(main!BO51="","",ROUND(main!BO51*100,6))</f>
        <v/>
      </c>
      <c r="BD48" s="68" t="str">
        <f>IF(main!BP51="","",ROUND(main!BP51*100,6))</f>
        <v/>
      </c>
      <c r="BE48" s="68" t="str">
        <f>IF(main!BQ51="","",ROUND(main!BQ51*100,6))</f>
        <v/>
      </c>
      <c r="BF48" s="68" t="str">
        <f>IF(main!BR51="","",ROUND(main!BR51*100,6))</f>
        <v/>
      </c>
      <c r="BG48" s="68" t="str">
        <f>IF(main!BS51="","",ROUND(main!BS51*100,6))</f>
        <v/>
      </c>
      <c r="BH48" s="68" t="str">
        <f>IF(main!BT51="","",ROUND(main!BT51*100,6))</f>
        <v/>
      </c>
      <c r="BI48" s="68" t="str">
        <f>IF(main!BU51="","",ROUND(main!BU51*100,6))</f>
        <v/>
      </c>
      <c r="BJ48" s="68" t="str">
        <f>IF(main!BV51="","",ROUND(main!BV51*100,6))</f>
        <v/>
      </c>
      <c r="BK48" s="68" t="str">
        <f>IF(main!BW51="","",ROUND(main!BW51*100,6))</f>
        <v/>
      </c>
      <c r="BL48" s="68" t="str">
        <f>IF(main!BX51="","",ROUND(main!BX51*100,6))</f>
        <v/>
      </c>
      <c r="BM48" s="68" t="str">
        <f>IF(main!BY51="","",ROUND(main!BY51*100,6))</f>
        <v/>
      </c>
      <c r="BN48" s="68" t="str">
        <f>IF(main!BZ51="","",ROUND(main!BZ51*100,6))</f>
        <v/>
      </c>
      <c r="BO48" s="68" t="str">
        <f>IF(main!CA51="","",ROUND(main!CA51*100,6))</f>
        <v/>
      </c>
      <c r="BP48" s="68" t="str">
        <f>IF(main!CB51="","",ROUND(main!CB51*100,6))</f>
        <v/>
      </c>
      <c r="BQ48" s="68" t="str">
        <f>IF(main!CC51="","",ROUND(main!CC51*100,6))</f>
        <v/>
      </c>
      <c r="BR48" s="68" t="str">
        <f>IF(main!CD51="","",ROUND(main!CD51*100,6))</f>
        <v/>
      </c>
      <c r="BS48" s="68" t="str">
        <f>IF(main!CE51="","",ROUND(main!CE51*100,6))</f>
        <v/>
      </c>
      <c r="BT48" s="68" t="str">
        <f>IF(main!CF51="","",ROUND(main!CF51*100,6))</f>
        <v/>
      </c>
      <c r="BU48" s="68" t="str">
        <f>IF(main!CG51="","",ROUND(main!CG51*100,6))</f>
        <v/>
      </c>
      <c r="BV48" s="68" t="str">
        <f>IF(main!CH51="","",ROUND(main!CH51*100,6))</f>
        <v/>
      </c>
      <c r="BW48" s="68" t="str">
        <f>IF(main!CI51="","",ROUND(main!CI51*100,6))</f>
        <v/>
      </c>
      <c r="BX48" s="68" t="str">
        <f>IF(main!CJ51="","",ROUND(main!CJ51*100,6))</f>
        <v/>
      </c>
      <c r="BY48" s="68" t="str">
        <f>IF(main!CK51="","",ROUND(main!CK51*100,6))</f>
        <v/>
      </c>
      <c r="BZ48" s="68" t="str">
        <f>IF(main!CL51="","",ROUND(main!CL51*100,6))</f>
        <v/>
      </c>
      <c r="CA48" s="68" t="str">
        <f>IF(main!CM51="","",ROUND(main!CM51*100,6))</f>
        <v/>
      </c>
      <c r="CB48" s="68" t="str">
        <f>IF(main!CN51="","",ROUND(main!CN51*100,6))</f>
        <v/>
      </c>
      <c r="CC48" s="68" t="str">
        <f>IF(main!CO51="","",ROUND(main!CO51*100,6))</f>
        <v/>
      </c>
    </row>
    <row r="49" spans="1:81" x14ac:dyDescent="0.25">
      <c r="A49" s="65" t="s">
        <v>172</v>
      </c>
      <c r="B49" s="66" t="str">
        <f>main!C51</f>
        <v>RC Slab M to R</v>
      </c>
      <c r="C49" s="67">
        <f>main!O51</f>
        <v>100000</v>
      </c>
      <c r="D49" s="65" t="s">
        <v>111</v>
      </c>
      <c r="E49" s="68" t="str">
        <f t="shared" si="0"/>
        <v/>
      </c>
      <c r="F49" s="68" t="str">
        <f>IF(main!R52="","",ROUND(main!R52*100,6))</f>
        <v/>
      </c>
      <c r="G49" s="68" t="str">
        <f>IF(main!S52="","",ROUND(main!S52*100,6))</f>
        <v/>
      </c>
      <c r="H49" s="68" t="str">
        <f>IF(main!T52="","",ROUND(main!T52*100,6))</f>
        <v/>
      </c>
      <c r="I49" s="68" t="str">
        <f>IF(main!U52="","",ROUND(main!U52*100,6))</f>
        <v/>
      </c>
      <c r="J49" s="68" t="str">
        <f>IF(main!V52="","",ROUND(main!V52*100,6))</f>
        <v/>
      </c>
      <c r="K49" s="68" t="str">
        <f>IF(main!W52="","",ROUND(main!W52*100,6))</f>
        <v/>
      </c>
      <c r="L49" s="68" t="str">
        <f>IF(main!X52="","",ROUND(main!X52*100,6))</f>
        <v/>
      </c>
      <c r="M49" s="68" t="str">
        <f>IF(main!Y52="","",ROUND(main!Y52*100,6))</f>
        <v/>
      </c>
      <c r="N49" s="68" t="str">
        <f>IF(main!Z52="","",ROUND(main!Z52*100,6))</f>
        <v/>
      </c>
      <c r="O49" s="68" t="str">
        <f>IF(main!AA52="","",ROUND(main!AA52*100,6))</f>
        <v/>
      </c>
      <c r="P49" s="68" t="str">
        <f>IF(main!AB52="","",ROUND(main!AB52*100,6))</f>
        <v/>
      </c>
      <c r="Q49" s="68" t="str">
        <f>IF(main!AC52="","",ROUND(main!AC52*100,6))</f>
        <v/>
      </c>
      <c r="R49" s="68" t="str">
        <f>IF(main!AD52="","",ROUND(main!AD52*100,6))</f>
        <v/>
      </c>
      <c r="S49" s="68" t="str">
        <f>IF(main!AE52="","",ROUND(main!AE52*100,6))</f>
        <v/>
      </c>
      <c r="T49" s="68" t="str">
        <f>IF(main!AF52="","",ROUND(main!AF52*100,6))</f>
        <v/>
      </c>
      <c r="U49" s="68" t="str">
        <f>IF(main!AG52="","",ROUND(main!AG52*100,6))</f>
        <v/>
      </c>
      <c r="V49" s="68" t="str">
        <f>IF(main!AH52="","",ROUND(main!AH52*100,6))</f>
        <v/>
      </c>
      <c r="W49" s="68" t="str">
        <f>IF(main!AI52="","",ROUND(main!AI52*100,6))</f>
        <v/>
      </c>
      <c r="X49" s="68" t="str">
        <f>IF(main!AJ52="","",ROUND(main!AJ52*100,6))</f>
        <v/>
      </c>
      <c r="Y49" s="68" t="str">
        <f>IF(main!AK52="","",ROUND(main!AK52*100,6))</f>
        <v/>
      </c>
      <c r="Z49" s="68" t="str">
        <f>IF(main!AL52="","",ROUND(main!AL52*100,6))</f>
        <v/>
      </c>
      <c r="AA49" s="68" t="str">
        <f>IF(main!AM52="","",ROUND(main!AM52*100,6))</f>
        <v/>
      </c>
      <c r="AB49" s="68" t="str">
        <f>IF(main!AN52="","",ROUND(main!AN52*100,6))</f>
        <v/>
      </c>
      <c r="AC49" s="68" t="str">
        <f>IF(main!AO52="","",ROUND(main!AO52*100,6))</f>
        <v/>
      </c>
      <c r="AD49" s="68" t="str">
        <f>IF(main!AP52="","",ROUND(main!AP52*100,6))</f>
        <v/>
      </c>
      <c r="AE49" s="68" t="str">
        <f>IF(main!AQ52="","",ROUND(main!AQ52*100,6))</f>
        <v/>
      </c>
      <c r="AF49" s="68" t="str">
        <f>IF(main!AR52="","",ROUND(main!AR52*100,6))</f>
        <v/>
      </c>
      <c r="AG49" s="68" t="str">
        <f>IF(main!AS52="","",ROUND(main!AS52*100,6))</f>
        <v/>
      </c>
      <c r="AH49" s="68" t="str">
        <f>IF(main!AT52="","",ROUND(main!AT52*100,6))</f>
        <v/>
      </c>
      <c r="AI49" s="68" t="str">
        <f>IF(main!AU52="","",ROUND(main!AU52*100,6))</f>
        <v/>
      </c>
      <c r="AJ49" s="68" t="str">
        <f>IF(main!AV52="","",ROUND(main!AV52*100,6))</f>
        <v/>
      </c>
      <c r="AK49" s="68" t="str">
        <f>IF(main!AW52="","",ROUND(main!AW52*100,6))</f>
        <v/>
      </c>
      <c r="AL49" s="68" t="str">
        <f>IF(main!AX52="","",ROUND(main!AX52*100,6))</f>
        <v/>
      </c>
      <c r="AM49" s="68" t="str">
        <f>IF(main!AY52="","",ROUND(main!AY52*100,6))</f>
        <v/>
      </c>
      <c r="AN49" s="68" t="str">
        <f>IF(main!AZ52="","",ROUND(main!AZ52*100,6))</f>
        <v/>
      </c>
      <c r="AO49" s="68" t="str">
        <f>IF(main!BA52="","",ROUND(main!BA52*100,6))</f>
        <v/>
      </c>
      <c r="AP49" s="68" t="str">
        <f>IF(main!BB52="","",ROUND(main!BB52*100,6))</f>
        <v/>
      </c>
      <c r="AQ49" s="68" t="str">
        <f>IF(main!BC52="","",ROUND(main!BC52*100,6))</f>
        <v/>
      </c>
      <c r="AR49" s="68" t="str">
        <f>IF(main!BD52="","",ROUND(main!BD52*100,6))</f>
        <v/>
      </c>
      <c r="AS49" s="68" t="str">
        <f>IF(main!BE52="","",ROUND(main!BE52*100,6))</f>
        <v/>
      </c>
      <c r="AT49" s="68" t="str">
        <f>IF(main!BF52="","",ROUND(main!BF52*100,6))</f>
        <v/>
      </c>
      <c r="AU49" s="68" t="str">
        <f>IF(main!BG52="","",ROUND(main!BG52*100,6))</f>
        <v/>
      </c>
      <c r="AV49" s="68" t="str">
        <f>IF(main!BH52="","",ROUND(main!BH52*100,6))</f>
        <v/>
      </c>
      <c r="AW49" s="68" t="str">
        <f>IF(main!BI52="","",ROUND(main!BI52*100,6))</f>
        <v/>
      </c>
      <c r="AX49" s="68" t="str">
        <f>IF(main!BJ52="","",ROUND(main!BJ52*100,6))</f>
        <v/>
      </c>
      <c r="AY49" s="68" t="str">
        <f>IF(main!BK52="","",ROUND(main!BK52*100,6))</f>
        <v/>
      </c>
      <c r="AZ49" s="68" t="str">
        <f>IF(main!BL52="","",ROUND(main!BL52*100,6))</f>
        <v/>
      </c>
      <c r="BA49" s="68" t="str">
        <f>IF(main!BM52="","",ROUND(main!BM52*100,6))</f>
        <v/>
      </c>
      <c r="BB49" s="68" t="str">
        <f>IF(main!BN52="","",ROUND(main!BN52*100,6))</f>
        <v/>
      </c>
      <c r="BC49" s="68" t="str">
        <f>IF(main!BO52="","",ROUND(main!BO52*100,6))</f>
        <v/>
      </c>
      <c r="BD49" s="68" t="str">
        <f>IF(main!BP52="","",ROUND(main!BP52*100,6))</f>
        <v/>
      </c>
      <c r="BE49" s="68" t="str">
        <f>IF(main!BQ52="","",ROUND(main!BQ52*100,6))</f>
        <v/>
      </c>
      <c r="BF49" s="68" t="str">
        <f>IF(main!BR52="","",ROUND(main!BR52*100,6))</f>
        <v/>
      </c>
      <c r="BG49" s="68" t="str">
        <f>IF(main!BS52="","",ROUND(main!BS52*100,6))</f>
        <v/>
      </c>
      <c r="BH49" s="68" t="str">
        <f>IF(main!BT52="","",ROUND(main!BT52*100,6))</f>
        <v/>
      </c>
      <c r="BI49" s="68" t="str">
        <f>IF(main!BU52="","",ROUND(main!BU52*100,6))</f>
        <v/>
      </c>
      <c r="BJ49" s="68" t="str">
        <f>IF(main!BV52="","",ROUND(main!BV52*100,6))</f>
        <v/>
      </c>
      <c r="BK49" s="68" t="str">
        <f>IF(main!BW52="","",ROUND(main!BW52*100,6))</f>
        <v/>
      </c>
      <c r="BL49" s="68" t="str">
        <f>IF(main!BX52="","",ROUND(main!BX52*100,6))</f>
        <v/>
      </c>
      <c r="BM49" s="68" t="str">
        <f>IF(main!BY52="","",ROUND(main!BY52*100,6))</f>
        <v/>
      </c>
      <c r="BN49" s="68" t="str">
        <f>IF(main!BZ52="","",ROUND(main!BZ52*100,6))</f>
        <v/>
      </c>
      <c r="BO49" s="68" t="str">
        <f>IF(main!CA52="","",ROUND(main!CA52*100,6))</f>
        <v/>
      </c>
      <c r="BP49" s="68" t="str">
        <f>IF(main!CB52="","",ROUND(main!CB52*100,6))</f>
        <v/>
      </c>
      <c r="BQ49" s="68" t="str">
        <f>IF(main!CC52="","",ROUND(main!CC52*100,6))</f>
        <v/>
      </c>
      <c r="BR49" s="68" t="str">
        <f>IF(main!CD52="","",ROUND(main!CD52*100,6))</f>
        <v/>
      </c>
      <c r="BS49" s="68" t="str">
        <f>IF(main!CE52="","",ROUND(main!CE52*100,6))</f>
        <v/>
      </c>
      <c r="BT49" s="68" t="str">
        <f>IF(main!CF52="","",ROUND(main!CF52*100,6))</f>
        <v/>
      </c>
      <c r="BU49" s="68" t="str">
        <f>IF(main!CG52="","",ROUND(main!CG52*100,6))</f>
        <v/>
      </c>
      <c r="BV49" s="68" t="str">
        <f>IF(main!CH52="","",ROUND(main!CH52*100,6))</f>
        <v/>
      </c>
      <c r="BW49" s="68" t="str">
        <f>IF(main!CI52="","",ROUND(main!CI52*100,6))</f>
        <v/>
      </c>
      <c r="BX49" s="68" t="str">
        <f>IF(main!CJ52="","",ROUND(main!CJ52*100,6))</f>
        <v/>
      </c>
      <c r="BY49" s="68" t="str">
        <f>IF(main!CK52="","",ROUND(main!CK52*100,6))</f>
        <v/>
      </c>
      <c r="BZ49" s="68" t="str">
        <f>IF(main!CL52="","",ROUND(main!CL52*100,6))</f>
        <v/>
      </c>
      <c r="CA49" s="68" t="str">
        <f>IF(main!CM52="","",ROUND(main!CM52*100,6))</f>
        <v/>
      </c>
      <c r="CB49" s="68" t="str">
        <f>IF(main!CN52="","",ROUND(main!CN52*100,6))</f>
        <v/>
      </c>
      <c r="CC49" s="68" t="str">
        <f>IF(main!CO52="","",ROUND(main!CO52*100,6))</f>
        <v/>
      </c>
    </row>
    <row r="50" spans="1:81" x14ac:dyDescent="0.25">
      <c r="A50" s="65" t="s">
        <v>175</v>
      </c>
      <c r="B50" s="66" t="str">
        <f>main!C53</f>
        <v>Lift</v>
      </c>
      <c r="C50" s="67">
        <f>main!O53</f>
        <v>400000</v>
      </c>
      <c r="D50" s="65" t="s">
        <v>110</v>
      </c>
      <c r="E50" s="68">
        <f t="shared" si="0"/>
        <v>100</v>
      </c>
      <c r="F50" s="68" t="str">
        <f>IF(main!R53="","",ROUND(main!R53*100,6))</f>
        <v/>
      </c>
      <c r="G50" s="68" t="str">
        <f>IF(main!S53="","",ROUND(main!S53*100,6))</f>
        <v/>
      </c>
      <c r="H50" s="68" t="str">
        <f>IF(main!T53="","",ROUND(main!T53*100,6))</f>
        <v/>
      </c>
      <c r="I50" s="68" t="str">
        <f>IF(main!U53="","",ROUND(main!U53*100,6))</f>
        <v/>
      </c>
      <c r="J50" s="68" t="str">
        <f>IF(main!V53="","",ROUND(main!V53*100,6))</f>
        <v/>
      </c>
      <c r="K50" s="68" t="str">
        <f>IF(main!W53="","",ROUND(main!W53*100,6))</f>
        <v/>
      </c>
      <c r="L50" s="68" t="str">
        <f>IF(main!X53="","",ROUND(main!X53*100,6))</f>
        <v/>
      </c>
      <c r="M50" s="68" t="str">
        <f>IF(main!Y53="","",ROUND(main!Y53*100,6))</f>
        <v/>
      </c>
      <c r="N50" s="68" t="str">
        <f>IF(main!Z53="","",ROUND(main!Z53*100,6))</f>
        <v/>
      </c>
      <c r="O50" s="68" t="str">
        <f>IF(main!AA53="","",ROUND(main!AA53*100,6))</f>
        <v/>
      </c>
      <c r="P50" s="68" t="str">
        <f>IF(main!AB53="","",ROUND(main!AB53*100,6))</f>
        <v/>
      </c>
      <c r="Q50" s="68" t="str">
        <f>IF(main!AC53="","",ROUND(main!AC53*100,6))</f>
        <v/>
      </c>
      <c r="R50" s="68" t="str">
        <f>IF(main!AD53="","",ROUND(main!AD53*100,6))</f>
        <v/>
      </c>
      <c r="S50" s="68" t="str">
        <f>IF(main!AE53="","",ROUND(main!AE53*100,6))</f>
        <v/>
      </c>
      <c r="T50" s="68" t="str">
        <f>IF(main!AF53="","",ROUND(main!AF53*100,6))</f>
        <v/>
      </c>
      <c r="U50" s="68" t="str">
        <f>IF(main!AG53="","",ROUND(main!AG53*100,6))</f>
        <v/>
      </c>
      <c r="V50" s="68" t="str">
        <f>IF(main!AH53="","",ROUND(main!AH53*100,6))</f>
        <v/>
      </c>
      <c r="W50" s="68" t="str">
        <f>IF(main!AI53="","",ROUND(main!AI53*100,6))</f>
        <v/>
      </c>
      <c r="X50" s="68" t="str">
        <f>IF(main!AJ53="","",ROUND(main!AJ53*100,6))</f>
        <v/>
      </c>
      <c r="Y50" s="68" t="str">
        <f>IF(main!AK53="","",ROUND(main!AK53*100,6))</f>
        <v/>
      </c>
      <c r="Z50" s="68" t="str">
        <f>IF(main!AL53="","",ROUND(main!AL53*100,6))</f>
        <v/>
      </c>
      <c r="AA50" s="68" t="str">
        <f>IF(main!AM53="","",ROUND(main!AM53*100,6))</f>
        <v/>
      </c>
      <c r="AB50" s="68" t="str">
        <f>IF(main!AN53="","",ROUND(main!AN53*100,6))</f>
        <v/>
      </c>
      <c r="AC50" s="68" t="str">
        <f>IF(main!AO53="","",ROUND(main!AO53*100,6))</f>
        <v/>
      </c>
      <c r="AD50" s="68" t="str">
        <f>IF(main!AP53="","",ROUND(main!AP53*100,6))</f>
        <v/>
      </c>
      <c r="AE50" s="68" t="str">
        <f>IF(main!AQ53="","",ROUND(main!AQ53*100,6))</f>
        <v/>
      </c>
      <c r="AF50" s="68" t="str">
        <f>IF(main!AR53="","",ROUND(main!AR53*100,6))</f>
        <v/>
      </c>
      <c r="AG50" s="68" t="str">
        <f>IF(main!AS53="","",ROUND(main!AS53*100,6))</f>
        <v/>
      </c>
      <c r="AH50" s="68" t="str">
        <f>IF(main!AT53="","",ROUND(main!AT53*100,6))</f>
        <v/>
      </c>
      <c r="AI50" s="68" t="str">
        <f>IF(main!AU53="","",ROUND(main!AU53*100,6))</f>
        <v/>
      </c>
      <c r="AJ50" s="68" t="str">
        <f>IF(main!AV53="","",ROUND(main!AV53*100,6))</f>
        <v/>
      </c>
      <c r="AK50" s="68" t="str">
        <f>IF(main!AW53="","",ROUND(main!AW53*100,6))</f>
        <v/>
      </c>
      <c r="AL50" s="68" t="str">
        <f>IF(main!AX53="","",ROUND(main!AX53*100,6))</f>
        <v/>
      </c>
      <c r="AM50" s="68" t="str">
        <f>IF(main!AY53="","",ROUND(main!AY53*100,6))</f>
        <v/>
      </c>
      <c r="AN50" s="68">
        <f>IF(main!AZ53="","",ROUND(main!AZ53*100,6))</f>
        <v>17.857143000000001</v>
      </c>
      <c r="AO50" s="68">
        <f>IF(main!BA53="","",ROUND(main!BA53*100,6))</f>
        <v>15.476190000000001</v>
      </c>
      <c r="AP50" s="68">
        <f>IF(main!BB53="","",ROUND(main!BB53*100,6))</f>
        <v>17.707163999999999</v>
      </c>
      <c r="AQ50" s="68">
        <f>IF(main!BC53="","",ROUND(main!BC53*100,6))</f>
        <v>17.716521</v>
      </c>
      <c r="AR50" s="68">
        <f>IF(main!BD53="","",ROUND(main!BD53*100,6))</f>
        <v>7.2834789999999998</v>
      </c>
      <c r="AS50" s="68">
        <f>IF(main!BE53="","",ROUND(main!BE53*100,6))</f>
        <v>17.716521</v>
      </c>
      <c r="AT50" s="68">
        <f>IF(main!BF53="","",ROUND(main!BF53*100,6))</f>
        <v>6.2429819999999996</v>
      </c>
      <c r="AU50" s="68" t="str">
        <f>IF(main!BG53="","",ROUND(main!BG53*100,6))</f>
        <v/>
      </c>
      <c r="AV50" s="68" t="str">
        <f>IF(main!BH53="","",ROUND(main!BH53*100,6))</f>
        <v/>
      </c>
      <c r="AW50" s="68" t="str">
        <f>IF(main!BI53="","",ROUND(main!BI53*100,6))</f>
        <v/>
      </c>
      <c r="AX50" s="68" t="str">
        <f>IF(main!BJ53="","",ROUND(main!BJ53*100,6))</f>
        <v/>
      </c>
      <c r="AY50" s="68" t="str">
        <f>IF(main!BK53="","",ROUND(main!BK53*100,6))</f>
        <v/>
      </c>
      <c r="AZ50" s="68" t="str">
        <f>IF(main!BL53="","",ROUND(main!BL53*100,6))</f>
        <v/>
      </c>
      <c r="BA50" s="68" t="str">
        <f>IF(main!BM53="","",ROUND(main!BM53*100,6))</f>
        <v/>
      </c>
      <c r="BB50" s="68" t="str">
        <f>IF(main!BN53="","",ROUND(main!BN53*100,6))</f>
        <v/>
      </c>
      <c r="BC50" s="68" t="str">
        <f>IF(main!BO53="","",ROUND(main!BO53*100,6))</f>
        <v/>
      </c>
      <c r="BD50" s="68" t="str">
        <f>IF(main!BP53="","",ROUND(main!BP53*100,6))</f>
        <v/>
      </c>
      <c r="BE50" s="68" t="str">
        <f>IF(main!BQ53="","",ROUND(main!BQ53*100,6))</f>
        <v/>
      </c>
      <c r="BF50" s="68" t="str">
        <f>IF(main!BR53="","",ROUND(main!BR53*100,6))</f>
        <v/>
      </c>
      <c r="BG50" s="68" t="str">
        <f>IF(main!BS53="","",ROUND(main!BS53*100,6))</f>
        <v/>
      </c>
      <c r="BH50" s="68" t="str">
        <f>IF(main!BT53="","",ROUND(main!BT53*100,6))</f>
        <v/>
      </c>
      <c r="BI50" s="68" t="str">
        <f>IF(main!BU53="","",ROUND(main!BU53*100,6))</f>
        <v/>
      </c>
      <c r="BJ50" s="68" t="str">
        <f>IF(main!BV53="","",ROUND(main!BV53*100,6))</f>
        <v/>
      </c>
      <c r="BK50" s="68" t="str">
        <f>IF(main!BW53="","",ROUND(main!BW53*100,6))</f>
        <v/>
      </c>
      <c r="BL50" s="68" t="str">
        <f>IF(main!BX53="","",ROUND(main!BX53*100,6))</f>
        <v/>
      </c>
      <c r="BM50" s="68" t="str">
        <f>IF(main!BY53="","",ROUND(main!BY53*100,6))</f>
        <v/>
      </c>
      <c r="BN50" s="68" t="str">
        <f>IF(main!BZ53="","",ROUND(main!BZ53*100,6))</f>
        <v/>
      </c>
      <c r="BO50" s="68" t="str">
        <f>IF(main!CA53="","",ROUND(main!CA53*100,6))</f>
        <v/>
      </c>
      <c r="BP50" s="68" t="str">
        <f>IF(main!CB53="","",ROUND(main!CB53*100,6))</f>
        <v/>
      </c>
      <c r="BQ50" s="68" t="str">
        <f>IF(main!CC53="","",ROUND(main!CC53*100,6))</f>
        <v/>
      </c>
      <c r="BR50" s="68" t="str">
        <f>IF(main!CD53="","",ROUND(main!CD53*100,6))</f>
        <v/>
      </c>
      <c r="BS50" s="68" t="str">
        <f>IF(main!CE53="","",ROUND(main!CE53*100,6))</f>
        <v/>
      </c>
      <c r="BT50" s="68" t="str">
        <f>IF(main!CF53="","",ROUND(main!CF53*100,6))</f>
        <v/>
      </c>
      <c r="BU50" s="68" t="str">
        <f>IF(main!CG53="","",ROUND(main!CG53*100,6))</f>
        <v/>
      </c>
      <c r="BV50" s="68" t="str">
        <f>IF(main!CH53="","",ROUND(main!CH53*100,6))</f>
        <v/>
      </c>
      <c r="BW50" s="68" t="str">
        <f>IF(main!CI53="","",ROUND(main!CI53*100,6))</f>
        <v/>
      </c>
      <c r="BX50" s="68" t="str">
        <f>IF(main!CJ53="","",ROUND(main!CJ53*100,6))</f>
        <v/>
      </c>
      <c r="BY50" s="68" t="str">
        <f>IF(main!CK53="","",ROUND(main!CK53*100,6))</f>
        <v/>
      </c>
      <c r="BZ50" s="68" t="str">
        <f>IF(main!CL53="","",ROUND(main!CL53*100,6))</f>
        <v/>
      </c>
      <c r="CA50" s="68" t="str">
        <f>IF(main!CM53="","",ROUND(main!CM53*100,6))</f>
        <v/>
      </c>
      <c r="CB50" s="68" t="str">
        <f>IF(main!CN53="","",ROUND(main!CN53*100,6))</f>
        <v/>
      </c>
      <c r="CC50" s="68" t="str">
        <f>IF(main!CO53="","",ROUND(main!CO53*100,6))</f>
        <v/>
      </c>
    </row>
    <row r="51" spans="1:81" x14ac:dyDescent="0.25">
      <c r="A51" s="65" t="s">
        <v>175</v>
      </c>
      <c r="B51" s="66" t="str">
        <f>main!C53</f>
        <v>Lift</v>
      </c>
      <c r="C51" s="67">
        <f>main!O53</f>
        <v>400000</v>
      </c>
      <c r="D51" s="65" t="s">
        <v>111</v>
      </c>
      <c r="E51" s="68" t="str">
        <f t="shared" si="0"/>
        <v/>
      </c>
      <c r="F51" s="68" t="str">
        <f>IF(main!R54="","",ROUND(main!R54*100,6))</f>
        <v/>
      </c>
      <c r="G51" s="68" t="str">
        <f>IF(main!S54="","",ROUND(main!S54*100,6))</f>
        <v/>
      </c>
      <c r="H51" s="68" t="str">
        <f>IF(main!T54="","",ROUND(main!T54*100,6))</f>
        <v/>
      </c>
      <c r="I51" s="68" t="str">
        <f>IF(main!U54="","",ROUND(main!U54*100,6))</f>
        <v/>
      </c>
      <c r="J51" s="68" t="str">
        <f>IF(main!V54="","",ROUND(main!V54*100,6))</f>
        <v/>
      </c>
      <c r="K51" s="68" t="str">
        <f>IF(main!W54="","",ROUND(main!W54*100,6))</f>
        <v/>
      </c>
      <c r="L51" s="68" t="str">
        <f>IF(main!X54="","",ROUND(main!X54*100,6))</f>
        <v/>
      </c>
      <c r="M51" s="68" t="str">
        <f>IF(main!Y54="","",ROUND(main!Y54*100,6))</f>
        <v/>
      </c>
      <c r="N51" s="68" t="str">
        <f>IF(main!Z54="","",ROUND(main!Z54*100,6))</f>
        <v/>
      </c>
      <c r="O51" s="68" t="str">
        <f>IF(main!AA54="","",ROUND(main!AA54*100,6))</f>
        <v/>
      </c>
      <c r="P51" s="68" t="str">
        <f>IF(main!AB54="","",ROUND(main!AB54*100,6))</f>
        <v/>
      </c>
      <c r="Q51" s="68" t="str">
        <f>IF(main!AC54="","",ROUND(main!AC54*100,6))</f>
        <v/>
      </c>
      <c r="R51" s="68" t="str">
        <f>IF(main!AD54="","",ROUND(main!AD54*100,6))</f>
        <v/>
      </c>
      <c r="S51" s="68" t="str">
        <f>IF(main!AE54="","",ROUND(main!AE54*100,6))</f>
        <v/>
      </c>
      <c r="T51" s="68" t="str">
        <f>IF(main!AF54="","",ROUND(main!AF54*100,6))</f>
        <v/>
      </c>
      <c r="U51" s="68" t="str">
        <f>IF(main!AG54="","",ROUND(main!AG54*100,6))</f>
        <v/>
      </c>
      <c r="V51" s="68" t="str">
        <f>IF(main!AH54="","",ROUND(main!AH54*100,6))</f>
        <v/>
      </c>
      <c r="W51" s="68" t="str">
        <f>IF(main!AI54="","",ROUND(main!AI54*100,6))</f>
        <v/>
      </c>
      <c r="X51" s="68" t="str">
        <f>IF(main!AJ54="","",ROUND(main!AJ54*100,6))</f>
        <v/>
      </c>
      <c r="Y51" s="68" t="str">
        <f>IF(main!AK54="","",ROUND(main!AK54*100,6))</f>
        <v/>
      </c>
      <c r="Z51" s="68" t="str">
        <f>IF(main!AL54="","",ROUND(main!AL54*100,6))</f>
        <v/>
      </c>
      <c r="AA51" s="68" t="str">
        <f>IF(main!AM54="","",ROUND(main!AM54*100,6))</f>
        <v/>
      </c>
      <c r="AB51" s="68" t="str">
        <f>IF(main!AN54="","",ROUND(main!AN54*100,6))</f>
        <v/>
      </c>
      <c r="AC51" s="68" t="str">
        <f>IF(main!AO54="","",ROUND(main!AO54*100,6))</f>
        <v/>
      </c>
      <c r="AD51" s="68" t="str">
        <f>IF(main!AP54="","",ROUND(main!AP54*100,6))</f>
        <v/>
      </c>
      <c r="AE51" s="68" t="str">
        <f>IF(main!AQ54="","",ROUND(main!AQ54*100,6))</f>
        <v/>
      </c>
      <c r="AF51" s="68" t="str">
        <f>IF(main!AR54="","",ROUND(main!AR54*100,6))</f>
        <v/>
      </c>
      <c r="AG51" s="68" t="str">
        <f>IF(main!AS54="","",ROUND(main!AS54*100,6))</f>
        <v/>
      </c>
      <c r="AH51" s="68" t="str">
        <f>IF(main!AT54="","",ROUND(main!AT54*100,6))</f>
        <v/>
      </c>
      <c r="AI51" s="68" t="str">
        <f>IF(main!AU54="","",ROUND(main!AU54*100,6))</f>
        <v/>
      </c>
      <c r="AJ51" s="68" t="str">
        <f>IF(main!AV54="","",ROUND(main!AV54*100,6))</f>
        <v/>
      </c>
      <c r="AK51" s="68" t="str">
        <f>IF(main!AW54="","",ROUND(main!AW54*100,6))</f>
        <v/>
      </c>
      <c r="AL51" s="68" t="str">
        <f>IF(main!AX54="","",ROUND(main!AX54*100,6))</f>
        <v/>
      </c>
      <c r="AM51" s="68" t="str">
        <f>IF(main!AY54="","",ROUND(main!AY54*100,6))</f>
        <v/>
      </c>
      <c r="AN51" s="68" t="str">
        <f>IF(main!AZ54="","",ROUND(main!AZ54*100,6))</f>
        <v/>
      </c>
      <c r="AO51" s="68" t="str">
        <f>IF(main!BA54="","",ROUND(main!BA54*100,6))</f>
        <v/>
      </c>
      <c r="AP51" s="68" t="str">
        <f>IF(main!BB54="","",ROUND(main!BB54*100,6))</f>
        <v/>
      </c>
      <c r="AQ51" s="68" t="str">
        <f>IF(main!BC54="","",ROUND(main!BC54*100,6))</f>
        <v/>
      </c>
      <c r="AR51" s="68" t="str">
        <f>IF(main!BD54="","",ROUND(main!BD54*100,6))</f>
        <v/>
      </c>
      <c r="AS51" s="68" t="str">
        <f>IF(main!BE54="","",ROUND(main!BE54*100,6))</f>
        <v/>
      </c>
      <c r="AT51" s="68" t="str">
        <f>IF(main!BF54="","",ROUND(main!BF54*100,6))</f>
        <v/>
      </c>
      <c r="AU51" s="68" t="str">
        <f>IF(main!BG54="","",ROUND(main!BG54*100,6))</f>
        <v/>
      </c>
      <c r="AV51" s="68" t="str">
        <f>IF(main!BH54="","",ROUND(main!BH54*100,6))</f>
        <v/>
      </c>
      <c r="AW51" s="68" t="str">
        <f>IF(main!BI54="","",ROUND(main!BI54*100,6))</f>
        <v/>
      </c>
      <c r="AX51" s="68" t="str">
        <f>IF(main!BJ54="","",ROUND(main!BJ54*100,6))</f>
        <v/>
      </c>
      <c r="AY51" s="68" t="str">
        <f>IF(main!BK54="","",ROUND(main!BK54*100,6))</f>
        <v/>
      </c>
      <c r="AZ51" s="68" t="str">
        <f>IF(main!BL54="","",ROUND(main!BL54*100,6))</f>
        <v/>
      </c>
      <c r="BA51" s="68" t="str">
        <f>IF(main!BM54="","",ROUND(main!BM54*100,6))</f>
        <v/>
      </c>
      <c r="BB51" s="68" t="str">
        <f>IF(main!BN54="","",ROUND(main!BN54*100,6))</f>
        <v/>
      </c>
      <c r="BC51" s="68" t="str">
        <f>IF(main!BO54="","",ROUND(main!BO54*100,6))</f>
        <v/>
      </c>
      <c r="BD51" s="68" t="str">
        <f>IF(main!BP54="","",ROUND(main!BP54*100,6))</f>
        <v/>
      </c>
      <c r="BE51" s="68" t="str">
        <f>IF(main!BQ54="","",ROUND(main!BQ54*100,6))</f>
        <v/>
      </c>
      <c r="BF51" s="68" t="str">
        <f>IF(main!BR54="","",ROUND(main!BR54*100,6))</f>
        <v/>
      </c>
      <c r="BG51" s="68" t="str">
        <f>IF(main!BS54="","",ROUND(main!BS54*100,6))</f>
        <v/>
      </c>
      <c r="BH51" s="68" t="str">
        <f>IF(main!BT54="","",ROUND(main!BT54*100,6))</f>
        <v/>
      </c>
      <c r="BI51" s="68" t="str">
        <f>IF(main!BU54="","",ROUND(main!BU54*100,6))</f>
        <v/>
      </c>
      <c r="BJ51" s="68" t="str">
        <f>IF(main!BV54="","",ROUND(main!BV54*100,6))</f>
        <v/>
      </c>
      <c r="BK51" s="68" t="str">
        <f>IF(main!BW54="","",ROUND(main!BW54*100,6))</f>
        <v/>
      </c>
      <c r="BL51" s="68" t="str">
        <f>IF(main!BX54="","",ROUND(main!BX54*100,6))</f>
        <v/>
      </c>
      <c r="BM51" s="68" t="str">
        <f>IF(main!BY54="","",ROUND(main!BY54*100,6))</f>
        <v/>
      </c>
      <c r="BN51" s="68" t="str">
        <f>IF(main!BZ54="","",ROUND(main!BZ54*100,6))</f>
        <v/>
      </c>
      <c r="BO51" s="68" t="str">
        <f>IF(main!CA54="","",ROUND(main!CA54*100,6))</f>
        <v/>
      </c>
      <c r="BP51" s="68" t="str">
        <f>IF(main!CB54="","",ROUND(main!CB54*100,6))</f>
        <v/>
      </c>
      <c r="BQ51" s="68" t="str">
        <f>IF(main!CC54="","",ROUND(main!CC54*100,6))</f>
        <v/>
      </c>
      <c r="BR51" s="68" t="str">
        <f>IF(main!CD54="","",ROUND(main!CD54*100,6))</f>
        <v/>
      </c>
      <c r="BS51" s="68" t="str">
        <f>IF(main!CE54="","",ROUND(main!CE54*100,6))</f>
        <v/>
      </c>
      <c r="BT51" s="68" t="str">
        <f>IF(main!CF54="","",ROUND(main!CF54*100,6))</f>
        <v/>
      </c>
      <c r="BU51" s="68" t="str">
        <f>IF(main!CG54="","",ROUND(main!CG54*100,6))</f>
        <v/>
      </c>
      <c r="BV51" s="68" t="str">
        <f>IF(main!CH54="","",ROUND(main!CH54*100,6))</f>
        <v/>
      </c>
      <c r="BW51" s="68" t="str">
        <f>IF(main!CI54="","",ROUND(main!CI54*100,6))</f>
        <v/>
      </c>
      <c r="BX51" s="68" t="str">
        <f>IF(main!CJ54="","",ROUND(main!CJ54*100,6))</f>
        <v/>
      </c>
      <c r="BY51" s="68" t="str">
        <f>IF(main!CK54="","",ROUND(main!CK54*100,6))</f>
        <v/>
      </c>
      <c r="BZ51" s="68" t="str">
        <f>IF(main!CL54="","",ROUND(main!CL54*100,6))</f>
        <v/>
      </c>
      <c r="CA51" s="68" t="str">
        <f>IF(main!CM54="","",ROUND(main!CM54*100,6))</f>
        <v/>
      </c>
      <c r="CB51" s="68" t="str">
        <f>IF(main!CN54="","",ROUND(main!CN54*100,6))</f>
        <v/>
      </c>
      <c r="CC51" s="68" t="str">
        <f>IF(main!CO54="","",ROUND(main!CO54*100,6))</f>
        <v/>
      </c>
    </row>
    <row r="52" spans="1:81" x14ac:dyDescent="0.25">
      <c r="A52" s="65" t="s">
        <v>177</v>
      </c>
      <c r="B52" s="66" t="str">
        <f>main!C55</f>
        <v>Foundation</v>
      </c>
      <c r="C52" s="67">
        <f>main!O55</f>
        <v>100000</v>
      </c>
      <c r="D52" s="65" t="s">
        <v>110</v>
      </c>
      <c r="E52" s="68">
        <f t="shared" si="0"/>
        <v>100</v>
      </c>
      <c r="F52" s="68" t="str">
        <f>IF(main!R55="","",ROUND(main!R55*100,6))</f>
        <v/>
      </c>
      <c r="G52" s="68" t="str">
        <f>IF(main!S55="","",ROUND(main!S55*100,6))</f>
        <v/>
      </c>
      <c r="H52" s="68" t="str">
        <f>IF(main!T55="","",ROUND(main!T55*100,6))</f>
        <v/>
      </c>
      <c r="I52" s="68" t="str">
        <f>IF(main!U55="","",ROUND(main!U55*100,6))</f>
        <v/>
      </c>
      <c r="J52" s="68" t="str">
        <f>IF(main!V55="","",ROUND(main!V55*100,6))</f>
        <v/>
      </c>
      <c r="K52" s="68" t="str">
        <f>IF(main!W55="","",ROUND(main!W55*100,6))</f>
        <v/>
      </c>
      <c r="L52" s="68" t="str">
        <f>IF(main!X55="","",ROUND(main!X55*100,6))</f>
        <v/>
      </c>
      <c r="M52" s="68" t="str">
        <f>IF(main!Y55="","",ROUND(main!Y55*100,6))</f>
        <v/>
      </c>
      <c r="N52" s="68" t="str">
        <f>IF(main!Z55="","",ROUND(main!Z55*100,6))</f>
        <v/>
      </c>
      <c r="O52" s="68" t="str">
        <f>IF(main!AA55="","",ROUND(main!AA55*100,6))</f>
        <v/>
      </c>
      <c r="P52" s="68" t="str">
        <f>IF(main!AB55="","",ROUND(main!AB55*100,6))</f>
        <v/>
      </c>
      <c r="Q52" s="68" t="str">
        <f>IF(main!AC55="","",ROUND(main!AC55*100,6))</f>
        <v/>
      </c>
      <c r="R52" s="68" t="str">
        <f>IF(main!AD55="","",ROUND(main!AD55*100,6))</f>
        <v/>
      </c>
      <c r="S52" s="68" t="str">
        <f>IF(main!AE55="","",ROUND(main!AE55*100,6))</f>
        <v/>
      </c>
      <c r="T52" s="68" t="str">
        <f>IF(main!AF55="","",ROUND(main!AF55*100,6))</f>
        <v/>
      </c>
      <c r="U52" s="68" t="str">
        <f>IF(main!AG55="","",ROUND(main!AG55*100,6))</f>
        <v/>
      </c>
      <c r="V52" s="68" t="str">
        <f>IF(main!AH55="","",ROUND(main!AH55*100,6))</f>
        <v/>
      </c>
      <c r="W52" s="68" t="str">
        <f>IF(main!AI55="","",ROUND(main!AI55*100,6))</f>
        <v/>
      </c>
      <c r="X52" s="68" t="str">
        <f>IF(main!AJ55="","",ROUND(main!AJ55*100,6))</f>
        <v/>
      </c>
      <c r="Y52" s="68" t="str">
        <f>IF(main!AK55="","",ROUND(main!AK55*100,6))</f>
        <v/>
      </c>
      <c r="Z52" s="68" t="str">
        <f>IF(main!AL55="","",ROUND(main!AL55*100,6))</f>
        <v/>
      </c>
      <c r="AA52" s="68" t="str">
        <f>IF(main!AM55="","",ROUND(main!AM55*100,6))</f>
        <v/>
      </c>
      <c r="AB52" s="68" t="str">
        <f>IF(main!AN55="","",ROUND(main!AN55*100,6))</f>
        <v/>
      </c>
      <c r="AC52" s="68" t="str">
        <f>IF(main!AO55="","",ROUND(main!AO55*100,6))</f>
        <v/>
      </c>
      <c r="AD52" s="68" t="str">
        <f>IF(main!AP55="","",ROUND(main!AP55*100,6))</f>
        <v/>
      </c>
      <c r="AE52" s="68" t="str">
        <f>IF(main!AQ55="","",ROUND(main!AQ55*100,6))</f>
        <v/>
      </c>
      <c r="AF52" s="68" t="str">
        <f>IF(main!AR55="","",ROUND(main!AR55*100,6))</f>
        <v/>
      </c>
      <c r="AG52" s="68" t="str">
        <f>IF(main!AS55="","",ROUND(main!AS55*100,6))</f>
        <v/>
      </c>
      <c r="AH52" s="68" t="str">
        <f>IF(main!AT55="","",ROUND(main!AT55*100,6))</f>
        <v/>
      </c>
      <c r="AI52" s="68" t="str">
        <f>IF(main!AU55="","",ROUND(main!AU55*100,6))</f>
        <v/>
      </c>
      <c r="AJ52" s="68" t="str">
        <f>IF(main!AV55="","",ROUND(main!AV55*100,6))</f>
        <v/>
      </c>
      <c r="AK52" s="68" t="str">
        <f>IF(main!AW55="","",ROUND(main!AW55*100,6))</f>
        <v/>
      </c>
      <c r="AL52" s="68" t="str">
        <f>IF(main!AX55="","",ROUND(main!AX55*100,6))</f>
        <v/>
      </c>
      <c r="AM52" s="68" t="str">
        <f>IF(main!AY55="","",ROUND(main!AY55*100,6))</f>
        <v/>
      </c>
      <c r="AN52" s="68">
        <f>IF(main!AZ55="","",ROUND(main!AZ55*100,6))</f>
        <v>71.428571000000005</v>
      </c>
      <c r="AO52" s="68">
        <f>IF(main!BA55="","",ROUND(main!BA55*100,6))</f>
        <v>28.571428999999998</v>
      </c>
      <c r="AP52" s="68" t="str">
        <f>IF(main!BB55="","",ROUND(main!BB55*100,6))</f>
        <v/>
      </c>
      <c r="AQ52" s="68" t="str">
        <f>IF(main!BC55="","",ROUND(main!BC55*100,6))</f>
        <v/>
      </c>
      <c r="AR52" s="68" t="str">
        <f>IF(main!BD55="","",ROUND(main!BD55*100,6))</f>
        <v/>
      </c>
      <c r="AS52" s="68" t="str">
        <f>IF(main!BE55="","",ROUND(main!BE55*100,6))</f>
        <v/>
      </c>
      <c r="AT52" s="68" t="str">
        <f>IF(main!BF55="","",ROUND(main!BF55*100,6))</f>
        <v/>
      </c>
      <c r="AU52" s="68" t="str">
        <f>IF(main!BG55="","",ROUND(main!BG55*100,6))</f>
        <v/>
      </c>
      <c r="AV52" s="68" t="str">
        <f>IF(main!BH55="","",ROUND(main!BH55*100,6))</f>
        <v/>
      </c>
      <c r="AW52" s="68" t="str">
        <f>IF(main!BI55="","",ROUND(main!BI55*100,6))</f>
        <v/>
      </c>
      <c r="AX52" s="68" t="str">
        <f>IF(main!BJ55="","",ROUND(main!BJ55*100,6))</f>
        <v/>
      </c>
      <c r="AY52" s="68" t="str">
        <f>IF(main!BK55="","",ROUND(main!BK55*100,6))</f>
        <v/>
      </c>
      <c r="AZ52" s="68" t="str">
        <f>IF(main!BL55="","",ROUND(main!BL55*100,6))</f>
        <v/>
      </c>
      <c r="BA52" s="68" t="str">
        <f>IF(main!BM55="","",ROUND(main!BM55*100,6))</f>
        <v/>
      </c>
      <c r="BB52" s="68" t="str">
        <f>IF(main!BN55="","",ROUND(main!BN55*100,6))</f>
        <v/>
      </c>
      <c r="BC52" s="68" t="str">
        <f>IF(main!BO55="","",ROUND(main!BO55*100,6))</f>
        <v/>
      </c>
      <c r="BD52" s="68" t="str">
        <f>IF(main!BP55="","",ROUND(main!BP55*100,6))</f>
        <v/>
      </c>
      <c r="BE52" s="68" t="str">
        <f>IF(main!BQ55="","",ROUND(main!BQ55*100,6))</f>
        <v/>
      </c>
      <c r="BF52" s="68" t="str">
        <f>IF(main!BR55="","",ROUND(main!BR55*100,6))</f>
        <v/>
      </c>
      <c r="BG52" s="68" t="str">
        <f>IF(main!BS55="","",ROUND(main!BS55*100,6))</f>
        <v/>
      </c>
      <c r="BH52" s="68" t="str">
        <f>IF(main!BT55="","",ROUND(main!BT55*100,6))</f>
        <v/>
      </c>
      <c r="BI52" s="68" t="str">
        <f>IF(main!BU55="","",ROUND(main!BU55*100,6))</f>
        <v/>
      </c>
      <c r="BJ52" s="68" t="str">
        <f>IF(main!BV55="","",ROUND(main!BV55*100,6))</f>
        <v/>
      </c>
      <c r="BK52" s="68" t="str">
        <f>IF(main!BW55="","",ROUND(main!BW55*100,6))</f>
        <v/>
      </c>
      <c r="BL52" s="68" t="str">
        <f>IF(main!BX55="","",ROUND(main!BX55*100,6))</f>
        <v/>
      </c>
      <c r="BM52" s="68" t="str">
        <f>IF(main!BY55="","",ROUND(main!BY55*100,6))</f>
        <v/>
      </c>
      <c r="BN52" s="68" t="str">
        <f>IF(main!BZ55="","",ROUND(main!BZ55*100,6))</f>
        <v/>
      </c>
      <c r="BO52" s="68" t="str">
        <f>IF(main!CA55="","",ROUND(main!CA55*100,6))</f>
        <v/>
      </c>
      <c r="BP52" s="68" t="str">
        <f>IF(main!CB55="","",ROUND(main!CB55*100,6))</f>
        <v/>
      </c>
      <c r="BQ52" s="68" t="str">
        <f>IF(main!CC55="","",ROUND(main!CC55*100,6))</f>
        <v/>
      </c>
      <c r="BR52" s="68" t="str">
        <f>IF(main!CD55="","",ROUND(main!CD55*100,6))</f>
        <v/>
      </c>
      <c r="BS52" s="68" t="str">
        <f>IF(main!CE55="","",ROUND(main!CE55*100,6))</f>
        <v/>
      </c>
      <c r="BT52" s="68" t="str">
        <f>IF(main!CF55="","",ROUND(main!CF55*100,6))</f>
        <v/>
      </c>
      <c r="BU52" s="68" t="str">
        <f>IF(main!CG55="","",ROUND(main!CG55*100,6))</f>
        <v/>
      </c>
      <c r="BV52" s="68" t="str">
        <f>IF(main!CH55="","",ROUND(main!CH55*100,6))</f>
        <v/>
      </c>
      <c r="BW52" s="68" t="str">
        <f>IF(main!CI55="","",ROUND(main!CI55*100,6))</f>
        <v/>
      </c>
      <c r="BX52" s="68" t="str">
        <f>IF(main!CJ55="","",ROUND(main!CJ55*100,6))</f>
        <v/>
      </c>
      <c r="BY52" s="68" t="str">
        <f>IF(main!CK55="","",ROUND(main!CK55*100,6))</f>
        <v/>
      </c>
      <c r="BZ52" s="68" t="str">
        <f>IF(main!CL55="","",ROUND(main!CL55*100,6))</f>
        <v/>
      </c>
      <c r="CA52" s="68" t="str">
        <f>IF(main!CM55="","",ROUND(main!CM55*100,6))</f>
        <v/>
      </c>
      <c r="CB52" s="68" t="str">
        <f>IF(main!CN55="","",ROUND(main!CN55*100,6))</f>
        <v/>
      </c>
      <c r="CC52" s="68" t="str">
        <f>IF(main!CO55="","",ROUND(main!CO55*100,6))</f>
        <v/>
      </c>
    </row>
    <row r="53" spans="1:81" x14ac:dyDescent="0.25">
      <c r="A53" s="65" t="s">
        <v>177</v>
      </c>
      <c r="B53" s="66" t="str">
        <f>main!C55</f>
        <v>Foundation</v>
      </c>
      <c r="C53" s="67">
        <f>main!O55</f>
        <v>100000</v>
      </c>
      <c r="D53" s="65" t="s">
        <v>111</v>
      </c>
      <c r="E53" s="68" t="str">
        <f t="shared" si="0"/>
        <v/>
      </c>
      <c r="F53" s="68" t="str">
        <f>IF(main!R56="","",ROUND(main!R56*100,6))</f>
        <v/>
      </c>
      <c r="G53" s="68" t="str">
        <f>IF(main!S56="","",ROUND(main!S56*100,6))</f>
        <v/>
      </c>
      <c r="H53" s="68" t="str">
        <f>IF(main!T56="","",ROUND(main!T56*100,6))</f>
        <v/>
      </c>
      <c r="I53" s="68" t="str">
        <f>IF(main!U56="","",ROUND(main!U56*100,6))</f>
        <v/>
      </c>
      <c r="J53" s="68" t="str">
        <f>IF(main!V56="","",ROUND(main!V56*100,6))</f>
        <v/>
      </c>
      <c r="K53" s="68" t="str">
        <f>IF(main!W56="","",ROUND(main!W56*100,6))</f>
        <v/>
      </c>
      <c r="L53" s="68" t="str">
        <f>IF(main!X56="","",ROUND(main!X56*100,6))</f>
        <v/>
      </c>
      <c r="M53" s="68" t="str">
        <f>IF(main!Y56="","",ROUND(main!Y56*100,6))</f>
        <v/>
      </c>
      <c r="N53" s="68" t="str">
        <f>IF(main!Z56="","",ROUND(main!Z56*100,6))</f>
        <v/>
      </c>
      <c r="O53" s="68" t="str">
        <f>IF(main!AA56="","",ROUND(main!AA56*100,6))</f>
        <v/>
      </c>
      <c r="P53" s="68" t="str">
        <f>IF(main!AB56="","",ROUND(main!AB56*100,6))</f>
        <v/>
      </c>
      <c r="Q53" s="68" t="str">
        <f>IF(main!AC56="","",ROUND(main!AC56*100,6))</f>
        <v/>
      </c>
      <c r="R53" s="68" t="str">
        <f>IF(main!AD56="","",ROUND(main!AD56*100,6))</f>
        <v/>
      </c>
      <c r="S53" s="68" t="str">
        <f>IF(main!AE56="","",ROUND(main!AE56*100,6))</f>
        <v/>
      </c>
      <c r="T53" s="68" t="str">
        <f>IF(main!AF56="","",ROUND(main!AF56*100,6))</f>
        <v/>
      </c>
      <c r="U53" s="68" t="str">
        <f>IF(main!AG56="","",ROUND(main!AG56*100,6))</f>
        <v/>
      </c>
      <c r="V53" s="68" t="str">
        <f>IF(main!AH56="","",ROUND(main!AH56*100,6))</f>
        <v/>
      </c>
      <c r="W53" s="68" t="str">
        <f>IF(main!AI56="","",ROUND(main!AI56*100,6))</f>
        <v/>
      </c>
      <c r="X53" s="68" t="str">
        <f>IF(main!AJ56="","",ROUND(main!AJ56*100,6))</f>
        <v/>
      </c>
      <c r="Y53" s="68" t="str">
        <f>IF(main!AK56="","",ROUND(main!AK56*100,6))</f>
        <v/>
      </c>
      <c r="Z53" s="68" t="str">
        <f>IF(main!AL56="","",ROUND(main!AL56*100,6))</f>
        <v/>
      </c>
      <c r="AA53" s="68" t="str">
        <f>IF(main!AM56="","",ROUND(main!AM56*100,6))</f>
        <v/>
      </c>
      <c r="AB53" s="68" t="str">
        <f>IF(main!AN56="","",ROUND(main!AN56*100,6))</f>
        <v/>
      </c>
      <c r="AC53" s="68" t="str">
        <f>IF(main!AO56="","",ROUND(main!AO56*100,6))</f>
        <v/>
      </c>
      <c r="AD53" s="68" t="str">
        <f>IF(main!AP56="","",ROUND(main!AP56*100,6))</f>
        <v/>
      </c>
      <c r="AE53" s="68" t="str">
        <f>IF(main!AQ56="","",ROUND(main!AQ56*100,6))</f>
        <v/>
      </c>
      <c r="AF53" s="68" t="str">
        <f>IF(main!AR56="","",ROUND(main!AR56*100,6))</f>
        <v/>
      </c>
      <c r="AG53" s="68" t="str">
        <f>IF(main!AS56="","",ROUND(main!AS56*100,6))</f>
        <v/>
      </c>
      <c r="AH53" s="68" t="str">
        <f>IF(main!AT56="","",ROUND(main!AT56*100,6))</f>
        <v/>
      </c>
      <c r="AI53" s="68" t="str">
        <f>IF(main!AU56="","",ROUND(main!AU56*100,6))</f>
        <v/>
      </c>
      <c r="AJ53" s="68" t="str">
        <f>IF(main!AV56="","",ROUND(main!AV56*100,6))</f>
        <v/>
      </c>
      <c r="AK53" s="68" t="str">
        <f>IF(main!AW56="","",ROUND(main!AW56*100,6))</f>
        <v/>
      </c>
      <c r="AL53" s="68" t="str">
        <f>IF(main!AX56="","",ROUND(main!AX56*100,6))</f>
        <v/>
      </c>
      <c r="AM53" s="68" t="str">
        <f>IF(main!AY56="","",ROUND(main!AY56*100,6))</f>
        <v/>
      </c>
      <c r="AN53" s="68" t="str">
        <f>IF(main!AZ56="","",ROUND(main!AZ56*100,6))</f>
        <v/>
      </c>
      <c r="AO53" s="68" t="str">
        <f>IF(main!BA56="","",ROUND(main!BA56*100,6))</f>
        <v/>
      </c>
      <c r="AP53" s="68" t="str">
        <f>IF(main!BB56="","",ROUND(main!BB56*100,6))</f>
        <v/>
      </c>
      <c r="AQ53" s="68" t="str">
        <f>IF(main!BC56="","",ROUND(main!BC56*100,6))</f>
        <v/>
      </c>
      <c r="AR53" s="68" t="str">
        <f>IF(main!BD56="","",ROUND(main!BD56*100,6))</f>
        <v/>
      </c>
      <c r="AS53" s="68" t="str">
        <f>IF(main!BE56="","",ROUND(main!BE56*100,6))</f>
        <v/>
      </c>
      <c r="AT53" s="68" t="str">
        <f>IF(main!BF56="","",ROUND(main!BF56*100,6))</f>
        <v/>
      </c>
      <c r="AU53" s="68" t="str">
        <f>IF(main!BG56="","",ROUND(main!BG56*100,6))</f>
        <v/>
      </c>
      <c r="AV53" s="68" t="str">
        <f>IF(main!BH56="","",ROUND(main!BH56*100,6))</f>
        <v/>
      </c>
      <c r="AW53" s="68" t="str">
        <f>IF(main!BI56="","",ROUND(main!BI56*100,6))</f>
        <v/>
      </c>
      <c r="AX53" s="68" t="str">
        <f>IF(main!BJ56="","",ROUND(main!BJ56*100,6))</f>
        <v/>
      </c>
      <c r="AY53" s="68" t="str">
        <f>IF(main!BK56="","",ROUND(main!BK56*100,6))</f>
        <v/>
      </c>
      <c r="AZ53" s="68" t="str">
        <f>IF(main!BL56="","",ROUND(main!BL56*100,6))</f>
        <v/>
      </c>
      <c r="BA53" s="68" t="str">
        <f>IF(main!BM56="","",ROUND(main!BM56*100,6))</f>
        <v/>
      </c>
      <c r="BB53" s="68" t="str">
        <f>IF(main!BN56="","",ROUND(main!BN56*100,6))</f>
        <v/>
      </c>
      <c r="BC53" s="68" t="str">
        <f>IF(main!BO56="","",ROUND(main!BO56*100,6))</f>
        <v/>
      </c>
      <c r="BD53" s="68" t="str">
        <f>IF(main!BP56="","",ROUND(main!BP56*100,6))</f>
        <v/>
      </c>
      <c r="BE53" s="68" t="str">
        <f>IF(main!BQ56="","",ROUND(main!BQ56*100,6))</f>
        <v/>
      </c>
      <c r="BF53" s="68" t="str">
        <f>IF(main!BR56="","",ROUND(main!BR56*100,6))</f>
        <v/>
      </c>
      <c r="BG53" s="68" t="str">
        <f>IF(main!BS56="","",ROUND(main!BS56*100,6))</f>
        <v/>
      </c>
      <c r="BH53" s="68" t="str">
        <f>IF(main!BT56="","",ROUND(main!BT56*100,6))</f>
        <v/>
      </c>
      <c r="BI53" s="68" t="str">
        <f>IF(main!BU56="","",ROUND(main!BU56*100,6))</f>
        <v/>
      </c>
      <c r="BJ53" s="68" t="str">
        <f>IF(main!BV56="","",ROUND(main!BV56*100,6))</f>
        <v/>
      </c>
      <c r="BK53" s="68" t="str">
        <f>IF(main!BW56="","",ROUND(main!BW56*100,6))</f>
        <v/>
      </c>
      <c r="BL53" s="68" t="str">
        <f>IF(main!BX56="","",ROUND(main!BX56*100,6))</f>
        <v/>
      </c>
      <c r="BM53" s="68" t="str">
        <f>IF(main!BY56="","",ROUND(main!BY56*100,6))</f>
        <v/>
      </c>
      <c r="BN53" s="68" t="str">
        <f>IF(main!BZ56="","",ROUND(main!BZ56*100,6))</f>
        <v/>
      </c>
      <c r="BO53" s="68" t="str">
        <f>IF(main!CA56="","",ROUND(main!CA56*100,6))</f>
        <v/>
      </c>
      <c r="BP53" s="68" t="str">
        <f>IF(main!CB56="","",ROUND(main!CB56*100,6))</f>
        <v/>
      </c>
      <c r="BQ53" s="68" t="str">
        <f>IF(main!CC56="","",ROUND(main!CC56*100,6))</f>
        <v/>
      </c>
      <c r="BR53" s="68" t="str">
        <f>IF(main!CD56="","",ROUND(main!CD56*100,6))</f>
        <v/>
      </c>
      <c r="BS53" s="68" t="str">
        <f>IF(main!CE56="","",ROUND(main!CE56*100,6))</f>
        <v/>
      </c>
      <c r="BT53" s="68" t="str">
        <f>IF(main!CF56="","",ROUND(main!CF56*100,6))</f>
        <v/>
      </c>
      <c r="BU53" s="68" t="str">
        <f>IF(main!CG56="","",ROUND(main!CG56*100,6))</f>
        <v/>
      </c>
      <c r="BV53" s="68" t="str">
        <f>IF(main!CH56="","",ROUND(main!CH56*100,6))</f>
        <v/>
      </c>
      <c r="BW53" s="68" t="str">
        <f>IF(main!CI56="","",ROUND(main!CI56*100,6))</f>
        <v/>
      </c>
      <c r="BX53" s="68" t="str">
        <f>IF(main!CJ56="","",ROUND(main!CJ56*100,6))</f>
        <v/>
      </c>
      <c r="BY53" s="68" t="str">
        <f>IF(main!CK56="","",ROUND(main!CK56*100,6))</f>
        <v/>
      </c>
      <c r="BZ53" s="68" t="str">
        <f>IF(main!CL56="","",ROUND(main!CL56*100,6))</f>
        <v/>
      </c>
      <c r="CA53" s="68" t="str">
        <f>IF(main!CM56="","",ROUND(main!CM56*100,6))</f>
        <v/>
      </c>
      <c r="CB53" s="68" t="str">
        <f>IF(main!CN56="","",ROUND(main!CN56*100,6))</f>
        <v/>
      </c>
      <c r="CC53" s="68" t="str">
        <f>IF(main!CO56="","",ROUND(main!CO56*100,6))</f>
        <v/>
      </c>
    </row>
    <row r="54" spans="1:81" x14ac:dyDescent="0.25">
      <c r="A54" s="65" t="s">
        <v>179</v>
      </c>
      <c r="B54" s="66" t="str">
        <f>main!C57</f>
        <v>RC Beam &amp; Slab for GL.Floor</v>
      </c>
      <c r="C54" s="67">
        <f>main!O57</f>
        <v>100000</v>
      </c>
      <c r="D54" s="65" t="s">
        <v>110</v>
      </c>
      <c r="E54" s="68">
        <f t="shared" si="0"/>
        <v>100</v>
      </c>
      <c r="F54" s="68" t="str">
        <f>IF(main!R57="","",ROUND(main!R57*100,6))</f>
        <v/>
      </c>
      <c r="G54" s="68" t="str">
        <f>IF(main!S57="","",ROUND(main!S57*100,6))</f>
        <v/>
      </c>
      <c r="H54" s="68" t="str">
        <f>IF(main!T57="","",ROUND(main!T57*100,6))</f>
        <v/>
      </c>
      <c r="I54" s="68" t="str">
        <f>IF(main!U57="","",ROUND(main!U57*100,6))</f>
        <v/>
      </c>
      <c r="J54" s="68" t="str">
        <f>IF(main!V57="","",ROUND(main!V57*100,6))</f>
        <v/>
      </c>
      <c r="K54" s="68" t="str">
        <f>IF(main!W57="","",ROUND(main!W57*100,6))</f>
        <v/>
      </c>
      <c r="L54" s="68" t="str">
        <f>IF(main!X57="","",ROUND(main!X57*100,6))</f>
        <v/>
      </c>
      <c r="M54" s="68" t="str">
        <f>IF(main!Y57="","",ROUND(main!Y57*100,6))</f>
        <v/>
      </c>
      <c r="N54" s="68" t="str">
        <f>IF(main!Z57="","",ROUND(main!Z57*100,6))</f>
        <v/>
      </c>
      <c r="O54" s="68" t="str">
        <f>IF(main!AA57="","",ROUND(main!AA57*100,6))</f>
        <v/>
      </c>
      <c r="P54" s="68" t="str">
        <f>IF(main!AB57="","",ROUND(main!AB57*100,6))</f>
        <v/>
      </c>
      <c r="Q54" s="68" t="str">
        <f>IF(main!AC57="","",ROUND(main!AC57*100,6))</f>
        <v/>
      </c>
      <c r="R54" s="68" t="str">
        <f>IF(main!AD57="","",ROUND(main!AD57*100,6))</f>
        <v/>
      </c>
      <c r="S54" s="68" t="str">
        <f>IF(main!AE57="","",ROUND(main!AE57*100,6))</f>
        <v/>
      </c>
      <c r="T54" s="68" t="str">
        <f>IF(main!AF57="","",ROUND(main!AF57*100,6))</f>
        <v/>
      </c>
      <c r="U54" s="68" t="str">
        <f>IF(main!AG57="","",ROUND(main!AG57*100,6))</f>
        <v/>
      </c>
      <c r="V54" s="68" t="str">
        <f>IF(main!AH57="","",ROUND(main!AH57*100,6))</f>
        <v/>
      </c>
      <c r="W54" s="68" t="str">
        <f>IF(main!AI57="","",ROUND(main!AI57*100,6))</f>
        <v/>
      </c>
      <c r="X54" s="68" t="str">
        <f>IF(main!AJ57="","",ROUND(main!AJ57*100,6))</f>
        <v/>
      </c>
      <c r="Y54" s="68" t="str">
        <f>IF(main!AK57="","",ROUND(main!AK57*100,6))</f>
        <v/>
      </c>
      <c r="Z54" s="68" t="str">
        <f>IF(main!AL57="","",ROUND(main!AL57*100,6))</f>
        <v/>
      </c>
      <c r="AA54" s="68" t="str">
        <f>IF(main!AM57="","",ROUND(main!AM57*100,6))</f>
        <v/>
      </c>
      <c r="AB54" s="68" t="str">
        <f>IF(main!AN57="","",ROUND(main!AN57*100,6))</f>
        <v/>
      </c>
      <c r="AC54" s="68" t="str">
        <f>IF(main!AO57="","",ROUND(main!AO57*100,6))</f>
        <v/>
      </c>
      <c r="AD54" s="68" t="str">
        <f>IF(main!AP57="","",ROUND(main!AP57*100,6))</f>
        <v/>
      </c>
      <c r="AE54" s="68" t="str">
        <f>IF(main!AQ57="","",ROUND(main!AQ57*100,6))</f>
        <v/>
      </c>
      <c r="AF54" s="68" t="str">
        <f>IF(main!AR57="","",ROUND(main!AR57*100,6))</f>
        <v/>
      </c>
      <c r="AG54" s="68" t="str">
        <f>IF(main!AS57="","",ROUND(main!AS57*100,6))</f>
        <v/>
      </c>
      <c r="AH54" s="68" t="str">
        <f>IF(main!AT57="","",ROUND(main!AT57*100,6))</f>
        <v/>
      </c>
      <c r="AI54" s="68" t="str">
        <f>IF(main!AU57="","",ROUND(main!AU57*100,6))</f>
        <v/>
      </c>
      <c r="AJ54" s="68" t="str">
        <f>IF(main!AV57="","",ROUND(main!AV57*100,6))</f>
        <v/>
      </c>
      <c r="AK54" s="68" t="str">
        <f>IF(main!AW57="","",ROUND(main!AW57*100,6))</f>
        <v/>
      </c>
      <c r="AL54" s="68" t="str">
        <f>IF(main!AX57="","",ROUND(main!AX57*100,6))</f>
        <v/>
      </c>
      <c r="AM54" s="68" t="str">
        <f>IF(main!AY57="","",ROUND(main!AY57*100,6))</f>
        <v/>
      </c>
      <c r="AN54" s="68" t="str">
        <f>IF(main!AZ57="","",ROUND(main!AZ57*100,6))</f>
        <v/>
      </c>
      <c r="AO54" s="68">
        <f>IF(main!BA57="","",ROUND(main!BA57*100,6))</f>
        <v>33.333333000000003</v>
      </c>
      <c r="AP54" s="68">
        <f>IF(main!BB57="","",ROUND(main!BB57*100,6))</f>
        <v>66.666667000000004</v>
      </c>
      <c r="AQ54" s="68" t="str">
        <f>IF(main!BC57="","",ROUND(main!BC57*100,6))</f>
        <v/>
      </c>
      <c r="AR54" s="68" t="str">
        <f>IF(main!BD57="","",ROUND(main!BD57*100,6))</f>
        <v/>
      </c>
      <c r="AS54" s="68" t="str">
        <f>IF(main!BE57="","",ROUND(main!BE57*100,6))</f>
        <v/>
      </c>
      <c r="AT54" s="68" t="str">
        <f>IF(main!BF57="","",ROUND(main!BF57*100,6))</f>
        <v/>
      </c>
      <c r="AU54" s="68" t="str">
        <f>IF(main!BG57="","",ROUND(main!BG57*100,6))</f>
        <v/>
      </c>
      <c r="AV54" s="68" t="str">
        <f>IF(main!BH57="","",ROUND(main!BH57*100,6))</f>
        <v/>
      </c>
      <c r="AW54" s="68" t="str">
        <f>IF(main!BI57="","",ROUND(main!BI57*100,6))</f>
        <v/>
      </c>
      <c r="AX54" s="68" t="str">
        <f>IF(main!BJ57="","",ROUND(main!BJ57*100,6))</f>
        <v/>
      </c>
      <c r="AY54" s="68" t="str">
        <f>IF(main!BK57="","",ROUND(main!BK57*100,6))</f>
        <v/>
      </c>
      <c r="AZ54" s="68" t="str">
        <f>IF(main!BL57="","",ROUND(main!BL57*100,6))</f>
        <v/>
      </c>
      <c r="BA54" s="68" t="str">
        <f>IF(main!BM57="","",ROUND(main!BM57*100,6))</f>
        <v/>
      </c>
      <c r="BB54" s="68" t="str">
        <f>IF(main!BN57="","",ROUND(main!BN57*100,6))</f>
        <v/>
      </c>
      <c r="BC54" s="68" t="str">
        <f>IF(main!BO57="","",ROUND(main!BO57*100,6))</f>
        <v/>
      </c>
      <c r="BD54" s="68" t="str">
        <f>IF(main!BP57="","",ROUND(main!BP57*100,6))</f>
        <v/>
      </c>
      <c r="BE54" s="68" t="str">
        <f>IF(main!BQ57="","",ROUND(main!BQ57*100,6))</f>
        <v/>
      </c>
      <c r="BF54" s="68" t="str">
        <f>IF(main!BR57="","",ROUND(main!BR57*100,6))</f>
        <v/>
      </c>
      <c r="BG54" s="68" t="str">
        <f>IF(main!BS57="","",ROUND(main!BS57*100,6))</f>
        <v/>
      </c>
      <c r="BH54" s="68" t="str">
        <f>IF(main!BT57="","",ROUND(main!BT57*100,6))</f>
        <v/>
      </c>
      <c r="BI54" s="68" t="str">
        <f>IF(main!BU57="","",ROUND(main!BU57*100,6))</f>
        <v/>
      </c>
      <c r="BJ54" s="68" t="str">
        <f>IF(main!BV57="","",ROUND(main!BV57*100,6))</f>
        <v/>
      </c>
      <c r="BK54" s="68" t="str">
        <f>IF(main!BW57="","",ROUND(main!BW57*100,6))</f>
        <v/>
      </c>
      <c r="BL54" s="68" t="str">
        <f>IF(main!BX57="","",ROUND(main!BX57*100,6))</f>
        <v/>
      </c>
      <c r="BM54" s="68" t="str">
        <f>IF(main!BY57="","",ROUND(main!BY57*100,6))</f>
        <v/>
      </c>
      <c r="BN54" s="68" t="str">
        <f>IF(main!BZ57="","",ROUND(main!BZ57*100,6))</f>
        <v/>
      </c>
      <c r="BO54" s="68" t="str">
        <f>IF(main!CA57="","",ROUND(main!CA57*100,6))</f>
        <v/>
      </c>
      <c r="BP54" s="68" t="str">
        <f>IF(main!CB57="","",ROUND(main!CB57*100,6))</f>
        <v/>
      </c>
      <c r="BQ54" s="68" t="str">
        <f>IF(main!CC57="","",ROUND(main!CC57*100,6))</f>
        <v/>
      </c>
      <c r="BR54" s="68" t="str">
        <f>IF(main!CD57="","",ROUND(main!CD57*100,6))</f>
        <v/>
      </c>
      <c r="BS54" s="68" t="str">
        <f>IF(main!CE57="","",ROUND(main!CE57*100,6))</f>
        <v/>
      </c>
      <c r="BT54" s="68" t="str">
        <f>IF(main!CF57="","",ROUND(main!CF57*100,6))</f>
        <v/>
      </c>
      <c r="BU54" s="68" t="str">
        <f>IF(main!CG57="","",ROUND(main!CG57*100,6))</f>
        <v/>
      </c>
      <c r="BV54" s="68" t="str">
        <f>IF(main!CH57="","",ROUND(main!CH57*100,6))</f>
        <v/>
      </c>
      <c r="BW54" s="68" t="str">
        <f>IF(main!CI57="","",ROUND(main!CI57*100,6))</f>
        <v/>
      </c>
      <c r="BX54" s="68" t="str">
        <f>IF(main!CJ57="","",ROUND(main!CJ57*100,6))</f>
        <v/>
      </c>
      <c r="BY54" s="68" t="str">
        <f>IF(main!CK57="","",ROUND(main!CK57*100,6))</f>
        <v/>
      </c>
      <c r="BZ54" s="68" t="str">
        <f>IF(main!CL57="","",ROUND(main!CL57*100,6))</f>
        <v/>
      </c>
      <c r="CA54" s="68" t="str">
        <f>IF(main!CM57="","",ROUND(main!CM57*100,6))</f>
        <v/>
      </c>
      <c r="CB54" s="68" t="str">
        <f>IF(main!CN57="","",ROUND(main!CN57*100,6))</f>
        <v/>
      </c>
      <c r="CC54" s="68" t="str">
        <f>IF(main!CO57="","",ROUND(main!CO57*100,6))</f>
        <v/>
      </c>
    </row>
    <row r="55" spans="1:81" x14ac:dyDescent="0.25">
      <c r="A55" s="65" t="s">
        <v>179</v>
      </c>
      <c r="B55" s="66" t="str">
        <f>main!C57</f>
        <v>RC Beam &amp; Slab for GL.Floor</v>
      </c>
      <c r="C55" s="67">
        <f>main!O57</f>
        <v>100000</v>
      </c>
      <c r="D55" s="65" t="s">
        <v>111</v>
      </c>
      <c r="E55" s="68" t="str">
        <f t="shared" si="0"/>
        <v/>
      </c>
      <c r="F55" s="68" t="str">
        <f>IF(main!R58="","",ROUND(main!R58*100,6))</f>
        <v/>
      </c>
      <c r="G55" s="68" t="str">
        <f>IF(main!S58="","",ROUND(main!S58*100,6))</f>
        <v/>
      </c>
      <c r="H55" s="68" t="str">
        <f>IF(main!T58="","",ROUND(main!T58*100,6))</f>
        <v/>
      </c>
      <c r="I55" s="68" t="str">
        <f>IF(main!U58="","",ROUND(main!U58*100,6))</f>
        <v/>
      </c>
      <c r="J55" s="68" t="str">
        <f>IF(main!V58="","",ROUND(main!V58*100,6))</f>
        <v/>
      </c>
      <c r="K55" s="68" t="str">
        <f>IF(main!W58="","",ROUND(main!W58*100,6))</f>
        <v/>
      </c>
      <c r="L55" s="68" t="str">
        <f>IF(main!X58="","",ROUND(main!X58*100,6))</f>
        <v/>
      </c>
      <c r="M55" s="68" t="str">
        <f>IF(main!Y58="","",ROUND(main!Y58*100,6))</f>
        <v/>
      </c>
      <c r="N55" s="68" t="str">
        <f>IF(main!Z58="","",ROUND(main!Z58*100,6))</f>
        <v/>
      </c>
      <c r="O55" s="68" t="str">
        <f>IF(main!AA58="","",ROUND(main!AA58*100,6))</f>
        <v/>
      </c>
      <c r="P55" s="68" t="str">
        <f>IF(main!AB58="","",ROUND(main!AB58*100,6))</f>
        <v/>
      </c>
      <c r="Q55" s="68" t="str">
        <f>IF(main!AC58="","",ROUND(main!AC58*100,6))</f>
        <v/>
      </c>
      <c r="R55" s="68" t="str">
        <f>IF(main!AD58="","",ROUND(main!AD58*100,6))</f>
        <v/>
      </c>
      <c r="S55" s="68" t="str">
        <f>IF(main!AE58="","",ROUND(main!AE58*100,6))</f>
        <v/>
      </c>
      <c r="T55" s="68" t="str">
        <f>IF(main!AF58="","",ROUND(main!AF58*100,6))</f>
        <v/>
      </c>
      <c r="U55" s="68" t="str">
        <f>IF(main!AG58="","",ROUND(main!AG58*100,6))</f>
        <v/>
      </c>
      <c r="V55" s="68" t="str">
        <f>IF(main!AH58="","",ROUND(main!AH58*100,6))</f>
        <v/>
      </c>
      <c r="W55" s="68" t="str">
        <f>IF(main!AI58="","",ROUND(main!AI58*100,6))</f>
        <v/>
      </c>
      <c r="X55" s="68" t="str">
        <f>IF(main!AJ58="","",ROUND(main!AJ58*100,6))</f>
        <v/>
      </c>
      <c r="Y55" s="68" t="str">
        <f>IF(main!AK58="","",ROUND(main!AK58*100,6))</f>
        <v/>
      </c>
      <c r="Z55" s="68" t="str">
        <f>IF(main!AL58="","",ROUND(main!AL58*100,6))</f>
        <v/>
      </c>
      <c r="AA55" s="68" t="str">
        <f>IF(main!AM58="","",ROUND(main!AM58*100,6))</f>
        <v/>
      </c>
      <c r="AB55" s="68" t="str">
        <f>IF(main!AN58="","",ROUND(main!AN58*100,6))</f>
        <v/>
      </c>
      <c r="AC55" s="68" t="str">
        <f>IF(main!AO58="","",ROUND(main!AO58*100,6))</f>
        <v/>
      </c>
      <c r="AD55" s="68" t="str">
        <f>IF(main!AP58="","",ROUND(main!AP58*100,6))</f>
        <v/>
      </c>
      <c r="AE55" s="68" t="str">
        <f>IF(main!AQ58="","",ROUND(main!AQ58*100,6))</f>
        <v/>
      </c>
      <c r="AF55" s="68" t="str">
        <f>IF(main!AR58="","",ROUND(main!AR58*100,6))</f>
        <v/>
      </c>
      <c r="AG55" s="68" t="str">
        <f>IF(main!AS58="","",ROUND(main!AS58*100,6))</f>
        <v/>
      </c>
      <c r="AH55" s="68" t="str">
        <f>IF(main!AT58="","",ROUND(main!AT58*100,6))</f>
        <v/>
      </c>
      <c r="AI55" s="68" t="str">
        <f>IF(main!AU58="","",ROUND(main!AU58*100,6))</f>
        <v/>
      </c>
      <c r="AJ55" s="68" t="str">
        <f>IF(main!AV58="","",ROUND(main!AV58*100,6))</f>
        <v/>
      </c>
      <c r="AK55" s="68" t="str">
        <f>IF(main!AW58="","",ROUND(main!AW58*100,6))</f>
        <v/>
      </c>
      <c r="AL55" s="68" t="str">
        <f>IF(main!AX58="","",ROUND(main!AX58*100,6))</f>
        <v/>
      </c>
      <c r="AM55" s="68" t="str">
        <f>IF(main!AY58="","",ROUND(main!AY58*100,6))</f>
        <v/>
      </c>
      <c r="AN55" s="68" t="str">
        <f>IF(main!AZ58="","",ROUND(main!AZ58*100,6))</f>
        <v/>
      </c>
      <c r="AO55" s="68" t="str">
        <f>IF(main!BA58="","",ROUND(main!BA58*100,6))</f>
        <v/>
      </c>
      <c r="AP55" s="68" t="str">
        <f>IF(main!BB58="","",ROUND(main!BB58*100,6))</f>
        <v/>
      </c>
      <c r="AQ55" s="68" t="str">
        <f>IF(main!BC58="","",ROUND(main!BC58*100,6))</f>
        <v/>
      </c>
      <c r="AR55" s="68" t="str">
        <f>IF(main!BD58="","",ROUND(main!BD58*100,6))</f>
        <v/>
      </c>
      <c r="AS55" s="68" t="str">
        <f>IF(main!BE58="","",ROUND(main!BE58*100,6))</f>
        <v/>
      </c>
      <c r="AT55" s="68" t="str">
        <f>IF(main!BF58="","",ROUND(main!BF58*100,6))</f>
        <v/>
      </c>
      <c r="AU55" s="68" t="str">
        <f>IF(main!BG58="","",ROUND(main!BG58*100,6))</f>
        <v/>
      </c>
      <c r="AV55" s="68" t="str">
        <f>IF(main!BH58="","",ROUND(main!BH58*100,6))</f>
        <v/>
      </c>
      <c r="AW55" s="68" t="str">
        <f>IF(main!BI58="","",ROUND(main!BI58*100,6))</f>
        <v/>
      </c>
      <c r="AX55" s="68" t="str">
        <f>IF(main!BJ58="","",ROUND(main!BJ58*100,6))</f>
        <v/>
      </c>
      <c r="AY55" s="68" t="str">
        <f>IF(main!BK58="","",ROUND(main!BK58*100,6))</f>
        <v/>
      </c>
      <c r="AZ55" s="68" t="str">
        <f>IF(main!BL58="","",ROUND(main!BL58*100,6))</f>
        <v/>
      </c>
      <c r="BA55" s="68" t="str">
        <f>IF(main!BM58="","",ROUND(main!BM58*100,6))</f>
        <v/>
      </c>
      <c r="BB55" s="68" t="str">
        <f>IF(main!BN58="","",ROUND(main!BN58*100,6))</f>
        <v/>
      </c>
      <c r="BC55" s="68" t="str">
        <f>IF(main!BO58="","",ROUND(main!BO58*100,6))</f>
        <v/>
      </c>
      <c r="BD55" s="68" t="str">
        <f>IF(main!BP58="","",ROUND(main!BP58*100,6))</f>
        <v/>
      </c>
      <c r="BE55" s="68" t="str">
        <f>IF(main!BQ58="","",ROUND(main!BQ58*100,6))</f>
        <v/>
      </c>
      <c r="BF55" s="68" t="str">
        <f>IF(main!BR58="","",ROUND(main!BR58*100,6))</f>
        <v/>
      </c>
      <c r="BG55" s="68" t="str">
        <f>IF(main!BS58="","",ROUND(main!BS58*100,6))</f>
        <v/>
      </c>
      <c r="BH55" s="68" t="str">
        <f>IF(main!BT58="","",ROUND(main!BT58*100,6))</f>
        <v/>
      </c>
      <c r="BI55" s="68" t="str">
        <f>IF(main!BU58="","",ROUND(main!BU58*100,6))</f>
        <v/>
      </c>
      <c r="BJ55" s="68" t="str">
        <f>IF(main!BV58="","",ROUND(main!BV58*100,6))</f>
        <v/>
      </c>
      <c r="BK55" s="68" t="str">
        <f>IF(main!BW58="","",ROUND(main!BW58*100,6))</f>
        <v/>
      </c>
      <c r="BL55" s="68" t="str">
        <f>IF(main!BX58="","",ROUND(main!BX58*100,6))</f>
        <v/>
      </c>
      <c r="BM55" s="68" t="str">
        <f>IF(main!BY58="","",ROUND(main!BY58*100,6))</f>
        <v/>
      </c>
      <c r="BN55" s="68" t="str">
        <f>IF(main!BZ58="","",ROUND(main!BZ58*100,6))</f>
        <v/>
      </c>
      <c r="BO55" s="68" t="str">
        <f>IF(main!CA58="","",ROUND(main!CA58*100,6))</f>
        <v/>
      </c>
      <c r="BP55" s="68" t="str">
        <f>IF(main!CB58="","",ROUND(main!CB58*100,6))</f>
        <v/>
      </c>
      <c r="BQ55" s="68" t="str">
        <f>IF(main!CC58="","",ROUND(main!CC58*100,6))</f>
        <v/>
      </c>
      <c r="BR55" s="68" t="str">
        <f>IF(main!CD58="","",ROUND(main!CD58*100,6))</f>
        <v/>
      </c>
      <c r="BS55" s="68" t="str">
        <f>IF(main!CE58="","",ROUND(main!CE58*100,6))</f>
        <v/>
      </c>
      <c r="BT55" s="68" t="str">
        <f>IF(main!CF58="","",ROUND(main!CF58*100,6))</f>
        <v/>
      </c>
      <c r="BU55" s="68" t="str">
        <f>IF(main!CG58="","",ROUND(main!CG58*100,6))</f>
        <v/>
      </c>
      <c r="BV55" s="68" t="str">
        <f>IF(main!CH58="","",ROUND(main!CH58*100,6))</f>
        <v/>
      </c>
      <c r="BW55" s="68" t="str">
        <f>IF(main!CI58="","",ROUND(main!CI58*100,6))</f>
        <v/>
      </c>
      <c r="BX55" s="68" t="str">
        <f>IF(main!CJ58="","",ROUND(main!CJ58*100,6))</f>
        <v/>
      </c>
      <c r="BY55" s="68" t="str">
        <f>IF(main!CK58="","",ROUND(main!CK58*100,6))</f>
        <v/>
      </c>
      <c r="BZ55" s="68" t="str">
        <f>IF(main!CL58="","",ROUND(main!CL58*100,6))</f>
        <v/>
      </c>
      <c r="CA55" s="68" t="str">
        <f>IF(main!CM58="","",ROUND(main!CM58*100,6))</f>
        <v/>
      </c>
      <c r="CB55" s="68" t="str">
        <f>IF(main!CN58="","",ROUND(main!CN58*100,6))</f>
        <v/>
      </c>
      <c r="CC55" s="68" t="str">
        <f>IF(main!CO58="","",ROUND(main!CO58*100,6))</f>
        <v/>
      </c>
    </row>
    <row r="56" spans="1:81" x14ac:dyDescent="0.25">
      <c r="A56" s="65" t="s">
        <v>181</v>
      </c>
      <c r="B56" s="66" t="str">
        <f>main!C59</f>
        <v>Steel Column &amp; Beam M to R</v>
      </c>
      <c r="C56" s="67">
        <f>main!O59</f>
        <v>100000</v>
      </c>
      <c r="D56" s="65" t="s">
        <v>110</v>
      </c>
      <c r="E56" s="68">
        <f t="shared" si="0"/>
        <v>100</v>
      </c>
      <c r="F56" s="68" t="str">
        <f>IF(main!R59="","",ROUND(main!R59*100,6))</f>
        <v/>
      </c>
      <c r="G56" s="68" t="str">
        <f>IF(main!S59="","",ROUND(main!S59*100,6))</f>
        <v/>
      </c>
      <c r="H56" s="68" t="str">
        <f>IF(main!T59="","",ROUND(main!T59*100,6))</f>
        <v/>
      </c>
      <c r="I56" s="68" t="str">
        <f>IF(main!U59="","",ROUND(main!U59*100,6))</f>
        <v/>
      </c>
      <c r="J56" s="68" t="str">
        <f>IF(main!V59="","",ROUND(main!V59*100,6))</f>
        <v/>
      </c>
      <c r="K56" s="68" t="str">
        <f>IF(main!W59="","",ROUND(main!W59*100,6))</f>
        <v/>
      </c>
      <c r="L56" s="68" t="str">
        <f>IF(main!X59="","",ROUND(main!X59*100,6))</f>
        <v/>
      </c>
      <c r="M56" s="68" t="str">
        <f>IF(main!Y59="","",ROUND(main!Y59*100,6))</f>
        <v/>
      </c>
      <c r="N56" s="68" t="str">
        <f>IF(main!Z59="","",ROUND(main!Z59*100,6))</f>
        <v/>
      </c>
      <c r="O56" s="68" t="str">
        <f>IF(main!AA59="","",ROUND(main!AA59*100,6))</f>
        <v/>
      </c>
      <c r="P56" s="68" t="str">
        <f>IF(main!AB59="","",ROUND(main!AB59*100,6))</f>
        <v/>
      </c>
      <c r="Q56" s="68" t="str">
        <f>IF(main!AC59="","",ROUND(main!AC59*100,6))</f>
        <v/>
      </c>
      <c r="R56" s="68" t="str">
        <f>IF(main!AD59="","",ROUND(main!AD59*100,6))</f>
        <v/>
      </c>
      <c r="S56" s="68" t="str">
        <f>IF(main!AE59="","",ROUND(main!AE59*100,6))</f>
        <v/>
      </c>
      <c r="T56" s="68" t="str">
        <f>IF(main!AF59="","",ROUND(main!AF59*100,6))</f>
        <v/>
      </c>
      <c r="U56" s="68" t="str">
        <f>IF(main!AG59="","",ROUND(main!AG59*100,6))</f>
        <v/>
      </c>
      <c r="V56" s="68" t="str">
        <f>IF(main!AH59="","",ROUND(main!AH59*100,6))</f>
        <v/>
      </c>
      <c r="W56" s="68" t="str">
        <f>IF(main!AI59="","",ROUND(main!AI59*100,6))</f>
        <v/>
      </c>
      <c r="X56" s="68" t="str">
        <f>IF(main!AJ59="","",ROUND(main!AJ59*100,6))</f>
        <v/>
      </c>
      <c r="Y56" s="68" t="str">
        <f>IF(main!AK59="","",ROUND(main!AK59*100,6))</f>
        <v/>
      </c>
      <c r="Z56" s="68" t="str">
        <f>IF(main!AL59="","",ROUND(main!AL59*100,6))</f>
        <v/>
      </c>
      <c r="AA56" s="68" t="str">
        <f>IF(main!AM59="","",ROUND(main!AM59*100,6))</f>
        <v/>
      </c>
      <c r="AB56" s="68" t="str">
        <f>IF(main!AN59="","",ROUND(main!AN59*100,6))</f>
        <v/>
      </c>
      <c r="AC56" s="68" t="str">
        <f>IF(main!AO59="","",ROUND(main!AO59*100,6))</f>
        <v/>
      </c>
      <c r="AD56" s="68" t="str">
        <f>IF(main!AP59="","",ROUND(main!AP59*100,6))</f>
        <v/>
      </c>
      <c r="AE56" s="68" t="str">
        <f>IF(main!AQ59="","",ROUND(main!AQ59*100,6))</f>
        <v/>
      </c>
      <c r="AF56" s="68" t="str">
        <f>IF(main!AR59="","",ROUND(main!AR59*100,6))</f>
        <v/>
      </c>
      <c r="AG56" s="68" t="str">
        <f>IF(main!AS59="","",ROUND(main!AS59*100,6))</f>
        <v/>
      </c>
      <c r="AH56" s="68" t="str">
        <f>IF(main!AT59="","",ROUND(main!AT59*100,6))</f>
        <v/>
      </c>
      <c r="AI56" s="68" t="str">
        <f>IF(main!AU59="","",ROUND(main!AU59*100,6))</f>
        <v/>
      </c>
      <c r="AJ56" s="68" t="str">
        <f>IF(main!AV59="","",ROUND(main!AV59*100,6))</f>
        <v/>
      </c>
      <c r="AK56" s="68" t="str">
        <f>IF(main!AW59="","",ROUND(main!AW59*100,6))</f>
        <v/>
      </c>
      <c r="AL56" s="68" t="str">
        <f>IF(main!AX59="","",ROUND(main!AX59*100,6))</f>
        <v/>
      </c>
      <c r="AM56" s="68" t="str">
        <f>IF(main!AY59="","",ROUND(main!AY59*100,6))</f>
        <v/>
      </c>
      <c r="AN56" s="68" t="str">
        <f>IF(main!AZ59="","",ROUND(main!AZ59*100,6))</f>
        <v/>
      </c>
      <c r="AO56" s="68" t="str">
        <f>IF(main!BA59="","",ROUND(main!BA59*100,6))</f>
        <v/>
      </c>
      <c r="AP56" s="68">
        <f>IF(main!BB59="","",ROUND(main!BB59*100,6))</f>
        <v>4.161988</v>
      </c>
      <c r="AQ56" s="68">
        <f>IF(main!BC59="","",ROUND(main!BC59*100,6))</f>
        <v>70.866083000000003</v>
      </c>
      <c r="AR56" s="68">
        <f>IF(main!BD59="","",ROUND(main!BD59*100,6))</f>
        <v>24.971928999999999</v>
      </c>
      <c r="AS56" s="68" t="str">
        <f>IF(main!BE59="","",ROUND(main!BE59*100,6))</f>
        <v/>
      </c>
      <c r="AT56" s="68" t="str">
        <f>IF(main!BF59="","",ROUND(main!BF59*100,6))</f>
        <v/>
      </c>
      <c r="AU56" s="68" t="str">
        <f>IF(main!BG59="","",ROUND(main!BG59*100,6))</f>
        <v/>
      </c>
      <c r="AV56" s="68" t="str">
        <f>IF(main!BH59="","",ROUND(main!BH59*100,6))</f>
        <v/>
      </c>
      <c r="AW56" s="68" t="str">
        <f>IF(main!BI59="","",ROUND(main!BI59*100,6))</f>
        <v/>
      </c>
      <c r="AX56" s="68" t="str">
        <f>IF(main!BJ59="","",ROUND(main!BJ59*100,6))</f>
        <v/>
      </c>
      <c r="AY56" s="68" t="str">
        <f>IF(main!BK59="","",ROUND(main!BK59*100,6))</f>
        <v/>
      </c>
      <c r="AZ56" s="68" t="str">
        <f>IF(main!BL59="","",ROUND(main!BL59*100,6))</f>
        <v/>
      </c>
      <c r="BA56" s="68" t="str">
        <f>IF(main!BM59="","",ROUND(main!BM59*100,6))</f>
        <v/>
      </c>
      <c r="BB56" s="68" t="str">
        <f>IF(main!BN59="","",ROUND(main!BN59*100,6))</f>
        <v/>
      </c>
      <c r="BC56" s="68" t="str">
        <f>IF(main!BO59="","",ROUND(main!BO59*100,6))</f>
        <v/>
      </c>
      <c r="BD56" s="68" t="str">
        <f>IF(main!BP59="","",ROUND(main!BP59*100,6))</f>
        <v/>
      </c>
      <c r="BE56" s="68" t="str">
        <f>IF(main!BQ59="","",ROUND(main!BQ59*100,6))</f>
        <v/>
      </c>
      <c r="BF56" s="68" t="str">
        <f>IF(main!BR59="","",ROUND(main!BR59*100,6))</f>
        <v/>
      </c>
      <c r="BG56" s="68" t="str">
        <f>IF(main!BS59="","",ROUND(main!BS59*100,6))</f>
        <v/>
      </c>
      <c r="BH56" s="68" t="str">
        <f>IF(main!BT59="","",ROUND(main!BT59*100,6))</f>
        <v/>
      </c>
      <c r="BI56" s="68" t="str">
        <f>IF(main!BU59="","",ROUND(main!BU59*100,6))</f>
        <v/>
      </c>
      <c r="BJ56" s="68" t="str">
        <f>IF(main!BV59="","",ROUND(main!BV59*100,6))</f>
        <v/>
      </c>
      <c r="BK56" s="68" t="str">
        <f>IF(main!BW59="","",ROUND(main!BW59*100,6))</f>
        <v/>
      </c>
      <c r="BL56" s="68" t="str">
        <f>IF(main!BX59="","",ROUND(main!BX59*100,6))</f>
        <v/>
      </c>
      <c r="BM56" s="68" t="str">
        <f>IF(main!BY59="","",ROUND(main!BY59*100,6))</f>
        <v/>
      </c>
      <c r="BN56" s="68" t="str">
        <f>IF(main!BZ59="","",ROUND(main!BZ59*100,6))</f>
        <v/>
      </c>
      <c r="BO56" s="68" t="str">
        <f>IF(main!CA59="","",ROUND(main!CA59*100,6))</f>
        <v/>
      </c>
      <c r="BP56" s="68" t="str">
        <f>IF(main!CB59="","",ROUND(main!CB59*100,6))</f>
        <v/>
      </c>
      <c r="BQ56" s="68" t="str">
        <f>IF(main!CC59="","",ROUND(main!CC59*100,6))</f>
        <v/>
      </c>
      <c r="BR56" s="68" t="str">
        <f>IF(main!CD59="","",ROUND(main!CD59*100,6))</f>
        <v/>
      </c>
      <c r="BS56" s="68" t="str">
        <f>IF(main!CE59="","",ROUND(main!CE59*100,6))</f>
        <v/>
      </c>
      <c r="BT56" s="68" t="str">
        <f>IF(main!CF59="","",ROUND(main!CF59*100,6))</f>
        <v/>
      </c>
      <c r="BU56" s="68" t="str">
        <f>IF(main!CG59="","",ROUND(main!CG59*100,6))</f>
        <v/>
      </c>
      <c r="BV56" s="68" t="str">
        <f>IF(main!CH59="","",ROUND(main!CH59*100,6))</f>
        <v/>
      </c>
      <c r="BW56" s="68" t="str">
        <f>IF(main!CI59="","",ROUND(main!CI59*100,6))</f>
        <v/>
      </c>
      <c r="BX56" s="68" t="str">
        <f>IF(main!CJ59="","",ROUND(main!CJ59*100,6))</f>
        <v/>
      </c>
      <c r="BY56" s="68" t="str">
        <f>IF(main!CK59="","",ROUND(main!CK59*100,6))</f>
        <v/>
      </c>
      <c r="BZ56" s="68" t="str">
        <f>IF(main!CL59="","",ROUND(main!CL59*100,6))</f>
        <v/>
      </c>
      <c r="CA56" s="68" t="str">
        <f>IF(main!CM59="","",ROUND(main!CM59*100,6))</f>
        <v/>
      </c>
      <c r="CB56" s="68" t="str">
        <f>IF(main!CN59="","",ROUND(main!CN59*100,6))</f>
        <v/>
      </c>
      <c r="CC56" s="68" t="str">
        <f>IF(main!CO59="","",ROUND(main!CO59*100,6))</f>
        <v/>
      </c>
    </row>
    <row r="57" spans="1:81" x14ac:dyDescent="0.25">
      <c r="A57" s="65" t="s">
        <v>181</v>
      </c>
      <c r="B57" s="66" t="str">
        <f>main!C59</f>
        <v>Steel Column &amp; Beam M to R</v>
      </c>
      <c r="C57" s="67">
        <f>main!O59</f>
        <v>100000</v>
      </c>
      <c r="D57" s="65" t="s">
        <v>111</v>
      </c>
      <c r="E57" s="68" t="str">
        <f t="shared" si="0"/>
        <v/>
      </c>
      <c r="F57" s="68" t="str">
        <f>IF(main!R60="","",ROUND(main!R60*100,6))</f>
        <v/>
      </c>
      <c r="G57" s="68" t="str">
        <f>IF(main!S60="","",ROUND(main!S60*100,6))</f>
        <v/>
      </c>
      <c r="H57" s="68" t="str">
        <f>IF(main!T60="","",ROUND(main!T60*100,6))</f>
        <v/>
      </c>
      <c r="I57" s="68" t="str">
        <f>IF(main!U60="","",ROUND(main!U60*100,6))</f>
        <v/>
      </c>
      <c r="J57" s="68" t="str">
        <f>IF(main!V60="","",ROUND(main!V60*100,6))</f>
        <v/>
      </c>
      <c r="K57" s="68" t="str">
        <f>IF(main!W60="","",ROUND(main!W60*100,6))</f>
        <v/>
      </c>
      <c r="L57" s="68" t="str">
        <f>IF(main!X60="","",ROUND(main!X60*100,6))</f>
        <v/>
      </c>
      <c r="M57" s="68" t="str">
        <f>IF(main!Y60="","",ROUND(main!Y60*100,6))</f>
        <v/>
      </c>
      <c r="N57" s="68" t="str">
        <f>IF(main!Z60="","",ROUND(main!Z60*100,6))</f>
        <v/>
      </c>
      <c r="O57" s="68" t="str">
        <f>IF(main!AA60="","",ROUND(main!AA60*100,6))</f>
        <v/>
      </c>
      <c r="P57" s="68" t="str">
        <f>IF(main!AB60="","",ROUND(main!AB60*100,6))</f>
        <v/>
      </c>
      <c r="Q57" s="68" t="str">
        <f>IF(main!AC60="","",ROUND(main!AC60*100,6))</f>
        <v/>
      </c>
      <c r="R57" s="68" t="str">
        <f>IF(main!AD60="","",ROUND(main!AD60*100,6))</f>
        <v/>
      </c>
      <c r="S57" s="68" t="str">
        <f>IF(main!AE60="","",ROUND(main!AE60*100,6))</f>
        <v/>
      </c>
      <c r="T57" s="68" t="str">
        <f>IF(main!AF60="","",ROUND(main!AF60*100,6))</f>
        <v/>
      </c>
      <c r="U57" s="68" t="str">
        <f>IF(main!AG60="","",ROUND(main!AG60*100,6))</f>
        <v/>
      </c>
      <c r="V57" s="68" t="str">
        <f>IF(main!AH60="","",ROUND(main!AH60*100,6))</f>
        <v/>
      </c>
      <c r="W57" s="68" t="str">
        <f>IF(main!AI60="","",ROUND(main!AI60*100,6))</f>
        <v/>
      </c>
      <c r="X57" s="68" t="str">
        <f>IF(main!AJ60="","",ROUND(main!AJ60*100,6))</f>
        <v/>
      </c>
      <c r="Y57" s="68" t="str">
        <f>IF(main!AK60="","",ROUND(main!AK60*100,6))</f>
        <v/>
      </c>
      <c r="Z57" s="68" t="str">
        <f>IF(main!AL60="","",ROUND(main!AL60*100,6))</f>
        <v/>
      </c>
      <c r="AA57" s="68" t="str">
        <f>IF(main!AM60="","",ROUND(main!AM60*100,6))</f>
        <v/>
      </c>
      <c r="AB57" s="68" t="str">
        <f>IF(main!AN60="","",ROUND(main!AN60*100,6))</f>
        <v/>
      </c>
      <c r="AC57" s="68" t="str">
        <f>IF(main!AO60="","",ROUND(main!AO60*100,6))</f>
        <v/>
      </c>
      <c r="AD57" s="68" t="str">
        <f>IF(main!AP60="","",ROUND(main!AP60*100,6))</f>
        <v/>
      </c>
      <c r="AE57" s="68" t="str">
        <f>IF(main!AQ60="","",ROUND(main!AQ60*100,6))</f>
        <v/>
      </c>
      <c r="AF57" s="68" t="str">
        <f>IF(main!AR60="","",ROUND(main!AR60*100,6))</f>
        <v/>
      </c>
      <c r="AG57" s="68" t="str">
        <f>IF(main!AS60="","",ROUND(main!AS60*100,6))</f>
        <v/>
      </c>
      <c r="AH57" s="68" t="str">
        <f>IF(main!AT60="","",ROUND(main!AT60*100,6))</f>
        <v/>
      </c>
      <c r="AI57" s="68" t="str">
        <f>IF(main!AU60="","",ROUND(main!AU60*100,6))</f>
        <v/>
      </c>
      <c r="AJ57" s="68" t="str">
        <f>IF(main!AV60="","",ROUND(main!AV60*100,6))</f>
        <v/>
      </c>
      <c r="AK57" s="68" t="str">
        <f>IF(main!AW60="","",ROUND(main!AW60*100,6))</f>
        <v/>
      </c>
      <c r="AL57" s="68" t="str">
        <f>IF(main!AX60="","",ROUND(main!AX60*100,6))</f>
        <v/>
      </c>
      <c r="AM57" s="68" t="str">
        <f>IF(main!AY60="","",ROUND(main!AY60*100,6))</f>
        <v/>
      </c>
      <c r="AN57" s="68" t="str">
        <f>IF(main!AZ60="","",ROUND(main!AZ60*100,6))</f>
        <v/>
      </c>
      <c r="AO57" s="68" t="str">
        <f>IF(main!BA60="","",ROUND(main!BA60*100,6))</f>
        <v/>
      </c>
      <c r="AP57" s="68" t="str">
        <f>IF(main!BB60="","",ROUND(main!BB60*100,6))</f>
        <v/>
      </c>
      <c r="AQ57" s="68" t="str">
        <f>IF(main!BC60="","",ROUND(main!BC60*100,6))</f>
        <v/>
      </c>
      <c r="AR57" s="68" t="str">
        <f>IF(main!BD60="","",ROUND(main!BD60*100,6))</f>
        <v/>
      </c>
      <c r="AS57" s="68" t="str">
        <f>IF(main!BE60="","",ROUND(main!BE60*100,6))</f>
        <v/>
      </c>
      <c r="AT57" s="68" t="str">
        <f>IF(main!BF60="","",ROUND(main!BF60*100,6))</f>
        <v/>
      </c>
      <c r="AU57" s="68" t="str">
        <f>IF(main!BG60="","",ROUND(main!BG60*100,6))</f>
        <v/>
      </c>
      <c r="AV57" s="68" t="str">
        <f>IF(main!BH60="","",ROUND(main!BH60*100,6))</f>
        <v/>
      </c>
      <c r="AW57" s="68" t="str">
        <f>IF(main!BI60="","",ROUND(main!BI60*100,6))</f>
        <v/>
      </c>
      <c r="AX57" s="68" t="str">
        <f>IF(main!BJ60="","",ROUND(main!BJ60*100,6))</f>
        <v/>
      </c>
      <c r="AY57" s="68" t="str">
        <f>IF(main!BK60="","",ROUND(main!BK60*100,6))</f>
        <v/>
      </c>
      <c r="AZ57" s="68" t="str">
        <f>IF(main!BL60="","",ROUND(main!BL60*100,6))</f>
        <v/>
      </c>
      <c r="BA57" s="68" t="str">
        <f>IF(main!BM60="","",ROUND(main!BM60*100,6))</f>
        <v/>
      </c>
      <c r="BB57" s="68" t="str">
        <f>IF(main!BN60="","",ROUND(main!BN60*100,6))</f>
        <v/>
      </c>
      <c r="BC57" s="68" t="str">
        <f>IF(main!BO60="","",ROUND(main!BO60*100,6))</f>
        <v/>
      </c>
      <c r="BD57" s="68" t="str">
        <f>IF(main!BP60="","",ROUND(main!BP60*100,6))</f>
        <v/>
      </c>
      <c r="BE57" s="68" t="str">
        <f>IF(main!BQ60="","",ROUND(main!BQ60*100,6))</f>
        <v/>
      </c>
      <c r="BF57" s="68" t="str">
        <f>IF(main!BR60="","",ROUND(main!BR60*100,6))</f>
        <v/>
      </c>
      <c r="BG57" s="68" t="str">
        <f>IF(main!BS60="","",ROUND(main!BS60*100,6))</f>
        <v/>
      </c>
      <c r="BH57" s="68" t="str">
        <f>IF(main!BT60="","",ROUND(main!BT60*100,6))</f>
        <v/>
      </c>
      <c r="BI57" s="68" t="str">
        <f>IF(main!BU60="","",ROUND(main!BU60*100,6))</f>
        <v/>
      </c>
      <c r="BJ57" s="68" t="str">
        <f>IF(main!BV60="","",ROUND(main!BV60*100,6))</f>
        <v/>
      </c>
      <c r="BK57" s="68" t="str">
        <f>IF(main!BW60="","",ROUND(main!BW60*100,6))</f>
        <v/>
      </c>
      <c r="BL57" s="68" t="str">
        <f>IF(main!BX60="","",ROUND(main!BX60*100,6))</f>
        <v/>
      </c>
      <c r="BM57" s="68" t="str">
        <f>IF(main!BY60="","",ROUND(main!BY60*100,6))</f>
        <v/>
      </c>
      <c r="BN57" s="68" t="str">
        <f>IF(main!BZ60="","",ROUND(main!BZ60*100,6))</f>
        <v/>
      </c>
      <c r="BO57" s="68" t="str">
        <f>IF(main!CA60="","",ROUND(main!CA60*100,6))</f>
        <v/>
      </c>
      <c r="BP57" s="68" t="str">
        <f>IF(main!CB60="","",ROUND(main!CB60*100,6))</f>
        <v/>
      </c>
      <c r="BQ57" s="68" t="str">
        <f>IF(main!CC60="","",ROUND(main!CC60*100,6))</f>
        <v/>
      </c>
      <c r="BR57" s="68" t="str">
        <f>IF(main!CD60="","",ROUND(main!CD60*100,6))</f>
        <v/>
      </c>
      <c r="BS57" s="68" t="str">
        <f>IF(main!CE60="","",ROUND(main!CE60*100,6))</f>
        <v/>
      </c>
      <c r="BT57" s="68" t="str">
        <f>IF(main!CF60="","",ROUND(main!CF60*100,6))</f>
        <v/>
      </c>
      <c r="BU57" s="68" t="str">
        <f>IF(main!CG60="","",ROUND(main!CG60*100,6))</f>
        <v/>
      </c>
      <c r="BV57" s="68" t="str">
        <f>IF(main!CH60="","",ROUND(main!CH60*100,6))</f>
        <v/>
      </c>
      <c r="BW57" s="68" t="str">
        <f>IF(main!CI60="","",ROUND(main!CI60*100,6))</f>
        <v/>
      </c>
      <c r="BX57" s="68" t="str">
        <f>IF(main!CJ60="","",ROUND(main!CJ60*100,6))</f>
        <v/>
      </c>
      <c r="BY57" s="68" t="str">
        <f>IF(main!CK60="","",ROUND(main!CK60*100,6))</f>
        <v/>
      </c>
      <c r="BZ57" s="68" t="str">
        <f>IF(main!CL60="","",ROUND(main!CL60*100,6))</f>
        <v/>
      </c>
      <c r="CA57" s="68" t="str">
        <f>IF(main!CM60="","",ROUND(main!CM60*100,6))</f>
        <v/>
      </c>
      <c r="CB57" s="68" t="str">
        <f>IF(main!CN60="","",ROUND(main!CN60*100,6))</f>
        <v/>
      </c>
      <c r="CC57" s="68" t="str">
        <f>IF(main!CO60="","",ROUND(main!CO60*100,6))</f>
        <v/>
      </c>
    </row>
    <row r="58" spans="1:81" x14ac:dyDescent="0.25">
      <c r="A58" s="65" t="s">
        <v>183</v>
      </c>
      <c r="B58" s="66" t="str">
        <f>main!C61</f>
        <v>RC Slab M to R</v>
      </c>
      <c r="C58" s="67">
        <f>main!O61</f>
        <v>100000</v>
      </c>
      <c r="D58" s="65" t="s">
        <v>110</v>
      </c>
      <c r="E58" s="68">
        <f t="shared" si="0"/>
        <v>100</v>
      </c>
      <c r="F58" s="68" t="str">
        <f>IF(main!R61="","",ROUND(main!R61*100,6))</f>
        <v/>
      </c>
      <c r="G58" s="68" t="str">
        <f>IF(main!S61="","",ROUND(main!S61*100,6))</f>
        <v/>
      </c>
      <c r="H58" s="68" t="str">
        <f>IF(main!T61="","",ROUND(main!T61*100,6))</f>
        <v/>
      </c>
      <c r="I58" s="68" t="str">
        <f>IF(main!U61="","",ROUND(main!U61*100,6))</f>
        <v/>
      </c>
      <c r="J58" s="68" t="str">
        <f>IF(main!V61="","",ROUND(main!V61*100,6))</f>
        <v/>
      </c>
      <c r="K58" s="68" t="str">
        <f>IF(main!W61="","",ROUND(main!W61*100,6))</f>
        <v/>
      </c>
      <c r="L58" s="68" t="str">
        <f>IF(main!X61="","",ROUND(main!X61*100,6))</f>
        <v/>
      </c>
      <c r="M58" s="68" t="str">
        <f>IF(main!Y61="","",ROUND(main!Y61*100,6))</f>
        <v/>
      </c>
      <c r="N58" s="68" t="str">
        <f>IF(main!Z61="","",ROUND(main!Z61*100,6))</f>
        <v/>
      </c>
      <c r="O58" s="68" t="str">
        <f>IF(main!AA61="","",ROUND(main!AA61*100,6))</f>
        <v/>
      </c>
      <c r="P58" s="68" t="str">
        <f>IF(main!AB61="","",ROUND(main!AB61*100,6))</f>
        <v/>
      </c>
      <c r="Q58" s="68" t="str">
        <f>IF(main!AC61="","",ROUND(main!AC61*100,6))</f>
        <v/>
      </c>
      <c r="R58" s="68" t="str">
        <f>IF(main!AD61="","",ROUND(main!AD61*100,6))</f>
        <v/>
      </c>
      <c r="S58" s="68" t="str">
        <f>IF(main!AE61="","",ROUND(main!AE61*100,6))</f>
        <v/>
      </c>
      <c r="T58" s="68" t="str">
        <f>IF(main!AF61="","",ROUND(main!AF61*100,6))</f>
        <v/>
      </c>
      <c r="U58" s="68" t="str">
        <f>IF(main!AG61="","",ROUND(main!AG61*100,6))</f>
        <v/>
      </c>
      <c r="V58" s="68" t="str">
        <f>IF(main!AH61="","",ROUND(main!AH61*100,6))</f>
        <v/>
      </c>
      <c r="W58" s="68" t="str">
        <f>IF(main!AI61="","",ROUND(main!AI61*100,6))</f>
        <v/>
      </c>
      <c r="X58" s="68" t="str">
        <f>IF(main!AJ61="","",ROUND(main!AJ61*100,6))</f>
        <v/>
      </c>
      <c r="Y58" s="68" t="str">
        <f>IF(main!AK61="","",ROUND(main!AK61*100,6))</f>
        <v/>
      </c>
      <c r="Z58" s="68" t="str">
        <f>IF(main!AL61="","",ROUND(main!AL61*100,6))</f>
        <v/>
      </c>
      <c r="AA58" s="68" t="str">
        <f>IF(main!AM61="","",ROUND(main!AM61*100,6))</f>
        <v/>
      </c>
      <c r="AB58" s="68" t="str">
        <f>IF(main!AN61="","",ROUND(main!AN61*100,6))</f>
        <v/>
      </c>
      <c r="AC58" s="68" t="str">
        <f>IF(main!AO61="","",ROUND(main!AO61*100,6))</f>
        <v/>
      </c>
      <c r="AD58" s="68" t="str">
        <f>IF(main!AP61="","",ROUND(main!AP61*100,6))</f>
        <v/>
      </c>
      <c r="AE58" s="68" t="str">
        <f>IF(main!AQ61="","",ROUND(main!AQ61*100,6))</f>
        <v/>
      </c>
      <c r="AF58" s="68" t="str">
        <f>IF(main!AR61="","",ROUND(main!AR61*100,6))</f>
        <v/>
      </c>
      <c r="AG58" s="68" t="str">
        <f>IF(main!AS61="","",ROUND(main!AS61*100,6))</f>
        <v/>
      </c>
      <c r="AH58" s="68" t="str">
        <f>IF(main!AT61="","",ROUND(main!AT61*100,6))</f>
        <v/>
      </c>
      <c r="AI58" s="68" t="str">
        <f>IF(main!AU61="","",ROUND(main!AU61*100,6))</f>
        <v/>
      </c>
      <c r="AJ58" s="68" t="str">
        <f>IF(main!AV61="","",ROUND(main!AV61*100,6))</f>
        <v/>
      </c>
      <c r="AK58" s="68" t="str">
        <f>IF(main!AW61="","",ROUND(main!AW61*100,6))</f>
        <v/>
      </c>
      <c r="AL58" s="68" t="str">
        <f>IF(main!AX61="","",ROUND(main!AX61*100,6))</f>
        <v/>
      </c>
      <c r="AM58" s="68" t="str">
        <f>IF(main!AY61="","",ROUND(main!AY61*100,6))</f>
        <v/>
      </c>
      <c r="AN58" s="68" t="str">
        <f>IF(main!AZ61="","",ROUND(main!AZ61*100,6))</f>
        <v/>
      </c>
      <c r="AO58" s="68" t="str">
        <f>IF(main!BA61="","",ROUND(main!BA61*100,6))</f>
        <v/>
      </c>
      <c r="AP58" s="68" t="str">
        <f>IF(main!BB61="","",ROUND(main!BB61*100,6))</f>
        <v/>
      </c>
      <c r="AQ58" s="68" t="str">
        <f>IF(main!BC61="","",ROUND(main!BC61*100,6))</f>
        <v/>
      </c>
      <c r="AR58" s="68">
        <f>IF(main!BD61="","",ROUND(main!BD61*100,6))</f>
        <v>4.161988</v>
      </c>
      <c r="AS58" s="68">
        <f>IF(main!BE61="","",ROUND(main!BE61*100,6))</f>
        <v>70.866083000000003</v>
      </c>
      <c r="AT58" s="68">
        <f>IF(main!BF61="","",ROUND(main!BF61*100,6))</f>
        <v>24.971928999999999</v>
      </c>
      <c r="AU58" s="68" t="str">
        <f>IF(main!BG61="","",ROUND(main!BG61*100,6))</f>
        <v/>
      </c>
      <c r="AV58" s="68" t="str">
        <f>IF(main!BH61="","",ROUND(main!BH61*100,6))</f>
        <v/>
      </c>
      <c r="AW58" s="68" t="str">
        <f>IF(main!BI61="","",ROUND(main!BI61*100,6))</f>
        <v/>
      </c>
      <c r="AX58" s="68" t="str">
        <f>IF(main!BJ61="","",ROUND(main!BJ61*100,6))</f>
        <v/>
      </c>
      <c r="AY58" s="68" t="str">
        <f>IF(main!BK61="","",ROUND(main!BK61*100,6))</f>
        <v/>
      </c>
      <c r="AZ58" s="68" t="str">
        <f>IF(main!BL61="","",ROUND(main!BL61*100,6))</f>
        <v/>
      </c>
      <c r="BA58" s="68" t="str">
        <f>IF(main!BM61="","",ROUND(main!BM61*100,6))</f>
        <v/>
      </c>
      <c r="BB58" s="68" t="str">
        <f>IF(main!BN61="","",ROUND(main!BN61*100,6))</f>
        <v/>
      </c>
      <c r="BC58" s="68" t="str">
        <f>IF(main!BO61="","",ROUND(main!BO61*100,6))</f>
        <v/>
      </c>
      <c r="BD58" s="68" t="str">
        <f>IF(main!BP61="","",ROUND(main!BP61*100,6))</f>
        <v/>
      </c>
      <c r="BE58" s="68" t="str">
        <f>IF(main!BQ61="","",ROUND(main!BQ61*100,6))</f>
        <v/>
      </c>
      <c r="BF58" s="68" t="str">
        <f>IF(main!BR61="","",ROUND(main!BR61*100,6))</f>
        <v/>
      </c>
      <c r="BG58" s="68" t="str">
        <f>IF(main!BS61="","",ROUND(main!BS61*100,6))</f>
        <v/>
      </c>
      <c r="BH58" s="68" t="str">
        <f>IF(main!BT61="","",ROUND(main!BT61*100,6))</f>
        <v/>
      </c>
      <c r="BI58" s="68" t="str">
        <f>IF(main!BU61="","",ROUND(main!BU61*100,6))</f>
        <v/>
      </c>
      <c r="BJ58" s="68" t="str">
        <f>IF(main!BV61="","",ROUND(main!BV61*100,6))</f>
        <v/>
      </c>
      <c r="BK58" s="68" t="str">
        <f>IF(main!BW61="","",ROUND(main!BW61*100,6))</f>
        <v/>
      </c>
      <c r="BL58" s="68" t="str">
        <f>IF(main!BX61="","",ROUND(main!BX61*100,6))</f>
        <v/>
      </c>
      <c r="BM58" s="68" t="str">
        <f>IF(main!BY61="","",ROUND(main!BY61*100,6))</f>
        <v/>
      </c>
      <c r="BN58" s="68" t="str">
        <f>IF(main!BZ61="","",ROUND(main!BZ61*100,6))</f>
        <v/>
      </c>
      <c r="BO58" s="68" t="str">
        <f>IF(main!CA61="","",ROUND(main!CA61*100,6))</f>
        <v/>
      </c>
      <c r="BP58" s="68" t="str">
        <f>IF(main!CB61="","",ROUND(main!CB61*100,6))</f>
        <v/>
      </c>
      <c r="BQ58" s="68" t="str">
        <f>IF(main!CC61="","",ROUND(main!CC61*100,6))</f>
        <v/>
      </c>
      <c r="BR58" s="68" t="str">
        <f>IF(main!CD61="","",ROUND(main!CD61*100,6))</f>
        <v/>
      </c>
      <c r="BS58" s="68" t="str">
        <f>IF(main!CE61="","",ROUND(main!CE61*100,6))</f>
        <v/>
      </c>
      <c r="BT58" s="68" t="str">
        <f>IF(main!CF61="","",ROUND(main!CF61*100,6))</f>
        <v/>
      </c>
      <c r="BU58" s="68" t="str">
        <f>IF(main!CG61="","",ROUND(main!CG61*100,6))</f>
        <v/>
      </c>
      <c r="BV58" s="68" t="str">
        <f>IF(main!CH61="","",ROUND(main!CH61*100,6))</f>
        <v/>
      </c>
      <c r="BW58" s="68" t="str">
        <f>IF(main!CI61="","",ROUND(main!CI61*100,6))</f>
        <v/>
      </c>
      <c r="BX58" s="68" t="str">
        <f>IF(main!CJ61="","",ROUND(main!CJ61*100,6))</f>
        <v/>
      </c>
      <c r="BY58" s="68" t="str">
        <f>IF(main!CK61="","",ROUND(main!CK61*100,6))</f>
        <v/>
      </c>
      <c r="BZ58" s="68" t="str">
        <f>IF(main!CL61="","",ROUND(main!CL61*100,6))</f>
        <v/>
      </c>
      <c r="CA58" s="68" t="str">
        <f>IF(main!CM61="","",ROUND(main!CM61*100,6))</f>
        <v/>
      </c>
      <c r="CB58" s="68" t="str">
        <f>IF(main!CN61="","",ROUND(main!CN61*100,6))</f>
        <v/>
      </c>
      <c r="CC58" s="68" t="str">
        <f>IF(main!CO61="","",ROUND(main!CO61*100,6))</f>
        <v/>
      </c>
    </row>
    <row r="59" spans="1:81" x14ac:dyDescent="0.25">
      <c r="A59" s="65" t="s">
        <v>183</v>
      </c>
      <c r="B59" s="66" t="str">
        <f>main!C61</f>
        <v>RC Slab M to R</v>
      </c>
      <c r="C59" s="67">
        <f>main!O61</f>
        <v>100000</v>
      </c>
      <c r="D59" s="65" t="s">
        <v>111</v>
      </c>
      <c r="E59" s="68" t="str">
        <f t="shared" si="0"/>
        <v/>
      </c>
      <c r="F59" s="68" t="str">
        <f>IF(main!R62="","",ROUND(main!R62*100,6))</f>
        <v/>
      </c>
      <c r="G59" s="68" t="str">
        <f>IF(main!S62="","",ROUND(main!S62*100,6))</f>
        <v/>
      </c>
      <c r="H59" s="68" t="str">
        <f>IF(main!T62="","",ROUND(main!T62*100,6))</f>
        <v/>
      </c>
      <c r="I59" s="68" t="str">
        <f>IF(main!U62="","",ROUND(main!U62*100,6))</f>
        <v/>
      </c>
      <c r="J59" s="68" t="str">
        <f>IF(main!V62="","",ROUND(main!V62*100,6))</f>
        <v/>
      </c>
      <c r="K59" s="68" t="str">
        <f>IF(main!W62="","",ROUND(main!W62*100,6))</f>
        <v/>
      </c>
      <c r="L59" s="68" t="str">
        <f>IF(main!X62="","",ROUND(main!X62*100,6))</f>
        <v/>
      </c>
      <c r="M59" s="68" t="str">
        <f>IF(main!Y62="","",ROUND(main!Y62*100,6))</f>
        <v/>
      </c>
      <c r="N59" s="68" t="str">
        <f>IF(main!Z62="","",ROUND(main!Z62*100,6))</f>
        <v/>
      </c>
      <c r="O59" s="68" t="str">
        <f>IF(main!AA62="","",ROUND(main!AA62*100,6))</f>
        <v/>
      </c>
      <c r="P59" s="68" t="str">
        <f>IF(main!AB62="","",ROUND(main!AB62*100,6))</f>
        <v/>
      </c>
      <c r="Q59" s="68" t="str">
        <f>IF(main!AC62="","",ROUND(main!AC62*100,6))</f>
        <v/>
      </c>
      <c r="R59" s="68" t="str">
        <f>IF(main!AD62="","",ROUND(main!AD62*100,6))</f>
        <v/>
      </c>
      <c r="S59" s="68" t="str">
        <f>IF(main!AE62="","",ROUND(main!AE62*100,6))</f>
        <v/>
      </c>
      <c r="T59" s="68" t="str">
        <f>IF(main!AF62="","",ROUND(main!AF62*100,6))</f>
        <v/>
      </c>
      <c r="U59" s="68" t="str">
        <f>IF(main!AG62="","",ROUND(main!AG62*100,6))</f>
        <v/>
      </c>
      <c r="V59" s="68" t="str">
        <f>IF(main!AH62="","",ROUND(main!AH62*100,6))</f>
        <v/>
      </c>
      <c r="W59" s="68" t="str">
        <f>IF(main!AI62="","",ROUND(main!AI62*100,6))</f>
        <v/>
      </c>
      <c r="X59" s="68" t="str">
        <f>IF(main!AJ62="","",ROUND(main!AJ62*100,6))</f>
        <v/>
      </c>
      <c r="Y59" s="68" t="str">
        <f>IF(main!AK62="","",ROUND(main!AK62*100,6))</f>
        <v/>
      </c>
      <c r="Z59" s="68" t="str">
        <f>IF(main!AL62="","",ROUND(main!AL62*100,6))</f>
        <v/>
      </c>
      <c r="AA59" s="68" t="str">
        <f>IF(main!AM62="","",ROUND(main!AM62*100,6))</f>
        <v/>
      </c>
      <c r="AB59" s="68" t="str">
        <f>IF(main!AN62="","",ROUND(main!AN62*100,6))</f>
        <v/>
      </c>
      <c r="AC59" s="68" t="str">
        <f>IF(main!AO62="","",ROUND(main!AO62*100,6))</f>
        <v/>
      </c>
      <c r="AD59" s="68" t="str">
        <f>IF(main!AP62="","",ROUND(main!AP62*100,6))</f>
        <v/>
      </c>
      <c r="AE59" s="68" t="str">
        <f>IF(main!AQ62="","",ROUND(main!AQ62*100,6))</f>
        <v/>
      </c>
      <c r="AF59" s="68" t="str">
        <f>IF(main!AR62="","",ROUND(main!AR62*100,6))</f>
        <v/>
      </c>
      <c r="AG59" s="68" t="str">
        <f>IF(main!AS62="","",ROUND(main!AS62*100,6))</f>
        <v/>
      </c>
      <c r="AH59" s="68" t="str">
        <f>IF(main!AT62="","",ROUND(main!AT62*100,6))</f>
        <v/>
      </c>
      <c r="AI59" s="68" t="str">
        <f>IF(main!AU62="","",ROUND(main!AU62*100,6))</f>
        <v/>
      </c>
      <c r="AJ59" s="68" t="str">
        <f>IF(main!AV62="","",ROUND(main!AV62*100,6))</f>
        <v/>
      </c>
      <c r="AK59" s="68" t="str">
        <f>IF(main!AW62="","",ROUND(main!AW62*100,6))</f>
        <v/>
      </c>
      <c r="AL59" s="68" t="str">
        <f>IF(main!AX62="","",ROUND(main!AX62*100,6))</f>
        <v/>
      </c>
      <c r="AM59" s="68" t="str">
        <f>IF(main!AY62="","",ROUND(main!AY62*100,6))</f>
        <v/>
      </c>
      <c r="AN59" s="68" t="str">
        <f>IF(main!AZ62="","",ROUND(main!AZ62*100,6))</f>
        <v/>
      </c>
      <c r="AO59" s="68" t="str">
        <f>IF(main!BA62="","",ROUND(main!BA62*100,6))</f>
        <v/>
      </c>
      <c r="AP59" s="68" t="str">
        <f>IF(main!BB62="","",ROUND(main!BB62*100,6))</f>
        <v/>
      </c>
      <c r="AQ59" s="68" t="str">
        <f>IF(main!BC62="","",ROUND(main!BC62*100,6))</f>
        <v/>
      </c>
      <c r="AR59" s="68" t="str">
        <f>IF(main!BD62="","",ROUND(main!BD62*100,6))</f>
        <v/>
      </c>
      <c r="AS59" s="68" t="str">
        <f>IF(main!BE62="","",ROUND(main!BE62*100,6))</f>
        <v/>
      </c>
      <c r="AT59" s="68" t="str">
        <f>IF(main!BF62="","",ROUND(main!BF62*100,6))</f>
        <v/>
      </c>
      <c r="AU59" s="68" t="str">
        <f>IF(main!BG62="","",ROUND(main!BG62*100,6))</f>
        <v/>
      </c>
      <c r="AV59" s="68" t="str">
        <f>IF(main!BH62="","",ROUND(main!BH62*100,6))</f>
        <v/>
      </c>
      <c r="AW59" s="68" t="str">
        <f>IF(main!BI62="","",ROUND(main!BI62*100,6))</f>
        <v/>
      </c>
      <c r="AX59" s="68" t="str">
        <f>IF(main!BJ62="","",ROUND(main!BJ62*100,6))</f>
        <v/>
      </c>
      <c r="AY59" s="68" t="str">
        <f>IF(main!BK62="","",ROUND(main!BK62*100,6))</f>
        <v/>
      </c>
      <c r="AZ59" s="68" t="str">
        <f>IF(main!BL62="","",ROUND(main!BL62*100,6))</f>
        <v/>
      </c>
      <c r="BA59" s="68" t="str">
        <f>IF(main!BM62="","",ROUND(main!BM62*100,6))</f>
        <v/>
      </c>
      <c r="BB59" s="68" t="str">
        <f>IF(main!BN62="","",ROUND(main!BN62*100,6))</f>
        <v/>
      </c>
      <c r="BC59" s="68" t="str">
        <f>IF(main!BO62="","",ROUND(main!BO62*100,6))</f>
        <v/>
      </c>
      <c r="BD59" s="68" t="str">
        <f>IF(main!BP62="","",ROUND(main!BP62*100,6))</f>
        <v/>
      </c>
      <c r="BE59" s="68" t="str">
        <f>IF(main!BQ62="","",ROUND(main!BQ62*100,6))</f>
        <v/>
      </c>
      <c r="BF59" s="68" t="str">
        <f>IF(main!BR62="","",ROUND(main!BR62*100,6))</f>
        <v/>
      </c>
      <c r="BG59" s="68" t="str">
        <f>IF(main!BS62="","",ROUND(main!BS62*100,6))</f>
        <v/>
      </c>
      <c r="BH59" s="68" t="str">
        <f>IF(main!BT62="","",ROUND(main!BT62*100,6))</f>
        <v/>
      </c>
      <c r="BI59" s="68" t="str">
        <f>IF(main!BU62="","",ROUND(main!BU62*100,6))</f>
        <v/>
      </c>
      <c r="BJ59" s="68" t="str">
        <f>IF(main!BV62="","",ROUND(main!BV62*100,6))</f>
        <v/>
      </c>
      <c r="BK59" s="68" t="str">
        <f>IF(main!BW62="","",ROUND(main!BW62*100,6))</f>
        <v/>
      </c>
      <c r="BL59" s="68" t="str">
        <f>IF(main!BX62="","",ROUND(main!BX62*100,6))</f>
        <v/>
      </c>
      <c r="BM59" s="68" t="str">
        <f>IF(main!BY62="","",ROUND(main!BY62*100,6))</f>
        <v/>
      </c>
      <c r="BN59" s="68" t="str">
        <f>IF(main!BZ62="","",ROUND(main!BZ62*100,6))</f>
        <v/>
      </c>
      <c r="BO59" s="68" t="str">
        <f>IF(main!CA62="","",ROUND(main!CA62*100,6))</f>
        <v/>
      </c>
      <c r="BP59" s="68" t="str">
        <f>IF(main!CB62="","",ROUND(main!CB62*100,6))</f>
        <v/>
      </c>
      <c r="BQ59" s="68" t="str">
        <f>IF(main!CC62="","",ROUND(main!CC62*100,6))</f>
        <v/>
      </c>
      <c r="BR59" s="68" t="str">
        <f>IF(main!CD62="","",ROUND(main!CD62*100,6))</f>
        <v/>
      </c>
      <c r="BS59" s="68" t="str">
        <f>IF(main!CE62="","",ROUND(main!CE62*100,6))</f>
        <v/>
      </c>
      <c r="BT59" s="68" t="str">
        <f>IF(main!CF62="","",ROUND(main!CF62*100,6))</f>
        <v/>
      </c>
      <c r="BU59" s="68" t="str">
        <f>IF(main!CG62="","",ROUND(main!CG62*100,6))</f>
        <v/>
      </c>
      <c r="BV59" s="68" t="str">
        <f>IF(main!CH62="","",ROUND(main!CH62*100,6))</f>
        <v/>
      </c>
      <c r="BW59" s="68" t="str">
        <f>IF(main!CI62="","",ROUND(main!CI62*100,6))</f>
        <v/>
      </c>
      <c r="BX59" s="68" t="str">
        <f>IF(main!CJ62="","",ROUND(main!CJ62*100,6))</f>
        <v/>
      </c>
      <c r="BY59" s="68" t="str">
        <f>IF(main!CK62="","",ROUND(main!CK62*100,6))</f>
        <v/>
      </c>
      <c r="BZ59" s="68" t="str">
        <f>IF(main!CL62="","",ROUND(main!CL62*100,6))</f>
        <v/>
      </c>
      <c r="CA59" s="68" t="str">
        <f>IF(main!CM62="","",ROUND(main!CM62*100,6))</f>
        <v/>
      </c>
      <c r="CB59" s="68" t="str">
        <f>IF(main!CN62="","",ROUND(main!CN62*100,6))</f>
        <v/>
      </c>
      <c r="CC59" s="68" t="str">
        <f>IF(main!CO62="","",ROUND(main!CO62*100,6))</f>
        <v/>
      </c>
    </row>
    <row r="60" spans="1:81" x14ac:dyDescent="0.25">
      <c r="A60" s="65" t="s">
        <v>185</v>
      </c>
      <c r="B60" s="66" t="str">
        <f>main!C63</f>
        <v>Roof Str.</v>
      </c>
      <c r="C60" s="67">
        <f>main!O63</f>
        <v>400000</v>
      </c>
      <c r="D60" s="65" t="s">
        <v>110</v>
      </c>
      <c r="E60" s="68">
        <f t="shared" si="0"/>
        <v>99.999996999999993</v>
      </c>
      <c r="F60" s="68" t="str">
        <f>IF(main!R63="","",ROUND(main!R63*100,6))</f>
        <v/>
      </c>
      <c r="G60" s="68" t="str">
        <f>IF(main!S63="","",ROUND(main!S63*100,6))</f>
        <v/>
      </c>
      <c r="H60" s="68" t="str">
        <f>IF(main!T63="","",ROUND(main!T63*100,6))</f>
        <v/>
      </c>
      <c r="I60" s="68" t="str">
        <f>IF(main!U63="","",ROUND(main!U63*100,6))</f>
        <v/>
      </c>
      <c r="J60" s="68" t="str">
        <f>IF(main!V63="","",ROUND(main!V63*100,6))</f>
        <v/>
      </c>
      <c r="K60" s="68" t="str">
        <f>IF(main!W63="","",ROUND(main!W63*100,6))</f>
        <v/>
      </c>
      <c r="L60" s="68" t="str">
        <f>IF(main!X63="","",ROUND(main!X63*100,6))</f>
        <v/>
      </c>
      <c r="M60" s="68" t="str">
        <f>IF(main!Y63="","",ROUND(main!Y63*100,6))</f>
        <v/>
      </c>
      <c r="N60" s="68" t="str">
        <f>IF(main!Z63="","",ROUND(main!Z63*100,6))</f>
        <v/>
      </c>
      <c r="O60" s="68" t="str">
        <f>IF(main!AA63="","",ROUND(main!AA63*100,6))</f>
        <v/>
      </c>
      <c r="P60" s="68" t="str">
        <f>IF(main!AB63="","",ROUND(main!AB63*100,6))</f>
        <v/>
      </c>
      <c r="Q60" s="68" t="str">
        <f>IF(main!AC63="","",ROUND(main!AC63*100,6))</f>
        <v/>
      </c>
      <c r="R60" s="68" t="str">
        <f>IF(main!AD63="","",ROUND(main!AD63*100,6))</f>
        <v/>
      </c>
      <c r="S60" s="68" t="str">
        <f>IF(main!AE63="","",ROUND(main!AE63*100,6))</f>
        <v/>
      </c>
      <c r="T60" s="68" t="str">
        <f>IF(main!AF63="","",ROUND(main!AF63*100,6))</f>
        <v/>
      </c>
      <c r="U60" s="68" t="str">
        <f>IF(main!AG63="","",ROUND(main!AG63*100,6))</f>
        <v/>
      </c>
      <c r="V60" s="68" t="str">
        <f>IF(main!AH63="","",ROUND(main!AH63*100,6))</f>
        <v/>
      </c>
      <c r="W60" s="68" t="str">
        <f>IF(main!AI63="","",ROUND(main!AI63*100,6))</f>
        <v/>
      </c>
      <c r="X60" s="68" t="str">
        <f>IF(main!AJ63="","",ROUND(main!AJ63*100,6))</f>
        <v/>
      </c>
      <c r="Y60" s="68" t="str">
        <f>IF(main!AK63="","",ROUND(main!AK63*100,6))</f>
        <v/>
      </c>
      <c r="Z60" s="68" t="str">
        <f>IF(main!AL63="","",ROUND(main!AL63*100,6))</f>
        <v/>
      </c>
      <c r="AA60" s="68" t="str">
        <f>IF(main!AM63="","",ROUND(main!AM63*100,6))</f>
        <v/>
      </c>
      <c r="AB60" s="68" t="str">
        <f>IF(main!AN63="","",ROUND(main!AN63*100,6))</f>
        <v/>
      </c>
      <c r="AC60" s="68" t="str">
        <f>IF(main!AO63="","",ROUND(main!AO63*100,6))</f>
        <v/>
      </c>
      <c r="AD60" s="68" t="str">
        <f>IF(main!AP63="","",ROUND(main!AP63*100,6))</f>
        <v/>
      </c>
      <c r="AE60" s="68" t="str">
        <f>IF(main!AQ63="","",ROUND(main!AQ63*100,6))</f>
        <v/>
      </c>
      <c r="AF60" s="68" t="str">
        <f>IF(main!AR63="","",ROUND(main!AR63*100,6))</f>
        <v/>
      </c>
      <c r="AG60" s="68" t="str">
        <f>IF(main!AS63="","",ROUND(main!AS63*100,6))</f>
        <v/>
      </c>
      <c r="AH60" s="68" t="str">
        <f>IF(main!AT63="","",ROUND(main!AT63*100,6))</f>
        <v/>
      </c>
      <c r="AI60" s="68" t="str">
        <f>IF(main!AU63="","",ROUND(main!AU63*100,6))</f>
        <v/>
      </c>
      <c r="AJ60" s="68">
        <f>IF(main!AV63="","",ROUND(main!AV63*100,6))</f>
        <v>13.888889000000001</v>
      </c>
      <c r="AK60" s="68">
        <f>IF(main!AW63="","",ROUND(main!AW63*100,6))</f>
        <v>12.855297</v>
      </c>
      <c r="AL60" s="68">
        <f>IF(main!AX63="","",ROUND(main!AX63*100,6))</f>
        <v>4.0697669999999997</v>
      </c>
      <c r="AM60" s="68">
        <f>IF(main!AY63="","",ROUND(main!AY63*100,6))</f>
        <v>4.0697669999999997</v>
      </c>
      <c r="AN60" s="68">
        <f>IF(main!AZ63="","",ROUND(main!AZ63*100,6))</f>
        <v>4.0697669999999997</v>
      </c>
      <c r="AO60" s="68">
        <f>IF(main!BA63="","",ROUND(main!BA63*100,6))</f>
        <v>4.0697669999999997</v>
      </c>
      <c r="AP60" s="68">
        <f>IF(main!BB63="","",ROUND(main!BB63*100,6))</f>
        <v>4.0697669999999997</v>
      </c>
      <c r="AQ60" s="68">
        <f>IF(main!BC63="","",ROUND(main!BC63*100,6))</f>
        <v>5.2879290000000001</v>
      </c>
      <c r="AR60" s="68">
        <f>IF(main!BD63="","",ROUND(main!BD63*100,6))</f>
        <v>8.3333329999999997</v>
      </c>
      <c r="AS60" s="68">
        <f>IF(main!BE63="","",ROUND(main!BE63*100,6))</f>
        <v>8.3333329999999997</v>
      </c>
      <c r="AT60" s="68">
        <f>IF(main!BF63="","",ROUND(main!BF63*100,6))</f>
        <v>11.507937</v>
      </c>
      <c r="AU60" s="68">
        <f>IF(main!BG63="","",ROUND(main!BG63*100,6))</f>
        <v>19.444444000000001</v>
      </c>
      <c r="AV60" s="68" t="str">
        <f>IF(main!BH63="","",ROUND(main!BH63*100,6))</f>
        <v/>
      </c>
      <c r="AW60" s="68" t="str">
        <f>IF(main!BI63="","",ROUND(main!BI63*100,6))</f>
        <v/>
      </c>
      <c r="AX60" s="68" t="str">
        <f>IF(main!BJ63="","",ROUND(main!BJ63*100,6))</f>
        <v/>
      </c>
      <c r="AY60" s="68" t="str">
        <f>IF(main!BK63="","",ROUND(main!BK63*100,6))</f>
        <v/>
      </c>
      <c r="AZ60" s="68" t="str">
        <f>IF(main!BL63="","",ROUND(main!BL63*100,6))</f>
        <v/>
      </c>
      <c r="BA60" s="68" t="str">
        <f>IF(main!BM63="","",ROUND(main!BM63*100,6))</f>
        <v/>
      </c>
      <c r="BB60" s="68" t="str">
        <f>IF(main!BN63="","",ROUND(main!BN63*100,6))</f>
        <v/>
      </c>
      <c r="BC60" s="68" t="str">
        <f>IF(main!BO63="","",ROUND(main!BO63*100,6))</f>
        <v/>
      </c>
      <c r="BD60" s="68" t="str">
        <f>IF(main!BP63="","",ROUND(main!BP63*100,6))</f>
        <v/>
      </c>
      <c r="BE60" s="68" t="str">
        <f>IF(main!BQ63="","",ROUND(main!BQ63*100,6))</f>
        <v/>
      </c>
      <c r="BF60" s="68" t="str">
        <f>IF(main!BR63="","",ROUND(main!BR63*100,6))</f>
        <v/>
      </c>
      <c r="BG60" s="68" t="str">
        <f>IF(main!BS63="","",ROUND(main!BS63*100,6))</f>
        <v/>
      </c>
      <c r="BH60" s="68" t="str">
        <f>IF(main!BT63="","",ROUND(main!BT63*100,6))</f>
        <v/>
      </c>
      <c r="BI60" s="68" t="str">
        <f>IF(main!BU63="","",ROUND(main!BU63*100,6))</f>
        <v/>
      </c>
      <c r="BJ60" s="68" t="str">
        <f>IF(main!BV63="","",ROUND(main!BV63*100,6))</f>
        <v/>
      </c>
      <c r="BK60" s="68" t="str">
        <f>IF(main!BW63="","",ROUND(main!BW63*100,6))</f>
        <v/>
      </c>
      <c r="BL60" s="68" t="str">
        <f>IF(main!BX63="","",ROUND(main!BX63*100,6))</f>
        <v/>
      </c>
      <c r="BM60" s="68" t="str">
        <f>IF(main!BY63="","",ROUND(main!BY63*100,6))</f>
        <v/>
      </c>
      <c r="BN60" s="68" t="str">
        <f>IF(main!BZ63="","",ROUND(main!BZ63*100,6))</f>
        <v/>
      </c>
      <c r="BO60" s="68" t="str">
        <f>IF(main!CA63="","",ROUND(main!CA63*100,6))</f>
        <v/>
      </c>
      <c r="BP60" s="68" t="str">
        <f>IF(main!CB63="","",ROUND(main!CB63*100,6))</f>
        <v/>
      </c>
      <c r="BQ60" s="68" t="str">
        <f>IF(main!CC63="","",ROUND(main!CC63*100,6))</f>
        <v/>
      </c>
      <c r="BR60" s="68" t="str">
        <f>IF(main!CD63="","",ROUND(main!CD63*100,6))</f>
        <v/>
      </c>
      <c r="BS60" s="68" t="str">
        <f>IF(main!CE63="","",ROUND(main!CE63*100,6))</f>
        <v/>
      </c>
      <c r="BT60" s="68" t="str">
        <f>IF(main!CF63="","",ROUND(main!CF63*100,6))</f>
        <v/>
      </c>
      <c r="BU60" s="68" t="str">
        <f>IF(main!CG63="","",ROUND(main!CG63*100,6))</f>
        <v/>
      </c>
      <c r="BV60" s="68" t="str">
        <f>IF(main!CH63="","",ROUND(main!CH63*100,6))</f>
        <v/>
      </c>
      <c r="BW60" s="68" t="str">
        <f>IF(main!CI63="","",ROUND(main!CI63*100,6))</f>
        <v/>
      </c>
      <c r="BX60" s="68" t="str">
        <f>IF(main!CJ63="","",ROUND(main!CJ63*100,6))</f>
        <v/>
      </c>
      <c r="BY60" s="68" t="str">
        <f>IF(main!CK63="","",ROUND(main!CK63*100,6))</f>
        <v/>
      </c>
      <c r="BZ60" s="68" t="str">
        <f>IF(main!CL63="","",ROUND(main!CL63*100,6))</f>
        <v/>
      </c>
      <c r="CA60" s="68" t="str">
        <f>IF(main!CM63="","",ROUND(main!CM63*100,6))</f>
        <v/>
      </c>
      <c r="CB60" s="68" t="str">
        <f>IF(main!CN63="","",ROUND(main!CN63*100,6))</f>
        <v/>
      </c>
      <c r="CC60" s="68" t="str">
        <f>IF(main!CO63="","",ROUND(main!CO63*100,6))</f>
        <v/>
      </c>
    </row>
    <row r="61" spans="1:81" x14ac:dyDescent="0.25">
      <c r="A61" s="65" t="s">
        <v>185</v>
      </c>
      <c r="B61" s="66" t="str">
        <f>main!C63</f>
        <v>Roof Str.</v>
      </c>
      <c r="C61" s="67">
        <f>main!O63</f>
        <v>400000</v>
      </c>
      <c r="D61" s="65" t="s">
        <v>111</v>
      </c>
      <c r="E61" s="68" t="str">
        <f t="shared" si="0"/>
        <v/>
      </c>
      <c r="F61" s="68" t="str">
        <f>IF(main!R64="","",ROUND(main!R64*100,6))</f>
        <v/>
      </c>
      <c r="G61" s="68" t="str">
        <f>IF(main!S64="","",ROUND(main!S64*100,6))</f>
        <v/>
      </c>
      <c r="H61" s="68" t="str">
        <f>IF(main!T64="","",ROUND(main!T64*100,6))</f>
        <v/>
      </c>
      <c r="I61" s="68" t="str">
        <f>IF(main!U64="","",ROUND(main!U64*100,6))</f>
        <v/>
      </c>
      <c r="J61" s="68" t="str">
        <f>IF(main!V64="","",ROUND(main!V64*100,6))</f>
        <v/>
      </c>
      <c r="K61" s="68" t="str">
        <f>IF(main!W64="","",ROUND(main!W64*100,6))</f>
        <v/>
      </c>
      <c r="L61" s="68" t="str">
        <f>IF(main!X64="","",ROUND(main!X64*100,6))</f>
        <v/>
      </c>
      <c r="M61" s="68" t="str">
        <f>IF(main!Y64="","",ROUND(main!Y64*100,6))</f>
        <v/>
      </c>
      <c r="N61" s="68" t="str">
        <f>IF(main!Z64="","",ROUND(main!Z64*100,6))</f>
        <v/>
      </c>
      <c r="O61" s="68" t="str">
        <f>IF(main!AA64="","",ROUND(main!AA64*100,6))</f>
        <v/>
      </c>
      <c r="P61" s="68" t="str">
        <f>IF(main!AB64="","",ROUND(main!AB64*100,6))</f>
        <v/>
      </c>
      <c r="Q61" s="68" t="str">
        <f>IF(main!AC64="","",ROUND(main!AC64*100,6))</f>
        <v/>
      </c>
      <c r="R61" s="68" t="str">
        <f>IF(main!AD64="","",ROUND(main!AD64*100,6))</f>
        <v/>
      </c>
      <c r="S61" s="68" t="str">
        <f>IF(main!AE64="","",ROUND(main!AE64*100,6))</f>
        <v/>
      </c>
      <c r="T61" s="68" t="str">
        <f>IF(main!AF64="","",ROUND(main!AF64*100,6))</f>
        <v/>
      </c>
      <c r="U61" s="68" t="str">
        <f>IF(main!AG64="","",ROUND(main!AG64*100,6))</f>
        <v/>
      </c>
      <c r="V61" s="68" t="str">
        <f>IF(main!AH64="","",ROUND(main!AH64*100,6))</f>
        <v/>
      </c>
      <c r="W61" s="68" t="str">
        <f>IF(main!AI64="","",ROUND(main!AI64*100,6))</f>
        <v/>
      </c>
      <c r="X61" s="68" t="str">
        <f>IF(main!AJ64="","",ROUND(main!AJ64*100,6))</f>
        <v/>
      </c>
      <c r="Y61" s="68" t="str">
        <f>IF(main!AK64="","",ROUND(main!AK64*100,6))</f>
        <v/>
      </c>
      <c r="Z61" s="68" t="str">
        <f>IF(main!AL64="","",ROUND(main!AL64*100,6))</f>
        <v/>
      </c>
      <c r="AA61" s="68" t="str">
        <f>IF(main!AM64="","",ROUND(main!AM64*100,6))</f>
        <v/>
      </c>
      <c r="AB61" s="68" t="str">
        <f>IF(main!AN64="","",ROUND(main!AN64*100,6))</f>
        <v/>
      </c>
      <c r="AC61" s="68" t="str">
        <f>IF(main!AO64="","",ROUND(main!AO64*100,6))</f>
        <v/>
      </c>
      <c r="AD61" s="68" t="str">
        <f>IF(main!AP64="","",ROUND(main!AP64*100,6))</f>
        <v/>
      </c>
      <c r="AE61" s="68" t="str">
        <f>IF(main!AQ64="","",ROUND(main!AQ64*100,6))</f>
        <v/>
      </c>
      <c r="AF61" s="68" t="str">
        <f>IF(main!AR64="","",ROUND(main!AR64*100,6))</f>
        <v/>
      </c>
      <c r="AG61" s="68" t="str">
        <f>IF(main!AS64="","",ROUND(main!AS64*100,6))</f>
        <v/>
      </c>
      <c r="AH61" s="68" t="str">
        <f>IF(main!AT64="","",ROUND(main!AT64*100,6))</f>
        <v/>
      </c>
      <c r="AI61" s="68" t="str">
        <f>IF(main!AU64="","",ROUND(main!AU64*100,6))</f>
        <v/>
      </c>
      <c r="AJ61" s="68" t="str">
        <f>IF(main!AV64="","",ROUND(main!AV64*100,6))</f>
        <v/>
      </c>
      <c r="AK61" s="68" t="str">
        <f>IF(main!AW64="","",ROUND(main!AW64*100,6))</f>
        <v/>
      </c>
      <c r="AL61" s="68" t="str">
        <f>IF(main!AX64="","",ROUND(main!AX64*100,6))</f>
        <v/>
      </c>
      <c r="AM61" s="68" t="str">
        <f>IF(main!AY64="","",ROUND(main!AY64*100,6))</f>
        <v/>
      </c>
      <c r="AN61" s="68" t="str">
        <f>IF(main!AZ64="","",ROUND(main!AZ64*100,6))</f>
        <v/>
      </c>
      <c r="AO61" s="68" t="str">
        <f>IF(main!BA64="","",ROUND(main!BA64*100,6))</f>
        <v/>
      </c>
      <c r="AP61" s="68" t="str">
        <f>IF(main!BB64="","",ROUND(main!BB64*100,6))</f>
        <v/>
      </c>
      <c r="AQ61" s="68" t="str">
        <f>IF(main!BC64="","",ROUND(main!BC64*100,6))</f>
        <v/>
      </c>
      <c r="AR61" s="68" t="str">
        <f>IF(main!BD64="","",ROUND(main!BD64*100,6))</f>
        <v/>
      </c>
      <c r="AS61" s="68" t="str">
        <f>IF(main!BE64="","",ROUND(main!BE64*100,6))</f>
        <v/>
      </c>
      <c r="AT61" s="68" t="str">
        <f>IF(main!BF64="","",ROUND(main!BF64*100,6))</f>
        <v/>
      </c>
      <c r="AU61" s="68" t="str">
        <f>IF(main!BG64="","",ROUND(main!BG64*100,6))</f>
        <v/>
      </c>
      <c r="AV61" s="68" t="str">
        <f>IF(main!BH64="","",ROUND(main!BH64*100,6))</f>
        <v/>
      </c>
      <c r="AW61" s="68" t="str">
        <f>IF(main!BI64="","",ROUND(main!BI64*100,6))</f>
        <v/>
      </c>
      <c r="AX61" s="68" t="str">
        <f>IF(main!BJ64="","",ROUND(main!BJ64*100,6))</f>
        <v/>
      </c>
      <c r="AY61" s="68" t="str">
        <f>IF(main!BK64="","",ROUND(main!BK64*100,6))</f>
        <v/>
      </c>
      <c r="AZ61" s="68" t="str">
        <f>IF(main!BL64="","",ROUND(main!BL64*100,6))</f>
        <v/>
      </c>
      <c r="BA61" s="68" t="str">
        <f>IF(main!BM64="","",ROUND(main!BM64*100,6))</f>
        <v/>
      </c>
      <c r="BB61" s="68" t="str">
        <f>IF(main!BN64="","",ROUND(main!BN64*100,6))</f>
        <v/>
      </c>
      <c r="BC61" s="68" t="str">
        <f>IF(main!BO64="","",ROUND(main!BO64*100,6))</f>
        <v/>
      </c>
      <c r="BD61" s="68" t="str">
        <f>IF(main!BP64="","",ROUND(main!BP64*100,6))</f>
        <v/>
      </c>
      <c r="BE61" s="68" t="str">
        <f>IF(main!BQ64="","",ROUND(main!BQ64*100,6))</f>
        <v/>
      </c>
      <c r="BF61" s="68" t="str">
        <f>IF(main!BR64="","",ROUND(main!BR64*100,6))</f>
        <v/>
      </c>
      <c r="BG61" s="68" t="str">
        <f>IF(main!BS64="","",ROUND(main!BS64*100,6))</f>
        <v/>
      </c>
      <c r="BH61" s="68" t="str">
        <f>IF(main!BT64="","",ROUND(main!BT64*100,6))</f>
        <v/>
      </c>
      <c r="BI61" s="68" t="str">
        <f>IF(main!BU64="","",ROUND(main!BU64*100,6))</f>
        <v/>
      </c>
      <c r="BJ61" s="68" t="str">
        <f>IF(main!BV64="","",ROUND(main!BV64*100,6))</f>
        <v/>
      </c>
      <c r="BK61" s="68" t="str">
        <f>IF(main!BW64="","",ROUND(main!BW64*100,6))</f>
        <v/>
      </c>
      <c r="BL61" s="68" t="str">
        <f>IF(main!BX64="","",ROUND(main!BX64*100,6))</f>
        <v/>
      </c>
      <c r="BM61" s="68" t="str">
        <f>IF(main!BY64="","",ROUND(main!BY64*100,6))</f>
        <v/>
      </c>
      <c r="BN61" s="68" t="str">
        <f>IF(main!BZ64="","",ROUND(main!BZ64*100,6))</f>
        <v/>
      </c>
      <c r="BO61" s="68" t="str">
        <f>IF(main!CA64="","",ROUND(main!CA64*100,6))</f>
        <v/>
      </c>
      <c r="BP61" s="68" t="str">
        <f>IF(main!CB64="","",ROUND(main!CB64*100,6))</f>
        <v/>
      </c>
      <c r="BQ61" s="68" t="str">
        <f>IF(main!CC64="","",ROUND(main!CC64*100,6))</f>
        <v/>
      </c>
      <c r="BR61" s="68" t="str">
        <f>IF(main!CD64="","",ROUND(main!CD64*100,6))</f>
        <v/>
      </c>
      <c r="BS61" s="68" t="str">
        <f>IF(main!CE64="","",ROUND(main!CE64*100,6))</f>
        <v/>
      </c>
      <c r="BT61" s="68" t="str">
        <f>IF(main!CF64="","",ROUND(main!CF64*100,6))</f>
        <v/>
      </c>
      <c r="BU61" s="68" t="str">
        <f>IF(main!CG64="","",ROUND(main!CG64*100,6))</f>
        <v/>
      </c>
      <c r="BV61" s="68" t="str">
        <f>IF(main!CH64="","",ROUND(main!CH64*100,6))</f>
        <v/>
      </c>
      <c r="BW61" s="68" t="str">
        <f>IF(main!CI64="","",ROUND(main!CI64*100,6))</f>
        <v/>
      </c>
      <c r="BX61" s="68" t="str">
        <f>IF(main!CJ64="","",ROUND(main!CJ64*100,6))</f>
        <v/>
      </c>
      <c r="BY61" s="68" t="str">
        <f>IF(main!CK64="","",ROUND(main!CK64*100,6))</f>
        <v/>
      </c>
      <c r="BZ61" s="68" t="str">
        <f>IF(main!CL64="","",ROUND(main!CL64*100,6))</f>
        <v/>
      </c>
      <c r="CA61" s="68" t="str">
        <f>IF(main!CM64="","",ROUND(main!CM64*100,6))</f>
        <v/>
      </c>
      <c r="CB61" s="68" t="str">
        <f>IF(main!CN64="","",ROUND(main!CN64*100,6))</f>
        <v/>
      </c>
      <c r="CC61" s="68" t="str">
        <f>IF(main!CO64="","",ROUND(main!CO64*100,6))</f>
        <v/>
      </c>
    </row>
    <row r="62" spans="1:81" x14ac:dyDescent="0.25">
      <c r="A62" s="65" t="s">
        <v>187</v>
      </c>
      <c r="B62" s="66" t="str">
        <f>main!C65</f>
        <v>Supports Installation</v>
      </c>
      <c r="C62" s="67">
        <f>main!O65</f>
        <v>100000</v>
      </c>
      <c r="D62" s="65" t="s">
        <v>110</v>
      </c>
      <c r="E62" s="68">
        <f t="shared" si="0"/>
        <v>100</v>
      </c>
      <c r="F62" s="68" t="str">
        <f>IF(main!R65="","",ROUND(main!R65*100,6))</f>
        <v/>
      </c>
      <c r="G62" s="68" t="str">
        <f>IF(main!S65="","",ROUND(main!S65*100,6))</f>
        <v/>
      </c>
      <c r="H62" s="68" t="str">
        <f>IF(main!T65="","",ROUND(main!T65*100,6))</f>
        <v/>
      </c>
      <c r="I62" s="68" t="str">
        <f>IF(main!U65="","",ROUND(main!U65*100,6))</f>
        <v/>
      </c>
      <c r="J62" s="68" t="str">
        <f>IF(main!V65="","",ROUND(main!V65*100,6))</f>
        <v/>
      </c>
      <c r="K62" s="68" t="str">
        <f>IF(main!W65="","",ROUND(main!W65*100,6))</f>
        <v/>
      </c>
      <c r="L62" s="68" t="str">
        <f>IF(main!X65="","",ROUND(main!X65*100,6))</f>
        <v/>
      </c>
      <c r="M62" s="68" t="str">
        <f>IF(main!Y65="","",ROUND(main!Y65*100,6))</f>
        <v/>
      </c>
      <c r="N62" s="68" t="str">
        <f>IF(main!Z65="","",ROUND(main!Z65*100,6))</f>
        <v/>
      </c>
      <c r="O62" s="68" t="str">
        <f>IF(main!AA65="","",ROUND(main!AA65*100,6))</f>
        <v/>
      </c>
      <c r="P62" s="68" t="str">
        <f>IF(main!AB65="","",ROUND(main!AB65*100,6))</f>
        <v/>
      </c>
      <c r="Q62" s="68" t="str">
        <f>IF(main!AC65="","",ROUND(main!AC65*100,6))</f>
        <v/>
      </c>
      <c r="R62" s="68" t="str">
        <f>IF(main!AD65="","",ROUND(main!AD65*100,6))</f>
        <v/>
      </c>
      <c r="S62" s="68" t="str">
        <f>IF(main!AE65="","",ROUND(main!AE65*100,6))</f>
        <v/>
      </c>
      <c r="T62" s="68" t="str">
        <f>IF(main!AF65="","",ROUND(main!AF65*100,6))</f>
        <v/>
      </c>
      <c r="U62" s="68" t="str">
        <f>IF(main!AG65="","",ROUND(main!AG65*100,6))</f>
        <v/>
      </c>
      <c r="V62" s="68" t="str">
        <f>IF(main!AH65="","",ROUND(main!AH65*100,6))</f>
        <v/>
      </c>
      <c r="W62" s="68" t="str">
        <f>IF(main!AI65="","",ROUND(main!AI65*100,6))</f>
        <v/>
      </c>
      <c r="X62" s="68" t="str">
        <f>IF(main!AJ65="","",ROUND(main!AJ65*100,6))</f>
        <v/>
      </c>
      <c r="Y62" s="68" t="str">
        <f>IF(main!AK65="","",ROUND(main!AK65*100,6))</f>
        <v/>
      </c>
      <c r="Z62" s="68" t="str">
        <f>IF(main!AL65="","",ROUND(main!AL65*100,6))</f>
        <v/>
      </c>
      <c r="AA62" s="68" t="str">
        <f>IF(main!AM65="","",ROUND(main!AM65*100,6))</f>
        <v/>
      </c>
      <c r="AB62" s="68" t="str">
        <f>IF(main!AN65="","",ROUND(main!AN65*100,6))</f>
        <v/>
      </c>
      <c r="AC62" s="68" t="str">
        <f>IF(main!AO65="","",ROUND(main!AO65*100,6))</f>
        <v/>
      </c>
      <c r="AD62" s="68" t="str">
        <f>IF(main!AP65="","",ROUND(main!AP65*100,6))</f>
        <v/>
      </c>
      <c r="AE62" s="68" t="str">
        <f>IF(main!AQ65="","",ROUND(main!AQ65*100,6))</f>
        <v/>
      </c>
      <c r="AF62" s="68" t="str">
        <f>IF(main!AR65="","",ROUND(main!AR65*100,6))</f>
        <v/>
      </c>
      <c r="AG62" s="68" t="str">
        <f>IF(main!AS65="","",ROUND(main!AS65*100,6))</f>
        <v/>
      </c>
      <c r="AH62" s="68" t="str">
        <f>IF(main!AT65="","",ROUND(main!AT65*100,6))</f>
        <v/>
      </c>
      <c r="AI62" s="68" t="str">
        <f>IF(main!AU65="","",ROUND(main!AU65*100,6))</f>
        <v/>
      </c>
      <c r="AJ62" s="68">
        <f>IF(main!AV65="","",ROUND(main!AV65*100,6))</f>
        <v>55.555556000000003</v>
      </c>
      <c r="AK62" s="68">
        <f>IF(main!AW65="","",ROUND(main!AW65*100,6))</f>
        <v>44.444443999999997</v>
      </c>
      <c r="AL62" s="68" t="str">
        <f>IF(main!AX65="","",ROUND(main!AX65*100,6))</f>
        <v/>
      </c>
      <c r="AM62" s="68" t="str">
        <f>IF(main!AY65="","",ROUND(main!AY65*100,6))</f>
        <v/>
      </c>
      <c r="AN62" s="68" t="str">
        <f>IF(main!AZ65="","",ROUND(main!AZ65*100,6))</f>
        <v/>
      </c>
      <c r="AO62" s="68" t="str">
        <f>IF(main!BA65="","",ROUND(main!BA65*100,6))</f>
        <v/>
      </c>
      <c r="AP62" s="68" t="str">
        <f>IF(main!BB65="","",ROUND(main!BB65*100,6))</f>
        <v/>
      </c>
      <c r="AQ62" s="68" t="str">
        <f>IF(main!BC65="","",ROUND(main!BC65*100,6))</f>
        <v/>
      </c>
      <c r="AR62" s="68" t="str">
        <f>IF(main!BD65="","",ROUND(main!BD65*100,6))</f>
        <v/>
      </c>
      <c r="AS62" s="68" t="str">
        <f>IF(main!BE65="","",ROUND(main!BE65*100,6))</f>
        <v/>
      </c>
      <c r="AT62" s="68" t="str">
        <f>IF(main!BF65="","",ROUND(main!BF65*100,6))</f>
        <v/>
      </c>
      <c r="AU62" s="68" t="str">
        <f>IF(main!BG65="","",ROUND(main!BG65*100,6))</f>
        <v/>
      </c>
      <c r="AV62" s="68" t="str">
        <f>IF(main!BH65="","",ROUND(main!BH65*100,6))</f>
        <v/>
      </c>
      <c r="AW62" s="68" t="str">
        <f>IF(main!BI65="","",ROUND(main!BI65*100,6))</f>
        <v/>
      </c>
      <c r="AX62" s="68" t="str">
        <f>IF(main!BJ65="","",ROUND(main!BJ65*100,6))</f>
        <v/>
      </c>
      <c r="AY62" s="68" t="str">
        <f>IF(main!BK65="","",ROUND(main!BK65*100,6))</f>
        <v/>
      </c>
      <c r="AZ62" s="68" t="str">
        <f>IF(main!BL65="","",ROUND(main!BL65*100,6))</f>
        <v/>
      </c>
      <c r="BA62" s="68" t="str">
        <f>IF(main!BM65="","",ROUND(main!BM65*100,6))</f>
        <v/>
      </c>
      <c r="BB62" s="68" t="str">
        <f>IF(main!BN65="","",ROUND(main!BN65*100,6))</f>
        <v/>
      </c>
      <c r="BC62" s="68" t="str">
        <f>IF(main!BO65="","",ROUND(main!BO65*100,6))</f>
        <v/>
      </c>
      <c r="BD62" s="68" t="str">
        <f>IF(main!BP65="","",ROUND(main!BP65*100,6))</f>
        <v/>
      </c>
      <c r="BE62" s="68" t="str">
        <f>IF(main!BQ65="","",ROUND(main!BQ65*100,6))</f>
        <v/>
      </c>
      <c r="BF62" s="68" t="str">
        <f>IF(main!BR65="","",ROUND(main!BR65*100,6))</f>
        <v/>
      </c>
      <c r="BG62" s="68" t="str">
        <f>IF(main!BS65="","",ROUND(main!BS65*100,6))</f>
        <v/>
      </c>
      <c r="BH62" s="68" t="str">
        <f>IF(main!BT65="","",ROUND(main!BT65*100,6))</f>
        <v/>
      </c>
      <c r="BI62" s="68" t="str">
        <f>IF(main!BU65="","",ROUND(main!BU65*100,6))</f>
        <v/>
      </c>
      <c r="BJ62" s="68" t="str">
        <f>IF(main!BV65="","",ROUND(main!BV65*100,6))</f>
        <v/>
      </c>
      <c r="BK62" s="68" t="str">
        <f>IF(main!BW65="","",ROUND(main!BW65*100,6))</f>
        <v/>
      </c>
      <c r="BL62" s="68" t="str">
        <f>IF(main!BX65="","",ROUND(main!BX65*100,6))</f>
        <v/>
      </c>
      <c r="BM62" s="68" t="str">
        <f>IF(main!BY65="","",ROUND(main!BY65*100,6))</f>
        <v/>
      </c>
      <c r="BN62" s="68" t="str">
        <f>IF(main!BZ65="","",ROUND(main!BZ65*100,6))</f>
        <v/>
      </c>
      <c r="BO62" s="68" t="str">
        <f>IF(main!CA65="","",ROUND(main!CA65*100,6))</f>
        <v/>
      </c>
      <c r="BP62" s="68" t="str">
        <f>IF(main!CB65="","",ROUND(main!CB65*100,6))</f>
        <v/>
      </c>
      <c r="BQ62" s="68" t="str">
        <f>IF(main!CC65="","",ROUND(main!CC65*100,6))</f>
        <v/>
      </c>
      <c r="BR62" s="68" t="str">
        <f>IF(main!CD65="","",ROUND(main!CD65*100,6))</f>
        <v/>
      </c>
      <c r="BS62" s="68" t="str">
        <f>IF(main!CE65="","",ROUND(main!CE65*100,6))</f>
        <v/>
      </c>
      <c r="BT62" s="68" t="str">
        <f>IF(main!CF65="","",ROUND(main!CF65*100,6))</f>
        <v/>
      </c>
      <c r="BU62" s="68" t="str">
        <f>IF(main!CG65="","",ROUND(main!CG65*100,6))</f>
        <v/>
      </c>
      <c r="BV62" s="68" t="str">
        <f>IF(main!CH65="","",ROUND(main!CH65*100,6))</f>
        <v/>
      </c>
      <c r="BW62" s="68" t="str">
        <f>IF(main!CI65="","",ROUND(main!CI65*100,6))</f>
        <v/>
      </c>
      <c r="BX62" s="68" t="str">
        <f>IF(main!CJ65="","",ROUND(main!CJ65*100,6))</f>
        <v/>
      </c>
      <c r="BY62" s="68" t="str">
        <f>IF(main!CK65="","",ROUND(main!CK65*100,6))</f>
        <v/>
      </c>
      <c r="BZ62" s="68" t="str">
        <f>IF(main!CL65="","",ROUND(main!CL65*100,6))</f>
        <v/>
      </c>
      <c r="CA62" s="68" t="str">
        <f>IF(main!CM65="","",ROUND(main!CM65*100,6))</f>
        <v/>
      </c>
      <c r="CB62" s="68" t="str">
        <f>IF(main!CN65="","",ROUND(main!CN65*100,6))</f>
        <v/>
      </c>
      <c r="CC62" s="68" t="str">
        <f>IF(main!CO65="","",ROUND(main!CO65*100,6))</f>
        <v/>
      </c>
    </row>
    <row r="63" spans="1:81" x14ac:dyDescent="0.25">
      <c r="A63" s="65" t="s">
        <v>187</v>
      </c>
      <c r="B63" s="66" t="str">
        <f>main!C65</f>
        <v>Supports Installation</v>
      </c>
      <c r="C63" s="67">
        <f>main!O65</f>
        <v>100000</v>
      </c>
      <c r="D63" s="65" t="s">
        <v>111</v>
      </c>
      <c r="E63" s="68" t="str">
        <f t="shared" si="0"/>
        <v/>
      </c>
      <c r="F63" s="68" t="str">
        <f>IF(main!R66="","",ROUND(main!R66*100,6))</f>
        <v/>
      </c>
      <c r="G63" s="68" t="str">
        <f>IF(main!S66="","",ROUND(main!S66*100,6))</f>
        <v/>
      </c>
      <c r="H63" s="68" t="str">
        <f>IF(main!T66="","",ROUND(main!T66*100,6))</f>
        <v/>
      </c>
      <c r="I63" s="68" t="str">
        <f>IF(main!U66="","",ROUND(main!U66*100,6))</f>
        <v/>
      </c>
      <c r="J63" s="68" t="str">
        <f>IF(main!V66="","",ROUND(main!V66*100,6))</f>
        <v/>
      </c>
      <c r="K63" s="68" t="str">
        <f>IF(main!W66="","",ROUND(main!W66*100,6))</f>
        <v/>
      </c>
      <c r="L63" s="68" t="str">
        <f>IF(main!X66="","",ROUND(main!X66*100,6))</f>
        <v/>
      </c>
      <c r="M63" s="68" t="str">
        <f>IF(main!Y66="","",ROUND(main!Y66*100,6))</f>
        <v/>
      </c>
      <c r="N63" s="68" t="str">
        <f>IF(main!Z66="","",ROUND(main!Z66*100,6))</f>
        <v/>
      </c>
      <c r="O63" s="68" t="str">
        <f>IF(main!AA66="","",ROUND(main!AA66*100,6))</f>
        <v/>
      </c>
      <c r="P63" s="68" t="str">
        <f>IF(main!AB66="","",ROUND(main!AB66*100,6))</f>
        <v/>
      </c>
      <c r="Q63" s="68" t="str">
        <f>IF(main!AC66="","",ROUND(main!AC66*100,6))</f>
        <v/>
      </c>
      <c r="R63" s="68" t="str">
        <f>IF(main!AD66="","",ROUND(main!AD66*100,6))</f>
        <v/>
      </c>
      <c r="S63" s="68" t="str">
        <f>IF(main!AE66="","",ROUND(main!AE66*100,6))</f>
        <v/>
      </c>
      <c r="T63" s="68" t="str">
        <f>IF(main!AF66="","",ROUND(main!AF66*100,6))</f>
        <v/>
      </c>
      <c r="U63" s="68" t="str">
        <f>IF(main!AG66="","",ROUND(main!AG66*100,6))</f>
        <v/>
      </c>
      <c r="V63" s="68" t="str">
        <f>IF(main!AH66="","",ROUND(main!AH66*100,6))</f>
        <v/>
      </c>
      <c r="W63" s="68" t="str">
        <f>IF(main!AI66="","",ROUND(main!AI66*100,6))</f>
        <v/>
      </c>
      <c r="X63" s="68" t="str">
        <f>IF(main!AJ66="","",ROUND(main!AJ66*100,6))</f>
        <v/>
      </c>
      <c r="Y63" s="68" t="str">
        <f>IF(main!AK66="","",ROUND(main!AK66*100,6))</f>
        <v/>
      </c>
      <c r="Z63" s="68" t="str">
        <f>IF(main!AL66="","",ROUND(main!AL66*100,6))</f>
        <v/>
      </c>
      <c r="AA63" s="68" t="str">
        <f>IF(main!AM66="","",ROUND(main!AM66*100,6))</f>
        <v/>
      </c>
      <c r="AB63" s="68" t="str">
        <f>IF(main!AN66="","",ROUND(main!AN66*100,6))</f>
        <v/>
      </c>
      <c r="AC63" s="68" t="str">
        <f>IF(main!AO66="","",ROUND(main!AO66*100,6))</f>
        <v/>
      </c>
      <c r="AD63" s="68" t="str">
        <f>IF(main!AP66="","",ROUND(main!AP66*100,6))</f>
        <v/>
      </c>
      <c r="AE63" s="68" t="str">
        <f>IF(main!AQ66="","",ROUND(main!AQ66*100,6))</f>
        <v/>
      </c>
      <c r="AF63" s="68" t="str">
        <f>IF(main!AR66="","",ROUND(main!AR66*100,6))</f>
        <v/>
      </c>
      <c r="AG63" s="68" t="str">
        <f>IF(main!AS66="","",ROUND(main!AS66*100,6))</f>
        <v/>
      </c>
      <c r="AH63" s="68" t="str">
        <f>IF(main!AT66="","",ROUND(main!AT66*100,6))</f>
        <v/>
      </c>
      <c r="AI63" s="68" t="str">
        <f>IF(main!AU66="","",ROUND(main!AU66*100,6))</f>
        <v/>
      </c>
      <c r="AJ63" s="68" t="str">
        <f>IF(main!AV66="","",ROUND(main!AV66*100,6))</f>
        <v/>
      </c>
      <c r="AK63" s="68" t="str">
        <f>IF(main!AW66="","",ROUND(main!AW66*100,6))</f>
        <v/>
      </c>
      <c r="AL63" s="68" t="str">
        <f>IF(main!AX66="","",ROUND(main!AX66*100,6))</f>
        <v/>
      </c>
      <c r="AM63" s="68" t="str">
        <f>IF(main!AY66="","",ROUND(main!AY66*100,6))</f>
        <v/>
      </c>
      <c r="AN63" s="68" t="str">
        <f>IF(main!AZ66="","",ROUND(main!AZ66*100,6))</f>
        <v/>
      </c>
      <c r="AO63" s="68" t="str">
        <f>IF(main!BA66="","",ROUND(main!BA66*100,6))</f>
        <v/>
      </c>
      <c r="AP63" s="68" t="str">
        <f>IF(main!BB66="","",ROUND(main!BB66*100,6))</f>
        <v/>
      </c>
      <c r="AQ63" s="68" t="str">
        <f>IF(main!BC66="","",ROUND(main!BC66*100,6))</f>
        <v/>
      </c>
      <c r="AR63" s="68" t="str">
        <f>IF(main!BD66="","",ROUND(main!BD66*100,6))</f>
        <v/>
      </c>
      <c r="AS63" s="68" t="str">
        <f>IF(main!BE66="","",ROUND(main!BE66*100,6))</f>
        <v/>
      </c>
      <c r="AT63" s="68" t="str">
        <f>IF(main!BF66="","",ROUND(main!BF66*100,6))</f>
        <v/>
      </c>
      <c r="AU63" s="68" t="str">
        <f>IF(main!BG66="","",ROUND(main!BG66*100,6))</f>
        <v/>
      </c>
      <c r="AV63" s="68" t="str">
        <f>IF(main!BH66="","",ROUND(main!BH66*100,6))</f>
        <v/>
      </c>
      <c r="AW63" s="68" t="str">
        <f>IF(main!BI66="","",ROUND(main!BI66*100,6))</f>
        <v/>
      </c>
      <c r="AX63" s="68" t="str">
        <f>IF(main!BJ66="","",ROUND(main!BJ66*100,6))</f>
        <v/>
      </c>
      <c r="AY63" s="68" t="str">
        <f>IF(main!BK66="","",ROUND(main!BK66*100,6))</f>
        <v/>
      </c>
      <c r="AZ63" s="68" t="str">
        <f>IF(main!BL66="","",ROUND(main!BL66*100,6))</f>
        <v/>
      </c>
      <c r="BA63" s="68" t="str">
        <f>IF(main!BM66="","",ROUND(main!BM66*100,6))</f>
        <v/>
      </c>
      <c r="BB63" s="68" t="str">
        <f>IF(main!BN66="","",ROUND(main!BN66*100,6))</f>
        <v/>
      </c>
      <c r="BC63" s="68" t="str">
        <f>IF(main!BO66="","",ROUND(main!BO66*100,6))</f>
        <v/>
      </c>
      <c r="BD63" s="68" t="str">
        <f>IF(main!BP66="","",ROUND(main!BP66*100,6))</f>
        <v/>
      </c>
      <c r="BE63" s="68" t="str">
        <f>IF(main!BQ66="","",ROUND(main!BQ66*100,6))</f>
        <v/>
      </c>
      <c r="BF63" s="68" t="str">
        <f>IF(main!BR66="","",ROUND(main!BR66*100,6))</f>
        <v/>
      </c>
      <c r="BG63" s="68" t="str">
        <f>IF(main!BS66="","",ROUND(main!BS66*100,6))</f>
        <v/>
      </c>
      <c r="BH63" s="68" t="str">
        <f>IF(main!BT66="","",ROUND(main!BT66*100,6))</f>
        <v/>
      </c>
      <c r="BI63" s="68" t="str">
        <f>IF(main!BU66="","",ROUND(main!BU66*100,6))</f>
        <v/>
      </c>
      <c r="BJ63" s="68" t="str">
        <f>IF(main!BV66="","",ROUND(main!BV66*100,6))</f>
        <v/>
      </c>
      <c r="BK63" s="68" t="str">
        <f>IF(main!BW66="","",ROUND(main!BW66*100,6))</f>
        <v/>
      </c>
      <c r="BL63" s="68" t="str">
        <f>IF(main!BX66="","",ROUND(main!BX66*100,6))</f>
        <v/>
      </c>
      <c r="BM63" s="68" t="str">
        <f>IF(main!BY66="","",ROUND(main!BY66*100,6))</f>
        <v/>
      </c>
      <c r="BN63" s="68" t="str">
        <f>IF(main!BZ66="","",ROUND(main!BZ66*100,6))</f>
        <v/>
      </c>
      <c r="BO63" s="68" t="str">
        <f>IF(main!CA66="","",ROUND(main!CA66*100,6))</f>
        <v/>
      </c>
      <c r="BP63" s="68" t="str">
        <f>IF(main!CB66="","",ROUND(main!CB66*100,6))</f>
        <v/>
      </c>
      <c r="BQ63" s="68" t="str">
        <f>IF(main!CC66="","",ROUND(main!CC66*100,6))</f>
        <v/>
      </c>
      <c r="BR63" s="68" t="str">
        <f>IF(main!CD66="","",ROUND(main!CD66*100,6))</f>
        <v/>
      </c>
      <c r="BS63" s="68" t="str">
        <f>IF(main!CE66="","",ROUND(main!CE66*100,6))</f>
        <v/>
      </c>
      <c r="BT63" s="68" t="str">
        <f>IF(main!CF66="","",ROUND(main!CF66*100,6))</f>
        <v/>
      </c>
      <c r="BU63" s="68" t="str">
        <f>IF(main!CG66="","",ROUND(main!CG66*100,6))</f>
        <v/>
      </c>
      <c r="BV63" s="68" t="str">
        <f>IF(main!CH66="","",ROUND(main!CH66*100,6))</f>
        <v/>
      </c>
      <c r="BW63" s="68" t="str">
        <f>IF(main!CI66="","",ROUND(main!CI66*100,6))</f>
        <v/>
      </c>
      <c r="BX63" s="68" t="str">
        <f>IF(main!CJ66="","",ROUND(main!CJ66*100,6))</f>
        <v/>
      </c>
      <c r="BY63" s="68" t="str">
        <f>IF(main!CK66="","",ROUND(main!CK66*100,6))</f>
        <v/>
      </c>
      <c r="BZ63" s="68" t="str">
        <f>IF(main!CL66="","",ROUND(main!CL66*100,6))</f>
        <v/>
      </c>
      <c r="CA63" s="68" t="str">
        <f>IF(main!CM66="","",ROUND(main!CM66*100,6))</f>
        <v/>
      </c>
      <c r="CB63" s="68" t="str">
        <f>IF(main!CN66="","",ROUND(main!CN66*100,6))</f>
        <v/>
      </c>
      <c r="CC63" s="68" t="str">
        <f>IF(main!CO66="","",ROUND(main!CO66*100,6))</f>
        <v/>
      </c>
    </row>
    <row r="64" spans="1:81" x14ac:dyDescent="0.25">
      <c r="A64" s="65" t="s">
        <v>190</v>
      </c>
      <c r="B64" s="66" t="str">
        <f>main!C67</f>
        <v>Rafter Truss</v>
      </c>
      <c r="C64" s="67">
        <f>main!O67</f>
        <v>100000</v>
      </c>
      <c r="D64" s="65" t="s">
        <v>110</v>
      </c>
      <c r="E64" s="68">
        <f t="shared" si="0"/>
        <v>100.000001</v>
      </c>
      <c r="F64" s="68" t="str">
        <f>IF(main!R67="","",ROUND(main!R67*100,6))</f>
        <v/>
      </c>
      <c r="G64" s="68" t="str">
        <f>IF(main!S67="","",ROUND(main!S67*100,6))</f>
        <v/>
      </c>
      <c r="H64" s="68" t="str">
        <f>IF(main!T67="","",ROUND(main!T67*100,6))</f>
        <v/>
      </c>
      <c r="I64" s="68" t="str">
        <f>IF(main!U67="","",ROUND(main!U67*100,6))</f>
        <v/>
      </c>
      <c r="J64" s="68" t="str">
        <f>IF(main!V67="","",ROUND(main!V67*100,6))</f>
        <v/>
      </c>
      <c r="K64" s="68" t="str">
        <f>IF(main!W67="","",ROUND(main!W67*100,6))</f>
        <v/>
      </c>
      <c r="L64" s="68" t="str">
        <f>IF(main!X67="","",ROUND(main!X67*100,6))</f>
        <v/>
      </c>
      <c r="M64" s="68" t="str">
        <f>IF(main!Y67="","",ROUND(main!Y67*100,6))</f>
        <v/>
      </c>
      <c r="N64" s="68" t="str">
        <f>IF(main!Z67="","",ROUND(main!Z67*100,6))</f>
        <v/>
      </c>
      <c r="O64" s="68" t="str">
        <f>IF(main!AA67="","",ROUND(main!AA67*100,6))</f>
        <v/>
      </c>
      <c r="P64" s="68" t="str">
        <f>IF(main!AB67="","",ROUND(main!AB67*100,6))</f>
        <v/>
      </c>
      <c r="Q64" s="68" t="str">
        <f>IF(main!AC67="","",ROUND(main!AC67*100,6))</f>
        <v/>
      </c>
      <c r="R64" s="68" t="str">
        <f>IF(main!AD67="","",ROUND(main!AD67*100,6))</f>
        <v/>
      </c>
      <c r="S64" s="68" t="str">
        <f>IF(main!AE67="","",ROUND(main!AE67*100,6))</f>
        <v/>
      </c>
      <c r="T64" s="68" t="str">
        <f>IF(main!AF67="","",ROUND(main!AF67*100,6))</f>
        <v/>
      </c>
      <c r="U64" s="68" t="str">
        <f>IF(main!AG67="","",ROUND(main!AG67*100,6))</f>
        <v/>
      </c>
      <c r="V64" s="68" t="str">
        <f>IF(main!AH67="","",ROUND(main!AH67*100,6))</f>
        <v/>
      </c>
      <c r="W64" s="68" t="str">
        <f>IF(main!AI67="","",ROUND(main!AI67*100,6))</f>
        <v/>
      </c>
      <c r="X64" s="68" t="str">
        <f>IF(main!AJ67="","",ROUND(main!AJ67*100,6))</f>
        <v/>
      </c>
      <c r="Y64" s="68" t="str">
        <f>IF(main!AK67="","",ROUND(main!AK67*100,6))</f>
        <v/>
      </c>
      <c r="Z64" s="68" t="str">
        <f>IF(main!AL67="","",ROUND(main!AL67*100,6))</f>
        <v/>
      </c>
      <c r="AA64" s="68" t="str">
        <f>IF(main!AM67="","",ROUND(main!AM67*100,6))</f>
        <v/>
      </c>
      <c r="AB64" s="68" t="str">
        <f>IF(main!AN67="","",ROUND(main!AN67*100,6))</f>
        <v/>
      </c>
      <c r="AC64" s="68" t="str">
        <f>IF(main!AO67="","",ROUND(main!AO67*100,6))</f>
        <v/>
      </c>
      <c r="AD64" s="68" t="str">
        <f>IF(main!AP67="","",ROUND(main!AP67*100,6))</f>
        <v/>
      </c>
      <c r="AE64" s="68" t="str">
        <f>IF(main!AQ67="","",ROUND(main!AQ67*100,6))</f>
        <v/>
      </c>
      <c r="AF64" s="68" t="str">
        <f>IF(main!AR67="","",ROUND(main!AR67*100,6))</f>
        <v/>
      </c>
      <c r="AG64" s="68" t="str">
        <f>IF(main!AS67="","",ROUND(main!AS67*100,6))</f>
        <v/>
      </c>
      <c r="AH64" s="68" t="str">
        <f>IF(main!AT67="","",ROUND(main!AT67*100,6))</f>
        <v/>
      </c>
      <c r="AI64" s="68" t="str">
        <f>IF(main!AU67="","",ROUND(main!AU67*100,6))</f>
        <v/>
      </c>
      <c r="AJ64" s="68" t="str">
        <f>IF(main!AV67="","",ROUND(main!AV67*100,6))</f>
        <v/>
      </c>
      <c r="AK64" s="68">
        <f>IF(main!AW67="","",ROUND(main!AW67*100,6))</f>
        <v>6.9767440000000001</v>
      </c>
      <c r="AL64" s="68">
        <f>IF(main!AX67="","",ROUND(main!AX67*100,6))</f>
        <v>16.279070000000001</v>
      </c>
      <c r="AM64" s="68">
        <f>IF(main!AY67="","",ROUND(main!AY67*100,6))</f>
        <v>16.279070000000001</v>
      </c>
      <c r="AN64" s="68">
        <f>IF(main!AZ67="","",ROUND(main!AZ67*100,6))</f>
        <v>16.279070000000001</v>
      </c>
      <c r="AO64" s="68">
        <f>IF(main!BA67="","",ROUND(main!BA67*100,6))</f>
        <v>16.279070000000001</v>
      </c>
      <c r="AP64" s="68">
        <f>IF(main!BB67="","",ROUND(main!BB67*100,6))</f>
        <v>16.279070000000001</v>
      </c>
      <c r="AQ64" s="68">
        <f>IF(main!BC67="","",ROUND(main!BC67*100,6))</f>
        <v>11.627907</v>
      </c>
      <c r="AR64" s="68" t="str">
        <f>IF(main!BD67="","",ROUND(main!BD67*100,6))</f>
        <v/>
      </c>
      <c r="AS64" s="68" t="str">
        <f>IF(main!BE67="","",ROUND(main!BE67*100,6))</f>
        <v/>
      </c>
      <c r="AT64" s="68" t="str">
        <f>IF(main!BF67="","",ROUND(main!BF67*100,6))</f>
        <v/>
      </c>
      <c r="AU64" s="68" t="str">
        <f>IF(main!BG67="","",ROUND(main!BG67*100,6))</f>
        <v/>
      </c>
      <c r="AV64" s="68" t="str">
        <f>IF(main!BH67="","",ROUND(main!BH67*100,6))</f>
        <v/>
      </c>
      <c r="AW64" s="68" t="str">
        <f>IF(main!BI67="","",ROUND(main!BI67*100,6))</f>
        <v/>
      </c>
      <c r="AX64" s="68" t="str">
        <f>IF(main!BJ67="","",ROUND(main!BJ67*100,6))</f>
        <v/>
      </c>
      <c r="AY64" s="68" t="str">
        <f>IF(main!BK67="","",ROUND(main!BK67*100,6))</f>
        <v/>
      </c>
      <c r="AZ64" s="68" t="str">
        <f>IF(main!BL67="","",ROUND(main!BL67*100,6))</f>
        <v/>
      </c>
      <c r="BA64" s="68" t="str">
        <f>IF(main!BM67="","",ROUND(main!BM67*100,6))</f>
        <v/>
      </c>
      <c r="BB64" s="68" t="str">
        <f>IF(main!BN67="","",ROUND(main!BN67*100,6))</f>
        <v/>
      </c>
      <c r="BC64" s="68" t="str">
        <f>IF(main!BO67="","",ROUND(main!BO67*100,6))</f>
        <v/>
      </c>
      <c r="BD64" s="68" t="str">
        <f>IF(main!BP67="","",ROUND(main!BP67*100,6))</f>
        <v/>
      </c>
      <c r="BE64" s="68" t="str">
        <f>IF(main!BQ67="","",ROUND(main!BQ67*100,6))</f>
        <v/>
      </c>
      <c r="BF64" s="68" t="str">
        <f>IF(main!BR67="","",ROUND(main!BR67*100,6))</f>
        <v/>
      </c>
      <c r="BG64" s="68" t="str">
        <f>IF(main!BS67="","",ROUND(main!BS67*100,6))</f>
        <v/>
      </c>
      <c r="BH64" s="68" t="str">
        <f>IF(main!BT67="","",ROUND(main!BT67*100,6))</f>
        <v/>
      </c>
      <c r="BI64" s="68" t="str">
        <f>IF(main!BU67="","",ROUND(main!BU67*100,6))</f>
        <v/>
      </c>
      <c r="BJ64" s="68" t="str">
        <f>IF(main!BV67="","",ROUND(main!BV67*100,6))</f>
        <v/>
      </c>
      <c r="BK64" s="68" t="str">
        <f>IF(main!BW67="","",ROUND(main!BW67*100,6))</f>
        <v/>
      </c>
      <c r="BL64" s="68" t="str">
        <f>IF(main!BX67="","",ROUND(main!BX67*100,6))</f>
        <v/>
      </c>
      <c r="BM64" s="68" t="str">
        <f>IF(main!BY67="","",ROUND(main!BY67*100,6))</f>
        <v/>
      </c>
      <c r="BN64" s="68" t="str">
        <f>IF(main!BZ67="","",ROUND(main!BZ67*100,6))</f>
        <v/>
      </c>
      <c r="BO64" s="68" t="str">
        <f>IF(main!CA67="","",ROUND(main!CA67*100,6))</f>
        <v/>
      </c>
      <c r="BP64" s="68" t="str">
        <f>IF(main!CB67="","",ROUND(main!CB67*100,6))</f>
        <v/>
      </c>
      <c r="BQ64" s="68" t="str">
        <f>IF(main!CC67="","",ROUND(main!CC67*100,6))</f>
        <v/>
      </c>
      <c r="BR64" s="68" t="str">
        <f>IF(main!CD67="","",ROUND(main!CD67*100,6))</f>
        <v/>
      </c>
      <c r="BS64" s="68" t="str">
        <f>IF(main!CE67="","",ROUND(main!CE67*100,6))</f>
        <v/>
      </c>
      <c r="BT64" s="68" t="str">
        <f>IF(main!CF67="","",ROUND(main!CF67*100,6))</f>
        <v/>
      </c>
      <c r="BU64" s="68" t="str">
        <f>IF(main!CG67="","",ROUND(main!CG67*100,6))</f>
        <v/>
      </c>
      <c r="BV64" s="68" t="str">
        <f>IF(main!CH67="","",ROUND(main!CH67*100,6))</f>
        <v/>
      </c>
      <c r="BW64" s="68" t="str">
        <f>IF(main!CI67="","",ROUND(main!CI67*100,6))</f>
        <v/>
      </c>
      <c r="BX64" s="68" t="str">
        <f>IF(main!CJ67="","",ROUND(main!CJ67*100,6))</f>
        <v/>
      </c>
      <c r="BY64" s="68" t="str">
        <f>IF(main!CK67="","",ROUND(main!CK67*100,6))</f>
        <v/>
      </c>
      <c r="BZ64" s="68" t="str">
        <f>IF(main!CL67="","",ROUND(main!CL67*100,6))</f>
        <v/>
      </c>
      <c r="CA64" s="68" t="str">
        <f>IF(main!CM67="","",ROUND(main!CM67*100,6))</f>
        <v/>
      </c>
      <c r="CB64" s="68" t="str">
        <f>IF(main!CN67="","",ROUND(main!CN67*100,6))</f>
        <v/>
      </c>
      <c r="CC64" s="68" t="str">
        <f>IF(main!CO67="","",ROUND(main!CO67*100,6))</f>
        <v/>
      </c>
    </row>
    <row r="65" spans="1:81" x14ac:dyDescent="0.25">
      <c r="A65" s="65" t="s">
        <v>190</v>
      </c>
      <c r="B65" s="66" t="str">
        <f>main!C67</f>
        <v>Rafter Truss</v>
      </c>
      <c r="C65" s="67">
        <f>main!O67</f>
        <v>100000</v>
      </c>
      <c r="D65" s="65" t="s">
        <v>111</v>
      </c>
      <c r="E65" s="68" t="str">
        <f t="shared" si="0"/>
        <v/>
      </c>
      <c r="F65" s="68" t="str">
        <f>IF(main!R68="","",ROUND(main!R68*100,6))</f>
        <v/>
      </c>
      <c r="G65" s="68" t="str">
        <f>IF(main!S68="","",ROUND(main!S68*100,6))</f>
        <v/>
      </c>
      <c r="H65" s="68" t="str">
        <f>IF(main!T68="","",ROUND(main!T68*100,6))</f>
        <v/>
      </c>
      <c r="I65" s="68" t="str">
        <f>IF(main!U68="","",ROUND(main!U68*100,6))</f>
        <v/>
      </c>
      <c r="J65" s="68" t="str">
        <f>IF(main!V68="","",ROUND(main!V68*100,6))</f>
        <v/>
      </c>
      <c r="K65" s="68" t="str">
        <f>IF(main!W68="","",ROUND(main!W68*100,6))</f>
        <v/>
      </c>
      <c r="L65" s="68" t="str">
        <f>IF(main!X68="","",ROUND(main!X68*100,6))</f>
        <v/>
      </c>
      <c r="M65" s="68" t="str">
        <f>IF(main!Y68="","",ROUND(main!Y68*100,6))</f>
        <v/>
      </c>
      <c r="N65" s="68" t="str">
        <f>IF(main!Z68="","",ROUND(main!Z68*100,6))</f>
        <v/>
      </c>
      <c r="O65" s="68" t="str">
        <f>IF(main!AA68="","",ROUND(main!AA68*100,6))</f>
        <v/>
      </c>
      <c r="P65" s="68" t="str">
        <f>IF(main!AB68="","",ROUND(main!AB68*100,6))</f>
        <v/>
      </c>
      <c r="Q65" s="68" t="str">
        <f>IF(main!AC68="","",ROUND(main!AC68*100,6))</f>
        <v/>
      </c>
      <c r="R65" s="68" t="str">
        <f>IF(main!AD68="","",ROUND(main!AD68*100,6))</f>
        <v/>
      </c>
      <c r="S65" s="68" t="str">
        <f>IF(main!AE68="","",ROUND(main!AE68*100,6))</f>
        <v/>
      </c>
      <c r="T65" s="68" t="str">
        <f>IF(main!AF68="","",ROUND(main!AF68*100,6))</f>
        <v/>
      </c>
      <c r="U65" s="68" t="str">
        <f>IF(main!AG68="","",ROUND(main!AG68*100,6))</f>
        <v/>
      </c>
      <c r="V65" s="68" t="str">
        <f>IF(main!AH68="","",ROUND(main!AH68*100,6))</f>
        <v/>
      </c>
      <c r="W65" s="68" t="str">
        <f>IF(main!AI68="","",ROUND(main!AI68*100,6))</f>
        <v/>
      </c>
      <c r="X65" s="68" t="str">
        <f>IF(main!AJ68="","",ROUND(main!AJ68*100,6))</f>
        <v/>
      </c>
      <c r="Y65" s="68" t="str">
        <f>IF(main!AK68="","",ROUND(main!AK68*100,6))</f>
        <v/>
      </c>
      <c r="Z65" s="68" t="str">
        <f>IF(main!AL68="","",ROUND(main!AL68*100,6))</f>
        <v/>
      </c>
      <c r="AA65" s="68" t="str">
        <f>IF(main!AM68="","",ROUND(main!AM68*100,6))</f>
        <v/>
      </c>
      <c r="AB65" s="68" t="str">
        <f>IF(main!AN68="","",ROUND(main!AN68*100,6))</f>
        <v/>
      </c>
      <c r="AC65" s="68" t="str">
        <f>IF(main!AO68="","",ROUND(main!AO68*100,6))</f>
        <v/>
      </c>
      <c r="AD65" s="68" t="str">
        <f>IF(main!AP68="","",ROUND(main!AP68*100,6))</f>
        <v/>
      </c>
      <c r="AE65" s="68" t="str">
        <f>IF(main!AQ68="","",ROUND(main!AQ68*100,6))</f>
        <v/>
      </c>
      <c r="AF65" s="68" t="str">
        <f>IF(main!AR68="","",ROUND(main!AR68*100,6))</f>
        <v/>
      </c>
      <c r="AG65" s="68" t="str">
        <f>IF(main!AS68="","",ROUND(main!AS68*100,6))</f>
        <v/>
      </c>
      <c r="AH65" s="68" t="str">
        <f>IF(main!AT68="","",ROUND(main!AT68*100,6))</f>
        <v/>
      </c>
      <c r="AI65" s="68" t="str">
        <f>IF(main!AU68="","",ROUND(main!AU68*100,6))</f>
        <v/>
      </c>
      <c r="AJ65" s="68" t="str">
        <f>IF(main!AV68="","",ROUND(main!AV68*100,6))</f>
        <v/>
      </c>
      <c r="AK65" s="68" t="str">
        <f>IF(main!AW68="","",ROUND(main!AW68*100,6))</f>
        <v/>
      </c>
      <c r="AL65" s="68" t="str">
        <f>IF(main!AX68="","",ROUND(main!AX68*100,6))</f>
        <v/>
      </c>
      <c r="AM65" s="68" t="str">
        <f>IF(main!AY68="","",ROUND(main!AY68*100,6))</f>
        <v/>
      </c>
      <c r="AN65" s="68" t="str">
        <f>IF(main!AZ68="","",ROUND(main!AZ68*100,6))</f>
        <v/>
      </c>
      <c r="AO65" s="68" t="str">
        <f>IF(main!BA68="","",ROUND(main!BA68*100,6))</f>
        <v/>
      </c>
      <c r="AP65" s="68" t="str">
        <f>IF(main!BB68="","",ROUND(main!BB68*100,6))</f>
        <v/>
      </c>
      <c r="AQ65" s="68" t="str">
        <f>IF(main!BC68="","",ROUND(main!BC68*100,6))</f>
        <v/>
      </c>
      <c r="AR65" s="68" t="str">
        <f>IF(main!BD68="","",ROUND(main!BD68*100,6))</f>
        <v/>
      </c>
      <c r="AS65" s="68" t="str">
        <f>IF(main!BE68="","",ROUND(main!BE68*100,6))</f>
        <v/>
      </c>
      <c r="AT65" s="68" t="str">
        <f>IF(main!BF68="","",ROUND(main!BF68*100,6))</f>
        <v/>
      </c>
      <c r="AU65" s="68" t="str">
        <f>IF(main!BG68="","",ROUND(main!BG68*100,6))</f>
        <v/>
      </c>
      <c r="AV65" s="68" t="str">
        <f>IF(main!BH68="","",ROUND(main!BH68*100,6))</f>
        <v/>
      </c>
      <c r="AW65" s="68" t="str">
        <f>IF(main!BI68="","",ROUND(main!BI68*100,6))</f>
        <v/>
      </c>
      <c r="AX65" s="68" t="str">
        <f>IF(main!BJ68="","",ROUND(main!BJ68*100,6))</f>
        <v/>
      </c>
      <c r="AY65" s="68" t="str">
        <f>IF(main!BK68="","",ROUND(main!BK68*100,6))</f>
        <v/>
      </c>
      <c r="AZ65" s="68" t="str">
        <f>IF(main!BL68="","",ROUND(main!BL68*100,6))</f>
        <v/>
      </c>
      <c r="BA65" s="68" t="str">
        <f>IF(main!BM68="","",ROUND(main!BM68*100,6))</f>
        <v/>
      </c>
      <c r="BB65" s="68" t="str">
        <f>IF(main!BN68="","",ROUND(main!BN68*100,6))</f>
        <v/>
      </c>
      <c r="BC65" s="68" t="str">
        <f>IF(main!BO68="","",ROUND(main!BO68*100,6))</f>
        <v/>
      </c>
      <c r="BD65" s="68" t="str">
        <f>IF(main!BP68="","",ROUND(main!BP68*100,6))</f>
        <v/>
      </c>
      <c r="BE65" s="68" t="str">
        <f>IF(main!BQ68="","",ROUND(main!BQ68*100,6))</f>
        <v/>
      </c>
      <c r="BF65" s="68" t="str">
        <f>IF(main!BR68="","",ROUND(main!BR68*100,6))</f>
        <v/>
      </c>
      <c r="BG65" s="68" t="str">
        <f>IF(main!BS68="","",ROUND(main!BS68*100,6))</f>
        <v/>
      </c>
      <c r="BH65" s="68" t="str">
        <f>IF(main!BT68="","",ROUND(main!BT68*100,6))</f>
        <v/>
      </c>
      <c r="BI65" s="68" t="str">
        <f>IF(main!BU68="","",ROUND(main!BU68*100,6))</f>
        <v/>
      </c>
      <c r="BJ65" s="68" t="str">
        <f>IF(main!BV68="","",ROUND(main!BV68*100,6))</f>
        <v/>
      </c>
      <c r="BK65" s="68" t="str">
        <f>IF(main!BW68="","",ROUND(main!BW68*100,6))</f>
        <v/>
      </c>
      <c r="BL65" s="68" t="str">
        <f>IF(main!BX68="","",ROUND(main!BX68*100,6))</f>
        <v/>
      </c>
      <c r="BM65" s="68" t="str">
        <f>IF(main!BY68="","",ROUND(main!BY68*100,6))</f>
        <v/>
      </c>
      <c r="BN65" s="68" t="str">
        <f>IF(main!BZ68="","",ROUND(main!BZ68*100,6))</f>
        <v/>
      </c>
      <c r="BO65" s="68" t="str">
        <f>IF(main!CA68="","",ROUND(main!CA68*100,6))</f>
        <v/>
      </c>
      <c r="BP65" s="68" t="str">
        <f>IF(main!CB68="","",ROUND(main!CB68*100,6))</f>
        <v/>
      </c>
      <c r="BQ65" s="68" t="str">
        <f>IF(main!CC68="","",ROUND(main!CC68*100,6))</f>
        <v/>
      </c>
      <c r="BR65" s="68" t="str">
        <f>IF(main!CD68="","",ROUND(main!CD68*100,6))</f>
        <v/>
      </c>
      <c r="BS65" s="68" t="str">
        <f>IF(main!CE68="","",ROUND(main!CE68*100,6))</f>
        <v/>
      </c>
      <c r="BT65" s="68" t="str">
        <f>IF(main!CF68="","",ROUND(main!CF68*100,6))</f>
        <v/>
      </c>
      <c r="BU65" s="68" t="str">
        <f>IF(main!CG68="","",ROUND(main!CG68*100,6))</f>
        <v/>
      </c>
      <c r="BV65" s="68" t="str">
        <f>IF(main!CH68="","",ROUND(main!CH68*100,6))</f>
        <v/>
      </c>
      <c r="BW65" s="68" t="str">
        <f>IF(main!CI68="","",ROUND(main!CI68*100,6))</f>
        <v/>
      </c>
      <c r="BX65" s="68" t="str">
        <f>IF(main!CJ68="","",ROUND(main!CJ68*100,6))</f>
        <v/>
      </c>
      <c r="BY65" s="68" t="str">
        <f>IF(main!CK68="","",ROUND(main!CK68*100,6))</f>
        <v/>
      </c>
      <c r="BZ65" s="68" t="str">
        <f>IF(main!CL68="","",ROUND(main!CL68*100,6))</f>
        <v/>
      </c>
      <c r="CA65" s="68" t="str">
        <f>IF(main!CM68="","",ROUND(main!CM68*100,6))</f>
        <v/>
      </c>
      <c r="CB65" s="68" t="str">
        <f>IF(main!CN68="","",ROUND(main!CN68*100,6))</f>
        <v/>
      </c>
      <c r="CC65" s="68" t="str">
        <f>IF(main!CO68="","",ROUND(main!CO68*100,6))</f>
        <v/>
      </c>
    </row>
    <row r="66" spans="1:81" x14ac:dyDescent="0.25">
      <c r="A66" s="65" t="s">
        <v>193</v>
      </c>
      <c r="B66" s="66" t="str">
        <f>main!C69</f>
        <v>Purin</v>
      </c>
      <c r="C66" s="67">
        <f>main!O69</f>
        <v>100000</v>
      </c>
      <c r="D66" s="65" t="s">
        <v>110</v>
      </c>
      <c r="E66" s="68">
        <f t="shared" ref="E66:E129" si="1">IF(COUNT(F66:CC66)=0,"",ROUND(SUM(F66:CC66),6))</f>
        <v>100</v>
      </c>
      <c r="F66" s="68" t="str">
        <f>IF(main!R69="","",ROUND(main!R69*100,6))</f>
        <v/>
      </c>
      <c r="G66" s="68" t="str">
        <f>IF(main!S69="","",ROUND(main!S69*100,6))</f>
        <v/>
      </c>
      <c r="H66" s="68" t="str">
        <f>IF(main!T69="","",ROUND(main!T69*100,6))</f>
        <v/>
      </c>
      <c r="I66" s="68" t="str">
        <f>IF(main!U69="","",ROUND(main!U69*100,6))</f>
        <v/>
      </c>
      <c r="J66" s="68" t="str">
        <f>IF(main!V69="","",ROUND(main!V69*100,6))</f>
        <v/>
      </c>
      <c r="K66" s="68" t="str">
        <f>IF(main!W69="","",ROUND(main!W69*100,6))</f>
        <v/>
      </c>
      <c r="L66" s="68" t="str">
        <f>IF(main!X69="","",ROUND(main!X69*100,6))</f>
        <v/>
      </c>
      <c r="M66" s="68" t="str">
        <f>IF(main!Y69="","",ROUND(main!Y69*100,6))</f>
        <v/>
      </c>
      <c r="N66" s="68" t="str">
        <f>IF(main!Z69="","",ROUND(main!Z69*100,6))</f>
        <v/>
      </c>
      <c r="O66" s="68" t="str">
        <f>IF(main!AA69="","",ROUND(main!AA69*100,6))</f>
        <v/>
      </c>
      <c r="P66" s="68" t="str">
        <f>IF(main!AB69="","",ROUND(main!AB69*100,6))</f>
        <v/>
      </c>
      <c r="Q66" s="68" t="str">
        <f>IF(main!AC69="","",ROUND(main!AC69*100,6))</f>
        <v/>
      </c>
      <c r="R66" s="68" t="str">
        <f>IF(main!AD69="","",ROUND(main!AD69*100,6))</f>
        <v/>
      </c>
      <c r="S66" s="68" t="str">
        <f>IF(main!AE69="","",ROUND(main!AE69*100,6))</f>
        <v/>
      </c>
      <c r="T66" s="68" t="str">
        <f>IF(main!AF69="","",ROUND(main!AF69*100,6))</f>
        <v/>
      </c>
      <c r="U66" s="68" t="str">
        <f>IF(main!AG69="","",ROUND(main!AG69*100,6))</f>
        <v/>
      </c>
      <c r="V66" s="68" t="str">
        <f>IF(main!AH69="","",ROUND(main!AH69*100,6))</f>
        <v/>
      </c>
      <c r="W66" s="68" t="str">
        <f>IF(main!AI69="","",ROUND(main!AI69*100,6))</f>
        <v/>
      </c>
      <c r="X66" s="68" t="str">
        <f>IF(main!AJ69="","",ROUND(main!AJ69*100,6))</f>
        <v/>
      </c>
      <c r="Y66" s="68" t="str">
        <f>IF(main!AK69="","",ROUND(main!AK69*100,6))</f>
        <v/>
      </c>
      <c r="Z66" s="68" t="str">
        <f>IF(main!AL69="","",ROUND(main!AL69*100,6))</f>
        <v/>
      </c>
      <c r="AA66" s="68" t="str">
        <f>IF(main!AM69="","",ROUND(main!AM69*100,6))</f>
        <v/>
      </c>
      <c r="AB66" s="68" t="str">
        <f>IF(main!AN69="","",ROUND(main!AN69*100,6))</f>
        <v/>
      </c>
      <c r="AC66" s="68" t="str">
        <f>IF(main!AO69="","",ROUND(main!AO69*100,6))</f>
        <v/>
      </c>
      <c r="AD66" s="68" t="str">
        <f>IF(main!AP69="","",ROUND(main!AP69*100,6))</f>
        <v/>
      </c>
      <c r="AE66" s="68" t="str">
        <f>IF(main!AQ69="","",ROUND(main!AQ69*100,6))</f>
        <v/>
      </c>
      <c r="AF66" s="68" t="str">
        <f>IF(main!AR69="","",ROUND(main!AR69*100,6))</f>
        <v/>
      </c>
      <c r="AG66" s="68" t="str">
        <f>IF(main!AS69="","",ROUND(main!AS69*100,6))</f>
        <v/>
      </c>
      <c r="AH66" s="68" t="str">
        <f>IF(main!AT69="","",ROUND(main!AT69*100,6))</f>
        <v/>
      </c>
      <c r="AI66" s="68" t="str">
        <f>IF(main!AU69="","",ROUND(main!AU69*100,6))</f>
        <v/>
      </c>
      <c r="AJ66" s="68" t="str">
        <f>IF(main!AV69="","",ROUND(main!AV69*100,6))</f>
        <v/>
      </c>
      <c r="AK66" s="68" t="str">
        <f>IF(main!AW69="","",ROUND(main!AW69*100,6))</f>
        <v/>
      </c>
      <c r="AL66" s="68" t="str">
        <f>IF(main!AX69="","",ROUND(main!AX69*100,6))</f>
        <v/>
      </c>
      <c r="AM66" s="68" t="str">
        <f>IF(main!AY69="","",ROUND(main!AY69*100,6))</f>
        <v/>
      </c>
      <c r="AN66" s="68" t="str">
        <f>IF(main!AZ69="","",ROUND(main!AZ69*100,6))</f>
        <v/>
      </c>
      <c r="AO66" s="68" t="str">
        <f>IF(main!BA69="","",ROUND(main!BA69*100,6))</f>
        <v/>
      </c>
      <c r="AP66" s="68" t="str">
        <f>IF(main!BB69="","",ROUND(main!BB69*100,6))</f>
        <v/>
      </c>
      <c r="AQ66" s="68">
        <f>IF(main!BC69="","",ROUND(main!BC69*100,6))</f>
        <v>9.5238099999999992</v>
      </c>
      <c r="AR66" s="68">
        <f>IF(main!BD69="","",ROUND(main!BD69*100,6))</f>
        <v>33.333333000000003</v>
      </c>
      <c r="AS66" s="68">
        <f>IF(main!BE69="","",ROUND(main!BE69*100,6))</f>
        <v>33.333333000000003</v>
      </c>
      <c r="AT66" s="68">
        <f>IF(main!BF69="","",ROUND(main!BF69*100,6))</f>
        <v>23.809524</v>
      </c>
      <c r="AU66" s="68" t="str">
        <f>IF(main!BG69="","",ROUND(main!BG69*100,6))</f>
        <v/>
      </c>
      <c r="AV66" s="68" t="str">
        <f>IF(main!BH69="","",ROUND(main!BH69*100,6))</f>
        <v/>
      </c>
      <c r="AW66" s="68" t="str">
        <f>IF(main!BI69="","",ROUND(main!BI69*100,6))</f>
        <v/>
      </c>
      <c r="AX66" s="68" t="str">
        <f>IF(main!BJ69="","",ROUND(main!BJ69*100,6))</f>
        <v/>
      </c>
      <c r="AY66" s="68" t="str">
        <f>IF(main!BK69="","",ROUND(main!BK69*100,6))</f>
        <v/>
      </c>
      <c r="AZ66" s="68" t="str">
        <f>IF(main!BL69="","",ROUND(main!BL69*100,6))</f>
        <v/>
      </c>
      <c r="BA66" s="68" t="str">
        <f>IF(main!BM69="","",ROUND(main!BM69*100,6))</f>
        <v/>
      </c>
      <c r="BB66" s="68" t="str">
        <f>IF(main!BN69="","",ROUND(main!BN69*100,6))</f>
        <v/>
      </c>
      <c r="BC66" s="68" t="str">
        <f>IF(main!BO69="","",ROUND(main!BO69*100,6))</f>
        <v/>
      </c>
      <c r="BD66" s="68" t="str">
        <f>IF(main!BP69="","",ROUND(main!BP69*100,6))</f>
        <v/>
      </c>
      <c r="BE66" s="68" t="str">
        <f>IF(main!BQ69="","",ROUND(main!BQ69*100,6))</f>
        <v/>
      </c>
      <c r="BF66" s="68" t="str">
        <f>IF(main!BR69="","",ROUND(main!BR69*100,6))</f>
        <v/>
      </c>
      <c r="BG66" s="68" t="str">
        <f>IF(main!BS69="","",ROUND(main!BS69*100,6))</f>
        <v/>
      </c>
      <c r="BH66" s="68" t="str">
        <f>IF(main!BT69="","",ROUND(main!BT69*100,6))</f>
        <v/>
      </c>
      <c r="BI66" s="68" t="str">
        <f>IF(main!BU69="","",ROUND(main!BU69*100,6))</f>
        <v/>
      </c>
      <c r="BJ66" s="68" t="str">
        <f>IF(main!BV69="","",ROUND(main!BV69*100,6))</f>
        <v/>
      </c>
      <c r="BK66" s="68" t="str">
        <f>IF(main!BW69="","",ROUND(main!BW69*100,6))</f>
        <v/>
      </c>
      <c r="BL66" s="68" t="str">
        <f>IF(main!BX69="","",ROUND(main!BX69*100,6))</f>
        <v/>
      </c>
      <c r="BM66" s="68" t="str">
        <f>IF(main!BY69="","",ROUND(main!BY69*100,6))</f>
        <v/>
      </c>
      <c r="BN66" s="68" t="str">
        <f>IF(main!BZ69="","",ROUND(main!BZ69*100,6))</f>
        <v/>
      </c>
      <c r="BO66" s="68" t="str">
        <f>IF(main!CA69="","",ROUND(main!CA69*100,6))</f>
        <v/>
      </c>
      <c r="BP66" s="68" t="str">
        <f>IF(main!CB69="","",ROUND(main!CB69*100,6))</f>
        <v/>
      </c>
      <c r="BQ66" s="68" t="str">
        <f>IF(main!CC69="","",ROUND(main!CC69*100,6))</f>
        <v/>
      </c>
      <c r="BR66" s="68" t="str">
        <f>IF(main!CD69="","",ROUND(main!CD69*100,6))</f>
        <v/>
      </c>
      <c r="BS66" s="68" t="str">
        <f>IF(main!CE69="","",ROUND(main!CE69*100,6))</f>
        <v/>
      </c>
      <c r="BT66" s="68" t="str">
        <f>IF(main!CF69="","",ROUND(main!CF69*100,6))</f>
        <v/>
      </c>
      <c r="BU66" s="68" t="str">
        <f>IF(main!CG69="","",ROUND(main!CG69*100,6))</f>
        <v/>
      </c>
      <c r="BV66" s="68" t="str">
        <f>IF(main!CH69="","",ROUND(main!CH69*100,6))</f>
        <v/>
      </c>
      <c r="BW66" s="68" t="str">
        <f>IF(main!CI69="","",ROUND(main!CI69*100,6))</f>
        <v/>
      </c>
      <c r="BX66" s="68" t="str">
        <f>IF(main!CJ69="","",ROUND(main!CJ69*100,6))</f>
        <v/>
      </c>
      <c r="BY66" s="68" t="str">
        <f>IF(main!CK69="","",ROUND(main!CK69*100,6))</f>
        <v/>
      </c>
      <c r="BZ66" s="68" t="str">
        <f>IF(main!CL69="","",ROUND(main!CL69*100,6))</f>
        <v/>
      </c>
      <c r="CA66" s="68" t="str">
        <f>IF(main!CM69="","",ROUND(main!CM69*100,6))</f>
        <v/>
      </c>
      <c r="CB66" s="68" t="str">
        <f>IF(main!CN69="","",ROUND(main!CN69*100,6))</f>
        <v/>
      </c>
      <c r="CC66" s="68" t="str">
        <f>IF(main!CO69="","",ROUND(main!CO69*100,6))</f>
        <v/>
      </c>
    </row>
    <row r="67" spans="1:81" x14ac:dyDescent="0.25">
      <c r="A67" s="65" t="s">
        <v>193</v>
      </c>
      <c r="B67" s="66" t="str">
        <f>main!C69</f>
        <v>Purin</v>
      </c>
      <c r="C67" s="67">
        <f>main!O69</f>
        <v>100000</v>
      </c>
      <c r="D67" s="65" t="s">
        <v>111</v>
      </c>
      <c r="E67" s="68" t="str">
        <f t="shared" si="1"/>
        <v/>
      </c>
      <c r="F67" s="68" t="str">
        <f>IF(main!R70="","",ROUND(main!R70*100,6))</f>
        <v/>
      </c>
      <c r="G67" s="68" t="str">
        <f>IF(main!S70="","",ROUND(main!S70*100,6))</f>
        <v/>
      </c>
      <c r="H67" s="68" t="str">
        <f>IF(main!T70="","",ROUND(main!T70*100,6))</f>
        <v/>
      </c>
      <c r="I67" s="68" t="str">
        <f>IF(main!U70="","",ROUND(main!U70*100,6))</f>
        <v/>
      </c>
      <c r="J67" s="68" t="str">
        <f>IF(main!V70="","",ROUND(main!V70*100,6))</f>
        <v/>
      </c>
      <c r="K67" s="68" t="str">
        <f>IF(main!W70="","",ROUND(main!W70*100,6))</f>
        <v/>
      </c>
      <c r="L67" s="68" t="str">
        <f>IF(main!X70="","",ROUND(main!X70*100,6))</f>
        <v/>
      </c>
      <c r="M67" s="68" t="str">
        <f>IF(main!Y70="","",ROUND(main!Y70*100,6))</f>
        <v/>
      </c>
      <c r="N67" s="68" t="str">
        <f>IF(main!Z70="","",ROUND(main!Z70*100,6))</f>
        <v/>
      </c>
      <c r="O67" s="68" t="str">
        <f>IF(main!AA70="","",ROUND(main!AA70*100,6))</f>
        <v/>
      </c>
      <c r="P67" s="68" t="str">
        <f>IF(main!AB70="","",ROUND(main!AB70*100,6))</f>
        <v/>
      </c>
      <c r="Q67" s="68" t="str">
        <f>IF(main!AC70="","",ROUND(main!AC70*100,6))</f>
        <v/>
      </c>
      <c r="R67" s="68" t="str">
        <f>IF(main!AD70="","",ROUND(main!AD70*100,6))</f>
        <v/>
      </c>
      <c r="S67" s="68" t="str">
        <f>IF(main!AE70="","",ROUND(main!AE70*100,6))</f>
        <v/>
      </c>
      <c r="T67" s="68" t="str">
        <f>IF(main!AF70="","",ROUND(main!AF70*100,6))</f>
        <v/>
      </c>
      <c r="U67" s="68" t="str">
        <f>IF(main!AG70="","",ROUND(main!AG70*100,6))</f>
        <v/>
      </c>
      <c r="V67" s="68" t="str">
        <f>IF(main!AH70="","",ROUND(main!AH70*100,6))</f>
        <v/>
      </c>
      <c r="W67" s="68" t="str">
        <f>IF(main!AI70="","",ROUND(main!AI70*100,6))</f>
        <v/>
      </c>
      <c r="X67" s="68" t="str">
        <f>IF(main!AJ70="","",ROUND(main!AJ70*100,6))</f>
        <v/>
      </c>
      <c r="Y67" s="68" t="str">
        <f>IF(main!AK70="","",ROUND(main!AK70*100,6))</f>
        <v/>
      </c>
      <c r="Z67" s="68" t="str">
        <f>IF(main!AL70="","",ROUND(main!AL70*100,6))</f>
        <v/>
      </c>
      <c r="AA67" s="68" t="str">
        <f>IF(main!AM70="","",ROUND(main!AM70*100,6))</f>
        <v/>
      </c>
      <c r="AB67" s="68" t="str">
        <f>IF(main!AN70="","",ROUND(main!AN70*100,6))</f>
        <v/>
      </c>
      <c r="AC67" s="68" t="str">
        <f>IF(main!AO70="","",ROUND(main!AO70*100,6))</f>
        <v/>
      </c>
      <c r="AD67" s="68" t="str">
        <f>IF(main!AP70="","",ROUND(main!AP70*100,6))</f>
        <v/>
      </c>
      <c r="AE67" s="68" t="str">
        <f>IF(main!AQ70="","",ROUND(main!AQ70*100,6))</f>
        <v/>
      </c>
      <c r="AF67" s="68" t="str">
        <f>IF(main!AR70="","",ROUND(main!AR70*100,6))</f>
        <v/>
      </c>
      <c r="AG67" s="68" t="str">
        <f>IF(main!AS70="","",ROUND(main!AS70*100,6))</f>
        <v/>
      </c>
      <c r="AH67" s="68" t="str">
        <f>IF(main!AT70="","",ROUND(main!AT70*100,6))</f>
        <v/>
      </c>
      <c r="AI67" s="68" t="str">
        <f>IF(main!AU70="","",ROUND(main!AU70*100,6))</f>
        <v/>
      </c>
      <c r="AJ67" s="68" t="str">
        <f>IF(main!AV70="","",ROUND(main!AV70*100,6))</f>
        <v/>
      </c>
      <c r="AK67" s="68" t="str">
        <f>IF(main!AW70="","",ROUND(main!AW70*100,6))</f>
        <v/>
      </c>
      <c r="AL67" s="68" t="str">
        <f>IF(main!AX70="","",ROUND(main!AX70*100,6))</f>
        <v/>
      </c>
      <c r="AM67" s="68" t="str">
        <f>IF(main!AY70="","",ROUND(main!AY70*100,6))</f>
        <v/>
      </c>
      <c r="AN67" s="68" t="str">
        <f>IF(main!AZ70="","",ROUND(main!AZ70*100,6))</f>
        <v/>
      </c>
      <c r="AO67" s="68" t="str">
        <f>IF(main!BA70="","",ROUND(main!BA70*100,6))</f>
        <v/>
      </c>
      <c r="AP67" s="68" t="str">
        <f>IF(main!BB70="","",ROUND(main!BB70*100,6))</f>
        <v/>
      </c>
      <c r="AQ67" s="68" t="str">
        <f>IF(main!BC70="","",ROUND(main!BC70*100,6))</f>
        <v/>
      </c>
      <c r="AR67" s="68" t="str">
        <f>IF(main!BD70="","",ROUND(main!BD70*100,6))</f>
        <v/>
      </c>
      <c r="AS67" s="68" t="str">
        <f>IF(main!BE70="","",ROUND(main!BE70*100,6))</f>
        <v/>
      </c>
      <c r="AT67" s="68" t="str">
        <f>IF(main!BF70="","",ROUND(main!BF70*100,6))</f>
        <v/>
      </c>
      <c r="AU67" s="68" t="str">
        <f>IF(main!BG70="","",ROUND(main!BG70*100,6))</f>
        <v/>
      </c>
      <c r="AV67" s="68" t="str">
        <f>IF(main!BH70="","",ROUND(main!BH70*100,6))</f>
        <v/>
      </c>
      <c r="AW67" s="68" t="str">
        <f>IF(main!BI70="","",ROUND(main!BI70*100,6))</f>
        <v/>
      </c>
      <c r="AX67" s="68" t="str">
        <f>IF(main!BJ70="","",ROUND(main!BJ70*100,6))</f>
        <v/>
      </c>
      <c r="AY67" s="68" t="str">
        <f>IF(main!BK70="","",ROUND(main!BK70*100,6))</f>
        <v/>
      </c>
      <c r="AZ67" s="68" t="str">
        <f>IF(main!BL70="","",ROUND(main!BL70*100,6))</f>
        <v/>
      </c>
      <c r="BA67" s="68" t="str">
        <f>IF(main!BM70="","",ROUND(main!BM70*100,6))</f>
        <v/>
      </c>
      <c r="BB67" s="68" t="str">
        <f>IF(main!BN70="","",ROUND(main!BN70*100,6))</f>
        <v/>
      </c>
      <c r="BC67" s="68" t="str">
        <f>IF(main!BO70="","",ROUND(main!BO70*100,6))</f>
        <v/>
      </c>
      <c r="BD67" s="68" t="str">
        <f>IF(main!BP70="","",ROUND(main!BP70*100,6))</f>
        <v/>
      </c>
      <c r="BE67" s="68" t="str">
        <f>IF(main!BQ70="","",ROUND(main!BQ70*100,6))</f>
        <v/>
      </c>
      <c r="BF67" s="68" t="str">
        <f>IF(main!BR70="","",ROUND(main!BR70*100,6))</f>
        <v/>
      </c>
      <c r="BG67" s="68" t="str">
        <f>IF(main!BS70="","",ROUND(main!BS70*100,6))</f>
        <v/>
      </c>
      <c r="BH67" s="68" t="str">
        <f>IF(main!BT70="","",ROUND(main!BT70*100,6))</f>
        <v/>
      </c>
      <c r="BI67" s="68" t="str">
        <f>IF(main!BU70="","",ROUND(main!BU70*100,6))</f>
        <v/>
      </c>
      <c r="BJ67" s="68" t="str">
        <f>IF(main!BV70="","",ROUND(main!BV70*100,6))</f>
        <v/>
      </c>
      <c r="BK67" s="68" t="str">
        <f>IF(main!BW70="","",ROUND(main!BW70*100,6))</f>
        <v/>
      </c>
      <c r="BL67" s="68" t="str">
        <f>IF(main!BX70="","",ROUND(main!BX70*100,6))</f>
        <v/>
      </c>
      <c r="BM67" s="68" t="str">
        <f>IF(main!BY70="","",ROUND(main!BY70*100,6))</f>
        <v/>
      </c>
      <c r="BN67" s="68" t="str">
        <f>IF(main!BZ70="","",ROUND(main!BZ70*100,6))</f>
        <v/>
      </c>
      <c r="BO67" s="68" t="str">
        <f>IF(main!CA70="","",ROUND(main!CA70*100,6))</f>
        <v/>
      </c>
      <c r="BP67" s="68" t="str">
        <f>IF(main!CB70="","",ROUND(main!CB70*100,6))</f>
        <v/>
      </c>
      <c r="BQ67" s="68" t="str">
        <f>IF(main!CC70="","",ROUND(main!CC70*100,6))</f>
        <v/>
      </c>
      <c r="BR67" s="68" t="str">
        <f>IF(main!CD70="","",ROUND(main!CD70*100,6))</f>
        <v/>
      </c>
      <c r="BS67" s="68" t="str">
        <f>IF(main!CE70="","",ROUND(main!CE70*100,6))</f>
        <v/>
      </c>
      <c r="BT67" s="68" t="str">
        <f>IF(main!CF70="","",ROUND(main!CF70*100,6))</f>
        <v/>
      </c>
      <c r="BU67" s="68" t="str">
        <f>IF(main!CG70="","",ROUND(main!CG70*100,6))</f>
        <v/>
      </c>
      <c r="BV67" s="68" t="str">
        <f>IF(main!CH70="","",ROUND(main!CH70*100,6))</f>
        <v/>
      </c>
      <c r="BW67" s="68" t="str">
        <f>IF(main!CI70="","",ROUND(main!CI70*100,6))</f>
        <v/>
      </c>
      <c r="BX67" s="68" t="str">
        <f>IF(main!CJ70="","",ROUND(main!CJ70*100,6))</f>
        <v/>
      </c>
      <c r="BY67" s="68" t="str">
        <f>IF(main!CK70="","",ROUND(main!CK70*100,6))</f>
        <v/>
      </c>
      <c r="BZ67" s="68" t="str">
        <f>IF(main!CL70="","",ROUND(main!CL70*100,6))</f>
        <v/>
      </c>
      <c r="CA67" s="68" t="str">
        <f>IF(main!CM70="","",ROUND(main!CM70*100,6))</f>
        <v/>
      </c>
      <c r="CB67" s="68" t="str">
        <f>IF(main!CN70="","",ROUND(main!CN70*100,6))</f>
        <v/>
      </c>
      <c r="CC67" s="68" t="str">
        <f>IF(main!CO70="","",ROUND(main!CO70*100,6))</f>
        <v/>
      </c>
    </row>
    <row r="68" spans="1:81" x14ac:dyDescent="0.25">
      <c r="A68" s="65" t="s">
        <v>196</v>
      </c>
      <c r="B68" s="66" t="str">
        <f>main!C71</f>
        <v>Paint</v>
      </c>
      <c r="C68" s="67">
        <f>main!O71</f>
        <v>100000</v>
      </c>
      <c r="D68" s="65" t="s">
        <v>110</v>
      </c>
      <c r="E68" s="68">
        <f t="shared" si="1"/>
        <v>100</v>
      </c>
      <c r="F68" s="68" t="str">
        <f>IF(main!R71="","",ROUND(main!R71*100,6))</f>
        <v/>
      </c>
      <c r="G68" s="68" t="str">
        <f>IF(main!S71="","",ROUND(main!S71*100,6))</f>
        <v/>
      </c>
      <c r="H68" s="68" t="str">
        <f>IF(main!T71="","",ROUND(main!T71*100,6))</f>
        <v/>
      </c>
      <c r="I68" s="68" t="str">
        <f>IF(main!U71="","",ROUND(main!U71*100,6))</f>
        <v/>
      </c>
      <c r="J68" s="68" t="str">
        <f>IF(main!V71="","",ROUND(main!V71*100,6))</f>
        <v/>
      </c>
      <c r="K68" s="68" t="str">
        <f>IF(main!W71="","",ROUND(main!W71*100,6))</f>
        <v/>
      </c>
      <c r="L68" s="68" t="str">
        <f>IF(main!X71="","",ROUND(main!X71*100,6))</f>
        <v/>
      </c>
      <c r="M68" s="68" t="str">
        <f>IF(main!Y71="","",ROUND(main!Y71*100,6))</f>
        <v/>
      </c>
      <c r="N68" s="68" t="str">
        <f>IF(main!Z71="","",ROUND(main!Z71*100,6))</f>
        <v/>
      </c>
      <c r="O68" s="68" t="str">
        <f>IF(main!AA71="","",ROUND(main!AA71*100,6))</f>
        <v/>
      </c>
      <c r="P68" s="68" t="str">
        <f>IF(main!AB71="","",ROUND(main!AB71*100,6))</f>
        <v/>
      </c>
      <c r="Q68" s="68" t="str">
        <f>IF(main!AC71="","",ROUND(main!AC71*100,6))</f>
        <v/>
      </c>
      <c r="R68" s="68" t="str">
        <f>IF(main!AD71="","",ROUND(main!AD71*100,6))</f>
        <v/>
      </c>
      <c r="S68" s="68" t="str">
        <f>IF(main!AE71="","",ROUND(main!AE71*100,6))</f>
        <v/>
      </c>
      <c r="T68" s="68" t="str">
        <f>IF(main!AF71="","",ROUND(main!AF71*100,6))</f>
        <v/>
      </c>
      <c r="U68" s="68" t="str">
        <f>IF(main!AG71="","",ROUND(main!AG71*100,6))</f>
        <v/>
      </c>
      <c r="V68" s="68" t="str">
        <f>IF(main!AH71="","",ROUND(main!AH71*100,6))</f>
        <v/>
      </c>
      <c r="W68" s="68" t="str">
        <f>IF(main!AI71="","",ROUND(main!AI71*100,6))</f>
        <v/>
      </c>
      <c r="X68" s="68" t="str">
        <f>IF(main!AJ71="","",ROUND(main!AJ71*100,6))</f>
        <v/>
      </c>
      <c r="Y68" s="68" t="str">
        <f>IF(main!AK71="","",ROUND(main!AK71*100,6))</f>
        <v/>
      </c>
      <c r="Z68" s="68" t="str">
        <f>IF(main!AL71="","",ROUND(main!AL71*100,6))</f>
        <v/>
      </c>
      <c r="AA68" s="68" t="str">
        <f>IF(main!AM71="","",ROUND(main!AM71*100,6))</f>
        <v/>
      </c>
      <c r="AB68" s="68" t="str">
        <f>IF(main!AN71="","",ROUND(main!AN71*100,6))</f>
        <v/>
      </c>
      <c r="AC68" s="68" t="str">
        <f>IF(main!AO71="","",ROUND(main!AO71*100,6))</f>
        <v/>
      </c>
      <c r="AD68" s="68" t="str">
        <f>IF(main!AP71="","",ROUND(main!AP71*100,6))</f>
        <v/>
      </c>
      <c r="AE68" s="68" t="str">
        <f>IF(main!AQ71="","",ROUND(main!AQ71*100,6))</f>
        <v/>
      </c>
      <c r="AF68" s="68" t="str">
        <f>IF(main!AR71="","",ROUND(main!AR71*100,6))</f>
        <v/>
      </c>
      <c r="AG68" s="68" t="str">
        <f>IF(main!AS71="","",ROUND(main!AS71*100,6))</f>
        <v/>
      </c>
      <c r="AH68" s="68" t="str">
        <f>IF(main!AT71="","",ROUND(main!AT71*100,6))</f>
        <v/>
      </c>
      <c r="AI68" s="68" t="str">
        <f>IF(main!AU71="","",ROUND(main!AU71*100,6))</f>
        <v/>
      </c>
      <c r="AJ68" s="68" t="str">
        <f>IF(main!AV71="","",ROUND(main!AV71*100,6))</f>
        <v/>
      </c>
      <c r="AK68" s="68" t="str">
        <f>IF(main!AW71="","",ROUND(main!AW71*100,6))</f>
        <v/>
      </c>
      <c r="AL68" s="68" t="str">
        <f>IF(main!AX71="","",ROUND(main!AX71*100,6))</f>
        <v/>
      </c>
      <c r="AM68" s="68" t="str">
        <f>IF(main!AY71="","",ROUND(main!AY71*100,6))</f>
        <v/>
      </c>
      <c r="AN68" s="68" t="str">
        <f>IF(main!AZ71="","",ROUND(main!AZ71*100,6))</f>
        <v/>
      </c>
      <c r="AO68" s="68" t="str">
        <f>IF(main!BA71="","",ROUND(main!BA71*100,6))</f>
        <v/>
      </c>
      <c r="AP68" s="68" t="str">
        <f>IF(main!BB71="","",ROUND(main!BB71*100,6))</f>
        <v/>
      </c>
      <c r="AQ68" s="68" t="str">
        <f>IF(main!BC71="","",ROUND(main!BC71*100,6))</f>
        <v/>
      </c>
      <c r="AR68" s="68" t="str">
        <f>IF(main!BD71="","",ROUND(main!BD71*100,6))</f>
        <v/>
      </c>
      <c r="AS68" s="68" t="str">
        <f>IF(main!BE71="","",ROUND(main!BE71*100,6))</f>
        <v/>
      </c>
      <c r="AT68" s="68">
        <f>IF(main!BF71="","",ROUND(main!BF71*100,6))</f>
        <v>22.222221999999999</v>
      </c>
      <c r="AU68" s="68">
        <f>IF(main!BG71="","",ROUND(main!BG71*100,6))</f>
        <v>77.777777999999998</v>
      </c>
      <c r="AV68" s="68" t="str">
        <f>IF(main!BH71="","",ROUND(main!BH71*100,6))</f>
        <v/>
      </c>
      <c r="AW68" s="68" t="str">
        <f>IF(main!BI71="","",ROUND(main!BI71*100,6))</f>
        <v/>
      </c>
      <c r="AX68" s="68" t="str">
        <f>IF(main!BJ71="","",ROUND(main!BJ71*100,6))</f>
        <v/>
      </c>
      <c r="AY68" s="68" t="str">
        <f>IF(main!BK71="","",ROUND(main!BK71*100,6))</f>
        <v/>
      </c>
      <c r="AZ68" s="68" t="str">
        <f>IF(main!BL71="","",ROUND(main!BL71*100,6))</f>
        <v/>
      </c>
      <c r="BA68" s="68" t="str">
        <f>IF(main!BM71="","",ROUND(main!BM71*100,6))</f>
        <v/>
      </c>
      <c r="BB68" s="68" t="str">
        <f>IF(main!BN71="","",ROUND(main!BN71*100,6))</f>
        <v/>
      </c>
      <c r="BC68" s="68" t="str">
        <f>IF(main!BO71="","",ROUND(main!BO71*100,6))</f>
        <v/>
      </c>
      <c r="BD68" s="68" t="str">
        <f>IF(main!BP71="","",ROUND(main!BP71*100,6))</f>
        <v/>
      </c>
      <c r="BE68" s="68" t="str">
        <f>IF(main!BQ71="","",ROUND(main!BQ71*100,6))</f>
        <v/>
      </c>
      <c r="BF68" s="68" t="str">
        <f>IF(main!BR71="","",ROUND(main!BR71*100,6))</f>
        <v/>
      </c>
      <c r="BG68" s="68" t="str">
        <f>IF(main!BS71="","",ROUND(main!BS71*100,6))</f>
        <v/>
      </c>
      <c r="BH68" s="68" t="str">
        <f>IF(main!BT71="","",ROUND(main!BT71*100,6))</f>
        <v/>
      </c>
      <c r="BI68" s="68" t="str">
        <f>IF(main!BU71="","",ROUND(main!BU71*100,6))</f>
        <v/>
      </c>
      <c r="BJ68" s="68" t="str">
        <f>IF(main!BV71="","",ROUND(main!BV71*100,6))</f>
        <v/>
      </c>
      <c r="BK68" s="68" t="str">
        <f>IF(main!BW71="","",ROUND(main!BW71*100,6))</f>
        <v/>
      </c>
      <c r="BL68" s="68" t="str">
        <f>IF(main!BX71="","",ROUND(main!BX71*100,6))</f>
        <v/>
      </c>
      <c r="BM68" s="68" t="str">
        <f>IF(main!BY71="","",ROUND(main!BY71*100,6))</f>
        <v/>
      </c>
      <c r="BN68" s="68" t="str">
        <f>IF(main!BZ71="","",ROUND(main!BZ71*100,6))</f>
        <v/>
      </c>
      <c r="BO68" s="68" t="str">
        <f>IF(main!CA71="","",ROUND(main!CA71*100,6))</f>
        <v/>
      </c>
      <c r="BP68" s="68" t="str">
        <f>IF(main!CB71="","",ROUND(main!CB71*100,6))</f>
        <v/>
      </c>
      <c r="BQ68" s="68" t="str">
        <f>IF(main!CC71="","",ROUND(main!CC71*100,6))</f>
        <v/>
      </c>
      <c r="BR68" s="68" t="str">
        <f>IF(main!CD71="","",ROUND(main!CD71*100,6))</f>
        <v/>
      </c>
      <c r="BS68" s="68" t="str">
        <f>IF(main!CE71="","",ROUND(main!CE71*100,6))</f>
        <v/>
      </c>
      <c r="BT68" s="68" t="str">
        <f>IF(main!CF71="","",ROUND(main!CF71*100,6))</f>
        <v/>
      </c>
      <c r="BU68" s="68" t="str">
        <f>IF(main!CG71="","",ROUND(main!CG71*100,6))</f>
        <v/>
      </c>
      <c r="BV68" s="68" t="str">
        <f>IF(main!CH71="","",ROUND(main!CH71*100,6))</f>
        <v/>
      </c>
      <c r="BW68" s="68" t="str">
        <f>IF(main!CI71="","",ROUND(main!CI71*100,6))</f>
        <v/>
      </c>
      <c r="BX68" s="68" t="str">
        <f>IF(main!CJ71="","",ROUND(main!CJ71*100,6))</f>
        <v/>
      </c>
      <c r="BY68" s="68" t="str">
        <f>IF(main!CK71="","",ROUND(main!CK71*100,6))</f>
        <v/>
      </c>
      <c r="BZ68" s="68" t="str">
        <f>IF(main!CL71="","",ROUND(main!CL71*100,6))</f>
        <v/>
      </c>
      <c r="CA68" s="68" t="str">
        <f>IF(main!CM71="","",ROUND(main!CM71*100,6))</f>
        <v/>
      </c>
      <c r="CB68" s="68" t="str">
        <f>IF(main!CN71="","",ROUND(main!CN71*100,6))</f>
        <v/>
      </c>
      <c r="CC68" s="68" t="str">
        <f>IF(main!CO71="","",ROUND(main!CO71*100,6))</f>
        <v/>
      </c>
    </row>
    <row r="69" spans="1:81" x14ac:dyDescent="0.25">
      <c r="A69" s="65" t="s">
        <v>196</v>
      </c>
      <c r="B69" s="66" t="str">
        <f>main!C71</f>
        <v>Paint</v>
      </c>
      <c r="C69" s="67">
        <f>main!O71</f>
        <v>100000</v>
      </c>
      <c r="D69" s="65" t="s">
        <v>111</v>
      </c>
      <c r="E69" s="68" t="str">
        <f t="shared" si="1"/>
        <v/>
      </c>
      <c r="F69" s="68" t="str">
        <f>IF(main!R72="","",ROUND(main!R72*100,6))</f>
        <v/>
      </c>
      <c r="G69" s="68" t="str">
        <f>IF(main!S72="","",ROUND(main!S72*100,6))</f>
        <v/>
      </c>
      <c r="H69" s="68" t="str">
        <f>IF(main!T72="","",ROUND(main!T72*100,6))</f>
        <v/>
      </c>
      <c r="I69" s="68" t="str">
        <f>IF(main!U72="","",ROUND(main!U72*100,6))</f>
        <v/>
      </c>
      <c r="J69" s="68" t="str">
        <f>IF(main!V72="","",ROUND(main!V72*100,6))</f>
        <v/>
      </c>
      <c r="K69" s="68" t="str">
        <f>IF(main!W72="","",ROUND(main!W72*100,6))</f>
        <v/>
      </c>
      <c r="L69" s="68" t="str">
        <f>IF(main!X72="","",ROUND(main!X72*100,6))</f>
        <v/>
      </c>
      <c r="M69" s="68" t="str">
        <f>IF(main!Y72="","",ROUND(main!Y72*100,6))</f>
        <v/>
      </c>
      <c r="N69" s="68" t="str">
        <f>IF(main!Z72="","",ROUND(main!Z72*100,6))</f>
        <v/>
      </c>
      <c r="O69" s="68" t="str">
        <f>IF(main!AA72="","",ROUND(main!AA72*100,6))</f>
        <v/>
      </c>
      <c r="P69" s="68" t="str">
        <f>IF(main!AB72="","",ROUND(main!AB72*100,6))</f>
        <v/>
      </c>
      <c r="Q69" s="68" t="str">
        <f>IF(main!AC72="","",ROUND(main!AC72*100,6))</f>
        <v/>
      </c>
      <c r="R69" s="68" t="str">
        <f>IF(main!AD72="","",ROUND(main!AD72*100,6))</f>
        <v/>
      </c>
      <c r="S69" s="68" t="str">
        <f>IF(main!AE72="","",ROUND(main!AE72*100,6))</f>
        <v/>
      </c>
      <c r="T69" s="68" t="str">
        <f>IF(main!AF72="","",ROUND(main!AF72*100,6))</f>
        <v/>
      </c>
      <c r="U69" s="68" t="str">
        <f>IF(main!AG72="","",ROUND(main!AG72*100,6))</f>
        <v/>
      </c>
      <c r="V69" s="68" t="str">
        <f>IF(main!AH72="","",ROUND(main!AH72*100,6))</f>
        <v/>
      </c>
      <c r="W69" s="68" t="str">
        <f>IF(main!AI72="","",ROUND(main!AI72*100,6))</f>
        <v/>
      </c>
      <c r="X69" s="68" t="str">
        <f>IF(main!AJ72="","",ROUND(main!AJ72*100,6))</f>
        <v/>
      </c>
      <c r="Y69" s="68" t="str">
        <f>IF(main!AK72="","",ROUND(main!AK72*100,6))</f>
        <v/>
      </c>
      <c r="Z69" s="68" t="str">
        <f>IF(main!AL72="","",ROUND(main!AL72*100,6))</f>
        <v/>
      </c>
      <c r="AA69" s="68" t="str">
        <f>IF(main!AM72="","",ROUND(main!AM72*100,6))</f>
        <v/>
      </c>
      <c r="AB69" s="68" t="str">
        <f>IF(main!AN72="","",ROUND(main!AN72*100,6))</f>
        <v/>
      </c>
      <c r="AC69" s="68" t="str">
        <f>IF(main!AO72="","",ROUND(main!AO72*100,6))</f>
        <v/>
      </c>
      <c r="AD69" s="68" t="str">
        <f>IF(main!AP72="","",ROUND(main!AP72*100,6))</f>
        <v/>
      </c>
      <c r="AE69" s="68" t="str">
        <f>IF(main!AQ72="","",ROUND(main!AQ72*100,6))</f>
        <v/>
      </c>
      <c r="AF69" s="68" t="str">
        <f>IF(main!AR72="","",ROUND(main!AR72*100,6))</f>
        <v/>
      </c>
      <c r="AG69" s="68" t="str">
        <f>IF(main!AS72="","",ROUND(main!AS72*100,6))</f>
        <v/>
      </c>
      <c r="AH69" s="68" t="str">
        <f>IF(main!AT72="","",ROUND(main!AT72*100,6))</f>
        <v/>
      </c>
      <c r="AI69" s="68" t="str">
        <f>IF(main!AU72="","",ROUND(main!AU72*100,6))</f>
        <v/>
      </c>
      <c r="AJ69" s="68" t="str">
        <f>IF(main!AV72="","",ROUND(main!AV72*100,6))</f>
        <v/>
      </c>
      <c r="AK69" s="68" t="str">
        <f>IF(main!AW72="","",ROUND(main!AW72*100,6))</f>
        <v/>
      </c>
      <c r="AL69" s="68" t="str">
        <f>IF(main!AX72="","",ROUND(main!AX72*100,6))</f>
        <v/>
      </c>
      <c r="AM69" s="68" t="str">
        <f>IF(main!AY72="","",ROUND(main!AY72*100,6))</f>
        <v/>
      </c>
      <c r="AN69" s="68" t="str">
        <f>IF(main!AZ72="","",ROUND(main!AZ72*100,6))</f>
        <v/>
      </c>
      <c r="AO69" s="68" t="str">
        <f>IF(main!BA72="","",ROUND(main!BA72*100,6))</f>
        <v/>
      </c>
      <c r="AP69" s="68" t="str">
        <f>IF(main!BB72="","",ROUND(main!BB72*100,6))</f>
        <v/>
      </c>
      <c r="AQ69" s="68" t="str">
        <f>IF(main!BC72="","",ROUND(main!BC72*100,6))</f>
        <v/>
      </c>
      <c r="AR69" s="68" t="str">
        <f>IF(main!BD72="","",ROUND(main!BD72*100,6))</f>
        <v/>
      </c>
      <c r="AS69" s="68" t="str">
        <f>IF(main!BE72="","",ROUND(main!BE72*100,6))</f>
        <v/>
      </c>
      <c r="AT69" s="68" t="str">
        <f>IF(main!BF72="","",ROUND(main!BF72*100,6))</f>
        <v/>
      </c>
      <c r="AU69" s="68" t="str">
        <f>IF(main!BG72="","",ROUND(main!BG72*100,6))</f>
        <v/>
      </c>
      <c r="AV69" s="68" t="str">
        <f>IF(main!BH72="","",ROUND(main!BH72*100,6))</f>
        <v/>
      </c>
      <c r="AW69" s="68" t="str">
        <f>IF(main!BI72="","",ROUND(main!BI72*100,6))</f>
        <v/>
      </c>
      <c r="AX69" s="68" t="str">
        <f>IF(main!BJ72="","",ROUND(main!BJ72*100,6))</f>
        <v/>
      </c>
      <c r="AY69" s="68" t="str">
        <f>IF(main!BK72="","",ROUND(main!BK72*100,6))</f>
        <v/>
      </c>
      <c r="AZ69" s="68" t="str">
        <f>IF(main!BL72="","",ROUND(main!BL72*100,6))</f>
        <v/>
      </c>
      <c r="BA69" s="68" t="str">
        <f>IF(main!BM72="","",ROUND(main!BM72*100,6))</f>
        <v/>
      </c>
      <c r="BB69" s="68" t="str">
        <f>IF(main!BN72="","",ROUND(main!BN72*100,6))</f>
        <v/>
      </c>
      <c r="BC69" s="68" t="str">
        <f>IF(main!BO72="","",ROUND(main!BO72*100,6))</f>
        <v/>
      </c>
      <c r="BD69" s="68" t="str">
        <f>IF(main!BP72="","",ROUND(main!BP72*100,6))</f>
        <v/>
      </c>
      <c r="BE69" s="68" t="str">
        <f>IF(main!BQ72="","",ROUND(main!BQ72*100,6))</f>
        <v/>
      </c>
      <c r="BF69" s="68" t="str">
        <f>IF(main!BR72="","",ROUND(main!BR72*100,6))</f>
        <v/>
      </c>
      <c r="BG69" s="68" t="str">
        <f>IF(main!BS72="","",ROUND(main!BS72*100,6))</f>
        <v/>
      </c>
      <c r="BH69" s="68" t="str">
        <f>IF(main!BT72="","",ROUND(main!BT72*100,6))</f>
        <v/>
      </c>
      <c r="BI69" s="68" t="str">
        <f>IF(main!BU72="","",ROUND(main!BU72*100,6))</f>
        <v/>
      </c>
      <c r="BJ69" s="68" t="str">
        <f>IF(main!BV72="","",ROUND(main!BV72*100,6))</f>
        <v/>
      </c>
      <c r="BK69" s="68" t="str">
        <f>IF(main!BW72="","",ROUND(main!BW72*100,6))</f>
        <v/>
      </c>
      <c r="BL69" s="68" t="str">
        <f>IF(main!BX72="","",ROUND(main!BX72*100,6))</f>
        <v/>
      </c>
      <c r="BM69" s="68" t="str">
        <f>IF(main!BY72="","",ROUND(main!BY72*100,6))</f>
        <v/>
      </c>
      <c r="BN69" s="68" t="str">
        <f>IF(main!BZ72="","",ROUND(main!BZ72*100,6))</f>
        <v/>
      </c>
      <c r="BO69" s="68" t="str">
        <f>IF(main!CA72="","",ROUND(main!CA72*100,6))</f>
        <v/>
      </c>
      <c r="BP69" s="68" t="str">
        <f>IF(main!CB72="","",ROUND(main!CB72*100,6))</f>
        <v/>
      </c>
      <c r="BQ69" s="68" t="str">
        <f>IF(main!CC72="","",ROUND(main!CC72*100,6))</f>
        <v/>
      </c>
      <c r="BR69" s="68" t="str">
        <f>IF(main!CD72="","",ROUND(main!CD72*100,6))</f>
        <v/>
      </c>
      <c r="BS69" s="68" t="str">
        <f>IF(main!CE72="","",ROUND(main!CE72*100,6))</f>
        <v/>
      </c>
      <c r="BT69" s="68" t="str">
        <f>IF(main!CF72="","",ROUND(main!CF72*100,6))</f>
        <v/>
      </c>
      <c r="BU69" s="68" t="str">
        <f>IF(main!CG72="","",ROUND(main!CG72*100,6))</f>
        <v/>
      </c>
      <c r="BV69" s="68" t="str">
        <f>IF(main!CH72="","",ROUND(main!CH72*100,6))</f>
        <v/>
      </c>
      <c r="BW69" s="68" t="str">
        <f>IF(main!CI72="","",ROUND(main!CI72*100,6))</f>
        <v/>
      </c>
      <c r="BX69" s="68" t="str">
        <f>IF(main!CJ72="","",ROUND(main!CJ72*100,6))</f>
        <v/>
      </c>
      <c r="BY69" s="68" t="str">
        <f>IF(main!CK72="","",ROUND(main!CK72*100,6))</f>
        <v/>
      </c>
      <c r="BZ69" s="68" t="str">
        <f>IF(main!CL72="","",ROUND(main!CL72*100,6))</f>
        <v/>
      </c>
      <c r="CA69" s="68" t="str">
        <f>IF(main!CM72="","",ROUND(main!CM72*100,6))</f>
        <v/>
      </c>
      <c r="CB69" s="68" t="str">
        <f>IF(main!CN72="","",ROUND(main!CN72*100,6))</f>
        <v/>
      </c>
      <c r="CC69" s="68" t="str">
        <f>IF(main!CO72="","",ROUND(main!CO72*100,6))</f>
        <v/>
      </c>
    </row>
    <row r="70" spans="1:81" x14ac:dyDescent="0.25">
      <c r="A70" s="65" t="s">
        <v>199</v>
      </c>
      <c r="B70" s="66" t="str">
        <f>main!C73</f>
        <v>ห้องศาสนา</v>
      </c>
      <c r="C70" s="67">
        <f>main!O73</f>
        <v>300000</v>
      </c>
      <c r="D70" s="65" t="s">
        <v>110</v>
      </c>
      <c r="E70" s="68">
        <f t="shared" si="1"/>
        <v>100.000001</v>
      </c>
      <c r="F70" s="68" t="str">
        <f>IF(main!R73="","",ROUND(main!R73*100,6))</f>
        <v/>
      </c>
      <c r="G70" s="68" t="str">
        <f>IF(main!S73="","",ROUND(main!S73*100,6))</f>
        <v/>
      </c>
      <c r="H70" s="68" t="str">
        <f>IF(main!T73="","",ROUND(main!T73*100,6))</f>
        <v/>
      </c>
      <c r="I70" s="68" t="str">
        <f>IF(main!U73="","",ROUND(main!U73*100,6))</f>
        <v/>
      </c>
      <c r="J70" s="68" t="str">
        <f>IF(main!V73="","",ROUND(main!V73*100,6))</f>
        <v/>
      </c>
      <c r="K70" s="68" t="str">
        <f>IF(main!W73="","",ROUND(main!W73*100,6))</f>
        <v/>
      </c>
      <c r="L70" s="68" t="str">
        <f>IF(main!X73="","",ROUND(main!X73*100,6))</f>
        <v/>
      </c>
      <c r="M70" s="68" t="str">
        <f>IF(main!Y73="","",ROUND(main!Y73*100,6))</f>
        <v/>
      </c>
      <c r="N70" s="68" t="str">
        <f>IF(main!Z73="","",ROUND(main!Z73*100,6))</f>
        <v/>
      </c>
      <c r="O70" s="68" t="str">
        <f>IF(main!AA73="","",ROUND(main!AA73*100,6))</f>
        <v/>
      </c>
      <c r="P70" s="68" t="str">
        <f>IF(main!AB73="","",ROUND(main!AB73*100,6))</f>
        <v/>
      </c>
      <c r="Q70" s="68" t="str">
        <f>IF(main!AC73="","",ROUND(main!AC73*100,6))</f>
        <v/>
      </c>
      <c r="R70" s="68" t="str">
        <f>IF(main!AD73="","",ROUND(main!AD73*100,6))</f>
        <v/>
      </c>
      <c r="S70" s="68" t="str">
        <f>IF(main!AE73="","",ROUND(main!AE73*100,6))</f>
        <v/>
      </c>
      <c r="T70" s="68" t="str">
        <f>IF(main!AF73="","",ROUND(main!AF73*100,6))</f>
        <v/>
      </c>
      <c r="U70" s="68" t="str">
        <f>IF(main!AG73="","",ROUND(main!AG73*100,6))</f>
        <v/>
      </c>
      <c r="V70" s="68" t="str">
        <f>IF(main!AH73="","",ROUND(main!AH73*100,6))</f>
        <v/>
      </c>
      <c r="W70" s="68" t="str">
        <f>IF(main!AI73="","",ROUND(main!AI73*100,6))</f>
        <v/>
      </c>
      <c r="X70" s="68" t="str">
        <f>IF(main!AJ73="","",ROUND(main!AJ73*100,6))</f>
        <v/>
      </c>
      <c r="Y70" s="68" t="str">
        <f>IF(main!AK73="","",ROUND(main!AK73*100,6))</f>
        <v/>
      </c>
      <c r="Z70" s="68" t="str">
        <f>IF(main!AL73="","",ROUND(main!AL73*100,6))</f>
        <v/>
      </c>
      <c r="AA70" s="68" t="str">
        <f>IF(main!AM73="","",ROUND(main!AM73*100,6))</f>
        <v/>
      </c>
      <c r="AB70" s="68" t="str">
        <f>IF(main!AN73="","",ROUND(main!AN73*100,6))</f>
        <v/>
      </c>
      <c r="AC70" s="68" t="str">
        <f>IF(main!AO73="","",ROUND(main!AO73*100,6))</f>
        <v/>
      </c>
      <c r="AD70" s="68" t="str">
        <f>IF(main!AP73="","",ROUND(main!AP73*100,6))</f>
        <v/>
      </c>
      <c r="AE70" s="68" t="str">
        <f>IF(main!AQ73="","",ROUND(main!AQ73*100,6))</f>
        <v/>
      </c>
      <c r="AF70" s="68" t="str">
        <f>IF(main!AR73="","",ROUND(main!AR73*100,6))</f>
        <v/>
      </c>
      <c r="AG70" s="68" t="str">
        <f>IF(main!AS73="","",ROUND(main!AS73*100,6))</f>
        <v/>
      </c>
      <c r="AH70" s="68" t="str">
        <f>IF(main!AT73="","",ROUND(main!AT73*100,6))</f>
        <v/>
      </c>
      <c r="AI70" s="68" t="str">
        <f>IF(main!AU73="","",ROUND(main!AU73*100,6))</f>
        <v/>
      </c>
      <c r="AJ70" s="68" t="str">
        <f>IF(main!AV73="","",ROUND(main!AV73*100,6))</f>
        <v/>
      </c>
      <c r="AK70" s="68" t="str">
        <f>IF(main!AW73="","",ROUND(main!AW73*100,6))</f>
        <v/>
      </c>
      <c r="AL70" s="68" t="str">
        <f>IF(main!AX73="","",ROUND(main!AX73*100,6))</f>
        <v/>
      </c>
      <c r="AM70" s="68" t="str">
        <f>IF(main!AY73="","",ROUND(main!AY73*100,6))</f>
        <v/>
      </c>
      <c r="AN70" s="68" t="str">
        <f>IF(main!AZ73="","",ROUND(main!AZ73*100,6))</f>
        <v/>
      </c>
      <c r="AO70" s="68" t="str">
        <f>IF(main!BA73="","",ROUND(main!BA73*100,6))</f>
        <v/>
      </c>
      <c r="AP70" s="68" t="str">
        <f>IF(main!BB73="","",ROUND(main!BB73*100,6))</f>
        <v/>
      </c>
      <c r="AQ70" s="68">
        <f>IF(main!BC73="","",ROUND(main!BC73*100,6))</f>
        <v>9.5238099999999992</v>
      </c>
      <c r="AR70" s="68">
        <f>IF(main!BD73="","",ROUND(main!BD73*100,6))</f>
        <v>33.333333000000003</v>
      </c>
      <c r="AS70" s="68">
        <f>IF(main!BE73="","",ROUND(main!BE73*100,6))</f>
        <v>28.571428999999998</v>
      </c>
      <c r="AT70" s="68">
        <f>IF(main!BF73="","",ROUND(main!BF73*100,6))</f>
        <v>16.666667</v>
      </c>
      <c r="AU70" s="68">
        <f>IF(main!BG73="","",ROUND(main!BG73*100,6))</f>
        <v>11.904762</v>
      </c>
      <c r="AV70" s="68" t="str">
        <f>IF(main!BH73="","",ROUND(main!BH73*100,6))</f>
        <v/>
      </c>
      <c r="AW70" s="68" t="str">
        <f>IF(main!BI73="","",ROUND(main!BI73*100,6))</f>
        <v/>
      </c>
      <c r="AX70" s="68" t="str">
        <f>IF(main!BJ73="","",ROUND(main!BJ73*100,6))</f>
        <v/>
      </c>
      <c r="AY70" s="68" t="str">
        <f>IF(main!BK73="","",ROUND(main!BK73*100,6))</f>
        <v/>
      </c>
      <c r="AZ70" s="68" t="str">
        <f>IF(main!BL73="","",ROUND(main!BL73*100,6))</f>
        <v/>
      </c>
      <c r="BA70" s="68" t="str">
        <f>IF(main!BM73="","",ROUND(main!BM73*100,6))</f>
        <v/>
      </c>
      <c r="BB70" s="68" t="str">
        <f>IF(main!BN73="","",ROUND(main!BN73*100,6))</f>
        <v/>
      </c>
      <c r="BC70" s="68" t="str">
        <f>IF(main!BO73="","",ROUND(main!BO73*100,6))</f>
        <v/>
      </c>
      <c r="BD70" s="68" t="str">
        <f>IF(main!BP73="","",ROUND(main!BP73*100,6))</f>
        <v/>
      </c>
      <c r="BE70" s="68" t="str">
        <f>IF(main!BQ73="","",ROUND(main!BQ73*100,6))</f>
        <v/>
      </c>
      <c r="BF70" s="68" t="str">
        <f>IF(main!BR73="","",ROUND(main!BR73*100,6))</f>
        <v/>
      </c>
      <c r="BG70" s="68" t="str">
        <f>IF(main!BS73="","",ROUND(main!BS73*100,6))</f>
        <v/>
      </c>
      <c r="BH70" s="68" t="str">
        <f>IF(main!BT73="","",ROUND(main!BT73*100,6))</f>
        <v/>
      </c>
      <c r="BI70" s="68" t="str">
        <f>IF(main!BU73="","",ROUND(main!BU73*100,6))</f>
        <v/>
      </c>
      <c r="BJ70" s="68" t="str">
        <f>IF(main!BV73="","",ROUND(main!BV73*100,6))</f>
        <v/>
      </c>
      <c r="BK70" s="68" t="str">
        <f>IF(main!BW73="","",ROUND(main!BW73*100,6))</f>
        <v/>
      </c>
      <c r="BL70" s="68" t="str">
        <f>IF(main!BX73="","",ROUND(main!BX73*100,6))</f>
        <v/>
      </c>
      <c r="BM70" s="68" t="str">
        <f>IF(main!BY73="","",ROUND(main!BY73*100,6))</f>
        <v/>
      </c>
      <c r="BN70" s="68" t="str">
        <f>IF(main!BZ73="","",ROUND(main!BZ73*100,6))</f>
        <v/>
      </c>
      <c r="BO70" s="68" t="str">
        <f>IF(main!CA73="","",ROUND(main!CA73*100,6))</f>
        <v/>
      </c>
      <c r="BP70" s="68" t="str">
        <f>IF(main!CB73="","",ROUND(main!CB73*100,6))</f>
        <v/>
      </c>
      <c r="BQ70" s="68" t="str">
        <f>IF(main!CC73="","",ROUND(main!CC73*100,6))</f>
        <v/>
      </c>
      <c r="BR70" s="68" t="str">
        <f>IF(main!CD73="","",ROUND(main!CD73*100,6))</f>
        <v/>
      </c>
      <c r="BS70" s="68" t="str">
        <f>IF(main!CE73="","",ROUND(main!CE73*100,6))</f>
        <v/>
      </c>
      <c r="BT70" s="68" t="str">
        <f>IF(main!CF73="","",ROUND(main!CF73*100,6))</f>
        <v/>
      </c>
      <c r="BU70" s="68" t="str">
        <f>IF(main!CG73="","",ROUND(main!CG73*100,6))</f>
        <v/>
      </c>
      <c r="BV70" s="68" t="str">
        <f>IF(main!CH73="","",ROUND(main!CH73*100,6))</f>
        <v/>
      </c>
      <c r="BW70" s="68" t="str">
        <f>IF(main!CI73="","",ROUND(main!CI73*100,6))</f>
        <v/>
      </c>
      <c r="BX70" s="68" t="str">
        <f>IF(main!CJ73="","",ROUND(main!CJ73*100,6))</f>
        <v/>
      </c>
      <c r="BY70" s="68" t="str">
        <f>IF(main!CK73="","",ROUND(main!CK73*100,6))</f>
        <v/>
      </c>
      <c r="BZ70" s="68" t="str">
        <f>IF(main!CL73="","",ROUND(main!CL73*100,6))</f>
        <v/>
      </c>
      <c r="CA70" s="68" t="str">
        <f>IF(main!CM73="","",ROUND(main!CM73*100,6))</f>
        <v/>
      </c>
      <c r="CB70" s="68" t="str">
        <f>IF(main!CN73="","",ROUND(main!CN73*100,6))</f>
        <v/>
      </c>
      <c r="CC70" s="68" t="str">
        <f>IF(main!CO73="","",ROUND(main!CO73*100,6))</f>
        <v/>
      </c>
    </row>
    <row r="71" spans="1:81" x14ac:dyDescent="0.25">
      <c r="A71" s="65" t="s">
        <v>199</v>
      </c>
      <c r="B71" s="66" t="str">
        <f>main!C73</f>
        <v>ห้องศาสนา</v>
      </c>
      <c r="C71" s="67">
        <f>main!O73</f>
        <v>300000</v>
      </c>
      <c r="D71" s="65" t="s">
        <v>111</v>
      </c>
      <c r="E71" s="68" t="str">
        <f t="shared" si="1"/>
        <v/>
      </c>
      <c r="F71" s="68" t="str">
        <f>IF(main!R74="","",ROUND(main!R74*100,6))</f>
        <v/>
      </c>
      <c r="G71" s="68" t="str">
        <f>IF(main!S74="","",ROUND(main!S74*100,6))</f>
        <v/>
      </c>
      <c r="H71" s="68" t="str">
        <f>IF(main!T74="","",ROUND(main!T74*100,6))</f>
        <v/>
      </c>
      <c r="I71" s="68" t="str">
        <f>IF(main!U74="","",ROUND(main!U74*100,6))</f>
        <v/>
      </c>
      <c r="J71" s="68" t="str">
        <f>IF(main!V74="","",ROUND(main!V74*100,6))</f>
        <v/>
      </c>
      <c r="K71" s="68" t="str">
        <f>IF(main!W74="","",ROUND(main!W74*100,6))</f>
        <v/>
      </c>
      <c r="L71" s="68" t="str">
        <f>IF(main!X74="","",ROUND(main!X74*100,6))</f>
        <v/>
      </c>
      <c r="M71" s="68" t="str">
        <f>IF(main!Y74="","",ROUND(main!Y74*100,6))</f>
        <v/>
      </c>
      <c r="N71" s="68" t="str">
        <f>IF(main!Z74="","",ROUND(main!Z74*100,6))</f>
        <v/>
      </c>
      <c r="O71" s="68" t="str">
        <f>IF(main!AA74="","",ROUND(main!AA74*100,6))</f>
        <v/>
      </c>
      <c r="P71" s="68" t="str">
        <f>IF(main!AB74="","",ROUND(main!AB74*100,6))</f>
        <v/>
      </c>
      <c r="Q71" s="68" t="str">
        <f>IF(main!AC74="","",ROUND(main!AC74*100,6))</f>
        <v/>
      </c>
      <c r="R71" s="68" t="str">
        <f>IF(main!AD74="","",ROUND(main!AD74*100,6))</f>
        <v/>
      </c>
      <c r="S71" s="68" t="str">
        <f>IF(main!AE74="","",ROUND(main!AE74*100,6))</f>
        <v/>
      </c>
      <c r="T71" s="68" t="str">
        <f>IF(main!AF74="","",ROUND(main!AF74*100,6))</f>
        <v/>
      </c>
      <c r="U71" s="68" t="str">
        <f>IF(main!AG74="","",ROUND(main!AG74*100,6))</f>
        <v/>
      </c>
      <c r="V71" s="68" t="str">
        <f>IF(main!AH74="","",ROUND(main!AH74*100,6))</f>
        <v/>
      </c>
      <c r="W71" s="68" t="str">
        <f>IF(main!AI74="","",ROUND(main!AI74*100,6))</f>
        <v/>
      </c>
      <c r="X71" s="68" t="str">
        <f>IF(main!AJ74="","",ROUND(main!AJ74*100,6))</f>
        <v/>
      </c>
      <c r="Y71" s="68" t="str">
        <f>IF(main!AK74="","",ROUND(main!AK74*100,6))</f>
        <v/>
      </c>
      <c r="Z71" s="68" t="str">
        <f>IF(main!AL74="","",ROUND(main!AL74*100,6))</f>
        <v/>
      </c>
      <c r="AA71" s="68" t="str">
        <f>IF(main!AM74="","",ROUND(main!AM74*100,6))</f>
        <v/>
      </c>
      <c r="AB71" s="68" t="str">
        <f>IF(main!AN74="","",ROUND(main!AN74*100,6))</f>
        <v/>
      </c>
      <c r="AC71" s="68" t="str">
        <f>IF(main!AO74="","",ROUND(main!AO74*100,6))</f>
        <v/>
      </c>
      <c r="AD71" s="68" t="str">
        <f>IF(main!AP74="","",ROUND(main!AP74*100,6))</f>
        <v/>
      </c>
      <c r="AE71" s="68" t="str">
        <f>IF(main!AQ74="","",ROUND(main!AQ74*100,6))</f>
        <v/>
      </c>
      <c r="AF71" s="68" t="str">
        <f>IF(main!AR74="","",ROUND(main!AR74*100,6))</f>
        <v/>
      </c>
      <c r="AG71" s="68" t="str">
        <f>IF(main!AS74="","",ROUND(main!AS74*100,6))</f>
        <v/>
      </c>
      <c r="AH71" s="68" t="str">
        <f>IF(main!AT74="","",ROUND(main!AT74*100,6))</f>
        <v/>
      </c>
      <c r="AI71" s="68" t="str">
        <f>IF(main!AU74="","",ROUND(main!AU74*100,6))</f>
        <v/>
      </c>
      <c r="AJ71" s="68" t="str">
        <f>IF(main!AV74="","",ROUND(main!AV74*100,6))</f>
        <v/>
      </c>
      <c r="AK71" s="68" t="str">
        <f>IF(main!AW74="","",ROUND(main!AW74*100,6))</f>
        <v/>
      </c>
      <c r="AL71" s="68" t="str">
        <f>IF(main!AX74="","",ROUND(main!AX74*100,6))</f>
        <v/>
      </c>
      <c r="AM71" s="68" t="str">
        <f>IF(main!AY74="","",ROUND(main!AY74*100,6))</f>
        <v/>
      </c>
      <c r="AN71" s="68" t="str">
        <f>IF(main!AZ74="","",ROUND(main!AZ74*100,6))</f>
        <v/>
      </c>
      <c r="AO71" s="68" t="str">
        <f>IF(main!BA74="","",ROUND(main!BA74*100,6))</f>
        <v/>
      </c>
      <c r="AP71" s="68" t="str">
        <f>IF(main!BB74="","",ROUND(main!BB74*100,6))</f>
        <v/>
      </c>
      <c r="AQ71" s="68" t="str">
        <f>IF(main!BC74="","",ROUND(main!BC74*100,6))</f>
        <v/>
      </c>
      <c r="AR71" s="68" t="str">
        <f>IF(main!BD74="","",ROUND(main!BD74*100,6))</f>
        <v/>
      </c>
      <c r="AS71" s="68" t="str">
        <f>IF(main!BE74="","",ROUND(main!BE74*100,6))</f>
        <v/>
      </c>
      <c r="AT71" s="68" t="str">
        <f>IF(main!BF74="","",ROUND(main!BF74*100,6))</f>
        <v/>
      </c>
      <c r="AU71" s="68" t="str">
        <f>IF(main!BG74="","",ROUND(main!BG74*100,6))</f>
        <v/>
      </c>
      <c r="AV71" s="68" t="str">
        <f>IF(main!BH74="","",ROUND(main!BH74*100,6))</f>
        <v/>
      </c>
      <c r="AW71" s="68" t="str">
        <f>IF(main!BI74="","",ROUND(main!BI74*100,6))</f>
        <v/>
      </c>
      <c r="AX71" s="68" t="str">
        <f>IF(main!BJ74="","",ROUND(main!BJ74*100,6))</f>
        <v/>
      </c>
      <c r="AY71" s="68" t="str">
        <f>IF(main!BK74="","",ROUND(main!BK74*100,6))</f>
        <v/>
      </c>
      <c r="AZ71" s="68" t="str">
        <f>IF(main!BL74="","",ROUND(main!BL74*100,6))</f>
        <v/>
      </c>
      <c r="BA71" s="68" t="str">
        <f>IF(main!BM74="","",ROUND(main!BM74*100,6))</f>
        <v/>
      </c>
      <c r="BB71" s="68" t="str">
        <f>IF(main!BN74="","",ROUND(main!BN74*100,6))</f>
        <v/>
      </c>
      <c r="BC71" s="68" t="str">
        <f>IF(main!BO74="","",ROUND(main!BO74*100,6))</f>
        <v/>
      </c>
      <c r="BD71" s="68" t="str">
        <f>IF(main!BP74="","",ROUND(main!BP74*100,6))</f>
        <v/>
      </c>
      <c r="BE71" s="68" t="str">
        <f>IF(main!BQ74="","",ROUND(main!BQ74*100,6))</f>
        <v/>
      </c>
      <c r="BF71" s="68" t="str">
        <f>IF(main!BR74="","",ROUND(main!BR74*100,6))</f>
        <v/>
      </c>
      <c r="BG71" s="68" t="str">
        <f>IF(main!BS74="","",ROUND(main!BS74*100,6))</f>
        <v/>
      </c>
      <c r="BH71" s="68" t="str">
        <f>IF(main!BT74="","",ROUND(main!BT74*100,6))</f>
        <v/>
      </c>
      <c r="BI71" s="68" t="str">
        <f>IF(main!BU74="","",ROUND(main!BU74*100,6))</f>
        <v/>
      </c>
      <c r="BJ71" s="68" t="str">
        <f>IF(main!BV74="","",ROUND(main!BV74*100,6))</f>
        <v/>
      </c>
      <c r="BK71" s="68" t="str">
        <f>IF(main!BW74="","",ROUND(main!BW74*100,6))</f>
        <v/>
      </c>
      <c r="BL71" s="68" t="str">
        <f>IF(main!BX74="","",ROUND(main!BX74*100,6))</f>
        <v/>
      </c>
      <c r="BM71" s="68" t="str">
        <f>IF(main!BY74="","",ROUND(main!BY74*100,6))</f>
        <v/>
      </c>
      <c r="BN71" s="68" t="str">
        <f>IF(main!BZ74="","",ROUND(main!BZ74*100,6))</f>
        <v/>
      </c>
      <c r="BO71" s="68" t="str">
        <f>IF(main!CA74="","",ROUND(main!CA74*100,6))</f>
        <v/>
      </c>
      <c r="BP71" s="68" t="str">
        <f>IF(main!CB74="","",ROUND(main!CB74*100,6))</f>
        <v/>
      </c>
      <c r="BQ71" s="68" t="str">
        <f>IF(main!CC74="","",ROUND(main!CC74*100,6))</f>
        <v/>
      </c>
      <c r="BR71" s="68" t="str">
        <f>IF(main!CD74="","",ROUND(main!CD74*100,6))</f>
        <v/>
      </c>
      <c r="BS71" s="68" t="str">
        <f>IF(main!CE74="","",ROUND(main!CE74*100,6))</f>
        <v/>
      </c>
      <c r="BT71" s="68" t="str">
        <f>IF(main!CF74="","",ROUND(main!CF74*100,6))</f>
        <v/>
      </c>
      <c r="BU71" s="68" t="str">
        <f>IF(main!CG74="","",ROUND(main!CG74*100,6))</f>
        <v/>
      </c>
      <c r="BV71" s="68" t="str">
        <f>IF(main!CH74="","",ROUND(main!CH74*100,6))</f>
        <v/>
      </c>
      <c r="BW71" s="68" t="str">
        <f>IF(main!CI74="","",ROUND(main!CI74*100,6))</f>
        <v/>
      </c>
      <c r="BX71" s="68" t="str">
        <f>IF(main!CJ74="","",ROUND(main!CJ74*100,6))</f>
        <v/>
      </c>
      <c r="BY71" s="68" t="str">
        <f>IF(main!CK74="","",ROUND(main!CK74*100,6))</f>
        <v/>
      </c>
      <c r="BZ71" s="68" t="str">
        <f>IF(main!CL74="","",ROUND(main!CL74*100,6))</f>
        <v/>
      </c>
      <c r="CA71" s="68" t="str">
        <f>IF(main!CM74="","",ROUND(main!CM74*100,6))</f>
        <v/>
      </c>
      <c r="CB71" s="68" t="str">
        <f>IF(main!CN74="","",ROUND(main!CN74*100,6))</f>
        <v/>
      </c>
      <c r="CC71" s="68" t="str">
        <f>IF(main!CO74="","",ROUND(main!CO74*100,6))</f>
        <v/>
      </c>
    </row>
    <row r="72" spans="1:81" x14ac:dyDescent="0.25">
      <c r="A72" s="65" t="s">
        <v>201</v>
      </c>
      <c r="B72" s="66" t="str">
        <f>main!C75</f>
        <v>Supports Installation</v>
      </c>
      <c r="C72" s="67">
        <f>main!O75</f>
        <v>100000</v>
      </c>
      <c r="D72" s="65" t="s">
        <v>110</v>
      </c>
      <c r="E72" s="68">
        <f t="shared" si="1"/>
        <v>100</v>
      </c>
      <c r="F72" s="68" t="str">
        <f>IF(main!R75="","",ROUND(main!R75*100,6))</f>
        <v/>
      </c>
      <c r="G72" s="68" t="str">
        <f>IF(main!S75="","",ROUND(main!S75*100,6))</f>
        <v/>
      </c>
      <c r="H72" s="68" t="str">
        <f>IF(main!T75="","",ROUND(main!T75*100,6))</f>
        <v/>
      </c>
      <c r="I72" s="68" t="str">
        <f>IF(main!U75="","",ROUND(main!U75*100,6))</f>
        <v/>
      </c>
      <c r="J72" s="68" t="str">
        <f>IF(main!V75="","",ROUND(main!V75*100,6))</f>
        <v/>
      </c>
      <c r="K72" s="68" t="str">
        <f>IF(main!W75="","",ROUND(main!W75*100,6))</f>
        <v/>
      </c>
      <c r="L72" s="68" t="str">
        <f>IF(main!X75="","",ROUND(main!X75*100,6))</f>
        <v/>
      </c>
      <c r="M72" s="68" t="str">
        <f>IF(main!Y75="","",ROUND(main!Y75*100,6))</f>
        <v/>
      </c>
      <c r="N72" s="68" t="str">
        <f>IF(main!Z75="","",ROUND(main!Z75*100,6))</f>
        <v/>
      </c>
      <c r="O72" s="68" t="str">
        <f>IF(main!AA75="","",ROUND(main!AA75*100,6))</f>
        <v/>
      </c>
      <c r="P72" s="68" t="str">
        <f>IF(main!AB75="","",ROUND(main!AB75*100,6))</f>
        <v/>
      </c>
      <c r="Q72" s="68" t="str">
        <f>IF(main!AC75="","",ROUND(main!AC75*100,6))</f>
        <v/>
      </c>
      <c r="R72" s="68" t="str">
        <f>IF(main!AD75="","",ROUND(main!AD75*100,6))</f>
        <v/>
      </c>
      <c r="S72" s="68" t="str">
        <f>IF(main!AE75="","",ROUND(main!AE75*100,6))</f>
        <v/>
      </c>
      <c r="T72" s="68" t="str">
        <f>IF(main!AF75="","",ROUND(main!AF75*100,6))</f>
        <v/>
      </c>
      <c r="U72" s="68" t="str">
        <f>IF(main!AG75="","",ROUND(main!AG75*100,6))</f>
        <v/>
      </c>
      <c r="V72" s="68" t="str">
        <f>IF(main!AH75="","",ROUND(main!AH75*100,6))</f>
        <v/>
      </c>
      <c r="W72" s="68" t="str">
        <f>IF(main!AI75="","",ROUND(main!AI75*100,6))</f>
        <v/>
      </c>
      <c r="X72" s="68" t="str">
        <f>IF(main!AJ75="","",ROUND(main!AJ75*100,6))</f>
        <v/>
      </c>
      <c r="Y72" s="68" t="str">
        <f>IF(main!AK75="","",ROUND(main!AK75*100,6))</f>
        <v/>
      </c>
      <c r="Z72" s="68" t="str">
        <f>IF(main!AL75="","",ROUND(main!AL75*100,6))</f>
        <v/>
      </c>
      <c r="AA72" s="68" t="str">
        <f>IF(main!AM75="","",ROUND(main!AM75*100,6))</f>
        <v/>
      </c>
      <c r="AB72" s="68" t="str">
        <f>IF(main!AN75="","",ROUND(main!AN75*100,6))</f>
        <v/>
      </c>
      <c r="AC72" s="68" t="str">
        <f>IF(main!AO75="","",ROUND(main!AO75*100,6))</f>
        <v/>
      </c>
      <c r="AD72" s="68" t="str">
        <f>IF(main!AP75="","",ROUND(main!AP75*100,6))</f>
        <v/>
      </c>
      <c r="AE72" s="68" t="str">
        <f>IF(main!AQ75="","",ROUND(main!AQ75*100,6))</f>
        <v/>
      </c>
      <c r="AF72" s="68" t="str">
        <f>IF(main!AR75="","",ROUND(main!AR75*100,6))</f>
        <v/>
      </c>
      <c r="AG72" s="68" t="str">
        <f>IF(main!AS75="","",ROUND(main!AS75*100,6))</f>
        <v/>
      </c>
      <c r="AH72" s="68" t="str">
        <f>IF(main!AT75="","",ROUND(main!AT75*100,6))</f>
        <v/>
      </c>
      <c r="AI72" s="68" t="str">
        <f>IF(main!AU75="","",ROUND(main!AU75*100,6))</f>
        <v/>
      </c>
      <c r="AJ72" s="68" t="str">
        <f>IF(main!AV75="","",ROUND(main!AV75*100,6))</f>
        <v/>
      </c>
      <c r="AK72" s="68" t="str">
        <f>IF(main!AW75="","",ROUND(main!AW75*100,6))</f>
        <v/>
      </c>
      <c r="AL72" s="68" t="str">
        <f>IF(main!AX75="","",ROUND(main!AX75*100,6))</f>
        <v/>
      </c>
      <c r="AM72" s="68" t="str">
        <f>IF(main!AY75="","",ROUND(main!AY75*100,6))</f>
        <v/>
      </c>
      <c r="AN72" s="68" t="str">
        <f>IF(main!AZ75="","",ROUND(main!AZ75*100,6))</f>
        <v/>
      </c>
      <c r="AO72" s="68" t="str">
        <f>IF(main!BA75="","",ROUND(main!BA75*100,6))</f>
        <v/>
      </c>
      <c r="AP72" s="68" t="str">
        <f>IF(main!BB75="","",ROUND(main!BB75*100,6))</f>
        <v/>
      </c>
      <c r="AQ72" s="68">
        <f>IF(main!BC75="","",ROUND(main!BC75*100,6))</f>
        <v>28.571428999999998</v>
      </c>
      <c r="AR72" s="68">
        <f>IF(main!BD75="","",ROUND(main!BD75*100,6))</f>
        <v>71.428571000000005</v>
      </c>
      <c r="AS72" s="68" t="str">
        <f>IF(main!BE75="","",ROUND(main!BE75*100,6))</f>
        <v/>
      </c>
      <c r="AT72" s="68" t="str">
        <f>IF(main!BF75="","",ROUND(main!BF75*100,6))</f>
        <v/>
      </c>
      <c r="AU72" s="68" t="str">
        <f>IF(main!BG75="","",ROUND(main!BG75*100,6))</f>
        <v/>
      </c>
      <c r="AV72" s="68" t="str">
        <f>IF(main!BH75="","",ROUND(main!BH75*100,6))</f>
        <v/>
      </c>
      <c r="AW72" s="68" t="str">
        <f>IF(main!BI75="","",ROUND(main!BI75*100,6))</f>
        <v/>
      </c>
      <c r="AX72" s="68" t="str">
        <f>IF(main!BJ75="","",ROUND(main!BJ75*100,6))</f>
        <v/>
      </c>
      <c r="AY72" s="68" t="str">
        <f>IF(main!BK75="","",ROUND(main!BK75*100,6))</f>
        <v/>
      </c>
      <c r="AZ72" s="68" t="str">
        <f>IF(main!BL75="","",ROUND(main!BL75*100,6))</f>
        <v/>
      </c>
      <c r="BA72" s="68" t="str">
        <f>IF(main!BM75="","",ROUND(main!BM75*100,6))</f>
        <v/>
      </c>
      <c r="BB72" s="68" t="str">
        <f>IF(main!BN75="","",ROUND(main!BN75*100,6))</f>
        <v/>
      </c>
      <c r="BC72" s="68" t="str">
        <f>IF(main!BO75="","",ROUND(main!BO75*100,6))</f>
        <v/>
      </c>
      <c r="BD72" s="68" t="str">
        <f>IF(main!BP75="","",ROUND(main!BP75*100,6))</f>
        <v/>
      </c>
      <c r="BE72" s="68" t="str">
        <f>IF(main!BQ75="","",ROUND(main!BQ75*100,6))</f>
        <v/>
      </c>
      <c r="BF72" s="68" t="str">
        <f>IF(main!BR75="","",ROUND(main!BR75*100,6))</f>
        <v/>
      </c>
      <c r="BG72" s="68" t="str">
        <f>IF(main!BS75="","",ROUND(main!BS75*100,6))</f>
        <v/>
      </c>
      <c r="BH72" s="68" t="str">
        <f>IF(main!BT75="","",ROUND(main!BT75*100,6))</f>
        <v/>
      </c>
      <c r="BI72" s="68" t="str">
        <f>IF(main!BU75="","",ROUND(main!BU75*100,6))</f>
        <v/>
      </c>
      <c r="BJ72" s="68" t="str">
        <f>IF(main!BV75="","",ROUND(main!BV75*100,6))</f>
        <v/>
      </c>
      <c r="BK72" s="68" t="str">
        <f>IF(main!BW75="","",ROUND(main!BW75*100,6))</f>
        <v/>
      </c>
      <c r="BL72" s="68" t="str">
        <f>IF(main!BX75="","",ROUND(main!BX75*100,6))</f>
        <v/>
      </c>
      <c r="BM72" s="68" t="str">
        <f>IF(main!BY75="","",ROUND(main!BY75*100,6))</f>
        <v/>
      </c>
      <c r="BN72" s="68" t="str">
        <f>IF(main!BZ75="","",ROUND(main!BZ75*100,6))</f>
        <v/>
      </c>
      <c r="BO72" s="68" t="str">
        <f>IF(main!CA75="","",ROUND(main!CA75*100,6))</f>
        <v/>
      </c>
      <c r="BP72" s="68" t="str">
        <f>IF(main!CB75="","",ROUND(main!CB75*100,6))</f>
        <v/>
      </c>
      <c r="BQ72" s="68" t="str">
        <f>IF(main!CC75="","",ROUND(main!CC75*100,6))</f>
        <v/>
      </c>
      <c r="BR72" s="68" t="str">
        <f>IF(main!CD75="","",ROUND(main!CD75*100,6))</f>
        <v/>
      </c>
      <c r="BS72" s="68" t="str">
        <f>IF(main!CE75="","",ROUND(main!CE75*100,6))</f>
        <v/>
      </c>
      <c r="BT72" s="68" t="str">
        <f>IF(main!CF75="","",ROUND(main!CF75*100,6))</f>
        <v/>
      </c>
      <c r="BU72" s="68" t="str">
        <f>IF(main!CG75="","",ROUND(main!CG75*100,6))</f>
        <v/>
      </c>
      <c r="BV72" s="68" t="str">
        <f>IF(main!CH75="","",ROUND(main!CH75*100,6))</f>
        <v/>
      </c>
      <c r="BW72" s="68" t="str">
        <f>IF(main!CI75="","",ROUND(main!CI75*100,6))</f>
        <v/>
      </c>
      <c r="BX72" s="68" t="str">
        <f>IF(main!CJ75="","",ROUND(main!CJ75*100,6))</f>
        <v/>
      </c>
      <c r="BY72" s="68" t="str">
        <f>IF(main!CK75="","",ROUND(main!CK75*100,6))</f>
        <v/>
      </c>
      <c r="BZ72" s="68" t="str">
        <f>IF(main!CL75="","",ROUND(main!CL75*100,6))</f>
        <v/>
      </c>
      <c r="CA72" s="68" t="str">
        <f>IF(main!CM75="","",ROUND(main!CM75*100,6))</f>
        <v/>
      </c>
      <c r="CB72" s="68" t="str">
        <f>IF(main!CN75="","",ROUND(main!CN75*100,6))</f>
        <v/>
      </c>
      <c r="CC72" s="68" t="str">
        <f>IF(main!CO75="","",ROUND(main!CO75*100,6))</f>
        <v/>
      </c>
    </row>
    <row r="73" spans="1:81" x14ac:dyDescent="0.25">
      <c r="A73" s="65" t="s">
        <v>201</v>
      </c>
      <c r="B73" s="66" t="str">
        <f>main!C75</f>
        <v>Supports Installation</v>
      </c>
      <c r="C73" s="67">
        <f>main!O75</f>
        <v>100000</v>
      </c>
      <c r="D73" s="65" t="s">
        <v>111</v>
      </c>
      <c r="E73" s="68" t="str">
        <f t="shared" si="1"/>
        <v/>
      </c>
      <c r="F73" s="68" t="str">
        <f>IF(main!R76="","",ROUND(main!R76*100,6))</f>
        <v/>
      </c>
      <c r="G73" s="68" t="str">
        <f>IF(main!S76="","",ROUND(main!S76*100,6))</f>
        <v/>
      </c>
      <c r="H73" s="68" t="str">
        <f>IF(main!T76="","",ROUND(main!T76*100,6))</f>
        <v/>
      </c>
      <c r="I73" s="68" t="str">
        <f>IF(main!U76="","",ROUND(main!U76*100,6))</f>
        <v/>
      </c>
      <c r="J73" s="68" t="str">
        <f>IF(main!V76="","",ROUND(main!V76*100,6))</f>
        <v/>
      </c>
      <c r="K73" s="68" t="str">
        <f>IF(main!W76="","",ROUND(main!W76*100,6))</f>
        <v/>
      </c>
      <c r="L73" s="68" t="str">
        <f>IF(main!X76="","",ROUND(main!X76*100,6))</f>
        <v/>
      </c>
      <c r="M73" s="68" t="str">
        <f>IF(main!Y76="","",ROUND(main!Y76*100,6))</f>
        <v/>
      </c>
      <c r="N73" s="68" t="str">
        <f>IF(main!Z76="","",ROUND(main!Z76*100,6))</f>
        <v/>
      </c>
      <c r="O73" s="68" t="str">
        <f>IF(main!AA76="","",ROUND(main!AA76*100,6))</f>
        <v/>
      </c>
      <c r="P73" s="68" t="str">
        <f>IF(main!AB76="","",ROUND(main!AB76*100,6))</f>
        <v/>
      </c>
      <c r="Q73" s="68" t="str">
        <f>IF(main!AC76="","",ROUND(main!AC76*100,6))</f>
        <v/>
      </c>
      <c r="R73" s="68" t="str">
        <f>IF(main!AD76="","",ROUND(main!AD76*100,6))</f>
        <v/>
      </c>
      <c r="S73" s="68" t="str">
        <f>IF(main!AE76="","",ROUND(main!AE76*100,6))</f>
        <v/>
      </c>
      <c r="T73" s="68" t="str">
        <f>IF(main!AF76="","",ROUND(main!AF76*100,6))</f>
        <v/>
      </c>
      <c r="U73" s="68" t="str">
        <f>IF(main!AG76="","",ROUND(main!AG76*100,6))</f>
        <v/>
      </c>
      <c r="V73" s="68" t="str">
        <f>IF(main!AH76="","",ROUND(main!AH76*100,6))</f>
        <v/>
      </c>
      <c r="W73" s="68" t="str">
        <f>IF(main!AI76="","",ROUND(main!AI76*100,6))</f>
        <v/>
      </c>
      <c r="X73" s="68" t="str">
        <f>IF(main!AJ76="","",ROUND(main!AJ76*100,6))</f>
        <v/>
      </c>
      <c r="Y73" s="68" t="str">
        <f>IF(main!AK76="","",ROUND(main!AK76*100,6))</f>
        <v/>
      </c>
      <c r="Z73" s="68" t="str">
        <f>IF(main!AL76="","",ROUND(main!AL76*100,6))</f>
        <v/>
      </c>
      <c r="AA73" s="68" t="str">
        <f>IF(main!AM76="","",ROUND(main!AM76*100,6))</f>
        <v/>
      </c>
      <c r="AB73" s="68" t="str">
        <f>IF(main!AN76="","",ROUND(main!AN76*100,6))</f>
        <v/>
      </c>
      <c r="AC73" s="68" t="str">
        <f>IF(main!AO76="","",ROUND(main!AO76*100,6))</f>
        <v/>
      </c>
      <c r="AD73" s="68" t="str">
        <f>IF(main!AP76="","",ROUND(main!AP76*100,6))</f>
        <v/>
      </c>
      <c r="AE73" s="68" t="str">
        <f>IF(main!AQ76="","",ROUND(main!AQ76*100,6))</f>
        <v/>
      </c>
      <c r="AF73" s="68" t="str">
        <f>IF(main!AR76="","",ROUND(main!AR76*100,6))</f>
        <v/>
      </c>
      <c r="AG73" s="68" t="str">
        <f>IF(main!AS76="","",ROUND(main!AS76*100,6))</f>
        <v/>
      </c>
      <c r="AH73" s="68" t="str">
        <f>IF(main!AT76="","",ROUND(main!AT76*100,6))</f>
        <v/>
      </c>
      <c r="AI73" s="68" t="str">
        <f>IF(main!AU76="","",ROUND(main!AU76*100,6))</f>
        <v/>
      </c>
      <c r="AJ73" s="68" t="str">
        <f>IF(main!AV76="","",ROUND(main!AV76*100,6))</f>
        <v/>
      </c>
      <c r="AK73" s="68" t="str">
        <f>IF(main!AW76="","",ROUND(main!AW76*100,6))</f>
        <v/>
      </c>
      <c r="AL73" s="68" t="str">
        <f>IF(main!AX76="","",ROUND(main!AX76*100,6))</f>
        <v/>
      </c>
      <c r="AM73" s="68" t="str">
        <f>IF(main!AY76="","",ROUND(main!AY76*100,6))</f>
        <v/>
      </c>
      <c r="AN73" s="68" t="str">
        <f>IF(main!AZ76="","",ROUND(main!AZ76*100,6))</f>
        <v/>
      </c>
      <c r="AO73" s="68" t="str">
        <f>IF(main!BA76="","",ROUND(main!BA76*100,6))</f>
        <v/>
      </c>
      <c r="AP73" s="68" t="str">
        <f>IF(main!BB76="","",ROUND(main!BB76*100,6))</f>
        <v/>
      </c>
      <c r="AQ73" s="68" t="str">
        <f>IF(main!BC76="","",ROUND(main!BC76*100,6))</f>
        <v/>
      </c>
      <c r="AR73" s="68" t="str">
        <f>IF(main!BD76="","",ROUND(main!BD76*100,6))</f>
        <v/>
      </c>
      <c r="AS73" s="68" t="str">
        <f>IF(main!BE76="","",ROUND(main!BE76*100,6))</f>
        <v/>
      </c>
      <c r="AT73" s="68" t="str">
        <f>IF(main!BF76="","",ROUND(main!BF76*100,6))</f>
        <v/>
      </c>
      <c r="AU73" s="68" t="str">
        <f>IF(main!BG76="","",ROUND(main!BG76*100,6))</f>
        <v/>
      </c>
      <c r="AV73" s="68" t="str">
        <f>IF(main!BH76="","",ROUND(main!BH76*100,6))</f>
        <v/>
      </c>
      <c r="AW73" s="68" t="str">
        <f>IF(main!BI76="","",ROUND(main!BI76*100,6))</f>
        <v/>
      </c>
      <c r="AX73" s="68" t="str">
        <f>IF(main!BJ76="","",ROUND(main!BJ76*100,6))</f>
        <v/>
      </c>
      <c r="AY73" s="68" t="str">
        <f>IF(main!BK76="","",ROUND(main!BK76*100,6))</f>
        <v/>
      </c>
      <c r="AZ73" s="68" t="str">
        <f>IF(main!BL76="","",ROUND(main!BL76*100,6))</f>
        <v/>
      </c>
      <c r="BA73" s="68" t="str">
        <f>IF(main!BM76="","",ROUND(main!BM76*100,6))</f>
        <v/>
      </c>
      <c r="BB73" s="68" t="str">
        <f>IF(main!BN76="","",ROUND(main!BN76*100,6))</f>
        <v/>
      </c>
      <c r="BC73" s="68" t="str">
        <f>IF(main!BO76="","",ROUND(main!BO76*100,6))</f>
        <v/>
      </c>
      <c r="BD73" s="68" t="str">
        <f>IF(main!BP76="","",ROUND(main!BP76*100,6))</f>
        <v/>
      </c>
      <c r="BE73" s="68" t="str">
        <f>IF(main!BQ76="","",ROUND(main!BQ76*100,6))</f>
        <v/>
      </c>
      <c r="BF73" s="68" t="str">
        <f>IF(main!BR76="","",ROUND(main!BR76*100,6))</f>
        <v/>
      </c>
      <c r="BG73" s="68" t="str">
        <f>IF(main!BS76="","",ROUND(main!BS76*100,6))</f>
        <v/>
      </c>
      <c r="BH73" s="68" t="str">
        <f>IF(main!BT76="","",ROUND(main!BT76*100,6))</f>
        <v/>
      </c>
      <c r="BI73" s="68" t="str">
        <f>IF(main!BU76="","",ROUND(main!BU76*100,6))</f>
        <v/>
      </c>
      <c r="BJ73" s="68" t="str">
        <f>IF(main!BV76="","",ROUND(main!BV76*100,6))</f>
        <v/>
      </c>
      <c r="BK73" s="68" t="str">
        <f>IF(main!BW76="","",ROUND(main!BW76*100,6))</f>
        <v/>
      </c>
      <c r="BL73" s="68" t="str">
        <f>IF(main!BX76="","",ROUND(main!BX76*100,6))</f>
        <v/>
      </c>
      <c r="BM73" s="68" t="str">
        <f>IF(main!BY76="","",ROUND(main!BY76*100,6))</f>
        <v/>
      </c>
      <c r="BN73" s="68" t="str">
        <f>IF(main!BZ76="","",ROUND(main!BZ76*100,6))</f>
        <v/>
      </c>
      <c r="BO73" s="68" t="str">
        <f>IF(main!CA76="","",ROUND(main!CA76*100,6))</f>
        <v/>
      </c>
      <c r="BP73" s="68" t="str">
        <f>IF(main!CB76="","",ROUND(main!CB76*100,6))</f>
        <v/>
      </c>
      <c r="BQ73" s="68" t="str">
        <f>IF(main!CC76="","",ROUND(main!CC76*100,6))</f>
        <v/>
      </c>
      <c r="BR73" s="68" t="str">
        <f>IF(main!CD76="","",ROUND(main!CD76*100,6))</f>
        <v/>
      </c>
      <c r="BS73" s="68" t="str">
        <f>IF(main!CE76="","",ROUND(main!CE76*100,6))</f>
        <v/>
      </c>
      <c r="BT73" s="68" t="str">
        <f>IF(main!CF76="","",ROUND(main!CF76*100,6))</f>
        <v/>
      </c>
      <c r="BU73" s="68" t="str">
        <f>IF(main!CG76="","",ROUND(main!CG76*100,6))</f>
        <v/>
      </c>
      <c r="BV73" s="68" t="str">
        <f>IF(main!CH76="","",ROUND(main!CH76*100,6))</f>
        <v/>
      </c>
      <c r="BW73" s="68" t="str">
        <f>IF(main!CI76="","",ROUND(main!CI76*100,6))</f>
        <v/>
      </c>
      <c r="BX73" s="68" t="str">
        <f>IF(main!CJ76="","",ROUND(main!CJ76*100,6))</f>
        <v/>
      </c>
      <c r="BY73" s="68" t="str">
        <f>IF(main!CK76="","",ROUND(main!CK76*100,6))</f>
        <v/>
      </c>
      <c r="BZ73" s="68" t="str">
        <f>IF(main!CL76="","",ROUND(main!CL76*100,6))</f>
        <v/>
      </c>
      <c r="CA73" s="68" t="str">
        <f>IF(main!CM76="","",ROUND(main!CM76*100,6))</f>
        <v/>
      </c>
      <c r="CB73" s="68" t="str">
        <f>IF(main!CN76="","",ROUND(main!CN76*100,6))</f>
        <v/>
      </c>
      <c r="CC73" s="68" t="str">
        <f>IF(main!CO76="","",ROUND(main!CO76*100,6))</f>
        <v/>
      </c>
    </row>
    <row r="74" spans="1:81" x14ac:dyDescent="0.25">
      <c r="A74" s="65" t="s">
        <v>203</v>
      </c>
      <c r="B74" s="66" t="str">
        <f>main!C77</f>
        <v>Steel Columns</v>
      </c>
      <c r="C74" s="67">
        <f>main!O77</f>
        <v>100000</v>
      </c>
      <c r="D74" s="65" t="s">
        <v>110</v>
      </c>
      <c r="E74" s="68">
        <f t="shared" si="1"/>
        <v>100</v>
      </c>
      <c r="F74" s="68" t="str">
        <f>IF(main!R77="","",ROUND(main!R77*100,6))</f>
        <v/>
      </c>
      <c r="G74" s="68" t="str">
        <f>IF(main!S77="","",ROUND(main!S77*100,6))</f>
        <v/>
      </c>
      <c r="H74" s="68" t="str">
        <f>IF(main!T77="","",ROUND(main!T77*100,6))</f>
        <v/>
      </c>
      <c r="I74" s="68" t="str">
        <f>IF(main!U77="","",ROUND(main!U77*100,6))</f>
        <v/>
      </c>
      <c r="J74" s="68" t="str">
        <f>IF(main!V77="","",ROUND(main!V77*100,6))</f>
        <v/>
      </c>
      <c r="K74" s="68" t="str">
        <f>IF(main!W77="","",ROUND(main!W77*100,6))</f>
        <v/>
      </c>
      <c r="L74" s="68" t="str">
        <f>IF(main!X77="","",ROUND(main!X77*100,6))</f>
        <v/>
      </c>
      <c r="M74" s="68" t="str">
        <f>IF(main!Y77="","",ROUND(main!Y77*100,6))</f>
        <v/>
      </c>
      <c r="N74" s="68" t="str">
        <f>IF(main!Z77="","",ROUND(main!Z77*100,6))</f>
        <v/>
      </c>
      <c r="O74" s="68" t="str">
        <f>IF(main!AA77="","",ROUND(main!AA77*100,6))</f>
        <v/>
      </c>
      <c r="P74" s="68" t="str">
        <f>IF(main!AB77="","",ROUND(main!AB77*100,6))</f>
        <v/>
      </c>
      <c r="Q74" s="68" t="str">
        <f>IF(main!AC77="","",ROUND(main!AC77*100,6))</f>
        <v/>
      </c>
      <c r="R74" s="68" t="str">
        <f>IF(main!AD77="","",ROUND(main!AD77*100,6))</f>
        <v/>
      </c>
      <c r="S74" s="68" t="str">
        <f>IF(main!AE77="","",ROUND(main!AE77*100,6))</f>
        <v/>
      </c>
      <c r="T74" s="68" t="str">
        <f>IF(main!AF77="","",ROUND(main!AF77*100,6))</f>
        <v/>
      </c>
      <c r="U74" s="68" t="str">
        <f>IF(main!AG77="","",ROUND(main!AG77*100,6))</f>
        <v/>
      </c>
      <c r="V74" s="68" t="str">
        <f>IF(main!AH77="","",ROUND(main!AH77*100,6))</f>
        <v/>
      </c>
      <c r="W74" s="68" t="str">
        <f>IF(main!AI77="","",ROUND(main!AI77*100,6))</f>
        <v/>
      </c>
      <c r="X74" s="68" t="str">
        <f>IF(main!AJ77="","",ROUND(main!AJ77*100,6))</f>
        <v/>
      </c>
      <c r="Y74" s="68" t="str">
        <f>IF(main!AK77="","",ROUND(main!AK77*100,6))</f>
        <v/>
      </c>
      <c r="Z74" s="68" t="str">
        <f>IF(main!AL77="","",ROUND(main!AL77*100,6))</f>
        <v/>
      </c>
      <c r="AA74" s="68" t="str">
        <f>IF(main!AM77="","",ROUND(main!AM77*100,6))</f>
        <v/>
      </c>
      <c r="AB74" s="68" t="str">
        <f>IF(main!AN77="","",ROUND(main!AN77*100,6))</f>
        <v/>
      </c>
      <c r="AC74" s="68" t="str">
        <f>IF(main!AO77="","",ROUND(main!AO77*100,6))</f>
        <v/>
      </c>
      <c r="AD74" s="68" t="str">
        <f>IF(main!AP77="","",ROUND(main!AP77*100,6))</f>
        <v/>
      </c>
      <c r="AE74" s="68" t="str">
        <f>IF(main!AQ77="","",ROUND(main!AQ77*100,6))</f>
        <v/>
      </c>
      <c r="AF74" s="68" t="str">
        <f>IF(main!AR77="","",ROUND(main!AR77*100,6))</f>
        <v/>
      </c>
      <c r="AG74" s="68" t="str">
        <f>IF(main!AS77="","",ROUND(main!AS77*100,6))</f>
        <v/>
      </c>
      <c r="AH74" s="68" t="str">
        <f>IF(main!AT77="","",ROUND(main!AT77*100,6))</f>
        <v/>
      </c>
      <c r="AI74" s="68" t="str">
        <f>IF(main!AU77="","",ROUND(main!AU77*100,6))</f>
        <v/>
      </c>
      <c r="AJ74" s="68" t="str">
        <f>IF(main!AV77="","",ROUND(main!AV77*100,6))</f>
        <v/>
      </c>
      <c r="AK74" s="68" t="str">
        <f>IF(main!AW77="","",ROUND(main!AW77*100,6))</f>
        <v/>
      </c>
      <c r="AL74" s="68" t="str">
        <f>IF(main!AX77="","",ROUND(main!AX77*100,6))</f>
        <v/>
      </c>
      <c r="AM74" s="68" t="str">
        <f>IF(main!AY77="","",ROUND(main!AY77*100,6))</f>
        <v/>
      </c>
      <c r="AN74" s="68" t="str">
        <f>IF(main!AZ77="","",ROUND(main!AZ77*100,6))</f>
        <v/>
      </c>
      <c r="AO74" s="68" t="str">
        <f>IF(main!BA77="","",ROUND(main!BA77*100,6))</f>
        <v/>
      </c>
      <c r="AP74" s="68" t="str">
        <f>IF(main!BB77="","",ROUND(main!BB77*100,6))</f>
        <v/>
      </c>
      <c r="AQ74" s="68" t="str">
        <f>IF(main!BC77="","",ROUND(main!BC77*100,6))</f>
        <v/>
      </c>
      <c r="AR74" s="68">
        <f>IF(main!BD77="","",ROUND(main!BD77*100,6))</f>
        <v>28.571428999999998</v>
      </c>
      <c r="AS74" s="68">
        <f>IF(main!BE77="","",ROUND(main!BE77*100,6))</f>
        <v>71.428571000000005</v>
      </c>
      <c r="AT74" s="68" t="str">
        <f>IF(main!BF77="","",ROUND(main!BF77*100,6))</f>
        <v/>
      </c>
      <c r="AU74" s="68" t="str">
        <f>IF(main!BG77="","",ROUND(main!BG77*100,6))</f>
        <v/>
      </c>
      <c r="AV74" s="68" t="str">
        <f>IF(main!BH77="","",ROUND(main!BH77*100,6))</f>
        <v/>
      </c>
      <c r="AW74" s="68" t="str">
        <f>IF(main!BI77="","",ROUND(main!BI77*100,6))</f>
        <v/>
      </c>
      <c r="AX74" s="68" t="str">
        <f>IF(main!BJ77="","",ROUND(main!BJ77*100,6))</f>
        <v/>
      </c>
      <c r="AY74" s="68" t="str">
        <f>IF(main!BK77="","",ROUND(main!BK77*100,6))</f>
        <v/>
      </c>
      <c r="AZ74" s="68" t="str">
        <f>IF(main!BL77="","",ROUND(main!BL77*100,6))</f>
        <v/>
      </c>
      <c r="BA74" s="68" t="str">
        <f>IF(main!BM77="","",ROUND(main!BM77*100,6))</f>
        <v/>
      </c>
      <c r="BB74" s="68" t="str">
        <f>IF(main!BN77="","",ROUND(main!BN77*100,6))</f>
        <v/>
      </c>
      <c r="BC74" s="68" t="str">
        <f>IF(main!BO77="","",ROUND(main!BO77*100,6))</f>
        <v/>
      </c>
      <c r="BD74" s="68" t="str">
        <f>IF(main!BP77="","",ROUND(main!BP77*100,6))</f>
        <v/>
      </c>
      <c r="BE74" s="68" t="str">
        <f>IF(main!BQ77="","",ROUND(main!BQ77*100,6))</f>
        <v/>
      </c>
      <c r="BF74" s="68" t="str">
        <f>IF(main!BR77="","",ROUND(main!BR77*100,6))</f>
        <v/>
      </c>
      <c r="BG74" s="68" t="str">
        <f>IF(main!BS77="","",ROUND(main!BS77*100,6))</f>
        <v/>
      </c>
      <c r="BH74" s="68" t="str">
        <f>IF(main!BT77="","",ROUND(main!BT77*100,6))</f>
        <v/>
      </c>
      <c r="BI74" s="68" t="str">
        <f>IF(main!BU77="","",ROUND(main!BU77*100,6))</f>
        <v/>
      </c>
      <c r="BJ74" s="68" t="str">
        <f>IF(main!BV77="","",ROUND(main!BV77*100,6))</f>
        <v/>
      </c>
      <c r="BK74" s="68" t="str">
        <f>IF(main!BW77="","",ROUND(main!BW77*100,6))</f>
        <v/>
      </c>
      <c r="BL74" s="68" t="str">
        <f>IF(main!BX77="","",ROUND(main!BX77*100,6))</f>
        <v/>
      </c>
      <c r="BM74" s="68" t="str">
        <f>IF(main!BY77="","",ROUND(main!BY77*100,6))</f>
        <v/>
      </c>
      <c r="BN74" s="68" t="str">
        <f>IF(main!BZ77="","",ROUND(main!BZ77*100,6))</f>
        <v/>
      </c>
      <c r="BO74" s="68" t="str">
        <f>IF(main!CA77="","",ROUND(main!CA77*100,6))</f>
        <v/>
      </c>
      <c r="BP74" s="68" t="str">
        <f>IF(main!CB77="","",ROUND(main!CB77*100,6))</f>
        <v/>
      </c>
      <c r="BQ74" s="68" t="str">
        <f>IF(main!CC77="","",ROUND(main!CC77*100,6))</f>
        <v/>
      </c>
      <c r="BR74" s="68" t="str">
        <f>IF(main!CD77="","",ROUND(main!CD77*100,6))</f>
        <v/>
      </c>
      <c r="BS74" s="68" t="str">
        <f>IF(main!CE77="","",ROUND(main!CE77*100,6))</f>
        <v/>
      </c>
      <c r="BT74" s="68" t="str">
        <f>IF(main!CF77="","",ROUND(main!CF77*100,6))</f>
        <v/>
      </c>
      <c r="BU74" s="68" t="str">
        <f>IF(main!CG77="","",ROUND(main!CG77*100,6))</f>
        <v/>
      </c>
      <c r="BV74" s="68" t="str">
        <f>IF(main!CH77="","",ROUND(main!CH77*100,6))</f>
        <v/>
      </c>
      <c r="BW74" s="68" t="str">
        <f>IF(main!CI77="","",ROUND(main!CI77*100,6))</f>
        <v/>
      </c>
      <c r="BX74" s="68" t="str">
        <f>IF(main!CJ77="","",ROUND(main!CJ77*100,6))</f>
        <v/>
      </c>
      <c r="BY74" s="68" t="str">
        <f>IF(main!CK77="","",ROUND(main!CK77*100,6))</f>
        <v/>
      </c>
      <c r="BZ74" s="68" t="str">
        <f>IF(main!CL77="","",ROUND(main!CL77*100,6))</f>
        <v/>
      </c>
      <c r="CA74" s="68" t="str">
        <f>IF(main!CM77="","",ROUND(main!CM77*100,6))</f>
        <v/>
      </c>
      <c r="CB74" s="68" t="str">
        <f>IF(main!CN77="","",ROUND(main!CN77*100,6))</f>
        <v/>
      </c>
      <c r="CC74" s="68" t="str">
        <f>IF(main!CO77="","",ROUND(main!CO77*100,6))</f>
        <v/>
      </c>
    </row>
    <row r="75" spans="1:81" x14ac:dyDescent="0.25">
      <c r="A75" s="65" t="s">
        <v>203</v>
      </c>
      <c r="B75" s="66" t="str">
        <f>main!C77</f>
        <v>Steel Columns</v>
      </c>
      <c r="C75" s="67">
        <f>main!O77</f>
        <v>100000</v>
      </c>
      <c r="D75" s="65" t="s">
        <v>111</v>
      </c>
      <c r="E75" s="68" t="str">
        <f t="shared" si="1"/>
        <v/>
      </c>
      <c r="F75" s="68" t="str">
        <f>IF(main!R78="","",ROUND(main!R78*100,6))</f>
        <v/>
      </c>
      <c r="G75" s="68" t="str">
        <f>IF(main!S78="","",ROUND(main!S78*100,6))</f>
        <v/>
      </c>
      <c r="H75" s="68" t="str">
        <f>IF(main!T78="","",ROUND(main!T78*100,6))</f>
        <v/>
      </c>
      <c r="I75" s="68" t="str">
        <f>IF(main!U78="","",ROUND(main!U78*100,6))</f>
        <v/>
      </c>
      <c r="J75" s="68" t="str">
        <f>IF(main!V78="","",ROUND(main!V78*100,6))</f>
        <v/>
      </c>
      <c r="K75" s="68" t="str">
        <f>IF(main!W78="","",ROUND(main!W78*100,6))</f>
        <v/>
      </c>
      <c r="L75" s="68" t="str">
        <f>IF(main!X78="","",ROUND(main!X78*100,6))</f>
        <v/>
      </c>
      <c r="M75" s="68" t="str">
        <f>IF(main!Y78="","",ROUND(main!Y78*100,6))</f>
        <v/>
      </c>
      <c r="N75" s="68" t="str">
        <f>IF(main!Z78="","",ROUND(main!Z78*100,6))</f>
        <v/>
      </c>
      <c r="O75" s="68" t="str">
        <f>IF(main!AA78="","",ROUND(main!AA78*100,6))</f>
        <v/>
      </c>
      <c r="P75" s="68" t="str">
        <f>IF(main!AB78="","",ROUND(main!AB78*100,6))</f>
        <v/>
      </c>
      <c r="Q75" s="68" t="str">
        <f>IF(main!AC78="","",ROUND(main!AC78*100,6))</f>
        <v/>
      </c>
      <c r="R75" s="68" t="str">
        <f>IF(main!AD78="","",ROUND(main!AD78*100,6))</f>
        <v/>
      </c>
      <c r="S75" s="68" t="str">
        <f>IF(main!AE78="","",ROUND(main!AE78*100,6))</f>
        <v/>
      </c>
      <c r="T75" s="68" t="str">
        <f>IF(main!AF78="","",ROUND(main!AF78*100,6))</f>
        <v/>
      </c>
      <c r="U75" s="68" t="str">
        <f>IF(main!AG78="","",ROUND(main!AG78*100,6))</f>
        <v/>
      </c>
      <c r="V75" s="68" t="str">
        <f>IF(main!AH78="","",ROUND(main!AH78*100,6))</f>
        <v/>
      </c>
      <c r="W75" s="68" t="str">
        <f>IF(main!AI78="","",ROUND(main!AI78*100,6))</f>
        <v/>
      </c>
      <c r="X75" s="68" t="str">
        <f>IF(main!AJ78="","",ROUND(main!AJ78*100,6))</f>
        <v/>
      </c>
      <c r="Y75" s="68" t="str">
        <f>IF(main!AK78="","",ROUND(main!AK78*100,6))</f>
        <v/>
      </c>
      <c r="Z75" s="68" t="str">
        <f>IF(main!AL78="","",ROUND(main!AL78*100,6))</f>
        <v/>
      </c>
      <c r="AA75" s="68" t="str">
        <f>IF(main!AM78="","",ROUND(main!AM78*100,6))</f>
        <v/>
      </c>
      <c r="AB75" s="68" t="str">
        <f>IF(main!AN78="","",ROUND(main!AN78*100,6))</f>
        <v/>
      </c>
      <c r="AC75" s="68" t="str">
        <f>IF(main!AO78="","",ROUND(main!AO78*100,6))</f>
        <v/>
      </c>
      <c r="AD75" s="68" t="str">
        <f>IF(main!AP78="","",ROUND(main!AP78*100,6))</f>
        <v/>
      </c>
      <c r="AE75" s="68" t="str">
        <f>IF(main!AQ78="","",ROUND(main!AQ78*100,6))</f>
        <v/>
      </c>
      <c r="AF75" s="68" t="str">
        <f>IF(main!AR78="","",ROUND(main!AR78*100,6))</f>
        <v/>
      </c>
      <c r="AG75" s="68" t="str">
        <f>IF(main!AS78="","",ROUND(main!AS78*100,6))</f>
        <v/>
      </c>
      <c r="AH75" s="68" t="str">
        <f>IF(main!AT78="","",ROUND(main!AT78*100,6))</f>
        <v/>
      </c>
      <c r="AI75" s="68" t="str">
        <f>IF(main!AU78="","",ROUND(main!AU78*100,6))</f>
        <v/>
      </c>
      <c r="AJ75" s="68" t="str">
        <f>IF(main!AV78="","",ROUND(main!AV78*100,6))</f>
        <v/>
      </c>
      <c r="AK75" s="68" t="str">
        <f>IF(main!AW78="","",ROUND(main!AW78*100,6))</f>
        <v/>
      </c>
      <c r="AL75" s="68" t="str">
        <f>IF(main!AX78="","",ROUND(main!AX78*100,6))</f>
        <v/>
      </c>
      <c r="AM75" s="68" t="str">
        <f>IF(main!AY78="","",ROUND(main!AY78*100,6))</f>
        <v/>
      </c>
      <c r="AN75" s="68" t="str">
        <f>IF(main!AZ78="","",ROUND(main!AZ78*100,6))</f>
        <v/>
      </c>
      <c r="AO75" s="68" t="str">
        <f>IF(main!BA78="","",ROUND(main!BA78*100,6))</f>
        <v/>
      </c>
      <c r="AP75" s="68" t="str">
        <f>IF(main!BB78="","",ROUND(main!BB78*100,6))</f>
        <v/>
      </c>
      <c r="AQ75" s="68" t="str">
        <f>IF(main!BC78="","",ROUND(main!BC78*100,6))</f>
        <v/>
      </c>
      <c r="AR75" s="68" t="str">
        <f>IF(main!BD78="","",ROUND(main!BD78*100,6))</f>
        <v/>
      </c>
      <c r="AS75" s="68" t="str">
        <f>IF(main!BE78="","",ROUND(main!BE78*100,6))</f>
        <v/>
      </c>
      <c r="AT75" s="68" t="str">
        <f>IF(main!BF78="","",ROUND(main!BF78*100,6))</f>
        <v/>
      </c>
      <c r="AU75" s="68" t="str">
        <f>IF(main!BG78="","",ROUND(main!BG78*100,6))</f>
        <v/>
      </c>
      <c r="AV75" s="68" t="str">
        <f>IF(main!BH78="","",ROUND(main!BH78*100,6))</f>
        <v/>
      </c>
      <c r="AW75" s="68" t="str">
        <f>IF(main!BI78="","",ROUND(main!BI78*100,6))</f>
        <v/>
      </c>
      <c r="AX75" s="68" t="str">
        <f>IF(main!BJ78="","",ROUND(main!BJ78*100,6))</f>
        <v/>
      </c>
      <c r="AY75" s="68" t="str">
        <f>IF(main!BK78="","",ROUND(main!BK78*100,6))</f>
        <v/>
      </c>
      <c r="AZ75" s="68" t="str">
        <f>IF(main!BL78="","",ROUND(main!BL78*100,6))</f>
        <v/>
      </c>
      <c r="BA75" s="68" t="str">
        <f>IF(main!BM78="","",ROUND(main!BM78*100,6))</f>
        <v/>
      </c>
      <c r="BB75" s="68" t="str">
        <f>IF(main!BN78="","",ROUND(main!BN78*100,6))</f>
        <v/>
      </c>
      <c r="BC75" s="68" t="str">
        <f>IF(main!BO78="","",ROUND(main!BO78*100,6))</f>
        <v/>
      </c>
      <c r="BD75" s="68" t="str">
        <f>IF(main!BP78="","",ROUND(main!BP78*100,6))</f>
        <v/>
      </c>
      <c r="BE75" s="68" t="str">
        <f>IF(main!BQ78="","",ROUND(main!BQ78*100,6))</f>
        <v/>
      </c>
      <c r="BF75" s="68" t="str">
        <f>IF(main!BR78="","",ROUND(main!BR78*100,6))</f>
        <v/>
      </c>
      <c r="BG75" s="68" t="str">
        <f>IF(main!BS78="","",ROUND(main!BS78*100,6))</f>
        <v/>
      </c>
      <c r="BH75" s="68" t="str">
        <f>IF(main!BT78="","",ROUND(main!BT78*100,6))</f>
        <v/>
      </c>
      <c r="BI75" s="68" t="str">
        <f>IF(main!BU78="","",ROUND(main!BU78*100,6))</f>
        <v/>
      </c>
      <c r="BJ75" s="68" t="str">
        <f>IF(main!BV78="","",ROUND(main!BV78*100,6))</f>
        <v/>
      </c>
      <c r="BK75" s="68" t="str">
        <f>IF(main!BW78="","",ROUND(main!BW78*100,6))</f>
        <v/>
      </c>
      <c r="BL75" s="68" t="str">
        <f>IF(main!BX78="","",ROUND(main!BX78*100,6))</f>
        <v/>
      </c>
      <c r="BM75" s="68" t="str">
        <f>IF(main!BY78="","",ROUND(main!BY78*100,6))</f>
        <v/>
      </c>
      <c r="BN75" s="68" t="str">
        <f>IF(main!BZ78="","",ROUND(main!BZ78*100,6))</f>
        <v/>
      </c>
      <c r="BO75" s="68" t="str">
        <f>IF(main!CA78="","",ROUND(main!CA78*100,6))</f>
        <v/>
      </c>
      <c r="BP75" s="68" t="str">
        <f>IF(main!CB78="","",ROUND(main!CB78*100,6))</f>
        <v/>
      </c>
      <c r="BQ75" s="68" t="str">
        <f>IF(main!CC78="","",ROUND(main!CC78*100,6))</f>
        <v/>
      </c>
      <c r="BR75" s="68" t="str">
        <f>IF(main!CD78="","",ROUND(main!CD78*100,6))</f>
        <v/>
      </c>
      <c r="BS75" s="68" t="str">
        <f>IF(main!CE78="","",ROUND(main!CE78*100,6))</f>
        <v/>
      </c>
      <c r="BT75" s="68" t="str">
        <f>IF(main!CF78="","",ROUND(main!CF78*100,6))</f>
        <v/>
      </c>
      <c r="BU75" s="68" t="str">
        <f>IF(main!CG78="","",ROUND(main!CG78*100,6))</f>
        <v/>
      </c>
      <c r="BV75" s="68" t="str">
        <f>IF(main!CH78="","",ROUND(main!CH78*100,6))</f>
        <v/>
      </c>
      <c r="BW75" s="68" t="str">
        <f>IF(main!CI78="","",ROUND(main!CI78*100,6))</f>
        <v/>
      </c>
      <c r="BX75" s="68" t="str">
        <f>IF(main!CJ78="","",ROUND(main!CJ78*100,6))</f>
        <v/>
      </c>
      <c r="BY75" s="68" t="str">
        <f>IF(main!CK78="","",ROUND(main!CK78*100,6))</f>
        <v/>
      </c>
      <c r="BZ75" s="68" t="str">
        <f>IF(main!CL78="","",ROUND(main!CL78*100,6))</f>
        <v/>
      </c>
      <c r="CA75" s="68" t="str">
        <f>IF(main!CM78="","",ROUND(main!CM78*100,6))</f>
        <v/>
      </c>
      <c r="CB75" s="68" t="str">
        <f>IF(main!CN78="","",ROUND(main!CN78*100,6))</f>
        <v/>
      </c>
      <c r="CC75" s="68" t="str">
        <f>IF(main!CO78="","",ROUND(main!CO78*100,6))</f>
        <v/>
      </c>
    </row>
    <row r="76" spans="1:81" x14ac:dyDescent="0.25">
      <c r="A76" s="65" t="s">
        <v>206</v>
      </c>
      <c r="B76" s="66" t="str">
        <f>main!C79</f>
        <v>Steel Roof Frame</v>
      </c>
      <c r="C76" s="67">
        <f>main!O79</f>
        <v>100000</v>
      </c>
      <c r="D76" s="65" t="s">
        <v>110</v>
      </c>
      <c r="E76" s="68">
        <f t="shared" si="1"/>
        <v>100</v>
      </c>
      <c r="F76" s="68" t="str">
        <f>IF(main!R79="","",ROUND(main!R79*100,6))</f>
        <v/>
      </c>
      <c r="G76" s="68" t="str">
        <f>IF(main!S79="","",ROUND(main!S79*100,6))</f>
        <v/>
      </c>
      <c r="H76" s="68" t="str">
        <f>IF(main!T79="","",ROUND(main!T79*100,6))</f>
        <v/>
      </c>
      <c r="I76" s="68" t="str">
        <f>IF(main!U79="","",ROUND(main!U79*100,6))</f>
        <v/>
      </c>
      <c r="J76" s="68" t="str">
        <f>IF(main!V79="","",ROUND(main!V79*100,6))</f>
        <v/>
      </c>
      <c r="K76" s="68" t="str">
        <f>IF(main!W79="","",ROUND(main!W79*100,6))</f>
        <v/>
      </c>
      <c r="L76" s="68" t="str">
        <f>IF(main!X79="","",ROUND(main!X79*100,6))</f>
        <v/>
      </c>
      <c r="M76" s="68" t="str">
        <f>IF(main!Y79="","",ROUND(main!Y79*100,6))</f>
        <v/>
      </c>
      <c r="N76" s="68" t="str">
        <f>IF(main!Z79="","",ROUND(main!Z79*100,6))</f>
        <v/>
      </c>
      <c r="O76" s="68" t="str">
        <f>IF(main!AA79="","",ROUND(main!AA79*100,6))</f>
        <v/>
      </c>
      <c r="P76" s="68" t="str">
        <f>IF(main!AB79="","",ROUND(main!AB79*100,6))</f>
        <v/>
      </c>
      <c r="Q76" s="68" t="str">
        <f>IF(main!AC79="","",ROUND(main!AC79*100,6))</f>
        <v/>
      </c>
      <c r="R76" s="68" t="str">
        <f>IF(main!AD79="","",ROUND(main!AD79*100,6))</f>
        <v/>
      </c>
      <c r="S76" s="68" t="str">
        <f>IF(main!AE79="","",ROUND(main!AE79*100,6))</f>
        <v/>
      </c>
      <c r="T76" s="68" t="str">
        <f>IF(main!AF79="","",ROUND(main!AF79*100,6))</f>
        <v/>
      </c>
      <c r="U76" s="68" t="str">
        <f>IF(main!AG79="","",ROUND(main!AG79*100,6))</f>
        <v/>
      </c>
      <c r="V76" s="68" t="str">
        <f>IF(main!AH79="","",ROUND(main!AH79*100,6))</f>
        <v/>
      </c>
      <c r="W76" s="68" t="str">
        <f>IF(main!AI79="","",ROUND(main!AI79*100,6))</f>
        <v/>
      </c>
      <c r="X76" s="68" t="str">
        <f>IF(main!AJ79="","",ROUND(main!AJ79*100,6))</f>
        <v/>
      </c>
      <c r="Y76" s="68" t="str">
        <f>IF(main!AK79="","",ROUND(main!AK79*100,6))</f>
        <v/>
      </c>
      <c r="Z76" s="68" t="str">
        <f>IF(main!AL79="","",ROUND(main!AL79*100,6))</f>
        <v/>
      </c>
      <c r="AA76" s="68" t="str">
        <f>IF(main!AM79="","",ROUND(main!AM79*100,6))</f>
        <v/>
      </c>
      <c r="AB76" s="68" t="str">
        <f>IF(main!AN79="","",ROUND(main!AN79*100,6))</f>
        <v/>
      </c>
      <c r="AC76" s="68" t="str">
        <f>IF(main!AO79="","",ROUND(main!AO79*100,6))</f>
        <v/>
      </c>
      <c r="AD76" s="68" t="str">
        <f>IF(main!AP79="","",ROUND(main!AP79*100,6))</f>
        <v/>
      </c>
      <c r="AE76" s="68" t="str">
        <f>IF(main!AQ79="","",ROUND(main!AQ79*100,6))</f>
        <v/>
      </c>
      <c r="AF76" s="68" t="str">
        <f>IF(main!AR79="","",ROUND(main!AR79*100,6))</f>
        <v/>
      </c>
      <c r="AG76" s="68" t="str">
        <f>IF(main!AS79="","",ROUND(main!AS79*100,6))</f>
        <v/>
      </c>
      <c r="AH76" s="68" t="str">
        <f>IF(main!AT79="","",ROUND(main!AT79*100,6))</f>
        <v/>
      </c>
      <c r="AI76" s="68" t="str">
        <f>IF(main!AU79="","",ROUND(main!AU79*100,6))</f>
        <v/>
      </c>
      <c r="AJ76" s="68" t="str">
        <f>IF(main!AV79="","",ROUND(main!AV79*100,6))</f>
        <v/>
      </c>
      <c r="AK76" s="68" t="str">
        <f>IF(main!AW79="","",ROUND(main!AW79*100,6))</f>
        <v/>
      </c>
      <c r="AL76" s="68" t="str">
        <f>IF(main!AX79="","",ROUND(main!AX79*100,6))</f>
        <v/>
      </c>
      <c r="AM76" s="68" t="str">
        <f>IF(main!AY79="","",ROUND(main!AY79*100,6))</f>
        <v/>
      </c>
      <c r="AN76" s="68" t="str">
        <f>IF(main!AZ79="","",ROUND(main!AZ79*100,6))</f>
        <v/>
      </c>
      <c r="AO76" s="68" t="str">
        <f>IF(main!BA79="","",ROUND(main!BA79*100,6))</f>
        <v/>
      </c>
      <c r="AP76" s="68" t="str">
        <f>IF(main!BB79="","",ROUND(main!BB79*100,6))</f>
        <v/>
      </c>
      <c r="AQ76" s="68" t="str">
        <f>IF(main!BC79="","",ROUND(main!BC79*100,6))</f>
        <v/>
      </c>
      <c r="AR76" s="68" t="str">
        <f>IF(main!BD79="","",ROUND(main!BD79*100,6))</f>
        <v/>
      </c>
      <c r="AS76" s="68">
        <f>IF(main!BE79="","",ROUND(main!BE79*100,6))</f>
        <v>14.285714</v>
      </c>
      <c r="AT76" s="68">
        <f>IF(main!BF79="","",ROUND(main!BF79*100,6))</f>
        <v>50</v>
      </c>
      <c r="AU76" s="68">
        <f>IF(main!BG79="","",ROUND(main!BG79*100,6))</f>
        <v>35.714286000000001</v>
      </c>
      <c r="AV76" s="68" t="str">
        <f>IF(main!BH79="","",ROUND(main!BH79*100,6))</f>
        <v/>
      </c>
      <c r="AW76" s="68" t="str">
        <f>IF(main!BI79="","",ROUND(main!BI79*100,6))</f>
        <v/>
      </c>
      <c r="AX76" s="68" t="str">
        <f>IF(main!BJ79="","",ROUND(main!BJ79*100,6))</f>
        <v/>
      </c>
      <c r="AY76" s="68" t="str">
        <f>IF(main!BK79="","",ROUND(main!BK79*100,6))</f>
        <v/>
      </c>
      <c r="AZ76" s="68" t="str">
        <f>IF(main!BL79="","",ROUND(main!BL79*100,6))</f>
        <v/>
      </c>
      <c r="BA76" s="68" t="str">
        <f>IF(main!BM79="","",ROUND(main!BM79*100,6))</f>
        <v/>
      </c>
      <c r="BB76" s="68" t="str">
        <f>IF(main!BN79="","",ROUND(main!BN79*100,6))</f>
        <v/>
      </c>
      <c r="BC76" s="68" t="str">
        <f>IF(main!BO79="","",ROUND(main!BO79*100,6))</f>
        <v/>
      </c>
      <c r="BD76" s="68" t="str">
        <f>IF(main!BP79="","",ROUND(main!BP79*100,6))</f>
        <v/>
      </c>
      <c r="BE76" s="68" t="str">
        <f>IF(main!BQ79="","",ROUND(main!BQ79*100,6))</f>
        <v/>
      </c>
      <c r="BF76" s="68" t="str">
        <f>IF(main!BR79="","",ROUND(main!BR79*100,6))</f>
        <v/>
      </c>
      <c r="BG76" s="68" t="str">
        <f>IF(main!BS79="","",ROUND(main!BS79*100,6))</f>
        <v/>
      </c>
      <c r="BH76" s="68" t="str">
        <f>IF(main!BT79="","",ROUND(main!BT79*100,6))</f>
        <v/>
      </c>
      <c r="BI76" s="68" t="str">
        <f>IF(main!BU79="","",ROUND(main!BU79*100,6))</f>
        <v/>
      </c>
      <c r="BJ76" s="68" t="str">
        <f>IF(main!BV79="","",ROUND(main!BV79*100,6))</f>
        <v/>
      </c>
      <c r="BK76" s="68" t="str">
        <f>IF(main!BW79="","",ROUND(main!BW79*100,6))</f>
        <v/>
      </c>
      <c r="BL76" s="68" t="str">
        <f>IF(main!BX79="","",ROUND(main!BX79*100,6))</f>
        <v/>
      </c>
      <c r="BM76" s="68" t="str">
        <f>IF(main!BY79="","",ROUND(main!BY79*100,6))</f>
        <v/>
      </c>
      <c r="BN76" s="68" t="str">
        <f>IF(main!BZ79="","",ROUND(main!BZ79*100,6))</f>
        <v/>
      </c>
      <c r="BO76" s="68" t="str">
        <f>IF(main!CA79="","",ROUND(main!CA79*100,6))</f>
        <v/>
      </c>
      <c r="BP76" s="68" t="str">
        <f>IF(main!CB79="","",ROUND(main!CB79*100,6))</f>
        <v/>
      </c>
      <c r="BQ76" s="68" t="str">
        <f>IF(main!CC79="","",ROUND(main!CC79*100,6))</f>
        <v/>
      </c>
      <c r="BR76" s="68" t="str">
        <f>IF(main!CD79="","",ROUND(main!CD79*100,6))</f>
        <v/>
      </c>
      <c r="BS76" s="68" t="str">
        <f>IF(main!CE79="","",ROUND(main!CE79*100,6))</f>
        <v/>
      </c>
      <c r="BT76" s="68" t="str">
        <f>IF(main!CF79="","",ROUND(main!CF79*100,6))</f>
        <v/>
      </c>
      <c r="BU76" s="68" t="str">
        <f>IF(main!CG79="","",ROUND(main!CG79*100,6))</f>
        <v/>
      </c>
      <c r="BV76" s="68" t="str">
        <f>IF(main!CH79="","",ROUND(main!CH79*100,6))</f>
        <v/>
      </c>
      <c r="BW76" s="68" t="str">
        <f>IF(main!CI79="","",ROUND(main!CI79*100,6))</f>
        <v/>
      </c>
      <c r="BX76" s="68" t="str">
        <f>IF(main!CJ79="","",ROUND(main!CJ79*100,6))</f>
        <v/>
      </c>
      <c r="BY76" s="68" t="str">
        <f>IF(main!CK79="","",ROUND(main!CK79*100,6))</f>
        <v/>
      </c>
      <c r="BZ76" s="68" t="str">
        <f>IF(main!CL79="","",ROUND(main!CL79*100,6))</f>
        <v/>
      </c>
      <c r="CA76" s="68" t="str">
        <f>IF(main!CM79="","",ROUND(main!CM79*100,6))</f>
        <v/>
      </c>
      <c r="CB76" s="68" t="str">
        <f>IF(main!CN79="","",ROUND(main!CN79*100,6))</f>
        <v/>
      </c>
      <c r="CC76" s="68" t="str">
        <f>IF(main!CO79="","",ROUND(main!CO79*100,6))</f>
        <v/>
      </c>
    </row>
    <row r="77" spans="1:81" x14ac:dyDescent="0.25">
      <c r="A77" s="65" t="s">
        <v>206</v>
      </c>
      <c r="B77" s="66" t="str">
        <f>main!C79</f>
        <v>Steel Roof Frame</v>
      </c>
      <c r="C77" s="67">
        <f>main!O79</f>
        <v>100000</v>
      </c>
      <c r="D77" s="65" t="s">
        <v>111</v>
      </c>
      <c r="E77" s="68" t="str">
        <f t="shared" si="1"/>
        <v/>
      </c>
      <c r="F77" s="68" t="str">
        <f>IF(main!R80="","",ROUND(main!R80*100,6))</f>
        <v/>
      </c>
      <c r="G77" s="68" t="str">
        <f>IF(main!S80="","",ROUND(main!S80*100,6))</f>
        <v/>
      </c>
      <c r="H77" s="68" t="str">
        <f>IF(main!T80="","",ROUND(main!T80*100,6))</f>
        <v/>
      </c>
      <c r="I77" s="68" t="str">
        <f>IF(main!U80="","",ROUND(main!U80*100,6))</f>
        <v/>
      </c>
      <c r="J77" s="68" t="str">
        <f>IF(main!V80="","",ROUND(main!V80*100,6))</f>
        <v/>
      </c>
      <c r="K77" s="68" t="str">
        <f>IF(main!W80="","",ROUND(main!W80*100,6))</f>
        <v/>
      </c>
      <c r="L77" s="68" t="str">
        <f>IF(main!X80="","",ROUND(main!X80*100,6))</f>
        <v/>
      </c>
      <c r="M77" s="68" t="str">
        <f>IF(main!Y80="","",ROUND(main!Y80*100,6))</f>
        <v/>
      </c>
      <c r="N77" s="68" t="str">
        <f>IF(main!Z80="","",ROUND(main!Z80*100,6))</f>
        <v/>
      </c>
      <c r="O77" s="68" t="str">
        <f>IF(main!AA80="","",ROUND(main!AA80*100,6))</f>
        <v/>
      </c>
      <c r="P77" s="68" t="str">
        <f>IF(main!AB80="","",ROUND(main!AB80*100,6))</f>
        <v/>
      </c>
      <c r="Q77" s="68" t="str">
        <f>IF(main!AC80="","",ROUND(main!AC80*100,6))</f>
        <v/>
      </c>
      <c r="R77" s="68" t="str">
        <f>IF(main!AD80="","",ROUND(main!AD80*100,6))</f>
        <v/>
      </c>
      <c r="S77" s="68" t="str">
        <f>IF(main!AE80="","",ROUND(main!AE80*100,6))</f>
        <v/>
      </c>
      <c r="T77" s="68" t="str">
        <f>IF(main!AF80="","",ROUND(main!AF80*100,6))</f>
        <v/>
      </c>
      <c r="U77" s="68" t="str">
        <f>IF(main!AG80="","",ROUND(main!AG80*100,6))</f>
        <v/>
      </c>
      <c r="V77" s="68" t="str">
        <f>IF(main!AH80="","",ROUND(main!AH80*100,6))</f>
        <v/>
      </c>
      <c r="W77" s="68" t="str">
        <f>IF(main!AI80="","",ROUND(main!AI80*100,6))</f>
        <v/>
      </c>
      <c r="X77" s="68" t="str">
        <f>IF(main!AJ80="","",ROUND(main!AJ80*100,6))</f>
        <v/>
      </c>
      <c r="Y77" s="68" t="str">
        <f>IF(main!AK80="","",ROUND(main!AK80*100,6))</f>
        <v/>
      </c>
      <c r="Z77" s="68" t="str">
        <f>IF(main!AL80="","",ROUND(main!AL80*100,6))</f>
        <v/>
      </c>
      <c r="AA77" s="68" t="str">
        <f>IF(main!AM80="","",ROUND(main!AM80*100,6))</f>
        <v/>
      </c>
      <c r="AB77" s="68" t="str">
        <f>IF(main!AN80="","",ROUND(main!AN80*100,6))</f>
        <v/>
      </c>
      <c r="AC77" s="68" t="str">
        <f>IF(main!AO80="","",ROUND(main!AO80*100,6))</f>
        <v/>
      </c>
      <c r="AD77" s="68" t="str">
        <f>IF(main!AP80="","",ROUND(main!AP80*100,6))</f>
        <v/>
      </c>
      <c r="AE77" s="68" t="str">
        <f>IF(main!AQ80="","",ROUND(main!AQ80*100,6))</f>
        <v/>
      </c>
      <c r="AF77" s="68" t="str">
        <f>IF(main!AR80="","",ROUND(main!AR80*100,6))</f>
        <v/>
      </c>
      <c r="AG77" s="68" t="str">
        <f>IF(main!AS80="","",ROUND(main!AS80*100,6))</f>
        <v/>
      </c>
      <c r="AH77" s="68" t="str">
        <f>IF(main!AT80="","",ROUND(main!AT80*100,6))</f>
        <v/>
      </c>
      <c r="AI77" s="68" t="str">
        <f>IF(main!AU80="","",ROUND(main!AU80*100,6))</f>
        <v/>
      </c>
      <c r="AJ77" s="68" t="str">
        <f>IF(main!AV80="","",ROUND(main!AV80*100,6))</f>
        <v/>
      </c>
      <c r="AK77" s="68" t="str">
        <f>IF(main!AW80="","",ROUND(main!AW80*100,6))</f>
        <v/>
      </c>
      <c r="AL77" s="68" t="str">
        <f>IF(main!AX80="","",ROUND(main!AX80*100,6))</f>
        <v/>
      </c>
      <c r="AM77" s="68" t="str">
        <f>IF(main!AY80="","",ROUND(main!AY80*100,6))</f>
        <v/>
      </c>
      <c r="AN77" s="68" t="str">
        <f>IF(main!AZ80="","",ROUND(main!AZ80*100,6))</f>
        <v/>
      </c>
      <c r="AO77" s="68" t="str">
        <f>IF(main!BA80="","",ROUND(main!BA80*100,6))</f>
        <v/>
      </c>
      <c r="AP77" s="68" t="str">
        <f>IF(main!BB80="","",ROUND(main!BB80*100,6))</f>
        <v/>
      </c>
      <c r="AQ77" s="68" t="str">
        <f>IF(main!BC80="","",ROUND(main!BC80*100,6))</f>
        <v/>
      </c>
      <c r="AR77" s="68" t="str">
        <f>IF(main!BD80="","",ROUND(main!BD80*100,6))</f>
        <v/>
      </c>
      <c r="AS77" s="68" t="str">
        <f>IF(main!BE80="","",ROUND(main!BE80*100,6))</f>
        <v/>
      </c>
      <c r="AT77" s="68" t="str">
        <f>IF(main!BF80="","",ROUND(main!BF80*100,6))</f>
        <v/>
      </c>
      <c r="AU77" s="68" t="str">
        <f>IF(main!BG80="","",ROUND(main!BG80*100,6))</f>
        <v/>
      </c>
      <c r="AV77" s="68" t="str">
        <f>IF(main!BH80="","",ROUND(main!BH80*100,6))</f>
        <v/>
      </c>
      <c r="AW77" s="68" t="str">
        <f>IF(main!BI80="","",ROUND(main!BI80*100,6))</f>
        <v/>
      </c>
      <c r="AX77" s="68" t="str">
        <f>IF(main!BJ80="","",ROUND(main!BJ80*100,6))</f>
        <v/>
      </c>
      <c r="AY77" s="68" t="str">
        <f>IF(main!BK80="","",ROUND(main!BK80*100,6))</f>
        <v/>
      </c>
      <c r="AZ77" s="68" t="str">
        <f>IF(main!BL80="","",ROUND(main!BL80*100,6))</f>
        <v/>
      </c>
      <c r="BA77" s="68" t="str">
        <f>IF(main!BM80="","",ROUND(main!BM80*100,6))</f>
        <v/>
      </c>
      <c r="BB77" s="68" t="str">
        <f>IF(main!BN80="","",ROUND(main!BN80*100,6))</f>
        <v/>
      </c>
      <c r="BC77" s="68" t="str">
        <f>IF(main!BO80="","",ROUND(main!BO80*100,6))</f>
        <v/>
      </c>
      <c r="BD77" s="68" t="str">
        <f>IF(main!BP80="","",ROUND(main!BP80*100,6))</f>
        <v/>
      </c>
      <c r="BE77" s="68" t="str">
        <f>IF(main!BQ80="","",ROUND(main!BQ80*100,6))</f>
        <v/>
      </c>
      <c r="BF77" s="68" t="str">
        <f>IF(main!BR80="","",ROUND(main!BR80*100,6))</f>
        <v/>
      </c>
      <c r="BG77" s="68" t="str">
        <f>IF(main!BS80="","",ROUND(main!BS80*100,6))</f>
        <v/>
      </c>
      <c r="BH77" s="68" t="str">
        <f>IF(main!BT80="","",ROUND(main!BT80*100,6))</f>
        <v/>
      </c>
      <c r="BI77" s="68" t="str">
        <f>IF(main!BU80="","",ROUND(main!BU80*100,6))</f>
        <v/>
      </c>
      <c r="BJ77" s="68" t="str">
        <f>IF(main!BV80="","",ROUND(main!BV80*100,6))</f>
        <v/>
      </c>
      <c r="BK77" s="68" t="str">
        <f>IF(main!BW80="","",ROUND(main!BW80*100,6))</f>
        <v/>
      </c>
      <c r="BL77" s="68" t="str">
        <f>IF(main!BX80="","",ROUND(main!BX80*100,6))</f>
        <v/>
      </c>
      <c r="BM77" s="68" t="str">
        <f>IF(main!BY80="","",ROUND(main!BY80*100,6))</f>
        <v/>
      </c>
      <c r="BN77" s="68" t="str">
        <f>IF(main!BZ80="","",ROUND(main!BZ80*100,6))</f>
        <v/>
      </c>
      <c r="BO77" s="68" t="str">
        <f>IF(main!CA80="","",ROUND(main!CA80*100,6))</f>
        <v/>
      </c>
      <c r="BP77" s="68" t="str">
        <f>IF(main!CB80="","",ROUND(main!CB80*100,6))</f>
        <v/>
      </c>
      <c r="BQ77" s="68" t="str">
        <f>IF(main!CC80="","",ROUND(main!CC80*100,6))</f>
        <v/>
      </c>
      <c r="BR77" s="68" t="str">
        <f>IF(main!CD80="","",ROUND(main!CD80*100,6))</f>
        <v/>
      </c>
      <c r="BS77" s="68" t="str">
        <f>IF(main!CE80="","",ROUND(main!CE80*100,6))</f>
        <v/>
      </c>
      <c r="BT77" s="68" t="str">
        <f>IF(main!CF80="","",ROUND(main!CF80*100,6))</f>
        <v/>
      </c>
      <c r="BU77" s="68" t="str">
        <f>IF(main!CG80="","",ROUND(main!CG80*100,6))</f>
        <v/>
      </c>
      <c r="BV77" s="68" t="str">
        <f>IF(main!CH80="","",ROUND(main!CH80*100,6))</f>
        <v/>
      </c>
      <c r="BW77" s="68" t="str">
        <f>IF(main!CI80="","",ROUND(main!CI80*100,6))</f>
        <v/>
      </c>
      <c r="BX77" s="68" t="str">
        <f>IF(main!CJ80="","",ROUND(main!CJ80*100,6))</f>
        <v/>
      </c>
      <c r="BY77" s="68" t="str">
        <f>IF(main!CK80="","",ROUND(main!CK80*100,6))</f>
        <v/>
      </c>
      <c r="BZ77" s="68" t="str">
        <f>IF(main!CL80="","",ROUND(main!CL80*100,6))</f>
        <v/>
      </c>
      <c r="CA77" s="68" t="str">
        <f>IF(main!CM80="","",ROUND(main!CM80*100,6))</f>
        <v/>
      </c>
      <c r="CB77" s="68" t="str">
        <f>IF(main!CN80="","",ROUND(main!CN80*100,6))</f>
        <v/>
      </c>
      <c r="CC77" s="68" t="str">
        <f>IF(main!CO80="","",ROUND(main!CO80*100,6))</f>
        <v/>
      </c>
    </row>
    <row r="78" spans="1:81" x14ac:dyDescent="0.25">
      <c r="A78" s="65" t="s">
        <v>209</v>
      </c>
      <c r="B78" s="66" t="str">
        <f>main!C81</f>
        <v>ห้องสนามหลวง</v>
      </c>
      <c r="C78" s="67">
        <f>main!O81</f>
        <v>300000</v>
      </c>
      <c r="D78" s="65" t="s">
        <v>110</v>
      </c>
      <c r="E78" s="68">
        <f t="shared" si="1"/>
        <v>100.000001</v>
      </c>
      <c r="F78" s="68" t="str">
        <f>IF(main!R81="","",ROUND(main!R81*100,6))</f>
        <v/>
      </c>
      <c r="G78" s="68" t="str">
        <f>IF(main!S81="","",ROUND(main!S81*100,6))</f>
        <v/>
      </c>
      <c r="H78" s="68" t="str">
        <f>IF(main!T81="","",ROUND(main!T81*100,6))</f>
        <v/>
      </c>
      <c r="I78" s="68" t="str">
        <f>IF(main!U81="","",ROUND(main!U81*100,6))</f>
        <v/>
      </c>
      <c r="J78" s="68" t="str">
        <f>IF(main!V81="","",ROUND(main!V81*100,6))</f>
        <v/>
      </c>
      <c r="K78" s="68" t="str">
        <f>IF(main!W81="","",ROUND(main!W81*100,6))</f>
        <v/>
      </c>
      <c r="L78" s="68" t="str">
        <f>IF(main!X81="","",ROUND(main!X81*100,6))</f>
        <v/>
      </c>
      <c r="M78" s="68" t="str">
        <f>IF(main!Y81="","",ROUND(main!Y81*100,6))</f>
        <v/>
      </c>
      <c r="N78" s="68" t="str">
        <f>IF(main!Z81="","",ROUND(main!Z81*100,6))</f>
        <v/>
      </c>
      <c r="O78" s="68" t="str">
        <f>IF(main!AA81="","",ROUND(main!AA81*100,6))</f>
        <v/>
      </c>
      <c r="P78" s="68" t="str">
        <f>IF(main!AB81="","",ROUND(main!AB81*100,6))</f>
        <v/>
      </c>
      <c r="Q78" s="68" t="str">
        <f>IF(main!AC81="","",ROUND(main!AC81*100,6))</f>
        <v/>
      </c>
      <c r="R78" s="68" t="str">
        <f>IF(main!AD81="","",ROUND(main!AD81*100,6))</f>
        <v/>
      </c>
      <c r="S78" s="68" t="str">
        <f>IF(main!AE81="","",ROUND(main!AE81*100,6))</f>
        <v/>
      </c>
      <c r="T78" s="68" t="str">
        <f>IF(main!AF81="","",ROUND(main!AF81*100,6))</f>
        <v/>
      </c>
      <c r="U78" s="68" t="str">
        <f>IF(main!AG81="","",ROUND(main!AG81*100,6))</f>
        <v/>
      </c>
      <c r="V78" s="68" t="str">
        <f>IF(main!AH81="","",ROUND(main!AH81*100,6))</f>
        <v/>
      </c>
      <c r="W78" s="68" t="str">
        <f>IF(main!AI81="","",ROUND(main!AI81*100,6))</f>
        <v/>
      </c>
      <c r="X78" s="68" t="str">
        <f>IF(main!AJ81="","",ROUND(main!AJ81*100,6))</f>
        <v/>
      </c>
      <c r="Y78" s="68" t="str">
        <f>IF(main!AK81="","",ROUND(main!AK81*100,6))</f>
        <v/>
      </c>
      <c r="Z78" s="68" t="str">
        <f>IF(main!AL81="","",ROUND(main!AL81*100,6))</f>
        <v/>
      </c>
      <c r="AA78" s="68" t="str">
        <f>IF(main!AM81="","",ROUND(main!AM81*100,6))</f>
        <v/>
      </c>
      <c r="AB78" s="68" t="str">
        <f>IF(main!AN81="","",ROUND(main!AN81*100,6))</f>
        <v/>
      </c>
      <c r="AC78" s="68" t="str">
        <f>IF(main!AO81="","",ROUND(main!AO81*100,6))</f>
        <v/>
      </c>
      <c r="AD78" s="68" t="str">
        <f>IF(main!AP81="","",ROUND(main!AP81*100,6))</f>
        <v/>
      </c>
      <c r="AE78" s="68" t="str">
        <f>IF(main!AQ81="","",ROUND(main!AQ81*100,6))</f>
        <v/>
      </c>
      <c r="AF78" s="68" t="str">
        <f>IF(main!AR81="","",ROUND(main!AR81*100,6))</f>
        <v/>
      </c>
      <c r="AG78" s="68" t="str">
        <f>IF(main!AS81="","",ROUND(main!AS81*100,6))</f>
        <v/>
      </c>
      <c r="AH78" s="68" t="str">
        <f>IF(main!AT81="","",ROUND(main!AT81*100,6))</f>
        <v/>
      </c>
      <c r="AI78" s="68" t="str">
        <f>IF(main!AU81="","",ROUND(main!AU81*100,6))</f>
        <v/>
      </c>
      <c r="AJ78" s="68" t="str">
        <f>IF(main!AV81="","",ROUND(main!AV81*100,6))</f>
        <v/>
      </c>
      <c r="AK78" s="68" t="str">
        <f>IF(main!AW81="","",ROUND(main!AW81*100,6))</f>
        <v/>
      </c>
      <c r="AL78" s="68" t="str">
        <f>IF(main!AX81="","",ROUND(main!AX81*100,6))</f>
        <v/>
      </c>
      <c r="AM78" s="68" t="str">
        <f>IF(main!AY81="","",ROUND(main!AY81*100,6))</f>
        <v/>
      </c>
      <c r="AN78" s="68" t="str">
        <f>IF(main!AZ81="","",ROUND(main!AZ81*100,6))</f>
        <v/>
      </c>
      <c r="AO78" s="68" t="str">
        <f>IF(main!BA81="","",ROUND(main!BA81*100,6))</f>
        <v/>
      </c>
      <c r="AP78" s="68" t="str">
        <f>IF(main!BB81="","",ROUND(main!BB81*100,6))</f>
        <v/>
      </c>
      <c r="AQ78" s="68" t="str">
        <f>IF(main!BC81="","",ROUND(main!BC81*100,6))</f>
        <v/>
      </c>
      <c r="AR78" s="68" t="str">
        <f>IF(main!BD81="","",ROUND(main!BD81*100,6))</f>
        <v/>
      </c>
      <c r="AS78" s="68" t="str">
        <f>IF(main!BE81="","",ROUND(main!BE81*100,6))</f>
        <v/>
      </c>
      <c r="AT78" s="68" t="str">
        <f>IF(main!BF81="","",ROUND(main!BF81*100,6))</f>
        <v/>
      </c>
      <c r="AU78" s="68">
        <f>IF(main!BG81="","",ROUND(main!BG81*100,6))</f>
        <v>9.5238099999999992</v>
      </c>
      <c r="AV78" s="68">
        <f>IF(main!BH81="","",ROUND(main!BH81*100,6))</f>
        <v>33.333333000000003</v>
      </c>
      <c r="AW78" s="68">
        <f>IF(main!BI81="","",ROUND(main!BI81*100,6))</f>
        <v>28.571428999999998</v>
      </c>
      <c r="AX78" s="68">
        <f>IF(main!BJ81="","",ROUND(main!BJ81*100,6))</f>
        <v>16.666667</v>
      </c>
      <c r="AY78" s="68">
        <f>IF(main!BK81="","",ROUND(main!BK81*100,6))</f>
        <v>11.904762</v>
      </c>
      <c r="AZ78" s="68" t="str">
        <f>IF(main!BL81="","",ROUND(main!BL81*100,6))</f>
        <v/>
      </c>
      <c r="BA78" s="68" t="str">
        <f>IF(main!BM81="","",ROUND(main!BM81*100,6))</f>
        <v/>
      </c>
      <c r="BB78" s="68" t="str">
        <f>IF(main!BN81="","",ROUND(main!BN81*100,6))</f>
        <v/>
      </c>
      <c r="BC78" s="68" t="str">
        <f>IF(main!BO81="","",ROUND(main!BO81*100,6))</f>
        <v/>
      </c>
      <c r="BD78" s="68" t="str">
        <f>IF(main!BP81="","",ROUND(main!BP81*100,6))</f>
        <v/>
      </c>
      <c r="BE78" s="68" t="str">
        <f>IF(main!BQ81="","",ROUND(main!BQ81*100,6))</f>
        <v/>
      </c>
      <c r="BF78" s="68" t="str">
        <f>IF(main!BR81="","",ROUND(main!BR81*100,6))</f>
        <v/>
      </c>
      <c r="BG78" s="68" t="str">
        <f>IF(main!BS81="","",ROUND(main!BS81*100,6))</f>
        <v/>
      </c>
      <c r="BH78" s="68" t="str">
        <f>IF(main!BT81="","",ROUND(main!BT81*100,6))</f>
        <v/>
      </c>
      <c r="BI78" s="68" t="str">
        <f>IF(main!BU81="","",ROUND(main!BU81*100,6))</f>
        <v/>
      </c>
      <c r="BJ78" s="68" t="str">
        <f>IF(main!BV81="","",ROUND(main!BV81*100,6))</f>
        <v/>
      </c>
      <c r="BK78" s="68" t="str">
        <f>IF(main!BW81="","",ROUND(main!BW81*100,6))</f>
        <v/>
      </c>
      <c r="BL78" s="68" t="str">
        <f>IF(main!BX81="","",ROUND(main!BX81*100,6))</f>
        <v/>
      </c>
      <c r="BM78" s="68" t="str">
        <f>IF(main!BY81="","",ROUND(main!BY81*100,6))</f>
        <v/>
      </c>
      <c r="BN78" s="68" t="str">
        <f>IF(main!BZ81="","",ROUND(main!BZ81*100,6))</f>
        <v/>
      </c>
      <c r="BO78" s="68" t="str">
        <f>IF(main!CA81="","",ROUND(main!CA81*100,6))</f>
        <v/>
      </c>
      <c r="BP78" s="68" t="str">
        <f>IF(main!CB81="","",ROUND(main!CB81*100,6))</f>
        <v/>
      </c>
      <c r="BQ78" s="68" t="str">
        <f>IF(main!CC81="","",ROUND(main!CC81*100,6))</f>
        <v/>
      </c>
      <c r="BR78" s="68" t="str">
        <f>IF(main!CD81="","",ROUND(main!CD81*100,6))</f>
        <v/>
      </c>
      <c r="BS78" s="68" t="str">
        <f>IF(main!CE81="","",ROUND(main!CE81*100,6))</f>
        <v/>
      </c>
      <c r="BT78" s="68" t="str">
        <f>IF(main!CF81="","",ROUND(main!CF81*100,6))</f>
        <v/>
      </c>
      <c r="BU78" s="68" t="str">
        <f>IF(main!CG81="","",ROUND(main!CG81*100,6))</f>
        <v/>
      </c>
      <c r="BV78" s="68" t="str">
        <f>IF(main!CH81="","",ROUND(main!CH81*100,6))</f>
        <v/>
      </c>
      <c r="BW78" s="68" t="str">
        <f>IF(main!CI81="","",ROUND(main!CI81*100,6))</f>
        <v/>
      </c>
      <c r="BX78" s="68" t="str">
        <f>IF(main!CJ81="","",ROUND(main!CJ81*100,6))</f>
        <v/>
      </c>
      <c r="BY78" s="68" t="str">
        <f>IF(main!CK81="","",ROUND(main!CK81*100,6))</f>
        <v/>
      </c>
      <c r="BZ78" s="68" t="str">
        <f>IF(main!CL81="","",ROUND(main!CL81*100,6))</f>
        <v/>
      </c>
      <c r="CA78" s="68" t="str">
        <f>IF(main!CM81="","",ROUND(main!CM81*100,6))</f>
        <v/>
      </c>
      <c r="CB78" s="68" t="str">
        <f>IF(main!CN81="","",ROUND(main!CN81*100,6))</f>
        <v/>
      </c>
      <c r="CC78" s="68" t="str">
        <f>IF(main!CO81="","",ROUND(main!CO81*100,6))</f>
        <v/>
      </c>
    </row>
    <row r="79" spans="1:81" x14ac:dyDescent="0.25">
      <c r="A79" s="65" t="s">
        <v>209</v>
      </c>
      <c r="B79" s="66" t="str">
        <f>main!C81</f>
        <v>ห้องสนามหลวง</v>
      </c>
      <c r="C79" s="67">
        <f>main!O81</f>
        <v>300000</v>
      </c>
      <c r="D79" s="65" t="s">
        <v>111</v>
      </c>
      <c r="E79" s="68" t="str">
        <f t="shared" si="1"/>
        <v/>
      </c>
      <c r="F79" s="68" t="str">
        <f>IF(main!R82="","",ROUND(main!R82*100,6))</f>
        <v/>
      </c>
      <c r="G79" s="68" t="str">
        <f>IF(main!S82="","",ROUND(main!S82*100,6))</f>
        <v/>
      </c>
      <c r="H79" s="68" t="str">
        <f>IF(main!T82="","",ROUND(main!T82*100,6))</f>
        <v/>
      </c>
      <c r="I79" s="68" t="str">
        <f>IF(main!U82="","",ROUND(main!U82*100,6))</f>
        <v/>
      </c>
      <c r="J79" s="68" t="str">
        <f>IF(main!V82="","",ROUND(main!V82*100,6))</f>
        <v/>
      </c>
      <c r="K79" s="68" t="str">
        <f>IF(main!W82="","",ROUND(main!W82*100,6))</f>
        <v/>
      </c>
      <c r="L79" s="68" t="str">
        <f>IF(main!X82="","",ROUND(main!X82*100,6))</f>
        <v/>
      </c>
      <c r="M79" s="68" t="str">
        <f>IF(main!Y82="","",ROUND(main!Y82*100,6))</f>
        <v/>
      </c>
      <c r="N79" s="68" t="str">
        <f>IF(main!Z82="","",ROUND(main!Z82*100,6))</f>
        <v/>
      </c>
      <c r="O79" s="68" t="str">
        <f>IF(main!AA82="","",ROUND(main!AA82*100,6))</f>
        <v/>
      </c>
      <c r="P79" s="68" t="str">
        <f>IF(main!AB82="","",ROUND(main!AB82*100,6))</f>
        <v/>
      </c>
      <c r="Q79" s="68" t="str">
        <f>IF(main!AC82="","",ROUND(main!AC82*100,6))</f>
        <v/>
      </c>
      <c r="R79" s="68" t="str">
        <f>IF(main!AD82="","",ROUND(main!AD82*100,6))</f>
        <v/>
      </c>
      <c r="S79" s="68" t="str">
        <f>IF(main!AE82="","",ROUND(main!AE82*100,6))</f>
        <v/>
      </c>
      <c r="T79" s="68" t="str">
        <f>IF(main!AF82="","",ROUND(main!AF82*100,6))</f>
        <v/>
      </c>
      <c r="U79" s="68" t="str">
        <f>IF(main!AG82="","",ROUND(main!AG82*100,6))</f>
        <v/>
      </c>
      <c r="V79" s="68" t="str">
        <f>IF(main!AH82="","",ROUND(main!AH82*100,6))</f>
        <v/>
      </c>
      <c r="W79" s="68" t="str">
        <f>IF(main!AI82="","",ROUND(main!AI82*100,6))</f>
        <v/>
      </c>
      <c r="X79" s="68" t="str">
        <f>IF(main!AJ82="","",ROUND(main!AJ82*100,6))</f>
        <v/>
      </c>
      <c r="Y79" s="68" t="str">
        <f>IF(main!AK82="","",ROUND(main!AK82*100,6))</f>
        <v/>
      </c>
      <c r="Z79" s="68" t="str">
        <f>IF(main!AL82="","",ROUND(main!AL82*100,6))</f>
        <v/>
      </c>
      <c r="AA79" s="68" t="str">
        <f>IF(main!AM82="","",ROUND(main!AM82*100,6))</f>
        <v/>
      </c>
      <c r="AB79" s="68" t="str">
        <f>IF(main!AN82="","",ROUND(main!AN82*100,6))</f>
        <v/>
      </c>
      <c r="AC79" s="68" t="str">
        <f>IF(main!AO82="","",ROUND(main!AO82*100,6))</f>
        <v/>
      </c>
      <c r="AD79" s="68" t="str">
        <f>IF(main!AP82="","",ROUND(main!AP82*100,6))</f>
        <v/>
      </c>
      <c r="AE79" s="68" t="str">
        <f>IF(main!AQ82="","",ROUND(main!AQ82*100,6))</f>
        <v/>
      </c>
      <c r="AF79" s="68" t="str">
        <f>IF(main!AR82="","",ROUND(main!AR82*100,6))</f>
        <v/>
      </c>
      <c r="AG79" s="68" t="str">
        <f>IF(main!AS82="","",ROUND(main!AS82*100,6))</f>
        <v/>
      </c>
      <c r="AH79" s="68" t="str">
        <f>IF(main!AT82="","",ROUND(main!AT82*100,6))</f>
        <v/>
      </c>
      <c r="AI79" s="68" t="str">
        <f>IF(main!AU82="","",ROUND(main!AU82*100,6))</f>
        <v/>
      </c>
      <c r="AJ79" s="68" t="str">
        <f>IF(main!AV82="","",ROUND(main!AV82*100,6))</f>
        <v/>
      </c>
      <c r="AK79" s="68" t="str">
        <f>IF(main!AW82="","",ROUND(main!AW82*100,6))</f>
        <v/>
      </c>
      <c r="AL79" s="68" t="str">
        <f>IF(main!AX82="","",ROUND(main!AX82*100,6))</f>
        <v/>
      </c>
      <c r="AM79" s="68" t="str">
        <f>IF(main!AY82="","",ROUND(main!AY82*100,6))</f>
        <v/>
      </c>
      <c r="AN79" s="68" t="str">
        <f>IF(main!AZ82="","",ROUND(main!AZ82*100,6))</f>
        <v/>
      </c>
      <c r="AO79" s="68" t="str">
        <f>IF(main!BA82="","",ROUND(main!BA82*100,6))</f>
        <v/>
      </c>
      <c r="AP79" s="68" t="str">
        <f>IF(main!BB82="","",ROUND(main!BB82*100,6))</f>
        <v/>
      </c>
      <c r="AQ79" s="68" t="str">
        <f>IF(main!BC82="","",ROUND(main!BC82*100,6))</f>
        <v/>
      </c>
      <c r="AR79" s="68" t="str">
        <f>IF(main!BD82="","",ROUND(main!BD82*100,6))</f>
        <v/>
      </c>
      <c r="AS79" s="68" t="str">
        <f>IF(main!BE82="","",ROUND(main!BE82*100,6))</f>
        <v/>
      </c>
      <c r="AT79" s="68" t="str">
        <f>IF(main!BF82="","",ROUND(main!BF82*100,6))</f>
        <v/>
      </c>
      <c r="AU79" s="68" t="str">
        <f>IF(main!BG82="","",ROUND(main!BG82*100,6))</f>
        <v/>
      </c>
      <c r="AV79" s="68" t="str">
        <f>IF(main!BH82="","",ROUND(main!BH82*100,6))</f>
        <v/>
      </c>
      <c r="AW79" s="68" t="str">
        <f>IF(main!BI82="","",ROUND(main!BI82*100,6))</f>
        <v/>
      </c>
      <c r="AX79" s="68" t="str">
        <f>IF(main!BJ82="","",ROUND(main!BJ82*100,6))</f>
        <v/>
      </c>
      <c r="AY79" s="68" t="str">
        <f>IF(main!BK82="","",ROUND(main!BK82*100,6))</f>
        <v/>
      </c>
      <c r="AZ79" s="68" t="str">
        <f>IF(main!BL82="","",ROUND(main!BL82*100,6))</f>
        <v/>
      </c>
      <c r="BA79" s="68" t="str">
        <f>IF(main!BM82="","",ROUND(main!BM82*100,6))</f>
        <v/>
      </c>
      <c r="BB79" s="68" t="str">
        <f>IF(main!BN82="","",ROUND(main!BN82*100,6))</f>
        <v/>
      </c>
      <c r="BC79" s="68" t="str">
        <f>IF(main!BO82="","",ROUND(main!BO82*100,6))</f>
        <v/>
      </c>
      <c r="BD79" s="68" t="str">
        <f>IF(main!BP82="","",ROUND(main!BP82*100,6))</f>
        <v/>
      </c>
      <c r="BE79" s="68" t="str">
        <f>IF(main!BQ82="","",ROUND(main!BQ82*100,6))</f>
        <v/>
      </c>
      <c r="BF79" s="68" t="str">
        <f>IF(main!BR82="","",ROUND(main!BR82*100,6))</f>
        <v/>
      </c>
      <c r="BG79" s="68" t="str">
        <f>IF(main!BS82="","",ROUND(main!BS82*100,6))</f>
        <v/>
      </c>
      <c r="BH79" s="68" t="str">
        <f>IF(main!BT82="","",ROUND(main!BT82*100,6))</f>
        <v/>
      </c>
      <c r="BI79" s="68" t="str">
        <f>IF(main!BU82="","",ROUND(main!BU82*100,6))</f>
        <v/>
      </c>
      <c r="BJ79" s="68" t="str">
        <f>IF(main!BV82="","",ROUND(main!BV82*100,6))</f>
        <v/>
      </c>
      <c r="BK79" s="68" t="str">
        <f>IF(main!BW82="","",ROUND(main!BW82*100,6))</f>
        <v/>
      </c>
      <c r="BL79" s="68" t="str">
        <f>IF(main!BX82="","",ROUND(main!BX82*100,6))</f>
        <v/>
      </c>
      <c r="BM79" s="68" t="str">
        <f>IF(main!BY82="","",ROUND(main!BY82*100,6))</f>
        <v/>
      </c>
      <c r="BN79" s="68" t="str">
        <f>IF(main!BZ82="","",ROUND(main!BZ82*100,6))</f>
        <v/>
      </c>
      <c r="BO79" s="68" t="str">
        <f>IF(main!CA82="","",ROUND(main!CA82*100,6))</f>
        <v/>
      </c>
      <c r="BP79" s="68" t="str">
        <f>IF(main!CB82="","",ROUND(main!CB82*100,6))</f>
        <v/>
      </c>
      <c r="BQ79" s="68" t="str">
        <f>IF(main!CC82="","",ROUND(main!CC82*100,6))</f>
        <v/>
      </c>
      <c r="BR79" s="68" t="str">
        <f>IF(main!CD82="","",ROUND(main!CD82*100,6))</f>
        <v/>
      </c>
      <c r="BS79" s="68" t="str">
        <f>IF(main!CE82="","",ROUND(main!CE82*100,6))</f>
        <v/>
      </c>
      <c r="BT79" s="68" t="str">
        <f>IF(main!CF82="","",ROUND(main!CF82*100,6))</f>
        <v/>
      </c>
      <c r="BU79" s="68" t="str">
        <f>IF(main!CG82="","",ROUND(main!CG82*100,6))</f>
        <v/>
      </c>
      <c r="BV79" s="68" t="str">
        <f>IF(main!CH82="","",ROUND(main!CH82*100,6))</f>
        <v/>
      </c>
      <c r="BW79" s="68" t="str">
        <f>IF(main!CI82="","",ROUND(main!CI82*100,6))</f>
        <v/>
      </c>
      <c r="BX79" s="68" t="str">
        <f>IF(main!CJ82="","",ROUND(main!CJ82*100,6))</f>
        <v/>
      </c>
      <c r="BY79" s="68" t="str">
        <f>IF(main!CK82="","",ROUND(main!CK82*100,6))</f>
        <v/>
      </c>
      <c r="BZ79" s="68" t="str">
        <f>IF(main!CL82="","",ROUND(main!CL82*100,6))</f>
        <v/>
      </c>
      <c r="CA79" s="68" t="str">
        <f>IF(main!CM82="","",ROUND(main!CM82*100,6))</f>
        <v/>
      </c>
      <c r="CB79" s="68" t="str">
        <f>IF(main!CN82="","",ROUND(main!CN82*100,6))</f>
        <v/>
      </c>
      <c r="CC79" s="68" t="str">
        <f>IF(main!CO82="","",ROUND(main!CO82*100,6))</f>
        <v/>
      </c>
    </row>
    <row r="80" spans="1:81" x14ac:dyDescent="0.25">
      <c r="A80" s="65" t="s">
        <v>211</v>
      </c>
      <c r="B80" s="66" t="str">
        <f>main!C83</f>
        <v>Supports Installation</v>
      </c>
      <c r="C80" s="67">
        <f>main!O83</f>
        <v>100000</v>
      </c>
      <c r="D80" s="65" t="s">
        <v>110</v>
      </c>
      <c r="E80" s="68">
        <f t="shared" si="1"/>
        <v>100</v>
      </c>
      <c r="F80" s="68" t="str">
        <f>IF(main!R83="","",ROUND(main!R83*100,6))</f>
        <v/>
      </c>
      <c r="G80" s="68" t="str">
        <f>IF(main!S83="","",ROUND(main!S83*100,6))</f>
        <v/>
      </c>
      <c r="H80" s="68" t="str">
        <f>IF(main!T83="","",ROUND(main!T83*100,6))</f>
        <v/>
      </c>
      <c r="I80" s="68" t="str">
        <f>IF(main!U83="","",ROUND(main!U83*100,6))</f>
        <v/>
      </c>
      <c r="J80" s="68" t="str">
        <f>IF(main!V83="","",ROUND(main!V83*100,6))</f>
        <v/>
      </c>
      <c r="K80" s="68" t="str">
        <f>IF(main!W83="","",ROUND(main!W83*100,6))</f>
        <v/>
      </c>
      <c r="L80" s="68" t="str">
        <f>IF(main!X83="","",ROUND(main!X83*100,6))</f>
        <v/>
      </c>
      <c r="M80" s="68" t="str">
        <f>IF(main!Y83="","",ROUND(main!Y83*100,6))</f>
        <v/>
      </c>
      <c r="N80" s="68" t="str">
        <f>IF(main!Z83="","",ROUND(main!Z83*100,6))</f>
        <v/>
      </c>
      <c r="O80" s="68" t="str">
        <f>IF(main!AA83="","",ROUND(main!AA83*100,6))</f>
        <v/>
      </c>
      <c r="P80" s="68" t="str">
        <f>IF(main!AB83="","",ROUND(main!AB83*100,6))</f>
        <v/>
      </c>
      <c r="Q80" s="68" t="str">
        <f>IF(main!AC83="","",ROUND(main!AC83*100,6))</f>
        <v/>
      </c>
      <c r="R80" s="68" t="str">
        <f>IF(main!AD83="","",ROUND(main!AD83*100,6))</f>
        <v/>
      </c>
      <c r="S80" s="68" t="str">
        <f>IF(main!AE83="","",ROUND(main!AE83*100,6))</f>
        <v/>
      </c>
      <c r="T80" s="68" t="str">
        <f>IF(main!AF83="","",ROUND(main!AF83*100,6))</f>
        <v/>
      </c>
      <c r="U80" s="68" t="str">
        <f>IF(main!AG83="","",ROUND(main!AG83*100,6))</f>
        <v/>
      </c>
      <c r="V80" s="68" t="str">
        <f>IF(main!AH83="","",ROUND(main!AH83*100,6))</f>
        <v/>
      </c>
      <c r="W80" s="68" t="str">
        <f>IF(main!AI83="","",ROUND(main!AI83*100,6))</f>
        <v/>
      </c>
      <c r="X80" s="68" t="str">
        <f>IF(main!AJ83="","",ROUND(main!AJ83*100,6))</f>
        <v/>
      </c>
      <c r="Y80" s="68" t="str">
        <f>IF(main!AK83="","",ROUND(main!AK83*100,6))</f>
        <v/>
      </c>
      <c r="Z80" s="68" t="str">
        <f>IF(main!AL83="","",ROUND(main!AL83*100,6))</f>
        <v/>
      </c>
      <c r="AA80" s="68" t="str">
        <f>IF(main!AM83="","",ROUND(main!AM83*100,6))</f>
        <v/>
      </c>
      <c r="AB80" s="68" t="str">
        <f>IF(main!AN83="","",ROUND(main!AN83*100,6))</f>
        <v/>
      </c>
      <c r="AC80" s="68" t="str">
        <f>IF(main!AO83="","",ROUND(main!AO83*100,6))</f>
        <v/>
      </c>
      <c r="AD80" s="68" t="str">
        <f>IF(main!AP83="","",ROUND(main!AP83*100,6))</f>
        <v/>
      </c>
      <c r="AE80" s="68" t="str">
        <f>IF(main!AQ83="","",ROUND(main!AQ83*100,6))</f>
        <v/>
      </c>
      <c r="AF80" s="68" t="str">
        <f>IF(main!AR83="","",ROUND(main!AR83*100,6))</f>
        <v/>
      </c>
      <c r="AG80" s="68" t="str">
        <f>IF(main!AS83="","",ROUND(main!AS83*100,6))</f>
        <v/>
      </c>
      <c r="AH80" s="68" t="str">
        <f>IF(main!AT83="","",ROUND(main!AT83*100,6))</f>
        <v/>
      </c>
      <c r="AI80" s="68" t="str">
        <f>IF(main!AU83="","",ROUND(main!AU83*100,6))</f>
        <v/>
      </c>
      <c r="AJ80" s="68" t="str">
        <f>IF(main!AV83="","",ROUND(main!AV83*100,6))</f>
        <v/>
      </c>
      <c r="AK80" s="68" t="str">
        <f>IF(main!AW83="","",ROUND(main!AW83*100,6))</f>
        <v/>
      </c>
      <c r="AL80" s="68" t="str">
        <f>IF(main!AX83="","",ROUND(main!AX83*100,6))</f>
        <v/>
      </c>
      <c r="AM80" s="68" t="str">
        <f>IF(main!AY83="","",ROUND(main!AY83*100,6))</f>
        <v/>
      </c>
      <c r="AN80" s="68" t="str">
        <f>IF(main!AZ83="","",ROUND(main!AZ83*100,6))</f>
        <v/>
      </c>
      <c r="AO80" s="68" t="str">
        <f>IF(main!BA83="","",ROUND(main!BA83*100,6))</f>
        <v/>
      </c>
      <c r="AP80" s="68" t="str">
        <f>IF(main!BB83="","",ROUND(main!BB83*100,6))</f>
        <v/>
      </c>
      <c r="AQ80" s="68" t="str">
        <f>IF(main!BC83="","",ROUND(main!BC83*100,6))</f>
        <v/>
      </c>
      <c r="AR80" s="68" t="str">
        <f>IF(main!BD83="","",ROUND(main!BD83*100,6))</f>
        <v/>
      </c>
      <c r="AS80" s="68" t="str">
        <f>IF(main!BE83="","",ROUND(main!BE83*100,6))</f>
        <v/>
      </c>
      <c r="AT80" s="68" t="str">
        <f>IF(main!BF83="","",ROUND(main!BF83*100,6))</f>
        <v/>
      </c>
      <c r="AU80" s="68">
        <f>IF(main!BG83="","",ROUND(main!BG83*100,6))</f>
        <v>28.571428999999998</v>
      </c>
      <c r="AV80" s="68">
        <f>IF(main!BH83="","",ROUND(main!BH83*100,6))</f>
        <v>71.428571000000005</v>
      </c>
      <c r="AW80" s="68" t="str">
        <f>IF(main!BI83="","",ROUND(main!BI83*100,6))</f>
        <v/>
      </c>
      <c r="AX80" s="68" t="str">
        <f>IF(main!BJ83="","",ROUND(main!BJ83*100,6))</f>
        <v/>
      </c>
      <c r="AY80" s="68" t="str">
        <f>IF(main!BK83="","",ROUND(main!BK83*100,6))</f>
        <v/>
      </c>
      <c r="AZ80" s="68" t="str">
        <f>IF(main!BL83="","",ROUND(main!BL83*100,6))</f>
        <v/>
      </c>
      <c r="BA80" s="68" t="str">
        <f>IF(main!BM83="","",ROUND(main!BM83*100,6))</f>
        <v/>
      </c>
      <c r="BB80" s="68" t="str">
        <f>IF(main!BN83="","",ROUND(main!BN83*100,6))</f>
        <v/>
      </c>
      <c r="BC80" s="68" t="str">
        <f>IF(main!BO83="","",ROUND(main!BO83*100,6))</f>
        <v/>
      </c>
      <c r="BD80" s="68" t="str">
        <f>IF(main!BP83="","",ROUND(main!BP83*100,6))</f>
        <v/>
      </c>
      <c r="BE80" s="68" t="str">
        <f>IF(main!BQ83="","",ROUND(main!BQ83*100,6))</f>
        <v/>
      </c>
      <c r="BF80" s="68" t="str">
        <f>IF(main!BR83="","",ROUND(main!BR83*100,6))</f>
        <v/>
      </c>
      <c r="BG80" s="68" t="str">
        <f>IF(main!BS83="","",ROUND(main!BS83*100,6))</f>
        <v/>
      </c>
      <c r="BH80" s="68" t="str">
        <f>IF(main!BT83="","",ROUND(main!BT83*100,6))</f>
        <v/>
      </c>
      <c r="BI80" s="68" t="str">
        <f>IF(main!BU83="","",ROUND(main!BU83*100,6))</f>
        <v/>
      </c>
      <c r="BJ80" s="68" t="str">
        <f>IF(main!BV83="","",ROUND(main!BV83*100,6))</f>
        <v/>
      </c>
      <c r="BK80" s="68" t="str">
        <f>IF(main!BW83="","",ROUND(main!BW83*100,6))</f>
        <v/>
      </c>
      <c r="BL80" s="68" t="str">
        <f>IF(main!BX83="","",ROUND(main!BX83*100,6))</f>
        <v/>
      </c>
      <c r="BM80" s="68" t="str">
        <f>IF(main!BY83="","",ROUND(main!BY83*100,6))</f>
        <v/>
      </c>
      <c r="BN80" s="68" t="str">
        <f>IF(main!BZ83="","",ROUND(main!BZ83*100,6))</f>
        <v/>
      </c>
      <c r="BO80" s="68" t="str">
        <f>IF(main!CA83="","",ROUND(main!CA83*100,6))</f>
        <v/>
      </c>
      <c r="BP80" s="68" t="str">
        <f>IF(main!CB83="","",ROUND(main!CB83*100,6))</f>
        <v/>
      </c>
      <c r="BQ80" s="68" t="str">
        <f>IF(main!CC83="","",ROUND(main!CC83*100,6))</f>
        <v/>
      </c>
      <c r="BR80" s="68" t="str">
        <f>IF(main!CD83="","",ROUND(main!CD83*100,6))</f>
        <v/>
      </c>
      <c r="BS80" s="68" t="str">
        <f>IF(main!CE83="","",ROUND(main!CE83*100,6))</f>
        <v/>
      </c>
      <c r="BT80" s="68" t="str">
        <f>IF(main!CF83="","",ROUND(main!CF83*100,6))</f>
        <v/>
      </c>
      <c r="BU80" s="68" t="str">
        <f>IF(main!CG83="","",ROUND(main!CG83*100,6))</f>
        <v/>
      </c>
      <c r="BV80" s="68" t="str">
        <f>IF(main!CH83="","",ROUND(main!CH83*100,6))</f>
        <v/>
      </c>
      <c r="BW80" s="68" t="str">
        <f>IF(main!CI83="","",ROUND(main!CI83*100,6))</f>
        <v/>
      </c>
      <c r="BX80" s="68" t="str">
        <f>IF(main!CJ83="","",ROUND(main!CJ83*100,6))</f>
        <v/>
      </c>
      <c r="BY80" s="68" t="str">
        <f>IF(main!CK83="","",ROUND(main!CK83*100,6))</f>
        <v/>
      </c>
      <c r="BZ80" s="68" t="str">
        <f>IF(main!CL83="","",ROUND(main!CL83*100,6))</f>
        <v/>
      </c>
      <c r="CA80" s="68" t="str">
        <f>IF(main!CM83="","",ROUND(main!CM83*100,6))</f>
        <v/>
      </c>
      <c r="CB80" s="68" t="str">
        <f>IF(main!CN83="","",ROUND(main!CN83*100,6))</f>
        <v/>
      </c>
      <c r="CC80" s="68" t="str">
        <f>IF(main!CO83="","",ROUND(main!CO83*100,6))</f>
        <v/>
      </c>
    </row>
    <row r="81" spans="1:81" x14ac:dyDescent="0.25">
      <c r="A81" s="65" t="s">
        <v>211</v>
      </c>
      <c r="B81" s="66" t="str">
        <f>main!C83</f>
        <v>Supports Installation</v>
      </c>
      <c r="C81" s="67">
        <f>main!O83</f>
        <v>100000</v>
      </c>
      <c r="D81" s="65" t="s">
        <v>111</v>
      </c>
      <c r="E81" s="68" t="str">
        <f t="shared" si="1"/>
        <v/>
      </c>
      <c r="F81" s="68" t="str">
        <f>IF(main!R84="","",ROUND(main!R84*100,6))</f>
        <v/>
      </c>
      <c r="G81" s="68" t="str">
        <f>IF(main!S84="","",ROUND(main!S84*100,6))</f>
        <v/>
      </c>
      <c r="H81" s="68" t="str">
        <f>IF(main!T84="","",ROUND(main!T84*100,6))</f>
        <v/>
      </c>
      <c r="I81" s="68" t="str">
        <f>IF(main!U84="","",ROUND(main!U84*100,6))</f>
        <v/>
      </c>
      <c r="J81" s="68" t="str">
        <f>IF(main!V84="","",ROUND(main!V84*100,6))</f>
        <v/>
      </c>
      <c r="K81" s="68" t="str">
        <f>IF(main!W84="","",ROUND(main!W84*100,6))</f>
        <v/>
      </c>
      <c r="L81" s="68" t="str">
        <f>IF(main!X84="","",ROUND(main!X84*100,6))</f>
        <v/>
      </c>
      <c r="M81" s="68" t="str">
        <f>IF(main!Y84="","",ROUND(main!Y84*100,6))</f>
        <v/>
      </c>
      <c r="N81" s="68" t="str">
        <f>IF(main!Z84="","",ROUND(main!Z84*100,6))</f>
        <v/>
      </c>
      <c r="O81" s="68" t="str">
        <f>IF(main!AA84="","",ROUND(main!AA84*100,6))</f>
        <v/>
      </c>
      <c r="P81" s="68" t="str">
        <f>IF(main!AB84="","",ROUND(main!AB84*100,6))</f>
        <v/>
      </c>
      <c r="Q81" s="68" t="str">
        <f>IF(main!AC84="","",ROUND(main!AC84*100,6))</f>
        <v/>
      </c>
      <c r="R81" s="68" t="str">
        <f>IF(main!AD84="","",ROUND(main!AD84*100,6))</f>
        <v/>
      </c>
      <c r="S81" s="68" t="str">
        <f>IF(main!AE84="","",ROUND(main!AE84*100,6))</f>
        <v/>
      </c>
      <c r="T81" s="68" t="str">
        <f>IF(main!AF84="","",ROUND(main!AF84*100,6))</f>
        <v/>
      </c>
      <c r="U81" s="68" t="str">
        <f>IF(main!AG84="","",ROUND(main!AG84*100,6))</f>
        <v/>
      </c>
      <c r="V81" s="68" t="str">
        <f>IF(main!AH84="","",ROUND(main!AH84*100,6))</f>
        <v/>
      </c>
      <c r="W81" s="68" t="str">
        <f>IF(main!AI84="","",ROUND(main!AI84*100,6))</f>
        <v/>
      </c>
      <c r="X81" s="68" t="str">
        <f>IF(main!AJ84="","",ROUND(main!AJ84*100,6))</f>
        <v/>
      </c>
      <c r="Y81" s="68" t="str">
        <f>IF(main!AK84="","",ROUND(main!AK84*100,6))</f>
        <v/>
      </c>
      <c r="Z81" s="68" t="str">
        <f>IF(main!AL84="","",ROUND(main!AL84*100,6))</f>
        <v/>
      </c>
      <c r="AA81" s="68" t="str">
        <f>IF(main!AM84="","",ROUND(main!AM84*100,6))</f>
        <v/>
      </c>
      <c r="AB81" s="68" t="str">
        <f>IF(main!AN84="","",ROUND(main!AN84*100,6))</f>
        <v/>
      </c>
      <c r="AC81" s="68" t="str">
        <f>IF(main!AO84="","",ROUND(main!AO84*100,6))</f>
        <v/>
      </c>
      <c r="AD81" s="68" t="str">
        <f>IF(main!AP84="","",ROUND(main!AP84*100,6))</f>
        <v/>
      </c>
      <c r="AE81" s="68" t="str">
        <f>IF(main!AQ84="","",ROUND(main!AQ84*100,6))</f>
        <v/>
      </c>
      <c r="AF81" s="68" t="str">
        <f>IF(main!AR84="","",ROUND(main!AR84*100,6))</f>
        <v/>
      </c>
      <c r="AG81" s="68" t="str">
        <f>IF(main!AS84="","",ROUND(main!AS84*100,6))</f>
        <v/>
      </c>
      <c r="AH81" s="68" t="str">
        <f>IF(main!AT84="","",ROUND(main!AT84*100,6))</f>
        <v/>
      </c>
      <c r="AI81" s="68" t="str">
        <f>IF(main!AU84="","",ROUND(main!AU84*100,6))</f>
        <v/>
      </c>
      <c r="AJ81" s="68" t="str">
        <f>IF(main!AV84="","",ROUND(main!AV84*100,6))</f>
        <v/>
      </c>
      <c r="AK81" s="68" t="str">
        <f>IF(main!AW84="","",ROUND(main!AW84*100,6))</f>
        <v/>
      </c>
      <c r="AL81" s="68" t="str">
        <f>IF(main!AX84="","",ROUND(main!AX84*100,6))</f>
        <v/>
      </c>
      <c r="AM81" s="68" t="str">
        <f>IF(main!AY84="","",ROUND(main!AY84*100,6))</f>
        <v/>
      </c>
      <c r="AN81" s="68" t="str">
        <f>IF(main!AZ84="","",ROUND(main!AZ84*100,6))</f>
        <v/>
      </c>
      <c r="AO81" s="68" t="str">
        <f>IF(main!BA84="","",ROUND(main!BA84*100,6))</f>
        <v/>
      </c>
      <c r="AP81" s="68" t="str">
        <f>IF(main!BB84="","",ROUND(main!BB84*100,6))</f>
        <v/>
      </c>
      <c r="AQ81" s="68" t="str">
        <f>IF(main!BC84="","",ROUND(main!BC84*100,6))</f>
        <v/>
      </c>
      <c r="AR81" s="68" t="str">
        <f>IF(main!BD84="","",ROUND(main!BD84*100,6))</f>
        <v/>
      </c>
      <c r="AS81" s="68" t="str">
        <f>IF(main!BE84="","",ROUND(main!BE84*100,6))</f>
        <v/>
      </c>
      <c r="AT81" s="68" t="str">
        <f>IF(main!BF84="","",ROUND(main!BF84*100,6))</f>
        <v/>
      </c>
      <c r="AU81" s="68" t="str">
        <f>IF(main!BG84="","",ROUND(main!BG84*100,6))</f>
        <v/>
      </c>
      <c r="AV81" s="68" t="str">
        <f>IF(main!BH84="","",ROUND(main!BH84*100,6))</f>
        <v/>
      </c>
      <c r="AW81" s="68" t="str">
        <f>IF(main!BI84="","",ROUND(main!BI84*100,6))</f>
        <v/>
      </c>
      <c r="AX81" s="68" t="str">
        <f>IF(main!BJ84="","",ROUND(main!BJ84*100,6))</f>
        <v/>
      </c>
      <c r="AY81" s="68" t="str">
        <f>IF(main!BK84="","",ROUND(main!BK84*100,6))</f>
        <v/>
      </c>
      <c r="AZ81" s="68" t="str">
        <f>IF(main!BL84="","",ROUND(main!BL84*100,6))</f>
        <v/>
      </c>
      <c r="BA81" s="68" t="str">
        <f>IF(main!BM84="","",ROUND(main!BM84*100,6))</f>
        <v/>
      </c>
      <c r="BB81" s="68" t="str">
        <f>IF(main!BN84="","",ROUND(main!BN84*100,6))</f>
        <v/>
      </c>
      <c r="BC81" s="68" t="str">
        <f>IF(main!BO84="","",ROUND(main!BO84*100,6))</f>
        <v/>
      </c>
      <c r="BD81" s="68" t="str">
        <f>IF(main!BP84="","",ROUND(main!BP84*100,6))</f>
        <v/>
      </c>
      <c r="BE81" s="68" t="str">
        <f>IF(main!BQ84="","",ROUND(main!BQ84*100,6))</f>
        <v/>
      </c>
      <c r="BF81" s="68" t="str">
        <f>IF(main!BR84="","",ROUND(main!BR84*100,6))</f>
        <v/>
      </c>
      <c r="BG81" s="68" t="str">
        <f>IF(main!BS84="","",ROUND(main!BS84*100,6))</f>
        <v/>
      </c>
      <c r="BH81" s="68" t="str">
        <f>IF(main!BT84="","",ROUND(main!BT84*100,6))</f>
        <v/>
      </c>
      <c r="BI81" s="68" t="str">
        <f>IF(main!BU84="","",ROUND(main!BU84*100,6))</f>
        <v/>
      </c>
      <c r="BJ81" s="68" t="str">
        <f>IF(main!BV84="","",ROUND(main!BV84*100,6))</f>
        <v/>
      </c>
      <c r="BK81" s="68" t="str">
        <f>IF(main!BW84="","",ROUND(main!BW84*100,6))</f>
        <v/>
      </c>
      <c r="BL81" s="68" t="str">
        <f>IF(main!BX84="","",ROUND(main!BX84*100,6))</f>
        <v/>
      </c>
      <c r="BM81" s="68" t="str">
        <f>IF(main!BY84="","",ROUND(main!BY84*100,6))</f>
        <v/>
      </c>
      <c r="BN81" s="68" t="str">
        <f>IF(main!BZ84="","",ROUND(main!BZ84*100,6))</f>
        <v/>
      </c>
      <c r="BO81" s="68" t="str">
        <f>IF(main!CA84="","",ROUND(main!CA84*100,6))</f>
        <v/>
      </c>
      <c r="BP81" s="68" t="str">
        <f>IF(main!CB84="","",ROUND(main!CB84*100,6))</f>
        <v/>
      </c>
      <c r="BQ81" s="68" t="str">
        <f>IF(main!CC84="","",ROUND(main!CC84*100,6))</f>
        <v/>
      </c>
      <c r="BR81" s="68" t="str">
        <f>IF(main!CD84="","",ROUND(main!CD84*100,6))</f>
        <v/>
      </c>
      <c r="BS81" s="68" t="str">
        <f>IF(main!CE84="","",ROUND(main!CE84*100,6))</f>
        <v/>
      </c>
      <c r="BT81" s="68" t="str">
        <f>IF(main!CF84="","",ROUND(main!CF84*100,6))</f>
        <v/>
      </c>
      <c r="BU81" s="68" t="str">
        <f>IF(main!CG84="","",ROUND(main!CG84*100,6))</f>
        <v/>
      </c>
      <c r="BV81" s="68" t="str">
        <f>IF(main!CH84="","",ROUND(main!CH84*100,6))</f>
        <v/>
      </c>
      <c r="BW81" s="68" t="str">
        <f>IF(main!CI84="","",ROUND(main!CI84*100,6))</f>
        <v/>
      </c>
      <c r="BX81" s="68" t="str">
        <f>IF(main!CJ84="","",ROUND(main!CJ84*100,6))</f>
        <v/>
      </c>
      <c r="BY81" s="68" t="str">
        <f>IF(main!CK84="","",ROUND(main!CK84*100,6))</f>
        <v/>
      </c>
      <c r="BZ81" s="68" t="str">
        <f>IF(main!CL84="","",ROUND(main!CL84*100,6))</f>
        <v/>
      </c>
      <c r="CA81" s="68" t="str">
        <f>IF(main!CM84="","",ROUND(main!CM84*100,6))</f>
        <v/>
      </c>
      <c r="CB81" s="68" t="str">
        <f>IF(main!CN84="","",ROUND(main!CN84*100,6))</f>
        <v/>
      </c>
      <c r="CC81" s="68" t="str">
        <f>IF(main!CO84="","",ROUND(main!CO84*100,6))</f>
        <v/>
      </c>
    </row>
    <row r="82" spans="1:81" x14ac:dyDescent="0.25">
      <c r="A82" s="65" t="s">
        <v>213</v>
      </c>
      <c r="B82" s="66" t="str">
        <f>main!C85</f>
        <v>Steel Columns</v>
      </c>
      <c r="C82" s="67">
        <f>main!O85</f>
        <v>100000</v>
      </c>
      <c r="D82" s="65" t="s">
        <v>110</v>
      </c>
      <c r="E82" s="68">
        <f t="shared" si="1"/>
        <v>100</v>
      </c>
      <c r="F82" s="68" t="str">
        <f>IF(main!R85="","",ROUND(main!R85*100,6))</f>
        <v/>
      </c>
      <c r="G82" s="68" t="str">
        <f>IF(main!S85="","",ROUND(main!S85*100,6))</f>
        <v/>
      </c>
      <c r="H82" s="68" t="str">
        <f>IF(main!T85="","",ROUND(main!T85*100,6))</f>
        <v/>
      </c>
      <c r="I82" s="68" t="str">
        <f>IF(main!U85="","",ROUND(main!U85*100,6))</f>
        <v/>
      </c>
      <c r="J82" s="68" t="str">
        <f>IF(main!V85="","",ROUND(main!V85*100,6))</f>
        <v/>
      </c>
      <c r="K82" s="68" t="str">
        <f>IF(main!W85="","",ROUND(main!W85*100,6))</f>
        <v/>
      </c>
      <c r="L82" s="68" t="str">
        <f>IF(main!X85="","",ROUND(main!X85*100,6))</f>
        <v/>
      </c>
      <c r="M82" s="68" t="str">
        <f>IF(main!Y85="","",ROUND(main!Y85*100,6))</f>
        <v/>
      </c>
      <c r="N82" s="68" t="str">
        <f>IF(main!Z85="","",ROUND(main!Z85*100,6))</f>
        <v/>
      </c>
      <c r="O82" s="68" t="str">
        <f>IF(main!AA85="","",ROUND(main!AA85*100,6))</f>
        <v/>
      </c>
      <c r="P82" s="68" t="str">
        <f>IF(main!AB85="","",ROUND(main!AB85*100,6))</f>
        <v/>
      </c>
      <c r="Q82" s="68" t="str">
        <f>IF(main!AC85="","",ROUND(main!AC85*100,6))</f>
        <v/>
      </c>
      <c r="R82" s="68" t="str">
        <f>IF(main!AD85="","",ROUND(main!AD85*100,6))</f>
        <v/>
      </c>
      <c r="S82" s="68" t="str">
        <f>IF(main!AE85="","",ROUND(main!AE85*100,6))</f>
        <v/>
      </c>
      <c r="T82" s="68" t="str">
        <f>IF(main!AF85="","",ROUND(main!AF85*100,6))</f>
        <v/>
      </c>
      <c r="U82" s="68" t="str">
        <f>IF(main!AG85="","",ROUND(main!AG85*100,6))</f>
        <v/>
      </c>
      <c r="V82" s="68" t="str">
        <f>IF(main!AH85="","",ROUND(main!AH85*100,6))</f>
        <v/>
      </c>
      <c r="W82" s="68" t="str">
        <f>IF(main!AI85="","",ROUND(main!AI85*100,6))</f>
        <v/>
      </c>
      <c r="X82" s="68" t="str">
        <f>IF(main!AJ85="","",ROUND(main!AJ85*100,6))</f>
        <v/>
      </c>
      <c r="Y82" s="68" t="str">
        <f>IF(main!AK85="","",ROUND(main!AK85*100,6))</f>
        <v/>
      </c>
      <c r="Z82" s="68" t="str">
        <f>IF(main!AL85="","",ROUND(main!AL85*100,6))</f>
        <v/>
      </c>
      <c r="AA82" s="68" t="str">
        <f>IF(main!AM85="","",ROUND(main!AM85*100,6))</f>
        <v/>
      </c>
      <c r="AB82" s="68" t="str">
        <f>IF(main!AN85="","",ROUND(main!AN85*100,6))</f>
        <v/>
      </c>
      <c r="AC82" s="68" t="str">
        <f>IF(main!AO85="","",ROUND(main!AO85*100,6))</f>
        <v/>
      </c>
      <c r="AD82" s="68" t="str">
        <f>IF(main!AP85="","",ROUND(main!AP85*100,6))</f>
        <v/>
      </c>
      <c r="AE82" s="68" t="str">
        <f>IF(main!AQ85="","",ROUND(main!AQ85*100,6))</f>
        <v/>
      </c>
      <c r="AF82" s="68" t="str">
        <f>IF(main!AR85="","",ROUND(main!AR85*100,6))</f>
        <v/>
      </c>
      <c r="AG82" s="68" t="str">
        <f>IF(main!AS85="","",ROUND(main!AS85*100,6))</f>
        <v/>
      </c>
      <c r="AH82" s="68" t="str">
        <f>IF(main!AT85="","",ROUND(main!AT85*100,6))</f>
        <v/>
      </c>
      <c r="AI82" s="68" t="str">
        <f>IF(main!AU85="","",ROUND(main!AU85*100,6))</f>
        <v/>
      </c>
      <c r="AJ82" s="68" t="str">
        <f>IF(main!AV85="","",ROUND(main!AV85*100,6))</f>
        <v/>
      </c>
      <c r="AK82" s="68" t="str">
        <f>IF(main!AW85="","",ROUND(main!AW85*100,6))</f>
        <v/>
      </c>
      <c r="AL82" s="68" t="str">
        <f>IF(main!AX85="","",ROUND(main!AX85*100,6))</f>
        <v/>
      </c>
      <c r="AM82" s="68" t="str">
        <f>IF(main!AY85="","",ROUND(main!AY85*100,6))</f>
        <v/>
      </c>
      <c r="AN82" s="68" t="str">
        <f>IF(main!AZ85="","",ROUND(main!AZ85*100,6))</f>
        <v/>
      </c>
      <c r="AO82" s="68" t="str">
        <f>IF(main!BA85="","",ROUND(main!BA85*100,6))</f>
        <v/>
      </c>
      <c r="AP82" s="68" t="str">
        <f>IF(main!BB85="","",ROUND(main!BB85*100,6))</f>
        <v/>
      </c>
      <c r="AQ82" s="68" t="str">
        <f>IF(main!BC85="","",ROUND(main!BC85*100,6))</f>
        <v/>
      </c>
      <c r="AR82" s="68" t="str">
        <f>IF(main!BD85="","",ROUND(main!BD85*100,6))</f>
        <v/>
      </c>
      <c r="AS82" s="68" t="str">
        <f>IF(main!BE85="","",ROUND(main!BE85*100,6))</f>
        <v/>
      </c>
      <c r="AT82" s="68" t="str">
        <f>IF(main!BF85="","",ROUND(main!BF85*100,6))</f>
        <v/>
      </c>
      <c r="AU82" s="68" t="str">
        <f>IF(main!BG85="","",ROUND(main!BG85*100,6))</f>
        <v/>
      </c>
      <c r="AV82" s="68">
        <f>IF(main!BH85="","",ROUND(main!BH85*100,6))</f>
        <v>28.571428999999998</v>
      </c>
      <c r="AW82" s="68">
        <f>IF(main!BI85="","",ROUND(main!BI85*100,6))</f>
        <v>71.428571000000005</v>
      </c>
      <c r="AX82" s="68" t="str">
        <f>IF(main!BJ85="","",ROUND(main!BJ85*100,6))</f>
        <v/>
      </c>
      <c r="AY82" s="68" t="str">
        <f>IF(main!BK85="","",ROUND(main!BK85*100,6))</f>
        <v/>
      </c>
      <c r="AZ82" s="68" t="str">
        <f>IF(main!BL85="","",ROUND(main!BL85*100,6))</f>
        <v/>
      </c>
      <c r="BA82" s="68" t="str">
        <f>IF(main!BM85="","",ROUND(main!BM85*100,6))</f>
        <v/>
      </c>
      <c r="BB82" s="68" t="str">
        <f>IF(main!BN85="","",ROUND(main!BN85*100,6))</f>
        <v/>
      </c>
      <c r="BC82" s="68" t="str">
        <f>IF(main!BO85="","",ROUND(main!BO85*100,6))</f>
        <v/>
      </c>
      <c r="BD82" s="68" t="str">
        <f>IF(main!BP85="","",ROUND(main!BP85*100,6))</f>
        <v/>
      </c>
      <c r="BE82" s="68" t="str">
        <f>IF(main!BQ85="","",ROUND(main!BQ85*100,6))</f>
        <v/>
      </c>
      <c r="BF82" s="68" t="str">
        <f>IF(main!BR85="","",ROUND(main!BR85*100,6))</f>
        <v/>
      </c>
      <c r="BG82" s="68" t="str">
        <f>IF(main!BS85="","",ROUND(main!BS85*100,6))</f>
        <v/>
      </c>
      <c r="BH82" s="68" t="str">
        <f>IF(main!BT85="","",ROUND(main!BT85*100,6))</f>
        <v/>
      </c>
      <c r="BI82" s="68" t="str">
        <f>IF(main!BU85="","",ROUND(main!BU85*100,6))</f>
        <v/>
      </c>
      <c r="BJ82" s="68" t="str">
        <f>IF(main!BV85="","",ROUND(main!BV85*100,6))</f>
        <v/>
      </c>
      <c r="BK82" s="68" t="str">
        <f>IF(main!BW85="","",ROUND(main!BW85*100,6))</f>
        <v/>
      </c>
      <c r="BL82" s="68" t="str">
        <f>IF(main!BX85="","",ROUND(main!BX85*100,6))</f>
        <v/>
      </c>
      <c r="BM82" s="68" t="str">
        <f>IF(main!BY85="","",ROUND(main!BY85*100,6))</f>
        <v/>
      </c>
      <c r="BN82" s="68" t="str">
        <f>IF(main!BZ85="","",ROUND(main!BZ85*100,6))</f>
        <v/>
      </c>
      <c r="BO82" s="68" t="str">
        <f>IF(main!CA85="","",ROUND(main!CA85*100,6))</f>
        <v/>
      </c>
      <c r="BP82" s="68" t="str">
        <f>IF(main!CB85="","",ROUND(main!CB85*100,6))</f>
        <v/>
      </c>
      <c r="BQ82" s="68" t="str">
        <f>IF(main!CC85="","",ROUND(main!CC85*100,6))</f>
        <v/>
      </c>
      <c r="BR82" s="68" t="str">
        <f>IF(main!CD85="","",ROUND(main!CD85*100,6))</f>
        <v/>
      </c>
      <c r="BS82" s="68" t="str">
        <f>IF(main!CE85="","",ROUND(main!CE85*100,6))</f>
        <v/>
      </c>
      <c r="BT82" s="68" t="str">
        <f>IF(main!CF85="","",ROUND(main!CF85*100,6))</f>
        <v/>
      </c>
      <c r="BU82" s="68" t="str">
        <f>IF(main!CG85="","",ROUND(main!CG85*100,6))</f>
        <v/>
      </c>
      <c r="BV82" s="68" t="str">
        <f>IF(main!CH85="","",ROUND(main!CH85*100,6))</f>
        <v/>
      </c>
      <c r="BW82" s="68" t="str">
        <f>IF(main!CI85="","",ROUND(main!CI85*100,6))</f>
        <v/>
      </c>
      <c r="BX82" s="68" t="str">
        <f>IF(main!CJ85="","",ROUND(main!CJ85*100,6))</f>
        <v/>
      </c>
      <c r="BY82" s="68" t="str">
        <f>IF(main!CK85="","",ROUND(main!CK85*100,6))</f>
        <v/>
      </c>
      <c r="BZ82" s="68" t="str">
        <f>IF(main!CL85="","",ROUND(main!CL85*100,6))</f>
        <v/>
      </c>
      <c r="CA82" s="68" t="str">
        <f>IF(main!CM85="","",ROUND(main!CM85*100,6))</f>
        <v/>
      </c>
      <c r="CB82" s="68" t="str">
        <f>IF(main!CN85="","",ROUND(main!CN85*100,6))</f>
        <v/>
      </c>
      <c r="CC82" s="68" t="str">
        <f>IF(main!CO85="","",ROUND(main!CO85*100,6))</f>
        <v/>
      </c>
    </row>
    <row r="83" spans="1:81" x14ac:dyDescent="0.25">
      <c r="A83" s="65" t="s">
        <v>213</v>
      </c>
      <c r="B83" s="66" t="str">
        <f>main!C85</f>
        <v>Steel Columns</v>
      </c>
      <c r="C83" s="67">
        <f>main!O85</f>
        <v>100000</v>
      </c>
      <c r="D83" s="65" t="s">
        <v>111</v>
      </c>
      <c r="E83" s="68" t="str">
        <f t="shared" si="1"/>
        <v/>
      </c>
      <c r="F83" s="68" t="str">
        <f>IF(main!R86="","",ROUND(main!R86*100,6))</f>
        <v/>
      </c>
      <c r="G83" s="68" t="str">
        <f>IF(main!S86="","",ROUND(main!S86*100,6))</f>
        <v/>
      </c>
      <c r="H83" s="68" t="str">
        <f>IF(main!T86="","",ROUND(main!T86*100,6))</f>
        <v/>
      </c>
      <c r="I83" s="68" t="str">
        <f>IF(main!U86="","",ROUND(main!U86*100,6))</f>
        <v/>
      </c>
      <c r="J83" s="68" t="str">
        <f>IF(main!V86="","",ROUND(main!V86*100,6))</f>
        <v/>
      </c>
      <c r="K83" s="68" t="str">
        <f>IF(main!W86="","",ROUND(main!W86*100,6))</f>
        <v/>
      </c>
      <c r="L83" s="68" t="str">
        <f>IF(main!X86="","",ROUND(main!X86*100,6))</f>
        <v/>
      </c>
      <c r="M83" s="68" t="str">
        <f>IF(main!Y86="","",ROUND(main!Y86*100,6))</f>
        <v/>
      </c>
      <c r="N83" s="68" t="str">
        <f>IF(main!Z86="","",ROUND(main!Z86*100,6))</f>
        <v/>
      </c>
      <c r="O83" s="68" t="str">
        <f>IF(main!AA86="","",ROUND(main!AA86*100,6))</f>
        <v/>
      </c>
      <c r="P83" s="68" t="str">
        <f>IF(main!AB86="","",ROUND(main!AB86*100,6))</f>
        <v/>
      </c>
      <c r="Q83" s="68" t="str">
        <f>IF(main!AC86="","",ROUND(main!AC86*100,6))</f>
        <v/>
      </c>
      <c r="R83" s="68" t="str">
        <f>IF(main!AD86="","",ROUND(main!AD86*100,6))</f>
        <v/>
      </c>
      <c r="S83" s="68" t="str">
        <f>IF(main!AE86="","",ROUND(main!AE86*100,6))</f>
        <v/>
      </c>
      <c r="T83" s="68" t="str">
        <f>IF(main!AF86="","",ROUND(main!AF86*100,6))</f>
        <v/>
      </c>
      <c r="U83" s="68" t="str">
        <f>IF(main!AG86="","",ROUND(main!AG86*100,6))</f>
        <v/>
      </c>
      <c r="V83" s="68" t="str">
        <f>IF(main!AH86="","",ROUND(main!AH86*100,6))</f>
        <v/>
      </c>
      <c r="W83" s="68" t="str">
        <f>IF(main!AI86="","",ROUND(main!AI86*100,6))</f>
        <v/>
      </c>
      <c r="X83" s="68" t="str">
        <f>IF(main!AJ86="","",ROUND(main!AJ86*100,6))</f>
        <v/>
      </c>
      <c r="Y83" s="68" t="str">
        <f>IF(main!AK86="","",ROUND(main!AK86*100,6))</f>
        <v/>
      </c>
      <c r="Z83" s="68" t="str">
        <f>IF(main!AL86="","",ROUND(main!AL86*100,6))</f>
        <v/>
      </c>
      <c r="AA83" s="68" t="str">
        <f>IF(main!AM86="","",ROUND(main!AM86*100,6))</f>
        <v/>
      </c>
      <c r="AB83" s="68" t="str">
        <f>IF(main!AN86="","",ROUND(main!AN86*100,6))</f>
        <v/>
      </c>
      <c r="AC83" s="68" t="str">
        <f>IF(main!AO86="","",ROUND(main!AO86*100,6))</f>
        <v/>
      </c>
      <c r="AD83" s="68" t="str">
        <f>IF(main!AP86="","",ROUND(main!AP86*100,6))</f>
        <v/>
      </c>
      <c r="AE83" s="68" t="str">
        <f>IF(main!AQ86="","",ROUND(main!AQ86*100,6))</f>
        <v/>
      </c>
      <c r="AF83" s="68" t="str">
        <f>IF(main!AR86="","",ROUND(main!AR86*100,6))</f>
        <v/>
      </c>
      <c r="AG83" s="68" t="str">
        <f>IF(main!AS86="","",ROUND(main!AS86*100,6))</f>
        <v/>
      </c>
      <c r="AH83" s="68" t="str">
        <f>IF(main!AT86="","",ROUND(main!AT86*100,6))</f>
        <v/>
      </c>
      <c r="AI83" s="68" t="str">
        <f>IF(main!AU86="","",ROUND(main!AU86*100,6))</f>
        <v/>
      </c>
      <c r="AJ83" s="68" t="str">
        <f>IF(main!AV86="","",ROUND(main!AV86*100,6))</f>
        <v/>
      </c>
      <c r="AK83" s="68" t="str">
        <f>IF(main!AW86="","",ROUND(main!AW86*100,6))</f>
        <v/>
      </c>
      <c r="AL83" s="68" t="str">
        <f>IF(main!AX86="","",ROUND(main!AX86*100,6))</f>
        <v/>
      </c>
      <c r="AM83" s="68" t="str">
        <f>IF(main!AY86="","",ROUND(main!AY86*100,6))</f>
        <v/>
      </c>
      <c r="AN83" s="68" t="str">
        <f>IF(main!AZ86="","",ROUND(main!AZ86*100,6))</f>
        <v/>
      </c>
      <c r="AO83" s="68" t="str">
        <f>IF(main!BA86="","",ROUND(main!BA86*100,6))</f>
        <v/>
      </c>
      <c r="AP83" s="68" t="str">
        <f>IF(main!BB86="","",ROUND(main!BB86*100,6))</f>
        <v/>
      </c>
      <c r="AQ83" s="68" t="str">
        <f>IF(main!BC86="","",ROUND(main!BC86*100,6))</f>
        <v/>
      </c>
      <c r="AR83" s="68" t="str">
        <f>IF(main!BD86="","",ROUND(main!BD86*100,6))</f>
        <v/>
      </c>
      <c r="AS83" s="68" t="str">
        <f>IF(main!BE86="","",ROUND(main!BE86*100,6))</f>
        <v/>
      </c>
      <c r="AT83" s="68" t="str">
        <f>IF(main!BF86="","",ROUND(main!BF86*100,6))</f>
        <v/>
      </c>
      <c r="AU83" s="68" t="str">
        <f>IF(main!BG86="","",ROUND(main!BG86*100,6))</f>
        <v/>
      </c>
      <c r="AV83" s="68" t="str">
        <f>IF(main!BH86="","",ROUND(main!BH86*100,6))</f>
        <v/>
      </c>
      <c r="AW83" s="68" t="str">
        <f>IF(main!BI86="","",ROUND(main!BI86*100,6))</f>
        <v/>
      </c>
      <c r="AX83" s="68" t="str">
        <f>IF(main!BJ86="","",ROUND(main!BJ86*100,6))</f>
        <v/>
      </c>
      <c r="AY83" s="68" t="str">
        <f>IF(main!BK86="","",ROUND(main!BK86*100,6))</f>
        <v/>
      </c>
      <c r="AZ83" s="68" t="str">
        <f>IF(main!BL86="","",ROUND(main!BL86*100,6))</f>
        <v/>
      </c>
      <c r="BA83" s="68" t="str">
        <f>IF(main!BM86="","",ROUND(main!BM86*100,6))</f>
        <v/>
      </c>
      <c r="BB83" s="68" t="str">
        <f>IF(main!BN86="","",ROUND(main!BN86*100,6))</f>
        <v/>
      </c>
      <c r="BC83" s="68" t="str">
        <f>IF(main!BO86="","",ROUND(main!BO86*100,6))</f>
        <v/>
      </c>
      <c r="BD83" s="68" t="str">
        <f>IF(main!BP86="","",ROUND(main!BP86*100,6))</f>
        <v/>
      </c>
      <c r="BE83" s="68" t="str">
        <f>IF(main!BQ86="","",ROUND(main!BQ86*100,6))</f>
        <v/>
      </c>
      <c r="BF83" s="68" t="str">
        <f>IF(main!BR86="","",ROUND(main!BR86*100,6))</f>
        <v/>
      </c>
      <c r="BG83" s="68" t="str">
        <f>IF(main!BS86="","",ROUND(main!BS86*100,6))</f>
        <v/>
      </c>
      <c r="BH83" s="68" t="str">
        <f>IF(main!BT86="","",ROUND(main!BT86*100,6))</f>
        <v/>
      </c>
      <c r="BI83" s="68" t="str">
        <f>IF(main!BU86="","",ROUND(main!BU86*100,6))</f>
        <v/>
      </c>
      <c r="BJ83" s="68" t="str">
        <f>IF(main!BV86="","",ROUND(main!BV86*100,6))</f>
        <v/>
      </c>
      <c r="BK83" s="68" t="str">
        <f>IF(main!BW86="","",ROUND(main!BW86*100,6))</f>
        <v/>
      </c>
      <c r="BL83" s="68" t="str">
        <f>IF(main!BX86="","",ROUND(main!BX86*100,6))</f>
        <v/>
      </c>
      <c r="BM83" s="68" t="str">
        <f>IF(main!BY86="","",ROUND(main!BY86*100,6))</f>
        <v/>
      </c>
      <c r="BN83" s="68" t="str">
        <f>IF(main!BZ86="","",ROUND(main!BZ86*100,6))</f>
        <v/>
      </c>
      <c r="BO83" s="68" t="str">
        <f>IF(main!CA86="","",ROUND(main!CA86*100,6))</f>
        <v/>
      </c>
      <c r="BP83" s="68" t="str">
        <f>IF(main!CB86="","",ROUND(main!CB86*100,6))</f>
        <v/>
      </c>
      <c r="BQ83" s="68" t="str">
        <f>IF(main!CC86="","",ROUND(main!CC86*100,6))</f>
        <v/>
      </c>
      <c r="BR83" s="68" t="str">
        <f>IF(main!CD86="","",ROUND(main!CD86*100,6))</f>
        <v/>
      </c>
      <c r="BS83" s="68" t="str">
        <f>IF(main!CE86="","",ROUND(main!CE86*100,6))</f>
        <v/>
      </c>
      <c r="BT83" s="68" t="str">
        <f>IF(main!CF86="","",ROUND(main!CF86*100,6))</f>
        <v/>
      </c>
      <c r="BU83" s="68" t="str">
        <f>IF(main!CG86="","",ROUND(main!CG86*100,6))</f>
        <v/>
      </c>
      <c r="BV83" s="68" t="str">
        <f>IF(main!CH86="","",ROUND(main!CH86*100,6))</f>
        <v/>
      </c>
      <c r="BW83" s="68" t="str">
        <f>IF(main!CI86="","",ROUND(main!CI86*100,6))</f>
        <v/>
      </c>
      <c r="BX83" s="68" t="str">
        <f>IF(main!CJ86="","",ROUND(main!CJ86*100,6))</f>
        <v/>
      </c>
      <c r="BY83" s="68" t="str">
        <f>IF(main!CK86="","",ROUND(main!CK86*100,6))</f>
        <v/>
      </c>
      <c r="BZ83" s="68" t="str">
        <f>IF(main!CL86="","",ROUND(main!CL86*100,6))</f>
        <v/>
      </c>
      <c r="CA83" s="68" t="str">
        <f>IF(main!CM86="","",ROUND(main!CM86*100,6))</f>
        <v/>
      </c>
      <c r="CB83" s="68" t="str">
        <f>IF(main!CN86="","",ROUND(main!CN86*100,6))</f>
        <v/>
      </c>
      <c r="CC83" s="68" t="str">
        <f>IF(main!CO86="","",ROUND(main!CO86*100,6))</f>
        <v/>
      </c>
    </row>
    <row r="84" spans="1:81" x14ac:dyDescent="0.25">
      <c r="A84" s="65" t="s">
        <v>215</v>
      </c>
      <c r="B84" s="66" t="str">
        <f>main!C87</f>
        <v>Steel Roof Frame</v>
      </c>
      <c r="C84" s="67">
        <f>main!O87</f>
        <v>100000</v>
      </c>
      <c r="D84" s="65" t="s">
        <v>110</v>
      </c>
      <c r="E84" s="68">
        <f t="shared" si="1"/>
        <v>100</v>
      </c>
      <c r="F84" s="68" t="str">
        <f>IF(main!R87="","",ROUND(main!R87*100,6))</f>
        <v/>
      </c>
      <c r="G84" s="68" t="str">
        <f>IF(main!S87="","",ROUND(main!S87*100,6))</f>
        <v/>
      </c>
      <c r="H84" s="68" t="str">
        <f>IF(main!T87="","",ROUND(main!T87*100,6))</f>
        <v/>
      </c>
      <c r="I84" s="68" t="str">
        <f>IF(main!U87="","",ROUND(main!U87*100,6))</f>
        <v/>
      </c>
      <c r="J84" s="68" t="str">
        <f>IF(main!V87="","",ROUND(main!V87*100,6))</f>
        <v/>
      </c>
      <c r="K84" s="68" t="str">
        <f>IF(main!W87="","",ROUND(main!W87*100,6))</f>
        <v/>
      </c>
      <c r="L84" s="68" t="str">
        <f>IF(main!X87="","",ROUND(main!X87*100,6))</f>
        <v/>
      </c>
      <c r="M84" s="68" t="str">
        <f>IF(main!Y87="","",ROUND(main!Y87*100,6))</f>
        <v/>
      </c>
      <c r="N84" s="68" t="str">
        <f>IF(main!Z87="","",ROUND(main!Z87*100,6))</f>
        <v/>
      </c>
      <c r="O84" s="68" t="str">
        <f>IF(main!AA87="","",ROUND(main!AA87*100,6))</f>
        <v/>
      </c>
      <c r="P84" s="68" t="str">
        <f>IF(main!AB87="","",ROUND(main!AB87*100,6))</f>
        <v/>
      </c>
      <c r="Q84" s="68" t="str">
        <f>IF(main!AC87="","",ROUND(main!AC87*100,6))</f>
        <v/>
      </c>
      <c r="R84" s="68" t="str">
        <f>IF(main!AD87="","",ROUND(main!AD87*100,6))</f>
        <v/>
      </c>
      <c r="S84" s="68" t="str">
        <f>IF(main!AE87="","",ROUND(main!AE87*100,6))</f>
        <v/>
      </c>
      <c r="T84" s="68" t="str">
        <f>IF(main!AF87="","",ROUND(main!AF87*100,6))</f>
        <v/>
      </c>
      <c r="U84" s="68" t="str">
        <f>IF(main!AG87="","",ROUND(main!AG87*100,6))</f>
        <v/>
      </c>
      <c r="V84" s="68" t="str">
        <f>IF(main!AH87="","",ROUND(main!AH87*100,6))</f>
        <v/>
      </c>
      <c r="W84" s="68" t="str">
        <f>IF(main!AI87="","",ROUND(main!AI87*100,6))</f>
        <v/>
      </c>
      <c r="X84" s="68" t="str">
        <f>IF(main!AJ87="","",ROUND(main!AJ87*100,6))</f>
        <v/>
      </c>
      <c r="Y84" s="68" t="str">
        <f>IF(main!AK87="","",ROUND(main!AK87*100,6))</f>
        <v/>
      </c>
      <c r="Z84" s="68" t="str">
        <f>IF(main!AL87="","",ROUND(main!AL87*100,6))</f>
        <v/>
      </c>
      <c r="AA84" s="68" t="str">
        <f>IF(main!AM87="","",ROUND(main!AM87*100,6))</f>
        <v/>
      </c>
      <c r="AB84" s="68" t="str">
        <f>IF(main!AN87="","",ROUND(main!AN87*100,6))</f>
        <v/>
      </c>
      <c r="AC84" s="68" t="str">
        <f>IF(main!AO87="","",ROUND(main!AO87*100,6))</f>
        <v/>
      </c>
      <c r="AD84" s="68" t="str">
        <f>IF(main!AP87="","",ROUND(main!AP87*100,6))</f>
        <v/>
      </c>
      <c r="AE84" s="68" t="str">
        <f>IF(main!AQ87="","",ROUND(main!AQ87*100,6))</f>
        <v/>
      </c>
      <c r="AF84" s="68" t="str">
        <f>IF(main!AR87="","",ROUND(main!AR87*100,6))</f>
        <v/>
      </c>
      <c r="AG84" s="68" t="str">
        <f>IF(main!AS87="","",ROUND(main!AS87*100,6))</f>
        <v/>
      </c>
      <c r="AH84" s="68" t="str">
        <f>IF(main!AT87="","",ROUND(main!AT87*100,6))</f>
        <v/>
      </c>
      <c r="AI84" s="68" t="str">
        <f>IF(main!AU87="","",ROUND(main!AU87*100,6))</f>
        <v/>
      </c>
      <c r="AJ84" s="68" t="str">
        <f>IF(main!AV87="","",ROUND(main!AV87*100,6))</f>
        <v/>
      </c>
      <c r="AK84" s="68" t="str">
        <f>IF(main!AW87="","",ROUND(main!AW87*100,6))</f>
        <v/>
      </c>
      <c r="AL84" s="68" t="str">
        <f>IF(main!AX87="","",ROUND(main!AX87*100,6))</f>
        <v/>
      </c>
      <c r="AM84" s="68" t="str">
        <f>IF(main!AY87="","",ROUND(main!AY87*100,6))</f>
        <v/>
      </c>
      <c r="AN84" s="68" t="str">
        <f>IF(main!AZ87="","",ROUND(main!AZ87*100,6))</f>
        <v/>
      </c>
      <c r="AO84" s="68" t="str">
        <f>IF(main!BA87="","",ROUND(main!BA87*100,6))</f>
        <v/>
      </c>
      <c r="AP84" s="68" t="str">
        <f>IF(main!BB87="","",ROUND(main!BB87*100,6))</f>
        <v/>
      </c>
      <c r="AQ84" s="68" t="str">
        <f>IF(main!BC87="","",ROUND(main!BC87*100,6))</f>
        <v/>
      </c>
      <c r="AR84" s="68" t="str">
        <f>IF(main!BD87="","",ROUND(main!BD87*100,6))</f>
        <v/>
      </c>
      <c r="AS84" s="68" t="str">
        <f>IF(main!BE87="","",ROUND(main!BE87*100,6))</f>
        <v/>
      </c>
      <c r="AT84" s="68" t="str">
        <f>IF(main!BF87="","",ROUND(main!BF87*100,6))</f>
        <v/>
      </c>
      <c r="AU84" s="68" t="str">
        <f>IF(main!BG87="","",ROUND(main!BG87*100,6))</f>
        <v/>
      </c>
      <c r="AV84" s="68" t="str">
        <f>IF(main!BH87="","",ROUND(main!BH87*100,6))</f>
        <v/>
      </c>
      <c r="AW84" s="68">
        <f>IF(main!BI87="","",ROUND(main!BI87*100,6))</f>
        <v>14.285714</v>
      </c>
      <c r="AX84" s="68">
        <f>IF(main!BJ87="","",ROUND(main!BJ87*100,6))</f>
        <v>50</v>
      </c>
      <c r="AY84" s="68">
        <f>IF(main!BK87="","",ROUND(main!BK87*100,6))</f>
        <v>35.714286000000001</v>
      </c>
      <c r="AZ84" s="68" t="str">
        <f>IF(main!BL87="","",ROUND(main!BL87*100,6))</f>
        <v/>
      </c>
      <c r="BA84" s="68" t="str">
        <f>IF(main!BM87="","",ROUND(main!BM87*100,6))</f>
        <v/>
      </c>
      <c r="BB84" s="68" t="str">
        <f>IF(main!BN87="","",ROUND(main!BN87*100,6))</f>
        <v/>
      </c>
      <c r="BC84" s="68" t="str">
        <f>IF(main!BO87="","",ROUND(main!BO87*100,6))</f>
        <v/>
      </c>
      <c r="BD84" s="68" t="str">
        <f>IF(main!BP87="","",ROUND(main!BP87*100,6))</f>
        <v/>
      </c>
      <c r="BE84" s="68" t="str">
        <f>IF(main!BQ87="","",ROUND(main!BQ87*100,6))</f>
        <v/>
      </c>
      <c r="BF84" s="68" t="str">
        <f>IF(main!BR87="","",ROUND(main!BR87*100,6))</f>
        <v/>
      </c>
      <c r="BG84" s="68" t="str">
        <f>IF(main!BS87="","",ROUND(main!BS87*100,6))</f>
        <v/>
      </c>
      <c r="BH84" s="68" t="str">
        <f>IF(main!BT87="","",ROUND(main!BT87*100,6))</f>
        <v/>
      </c>
      <c r="BI84" s="68" t="str">
        <f>IF(main!BU87="","",ROUND(main!BU87*100,6))</f>
        <v/>
      </c>
      <c r="BJ84" s="68" t="str">
        <f>IF(main!BV87="","",ROUND(main!BV87*100,6))</f>
        <v/>
      </c>
      <c r="BK84" s="68" t="str">
        <f>IF(main!BW87="","",ROUND(main!BW87*100,6))</f>
        <v/>
      </c>
      <c r="BL84" s="68" t="str">
        <f>IF(main!BX87="","",ROUND(main!BX87*100,6))</f>
        <v/>
      </c>
      <c r="BM84" s="68" t="str">
        <f>IF(main!BY87="","",ROUND(main!BY87*100,6))</f>
        <v/>
      </c>
      <c r="BN84" s="68" t="str">
        <f>IF(main!BZ87="","",ROUND(main!BZ87*100,6))</f>
        <v/>
      </c>
      <c r="BO84" s="68" t="str">
        <f>IF(main!CA87="","",ROUND(main!CA87*100,6))</f>
        <v/>
      </c>
      <c r="BP84" s="68" t="str">
        <f>IF(main!CB87="","",ROUND(main!CB87*100,6))</f>
        <v/>
      </c>
      <c r="BQ84" s="68" t="str">
        <f>IF(main!CC87="","",ROUND(main!CC87*100,6))</f>
        <v/>
      </c>
      <c r="BR84" s="68" t="str">
        <f>IF(main!CD87="","",ROUND(main!CD87*100,6))</f>
        <v/>
      </c>
      <c r="BS84" s="68" t="str">
        <f>IF(main!CE87="","",ROUND(main!CE87*100,6))</f>
        <v/>
      </c>
      <c r="BT84" s="68" t="str">
        <f>IF(main!CF87="","",ROUND(main!CF87*100,6))</f>
        <v/>
      </c>
      <c r="BU84" s="68" t="str">
        <f>IF(main!CG87="","",ROUND(main!CG87*100,6))</f>
        <v/>
      </c>
      <c r="BV84" s="68" t="str">
        <f>IF(main!CH87="","",ROUND(main!CH87*100,6))</f>
        <v/>
      </c>
      <c r="BW84" s="68" t="str">
        <f>IF(main!CI87="","",ROUND(main!CI87*100,6))</f>
        <v/>
      </c>
      <c r="BX84" s="68" t="str">
        <f>IF(main!CJ87="","",ROUND(main!CJ87*100,6))</f>
        <v/>
      </c>
      <c r="BY84" s="68" t="str">
        <f>IF(main!CK87="","",ROUND(main!CK87*100,6))</f>
        <v/>
      </c>
      <c r="BZ84" s="68" t="str">
        <f>IF(main!CL87="","",ROUND(main!CL87*100,6))</f>
        <v/>
      </c>
      <c r="CA84" s="68" t="str">
        <f>IF(main!CM87="","",ROUND(main!CM87*100,6))</f>
        <v/>
      </c>
      <c r="CB84" s="68" t="str">
        <f>IF(main!CN87="","",ROUND(main!CN87*100,6))</f>
        <v/>
      </c>
      <c r="CC84" s="68" t="str">
        <f>IF(main!CO87="","",ROUND(main!CO87*100,6))</f>
        <v/>
      </c>
    </row>
    <row r="85" spans="1:81" x14ac:dyDescent="0.25">
      <c r="A85" s="65" t="s">
        <v>215</v>
      </c>
      <c r="B85" s="66" t="str">
        <f>main!C87</f>
        <v>Steel Roof Frame</v>
      </c>
      <c r="C85" s="67">
        <f>main!O87</f>
        <v>100000</v>
      </c>
      <c r="D85" s="65" t="s">
        <v>111</v>
      </c>
      <c r="E85" s="68" t="str">
        <f t="shared" si="1"/>
        <v/>
      </c>
      <c r="F85" s="68" t="str">
        <f>IF(main!R88="","",ROUND(main!R88*100,6))</f>
        <v/>
      </c>
      <c r="G85" s="68" t="str">
        <f>IF(main!S88="","",ROUND(main!S88*100,6))</f>
        <v/>
      </c>
      <c r="H85" s="68" t="str">
        <f>IF(main!T88="","",ROUND(main!T88*100,6))</f>
        <v/>
      </c>
      <c r="I85" s="68" t="str">
        <f>IF(main!U88="","",ROUND(main!U88*100,6))</f>
        <v/>
      </c>
      <c r="J85" s="68" t="str">
        <f>IF(main!V88="","",ROUND(main!V88*100,6))</f>
        <v/>
      </c>
      <c r="K85" s="68" t="str">
        <f>IF(main!W88="","",ROUND(main!W88*100,6))</f>
        <v/>
      </c>
      <c r="L85" s="68" t="str">
        <f>IF(main!X88="","",ROUND(main!X88*100,6))</f>
        <v/>
      </c>
      <c r="M85" s="68" t="str">
        <f>IF(main!Y88="","",ROUND(main!Y88*100,6))</f>
        <v/>
      </c>
      <c r="N85" s="68" t="str">
        <f>IF(main!Z88="","",ROUND(main!Z88*100,6))</f>
        <v/>
      </c>
      <c r="O85" s="68" t="str">
        <f>IF(main!AA88="","",ROUND(main!AA88*100,6))</f>
        <v/>
      </c>
      <c r="P85" s="68" t="str">
        <f>IF(main!AB88="","",ROUND(main!AB88*100,6))</f>
        <v/>
      </c>
      <c r="Q85" s="68" t="str">
        <f>IF(main!AC88="","",ROUND(main!AC88*100,6))</f>
        <v/>
      </c>
      <c r="R85" s="68" t="str">
        <f>IF(main!AD88="","",ROUND(main!AD88*100,6))</f>
        <v/>
      </c>
      <c r="S85" s="68" t="str">
        <f>IF(main!AE88="","",ROUND(main!AE88*100,6))</f>
        <v/>
      </c>
      <c r="T85" s="68" t="str">
        <f>IF(main!AF88="","",ROUND(main!AF88*100,6))</f>
        <v/>
      </c>
      <c r="U85" s="68" t="str">
        <f>IF(main!AG88="","",ROUND(main!AG88*100,6))</f>
        <v/>
      </c>
      <c r="V85" s="68" t="str">
        <f>IF(main!AH88="","",ROUND(main!AH88*100,6))</f>
        <v/>
      </c>
      <c r="W85" s="68" t="str">
        <f>IF(main!AI88="","",ROUND(main!AI88*100,6))</f>
        <v/>
      </c>
      <c r="X85" s="68" t="str">
        <f>IF(main!AJ88="","",ROUND(main!AJ88*100,6))</f>
        <v/>
      </c>
      <c r="Y85" s="68" t="str">
        <f>IF(main!AK88="","",ROUND(main!AK88*100,6))</f>
        <v/>
      </c>
      <c r="Z85" s="68" t="str">
        <f>IF(main!AL88="","",ROUND(main!AL88*100,6))</f>
        <v/>
      </c>
      <c r="AA85" s="68" t="str">
        <f>IF(main!AM88="","",ROUND(main!AM88*100,6))</f>
        <v/>
      </c>
      <c r="AB85" s="68" t="str">
        <f>IF(main!AN88="","",ROUND(main!AN88*100,6))</f>
        <v/>
      </c>
      <c r="AC85" s="68" t="str">
        <f>IF(main!AO88="","",ROUND(main!AO88*100,6))</f>
        <v/>
      </c>
      <c r="AD85" s="68" t="str">
        <f>IF(main!AP88="","",ROUND(main!AP88*100,6))</f>
        <v/>
      </c>
      <c r="AE85" s="68" t="str">
        <f>IF(main!AQ88="","",ROUND(main!AQ88*100,6))</f>
        <v/>
      </c>
      <c r="AF85" s="68" t="str">
        <f>IF(main!AR88="","",ROUND(main!AR88*100,6))</f>
        <v/>
      </c>
      <c r="AG85" s="68" t="str">
        <f>IF(main!AS88="","",ROUND(main!AS88*100,6))</f>
        <v/>
      </c>
      <c r="AH85" s="68" t="str">
        <f>IF(main!AT88="","",ROUND(main!AT88*100,6))</f>
        <v/>
      </c>
      <c r="AI85" s="68" t="str">
        <f>IF(main!AU88="","",ROUND(main!AU88*100,6))</f>
        <v/>
      </c>
      <c r="AJ85" s="68" t="str">
        <f>IF(main!AV88="","",ROUND(main!AV88*100,6))</f>
        <v/>
      </c>
      <c r="AK85" s="68" t="str">
        <f>IF(main!AW88="","",ROUND(main!AW88*100,6))</f>
        <v/>
      </c>
      <c r="AL85" s="68" t="str">
        <f>IF(main!AX88="","",ROUND(main!AX88*100,6))</f>
        <v/>
      </c>
      <c r="AM85" s="68" t="str">
        <f>IF(main!AY88="","",ROUND(main!AY88*100,6))</f>
        <v/>
      </c>
      <c r="AN85" s="68" t="str">
        <f>IF(main!AZ88="","",ROUND(main!AZ88*100,6))</f>
        <v/>
      </c>
      <c r="AO85" s="68" t="str">
        <f>IF(main!BA88="","",ROUND(main!BA88*100,6))</f>
        <v/>
      </c>
      <c r="AP85" s="68" t="str">
        <f>IF(main!BB88="","",ROUND(main!BB88*100,6))</f>
        <v/>
      </c>
      <c r="AQ85" s="68" t="str">
        <f>IF(main!BC88="","",ROUND(main!BC88*100,6))</f>
        <v/>
      </c>
      <c r="AR85" s="68" t="str">
        <f>IF(main!BD88="","",ROUND(main!BD88*100,6))</f>
        <v/>
      </c>
      <c r="AS85" s="68" t="str">
        <f>IF(main!BE88="","",ROUND(main!BE88*100,6))</f>
        <v/>
      </c>
      <c r="AT85" s="68" t="str">
        <f>IF(main!BF88="","",ROUND(main!BF88*100,6))</f>
        <v/>
      </c>
      <c r="AU85" s="68" t="str">
        <f>IF(main!BG88="","",ROUND(main!BG88*100,6))</f>
        <v/>
      </c>
      <c r="AV85" s="68" t="str">
        <f>IF(main!BH88="","",ROUND(main!BH88*100,6))</f>
        <v/>
      </c>
      <c r="AW85" s="68" t="str">
        <f>IF(main!BI88="","",ROUND(main!BI88*100,6))</f>
        <v/>
      </c>
      <c r="AX85" s="68" t="str">
        <f>IF(main!BJ88="","",ROUND(main!BJ88*100,6))</f>
        <v/>
      </c>
      <c r="AY85" s="68" t="str">
        <f>IF(main!BK88="","",ROUND(main!BK88*100,6))</f>
        <v/>
      </c>
      <c r="AZ85" s="68" t="str">
        <f>IF(main!BL88="","",ROUND(main!BL88*100,6))</f>
        <v/>
      </c>
      <c r="BA85" s="68" t="str">
        <f>IF(main!BM88="","",ROUND(main!BM88*100,6))</f>
        <v/>
      </c>
      <c r="BB85" s="68" t="str">
        <f>IF(main!BN88="","",ROUND(main!BN88*100,6))</f>
        <v/>
      </c>
      <c r="BC85" s="68" t="str">
        <f>IF(main!BO88="","",ROUND(main!BO88*100,6))</f>
        <v/>
      </c>
      <c r="BD85" s="68" t="str">
        <f>IF(main!BP88="","",ROUND(main!BP88*100,6))</f>
        <v/>
      </c>
      <c r="BE85" s="68" t="str">
        <f>IF(main!BQ88="","",ROUND(main!BQ88*100,6))</f>
        <v/>
      </c>
      <c r="BF85" s="68" t="str">
        <f>IF(main!BR88="","",ROUND(main!BR88*100,6))</f>
        <v/>
      </c>
      <c r="BG85" s="68" t="str">
        <f>IF(main!BS88="","",ROUND(main!BS88*100,6))</f>
        <v/>
      </c>
      <c r="BH85" s="68" t="str">
        <f>IF(main!BT88="","",ROUND(main!BT88*100,6))</f>
        <v/>
      </c>
      <c r="BI85" s="68" t="str">
        <f>IF(main!BU88="","",ROUND(main!BU88*100,6))</f>
        <v/>
      </c>
      <c r="BJ85" s="68" t="str">
        <f>IF(main!BV88="","",ROUND(main!BV88*100,6))</f>
        <v/>
      </c>
      <c r="BK85" s="68" t="str">
        <f>IF(main!BW88="","",ROUND(main!BW88*100,6))</f>
        <v/>
      </c>
      <c r="BL85" s="68" t="str">
        <f>IF(main!BX88="","",ROUND(main!BX88*100,6))</f>
        <v/>
      </c>
      <c r="BM85" s="68" t="str">
        <f>IF(main!BY88="","",ROUND(main!BY88*100,6))</f>
        <v/>
      </c>
      <c r="BN85" s="68" t="str">
        <f>IF(main!BZ88="","",ROUND(main!BZ88*100,6))</f>
        <v/>
      </c>
      <c r="BO85" s="68" t="str">
        <f>IF(main!CA88="","",ROUND(main!CA88*100,6))</f>
        <v/>
      </c>
      <c r="BP85" s="68" t="str">
        <f>IF(main!CB88="","",ROUND(main!CB88*100,6))</f>
        <v/>
      </c>
      <c r="BQ85" s="68" t="str">
        <f>IF(main!CC88="","",ROUND(main!CC88*100,6))</f>
        <v/>
      </c>
      <c r="BR85" s="68" t="str">
        <f>IF(main!CD88="","",ROUND(main!CD88*100,6))</f>
        <v/>
      </c>
      <c r="BS85" s="68" t="str">
        <f>IF(main!CE88="","",ROUND(main!CE88*100,6))</f>
        <v/>
      </c>
      <c r="BT85" s="68" t="str">
        <f>IF(main!CF88="","",ROUND(main!CF88*100,6))</f>
        <v/>
      </c>
      <c r="BU85" s="68" t="str">
        <f>IF(main!CG88="","",ROUND(main!CG88*100,6))</f>
        <v/>
      </c>
      <c r="BV85" s="68" t="str">
        <f>IF(main!CH88="","",ROUND(main!CH88*100,6))</f>
        <v/>
      </c>
      <c r="BW85" s="68" t="str">
        <f>IF(main!CI88="","",ROUND(main!CI88*100,6))</f>
        <v/>
      </c>
      <c r="BX85" s="68" t="str">
        <f>IF(main!CJ88="","",ROUND(main!CJ88*100,6))</f>
        <v/>
      </c>
      <c r="BY85" s="68" t="str">
        <f>IF(main!CK88="","",ROUND(main!CK88*100,6))</f>
        <v/>
      </c>
      <c r="BZ85" s="68" t="str">
        <f>IF(main!CL88="","",ROUND(main!CL88*100,6))</f>
        <v/>
      </c>
      <c r="CA85" s="68" t="str">
        <f>IF(main!CM88="","",ROUND(main!CM88*100,6))</f>
        <v/>
      </c>
      <c r="CB85" s="68" t="str">
        <f>IF(main!CN88="","",ROUND(main!CN88*100,6))</f>
        <v/>
      </c>
      <c r="CC85" s="68" t="str">
        <f>IF(main!CO88="","",ROUND(main!CO88*100,6))</f>
        <v/>
      </c>
    </row>
    <row r="86" spans="1:81" x14ac:dyDescent="0.25">
      <c r="A86" s="65" t="s">
        <v>217</v>
      </c>
      <c r="B86" s="66" t="str">
        <f>main!C89</f>
        <v>ส่วนต่อขยายชั้น 2</v>
      </c>
      <c r="C86" s="67">
        <f>main!O89</f>
        <v>300000</v>
      </c>
      <c r="D86" s="65" t="s">
        <v>110</v>
      </c>
      <c r="E86" s="68">
        <f t="shared" si="1"/>
        <v>100.00000199999999</v>
      </c>
      <c r="F86" s="68" t="str">
        <f>IF(main!R89="","",ROUND(main!R89*100,6))</f>
        <v/>
      </c>
      <c r="G86" s="68" t="str">
        <f>IF(main!S89="","",ROUND(main!S89*100,6))</f>
        <v/>
      </c>
      <c r="H86" s="68" t="str">
        <f>IF(main!T89="","",ROUND(main!T89*100,6))</f>
        <v/>
      </c>
      <c r="I86" s="68" t="str">
        <f>IF(main!U89="","",ROUND(main!U89*100,6))</f>
        <v/>
      </c>
      <c r="J86" s="68" t="str">
        <f>IF(main!V89="","",ROUND(main!V89*100,6))</f>
        <v/>
      </c>
      <c r="K86" s="68" t="str">
        <f>IF(main!W89="","",ROUND(main!W89*100,6))</f>
        <v/>
      </c>
      <c r="L86" s="68" t="str">
        <f>IF(main!X89="","",ROUND(main!X89*100,6))</f>
        <v/>
      </c>
      <c r="M86" s="68" t="str">
        <f>IF(main!Y89="","",ROUND(main!Y89*100,6))</f>
        <v/>
      </c>
      <c r="N86" s="68" t="str">
        <f>IF(main!Z89="","",ROUND(main!Z89*100,6))</f>
        <v/>
      </c>
      <c r="O86" s="68" t="str">
        <f>IF(main!AA89="","",ROUND(main!AA89*100,6))</f>
        <v/>
      </c>
      <c r="P86" s="68" t="str">
        <f>IF(main!AB89="","",ROUND(main!AB89*100,6))</f>
        <v/>
      </c>
      <c r="Q86" s="68" t="str">
        <f>IF(main!AC89="","",ROUND(main!AC89*100,6))</f>
        <v/>
      </c>
      <c r="R86" s="68" t="str">
        <f>IF(main!AD89="","",ROUND(main!AD89*100,6))</f>
        <v/>
      </c>
      <c r="S86" s="68" t="str">
        <f>IF(main!AE89="","",ROUND(main!AE89*100,6))</f>
        <v/>
      </c>
      <c r="T86" s="68" t="str">
        <f>IF(main!AF89="","",ROUND(main!AF89*100,6))</f>
        <v/>
      </c>
      <c r="U86" s="68" t="str">
        <f>IF(main!AG89="","",ROUND(main!AG89*100,6))</f>
        <v/>
      </c>
      <c r="V86" s="68" t="str">
        <f>IF(main!AH89="","",ROUND(main!AH89*100,6))</f>
        <v/>
      </c>
      <c r="W86" s="68" t="str">
        <f>IF(main!AI89="","",ROUND(main!AI89*100,6))</f>
        <v/>
      </c>
      <c r="X86" s="68" t="str">
        <f>IF(main!AJ89="","",ROUND(main!AJ89*100,6))</f>
        <v/>
      </c>
      <c r="Y86" s="68" t="str">
        <f>IF(main!AK89="","",ROUND(main!AK89*100,6))</f>
        <v/>
      </c>
      <c r="Z86" s="68" t="str">
        <f>IF(main!AL89="","",ROUND(main!AL89*100,6))</f>
        <v/>
      </c>
      <c r="AA86" s="68" t="str">
        <f>IF(main!AM89="","",ROUND(main!AM89*100,6))</f>
        <v/>
      </c>
      <c r="AB86" s="68" t="str">
        <f>IF(main!AN89="","",ROUND(main!AN89*100,6))</f>
        <v/>
      </c>
      <c r="AC86" s="68" t="str">
        <f>IF(main!AO89="","",ROUND(main!AO89*100,6))</f>
        <v/>
      </c>
      <c r="AD86" s="68" t="str">
        <f>IF(main!AP89="","",ROUND(main!AP89*100,6))</f>
        <v/>
      </c>
      <c r="AE86" s="68" t="str">
        <f>IF(main!AQ89="","",ROUND(main!AQ89*100,6))</f>
        <v/>
      </c>
      <c r="AF86" s="68" t="str">
        <f>IF(main!AR89="","",ROUND(main!AR89*100,6))</f>
        <v/>
      </c>
      <c r="AG86" s="68" t="str">
        <f>IF(main!AS89="","",ROUND(main!AS89*100,6))</f>
        <v/>
      </c>
      <c r="AH86" s="68" t="str">
        <f>IF(main!AT89="","",ROUND(main!AT89*100,6))</f>
        <v/>
      </c>
      <c r="AI86" s="68" t="str">
        <f>IF(main!AU89="","",ROUND(main!AU89*100,6))</f>
        <v/>
      </c>
      <c r="AJ86" s="68" t="str">
        <f>IF(main!AV89="","",ROUND(main!AV89*100,6))</f>
        <v/>
      </c>
      <c r="AK86" s="68" t="str">
        <f>IF(main!AW89="","",ROUND(main!AW89*100,6))</f>
        <v/>
      </c>
      <c r="AL86" s="68" t="str">
        <f>IF(main!AX89="","",ROUND(main!AX89*100,6))</f>
        <v/>
      </c>
      <c r="AM86" s="68" t="str">
        <f>IF(main!AY89="","",ROUND(main!AY89*100,6))</f>
        <v/>
      </c>
      <c r="AN86" s="68" t="str">
        <f>IF(main!AZ89="","",ROUND(main!AZ89*100,6))</f>
        <v/>
      </c>
      <c r="AO86" s="68" t="str">
        <f>IF(main!BA89="","",ROUND(main!BA89*100,6))</f>
        <v/>
      </c>
      <c r="AP86" s="68" t="str">
        <f>IF(main!BB89="","",ROUND(main!BB89*100,6))</f>
        <v/>
      </c>
      <c r="AQ86" s="68" t="str">
        <f>IF(main!BC89="","",ROUND(main!BC89*100,6))</f>
        <v/>
      </c>
      <c r="AR86" s="68" t="str">
        <f>IF(main!BD89="","",ROUND(main!BD89*100,6))</f>
        <v/>
      </c>
      <c r="AS86" s="68" t="str">
        <f>IF(main!BE89="","",ROUND(main!BE89*100,6))</f>
        <v/>
      </c>
      <c r="AT86" s="68" t="str">
        <f>IF(main!BF89="","",ROUND(main!BF89*100,6))</f>
        <v/>
      </c>
      <c r="AU86" s="68" t="str">
        <f>IF(main!BG89="","",ROUND(main!BG89*100,6))</f>
        <v/>
      </c>
      <c r="AV86" s="68" t="str">
        <f>IF(main!BH89="","",ROUND(main!BH89*100,6))</f>
        <v/>
      </c>
      <c r="AW86" s="68" t="str">
        <f>IF(main!BI89="","",ROUND(main!BI89*100,6))</f>
        <v/>
      </c>
      <c r="AX86" s="68" t="str">
        <f>IF(main!BJ89="","",ROUND(main!BJ89*100,6))</f>
        <v/>
      </c>
      <c r="AY86" s="68">
        <f>IF(main!BK89="","",ROUND(main!BK89*100,6))</f>
        <v>9.5238099999999992</v>
      </c>
      <c r="AZ86" s="68">
        <f>IF(main!BL89="","",ROUND(main!BL89*100,6))</f>
        <v>26.584182999999999</v>
      </c>
      <c r="BA86" s="68">
        <f>IF(main!BM89="","",ROUND(main!BM89*100,6))</f>
        <v>23.622028</v>
      </c>
      <c r="BB86" s="68">
        <f>IF(main!BN89="","",ROUND(main!BN89*100,6))</f>
        <v>16.460457000000002</v>
      </c>
      <c r="BC86" s="68">
        <f>IF(main!BO89="","",ROUND(main!BO89*100,6))</f>
        <v>23.809524</v>
      </c>
      <c r="BD86" s="68" t="str">
        <f>IF(main!BP89="","",ROUND(main!BP89*100,6))</f>
        <v/>
      </c>
      <c r="BE86" s="68" t="str">
        <f>IF(main!BQ89="","",ROUND(main!BQ89*100,6))</f>
        <v/>
      </c>
      <c r="BF86" s="68" t="str">
        <f>IF(main!BR89="","",ROUND(main!BR89*100,6))</f>
        <v/>
      </c>
      <c r="BG86" s="68" t="str">
        <f>IF(main!BS89="","",ROUND(main!BS89*100,6))</f>
        <v/>
      </c>
      <c r="BH86" s="68" t="str">
        <f>IF(main!BT89="","",ROUND(main!BT89*100,6))</f>
        <v/>
      </c>
      <c r="BI86" s="68" t="str">
        <f>IF(main!BU89="","",ROUND(main!BU89*100,6))</f>
        <v/>
      </c>
      <c r="BJ86" s="68" t="str">
        <f>IF(main!BV89="","",ROUND(main!BV89*100,6))</f>
        <v/>
      </c>
      <c r="BK86" s="68" t="str">
        <f>IF(main!BW89="","",ROUND(main!BW89*100,6))</f>
        <v/>
      </c>
      <c r="BL86" s="68" t="str">
        <f>IF(main!BX89="","",ROUND(main!BX89*100,6))</f>
        <v/>
      </c>
      <c r="BM86" s="68" t="str">
        <f>IF(main!BY89="","",ROUND(main!BY89*100,6))</f>
        <v/>
      </c>
      <c r="BN86" s="68" t="str">
        <f>IF(main!BZ89="","",ROUND(main!BZ89*100,6))</f>
        <v/>
      </c>
      <c r="BO86" s="68" t="str">
        <f>IF(main!CA89="","",ROUND(main!CA89*100,6))</f>
        <v/>
      </c>
      <c r="BP86" s="68" t="str">
        <f>IF(main!CB89="","",ROUND(main!CB89*100,6))</f>
        <v/>
      </c>
      <c r="BQ86" s="68" t="str">
        <f>IF(main!CC89="","",ROUND(main!CC89*100,6))</f>
        <v/>
      </c>
      <c r="BR86" s="68" t="str">
        <f>IF(main!CD89="","",ROUND(main!CD89*100,6))</f>
        <v/>
      </c>
      <c r="BS86" s="68" t="str">
        <f>IF(main!CE89="","",ROUND(main!CE89*100,6))</f>
        <v/>
      </c>
      <c r="BT86" s="68" t="str">
        <f>IF(main!CF89="","",ROUND(main!CF89*100,6))</f>
        <v/>
      </c>
      <c r="BU86" s="68" t="str">
        <f>IF(main!CG89="","",ROUND(main!CG89*100,6))</f>
        <v/>
      </c>
      <c r="BV86" s="68" t="str">
        <f>IF(main!CH89="","",ROUND(main!CH89*100,6))</f>
        <v/>
      </c>
      <c r="BW86" s="68" t="str">
        <f>IF(main!CI89="","",ROUND(main!CI89*100,6))</f>
        <v/>
      </c>
      <c r="BX86" s="68" t="str">
        <f>IF(main!CJ89="","",ROUND(main!CJ89*100,6))</f>
        <v/>
      </c>
      <c r="BY86" s="68" t="str">
        <f>IF(main!CK89="","",ROUND(main!CK89*100,6))</f>
        <v/>
      </c>
      <c r="BZ86" s="68" t="str">
        <f>IF(main!CL89="","",ROUND(main!CL89*100,6))</f>
        <v/>
      </c>
      <c r="CA86" s="68" t="str">
        <f>IF(main!CM89="","",ROUND(main!CM89*100,6))</f>
        <v/>
      </c>
      <c r="CB86" s="68" t="str">
        <f>IF(main!CN89="","",ROUND(main!CN89*100,6))</f>
        <v/>
      </c>
      <c r="CC86" s="68" t="str">
        <f>IF(main!CO89="","",ROUND(main!CO89*100,6))</f>
        <v/>
      </c>
    </row>
    <row r="87" spans="1:81" x14ac:dyDescent="0.25">
      <c r="A87" s="65" t="s">
        <v>217</v>
      </c>
      <c r="B87" s="66" t="str">
        <f>main!C89</f>
        <v>ส่วนต่อขยายชั้น 2</v>
      </c>
      <c r="C87" s="67">
        <f>main!O89</f>
        <v>300000</v>
      </c>
      <c r="D87" s="65" t="s">
        <v>111</v>
      </c>
      <c r="E87" s="68" t="str">
        <f t="shared" si="1"/>
        <v/>
      </c>
      <c r="F87" s="68" t="str">
        <f>IF(main!R90="","",ROUND(main!R90*100,6))</f>
        <v/>
      </c>
      <c r="G87" s="68" t="str">
        <f>IF(main!S90="","",ROUND(main!S90*100,6))</f>
        <v/>
      </c>
      <c r="H87" s="68" t="str">
        <f>IF(main!T90="","",ROUND(main!T90*100,6))</f>
        <v/>
      </c>
      <c r="I87" s="68" t="str">
        <f>IF(main!U90="","",ROUND(main!U90*100,6))</f>
        <v/>
      </c>
      <c r="J87" s="68" t="str">
        <f>IF(main!V90="","",ROUND(main!V90*100,6))</f>
        <v/>
      </c>
      <c r="K87" s="68" t="str">
        <f>IF(main!W90="","",ROUND(main!W90*100,6))</f>
        <v/>
      </c>
      <c r="L87" s="68" t="str">
        <f>IF(main!X90="","",ROUND(main!X90*100,6))</f>
        <v/>
      </c>
      <c r="M87" s="68" t="str">
        <f>IF(main!Y90="","",ROUND(main!Y90*100,6))</f>
        <v/>
      </c>
      <c r="N87" s="68" t="str">
        <f>IF(main!Z90="","",ROUND(main!Z90*100,6))</f>
        <v/>
      </c>
      <c r="O87" s="68" t="str">
        <f>IF(main!AA90="","",ROUND(main!AA90*100,6))</f>
        <v/>
      </c>
      <c r="P87" s="68" t="str">
        <f>IF(main!AB90="","",ROUND(main!AB90*100,6))</f>
        <v/>
      </c>
      <c r="Q87" s="68" t="str">
        <f>IF(main!AC90="","",ROUND(main!AC90*100,6))</f>
        <v/>
      </c>
      <c r="R87" s="68" t="str">
        <f>IF(main!AD90="","",ROUND(main!AD90*100,6))</f>
        <v/>
      </c>
      <c r="S87" s="68" t="str">
        <f>IF(main!AE90="","",ROUND(main!AE90*100,6))</f>
        <v/>
      </c>
      <c r="T87" s="68" t="str">
        <f>IF(main!AF90="","",ROUND(main!AF90*100,6))</f>
        <v/>
      </c>
      <c r="U87" s="68" t="str">
        <f>IF(main!AG90="","",ROUND(main!AG90*100,6))</f>
        <v/>
      </c>
      <c r="V87" s="68" t="str">
        <f>IF(main!AH90="","",ROUND(main!AH90*100,6))</f>
        <v/>
      </c>
      <c r="W87" s="68" t="str">
        <f>IF(main!AI90="","",ROUND(main!AI90*100,6))</f>
        <v/>
      </c>
      <c r="X87" s="68" t="str">
        <f>IF(main!AJ90="","",ROUND(main!AJ90*100,6))</f>
        <v/>
      </c>
      <c r="Y87" s="68" t="str">
        <f>IF(main!AK90="","",ROUND(main!AK90*100,6))</f>
        <v/>
      </c>
      <c r="Z87" s="68" t="str">
        <f>IF(main!AL90="","",ROUND(main!AL90*100,6))</f>
        <v/>
      </c>
      <c r="AA87" s="68" t="str">
        <f>IF(main!AM90="","",ROUND(main!AM90*100,6))</f>
        <v/>
      </c>
      <c r="AB87" s="68" t="str">
        <f>IF(main!AN90="","",ROUND(main!AN90*100,6))</f>
        <v/>
      </c>
      <c r="AC87" s="68" t="str">
        <f>IF(main!AO90="","",ROUND(main!AO90*100,6))</f>
        <v/>
      </c>
      <c r="AD87" s="68" t="str">
        <f>IF(main!AP90="","",ROUND(main!AP90*100,6))</f>
        <v/>
      </c>
      <c r="AE87" s="68" t="str">
        <f>IF(main!AQ90="","",ROUND(main!AQ90*100,6))</f>
        <v/>
      </c>
      <c r="AF87" s="68" t="str">
        <f>IF(main!AR90="","",ROUND(main!AR90*100,6))</f>
        <v/>
      </c>
      <c r="AG87" s="68" t="str">
        <f>IF(main!AS90="","",ROUND(main!AS90*100,6))</f>
        <v/>
      </c>
      <c r="AH87" s="68" t="str">
        <f>IF(main!AT90="","",ROUND(main!AT90*100,6))</f>
        <v/>
      </c>
      <c r="AI87" s="68" t="str">
        <f>IF(main!AU90="","",ROUND(main!AU90*100,6))</f>
        <v/>
      </c>
      <c r="AJ87" s="68" t="str">
        <f>IF(main!AV90="","",ROUND(main!AV90*100,6))</f>
        <v/>
      </c>
      <c r="AK87" s="68" t="str">
        <f>IF(main!AW90="","",ROUND(main!AW90*100,6))</f>
        <v/>
      </c>
      <c r="AL87" s="68" t="str">
        <f>IF(main!AX90="","",ROUND(main!AX90*100,6))</f>
        <v/>
      </c>
      <c r="AM87" s="68" t="str">
        <f>IF(main!AY90="","",ROUND(main!AY90*100,6))</f>
        <v/>
      </c>
      <c r="AN87" s="68" t="str">
        <f>IF(main!AZ90="","",ROUND(main!AZ90*100,6))</f>
        <v/>
      </c>
      <c r="AO87" s="68" t="str">
        <f>IF(main!BA90="","",ROUND(main!BA90*100,6))</f>
        <v/>
      </c>
      <c r="AP87" s="68" t="str">
        <f>IF(main!BB90="","",ROUND(main!BB90*100,6))</f>
        <v/>
      </c>
      <c r="AQ87" s="68" t="str">
        <f>IF(main!BC90="","",ROUND(main!BC90*100,6))</f>
        <v/>
      </c>
      <c r="AR87" s="68" t="str">
        <f>IF(main!BD90="","",ROUND(main!BD90*100,6))</f>
        <v/>
      </c>
      <c r="AS87" s="68" t="str">
        <f>IF(main!BE90="","",ROUND(main!BE90*100,6))</f>
        <v/>
      </c>
      <c r="AT87" s="68" t="str">
        <f>IF(main!BF90="","",ROUND(main!BF90*100,6))</f>
        <v/>
      </c>
      <c r="AU87" s="68" t="str">
        <f>IF(main!BG90="","",ROUND(main!BG90*100,6))</f>
        <v/>
      </c>
      <c r="AV87" s="68" t="str">
        <f>IF(main!BH90="","",ROUND(main!BH90*100,6))</f>
        <v/>
      </c>
      <c r="AW87" s="68" t="str">
        <f>IF(main!BI90="","",ROUND(main!BI90*100,6))</f>
        <v/>
      </c>
      <c r="AX87" s="68" t="str">
        <f>IF(main!BJ90="","",ROUND(main!BJ90*100,6))</f>
        <v/>
      </c>
      <c r="AY87" s="68" t="str">
        <f>IF(main!BK90="","",ROUND(main!BK90*100,6))</f>
        <v/>
      </c>
      <c r="AZ87" s="68" t="str">
        <f>IF(main!BL90="","",ROUND(main!BL90*100,6))</f>
        <v/>
      </c>
      <c r="BA87" s="68" t="str">
        <f>IF(main!BM90="","",ROUND(main!BM90*100,6))</f>
        <v/>
      </c>
      <c r="BB87" s="68" t="str">
        <f>IF(main!BN90="","",ROUND(main!BN90*100,6))</f>
        <v/>
      </c>
      <c r="BC87" s="68" t="str">
        <f>IF(main!BO90="","",ROUND(main!BO90*100,6))</f>
        <v/>
      </c>
      <c r="BD87" s="68" t="str">
        <f>IF(main!BP90="","",ROUND(main!BP90*100,6))</f>
        <v/>
      </c>
      <c r="BE87" s="68" t="str">
        <f>IF(main!BQ90="","",ROUND(main!BQ90*100,6))</f>
        <v/>
      </c>
      <c r="BF87" s="68" t="str">
        <f>IF(main!BR90="","",ROUND(main!BR90*100,6))</f>
        <v/>
      </c>
      <c r="BG87" s="68" t="str">
        <f>IF(main!BS90="","",ROUND(main!BS90*100,6))</f>
        <v/>
      </c>
      <c r="BH87" s="68" t="str">
        <f>IF(main!BT90="","",ROUND(main!BT90*100,6))</f>
        <v/>
      </c>
      <c r="BI87" s="68" t="str">
        <f>IF(main!BU90="","",ROUND(main!BU90*100,6))</f>
        <v/>
      </c>
      <c r="BJ87" s="68" t="str">
        <f>IF(main!BV90="","",ROUND(main!BV90*100,6))</f>
        <v/>
      </c>
      <c r="BK87" s="68" t="str">
        <f>IF(main!BW90="","",ROUND(main!BW90*100,6))</f>
        <v/>
      </c>
      <c r="BL87" s="68" t="str">
        <f>IF(main!BX90="","",ROUND(main!BX90*100,6))</f>
        <v/>
      </c>
      <c r="BM87" s="68" t="str">
        <f>IF(main!BY90="","",ROUND(main!BY90*100,6))</f>
        <v/>
      </c>
      <c r="BN87" s="68" t="str">
        <f>IF(main!BZ90="","",ROUND(main!BZ90*100,6))</f>
        <v/>
      </c>
      <c r="BO87" s="68" t="str">
        <f>IF(main!CA90="","",ROUND(main!CA90*100,6))</f>
        <v/>
      </c>
      <c r="BP87" s="68" t="str">
        <f>IF(main!CB90="","",ROUND(main!CB90*100,6))</f>
        <v/>
      </c>
      <c r="BQ87" s="68" t="str">
        <f>IF(main!CC90="","",ROUND(main!CC90*100,6))</f>
        <v/>
      </c>
      <c r="BR87" s="68" t="str">
        <f>IF(main!CD90="","",ROUND(main!CD90*100,6))</f>
        <v/>
      </c>
      <c r="BS87" s="68" t="str">
        <f>IF(main!CE90="","",ROUND(main!CE90*100,6))</f>
        <v/>
      </c>
      <c r="BT87" s="68" t="str">
        <f>IF(main!CF90="","",ROUND(main!CF90*100,6))</f>
        <v/>
      </c>
      <c r="BU87" s="68" t="str">
        <f>IF(main!CG90="","",ROUND(main!CG90*100,6))</f>
        <v/>
      </c>
      <c r="BV87" s="68" t="str">
        <f>IF(main!CH90="","",ROUND(main!CH90*100,6))</f>
        <v/>
      </c>
      <c r="BW87" s="68" t="str">
        <f>IF(main!CI90="","",ROUND(main!CI90*100,6))</f>
        <v/>
      </c>
      <c r="BX87" s="68" t="str">
        <f>IF(main!CJ90="","",ROUND(main!CJ90*100,6))</f>
        <v/>
      </c>
      <c r="BY87" s="68" t="str">
        <f>IF(main!CK90="","",ROUND(main!CK90*100,6))</f>
        <v/>
      </c>
      <c r="BZ87" s="68" t="str">
        <f>IF(main!CL90="","",ROUND(main!CL90*100,6))</f>
        <v/>
      </c>
      <c r="CA87" s="68" t="str">
        <f>IF(main!CM90="","",ROUND(main!CM90*100,6))</f>
        <v/>
      </c>
      <c r="CB87" s="68" t="str">
        <f>IF(main!CN90="","",ROUND(main!CN90*100,6))</f>
        <v/>
      </c>
      <c r="CC87" s="68" t="str">
        <f>IF(main!CO90="","",ROUND(main!CO90*100,6))</f>
        <v/>
      </c>
    </row>
    <row r="88" spans="1:81" x14ac:dyDescent="0.25">
      <c r="A88" s="65" t="s">
        <v>219</v>
      </c>
      <c r="B88" s="66" t="str">
        <f>main!C91</f>
        <v>Supports Installation</v>
      </c>
      <c r="C88" s="67">
        <f>main!O91</f>
        <v>100000</v>
      </c>
      <c r="D88" s="65" t="s">
        <v>110</v>
      </c>
      <c r="E88" s="68">
        <f t="shared" si="1"/>
        <v>100</v>
      </c>
      <c r="F88" s="68" t="str">
        <f>IF(main!R91="","",ROUND(main!R91*100,6))</f>
        <v/>
      </c>
      <c r="G88" s="68" t="str">
        <f>IF(main!S91="","",ROUND(main!S91*100,6))</f>
        <v/>
      </c>
      <c r="H88" s="68" t="str">
        <f>IF(main!T91="","",ROUND(main!T91*100,6))</f>
        <v/>
      </c>
      <c r="I88" s="68" t="str">
        <f>IF(main!U91="","",ROUND(main!U91*100,6))</f>
        <v/>
      </c>
      <c r="J88" s="68" t="str">
        <f>IF(main!V91="","",ROUND(main!V91*100,6))</f>
        <v/>
      </c>
      <c r="K88" s="68" t="str">
        <f>IF(main!W91="","",ROUND(main!W91*100,6))</f>
        <v/>
      </c>
      <c r="L88" s="68" t="str">
        <f>IF(main!X91="","",ROUND(main!X91*100,6))</f>
        <v/>
      </c>
      <c r="M88" s="68" t="str">
        <f>IF(main!Y91="","",ROUND(main!Y91*100,6))</f>
        <v/>
      </c>
      <c r="N88" s="68" t="str">
        <f>IF(main!Z91="","",ROUND(main!Z91*100,6))</f>
        <v/>
      </c>
      <c r="O88" s="68" t="str">
        <f>IF(main!AA91="","",ROUND(main!AA91*100,6))</f>
        <v/>
      </c>
      <c r="P88" s="68" t="str">
        <f>IF(main!AB91="","",ROUND(main!AB91*100,6))</f>
        <v/>
      </c>
      <c r="Q88" s="68" t="str">
        <f>IF(main!AC91="","",ROUND(main!AC91*100,6))</f>
        <v/>
      </c>
      <c r="R88" s="68" t="str">
        <f>IF(main!AD91="","",ROUND(main!AD91*100,6))</f>
        <v/>
      </c>
      <c r="S88" s="68" t="str">
        <f>IF(main!AE91="","",ROUND(main!AE91*100,6))</f>
        <v/>
      </c>
      <c r="T88" s="68" t="str">
        <f>IF(main!AF91="","",ROUND(main!AF91*100,6))</f>
        <v/>
      </c>
      <c r="U88" s="68" t="str">
        <f>IF(main!AG91="","",ROUND(main!AG91*100,6))</f>
        <v/>
      </c>
      <c r="V88" s="68" t="str">
        <f>IF(main!AH91="","",ROUND(main!AH91*100,6))</f>
        <v/>
      </c>
      <c r="W88" s="68" t="str">
        <f>IF(main!AI91="","",ROUND(main!AI91*100,6))</f>
        <v/>
      </c>
      <c r="X88" s="68" t="str">
        <f>IF(main!AJ91="","",ROUND(main!AJ91*100,6))</f>
        <v/>
      </c>
      <c r="Y88" s="68" t="str">
        <f>IF(main!AK91="","",ROUND(main!AK91*100,6))</f>
        <v/>
      </c>
      <c r="Z88" s="68" t="str">
        <f>IF(main!AL91="","",ROUND(main!AL91*100,6))</f>
        <v/>
      </c>
      <c r="AA88" s="68" t="str">
        <f>IF(main!AM91="","",ROUND(main!AM91*100,6))</f>
        <v/>
      </c>
      <c r="AB88" s="68" t="str">
        <f>IF(main!AN91="","",ROUND(main!AN91*100,6))</f>
        <v/>
      </c>
      <c r="AC88" s="68" t="str">
        <f>IF(main!AO91="","",ROUND(main!AO91*100,6))</f>
        <v/>
      </c>
      <c r="AD88" s="68" t="str">
        <f>IF(main!AP91="","",ROUND(main!AP91*100,6))</f>
        <v/>
      </c>
      <c r="AE88" s="68" t="str">
        <f>IF(main!AQ91="","",ROUND(main!AQ91*100,6))</f>
        <v/>
      </c>
      <c r="AF88" s="68" t="str">
        <f>IF(main!AR91="","",ROUND(main!AR91*100,6))</f>
        <v/>
      </c>
      <c r="AG88" s="68" t="str">
        <f>IF(main!AS91="","",ROUND(main!AS91*100,6))</f>
        <v/>
      </c>
      <c r="AH88" s="68" t="str">
        <f>IF(main!AT91="","",ROUND(main!AT91*100,6))</f>
        <v/>
      </c>
      <c r="AI88" s="68" t="str">
        <f>IF(main!AU91="","",ROUND(main!AU91*100,6))</f>
        <v/>
      </c>
      <c r="AJ88" s="68" t="str">
        <f>IF(main!AV91="","",ROUND(main!AV91*100,6))</f>
        <v/>
      </c>
      <c r="AK88" s="68" t="str">
        <f>IF(main!AW91="","",ROUND(main!AW91*100,6))</f>
        <v/>
      </c>
      <c r="AL88" s="68" t="str">
        <f>IF(main!AX91="","",ROUND(main!AX91*100,6))</f>
        <v/>
      </c>
      <c r="AM88" s="68" t="str">
        <f>IF(main!AY91="","",ROUND(main!AY91*100,6))</f>
        <v/>
      </c>
      <c r="AN88" s="68" t="str">
        <f>IF(main!AZ91="","",ROUND(main!AZ91*100,6))</f>
        <v/>
      </c>
      <c r="AO88" s="68" t="str">
        <f>IF(main!BA91="","",ROUND(main!BA91*100,6))</f>
        <v/>
      </c>
      <c r="AP88" s="68" t="str">
        <f>IF(main!BB91="","",ROUND(main!BB91*100,6))</f>
        <v/>
      </c>
      <c r="AQ88" s="68" t="str">
        <f>IF(main!BC91="","",ROUND(main!BC91*100,6))</f>
        <v/>
      </c>
      <c r="AR88" s="68" t="str">
        <f>IF(main!BD91="","",ROUND(main!BD91*100,6))</f>
        <v/>
      </c>
      <c r="AS88" s="68" t="str">
        <f>IF(main!BE91="","",ROUND(main!BE91*100,6))</f>
        <v/>
      </c>
      <c r="AT88" s="68" t="str">
        <f>IF(main!BF91="","",ROUND(main!BF91*100,6))</f>
        <v/>
      </c>
      <c r="AU88" s="68" t="str">
        <f>IF(main!BG91="","",ROUND(main!BG91*100,6))</f>
        <v/>
      </c>
      <c r="AV88" s="68" t="str">
        <f>IF(main!BH91="","",ROUND(main!BH91*100,6))</f>
        <v/>
      </c>
      <c r="AW88" s="68" t="str">
        <f>IF(main!BI91="","",ROUND(main!BI91*100,6))</f>
        <v/>
      </c>
      <c r="AX88" s="68" t="str">
        <f>IF(main!BJ91="","",ROUND(main!BJ91*100,6))</f>
        <v/>
      </c>
      <c r="AY88" s="68">
        <f>IF(main!BK91="","",ROUND(main!BK91*100,6))</f>
        <v>28.571428999999998</v>
      </c>
      <c r="AZ88" s="68">
        <f>IF(main!BL91="","",ROUND(main!BL91*100,6))</f>
        <v>71.428571000000005</v>
      </c>
      <c r="BA88" s="68" t="str">
        <f>IF(main!BM91="","",ROUND(main!BM91*100,6))</f>
        <v/>
      </c>
      <c r="BB88" s="68" t="str">
        <f>IF(main!BN91="","",ROUND(main!BN91*100,6))</f>
        <v/>
      </c>
      <c r="BC88" s="68" t="str">
        <f>IF(main!BO91="","",ROUND(main!BO91*100,6))</f>
        <v/>
      </c>
      <c r="BD88" s="68" t="str">
        <f>IF(main!BP91="","",ROUND(main!BP91*100,6))</f>
        <v/>
      </c>
      <c r="BE88" s="68" t="str">
        <f>IF(main!BQ91="","",ROUND(main!BQ91*100,6))</f>
        <v/>
      </c>
      <c r="BF88" s="68" t="str">
        <f>IF(main!BR91="","",ROUND(main!BR91*100,6))</f>
        <v/>
      </c>
      <c r="BG88" s="68" t="str">
        <f>IF(main!BS91="","",ROUND(main!BS91*100,6))</f>
        <v/>
      </c>
      <c r="BH88" s="68" t="str">
        <f>IF(main!BT91="","",ROUND(main!BT91*100,6))</f>
        <v/>
      </c>
      <c r="BI88" s="68" t="str">
        <f>IF(main!BU91="","",ROUND(main!BU91*100,6))</f>
        <v/>
      </c>
      <c r="BJ88" s="68" t="str">
        <f>IF(main!BV91="","",ROUND(main!BV91*100,6))</f>
        <v/>
      </c>
      <c r="BK88" s="68" t="str">
        <f>IF(main!BW91="","",ROUND(main!BW91*100,6))</f>
        <v/>
      </c>
      <c r="BL88" s="68" t="str">
        <f>IF(main!BX91="","",ROUND(main!BX91*100,6))</f>
        <v/>
      </c>
      <c r="BM88" s="68" t="str">
        <f>IF(main!BY91="","",ROUND(main!BY91*100,6))</f>
        <v/>
      </c>
      <c r="BN88" s="68" t="str">
        <f>IF(main!BZ91="","",ROUND(main!BZ91*100,6))</f>
        <v/>
      </c>
      <c r="BO88" s="68" t="str">
        <f>IF(main!CA91="","",ROUND(main!CA91*100,6))</f>
        <v/>
      </c>
      <c r="BP88" s="68" t="str">
        <f>IF(main!CB91="","",ROUND(main!CB91*100,6))</f>
        <v/>
      </c>
      <c r="BQ88" s="68" t="str">
        <f>IF(main!CC91="","",ROUND(main!CC91*100,6))</f>
        <v/>
      </c>
      <c r="BR88" s="68" t="str">
        <f>IF(main!CD91="","",ROUND(main!CD91*100,6))</f>
        <v/>
      </c>
      <c r="BS88" s="68" t="str">
        <f>IF(main!CE91="","",ROUND(main!CE91*100,6))</f>
        <v/>
      </c>
      <c r="BT88" s="68" t="str">
        <f>IF(main!CF91="","",ROUND(main!CF91*100,6))</f>
        <v/>
      </c>
      <c r="BU88" s="68" t="str">
        <f>IF(main!CG91="","",ROUND(main!CG91*100,6))</f>
        <v/>
      </c>
      <c r="BV88" s="68" t="str">
        <f>IF(main!CH91="","",ROUND(main!CH91*100,6))</f>
        <v/>
      </c>
      <c r="BW88" s="68" t="str">
        <f>IF(main!CI91="","",ROUND(main!CI91*100,6))</f>
        <v/>
      </c>
      <c r="BX88" s="68" t="str">
        <f>IF(main!CJ91="","",ROUND(main!CJ91*100,6))</f>
        <v/>
      </c>
      <c r="BY88" s="68" t="str">
        <f>IF(main!CK91="","",ROUND(main!CK91*100,6))</f>
        <v/>
      </c>
      <c r="BZ88" s="68" t="str">
        <f>IF(main!CL91="","",ROUND(main!CL91*100,6))</f>
        <v/>
      </c>
      <c r="CA88" s="68" t="str">
        <f>IF(main!CM91="","",ROUND(main!CM91*100,6))</f>
        <v/>
      </c>
      <c r="CB88" s="68" t="str">
        <f>IF(main!CN91="","",ROUND(main!CN91*100,6))</f>
        <v/>
      </c>
      <c r="CC88" s="68" t="str">
        <f>IF(main!CO91="","",ROUND(main!CO91*100,6))</f>
        <v/>
      </c>
    </row>
    <row r="89" spans="1:81" x14ac:dyDescent="0.25">
      <c r="A89" s="65" t="s">
        <v>219</v>
      </c>
      <c r="B89" s="66" t="str">
        <f>main!C91</f>
        <v>Supports Installation</v>
      </c>
      <c r="C89" s="67">
        <f>main!O91</f>
        <v>100000</v>
      </c>
      <c r="D89" s="65" t="s">
        <v>111</v>
      </c>
      <c r="E89" s="68" t="str">
        <f t="shared" si="1"/>
        <v/>
      </c>
      <c r="F89" s="68" t="str">
        <f>IF(main!R92="","",ROUND(main!R92*100,6))</f>
        <v/>
      </c>
      <c r="G89" s="68" t="str">
        <f>IF(main!S92="","",ROUND(main!S92*100,6))</f>
        <v/>
      </c>
      <c r="H89" s="68" t="str">
        <f>IF(main!T92="","",ROUND(main!T92*100,6))</f>
        <v/>
      </c>
      <c r="I89" s="68" t="str">
        <f>IF(main!U92="","",ROUND(main!U92*100,6))</f>
        <v/>
      </c>
      <c r="J89" s="68" t="str">
        <f>IF(main!V92="","",ROUND(main!V92*100,6))</f>
        <v/>
      </c>
      <c r="K89" s="68" t="str">
        <f>IF(main!W92="","",ROUND(main!W92*100,6))</f>
        <v/>
      </c>
      <c r="L89" s="68" t="str">
        <f>IF(main!X92="","",ROUND(main!X92*100,6))</f>
        <v/>
      </c>
      <c r="M89" s="68" t="str">
        <f>IF(main!Y92="","",ROUND(main!Y92*100,6))</f>
        <v/>
      </c>
      <c r="N89" s="68" t="str">
        <f>IF(main!Z92="","",ROUND(main!Z92*100,6))</f>
        <v/>
      </c>
      <c r="O89" s="68" t="str">
        <f>IF(main!AA92="","",ROUND(main!AA92*100,6))</f>
        <v/>
      </c>
      <c r="P89" s="68" t="str">
        <f>IF(main!AB92="","",ROUND(main!AB92*100,6))</f>
        <v/>
      </c>
      <c r="Q89" s="68" t="str">
        <f>IF(main!AC92="","",ROUND(main!AC92*100,6))</f>
        <v/>
      </c>
      <c r="R89" s="68" t="str">
        <f>IF(main!AD92="","",ROUND(main!AD92*100,6))</f>
        <v/>
      </c>
      <c r="S89" s="68" t="str">
        <f>IF(main!AE92="","",ROUND(main!AE92*100,6))</f>
        <v/>
      </c>
      <c r="T89" s="68" t="str">
        <f>IF(main!AF92="","",ROUND(main!AF92*100,6))</f>
        <v/>
      </c>
      <c r="U89" s="68" t="str">
        <f>IF(main!AG92="","",ROUND(main!AG92*100,6))</f>
        <v/>
      </c>
      <c r="V89" s="68" t="str">
        <f>IF(main!AH92="","",ROUND(main!AH92*100,6))</f>
        <v/>
      </c>
      <c r="W89" s="68" t="str">
        <f>IF(main!AI92="","",ROUND(main!AI92*100,6))</f>
        <v/>
      </c>
      <c r="X89" s="68" t="str">
        <f>IF(main!AJ92="","",ROUND(main!AJ92*100,6))</f>
        <v/>
      </c>
      <c r="Y89" s="68" t="str">
        <f>IF(main!AK92="","",ROUND(main!AK92*100,6))</f>
        <v/>
      </c>
      <c r="Z89" s="68" t="str">
        <f>IF(main!AL92="","",ROUND(main!AL92*100,6))</f>
        <v/>
      </c>
      <c r="AA89" s="68" t="str">
        <f>IF(main!AM92="","",ROUND(main!AM92*100,6))</f>
        <v/>
      </c>
      <c r="AB89" s="68" t="str">
        <f>IF(main!AN92="","",ROUND(main!AN92*100,6))</f>
        <v/>
      </c>
      <c r="AC89" s="68" t="str">
        <f>IF(main!AO92="","",ROUND(main!AO92*100,6))</f>
        <v/>
      </c>
      <c r="AD89" s="68" t="str">
        <f>IF(main!AP92="","",ROUND(main!AP92*100,6))</f>
        <v/>
      </c>
      <c r="AE89" s="68" t="str">
        <f>IF(main!AQ92="","",ROUND(main!AQ92*100,6))</f>
        <v/>
      </c>
      <c r="AF89" s="68" t="str">
        <f>IF(main!AR92="","",ROUND(main!AR92*100,6))</f>
        <v/>
      </c>
      <c r="AG89" s="68" t="str">
        <f>IF(main!AS92="","",ROUND(main!AS92*100,6))</f>
        <v/>
      </c>
      <c r="AH89" s="68" t="str">
        <f>IF(main!AT92="","",ROUND(main!AT92*100,6))</f>
        <v/>
      </c>
      <c r="AI89" s="68" t="str">
        <f>IF(main!AU92="","",ROUND(main!AU92*100,6))</f>
        <v/>
      </c>
      <c r="AJ89" s="68" t="str">
        <f>IF(main!AV92="","",ROUND(main!AV92*100,6))</f>
        <v/>
      </c>
      <c r="AK89" s="68" t="str">
        <f>IF(main!AW92="","",ROUND(main!AW92*100,6))</f>
        <v/>
      </c>
      <c r="AL89" s="68" t="str">
        <f>IF(main!AX92="","",ROUND(main!AX92*100,6))</f>
        <v/>
      </c>
      <c r="AM89" s="68" t="str">
        <f>IF(main!AY92="","",ROUND(main!AY92*100,6))</f>
        <v/>
      </c>
      <c r="AN89" s="68" t="str">
        <f>IF(main!AZ92="","",ROUND(main!AZ92*100,6))</f>
        <v/>
      </c>
      <c r="AO89" s="68" t="str">
        <f>IF(main!BA92="","",ROUND(main!BA92*100,6))</f>
        <v/>
      </c>
      <c r="AP89" s="68" t="str">
        <f>IF(main!BB92="","",ROUND(main!BB92*100,6))</f>
        <v/>
      </c>
      <c r="AQ89" s="68" t="str">
        <f>IF(main!BC92="","",ROUND(main!BC92*100,6))</f>
        <v/>
      </c>
      <c r="AR89" s="68" t="str">
        <f>IF(main!BD92="","",ROUND(main!BD92*100,6))</f>
        <v/>
      </c>
      <c r="AS89" s="68" t="str">
        <f>IF(main!BE92="","",ROUND(main!BE92*100,6))</f>
        <v/>
      </c>
      <c r="AT89" s="68" t="str">
        <f>IF(main!BF92="","",ROUND(main!BF92*100,6))</f>
        <v/>
      </c>
      <c r="AU89" s="68" t="str">
        <f>IF(main!BG92="","",ROUND(main!BG92*100,6))</f>
        <v/>
      </c>
      <c r="AV89" s="68" t="str">
        <f>IF(main!BH92="","",ROUND(main!BH92*100,6))</f>
        <v/>
      </c>
      <c r="AW89" s="68" t="str">
        <f>IF(main!BI92="","",ROUND(main!BI92*100,6))</f>
        <v/>
      </c>
      <c r="AX89" s="68" t="str">
        <f>IF(main!BJ92="","",ROUND(main!BJ92*100,6))</f>
        <v/>
      </c>
      <c r="AY89" s="68" t="str">
        <f>IF(main!BK92="","",ROUND(main!BK92*100,6))</f>
        <v/>
      </c>
      <c r="AZ89" s="68" t="str">
        <f>IF(main!BL92="","",ROUND(main!BL92*100,6))</f>
        <v/>
      </c>
      <c r="BA89" s="68" t="str">
        <f>IF(main!BM92="","",ROUND(main!BM92*100,6))</f>
        <v/>
      </c>
      <c r="BB89" s="68" t="str">
        <f>IF(main!BN92="","",ROUND(main!BN92*100,6))</f>
        <v/>
      </c>
      <c r="BC89" s="68" t="str">
        <f>IF(main!BO92="","",ROUND(main!BO92*100,6))</f>
        <v/>
      </c>
      <c r="BD89" s="68" t="str">
        <f>IF(main!BP92="","",ROUND(main!BP92*100,6))</f>
        <v/>
      </c>
      <c r="BE89" s="68" t="str">
        <f>IF(main!BQ92="","",ROUND(main!BQ92*100,6))</f>
        <v/>
      </c>
      <c r="BF89" s="68" t="str">
        <f>IF(main!BR92="","",ROUND(main!BR92*100,6))</f>
        <v/>
      </c>
      <c r="BG89" s="68" t="str">
        <f>IF(main!BS92="","",ROUND(main!BS92*100,6))</f>
        <v/>
      </c>
      <c r="BH89" s="68" t="str">
        <f>IF(main!BT92="","",ROUND(main!BT92*100,6))</f>
        <v/>
      </c>
      <c r="BI89" s="68" t="str">
        <f>IF(main!BU92="","",ROUND(main!BU92*100,6))</f>
        <v/>
      </c>
      <c r="BJ89" s="68" t="str">
        <f>IF(main!BV92="","",ROUND(main!BV92*100,6))</f>
        <v/>
      </c>
      <c r="BK89" s="68" t="str">
        <f>IF(main!BW92="","",ROUND(main!BW92*100,6))</f>
        <v/>
      </c>
      <c r="BL89" s="68" t="str">
        <f>IF(main!BX92="","",ROUND(main!BX92*100,6))</f>
        <v/>
      </c>
      <c r="BM89" s="68" t="str">
        <f>IF(main!BY92="","",ROUND(main!BY92*100,6))</f>
        <v/>
      </c>
      <c r="BN89" s="68" t="str">
        <f>IF(main!BZ92="","",ROUND(main!BZ92*100,6))</f>
        <v/>
      </c>
      <c r="BO89" s="68" t="str">
        <f>IF(main!CA92="","",ROUND(main!CA92*100,6))</f>
        <v/>
      </c>
      <c r="BP89" s="68" t="str">
        <f>IF(main!CB92="","",ROUND(main!CB92*100,6))</f>
        <v/>
      </c>
      <c r="BQ89" s="68" t="str">
        <f>IF(main!CC92="","",ROUND(main!CC92*100,6))</f>
        <v/>
      </c>
      <c r="BR89" s="68" t="str">
        <f>IF(main!CD92="","",ROUND(main!CD92*100,6))</f>
        <v/>
      </c>
      <c r="BS89" s="68" t="str">
        <f>IF(main!CE92="","",ROUND(main!CE92*100,6))</f>
        <v/>
      </c>
      <c r="BT89" s="68" t="str">
        <f>IF(main!CF92="","",ROUND(main!CF92*100,6))</f>
        <v/>
      </c>
      <c r="BU89" s="68" t="str">
        <f>IF(main!CG92="","",ROUND(main!CG92*100,6))</f>
        <v/>
      </c>
      <c r="BV89" s="68" t="str">
        <f>IF(main!CH92="","",ROUND(main!CH92*100,6))</f>
        <v/>
      </c>
      <c r="BW89" s="68" t="str">
        <f>IF(main!CI92="","",ROUND(main!CI92*100,6))</f>
        <v/>
      </c>
      <c r="BX89" s="68" t="str">
        <f>IF(main!CJ92="","",ROUND(main!CJ92*100,6))</f>
        <v/>
      </c>
      <c r="BY89" s="68" t="str">
        <f>IF(main!CK92="","",ROUND(main!CK92*100,6))</f>
        <v/>
      </c>
      <c r="BZ89" s="68" t="str">
        <f>IF(main!CL92="","",ROUND(main!CL92*100,6))</f>
        <v/>
      </c>
      <c r="CA89" s="68" t="str">
        <f>IF(main!CM92="","",ROUND(main!CM92*100,6))</f>
        <v/>
      </c>
      <c r="CB89" s="68" t="str">
        <f>IF(main!CN92="","",ROUND(main!CN92*100,6))</f>
        <v/>
      </c>
      <c r="CC89" s="68" t="str">
        <f>IF(main!CO92="","",ROUND(main!CO92*100,6))</f>
        <v/>
      </c>
    </row>
    <row r="90" spans="1:81" x14ac:dyDescent="0.25">
      <c r="A90" s="65" t="s">
        <v>221</v>
      </c>
      <c r="B90" s="66" t="str">
        <f>main!C93</f>
        <v>Built-up Frame&amp;Slab</v>
      </c>
      <c r="C90" s="67">
        <f>main!O93</f>
        <v>100000</v>
      </c>
      <c r="D90" s="65" t="s">
        <v>110</v>
      </c>
      <c r="E90" s="68">
        <f t="shared" si="1"/>
        <v>100</v>
      </c>
      <c r="F90" s="68" t="str">
        <f>IF(main!R93="","",ROUND(main!R93*100,6))</f>
        <v/>
      </c>
      <c r="G90" s="68" t="str">
        <f>IF(main!S93="","",ROUND(main!S93*100,6))</f>
        <v/>
      </c>
      <c r="H90" s="68" t="str">
        <f>IF(main!T93="","",ROUND(main!T93*100,6))</f>
        <v/>
      </c>
      <c r="I90" s="68" t="str">
        <f>IF(main!U93="","",ROUND(main!U93*100,6))</f>
        <v/>
      </c>
      <c r="J90" s="68" t="str">
        <f>IF(main!V93="","",ROUND(main!V93*100,6))</f>
        <v/>
      </c>
      <c r="K90" s="68" t="str">
        <f>IF(main!W93="","",ROUND(main!W93*100,6))</f>
        <v/>
      </c>
      <c r="L90" s="68" t="str">
        <f>IF(main!X93="","",ROUND(main!X93*100,6))</f>
        <v/>
      </c>
      <c r="M90" s="68" t="str">
        <f>IF(main!Y93="","",ROUND(main!Y93*100,6))</f>
        <v/>
      </c>
      <c r="N90" s="68" t="str">
        <f>IF(main!Z93="","",ROUND(main!Z93*100,6))</f>
        <v/>
      </c>
      <c r="O90" s="68" t="str">
        <f>IF(main!AA93="","",ROUND(main!AA93*100,6))</f>
        <v/>
      </c>
      <c r="P90" s="68" t="str">
        <f>IF(main!AB93="","",ROUND(main!AB93*100,6))</f>
        <v/>
      </c>
      <c r="Q90" s="68" t="str">
        <f>IF(main!AC93="","",ROUND(main!AC93*100,6))</f>
        <v/>
      </c>
      <c r="R90" s="68" t="str">
        <f>IF(main!AD93="","",ROUND(main!AD93*100,6))</f>
        <v/>
      </c>
      <c r="S90" s="68" t="str">
        <f>IF(main!AE93="","",ROUND(main!AE93*100,6))</f>
        <v/>
      </c>
      <c r="T90" s="68" t="str">
        <f>IF(main!AF93="","",ROUND(main!AF93*100,6))</f>
        <v/>
      </c>
      <c r="U90" s="68" t="str">
        <f>IF(main!AG93="","",ROUND(main!AG93*100,6))</f>
        <v/>
      </c>
      <c r="V90" s="68" t="str">
        <f>IF(main!AH93="","",ROUND(main!AH93*100,6))</f>
        <v/>
      </c>
      <c r="W90" s="68" t="str">
        <f>IF(main!AI93="","",ROUND(main!AI93*100,6))</f>
        <v/>
      </c>
      <c r="X90" s="68" t="str">
        <f>IF(main!AJ93="","",ROUND(main!AJ93*100,6))</f>
        <v/>
      </c>
      <c r="Y90" s="68" t="str">
        <f>IF(main!AK93="","",ROUND(main!AK93*100,6))</f>
        <v/>
      </c>
      <c r="Z90" s="68" t="str">
        <f>IF(main!AL93="","",ROUND(main!AL93*100,6))</f>
        <v/>
      </c>
      <c r="AA90" s="68" t="str">
        <f>IF(main!AM93="","",ROUND(main!AM93*100,6))</f>
        <v/>
      </c>
      <c r="AB90" s="68" t="str">
        <f>IF(main!AN93="","",ROUND(main!AN93*100,6))</f>
        <v/>
      </c>
      <c r="AC90" s="68" t="str">
        <f>IF(main!AO93="","",ROUND(main!AO93*100,6))</f>
        <v/>
      </c>
      <c r="AD90" s="68" t="str">
        <f>IF(main!AP93="","",ROUND(main!AP93*100,6))</f>
        <v/>
      </c>
      <c r="AE90" s="68" t="str">
        <f>IF(main!AQ93="","",ROUND(main!AQ93*100,6))</f>
        <v/>
      </c>
      <c r="AF90" s="68" t="str">
        <f>IF(main!AR93="","",ROUND(main!AR93*100,6))</f>
        <v/>
      </c>
      <c r="AG90" s="68" t="str">
        <f>IF(main!AS93="","",ROUND(main!AS93*100,6))</f>
        <v/>
      </c>
      <c r="AH90" s="68" t="str">
        <f>IF(main!AT93="","",ROUND(main!AT93*100,6))</f>
        <v/>
      </c>
      <c r="AI90" s="68" t="str">
        <f>IF(main!AU93="","",ROUND(main!AU93*100,6))</f>
        <v/>
      </c>
      <c r="AJ90" s="68" t="str">
        <f>IF(main!AV93="","",ROUND(main!AV93*100,6))</f>
        <v/>
      </c>
      <c r="AK90" s="68" t="str">
        <f>IF(main!AW93="","",ROUND(main!AW93*100,6))</f>
        <v/>
      </c>
      <c r="AL90" s="68" t="str">
        <f>IF(main!AX93="","",ROUND(main!AX93*100,6))</f>
        <v/>
      </c>
      <c r="AM90" s="68" t="str">
        <f>IF(main!AY93="","",ROUND(main!AY93*100,6))</f>
        <v/>
      </c>
      <c r="AN90" s="68" t="str">
        <f>IF(main!AZ93="","",ROUND(main!AZ93*100,6))</f>
        <v/>
      </c>
      <c r="AO90" s="68" t="str">
        <f>IF(main!BA93="","",ROUND(main!BA93*100,6))</f>
        <v/>
      </c>
      <c r="AP90" s="68" t="str">
        <f>IF(main!BB93="","",ROUND(main!BB93*100,6))</f>
        <v/>
      </c>
      <c r="AQ90" s="68" t="str">
        <f>IF(main!BC93="","",ROUND(main!BC93*100,6))</f>
        <v/>
      </c>
      <c r="AR90" s="68" t="str">
        <f>IF(main!BD93="","",ROUND(main!BD93*100,6))</f>
        <v/>
      </c>
      <c r="AS90" s="68" t="str">
        <f>IF(main!BE93="","",ROUND(main!BE93*100,6))</f>
        <v/>
      </c>
      <c r="AT90" s="68" t="str">
        <f>IF(main!BF93="","",ROUND(main!BF93*100,6))</f>
        <v/>
      </c>
      <c r="AU90" s="68" t="str">
        <f>IF(main!BG93="","",ROUND(main!BG93*100,6))</f>
        <v/>
      </c>
      <c r="AV90" s="68" t="str">
        <f>IF(main!BH93="","",ROUND(main!BH93*100,6))</f>
        <v/>
      </c>
      <c r="AW90" s="68" t="str">
        <f>IF(main!BI93="","",ROUND(main!BI93*100,6))</f>
        <v/>
      </c>
      <c r="AX90" s="68" t="str">
        <f>IF(main!BJ93="","",ROUND(main!BJ93*100,6))</f>
        <v/>
      </c>
      <c r="AY90" s="68" t="str">
        <f>IF(main!BK93="","",ROUND(main!BK93*100,6))</f>
        <v/>
      </c>
      <c r="AZ90" s="68">
        <f>IF(main!BL93="","",ROUND(main!BL93*100,6))</f>
        <v>8.323976</v>
      </c>
      <c r="BA90" s="68">
        <f>IF(main!BM93="","",ROUND(main!BM93*100,6))</f>
        <v>70.866083000000003</v>
      </c>
      <c r="BB90" s="68">
        <f>IF(main!BN93="","",ROUND(main!BN93*100,6))</f>
        <v>20.809940999999998</v>
      </c>
      <c r="BC90" s="68" t="str">
        <f>IF(main!BO93="","",ROUND(main!BO93*100,6))</f>
        <v/>
      </c>
      <c r="BD90" s="68" t="str">
        <f>IF(main!BP93="","",ROUND(main!BP93*100,6))</f>
        <v/>
      </c>
      <c r="BE90" s="68" t="str">
        <f>IF(main!BQ93="","",ROUND(main!BQ93*100,6))</f>
        <v/>
      </c>
      <c r="BF90" s="68" t="str">
        <f>IF(main!BR93="","",ROUND(main!BR93*100,6))</f>
        <v/>
      </c>
      <c r="BG90" s="68" t="str">
        <f>IF(main!BS93="","",ROUND(main!BS93*100,6))</f>
        <v/>
      </c>
      <c r="BH90" s="68" t="str">
        <f>IF(main!BT93="","",ROUND(main!BT93*100,6))</f>
        <v/>
      </c>
      <c r="BI90" s="68" t="str">
        <f>IF(main!BU93="","",ROUND(main!BU93*100,6))</f>
        <v/>
      </c>
      <c r="BJ90" s="68" t="str">
        <f>IF(main!BV93="","",ROUND(main!BV93*100,6))</f>
        <v/>
      </c>
      <c r="BK90" s="68" t="str">
        <f>IF(main!BW93="","",ROUND(main!BW93*100,6))</f>
        <v/>
      </c>
      <c r="BL90" s="68" t="str">
        <f>IF(main!BX93="","",ROUND(main!BX93*100,6))</f>
        <v/>
      </c>
      <c r="BM90" s="68" t="str">
        <f>IF(main!BY93="","",ROUND(main!BY93*100,6))</f>
        <v/>
      </c>
      <c r="BN90" s="68" t="str">
        <f>IF(main!BZ93="","",ROUND(main!BZ93*100,6))</f>
        <v/>
      </c>
      <c r="BO90" s="68" t="str">
        <f>IF(main!CA93="","",ROUND(main!CA93*100,6))</f>
        <v/>
      </c>
      <c r="BP90" s="68" t="str">
        <f>IF(main!CB93="","",ROUND(main!CB93*100,6))</f>
        <v/>
      </c>
      <c r="BQ90" s="68" t="str">
        <f>IF(main!CC93="","",ROUND(main!CC93*100,6))</f>
        <v/>
      </c>
      <c r="BR90" s="68" t="str">
        <f>IF(main!CD93="","",ROUND(main!CD93*100,6))</f>
        <v/>
      </c>
      <c r="BS90" s="68" t="str">
        <f>IF(main!CE93="","",ROUND(main!CE93*100,6))</f>
        <v/>
      </c>
      <c r="BT90" s="68" t="str">
        <f>IF(main!CF93="","",ROUND(main!CF93*100,6))</f>
        <v/>
      </c>
      <c r="BU90" s="68" t="str">
        <f>IF(main!CG93="","",ROUND(main!CG93*100,6))</f>
        <v/>
      </c>
      <c r="BV90" s="68" t="str">
        <f>IF(main!CH93="","",ROUND(main!CH93*100,6))</f>
        <v/>
      </c>
      <c r="BW90" s="68" t="str">
        <f>IF(main!CI93="","",ROUND(main!CI93*100,6))</f>
        <v/>
      </c>
      <c r="BX90" s="68" t="str">
        <f>IF(main!CJ93="","",ROUND(main!CJ93*100,6))</f>
        <v/>
      </c>
      <c r="BY90" s="68" t="str">
        <f>IF(main!CK93="","",ROUND(main!CK93*100,6))</f>
        <v/>
      </c>
      <c r="BZ90" s="68" t="str">
        <f>IF(main!CL93="","",ROUND(main!CL93*100,6))</f>
        <v/>
      </c>
      <c r="CA90" s="68" t="str">
        <f>IF(main!CM93="","",ROUND(main!CM93*100,6))</f>
        <v/>
      </c>
      <c r="CB90" s="68" t="str">
        <f>IF(main!CN93="","",ROUND(main!CN93*100,6))</f>
        <v/>
      </c>
      <c r="CC90" s="68" t="str">
        <f>IF(main!CO93="","",ROUND(main!CO93*100,6))</f>
        <v/>
      </c>
    </row>
    <row r="91" spans="1:81" x14ac:dyDescent="0.25">
      <c r="A91" s="65" t="s">
        <v>221</v>
      </c>
      <c r="B91" s="66" t="str">
        <f>main!C93</f>
        <v>Built-up Frame&amp;Slab</v>
      </c>
      <c r="C91" s="67">
        <f>main!O93</f>
        <v>100000</v>
      </c>
      <c r="D91" s="65" t="s">
        <v>111</v>
      </c>
      <c r="E91" s="68" t="str">
        <f t="shared" si="1"/>
        <v/>
      </c>
      <c r="F91" s="68" t="str">
        <f>IF(main!R94="","",ROUND(main!R94*100,6))</f>
        <v/>
      </c>
      <c r="G91" s="68" t="str">
        <f>IF(main!S94="","",ROUND(main!S94*100,6))</f>
        <v/>
      </c>
      <c r="H91" s="68" t="str">
        <f>IF(main!T94="","",ROUND(main!T94*100,6))</f>
        <v/>
      </c>
      <c r="I91" s="68" t="str">
        <f>IF(main!U94="","",ROUND(main!U94*100,6))</f>
        <v/>
      </c>
      <c r="J91" s="68" t="str">
        <f>IF(main!V94="","",ROUND(main!V94*100,6))</f>
        <v/>
      </c>
      <c r="K91" s="68" t="str">
        <f>IF(main!W94="","",ROUND(main!W94*100,6))</f>
        <v/>
      </c>
      <c r="L91" s="68" t="str">
        <f>IF(main!X94="","",ROUND(main!X94*100,6))</f>
        <v/>
      </c>
      <c r="M91" s="68" t="str">
        <f>IF(main!Y94="","",ROUND(main!Y94*100,6))</f>
        <v/>
      </c>
      <c r="N91" s="68" t="str">
        <f>IF(main!Z94="","",ROUND(main!Z94*100,6))</f>
        <v/>
      </c>
      <c r="O91" s="68" t="str">
        <f>IF(main!AA94="","",ROUND(main!AA94*100,6))</f>
        <v/>
      </c>
      <c r="P91" s="68" t="str">
        <f>IF(main!AB94="","",ROUND(main!AB94*100,6))</f>
        <v/>
      </c>
      <c r="Q91" s="68" t="str">
        <f>IF(main!AC94="","",ROUND(main!AC94*100,6))</f>
        <v/>
      </c>
      <c r="R91" s="68" t="str">
        <f>IF(main!AD94="","",ROUND(main!AD94*100,6))</f>
        <v/>
      </c>
      <c r="S91" s="68" t="str">
        <f>IF(main!AE94="","",ROUND(main!AE94*100,6))</f>
        <v/>
      </c>
      <c r="T91" s="68" t="str">
        <f>IF(main!AF94="","",ROUND(main!AF94*100,6))</f>
        <v/>
      </c>
      <c r="U91" s="68" t="str">
        <f>IF(main!AG94="","",ROUND(main!AG94*100,6))</f>
        <v/>
      </c>
      <c r="V91" s="68" t="str">
        <f>IF(main!AH94="","",ROUND(main!AH94*100,6))</f>
        <v/>
      </c>
      <c r="W91" s="68" t="str">
        <f>IF(main!AI94="","",ROUND(main!AI94*100,6))</f>
        <v/>
      </c>
      <c r="X91" s="68" t="str">
        <f>IF(main!AJ94="","",ROUND(main!AJ94*100,6))</f>
        <v/>
      </c>
      <c r="Y91" s="68" t="str">
        <f>IF(main!AK94="","",ROUND(main!AK94*100,6))</f>
        <v/>
      </c>
      <c r="Z91" s="68" t="str">
        <f>IF(main!AL94="","",ROUND(main!AL94*100,6))</f>
        <v/>
      </c>
      <c r="AA91" s="68" t="str">
        <f>IF(main!AM94="","",ROUND(main!AM94*100,6))</f>
        <v/>
      </c>
      <c r="AB91" s="68" t="str">
        <f>IF(main!AN94="","",ROUND(main!AN94*100,6))</f>
        <v/>
      </c>
      <c r="AC91" s="68" t="str">
        <f>IF(main!AO94="","",ROUND(main!AO94*100,6))</f>
        <v/>
      </c>
      <c r="AD91" s="68" t="str">
        <f>IF(main!AP94="","",ROUND(main!AP94*100,6))</f>
        <v/>
      </c>
      <c r="AE91" s="68" t="str">
        <f>IF(main!AQ94="","",ROUND(main!AQ94*100,6))</f>
        <v/>
      </c>
      <c r="AF91" s="68" t="str">
        <f>IF(main!AR94="","",ROUND(main!AR94*100,6))</f>
        <v/>
      </c>
      <c r="AG91" s="68" t="str">
        <f>IF(main!AS94="","",ROUND(main!AS94*100,6))</f>
        <v/>
      </c>
      <c r="AH91" s="68" t="str">
        <f>IF(main!AT94="","",ROUND(main!AT94*100,6))</f>
        <v/>
      </c>
      <c r="AI91" s="68" t="str">
        <f>IF(main!AU94="","",ROUND(main!AU94*100,6))</f>
        <v/>
      </c>
      <c r="AJ91" s="68" t="str">
        <f>IF(main!AV94="","",ROUND(main!AV94*100,6))</f>
        <v/>
      </c>
      <c r="AK91" s="68" t="str">
        <f>IF(main!AW94="","",ROUND(main!AW94*100,6))</f>
        <v/>
      </c>
      <c r="AL91" s="68" t="str">
        <f>IF(main!AX94="","",ROUND(main!AX94*100,6))</f>
        <v/>
      </c>
      <c r="AM91" s="68" t="str">
        <f>IF(main!AY94="","",ROUND(main!AY94*100,6))</f>
        <v/>
      </c>
      <c r="AN91" s="68" t="str">
        <f>IF(main!AZ94="","",ROUND(main!AZ94*100,6))</f>
        <v/>
      </c>
      <c r="AO91" s="68" t="str">
        <f>IF(main!BA94="","",ROUND(main!BA94*100,6))</f>
        <v/>
      </c>
      <c r="AP91" s="68" t="str">
        <f>IF(main!BB94="","",ROUND(main!BB94*100,6))</f>
        <v/>
      </c>
      <c r="AQ91" s="68" t="str">
        <f>IF(main!BC94="","",ROUND(main!BC94*100,6))</f>
        <v/>
      </c>
      <c r="AR91" s="68" t="str">
        <f>IF(main!BD94="","",ROUND(main!BD94*100,6))</f>
        <v/>
      </c>
      <c r="AS91" s="68" t="str">
        <f>IF(main!BE94="","",ROUND(main!BE94*100,6))</f>
        <v/>
      </c>
      <c r="AT91" s="68" t="str">
        <f>IF(main!BF94="","",ROUND(main!BF94*100,6))</f>
        <v/>
      </c>
      <c r="AU91" s="68" t="str">
        <f>IF(main!BG94="","",ROUND(main!BG94*100,6))</f>
        <v/>
      </c>
      <c r="AV91" s="68" t="str">
        <f>IF(main!BH94="","",ROUND(main!BH94*100,6))</f>
        <v/>
      </c>
      <c r="AW91" s="68" t="str">
        <f>IF(main!BI94="","",ROUND(main!BI94*100,6))</f>
        <v/>
      </c>
      <c r="AX91" s="68" t="str">
        <f>IF(main!BJ94="","",ROUND(main!BJ94*100,6))</f>
        <v/>
      </c>
      <c r="AY91" s="68" t="str">
        <f>IF(main!BK94="","",ROUND(main!BK94*100,6))</f>
        <v/>
      </c>
      <c r="AZ91" s="68" t="str">
        <f>IF(main!BL94="","",ROUND(main!BL94*100,6))</f>
        <v/>
      </c>
      <c r="BA91" s="68" t="str">
        <f>IF(main!BM94="","",ROUND(main!BM94*100,6))</f>
        <v/>
      </c>
      <c r="BB91" s="68" t="str">
        <f>IF(main!BN94="","",ROUND(main!BN94*100,6))</f>
        <v/>
      </c>
      <c r="BC91" s="68" t="str">
        <f>IF(main!BO94="","",ROUND(main!BO94*100,6))</f>
        <v/>
      </c>
      <c r="BD91" s="68" t="str">
        <f>IF(main!BP94="","",ROUND(main!BP94*100,6))</f>
        <v/>
      </c>
      <c r="BE91" s="68" t="str">
        <f>IF(main!BQ94="","",ROUND(main!BQ94*100,6))</f>
        <v/>
      </c>
      <c r="BF91" s="68" t="str">
        <f>IF(main!BR94="","",ROUND(main!BR94*100,6))</f>
        <v/>
      </c>
      <c r="BG91" s="68" t="str">
        <f>IF(main!BS94="","",ROUND(main!BS94*100,6))</f>
        <v/>
      </c>
      <c r="BH91" s="68" t="str">
        <f>IF(main!BT94="","",ROUND(main!BT94*100,6))</f>
        <v/>
      </c>
      <c r="BI91" s="68" t="str">
        <f>IF(main!BU94="","",ROUND(main!BU94*100,6))</f>
        <v/>
      </c>
      <c r="BJ91" s="68" t="str">
        <f>IF(main!BV94="","",ROUND(main!BV94*100,6))</f>
        <v/>
      </c>
      <c r="BK91" s="68" t="str">
        <f>IF(main!BW94="","",ROUND(main!BW94*100,6))</f>
        <v/>
      </c>
      <c r="BL91" s="68" t="str">
        <f>IF(main!BX94="","",ROUND(main!BX94*100,6))</f>
        <v/>
      </c>
      <c r="BM91" s="68" t="str">
        <f>IF(main!BY94="","",ROUND(main!BY94*100,6))</f>
        <v/>
      </c>
      <c r="BN91" s="68" t="str">
        <f>IF(main!BZ94="","",ROUND(main!BZ94*100,6))</f>
        <v/>
      </c>
      <c r="BO91" s="68" t="str">
        <f>IF(main!CA94="","",ROUND(main!CA94*100,6))</f>
        <v/>
      </c>
      <c r="BP91" s="68" t="str">
        <f>IF(main!CB94="","",ROUND(main!CB94*100,6))</f>
        <v/>
      </c>
      <c r="BQ91" s="68" t="str">
        <f>IF(main!CC94="","",ROUND(main!CC94*100,6))</f>
        <v/>
      </c>
      <c r="BR91" s="68" t="str">
        <f>IF(main!CD94="","",ROUND(main!CD94*100,6))</f>
        <v/>
      </c>
      <c r="BS91" s="68" t="str">
        <f>IF(main!CE94="","",ROUND(main!CE94*100,6))</f>
        <v/>
      </c>
      <c r="BT91" s="68" t="str">
        <f>IF(main!CF94="","",ROUND(main!CF94*100,6))</f>
        <v/>
      </c>
      <c r="BU91" s="68" t="str">
        <f>IF(main!CG94="","",ROUND(main!CG94*100,6))</f>
        <v/>
      </c>
      <c r="BV91" s="68" t="str">
        <f>IF(main!CH94="","",ROUND(main!CH94*100,6))</f>
        <v/>
      </c>
      <c r="BW91" s="68" t="str">
        <f>IF(main!CI94="","",ROUND(main!CI94*100,6))</f>
        <v/>
      </c>
      <c r="BX91" s="68" t="str">
        <f>IF(main!CJ94="","",ROUND(main!CJ94*100,6))</f>
        <v/>
      </c>
      <c r="BY91" s="68" t="str">
        <f>IF(main!CK94="","",ROUND(main!CK94*100,6))</f>
        <v/>
      </c>
      <c r="BZ91" s="68" t="str">
        <f>IF(main!CL94="","",ROUND(main!CL94*100,6))</f>
        <v/>
      </c>
      <c r="CA91" s="68" t="str">
        <f>IF(main!CM94="","",ROUND(main!CM94*100,6))</f>
        <v/>
      </c>
      <c r="CB91" s="68" t="str">
        <f>IF(main!CN94="","",ROUND(main!CN94*100,6))</f>
        <v/>
      </c>
      <c r="CC91" s="68" t="str">
        <f>IF(main!CO94="","",ROUND(main!CO94*100,6))</f>
        <v/>
      </c>
    </row>
    <row r="92" spans="1:81" x14ac:dyDescent="0.25">
      <c r="A92" s="65" t="s">
        <v>224</v>
      </c>
      <c r="B92" s="66" t="str">
        <f>main!C95</f>
        <v>Concrete Top</v>
      </c>
      <c r="C92" s="67">
        <f>main!O95</f>
        <v>100000</v>
      </c>
      <c r="D92" s="65" t="s">
        <v>110</v>
      </c>
      <c r="E92" s="68">
        <f t="shared" si="1"/>
        <v>100</v>
      </c>
      <c r="F92" s="68" t="str">
        <f>IF(main!R95="","",ROUND(main!R95*100,6))</f>
        <v/>
      </c>
      <c r="G92" s="68" t="str">
        <f>IF(main!S95="","",ROUND(main!S95*100,6))</f>
        <v/>
      </c>
      <c r="H92" s="68" t="str">
        <f>IF(main!T95="","",ROUND(main!T95*100,6))</f>
        <v/>
      </c>
      <c r="I92" s="68" t="str">
        <f>IF(main!U95="","",ROUND(main!U95*100,6))</f>
        <v/>
      </c>
      <c r="J92" s="68" t="str">
        <f>IF(main!V95="","",ROUND(main!V95*100,6))</f>
        <v/>
      </c>
      <c r="K92" s="68" t="str">
        <f>IF(main!W95="","",ROUND(main!W95*100,6))</f>
        <v/>
      </c>
      <c r="L92" s="68" t="str">
        <f>IF(main!X95="","",ROUND(main!X95*100,6))</f>
        <v/>
      </c>
      <c r="M92" s="68" t="str">
        <f>IF(main!Y95="","",ROUND(main!Y95*100,6))</f>
        <v/>
      </c>
      <c r="N92" s="68" t="str">
        <f>IF(main!Z95="","",ROUND(main!Z95*100,6))</f>
        <v/>
      </c>
      <c r="O92" s="68" t="str">
        <f>IF(main!AA95="","",ROUND(main!AA95*100,6))</f>
        <v/>
      </c>
      <c r="P92" s="68" t="str">
        <f>IF(main!AB95="","",ROUND(main!AB95*100,6))</f>
        <v/>
      </c>
      <c r="Q92" s="68" t="str">
        <f>IF(main!AC95="","",ROUND(main!AC95*100,6))</f>
        <v/>
      </c>
      <c r="R92" s="68" t="str">
        <f>IF(main!AD95="","",ROUND(main!AD95*100,6))</f>
        <v/>
      </c>
      <c r="S92" s="68" t="str">
        <f>IF(main!AE95="","",ROUND(main!AE95*100,6))</f>
        <v/>
      </c>
      <c r="T92" s="68" t="str">
        <f>IF(main!AF95="","",ROUND(main!AF95*100,6))</f>
        <v/>
      </c>
      <c r="U92" s="68" t="str">
        <f>IF(main!AG95="","",ROUND(main!AG95*100,6))</f>
        <v/>
      </c>
      <c r="V92" s="68" t="str">
        <f>IF(main!AH95="","",ROUND(main!AH95*100,6))</f>
        <v/>
      </c>
      <c r="W92" s="68" t="str">
        <f>IF(main!AI95="","",ROUND(main!AI95*100,6))</f>
        <v/>
      </c>
      <c r="X92" s="68" t="str">
        <f>IF(main!AJ95="","",ROUND(main!AJ95*100,6))</f>
        <v/>
      </c>
      <c r="Y92" s="68" t="str">
        <f>IF(main!AK95="","",ROUND(main!AK95*100,6))</f>
        <v/>
      </c>
      <c r="Z92" s="68" t="str">
        <f>IF(main!AL95="","",ROUND(main!AL95*100,6))</f>
        <v/>
      </c>
      <c r="AA92" s="68" t="str">
        <f>IF(main!AM95="","",ROUND(main!AM95*100,6))</f>
        <v/>
      </c>
      <c r="AB92" s="68" t="str">
        <f>IF(main!AN95="","",ROUND(main!AN95*100,6))</f>
        <v/>
      </c>
      <c r="AC92" s="68" t="str">
        <f>IF(main!AO95="","",ROUND(main!AO95*100,6))</f>
        <v/>
      </c>
      <c r="AD92" s="68" t="str">
        <f>IF(main!AP95="","",ROUND(main!AP95*100,6))</f>
        <v/>
      </c>
      <c r="AE92" s="68" t="str">
        <f>IF(main!AQ95="","",ROUND(main!AQ95*100,6))</f>
        <v/>
      </c>
      <c r="AF92" s="68" t="str">
        <f>IF(main!AR95="","",ROUND(main!AR95*100,6))</f>
        <v/>
      </c>
      <c r="AG92" s="68" t="str">
        <f>IF(main!AS95="","",ROUND(main!AS95*100,6))</f>
        <v/>
      </c>
      <c r="AH92" s="68" t="str">
        <f>IF(main!AT95="","",ROUND(main!AT95*100,6))</f>
        <v/>
      </c>
      <c r="AI92" s="68" t="str">
        <f>IF(main!AU95="","",ROUND(main!AU95*100,6))</f>
        <v/>
      </c>
      <c r="AJ92" s="68" t="str">
        <f>IF(main!AV95="","",ROUND(main!AV95*100,6))</f>
        <v/>
      </c>
      <c r="AK92" s="68" t="str">
        <f>IF(main!AW95="","",ROUND(main!AW95*100,6))</f>
        <v/>
      </c>
      <c r="AL92" s="68" t="str">
        <f>IF(main!AX95="","",ROUND(main!AX95*100,6))</f>
        <v/>
      </c>
      <c r="AM92" s="68" t="str">
        <f>IF(main!AY95="","",ROUND(main!AY95*100,6))</f>
        <v/>
      </c>
      <c r="AN92" s="68" t="str">
        <f>IF(main!AZ95="","",ROUND(main!AZ95*100,6))</f>
        <v/>
      </c>
      <c r="AO92" s="68" t="str">
        <f>IF(main!BA95="","",ROUND(main!BA95*100,6))</f>
        <v/>
      </c>
      <c r="AP92" s="68" t="str">
        <f>IF(main!BB95="","",ROUND(main!BB95*100,6))</f>
        <v/>
      </c>
      <c r="AQ92" s="68" t="str">
        <f>IF(main!BC95="","",ROUND(main!BC95*100,6))</f>
        <v/>
      </c>
      <c r="AR92" s="68" t="str">
        <f>IF(main!BD95="","",ROUND(main!BD95*100,6))</f>
        <v/>
      </c>
      <c r="AS92" s="68" t="str">
        <f>IF(main!BE95="","",ROUND(main!BE95*100,6))</f>
        <v/>
      </c>
      <c r="AT92" s="68" t="str">
        <f>IF(main!BF95="","",ROUND(main!BF95*100,6))</f>
        <v/>
      </c>
      <c r="AU92" s="68" t="str">
        <f>IF(main!BG95="","",ROUND(main!BG95*100,6))</f>
        <v/>
      </c>
      <c r="AV92" s="68" t="str">
        <f>IF(main!BH95="","",ROUND(main!BH95*100,6))</f>
        <v/>
      </c>
      <c r="AW92" s="68" t="str">
        <f>IF(main!BI95="","",ROUND(main!BI95*100,6))</f>
        <v/>
      </c>
      <c r="AX92" s="68" t="str">
        <f>IF(main!BJ95="","",ROUND(main!BJ95*100,6))</f>
        <v/>
      </c>
      <c r="AY92" s="68" t="str">
        <f>IF(main!BK95="","",ROUND(main!BK95*100,6))</f>
        <v/>
      </c>
      <c r="AZ92" s="68" t="str">
        <f>IF(main!BL95="","",ROUND(main!BL95*100,6))</f>
        <v/>
      </c>
      <c r="BA92" s="68" t="str">
        <f>IF(main!BM95="","",ROUND(main!BM95*100,6))</f>
        <v/>
      </c>
      <c r="BB92" s="68">
        <f>IF(main!BN95="","",ROUND(main!BN95*100,6))</f>
        <v>28.571428999999998</v>
      </c>
      <c r="BC92" s="68">
        <f>IF(main!BO95="","",ROUND(main!BO95*100,6))</f>
        <v>71.428571000000005</v>
      </c>
      <c r="BD92" s="68" t="str">
        <f>IF(main!BP95="","",ROUND(main!BP95*100,6))</f>
        <v/>
      </c>
      <c r="BE92" s="68" t="str">
        <f>IF(main!BQ95="","",ROUND(main!BQ95*100,6))</f>
        <v/>
      </c>
      <c r="BF92" s="68" t="str">
        <f>IF(main!BR95="","",ROUND(main!BR95*100,6))</f>
        <v/>
      </c>
      <c r="BG92" s="68" t="str">
        <f>IF(main!BS95="","",ROUND(main!BS95*100,6))</f>
        <v/>
      </c>
      <c r="BH92" s="68" t="str">
        <f>IF(main!BT95="","",ROUND(main!BT95*100,6))</f>
        <v/>
      </c>
      <c r="BI92" s="68" t="str">
        <f>IF(main!BU95="","",ROUND(main!BU95*100,6))</f>
        <v/>
      </c>
      <c r="BJ92" s="68" t="str">
        <f>IF(main!BV95="","",ROUND(main!BV95*100,6))</f>
        <v/>
      </c>
      <c r="BK92" s="68" t="str">
        <f>IF(main!BW95="","",ROUND(main!BW95*100,6))</f>
        <v/>
      </c>
      <c r="BL92" s="68" t="str">
        <f>IF(main!BX95="","",ROUND(main!BX95*100,6))</f>
        <v/>
      </c>
      <c r="BM92" s="68" t="str">
        <f>IF(main!BY95="","",ROUND(main!BY95*100,6))</f>
        <v/>
      </c>
      <c r="BN92" s="68" t="str">
        <f>IF(main!BZ95="","",ROUND(main!BZ95*100,6))</f>
        <v/>
      </c>
      <c r="BO92" s="68" t="str">
        <f>IF(main!CA95="","",ROUND(main!CA95*100,6))</f>
        <v/>
      </c>
      <c r="BP92" s="68" t="str">
        <f>IF(main!CB95="","",ROUND(main!CB95*100,6))</f>
        <v/>
      </c>
      <c r="BQ92" s="68" t="str">
        <f>IF(main!CC95="","",ROUND(main!CC95*100,6))</f>
        <v/>
      </c>
      <c r="BR92" s="68" t="str">
        <f>IF(main!CD95="","",ROUND(main!CD95*100,6))</f>
        <v/>
      </c>
      <c r="BS92" s="68" t="str">
        <f>IF(main!CE95="","",ROUND(main!CE95*100,6))</f>
        <v/>
      </c>
      <c r="BT92" s="68" t="str">
        <f>IF(main!CF95="","",ROUND(main!CF95*100,6))</f>
        <v/>
      </c>
      <c r="BU92" s="68" t="str">
        <f>IF(main!CG95="","",ROUND(main!CG95*100,6))</f>
        <v/>
      </c>
      <c r="BV92" s="68" t="str">
        <f>IF(main!CH95="","",ROUND(main!CH95*100,6))</f>
        <v/>
      </c>
      <c r="BW92" s="68" t="str">
        <f>IF(main!CI95="","",ROUND(main!CI95*100,6))</f>
        <v/>
      </c>
      <c r="BX92" s="68" t="str">
        <f>IF(main!CJ95="","",ROUND(main!CJ95*100,6))</f>
        <v/>
      </c>
      <c r="BY92" s="68" t="str">
        <f>IF(main!CK95="","",ROUND(main!CK95*100,6))</f>
        <v/>
      </c>
      <c r="BZ92" s="68" t="str">
        <f>IF(main!CL95="","",ROUND(main!CL95*100,6))</f>
        <v/>
      </c>
      <c r="CA92" s="68" t="str">
        <f>IF(main!CM95="","",ROUND(main!CM95*100,6))</f>
        <v/>
      </c>
      <c r="CB92" s="68" t="str">
        <f>IF(main!CN95="","",ROUND(main!CN95*100,6))</f>
        <v/>
      </c>
      <c r="CC92" s="68" t="str">
        <f>IF(main!CO95="","",ROUND(main!CO95*100,6))</f>
        <v/>
      </c>
    </row>
    <row r="93" spans="1:81" x14ac:dyDescent="0.25">
      <c r="A93" s="65" t="s">
        <v>224</v>
      </c>
      <c r="B93" s="66" t="str">
        <f>main!C95</f>
        <v>Concrete Top</v>
      </c>
      <c r="C93" s="67">
        <f>main!O95</f>
        <v>100000</v>
      </c>
      <c r="D93" s="65" t="s">
        <v>111</v>
      </c>
      <c r="E93" s="68" t="str">
        <f t="shared" si="1"/>
        <v/>
      </c>
      <c r="F93" s="68" t="str">
        <f>IF(main!R96="","",ROUND(main!R96*100,6))</f>
        <v/>
      </c>
      <c r="G93" s="68" t="str">
        <f>IF(main!S96="","",ROUND(main!S96*100,6))</f>
        <v/>
      </c>
      <c r="H93" s="68" t="str">
        <f>IF(main!T96="","",ROUND(main!T96*100,6))</f>
        <v/>
      </c>
      <c r="I93" s="68" t="str">
        <f>IF(main!U96="","",ROUND(main!U96*100,6))</f>
        <v/>
      </c>
      <c r="J93" s="68" t="str">
        <f>IF(main!V96="","",ROUND(main!V96*100,6))</f>
        <v/>
      </c>
      <c r="K93" s="68" t="str">
        <f>IF(main!W96="","",ROUND(main!W96*100,6))</f>
        <v/>
      </c>
      <c r="L93" s="68" t="str">
        <f>IF(main!X96="","",ROUND(main!X96*100,6))</f>
        <v/>
      </c>
      <c r="M93" s="68" t="str">
        <f>IF(main!Y96="","",ROUND(main!Y96*100,6))</f>
        <v/>
      </c>
      <c r="N93" s="68" t="str">
        <f>IF(main!Z96="","",ROUND(main!Z96*100,6))</f>
        <v/>
      </c>
      <c r="O93" s="68" t="str">
        <f>IF(main!AA96="","",ROUND(main!AA96*100,6))</f>
        <v/>
      </c>
      <c r="P93" s="68" t="str">
        <f>IF(main!AB96="","",ROUND(main!AB96*100,6))</f>
        <v/>
      </c>
      <c r="Q93" s="68" t="str">
        <f>IF(main!AC96="","",ROUND(main!AC96*100,6))</f>
        <v/>
      </c>
      <c r="R93" s="68" t="str">
        <f>IF(main!AD96="","",ROUND(main!AD96*100,6))</f>
        <v/>
      </c>
      <c r="S93" s="68" t="str">
        <f>IF(main!AE96="","",ROUND(main!AE96*100,6))</f>
        <v/>
      </c>
      <c r="T93" s="68" t="str">
        <f>IF(main!AF96="","",ROUND(main!AF96*100,6))</f>
        <v/>
      </c>
      <c r="U93" s="68" t="str">
        <f>IF(main!AG96="","",ROUND(main!AG96*100,6))</f>
        <v/>
      </c>
      <c r="V93" s="68" t="str">
        <f>IF(main!AH96="","",ROUND(main!AH96*100,6))</f>
        <v/>
      </c>
      <c r="W93" s="68" t="str">
        <f>IF(main!AI96="","",ROUND(main!AI96*100,6))</f>
        <v/>
      </c>
      <c r="X93" s="68" t="str">
        <f>IF(main!AJ96="","",ROUND(main!AJ96*100,6))</f>
        <v/>
      </c>
      <c r="Y93" s="68" t="str">
        <f>IF(main!AK96="","",ROUND(main!AK96*100,6))</f>
        <v/>
      </c>
      <c r="Z93" s="68" t="str">
        <f>IF(main!AL96="","",ROUND(main!AL96*100,6))</f>
        <v/>
      </c>
      <c r="AA93" s="68" t="str">
        <f>IF(main!AM96="","",ROUND(main!AM96*100,6))</f>
        <v/>
      </c>
      <c r="AB93" s="68" t="str">
        <f>IF(main!AN96="","",ROUND(main!AN96*100,6))</f>
        <v/>
      </c>
      <c r="AC93" s="68" t="str">
        <f>IF(main!AO96="","",ROUND(main!AO96*100,6))</f>
        <v/>
      </c>
      <c r="AD93" s="68" t="str">
        <f>IF(main!AP96="","",ROUND(main!AP96*100,6))</f>
        <v/>
      </c>
      <c r="AE93" s="68" t="str">
        <f>IF(main!AQ96="","",ROUND(main!AQ96*100,6))</f>
        <v/>
      </c>
      <c r="AF93" s="68" t="str">
        <f>IF(main!AR96="","",ROUND(main!AR96*100,6))</f>
        <v/>
      </c>
      <c r="AG93" s="68" t="str">
        <f>IF(main!AS96="","",ROUND(main!AS96*100,6))</f>
        <v/>
      </c>
      <c r="AH93" s="68" t="str">
        <f>IF(main!AT96="","",ROUND(main!AT96*100,6))</f>
        <v/>
      </c>
      <c r="AI93" s="68" t="str">
        <f>IF(main!AU96="","",ROUND(main!AU96*100,6))</f>
        <v/>
      </c>
      <c r="AJ93" s="68" t="str">
        <f>IF(main!AV96="","",ROUND(main!AV96*100,6))</f>
        <v/>
      </c>
      <c r="AK93" s="68" t="str">
        <f>IF(main!AW96="","",ROUND(main!AW96*100,6))</f>
        <v/>
      </c>
      <c r="AL93" s="68" t="str">
        <f>IF(main!AX96="","",ROUND(main!AX96*100,6))</f>
        <v/>
      </c>
      <c r="AM93" s="68" t="str">
        <f>IF(main!AY96="","",ROUND(main!AY96*100,6))</f>
        <v/>
      </c>
      <c r="AN93" s="68" t="str">
        <f>IF(main!AZ96="","",ROUND(main!AZ96*100,6))</f>
        <v/>
      </c>
      <c r="AO93" s="68" t="str">
        <f>IF(main!BA96="","",ROUND(main!BA96*100,6))</f>
        <v/>
      </c>
      <c r="AP93" s="68" t="str">
        <f>IF(main!BB96="","",ROUND(main!BB96*100,6))</f>
        <v/>
      </c>
      <c r="AQ93" s="68" t="str">
        <f>IF(main!BC96="","",ROUND(main!BC96*100,6))</f>
        <v/>
      </c>
      <c r="AR93" s="68" t="str">
        <f>IF(main!BD96="","",ROUND(main!BD96*100,6))</f>
        <v/>
      </c>
      <c r="AS93" s="68" t="str">
        <f>IF(main!BE96="","",ROUND(main!BE96*100,6))</f>
        <v/>
      </c>
      <c r="AT93" s="68" t="str">
        <f>IF(main!BF96="","",ROUND(main!BF96*100,6))</f>
        <v/>
      </c>
      <c r="AU93" s="68" t="str">
        <f>IF(main!BG96="","",ROUND(main!BG96*100,6))</f>
        <v/>
      </c>
      <c r="AV93" s="68" t="str">
        <f>IF(main!BH96="","",ROUND(main!BH96*100,6))</f>
        <v/>
      </c>
      <c r="AW93" s="68" t="str">
        <f>IF(main!BI96="","",ROUND(main!BI96*100,6))</f>
        <v/>
      </c>
      <c r="AX93" s="68" t="str">
        <f>IF(main!BJ96="","",ROUND(main!BJ96*100,6))</f>
        <v/>
      </c>
      <c r="AY93" s="68" t="str">
        <f>IF(main!BK96="","",ROUND(main!BK96*100,6))</f>
        <v/>
      </c>
      <c r="AZ93" s="68" t="str">
        <f>IF(main!BL96="","",ROUND(main!BL96*100,6))</f>
        <v/>
      </c>
      <c r="BA93" s="68" t="str">
        <f>IF(main!BM96="","",ROUND(main!BM96*100,6))</f>
        <v/>
      </c>
      <c r="BB93" s="68" t="str">
        <f>IF(main!BN96="","",ROUND(main!BN96*100,6))</f>
        <v/>
      </c>
      <c r="BC93" s="68" t="str">
        <f>IF(main!BO96="","",ROUND(main!BO96*100,6))</f>
        <v/>
      </c>
      <c r="BD93" s="68" t="str">
        <f>IF(main!BP96="","",ROUND(main!BP96*100,6))</f>
        <v/>
      </c>
      <c r="BE93" s="68" t="str">
        <f>IF(main!BQ96="","",ROUND(main!BQ96*100,6))</f>
        <v/>
      </c>
      <c r="BF93" s="68" t="str">
        <f>IF(main!BR96="","",ROUND(main!BR96*100,6))</f>
        <v/>
      </c>
      <c r="BG93" s="68" t="str">
        <f>IF(main!BS96="","",ROUND(main!BS96*100,6))</f>
        <v/>
      </c>
      <c r="BH93" s="68" t="str">
        <f>IF(main!BT96="","",ROUND(main!BT96*100,6))</f>
        <v/>
      </c>
      <c r="BI93" s="68" t="str">
        <f>IF(main!BU96="","",ROUND(main!BU96*100,6))</f>
        <v/>
      </c>
      <c r="BJ93" s="68" t="str">
        <f>IF(main!BV96="","",ROUND(main!BV96*100,6))</f>
        <v/>
      </c>
      <c r="BK93" s="68" t="str">
        <f>IF(main!BW96="","",ROUND(main!BW96*100,6))</f>
        <v/>
      </c>
      <c r="BL93" s="68" t="str">
        <f>IF(main!BX96="","",ROUND(main!BX96*100,6))</f>
        <v/>
      </c>
      <c r="BM93" s="68" t="str">
        <f>IF(main!BY96="","",ROUND(main!BY96*100,6))</f>
        <v/>
      </c>
      <c r="BN93" s="68" t="str">
        <f>IF(main!BZ96="","",ROUND(main!BZ96*100,6))</f>
        <v/>
      </c>
      <c r="BO93" s="68" t="str">
        <f>IF(main!CA96="","",ROUND(main!CA96*100,6))</f>
        <v/>
      </c>
      <c r="BP93" s="68" t="str">
        <f>IF(main!CB96="","",ROUND(main!CB96*100,6))</f>
        <v/>
      </c>
      <c r="BQ93" s="68" t="str">
        <f>IF(main!CC96="","",ROUND(main!CC96*100,6))</f>
        <v/>
      </c>
      <c r="BR93" s="68" t="str">
        <f>IF(main!CD96="","",ROUND(main!CD96*100,6))</f>
        <v/>
      </c>
      <c r="BS93" s="68" t="str">
        <f>IF(main!CE96="","",ROUND(main!CE96*100,6))</f>
        <v/>
      </c>
      <c r="BT93" s="68" t="str">
        <f>IF(main!CF96="","",ROUND(main!CF96*100,6))</f>
        <v/>
      </c>
      <c r="BU93" s="68" t="str">
        <f>IF(main!CG96="","",ROUND(main!CG96*100,6))</f>
        <v/>
      </c>
      <c r="BV93" s="68" t="str">
        <f>IF(main!CH96="","",ROUND(main!CH96*100,6))</f>
        <v/>
      </c>
      <c r="BW93" s="68" t="str">
        <f>IF(main!CI96="","",ROUND(main!CI96*100,6))</f>
        <v/>
      </c>
      <c r="BX93" s="68" t="str">
        <f>IF(main!CJ96="","",ROUND(main!CJ96*100,6))</f>
        <v/>
      </c>
      <c r="BY93" s="68" t="str">
        <f>IF(main!CK96="","",ROUND(main!CK96*100,6))</f>
        <v/>
      </c>
      <c r="BZ93" s="68" t="str">
        <f>IF(main!CL96="","",ROUND(main!CL96*100,6))</f>
        <v/>
      </c>
      <c r="CA93" s="68" t="str">
        <f>IF(main!CM96="","",ROUND(main!CM96*100,6))</f>
        <v/>
      </c>
      <c r="CB93" s="68" t="str">
        <f>IF(main!CN96="","",ROUND(main!CN96*100,6))</f>
        <v/>
      </c>
      <c r="CC93" s="68" t="str">
        <f>IF(main!CO96="","",ROUND(main!CO96*100,6))</f>
        <v/>
      </c>
    </row>
    <row r="94" spans="1:81" x14ac:dyDescent="0.25">
      <c r="A94" s="65" t="s">
        <v>227</v>
      </c>
      <c r="B94" s="66" t="str">
        <f>main!C97</f>
        <v>Mezzanine</v>
      </c>
      <c r="C94" s="67">
        <f>main!O97</f>
        <v>400000</v>
      </c>
      <c r="D94" s="65" t="s">
        <v>110</v>
      </c>
      <c r="E94" s="68">
        <f t="shared" si="1"/>
        <v>99.999998000000005</v>
      </c>
      <c r="F94" s="68" t="str">
        <f>IF(main!R97="","",ROUND(main!R97*100,6))</f>
        <v/>
      </c>
      <c r="G94" s="68" t="str">
        <f>IF(main!S97="","",ROUND(main!S97*100,6))</f>
        <v/>
      </c>
      <c r="H94" s="68" t="str">
        <f>IF(main!T97="","",ROUND(main!T97*100,6))</f>
        <v/>
      </c>
      <c r="I94" s="68" t="str">
        <f>IF(main!U97="","",ROUND(main!U97*100,6))</f>
        <v/>
      </c>
      <c r="J94" s="68" t="str">
        <f>IF(main!V97="","",ROUND(main!V97*100,6))</f>
        <v/>
      </c>
      <c r="K94" s="68" t="str">
        <f>IF(main!W97="","",ROUND(main!W97*100,6))</f>
        <v/>
      </c>
      <c r="L94" s="68" t="str">
        <f>IF(main!X97="","",ROUND(main!X97*100,6))</f>
        <v/>
      </c>
      <c r="M94" s="68" t="str">
        <f>IF(main!Y97="","",ROUND(main!Y97*100,6))</f>
        <v/>
      </c>
      <c r="N94" s="68" t="str">
        <f>IF(main!Z97="","",ROUND(main!Z97*100,6))</f>
        <v/>
      </c>
      <c r="O94" s="68" t="str">
        <f>IF(main!AA97="","",ROUND(main!AA97*100,6))</f>
        <v/>
      </c>
      <c r="P94" s="68" t="str">
        <f>IF(main!AB97="","",ROUND(main!AB97*100,6))</f>
        <v/>
      </c>
      <c r="Q94" s="68" t="str">
        <f>IF(main!AC97="","",ROUND(main!AC97*100,6))</f>
        <v/>
      </c>
      <c r="R94" s="68" t="str">
        <f>IF(main!AD97="","",ROUND(main!AD97*100,6))</f>
        <v/>
      </c>
      <c r="S94" s="68" t="str">
        <f>IF(main!AE97="","",ROUND(main!AE97*100,6))</f>
        <v/>
      </c>
      <c r="T94" s="68" t="str">
        <f>IF(main!AF97="","",ROUND(main!AF97*100,6))</f>
        <v/>
      </c>
      <c r="U94" s="68" t="str">
        <f>IF(main!AG97="","",ROUND(main!AG97*100,6))</f>
        <v/>
      </c>
      <c r="V94" s="68" t="str">
        <f>IF(main!AH97="","",ROUND(main!AH97*100,6))</f>
        <v/>
      </c>
      <c r="W94" s="68" t="str">
        <f>IF(main!AI97="","",ROUND(main!AI97*100,6))</f>
        <v/>
      </c>
      <c r="X94" s="68" t="str">
        <f>IF(main!AJ97="","",ROUND(main!AJ97*100,6))</f>
        <v/>
      </c>
      <c r="Y94" s="68" t="str">
        <f>IF(main!AK97="","",ROUND(main!AK97*100,6))</f>
        <v/>
      </c>
      <c r="Z94" s="68" t="str">
        <f>IF(main!AL97="","",ROUND(main!AL97*100,6))</f>
        <v/>
      </c>
      <c r="AA94" s="68" t="str">
        <f>IF(main!AM97="","",ROUND(main!AM97*100,6))</f>
        <v/>
      </c>
      <c r="AB94" s="68" t="str">
        <f>IF(main!AN97="","",ROUND(main!AN97*100,6))</f>
        <v/>
      </c>
      <c r="AC94" s="68" t="str">
        <f>IF(main!AO97="","",ROUND(main!AO97*100,6))</f>
        <v/>
      </c>
      <c r="AD94" s="68" t="str">
        <f>IF(main!AP97="","",ROUND(main!AP97*100,6))</f>
        <v/>
      </c>
      <c r="AE94" s="68" t="str">
        <f>IF(main!AQ97="","",ROUND(main!AQ97*100,6))</f>
        <v/>
      </c>
      <c r="AF94" s="68" t="str">
        <f>IF(main!AR97="","",ROUND(main!AR97*100,6))</f>
        <v/>
      </c>
      <c r="AG94" s="68" t="str">
        <f>IF(main!AS97="","",ROUND(main!AS97*100,6))</f>
        <v/>
      </c>
      <c r="AH94" s="68" t="str">
        <f>IF(main!AT97="","",ROUND(main!AT97*100,6))</f>
        <v/>
      </c>
      <c r="AI94" s="68" t="str">
        <f>IF(main!AU97="","",ROUND(main!AU97*100,6))</f>
        <v/>
      </c>
      <c r="AJ94" s="68" t="str">
        <f>IF(main!AV97="","",ROUND(main!AV97*100,6))</f>
        <v/>
      </c>
      <c r="AK94" s="68" t="str">
        <f>IF(main!AW97="","",ROUND(main!AW97*100,6))</f>
        <v/>
      </c>
      <c r="AL94" s="68" t="str">
        <f>IF(main!AX97="","",ROUND(main!AX97*100,6))</f>
        <v/>
      </c>
      <c r="AM94" s="68" t="str">
        <f>IF(main!AY97="","",ROUND(main!AY97*100,6))</f>
        <v/>
      </c>
      <c r="AN94" s="68" t="str">
        <f>IF(main!AZ97="","",ROUND(main!AZ97*100,6))</f>
        <v/>
      </c>
      <c r="AO94" s="68" t="str">
        <f>IF(main!BA97="","",ROUND(main!BA97*100,6))</f>
        <v/>
      </c>
      <c r="AP94" s="68" t="str">
        <f>IF(main!BB97="","",ROUND(main!BB97*100,6))</f>
        <v/>
      </c>
      <c r="AQ94" s="68">
        <f>IF(main!BC97="","",ROUND(main!BC97*100,6))</f>
        <v>7.1428570000000002</v>
      </c>
      <c r="AR94" s="68">
        <f>IF(main!BD97="","",ROUND(main!BD97*100,6))</f>
        <v>19.938137000000001</v>
      </c>
      <c r="AS94" s="68">
        <f>IF(main!BE97="","",ROUND(main!BE97*100,6))</f>
        <v>17.716521</v>
      </c>
      <c r="AT94" s="68">
        <f>IF(main!BF97="","",ROUND(main!BF97*100,6))</f>
        <v>5.3406650000000004</v>
      </c>
      <c r="AU94" s="68">
        <f>IF(main!BG97="","",ROUND(main!BG97*100,6))</f>
        <v>1.424488</v>
      </c>
      <c r="AV94" s="68">
        <f>IF(main!BH97="","",ROUND(main!BH97*100,6))</f>
        <v>3.0815039999999998</v>
      </c>
      <c r="AW94" s="68">
        <f>IF(main!BI97="","",ROUND(main!BI97*100,6))</f>
        <v>4.8958139999999997</v>
      </c>
      <c r="AX94" s="68">
        <f>IF(main!BJ97="","",ROUND(main!BJ97*100,6))</f>
        <v>5.7127559999999997</v>
      </c>
      <c r="AY94" s="68">
        <f>IF(main!BK97="","",ROUND(main!BK97*100,6))</f>
        <v>4.8958139999999997</v>
      </c>
      <c r="AZ94" s="68">
        <f>IF(main!BL97="","",ROUND(main!BL97*100,6))</f>
        <v>3.0815039999999998</v>
      </c>
      <c r="BA94" s="68">
        <f>IF(main!BM97="","",ROUND(main!BM97*100,6))</f>
        <v>1.424488</v>
      </c>
      <c r="BB94" s="68">
        <f>IF(main!BN97="","",ROUND(main!BN97*100,6))</f>
        <v>7.4883069999999998</v>
      </c>
      <c r="BC94" s="68">
        <f>IF(main!BO97="","",ROUND(main!BO97*100,6))</f>
        <v>17.857143000000001</v>
      </c>
      <c r="BD94" s="68" t="str">
        <f>IF(main!BP97="","",ROUND(main!BP97*100,6))</f>
        <v/>
      </c>
      <c r="BE94" s="68" t="str">
        <f>IF(main!BQ97="","",ROUND(main!BQ97*100,6))</f>
        <v/>
      </c>
      <c r="BF94" s="68" t="str">
        <f>IF(main!BR97="","",ROUND(main!BR97*100,6))</f>
        <v/>
      </c>
      <c r="BG94" s="68" t="str">
        <f>IF(main!BS97="","",ROUND(main!BS97*100,6))</f>
        <v/>
      </c>
      <c r="BH94" s="68" t="str">
        <f>IF(main!BT97="","",ROUND(main!BT97*100,6))</f>
        <v/>
      </c>
      <c r="BI94" s="68" t="str">
        <f>IF(main!BU97="","",ROUND(main!BU97*100,6))</f>
        <v/>
      </c>
      <c r="BJ94" s="68" t="str">
        <f>IF(main!BV97="","",ROUND(main!BV97*100,6))</f>
        <v/>
      </c>
      <c r="BK94" s="68" t="str">
        <f>IF(main!BW97="","",ROUND(main!BW97*100,6))</f>
        <v/>
      </c>
      <c r="BL94" s="68" t="str">
        <f>IF(main!BX97="","",ROUND(main!BX97*100,6))</f>
        <v/>
      </c>
      <c r="BM94" s="68" t="str">
        <f>IF(main!BY97="","",ROUND(main!BY97*100,6))</f>
        <v/>
      </c>
      <c r="BN94" s="68" t="str">
        <f>IF(main!BZ97="","",ROUND(main!BZ97*100,6))</f>
        <v/>
      </c>
      <c r="BO94" s="68" t="str">
        <f>IF(main!CA97="","",ROUND(main!CA97*100,6))</f>
        <v/>
      </c>
      <c r="BP94" s="68" t="str">
        <f>IF(main!CB97="","",ROUND(main!CB97*100,6))</f>
        <v/>
      </c>
      <c r="BQ94" s="68" t="str">
        <f>IF(main!CC97="","",ROUND(main!CC97*100,6))</f>
        <v/>
      </c>
      <c r="BR94" s="68" t="str">
        <f>IF(main!CD97="","",ROUND(main!CD97*100,6))</f>
        <v/>
      </c>
      <c r="BS94" s="68" t="str">
        <f>IF(main!CE97="","",ROUND(main!CE97*100,6))</f>
        <v/>
      </c>
      <c r="BT94" s="68" t="str">
        <f>IF(main!CF97="","",ROUND(main!CF97*100,6))</f>
        <v/>
      </c>
      <c r="BU94" s="68" t="str">
        <f>IF(main!CG97="","",ROUND(main!CG97*100,6))</f>
        <v/>
      </c>
      <c r="BV94" s="68" t="str">
        <f>IF(main!CH97="","",ROUND(main!CH97*100,6))</f>
        <v/>
      </c>
      <c r="BW94" s="68" t="str">
        <f>IF(main!CI97="","",ROUND(main!CI97*100,6))</f>
        <v/>
      </c>
      <c r="BX94" s="68" t="str">
        <f>IF(main!CJ97="","",ROUND(main!CJ97*100,6))</f>
        <v/>
      </c>
      <c r="BY94" s="68" t="str">
        <f>IF(main!CK97="","",ROUND(main!CK97*100,6))</f>
        <v/>
      </c>
      <c r="BZ94" s="68" t="str">
        <f>IF(main!CL97="","",ROUND(main!CL97*100,6))</f>
        <v/>
      </c>
      <c r="CA94" s="68" t="str">
        <f>IF(main!CM97="","",ROUND(main!CM97*100,6))</f>
        <v/>
      </c>
      <c r="CB94" s="68" t="str">
        <f>IF(main!CN97="","",ROUND(main!CN97*100,6))</f>
        <v/>
      </c>
      <c r="CC94" s="68" t="str">
        <f>IF(main!CO97="","",ROUND(main!CO97*100,6))</f>
        <v/>
      </c>
    </row>
    <row r="95" spans="1:81" x14ac:dyDescent="0.25">
      <c r="A95" s="65" t="s">
        <v>227</v>
      </c>
      <c r="B95" s="66" t="str">
        <f>main!C97</f>
        <v>Mezzanine</v>
      </c>
      <c r="C95" s="67">
        <f>main!O97</f>
        <v>400000</v>
      </c>
      <c r="D95" s="65" t="s">
        <v>111</v>
      </c>
      <c r="E95" s="68" t="str">
        <f t="shared" si="1"/>
        <v/>
      </c>
      <c r="F95" s="68" t="str">
        <f>IF(main!R98="","",ROUND(main!R98*100,6))</f>
        <v/>
      </c>
      <c r="G95" s="68" t="str">
        <f>IF(main!S98="","",ROUND(main!S98*100,6))</f>
        <v/>
      </c>
      <c r="H95" s="68" t="str">
        <f>IF(main!T98="","",ROUND(main!T98*100,6))</f>
        <v/>
      </c>
      <c r="I95" s="68" t="str">
        <f>IF(main!U98="","",ROUND(main!U98*100,6))</f>
        <v/>
      </c>
      <c r="J95" s="68" t="str">
        <f>IF(main!V98="","",ROUND(main!V98*100,6))</f>
        <v/>
      </c>
      <c r="K95" s="68" t="str">
        <f>IF(main!W98="","",ROUND(main!W98*100,6))</f>
        <v/>
      </c>
      <c r="L95" s="68" t="str">
        <f>IF(main!X98="","",ROUND(main!X98*100,6))</f>
        <v/>
      </c>
      <c r="M95" s="68" t="str">
        <f>IF(main!Y98="","",ROUND(main!Y98*100,6))</f>
        <v/>
      </c>
      <c r="N95" s="68" t="str">
        <f>IF(main!Z98="","",ROUND(main!Z98*100,6))</f>
        <v/>
      </c>
      <c r="O95" s="68" t="str">
        <f>IF(main!AA98="","",ROUND(main!AA98*100,6))</f>
        <v/>
      </c>
      <c r="P95" s="68" t="str">
        <f>IF(main!AB98="","",ROUND(main!AB98*100,6))</f>
        <v/>
      </c>
      <c r="Q95" s="68" t="str">
        <f>IF(main!AC98="","",ROUND(main!AC98*100,6))</f>
        <v/>
      </c>
      <c r="R95" s="68" t="str">
        <f>IF(main!AD98="","",ROUND(main!AD98*100,6))</f>
        <v/>
      </c>
      <c r="S95" s="68" t="str">
        <f>IF(main!AE98="","",ROUND(main!AE98*100,6))</f>
        <v/>
      </c>
      <c r="T95" s="68" t="str">
        <f>IF(main!AF98="","",ROUND(main!AF98*100,6))</f>
        <v/>
      </c>
      <c r="U95" s="68" t="str">
        <f>IF(main!AG98="","",ROUND(main!AG98*100,6))</f>
        <v/>
      </c>
      <c r="V95" s="68" t="str">
        <f>IF(main!AH98="","",ROUND(main!AH98*100,6))</f>
        <v/>
      </c>
      <c r="W95" s="68" t="str">
        <f>IF(main!AI98="","",ROUND(main!AI98*100,6))</f>
        <v/>
      </c>
      <c r="X95" s="68" t="str">
        <f>IF(main!AJ98="","",ROUND(main!AJ98*100,6))</f>
        <v/>
      </c>
      <c r="Y95" s="68" t="str">
        <f>IF(main!AK98="","",ROUND(main!AK98*100,6))</f>
        <v/>
      </c>
      <c r="Z95" s="68" t="str">
        <f>IF(main!AL98="","",ROUND(main!AL98*100,6))</f>
        <v/>
      </c>
      <c r="AA95" s="68" t="str">
        <f>IF(main!AM98="","",ROUND(main!AM98*100,6))</f>
        <v/>
      </c>
      <c r="AB95" s="68" t="str">
        <f>IF(main!AN98="","",ROUND(main!AN98*100,6))</f>
        <v/>
      </c>
      <c r="AC95" s="68" t="str">
        <f>IF(main!AO98="","",ROUND(main!AO98*100,6))</f>
        <v/>
      </c>
      <c r="AD95" s="68" t="str">
        <f>IF(main!AP98="","",ROUND(main!AP98*100,6))</f>
        <v/>
      </c>
      <c r="AE95" s="68" t="str">
        <f>IF(main!AQ98="","",ROUND(main!AQ98*100,6))</f>
        <v/>
      </c>
      <c r="AF95" s="68" t="str">
        <f>IF(main!AR98="","",ROUND(main!AR98*100,6))</f>
        <v/>
      </c>
      <c r="AG95" s="68" t="str">
        <f>IF(main!AS98="","",ROUND(main!AS98*100,6))</f>
        <v/>
      </c>
      <c r="AH95" s="68" t="str">
        <f>IF(main!AT98="","",ROUND(main!AT98*100,6))</f>
        <v/>
      </c>
      <c r="AI95" s="68" t="str">
        <f>IF(main!AU98="","",ROUND(main!AU98*100,6))</f>
        <v/>
      </c>
      <c r="AJ95" s="68" t="str">
        <f>IF(main!AV98="","",ROUND(main!AV98*100,6))</f>
        <v/>
      </c>
      <c r="AK95" s="68" t="str">
        <f>IF(main!AW98="","",ROUND(main!AW98*100,6))</f>
        <v/>
      </c>
      <c r="AL95" s="68" t="str">
        <f>IF(main!AX98="","",ROUND(main!AX98*100,6))</f>
        <v/>
      </c>
      <c r="AM95" s="68" t="str">
        <f>IF(main!AY98="","",ROUND(main!AY98*100,6))</f>
        <v/>
      </c>
      <c r="AN95" s="68" t="str">
        <f>IF(main!AZ98="","",ROUND(main!AZ98*100,6))</f>
        <v/>
      </c>
      <c r="AO95" s="68" t="str">
        <f>IF(main!BA98="","",ROUND(main!BA98*100,6))</f>
        <v/>
      </c>
      <c r="AP95" s="68" t="str">
        <f>IF(main!BB98="","",ROUND(main!BB98*100,6))</f>
        <v/>
      </c>
      <c r="AQ95" s="68" t="str">
        <f>IF(main!BC98="","",ROUND(main!BC98*100,6))</f>
        <v/>
      </c>
      <c r="AR95" s="68" t="str">
        <f>IF(main!BD98="","",ROUND(main!BD98*100,6))</f>
        <v/>
      </c>
      <c r="AS95" s="68" t="str">
        <f>IF(main!BE98="","",ROUND(main!BE98*100,6))</f>
        <v/>
      </c>
      <c r="AT95" s="68" t="str">
        <f>IF(main!BF98="","",ROUND(main!BF98*100,6))</f>
        <v/>
      </c>
      <c r="AU95" s="68" t="str">
        <f>IF(main!BG98="","",ROUND(main!BG98*100,6))</f>
        <v/>
      </c>
      <c r="AV95" s="68" t="str">
        <f>IF(main!BH98="","",ROUND(main!BH98*100,6))</f>
        <v/>
      </c>
      <c r="AW95" s="68" t="str">
        <f>IF(main!BI98="","",ROUND(main!BI98*100,6))</f>
        <v/>
      </c>
      <c r="AX95" s="68" t="str">
        <f>IF(main!BJ98="","",ROUND(main!BJ98*100,6))</f>
        <v/>
      </c>
      <c r="AY95" s="68" t="str">
        <f>IF(main!BK98="","",ROUND(main!BK98*100,6))</f>
        <v/>
      </c>
      <c r="AZ95" s="68" t="str">
        <f>IF(main!BL98="","",ROUND(main!BL98*100,6))</f>
        <v/>
      </c>
      <c r="BA95" s="68" t="str">
        <f>IF(main!BM98="","",ROUND(main!BM98*100,6))</f>
        <v/>
      </c>
      <c r="BB95" s="68" t="str">
        <f>IF(main!BN98="","",ROUND(main!BN98*100,6))</f>
        <v/>
      </c>
      <c r="BC95" s="68" t="str">
        <f>IF(main!BO98="","",ROUND(main!BO98*100,6))</f>
        <v/>
      </c>
      <c r="BD95" s="68" t="str">
        <f>IF(main!BP98="","",ROUND(main!BP98*100,6))</f>
        <v/>
      </c>
      <c r="BE95" s="68" t="str">
        <f>IF(main!BQ98="","",ROUND(main!BQ98*100,6))</f>
        <v/>
      </c>
      <c r="BF95" s="68" t="str">
        <f>IF(main!BR98="","",ROUND(main!BR98*100,6))</f>
        <v/>
      </c>
      <c r="BG95" s="68" t="str">
        <f>IF(main!BS98="","",ROUND(main!BS98*100,6))</f>
        <v/>
      </c>
      <c r="BH95" s="68" t="str">
        <f>IF(main!BT98="","",ROUND(main!BT98*100,6))</f>
        <v/>
      </c>
      <c r="BI95" s="68" t="str">
        <f>IF(main!BU98="","",ROUND(main!BU98*100,6))</f>
        <v/>
      </c>
      <c r="BJ95" s="68" t="str">
        <f>IF(main!BV98="","",ROUND(main!BV98*100,6))</f>
        <v/>
      </c>
      <c r="BK95" s="68" t="str">
        <f>IF(main!BW98="","",ROUND(main!BW98*100,6))</f>
        <v/>
      </c>
      <c r="BL95" s="68" t="str">
        <f>IF(main!BX98="","",ROUND(main!BX98*100,6))</f>
        <v/>
      </c>
      <c r="BM95" s="68" t="str">
        <f>IF(main!BY98="","",ROUND(main!BY98*100,6))</f>
        <v/>
      </c>
      <c r="BN95" s="68" t="str">
        <f>IF(main!BZ98="","",ROUND(main!BZ98*100,6))</f>
        <v/>
      </c>
      <c r="BO95" s="68" t="str">
        <f>IF(main!CA98="","",ROUND(main!CA98*100,6))</f>
        <v/>
      </c>
      <c r="BP95" s="68" t="str">
        <f>IF(main!CB98="","",ROUND(main!CB98*100,6))</f>
        <v/>
      </c>
      <c r="BQ95" s="68" t="str">
        <f>IF(main!CC98="","",ROUND(main!CC98*100,6))</f>
        <v/>
      </c>
      <c r="BR95" s="68" t="str">
        <f>IF(main!CD98="","",ROUND(main!CD98*100,6))</f>
        <v/>
      </c>
      <c r="BS95" s="68" t="str">
        <f>IF(main!CE98="","",ROUND(main!CE98*100,6))</f>
        <v/>
      </c>
      <c r="BT95" s="68" t="str">
        <f>IF(main!CF98="","",ROUND(main!CF98*100,6))</f>
        <v/>
      </c>
      <c r="BU95" s="68" t="str">
        <f>IF(main!CG98="","",ROUND(main!CG98*100,6))</f>
        <v/>
      </c>
      <c r="BV95" s="68" t="str">
        <f>IF(main!CH98="","",ROUND(main!CH98*100,6))</f>
        <v/>
      </c>
      <c r="BW95" s="68" t="str">
        <f>IF(main!CI98="","",ROUND(main!CI98*100,6))</f>
        <v/>
      </c>
      <c r="BX95" s="68" t="str">
        <f>IF(main!CJ98="","",ROUND(main!CJ98*100,6))</f>
        <v/>
      </c>
      <c r="BY95" s="68" t="str">
        <f>IF(main!CK98="","",ROUND(main!CK98*100,6))</f>
        <v/>
      </c>
      <c r="BZ95" s="68" t="str">
        <f>IF(main!CL98="","",ROUND(main!CL98*100,6))</f>
        <v/>
      </c>
      <c r="CA95" s="68" t="str">
        <f>IF(main!CM98="","",ROUND(main!CM98*100,6))</f>
        <v/>
      </c>
      <c r="CB95" s="68" t="str">
        <f>IF(main!CN98="","",ROUND(main!CN98*100,6))</f>
        <v/>
      </c>
      <c r="CC95" s="68" t="str">
        <f>IF(main!CO98="","",ROUND(main!CO98*100,6))</f>
        <v/>
      </c>
    </row>
    <row r="96" spans="1:81" x14ac:dyDescent="0.25">
      <c r="A96" s="65" t="s">
        <v>229</v>
      </c>
      <c r="B96" s="66" t="str">
        <f>main!C99</f>
        <v>Supports Installation</v>
      </c>
      <c r="C96" s="67">
        <f>main!O99</f>
        <v>100000</v>
      </c>
      <c r="D96" s="65" t="s">
        <v>110</v>
      </c>
      <c r="E96" s="68">
        <f t="shared" si="1"/>
        <v>100</v>
      </c>
      <c r="F96" s="68" t="str">
        <f>IF(main!R99="","",ROUND(main!R99*100,6))</f>
        <v/>
      </c>
      <c r="G96" s="68" t="str">
        <f>IF(main!S99="","",ROUND(main!S99*100,6))</f>
        <v/>
      </c>
      <c r="H96" s="68" t="str">
        <f>IF(main!T99="","",ROUND(main!T99*100,6))</f>
        <v/>
      </c>
      <c r="I96" s="68" t="str">
        <f>IF(main!U99="","",ROUND(main!U99*100,6))</f>
        <v/>
      </c>
      <c r="J96" s="68" t="str">
        <f>IF(main!V99="","",ROUND(main!V99*100,6))</f>
        <v/>
      </c>
      <c r="K96" s="68" t="str">
        <f>IF(main!W99="","",ROUND(main!W99*100,6))</f>
        <v/>
      </c>
      <c r="L96" s="68" t="str">
        <f>IF(main!X99="","",ROUND(main!X99*100,6))</f>
        <v/>
      </c>
      <c r="M96" s="68" t="str">
        <f>IF(main!Y99="","",ROUND(main!Y99*100,6))</f>
        <v/>
      </c>
      <c r="N96" s="68" t="str">
        <f>IF(main!Z99="","",ROUND(main!Z99*100,6))</f>
        <v/>
      </c>
      <c r="O96" s="68" t="str">
        <f>IF(main!AA99="","",ROUND(main!AA99*100,6))</f>
        <v/>
      </c>
      <c r="P96" s="68" t="str">
        <f>IF(main!AB99="","",ROUND(main!AB99*100,6))</f>
        <v/>
      </c>
      <c r="Q96" s="68" t="str">
        <f>IF(main!AC99="","",ROUND(main!AC99*100,6))</f>
        <v/>
      </c>
      <c r="R96" s="68" t="str">
        <f>IF(main!AD99="","",ROUND(main!AD99*100,6))</f>
        <v/>
      </c>
      <c r="S96" s="68" t="str">
        <f>IF(main!AE99="","",ROUND(main!AE99*100,6))</f>
        <v/>
      </c>
      <c r="T96" s="68" t="str">
        <f>IF(main!AF99="","",ROUND(main!AF99*100,6))</f>
        <v/>
      </c>
      <c r="U96" s="68" t="str">
        <f>IF(main!AG99="","",ROUND(main!AG99*100,6))</f>
        <v/>
      </c>
      <c r="V96" s="68" t="str">
        <f>IF(main!AH99="","",ROUND(main!AH99*100,6))</f>
        <v/>
      </c>
      <c r="W96" s="68" t="str">
        <f>IF(main!AI99="","",ROUND(main!AI99*100,6))</f>
        <v/>
      </c>
      <c r="X96" s="68" t="str">
        <f>IF(main!AJ99="","",ROUND(main!AJ99*100,6))</f>
        <v/>
      </c>
      <c r="Y96" s="68" t="str">
        <f>IF(main!AK99="","",ROUND(main!AK99*100,6))</f>
        <v/>
      </c>
      <c r="Z96" s="68" t="str">
        <f>IF(main!AL99="","",ROUND(main!AL99*100,6))</f>
        <v/>
      </c>
      <c r="AA96" s="68" t="str">
        <f>IF(main!AM99="","",ROUND(main!AM99*100,6))</f>
        <v/>
      </c>
      <c r="AB96" s="68" t="str">
        <f>IF(main!AN99="","",ROUND(main!AN99*100,6))</f>
        <v/>
      </c>
      <c r="AC96" s="68" t="str">
        <f>IF(main!AO99="","",ROUND(main!AO99*100,6))</f>
        <v/>
      </c>
      <c r="AD96" s="68" t="str">
        <f>IF(main!AP99="","",ROUND(main!AP99*100,6))</f>
        <v/>
      </c>
      <c r="AE96" s="68" t="str">
        <f>IF(main!AQ99="","",ROUND(main!AQ99*100,6))</f>
        <v/>
      </c>
      <c r="AF96" s="68" t="str">
        <f>IF(main!AR99="","",ROUND(main!AR99*100,6))</f>
        <v/>
      </c>
      <c r="AG96" s="68" t="str">
        <f>IF(main!AS99="","",ROUND(main!AS99*100,6))</f>
        <v/>
      </c>
      <c r="AH96" s="68" t="str">
        <f>IF(main!AT99="","",ROUND(main!AT99*100,6))</f>
        <v/>
      </c>
      <c r="AI96" s="68" t="str">
        <f>IF(main!AU99="","",ROUND(main!AU99*100,6))</f>
        <v/>
      </c>
      <c r="AJ96" s="68" t="str">
        <f>IF(main!AV99="","",ROUND(main!AV99*100,6))</f>
        <v/>
      </c>
      <c r="AK96" s="68" t="str">
        <f>IF(main!AW99="","",ROUND(main!AW99*100,6))</f>
        <v/>
      </c>
      <c r="AL96" s="68" t="str">
        <f>IF(main!AX99="","",ROUND(main!AX99*100,6))</f>
        <v/>
      </c>
      <c r="AM96" s="68" t="str">
        <f>IF(main!AY99="","",ROUND(main!AY99*100,6))</f>
        <v/>
      </c>
      <c r="AN96" s="68" t="str">
        <f>IF(main!AZ99="","",ROUND(main!AZ99*100,6))</f>
        <v/>
      </c>
      <c r="AO96" s="68" t="str">
        <f>IF(main!BA99="","",ROUND(main!BA99*100,6))</f>
        <v/>
      </c>
      <c r="AP96" s="68" t="str">
        <f>IF(main!BB99="","",ROUND(main!BB99*100,6))</f>
        <v/>
      </c>
      <c r="AQ96" s="68">
        <f>IF(main!BC99="","",ROUND(main!BC99*100,6))</f>
        <v>28.571428999999998</v>
      </c>
      <c r="AR96" s="68">
        <f>IF(main!BD99="","",ROUND(main!BD99*100,6))</f>
        <v>71.428571000000005</v>
      </c>
      <c r="AS96" s="68" t="str">
        <f>IF(main!BE99="","",ROUND(main!BE99*100,6))</f>
        <v/>
      </c>
      <c r="AT96" s="68" t="str">
        <f>IF(main!BF99="","",ROUND(main!BF99*100,6))</f>
        <v/>
      </c>
      <c r="AU96" s="68" t="str">
        <f>IF(main!BG99="","",ROUND(main!BG99*100,6))</f>
        <v/>
      </c>
      <c r="AV96" s="68" t="str">
        <f>IF(main!BH99="","",ROUND(main!BH99*100,6))</f>
        <v/>
      </c>
      <c r="AW96" s="68" t="str">
        <f>IF(main!BI99="","",ROUND(main!BI99*100,6))</f>
        <v/>
      </c>
      <c r="AX96" s="68" t="str">
        <f>IF(main!BJ99="","",ROUND(main!BJ99*100,6))</f>
        <v/>
      </c>
      <c r="AY96" s="68" t="str">
        <f>IF(main!BK99="","",ROUND(main!BK99*100,6))</f>
        <v/>
      </c>
      <c r="AZ96" s="68" t="str">
        <f>IF(main!BL99="","",ROUND(main!BL99*100,6))</f>
        <v/>
      </c>
      <c r="BA96" s="68" t="str">
        <f>IF(main!BM99="","",ROUND(main!BM99*100,6))</f>
        <v/>
      </c>
      <c r="BB96" s="68" t="str">
        <f>IF(main!BN99="","",ROUND(main!BN99*100,6))</f>
        <v/>
      </c>
      <c r="BC96" s="68" t="str">
        <f>IF(main!BO99="","",ROUND(main!BO99*100,6))</f>
        <v/>
      </c>
      <c r="BD96" s="68" t="str">
        <f>IF(main!BP99="","",ROUND(main!BP99*100,6))</f>
        <v/>
      </c>
      <c r="BE96" s="68" t="str">
        <f>IF(main!BQ99="","",ROUND(main!BQ99*100,6))</f>
        <v/>
      </c>
      <c r="BF96" s="68" t="str">
        <f>IF(main!BR99="","",ROUND(main!BR99*100,6))</f>
        <v/>
      </c>
      <c r="BG96" s="68" t="str">
        <f>IF(main!BS99="","",ROUND(main!BS99*100,6))</f>
        <v/>
      </c>
      <c r="BH96" s="68" t="str">
        <f>IF(main!BT99="","",ROUND(main!BT99*100,6))</f>
        <v/>
      </c>
      <c r="BI96" s="68" t="str">
        <f>IF(main!BU99="","",ROUND(main!BU99*100,6))</f>
        <v/>
      </c>
      <c r="BJ96" s="68" t="str">
        <f>IF(main!BV99="","",ROUND(main!BV99*100,6))</f>
        <v/>
      </c>
      <c r="BK96" s="68" t="str">
        <f>IF(main!BW99="","",ROUND(main!BW99*100,6))</f>
        <v/>
      </c>
      <c r="BL96" s="68" t="str">
        <f>IF(main!BX99="","",ROUND(main!BX99*100,6))</f>
        <v/>
      </c>
      <c r="BM96" s="68" t="str">
        <f>IF(main!BY99="","",ROUND(main!BY99*100,6))</f>
        <v/>
      </c>
      <c r="BN96" s="68" t="str">
        <f>IF(main!BZ99="","",ROUND(main!BZ99*100,6))</f>
        <v/>
      </c>
      <c r="BO96" s="68" t="str">
        <f>IF(main!CA99="","",ROUND(main!CA99*100,6))</f>
        <v/>
      </c>
      <c r="BP96" s="68" t="str">
        <f>IF(main!CB99="","",ROUND(main!CB99*100,6))</f>
        <v/>
      </c>
      <c r="BQ96" s="68" t="str">
        <f>IF(main!CC99="","",ROUND(main!CC99*100,6))</f>
        <v/>
      </c>
      <c r="BR96" s="68" t="str">
        <f>IF(main!CD99="","",ROUND(main!CD99*100,6))</f>
        <v/>
      </c>
      <c r="BS96" s="68" t="str">
        <f>IF(main!CE99="","",ROUND(main!CE99*100,6))</f>
        <v/>
      </c>
      <c r="BT96" s="68" t="str">
        <f>IF(main!CF99="","",ROUND(main!CF99*100,6))</f>
        <v/>
      </c>
      <c r="BU96" s="68" t="str">
        <f>IF(main!CG99="","",ROUND(main!CG99*100,6))</f>
        <v/>
      </c>
      <c r="BV96" s="68" t="str">
        <f>IF(main!CH99="","",ROUND(main!CH99*100,6))</f>
        <v/>
      </c>
      <c r="BW96" s="68" t="str">
        <f>IF(main!CI99="","",ROUND(main!CI99*100,6))</f>
        <v/>
      </c>
      <c r="BX96" s="68" t="str">
        <f>IF(main!CJ99="","",ROUND(main!CJ99*100,6))</f>
        <v/>
      </c>
      <c r="BY96" s="68" t="str">
        <f>IF(main!CK99="","",ROUND(main!CK99*100,6))</f>
        <v/>
      </c>
      <c r="BZ96" s="68" t="str">
        <f>IF(main!CL99="","",ROUND(main!CL99*100,6))</f>
        <v/>
      </c>
      <c r="CA96" s="68" t="str">
        <f>IF(main!CM99="","",ROUND(main!CM99*100,6))</f>
        <v/>
      </c>
      <c r="CB96" s="68" t="str">
        <f>IF(main!CN99="","",ROUND(main!CN99*100,6))</f>
        <v/>
      </c>
      <c r="CC96" s="68" t="str">
        <f>IF(main!CO99="","",ROUND(main!CO99*100,6))</f>
        <v/>
      </c>
    </row>
    <row r="97" spans="1:81" x14ac:dyDescent="0.25">
      <c r="A97" s="65" t="s">
        <v>229</v>
      </c>
      <c r="B97" s="66" t="str">
        <f>main!C99</f>
        <v>Supports Installation</v>
      </c>
      <c r="C97" s="67">
        <f>main!O99</f>
        <v>100000</v>
      </c>
      <c r="D97" s="65" t="s">
        <v>111</v>
      </c>
      <c r="E97" s="68" t="str">
        <f t="shared" si="1"/>
        <v/>
      </c>
      <c r="F97" s="68" t="str">
        <f>IF(main!R100="","",ROUND(main!R100*100,6))</f>
        <v/>
      </c>
      <c r="G97" s="68" t="str">
        <f>IF(main!S100="","",ROUND(main!S100*100,6))</f>
        <v/>
      </c>
      <c r="H97" s="68" t="str">
        <f>IF(main!T100="","",ROUND(main!T100*100,6))</f>
        <v/>
      </c>
      <c r="I97" s="68" t="str">
        <f>IF(main!U100="","",ROUND(main!U100*100,6))</f>
        <v/>
      </c>
      <c r="J97" s="68" t="str">
        <f>IF(main!V100="","",ROUND(main!V100*100,6))</f>
        <v/>
      </c>
      <c r="K97" s="68" t="str">
        <f>IF(main!W100="","",ROUND(main!W100*100,6))</f>
        <v/>
      </c>
      <c r="L97" s="68" t="str">
        <f>IF(main!X100="","",ROUND(main!X100*100,6))</f>
        <v/>
      </c>
      <c r="M97" s="68" t="str">
        <f>IF(main!Y100="","",ROUND(main!Y100*100,6))</f>
        <v/>
      </c>
      <c r="N97" s="68" t="str">
        <f>IF(main!Z100="","",ROUND(main!Z100*100,6))</f>
        <v/>
      </c>
      <c r="O97" s="68" t="str">
        <f>IF(main!AA100="","",ROUND(main!AA100*100,6))</f>
        <v/>
      </c>
      <c r="P97" s="68" t="str">
        <f>IF(main!AB100="","",ROUND(main!AB100*100,6))</f>
        <v/>
      </c>
      <c r="Q97" s="68" t="str">
        <f>IF(main!AC100="","",ROUND(main!AC100*100,6))</f>
        <v/>
      </c>
      <c r="R97" s="68" t="str">
        <f>IF(main!AD100="","",ROUND(main!AD100*100,6))</f>
        <v/>
      </c>
      <c r="S97" s="68" t="str">
        <f>IF(main!AE100="","",ROUND(main!AE100*100,6))</f>
        <v/>
      </c>
      <c r="T97" s="68" t="str">
        <f>IF(main!AF100="","",ROUND(main!AF100*100,6))</f>
        <v/>
      </c>
      <c r="U97" s="68" t="str">
        <f>IF(main!AG100="","",ROUND(main!AG100*100,6))</f>
        <v/>
      </c>
      <c r="V97" s="68" t="str">
        <f>IF(main!AH100="","",ROUND(main!AH100*100,6))</f>
        <v/>
      </c>
      <c r="W97" s="68" t="str">
        <f>IF(main!AI100="","",ROUND(main!AI100*100,6))</f>
        <v/>
      </c>
      <c r="X97" s="68" t="str">
        <f>IF(main!AJ100="","",ROUND(main!AJ100*100,6))</f>
        <v/>
      </c>
      <c r="Y97" s="68" t="str">
        <f>IF(main!AK100="","",ROUND(main!AK100*100,6))</f>
        <v/>
      </c>
      <c r="Z97" s="68" t="str">
        <f>IF(main!AL100="","",ROUND(main!AL100*100,6))</f>
        <v/>
      </c>
      <c r="AA97" s="68" t="str">
        <f>IF(main!AM100="","",ROUND(main!AM100*100,6))</f>
        <v/>
      </c>
      <c r="AB97" s="68" t="str">
        <f>IF(main!AN100="","",ROUND(main!AN100*100,6))</f>
        <v/>
      </c>
      <c r="AC97" s="68" t="str">
        <f>IF(main!AO100="","",ROUND(main!AO100*100,6))</f>
        <v/>
      </c>
      <c r="AD97" s="68" t="str">
        <f>IF(main!AP100="","",ROUND(main!AP100*100,6))</f>
        <v/>
      </c>
      <c r="AE97" s="68" t="str">
        <f>IF(main!AQ100="","",ROUND(main!AQ100*100,6))</f>
        <v/>
      </c>
      <c r="AF97" s="68" t="str">
        <f>IF(main!AR100="","",ROUND(main!AR100*100,6))</f>
        <v/>
      </c>
      <c r="AG97" s="68" t="str">
        <f>IF(main!AS100="","",ROUND(main!AS100*100,6))</f>
        <v/>
      </c>
      <c r="AH97" s="68" t="str">
        <f>IF(main!AT100="","",ROUND(main!AT100*100,6))</f>
        <v/>
      </c>
      <c r="AI97" s="68" t="str">
        <f>IF(main!AU100="","",ROUND(main!AU100*100,6))</f>
        <v/>
      </c>
      <c r="AJ97" s="68" t="str">
        <f>IF(main!AV100="","",ROUND(main!AV100*100,6))</f>
        <v/>
      </c>
      <c r="AK97" s="68" t="str">
        <f>IF(main!AW100="","",ROUND(main!AW100*100,6))</f>
        <v/>
      </c>
      <c r="AL97" s="68" t="str">
        <f>IF(main!AX100="","",ROUND(main!AX100*100,6))</f>
        <v/>
      </c>
      <c r="AM97" s="68" t="str">
        <f>IF(main!AY100="","",ROUND(main!AY100*100,6))</f>
        <v/>
      </c>
      <c r="AN97" s="68" t="str">
        <f>IF(main!AZ100="","",ROUND(main!AZ100*100,6))</f>
        <v/>
      </c>
      <c r="AO97" s="68" t="str">
        <f>IF(main!BA100="","",ROUND(main!BA100*100,6))</f>
        <v/>
      </c>
      <c r="AP97" s="68" t="str">
        <f>IF(main!BB100="","",ROUND(main!BB100*100,6))</f>
        <v/>
      </c>
      <c r="AQ97" s="68" t="str">
        <f>IF(main!BC100="","",ROUND(main!BC100*100,6))</f>
        <v/>
      </c>
      <c r="AR97" s="68" t="str">
        <f>IF(main!BD100="","",ROUND(main!BD100*100,6))</f>
        <v/>
      </c>
      <c r="AS97" s="68" t="str">
        <f>IF(main!BE100="","",ROUND(main!BE100*100,6))</f>
        <v/>
      </c>
      <c r="AT97" s="68" t="str">
        <f>IF(main!BF100="","",ROUND(main!BF100*100,6))</f>
        <v/>
      </c>
      <c r="AU97" s="68" t="str">
        <f>IF(main!BG100="","",ROUND(main!BG100*100,6))</f>
        <v/>
      </c>
      <c r="AV97" s="68" t="str">
        <f>IF(main!BH100="","",ROUND(main!BH100*100,6))</f>
        <v/>
      </c>
      <c r="AW97" s="68" t="str">
        <f>IF(main!BI100="","",ROUND(main!BI100*100,6))</f>
        <v/>
      </c>
      <c r="AX97" s="68" t="str">
        <f>IF(main!BJ100="","",ROUND(main!BJ100*100,6))</f>
        <v/>
      </c>
      <c r="AY97" s="68" t="str">
        <f>IF(main!BK100="","",ROUND(main!BK100*100,6))</f>
        <v/>
      </c>
      <c r="AZ97" s="68" t="str">
        <f>IF(main!BL100="","",ROUND(main!BL100*100,6))</f>
        <v/>
      </c>
      <c r="BA97" s="68" t="str">
        <f>IF(main!BM100="","",ROUND(main!BM100*100,6))</f>
        <v/>
      </c>
      <c r="BB97" s="68" t="str">
        <f>IF(main!BN100="","",ROUND(main!BN100*100,6))</f>
        <v/>
      </c>
      <c r="BC97" s="68" t="str">
        <f>IF(main!BO100="","",ROUND(main!BO100*100,6))</f>
        <v/>
      </c>
      <c r="BD97" s="68" t="str">
        <f>IF(main!BP100="","",ROUND(main!BP100*100,6))</f>
        <v/>
      </c>
      <c r="BE97" s="68" t="str">
        <f>IF(main!BQ100="","",ROUND(main!BQ100*100,6))</f>
        <v/>
      </c>
      <c r="BF97" s="68" t="str">
        <f>IF(main!BR100="","",ROUND(main!BR100*100,6))</f>
        <v/>
      </c>
      <c r="BG97" s="68" t="str">
        <f>IF(main!BS100="","",ROUND(main!BS100*100,6))</f>
        <v/>
      </c>
      <c r="BH97" s="68" t="str">
        <f>IF(main!BT100="","",ROUND(main!BT100*100,6))</f>
        <v/>
      </c>
      <c r="BI97" s="68" t="str">
        <f>IF(main!BU100="","",ROUND(main!BU100*100,6))</f>
        <v/>
      </c>
      <c r="BJ97" s="68" t="str">
        <f>IF(main!BV100="","",ROUND(main!BV100*100,6))</f>
        <v/>
      </c>
      <c r="BK97" s="68" t="str">
        <f>IF(main!BW100="","",ROUND(main!BW100*100,6))</f>
        <v/>
      </c>
      <c r="BL97" s="68" t="str">
        <f>IF(main!BX100="","",ROUND(main!BX100*100,6))</f>
        <v/>
      </c>
      <c r="BM97" s="68" t="str">
        <f>IF(main!BY100="","",ROUND(main!BY100*100,6))</f>
        <v/>
      </c>
      <c r="BN97" s="68" t="str">
        <f>IF(main!BZ100="","",ROUND(main!BZ100*100,6))</f>
        <v/>
      </c>
      <c r="BO97" s="68" t="str">
        <f>IF(main!CA100="","",ROUND(main!CA100*100,6))</f>
        <v/>
      </c>
      <c r="BP97" s="68" t="str">
        <f>IF(main!CB100="","",ROUND(main!CB100*100,6))</f>
        <v/>
      </c>
      <c r="BQ97" s="68" t="str">
        <f>IF(main!CC100="","",ROUND(main!CC100*100,6))</f>
        <v/>
      </c>
      <c r="BR97" s="68" t="str">
        <f>IF(main!CD100="","",ROUND(main!CD100*100,6))</f>
        <v/>
      </c>
      <c r="BS97" s="68" t="str">
        <f>IF(main!CE100="","",ROUND(main!CE100*100,6))</f>
        <v/>
      </c>
      <c r="BT97" s="68" t="str">
        <f>IF(main!CF100="","",ROUND(main!CF100*100,6))</f>
        <v/>
      </c>
      <c r="BU97" s="68" t="str">
        <f>IF(main!CG100="","",ROUND(main!CG100*100,6))</f>
        <v/>
      </c>
      <c r="BV97" s="68" t="str">
        <f>IF(main!CH100="","",ROUND(main!CH100*100,6))</f>
        <v/>
      </c>
      <c r="BW97" s="68" t="str">
        <f>IF(main!CI100="","",ROUND(main!CI100*100,6))</f>
        <v/>
      </c>
      <c r="BX97" s="68" t="str">
        <f>IF(main!CJ100="","",ROUND(main!CJ100*100,6))</f>
        <v/>
      </c>
      <c r="BY97" s="68" t="str">
        <f>IF(main!CK100="","",ROUND(main!CK100*100,6))</f>
        <v/>
      </c>
      <c r="BZ97" s="68" t="str">
        <f>IF(main!CL100="","",ROUND(main!CL100*100,6))</f>
        <v/>
      </c>
      <c r="CA97" s="68" t="str">
        <f>IF(main!CM100="","",ROUND(main!CM100*100,6))</f>
        <v/>
      </c>
      <c r="CB97" s="68" t="str">
        <f>IF(main!CN100="","",ROUND(main!CN100*100,6))</f>
        <v/>
      </c>
      <c r="CC97" s="68" t="str">
        <f>IF(main!CO100="","",ROUND(main!CO100*100,6))</f>
        <v/>
      </c>
    </row>
    <row r="98" spans="1:81" x14ac:dyDescent="0.25">
      <c r="A98" s="65" t="s">
        <v>231</v>
      </c>
      <c r="B98" s="66" t="str">
        <f>main!C101</f>
        <v>Columns</v>
      </c>
      <c r="C98" s="67">
        <f>main!O101</f>
        <v>100000</v>
      </c>
      <c r="D98" s="65" t="s">
        <v>110</v>
      </c>
      <c r="E98" s="68">
        <f t="shared" si="1"/>
        <v>100</v>
      </c>
      <c r="F98" s="68" t="str">
        <f>IF(main!R101="","",ROUND(main!R101*100,6))</f>
        <v/>
      </c>
      <c r="G98" s="68" t="str">
        <f>IF(main!S101="","",ROUND(main!S101*100,6))</f>
        <v/>
      </c>
      <c r="H98" s="68" t="str">
        <f>IF(main!T101="","",ROUND(main!T101*100,6))</f>
        <v/>
      </c>
      <c r="I98" s="68" t="str">
        <f>IF(main!U101="","",ROUND(main!U101*100,6))</f>
        <v/>
      </c>
      <c r="J98" s="68" t="str">
        <f>IF(main!V101="","",ROUND(main!V101*100,6))</f>
        <v/>
      </c>
      <c r="K98" s="68" t="str">
        <f>IF(main!W101="","",ROUND(main!W101*100,6))</f>
        <v/>
      </c>
      <c r="L98" s="68" t="str">
        <f>IF(main!X101="","",ROUND(main!X101*100,6))</f>
        <v/>
      </c>
      <c r="M98" s="68" t="str">
        <f>IF(main!Y101="","",ROUND(main!Y101*100,6))</f>
        <v/>
      </c>
      <c r="N98" s="68" t="str">
        <f>IF(main!Z101="","",ROUND(main!Z101*100,6))</f>
        <v/>
      </c>
      <c r="O98" s="68" t="str">
        <f>IF(main!AA101="","",ROUND(main!AA101*100,6))</f>
        <v/>
      </c>
      <c r="P98" s="68" t="str">
        <f>IF(main!AB101="","",ROUND(main!AB101*100,6))</f>
        <v/>
      </c>
      <c r="Q98" s="68" t="str">
        <f>IF(main!AC101="","",ROUND(main!AC101*100,6))</f>
        <v/>
      </c>
      <c r="R98" s="68" t="str">
        <f>IF(main!AD101="","",ROUND(main!AD101*100,6))</f>
        <v/>
      </c>
      <c r="S98" s="68" t="str">
        <f>IF(main!AE101="","",ROUND(main!AE101*100,6))</f>
        <v/>
      </c>
      <c r="T98" s="68" t="str">
        <f>IF(main!AF101="","",ROUND(main!AF101*100,6))</f>
        <v/>
      </c>
      <c r="U98" s="68" t="str">
        <f>IF(main!AG101="","",ROUND(main!AG101*100,6))</f>
        <v/>
      </c>
      <c r="V98" s="68" t="str">
        <f>IF(main!AH101="","",ROUND(main!AH101*100,6))</f>
        <v/>
      </c>
      <c r="W98" s="68" t="str">
        <f>IF(main!AI101="","",ROUND(main!AI101*100,6))</f>
        <v/>
      </c>
      <c r="X98" s="68" t="str">
        <f>IF(main!AJ101="","",ROUND(main!AJ101*100,6))</f>
        <v/>
      </c>
      <c r="Y98" s="68" t="str">
        <f>IF(main!AK101="","",ROUND(main!AK101*100,6))</f>
        <v/>
      </c>
      <c r="Z98" s="68" t="str">
        <f>IF(main!AL101="","",ROUND(main!AL101*100,6))</f>
        <v/>
      </c>
      <c r="AA98" s="68" t="str">
        <f>IF(main!AM101="","",ROUND(main!AM101*100,6))</f>
        <v/>
      </c>
      <c r="AB98" s="68" t="str">
        <f>IF(main!AN101="","",ROUND(main!AN101*100,6))</f>
        <v/>
      </c>
      <c r="AC98" s="68" t="str">
        <f>IF(main!AO101="","",ROUND(main!AO101*100,6))</f>
        <v/>
      </c>
      <c r="AD98" s="68" t="str">
        <f>IF(main!AP101="","",ROUND(main!AP101*100,6))</f>
        <v/>
      </c>
      <c r="AE98" s="68" t="str">
        <f>IF(main!AQ101="","",ROUND(main!AQ101*100,6))</f>
        <v/>
      </c>
      <c r="AF98" s="68" t="str">
        <f>IF(main!AR101="","",ROUND(main!AR101*100,6))</f>
        <v/>
      </c>
      <c r="AG98" s="68" t="str">
        <f>IF(main!AS101="","",ROUND(main!AS101*100,6))</f>
        <v/>
      </c>
      <c r="AH98" s="68" t="str">
        <f>IF(main!AT101="","",ROUND(main!AT101*100,6))</f>
        <v/>
      </c>
      <c r="AI98" s="68" t="str">
        <f>IF(main!AU101="","",ROUND(main!AU101*100,6))</f>
        <v/>
      </c>
      <c r="AJ98" s="68" t="str">
        <f>IF(main!AV101="","",ROUND(main!AV101*100,6))</f>
        <v/>
      </c>
      <c r="AK98" s="68" t="str">
        <f>IF(main!AW101="","",ROUND(main!AW101*100,6))</f>
        <v/>
      </c>
      <c r="AL98" s="68" t="str">
        <f>IF(main!AX101="","",ROUND(main!AX101*100,6))</f>
        <v/>
      </c>
      <c r="AM98" s="68" t="str">
        <f>IF(main!AY101="","",ROUND(main!AY101*100,6))</f>
        <v/>
      </c>
      <c r="AN98" s="68" t="str">
        <f>IF(main!AZ101="","",ROUND(main!AZ101*100,6))</f>
        <v/>
      </c>
      <c r="AO98" s="68" t="str">
        <f>IF(main!BA101="","",ROUND(main!BA101*100,6))</f>
        <v/>
      </c>
      <c r="AP98" s="68" t="str">
        <f>IF(main!BB101="","",ROUND(main!BB101*100,6))</f>
        <v/>
      </c>
      <c r="AQ98" s="68" t="str">
        <f>IF(main!BC101="","",ROUND(main!BC101*100,6))</f>
        <v/>
      </c>
      <c r="AR98" s="68">
        <f>IF(main!BD101="","",ROUND(main!BD101*100,6))</f>
        <v>8.323976</v>
      </c>
      <c r="AS98" s="68">
        <f>IF(main!BE101="","",ROUND(main!BE101*100,6))</f>
        <v>70.866083000000003</v>
      </c>
      <c r="AT98" s="68">
        <f>IF(main!BF101="","",ROUND(main!BF101*100,6))</f>
        <v>20.809940999999998</v>
      </c>
      <c r="AU98" s="68" t="str">
        <f>IF(main!BG101="","",ROUND(main!BG101*100,6))</f>
        <v/>
      </c>
      <c r="AV98" s="68" t="str">
        <f>IF(main!BH101="","",ROUND(main!BH101*100,6))</f>
        <v/>
      </c>
      <c r="AW98" s="68" t="str">
        <f>IF(main!BI101="","",ROUND(main!BI101*100,6))</f>
        <v/>
      </c>
      <c r="AX98" s="68" t="str">
        <f>IF(main!BJ101="","",ROUND(main!BJ101*100,6))</f>
        <v/>
      </c>
      <c r="AY98" s="68" t="str">
        <f>IF(main!BK101="","",ROUND(main!BK101*100,6))</f>
        <v/>
      </c>
      <c r="AZ98" s="68" t="str">
        <f>IF(main!BL101="","",ROUND(main!BL101*100,6))</f>
        <v/>
      </c>
      <c r="BA98" s="68" t="str">
        <f>IF(main!BM101="","",ROUND(main!BM101*100,6))</f>
        <v/>
      </c>
      <c r="BB98" s="68" t="str">
        <f>IF(main!BN101="","",ROUND(main!BN101*100,6))</f>
        <v/>
      </c>
      <c r="BC98" s="68" t="str">
        <f>IF(main!BO101="","",ROUND(main!BO101*100,6))</f>
        <v/>
      </c>
      <c r="BD98" s="68" t="str">
        <f>IF(main!BP101="","",ROUND(main!BP101*100,6))</f>
        <v/>
      </c>
      <c r="BE98" s="68" t="str">
        <f>IF(main!BQ101="","",ROUND(main!BQ101*100,6))</f>
        <v/>
      </c>
      <c r="BF98" s="68" t="str">
        <f>IF(main!BR101="","",ROUND(main!BR101*100,6))</f>
        <v/>
      </c>
      <c r="BG98" s="68" t="str">
        <f>IF(main!BS101="","",ROUND(main!BS101*100,6))</f>
        <v/>
      </c>
      <c r="BH98" s="68" t="str">
        <f>IF(main!BT101="","",ROUND(main!BT101*100,6))</f>
        <v/>
      </c>
      <c r="BI98" s="68" t="str">
        <f>IF(main!BU101="","",ROUND(main!BU101*100,6))</f>
        <v/>
      </c>
      <c r="BJ98" s="68" t="str">
        <f>IF(main!BV101="","",ROUND(main!BV101*100,6))</f>
        <v/>
      </c>
      <c r="BK98" s="68" t="str">
        <f>IF(main!BW101="","",ROUND(main!BW101*100,6))</f>
        <v/>
      </c>
      <c r="BL98" s="68" t="str">
        <f>IF(main!BX101="","",ROUND(main!BX101*100,6))</f>
        <v/>
      </c>
      <c r="BM98" s="68" t="str">
        <f>IF(main!BY101="","",ROUND(main!BY101*100,6))</f>
        <v/>
      </c>
      <c r="BN98" s="68" t="str">
        <f>IF(main!BZ101="","",ROUND(main!BZ101*100,6))</f>
        <v/>
      </c>
      <c r="BO98" s="68" t="str">
        <f>IF(main!CA101="","",ROUND(main!CA101*100,6))</f>
        <v/>
      </c>
      <c r="BP98" s="68" t="str">
        <f>IF(main!CB101="","",ROUND(main!CB101*100,6))</f>
        <v/>
      </c>
      <c r="BQ98" s="68" t="str">
        <f>IF(main!CC101="","",ROUND(main!CC101*100,6))</f>
        <v/>
      </c>
      <c r="BR98" s="68" t="str">
        <f>IF(main!CD101="","",ROUND(main!CD101*100,6))</f>
        <v/>
      </c>
      <c r="BS98" s="68" t="str">
        <f>IF(main!CE101="","",ROUND(main!CE101*100,6))</f>
        <v/>
      </c>
      <c r="BT98" s="68" t="str">
        <f>IF(main!CF101="","",ROUND(main!CF101*100,6))</f>
        <v/>
      </c>
      <c r="BU98" s="68" t="str">
        <f>IF(main!CG101="","",ROUND(main!CG101*100,6))</f>
        <v/>
      </c>
      <c r="BV98" s="68" t="str">
        <f>IF(main!CH101="","",ROUND(main!CH101*100,6))</f>
        <v/>
      </c>
      <c r="BW98" s="68" t="str">
        <f>IF(main!CI101="","",ROUND(main!CI101*100,6))</f>
        <v/>
      </c>
      <c r="BX98" s="68" t="str">
        <f>IF(main!CJ101="","",ROUND(main!CJ101*100,6))</f>
        <v/>
      </c>
      <c r="BY98" s="68" t="str">
        <f>IF(main!CK101="","",ROUND(main!CK101*100,6))</f>
        <v/>
      </c>
      <c r="BZ98" s="68" t="str">
        <f>IF(main!CL101="","",ROUND(main!CL101*100,6))</f>
        <v/>
      </c>
      <c r="CA98" s="68" t="str">
        <f>IF(main!CM101="","",ROUND(main!CM101*100,6))</f>
        <v/>
      </c>
      <c r="CB98" s="68" t="str">
        <f>IF(main!CN101="","",ROUND(main!CN101*100,6))</f>
        <v/>
      </c>
      <c r="CC98" s="68" t="str">
        <f>IF(main!CO101="","",ROUND(main!CO101*100,6))</f>
        <v/>
      </c>
    </row>
    <row r="99" spans="1:81" x14ac:dyDescent="0.25">
      <c r="A99" s="65" t="s">
        <v>231</v>
      </c>
      <c r="B99" s="66" t="str">
        <f>main!C101</f>
        <v>Columns</v>
      </c>
      <c r="C99" s="67">
        <f>main!O101</f>
        <v>100000</v>
      </c>
      <c r="D99" s="65" t="s">
        <v>111</v>
      </c>
      <c r="E99" s="68" t="str">
        <f t="shared" si="1"/>
        <v/>
      </c>
      <c r="F99" s="68" t="str">
        <f>IF(main!R102="","",ROUND(main!R102*100,6))</f>
        <v/>
      </c>
      <c r="G99" s="68" t="str">
        <f>IF(main!S102="","",ROUND(main!S102*100,6))</f>
        <v/>
      </c>
      <c r="H99" s="68" t="str">
        <f>IF(main!T102="","",ROUND(main!T102*100,6))</f>
        <v/>
      </c>
      <c r="I99" s="68" t="str">
        <f>IF(main!U102="","",ROUND(main!U102*100,6))</f>
        <v/>
      </c>
      <c r="J99" s="68" t="str">
        <f>IF(main!V102="","",ROUND(main!V102*100,6))</f>
        <v/>
      </c>
      <c r="K99" s="68" t="str">
        <f>IF(main!W102="","",ROUND(main!W102*100,6))</f>
        <v/>
      </c>
      <c r="L99" s="68" t="str">
        <f>IF(main!X102="","",ROUND(main!X102*100,6))</f>
        <v/>
      </c>
      <c r="M99" s="68" t="str">
        <f>IF(main!Y102="","",ROUND(main!Y102*100,6))</f>
        <v/>
      </c>
      <c r="N99" s="68" t="str">
        <f>IF(main!Z102="","",ROUND(main!Z102*100,6))</f>
        <v/>
      </c>
      <c r="O99" s="68" t="str">
        <f>IF(main!AA102="","",ROUND(main!AA102*100,6))</f>
        <v/>
      </c>
      <c r="P99" s="68" t="str">
        <f>IF(main!AB102="","",ROUND(main!AB102*100,6))</f>
        <v/>
      </c>
      <c r="Q99" s="68" t="str">
        <f>IF(main!AC102="","",ROUND(main!AC102*100,6))</f>
        <v/>
      </c>
      <c r="R99" s="68" t="str">
        <f>IF(main!AD102="","",ROUND(main!AD102*100,6))</f>
        <v/>
      </c>
      <c r="S99" s="68" t="str">
        <f>IF(main!AE102="","",ROUND(main!AE102*100,6))</f>
        <v/>
      </c>
      <c r="T99" s="68" t="str">
        <f>IF(main!AF102="","",ROUND(main!AF102*100,6))</f>
        <v/>
      </c>
      <c r="U99" s="68" t="str">
        <f>IF(main!AG102="","",ROUND(main!AG102*100,6))</f>
        <v/>
      </c>
      <c r="V99" s="68" t="str">
        <f>IF(main!AH102="","",ROUND(main!AH102*100,6))</f>
        <v/>
      </c>
      <c r="W99" s="68" t="str">
        <f>IF(main!AI102="","",ROUND(main!AI102*100,6))</f>
        <v/>
      </c>
      <c r="X99" s="68" t="str">
        <f>IF(main!AJ102="","",ROUND(main!AJ102*100,6))</f>
        <v/>
      </c>
      <c r="Y99" s="68" t="str">
        <f>IF(main!AK102="","",ROUND(main!AK102*100,6))</f>
        <v/>
      </c>
      <c r="Z99" s="68" t="str">
        <f>IF(main!AL102="","",ROUND(main!AL102*100,6))</f>
        <v/>
      </c>
      <c r="AA99" s="68" t="str">
        <f>IF(main!AM102="","",ROUND(main!AM102*100,6))</f>
        <v/>
      </c>
      <c r="AB99" s="68" t="str">
        <f>IF(main!AN102="","",ROUND(main!AN102*100,6))</f>
        <v/>
      </c>
      <c r="AC99" s="68" t="str">
        <f>IF(main!AO102="","",ROUND(main!AO102*100,6))</f>
        <v/>
      </c>
      <c r="AD99" s="68" t="str">
        <f>IF(main!AP102="","",ROUND(main!AP102*100,6))</f>
        <v/>
      </c>
      <c r="AE99" s="68" t="str">
        <f>IF(main!AQ102="","",ROUND(main!AQ102*100,6))</f>
        <v/>
      </c>
      <c r="AF99" s="68" t="str">
        <f>IF(main!AR102="","",ROUND(main!AR102*100,6))</f>
        <v/>
      </c>
      <c r="AG99" s="68" t="str">
        <f>IF(main!AS102="","",ROUND(main!AS102*100,6))</f>
        <v/>
      </c>
      <c r="AH99" s="68" t="str">
        <f>IF(main!AT102="","",ROUND(main!AT102*100,6))</f>
        <v/>
      </c>
      <c r="AI99" s="68" t="str">
        <f>IF(main!AU102="","",ROUND(main!AU102*100,6))</f>
        <v/>
      </c>
      <c r="AJ99" s="68" t="str">
        <f>IF(main!AV102="","",ROUND(main!AV102*100,6))</f>
        <v/>
      </c>
      <c r="AK99" s="68" t="str">
        <f>IF(main!AW102="","",ROUND(main!AW102*100,6))</f>
        <v/>
      </c>
      <c r="AL99" s="68" t="str">
        <f>IF(main!AX102="","",ROUND(main!AX102*100,6))</f>
        <v/>
      </c>
      <c r="AM99" s="68" t="str">
        <f>IF(main!AY102="","",ROUND(main!AY102*100,6))</f>
        <v/>
      </c>
      <c r="AN99" s="68" t="str">
        <f>IF(main!AZ102="","",ROUND(main!AZ102*100,6))</f>
        <v/>
      </c>
      <c r="AO99" s="68" t="str">
        <f>IF(main!BA102="","",ROUND(main!BA102*100,6))</f>
        <v/>
      </c>
      <c r="AP99" s="68" t="str">
        <f>IF(main!BB102="","",ROUND(main!BB102*100,6))</f>
        <v/>
      </c>
      <c r="AQ99" s="68" t="str">
        <f>IF(main!BC102="","",ROUND(main!BC102*100,6))</f>
        <v/>
      </c>
      <c r="AR99" s="68" t="str">
        <f>IF(main!BD102="","",ROUND(main!BD102*100,6))</f>
        <v/>
      </c>
      <c r="AS99" s="68" t="str">
        <f>IF(main!BE102="","",ROUND(main!BE102*100,6))</f>
        <v/>
      </c>
      <c r="AT99" s="68" t="str">
        <f>IF(main!BF102="","",ROUND(main!BF102*100,6))</f>
        <v/>
      </c>
      <c r="AU99" s="68" t="str">
        <f>IF(main!BG102="","",ROUND(main!BG102*100,6))</f>
        <v/>
      </c>
      <c r="AV99" s="68" t="str">
        <f>IF(main!BH102="","",ROUND(main!BH102*100,6))</f>
        <v/>
      </c>
      <c r="AW99" s="68" t="str">
        <f>IF(main!BI102="","",ROUND(main!BI102*100,6))</f>
        <v/>
      </c>
      <c r="AX99" s="68" t="str">
        <f>IF(main!BJ102="","",ROUND(main!BJ102*100,6))</f>
        <v/>
      </c>
      <c r="AY99" s="68" t="str">
        <f>IF(main!BK102="","",ROUND(main!BK102*100,6))</f>
        <v/>
      </c>
      <c r="AZ99" s="68" t="str">
        <f>IF(main!BL102="","",ROUND(main!BL102*100,6))</f>
        <v/>
      </c>
      <c r="BA99" s="68" t="str">
        <f>IF(main!BM102="","",ROUND(main!BM102*100,6))</f>
        <v/>
      </c>
      <c r="BB99" s="68" t="str">
        <f>IF(main!BN102="","",ROUND(main!BN102*100,6))</f>
        <v/>
      </c>
      <c r="BC99" s="68" t="str">
        <f>IF(main!BO102="","",ROUND(main!BO102*100,6))</f>
        <v/>
      </c>
      <c r="BD99" s="68" t="str">
        <f>IF(main!BP102="","",ROUND(main!BP102*100,6))</f>
        <v/>
      </c>
      <c r="BE99" s="68" t="str">
        <f>IF(main!BQ102="","",ROUND(main!BQ102*100,6))</f>
        <v/>
      </c>
      <c r="BF99" s="68" t="str">
        <f>IF(main!BR102="","",ROUND(main!BR102*100,6))</f>
        <v/>
      </c>
      <c r="BG99" s="68" t="str">
        <f>IF(main!BS102="","",ROUND(main!BS102*100,6))</f>
        <v/>
      </c>
      <c r="BH99" s="68" t="str">
        <f>IF(main!BT102="","",ROUND(main!BT102*100,6))</f>
        <v/>
      </c>
      <c r="BI99" s="68" t="str">
        <f>IF(main!BU102="","",ROUND(main!BU102*100,6))</f>
        <v/>
      </c>
      <c r="BJ99" s="68" t="str">
        <f>IF(main!BV102="","",ROUND(main!BV102*100,6))</f>
        <v/>
      </c>
      <c r="BK99" s="68" t="str">
        <f>IF(main!BW102="","",ROUND(main!BW102*100,6))</f>
        <v/>
      </c>
      <c r="BL99" s="68" t="str">
        <f>IF(main!BX102="","",ROUND(main!BX102*100,6))</f>
        <v/>
      </c>
      <c r="BM99" s="68" t="str">
        <f>IF(main!BY102="","",ROUND(main!BY102*100,6))</f>
        <v/>
      </c>
      <c r="BN99" s="68" t="str">
        <f>IF(main!BZ102="","",ROUND(main!BZ102*100,6))</f>
        <v/>
      </c>
      <c r="BO99" s="68" t="str">
        <f>IF(main!CA102="","",ROUND(main!CA102*100,6))</f>
        <v/>
      </c>
      <c r="BP99" s="68" t="str">
        <f>IF(main!CB102="","",ROUND(main!CB102*100,6))</f>
        <v/>
      </c>
      <c r="BQ99" s="68" t="str">
        <f>IF(main!CC102="","",ROUND(main!CC102*100,6))</f>
        <v/>
      </c>
      <c r="BR99" s="68" t="str">
        <f>IF(main!CD102="","",ROUND(main!CD102*100,6))</f>
        <v/>
      </c>
      <c r="BS99" s="68" t="str">
        <f>IF(main!CE102="","",ROUND(main!CE102*100,6))</f>
        <v/>
      </c>
      <c r="BT99" s="68" t="str">
        <f>IF(main!CF102="","",ROUND(main!CF102*100,6))</f>
        <v/>
      </c>
      <c r="BU99" s="68" t="str">
        <f>IF(main!CG102="","",ROUND(main!CG102*100,6))</f>
        <v/>
      </c>
      <c r="BV99" s="68" t="str">
        <f>IF(main!CH102="","",ROUND(main!CH102*100,6))</f>
        <v/>
      </c>
      <c r="BW99" s="68" t="str">
        <f>IF(main!CI102="","",ROUND(main!CI102*100,6))</f>
        <v/>
      </c>
      <c r="BX99" s="68" t="str">
        <f>IF(main!CJ102="","",ROUND(main!CJ102*100,6))</f>
        <v/>
      </c>
      <c r="BY99" s="68" t="str">
        <f>IF(main!CK102="","",ROUND(main!CK102*100,6))</f>
        <v/>
      </c>
      <c r="BZ99" s="68" t="str">
        <f>IF(main!CL102="","",ROUND(main!CL102*100,6))</f>
        <v/>
      </c>
      <c r="CA99" s="68" t="str">
        <f>IF(main!CM102="","",ROUND(main!CM102*100,6))</f>
        <v/>
      </c>
      <c r="CB99" s="68" t="str">
        <f>IF(main!CN102="","",ROUND(main!CN102*100,6))</f>
        <v/>
      </c>
      <c r="CC99" s="68" t="str">
        <f>IF(main!CO102="","",ROUND(main!CO102*100,6))</f>
        <v/>
      </c>
    </row>
    <row r="100" spans="1:81" x14ac:dyDescent="0.25">
      <c r="A100" s="65" t="s">
        <v>234</v>
      </c>
      <c r="B100" s="66" t="str">
        <f>main!C103</f>
        <v>Built-up Frame&amp;Slab</v>
      </c>
      <c r="C100" s="67">
        <f>main!O103</f>
        <v>100000</v>
      </c>
      <c r="D100" s="65" t="s">
        <v>110</v>
      </c>
      <c r="E100" s="68">
        <f t="shared" si="1"/>
        <v>100.00000199999999</v>
      </c>
      <c r="F100" s="68" t="str">
        <f>IF(main!R103="","",ROUND(main!R103*100,6))</f>
        <v/>
      </c>
      <c r="G100" s="68" t="str">
        <f>IF(main!S103="","",ROUND(main!S103*100,6))</f>
        <v/>
      </c>
      <c r="H100" s="68" t="str">
        <f>IF(main!T103="","",ROUND(main!T103*100,6))</f>
        <v/>
      </c>
      <c r="I100" s="68" t="str">
        <f>IF(main!U103="","",ROUND(main!U103*100,6))</f>
        <v/>
      </c>
      <c r="J100" s="68" t="str">
        <f>IF(main!V103="","",ROUND(main!V103*100,6))</f>
        <v/>
      </c>
      <c r="K100" s="68" t="str">
        <f>IF(main!W103="","",ROUND(main!W103*100,6))</f>
        <v/>
      </c>
      <c r="L100" s="68" t="str">
        <f>IF(main!X103="","",ROUND(main!X103*100,6))</f>
        <v/>
      </c>
      <c r="M100" s="68" t="str">
        <f>IF(main!Y103="","",ROUND(main!Y103*100,6))</f>
        <v/>
      </c>
      <c r="N100" s="68" t="str">
        <f>IF(main!Z103="","",ROUND(main!Z103*100,6))</f>
        <v/>
      </c>
      <c r="O100" s="68" t="str">
        <f>IF(main!AA103="","",ROUND(main!AA103*100,6))</f>
        <v/>
      </c>
      <c r="P100" s="68" t="str">
        <f>IF(main!AB103="","",ROUND(main!AB103*100,6))</f>
        <v/>
      </c>
      <c r="Q100" s="68" t="str">
        <f>IF(main!AC103="","",ROUND(main!AC103*100,6))</f>
        <v/>
      </c>
      <c r="R100" s="68" t="str">
        <f>IF(main!AD103="","",ROUND(main!AD103*100,6))</f>
        <v/>
      </c>
      <c r="S100" s="68" t="str">
        <f>IF(main!AE103="","",ROUND(main!AE103*100,6))</f>
        <v/>
      </c>
      <c r="T100" s="68" t="str">
        <f>IF(main!AF103="","",ROUND(main!AF103*100,6))</f>
        <v/>
      </c>
      <c r="U100" s="68" t="str">
        <f>IF(main!AG103="","",ROUND(main!AG103*100,6))</f>
        <v/>
      </c>
      <c r="V100" s="68" t="str">
        <f>IF(main!AH103="","",ROUND(main!AH103*100,6))</f>
        <v/>
      </c>
      <c r="W100" s="68" t="str">
        <f>IF(main!AI103="","",ROUND(main!AI103*100,6))</f>
        <v/>
      </c>
      <c r="X100" s="68" t="str">
        <f>IF(main!AJ103="","",ROUND(main!AJ103*100,6))</f>
        <v/>
      </c>
      <c r="Y100" s="68" t="str">
        <f>IF(main!AK103="","",ROUND(main!AK103*100,6))</f>
        <v/>
      </c>
      <c r="Z100" s="68" t="str">
        <f>IF(main!AL103="","",ROUND(main!AL103*100,6))</f>
        <v/>
      </c>
      <c r="AA100" s="68" t="str">
        <f>IF(main!AM103="","",ROUND(main!AM103*100,6))</f>
        <v/>
      </c>
      <c r="AB100" s="68" t="str">
        <f>IF(main!AN103="","",ROUND(main!AN103*100,6))</f>
        <v/>
      </c>
      <c r="AC100" s="68" t="str">
        <f>IF(main!AO103="","",ROUND(main!AO103*100,6))</f>
        <v/>
      </c>
      <c r="AD100" s="68" t="str">
        <f>IF(main!AP103="","",ROUND(main!AP103*100,6))</f>
        <v/>
      </c>
      <c r="AE100" s="68" t="str">
        <f>IF(main!AQ103="","",ROUND(main!AQ103*100,6))</f>
        <v/>
      </c>
      <c r="AF100" s="68" t="str">
        <f>IF(main!AR103="","",ROUND(main!AR103*100,6))</f>
        <v/>
      </c>
      <c r="AG100" s="68" t="str">
        <f>IF(main!AS103="","",ROUND(main!AS103*100,6))</f>
        <v/>
      </c>
      <c r="AH100" s="68" t="str">
        <f>IF(main!AT103="","",ROUND(main!AT103*100,6))</f>
        <v/>
      </c>
      <c r="AI100" s="68" t="str">
        <f>IF(main!AU103="","",ROUND(main!AU103*100,6))</f>
        <v/>
      </c>
      <c r="AJ100" s="68" t="str">
        <f>IF(main!AV103="","",ROUND(main!AV103*100,6))</f>
        <v/>
      </c>
      <c r="AK100" s="68" t="str">
        <f>IF(main!AW103="","",ROUND(main!AW103*100,6))</f>
        <v/>
      </c>
      <c r="AL100" s="68" t="str">
        <f>IF(main!AX103="","",ROUND(main!AX103*100,6))</f>
        <v/>
      </c>
      <c r="AM100" s="68" t="str">
        <f>IF(main!AY103="","",ROUND(main!AY103*100,6))</f>
        <v/>
      </c>
      <c r="AN100" s="68" t="str">
        <f>IF(main!AZ103="","",ROUND(main!AZ103*100,6))</f>
        <v/>
      </c>
      <c r="AO100" s="68" t="str">
        <f>IF(main!BA103="","",ROUND(main!BA103*100,6))</f>
        <v/>
      </c>
      <c r="AP100" s="68" t="str">
        <f>IF(main!BB103="","",ROUND(main!BB103*100,6))</f>
        <v/>
      </c>
      <c r="AQ100" s="68" t="str">
        <f>IF(main!BC103="","",ROUND(main!BC103*100,6))</f>
        <v/>
      </c>
      <c r="AR100" s="68" t="str">
        <f>IF(main!BD103="","",ROUND(main!BD103*100,6))</f>
        <v/>
      </c>
      <c r="AS100" s="68" t="str">
        <f>IF(main!BE103="","",ROUND(main!BE103*100,6))</f>
        <v/>
      </c>
      <c r="AT100" s="68">
        <f>IF(main!BF103="","",ROUND(main!BF103*100,6))</f>
        <v>0.55272100000000002</v>
      </c>
      <c r="AU100" s="68">
        <f>IF(main!BG103="","",ROUND(main!BG103*100,6))</f>
        <v>5.6979540000000002</v>
      </c>
      <c r="AV100" s="68">
        <f>IF(main!BH103="","",ROUND(main!BH103*100,6))</f>
        <v>12.326015</v>
      </c>
      <c r="AW100" s="68">
        <f>IF(main!BI103="","",ROUND(main!BI103*100,6))</f>
        <v>19.583258000000001</v>
      </c>
      <c r="AX100" s="68">
        <f>IF(main!BJ103="","",ROUND(main!BJ103*100,6))</f>
        <v>22.851026000000001</v>
      </c>
      <c r="AY100" s="68">
        <f>IF(main!BK103="","",ROUND(main!BK103*100,6))</f>
        <v>19.583258000000001</v>
      </c>
      <c r="AZ100" s="68">
        <f>IF(main!BL103="","",ROUND(main!BL103*100,6))</f>
        <v>12.326015</v>
      </c>
      <c r="BA100" s="68">
        <f>IF(main!BM103="","",ROUND(main!BM103*100,6))</f>
        <v>5.6979540000000002</v>
      </c>
      <c r="BB100" s="68">
        <f>IF(main!BN103="","",ROUND(main!BN103*100,6))</f>
        <v>1.3818010000000001</v>
      </c>
      <c r="BC100" s="68" t="str">
        <f>IF(main!BO103="","",ROUND(main!BO103*100,6))</f>
        <v/>
      </c>
      <c r="BD100" s="68" t="str">
        <f>IF(main!BP103="","",ROUND(main!BP103*100,6))</f>
        <v/>
      </c>
      <c r="BE100" s="68" t="str">
        <f>IF(main!BQ103="","",ROUND(main!BQ103*100,6))</f>
        <v/>
      </c>
      <c r="BF100" s="68" t="str">
        <f>IF(main!BR103="","",ROUND(main!BR103*100,6))</f>
        <v/>
      </c>
      <c r="BG100" s="68" t="str">
        <f>IF(main!BS103="","",ROUND(main!BS103*100,6))</f>
        <v/>
      </c>
      <c r="BH100" s="68" t="str">
        <f>IF(main!BT103="","",ROUND(main!BT103*100,6))</f>
        <v/>
      </c>
      <c r="BI100" s="68" t="str">
        <f>IF(main!BU103="","",ROUND(main!BU103*100,6))</f>
        <v/>
      </c>
      <c r="BJ100" s="68" t="str">
        <f>IF(main!BV103="","",ROUND(main!BV103*100,6))</f>
        <v/>
      </c>
      <c r="BK100" s="68" t="str">
        <f>IF(main!BW103="","",ROUND(main!BW103*100,6))</f>
        <v/>
      </c>
      <c r="BL100" s="68" t="str">
        <f>IF(main!BX103="","",ROUND(main!BX103*100,6))</f>
        <v/>
      </c>
      <c r="BM100" s="68" t="str">
        <f>IF(main!BY103="","",ROUND(main!BY103*100,6))</f>
        <v/>
      </c>
      <c r="BN100" s="68" t="str">
        <f>IF(main!BZ103="","",ROUND(main!BZ103*100,6))</f>
        <v/>
      </c>
      <c r="BO100" s="68" t="str">
        <f>IF(main!CA103="","",ROUND(main!CA103*100,6))</f>
        <v/>
      </c>
      <c r="BP100" s="68" t="str">
        <f>IF(main!CB103="","",ROUND(main!CB103*100,6))</f>
        <v/>
      </c>
      <c r="BQ100" s="68" t="str">
        <f>IF(main!CC103="","",ROUND(main!CC103*100,6))</f>
        <v/>
      </c>
      <c r="BR100" s="68" t="str">
        <f>IF(main!CD103="","",ROUND(main!CD103*100,6))</f>
        <v/>
      </c>
      <c r="BS100" s="68" t="str">
        <f>IF(main!CE103="","",ROUND(main!CE103*100,6))</f>
        <v/>
      </c>
      <c r="BT100" s="68" t="str">
        <f>IF(main!CF103="","",ROUND(main!CF103*100,6))</f>
        <v/>
      </c>
      <c r="BU100" s="68" t="str">
        <f>IF(main!CG103="","",ROUND(main!CG103*100,6))</f>
        <v/>
      </c>
      <c r="BV100" s="68" t="str">
        <f>IF(main!CH103="","",ROUND(main!CH103*100,6))</f>
        <v/>
      </c>
      <c r="BW100" s="68" t="str">
        <f>IF(main!CI103="","",ROUND(main!CI103*100,6))</f>
        <v/>
      </c>
      <c r="BX100" s="68" t="str">
        <f>IF(main!CJ103="","",ROUND(main!CJ103*100,6))</f>
        <v/>
      </c>
      <c r="BY100" s="68" t="str">
        <f>IF(main!CK103="","",ROUND(main!CK103*100,6))</f>
        <v/>
      </c>
      <c r="BZ100" s="68" t="str">
        <f>IF(main!CL103="","",ROUND(main!CL103*100,6))</f>
        <v/>
      </c>
      <c r="CA100" s="68" t="str">
        <f>IF(main!CM103="","",ROUND(main!CM103*100,6))</f>
        <v/>
      </c>
      <c r="CB100" s="68" t="str">
        <f>IF(main!CN103="","",ROUND(main!CN103*100,6))</f>
        <v/>
      </c>
      <c r="CC100" s="68" t="str">
        <f>IF(main!CO103="","",ROUND(main!CO103*100,6))</f>
        <v/>
      </c>
    </row>
    <row r="101" spans="1:81" x14ac:dyDescent="0.25">
      <c r="A101" s="65" t="s">
        <v>234</v>
      </c>
      <c r="B101" s="66" t="str">
        <f>main!C103</f>
        <v>Built-up Frame&amp;Slab</v>
      </c>
      <c r="C101" s="67">
        <f>main!O103</f>
        <v>100000</v>
      </c>
      <c r="D101" s="65" t="s">
        <v>111</v>
      </c>
      <c r="E101" s="68" t="str">
        <f t="shared" si="1"/>
        <v/>
      </c>
      <c r="F101" s="68" t="str">
        <f>IF(main!R104="","",ROUND(main!R104*100,6))</f>
        <v/>
      </c>
      <c r="G101" s="68" t="str">
        <f>IF(main!S104="","",ROUND(main!S104*100,6))</f>
        <v/>
      </c>
      <c r="H101" s="68" t="str">
        <f>IF(main!T104="","",ROUND(main!T104*100,6))</f>
        <v/>
      </c>
      <c r="I101" s="68" t="str">
        <f>IF(main!U104="","",ROUND(main!U104*100,6))</f>
        <v/>
      </c>
      <c r="J101" s="68" t="str">
        <f>IF(main!V104="","",ROUND(main!V104*100,6))</f>
        <v/>
      </c>
      <c r="K101" s="68" t="str">
        <f>IF(main!W104="","",ROUND(main!W104*100,6))</f>
        <v/>
      </c>
      <c r="L101" s="68" t="str">
        <f>IF(main!X104="","",ROUND(main!X104*100,6))</f>
        <v/>
      </c>
      <c r="M101" s="68" t="str">
        <f>IF(main!Y104="","",ROUND(main!Y104*100,6))</f>
        <v/>
      </c>
      <c r="N101" s="68" t="str">
        <f>IF(main!Z104="","",ROUND(main!Z104*100,6))</f>
        <v/>
      </c>
      <c r="O101" s="68" t="str">
        <f>IF(main!AA104="","",ROUND(main!AA104*100,6))</f>
        <v/>
      </c>
      <c r="P101" s="68" t="str">
        <f>IF(main!AB104="","",ROUND(main!AB104*100,6))</f>
        <v/>
      </c>
      <c r="Q101" s="68" t="str">
        <f>IF(main!AC104="","",ROUND(main!AC104*100,6))</f>
        <v/>
      </c>
      <c r="R101" s="68" t="str">
        <f>IF(main!AD104="","",ROUND(main!AD104*100,6))</f>
        <v/>
      </c>
      <c r="S101" s="68" t="str">
        <f>IF(main!AE104="","",ROUND(main!AE104*100,6))</f>
        <v/>
      </c>
      <c r="T101" s="68" t="str">
        <f>IF(main!AF104="","",ROUND(main!AF104*100,6))</f>
        <v/>
      </c>
      <c r="U101" s="68" t="str">
        <f>IF(main!AG104="","",ROUND(main!AG104*100,6))</f>
        <v/>
      </c>
      <c r="V101" s="68" t="str">
        <f>IF(main!AH104="","",ROUND(main!AH104*100,6))</f>
        <v/>
      </c>
      <c r="W101" s="68" t="str">
        <f>IF(main!AI104="","",ROUND(main!AI104*100,6))</f>
        <v/>
      </c>
      <c r="X101" s="68" t="str">
        <f>IF(main!AJ104="","",ROUND(main!AJ104*100,6))</f>
        <v/>
      </c>
      <c r="Y101" s="68" t="str">
        <f>IF(main!AK104="","",ROUND(main!AK104*100,6))</f>
        <v/>
      </c>
      <c r="Z101" s="68" t="str">
        <f>IF(main!AL104="","",ROUND(main!AL104*100,6))</f>
        <v/>
      </c>
      <c r="AA101" s="68" t="str">
        <f>IF(main!AM104="","",ROUND(main!AM104*100,6))</f>
        <v/>
      </c>
      <c r="AB101" s="68" t="str">
        <f>IF(main!AN104="","",ROUND(main!AN104*100,6))</f>
        <v/>
      </c>
      <c r="AC101" s="68" t="str">
        <f>IF(main!AO104="","",ROUND(main!AO104*100,6))</f>
        <v/>
      </c>
      <c r="AD101" s="68" t="str">
        <f>IF(main!AP104="","",ROUND(main!AP104*100,6))</f>
        <v/>
      </c>
      <c r="AE101" s="68" t="str">
        <f>IF(main!AQ104="","",ROUND(main!AQ104*100,6))</f>
        <v/>
      </c>
      <c r="AF101" s="68" t="str">
        <f>IF(main!AR104="","",ROUND(main!AR104*100,6))</f>
        <v/>
      </c>
      <c r="AG101" s="68" t="str">
        <f>IF(main!AS104="","",ROUND(main!AS104*100,6))</f>
        <v/>
      </c>
      <c r="AH101" s="68" t="str">
        <f>IF(main!AT104="","",ROUND(main!AT104*100,6))</f>
        <v/>
      </c>
      <c r="AI101" s="68" t="str">
        <f>IF(main!AU104="","",ROUND(main!AU104*100,6))</f>
        <v/>
      </c>
      <c r="AJ101" s="68" t="str">
        <f>IF(main!AV104="","",ROUND(main!AV104*100,6))</f>
        <v/>
      </c>
      <c r="AK101" s="68" t="str">
        <f>IF(main!AW104="","",ROUND(main!AW104*100,6))</f>
        <v/>
      </c>
      <c r="AL101" s="68" t="str">
        <f>IF(main!AX104="","",ROUND(main!AX104*100,6))</f>
        <v/>
      </c>
      <c r="AM101" s="68" t="str">
        <f>IF(main!AY104="","",ROUND(main!AY104*100,6))</f>
        <v/>
      </c>
      <c r="AN101" s="68" t="str">
        <f>IF(main!AZ104="","",ROUND(main!AZ104*100,6))</f>
        <v/>
      </c>
      <c r="AO101" s="68" t="str">
        <f>IF(main!BA104="","",ROUND(main!BA104*100,6))</f>
        <v/>
      </c>
      <c r="AP101" s="68" t="str">
        <f>IF(main!BB104="","",ROUND(main!BB104*100,6))</f>
        <v/>
      </c>
      <c r="AQ101" s="68" t="str">
        <f>IF(main!BC104="","",ROUND(main!BC104*100,6))</f>
        <v/>
      </c>
      <c r="AR101" s="68" t="str">
        <f>IF(main!BD104="","",ROUND(main!BD104*100,6))</f>
        <v/>
      </c>
      <c r="AS101" s="68" t="str">
        <f>IF(main!BE104="","",ROUND(main!BE104*100,6))</f>
        <v/>
      </c>
      <c r="AT101" s="68" t="str">
        <f>IF(main!BF104="","",ROUND(main!BF104*100,6))</f>
        <v/>
      </c>
      <c r="AU101" s="68" t="str">
        <f>IF(main!BG104="","",ROUND(main!BG104*100,6))</f>
        <v/>
      </c>
      <c r="AV101" s="68" t="str">
        <f>IF(main!BH104="","",ROUND(main!BH104*100,6))</f>
        <v/>
      </c>
      <c r="AW101" s="68" t="str">
        <f>IF(main!BI104="","",ROUND(main!BI104*100,6))</f>
        <v/>
      </c>
      <c r="AX101" s="68" t="str">
        <f>IF(main!BJ104="","",ROUND(main!BJ104*100,6))</f>
        <v/>
      </c>
      <c r="AY101" s="68" t="str">
        <f>IF(main!BK104="","",ROUND(main!BK104*100,6))</f>
        <v/>
      </c>
      <c r="AZ101" s="68" t="str">
        <f>IF(main!BL104="","",ROUND(main!BL104*100,6))</f>
        <v/>
      </c>
      <c r="BA101" s="68" t="str">
        <f>IF(main!BM104="","",ROUND(main!BM104*100,6))</f>
        <v/>
      </c>
      <c r="BB101" s="68" t="str">
        <f>IF(main!BN104="","",ROUND(main!BN104*100,6))</f>
        <v/>
      </c>
      <c r="BC101" s="68" t="str">
        <f>IF(main!BO104="","",ROUND(main!BO104*100,6))</f>
        <v/>
      </c>
      <c r="BD101" s="68" t="str">
        <f>IF(main!BP104="","",ROUND(main!BP104*100,6))</f>
        <v/>
      </c>
      <c r="BE101" s="68" t="str">
        <f>IF(main!BQ104="","",ROUND(main!BQ104*100,6))</f>
        <v/>
      </c>
      <c r="BF101" s="68" t="str">
        <f>IF(main!BR104="","",ROUND(main!BR104*100,6))</f>
        <v/>
      </c>
      <c r="BG101" s="68" t="str">
        <f>IF(main!BS104="","",ROUND(main!BS104*100,6))</f>
        <v/>
      </c>
      <c r="BH101" s="68" t="str">
        <f>IF(main!BT104="","",ROUND(main!BT104*100,6))</f>
        <v/>
      </c>
      <c r="BI101" s="68" t="str">
        <f>IF(main!BU104="","",ROUND(main!BU104*100,6))</f>
        <v/>
      </c>
      <c r="BJ101" s="68" t="str">
        <f>IF(main!BV104="","",ROUND(main!BV104*100,6))</f>
        <v/>
      </c>
      <c r="BK101" s="68" t="str">
        <f>IF(main!BW104="","",ROUND(main!BW104*100,6))</f>
        <v/>
      </c>
      <c r="BL101" s="68" t="str">
        <f>IF(main!BX104="","",ROUND(main!BX104*100,6))</f>
        <v/>
      </c>
      <c r="BM101" s="68" t="str">
        <f>IF(main!BY104="","",ROUND(main!BY104*100,6))</f>
        <v/>
      </c>
      <c r="BN101" s="68" t="str">
        <f>IF(main!BZ104="","",ROUND(main!BZ104*100,6))</f>
        <v/>
      </c>
      <c r="BO101" s="68" t="str">
        <f>IF(main!CA104="","",ROUND(main!CA104*100,6))</f>
        <v/>
      </c>
      <c r="BP101" s="68" t="str">
        <f>IF(main!CB104="","",ROUND(main!CB104*100,6))</f>
        <v/>
      </c>
      <c r="BQ101" s="68" t="str">
        <f>IF(main!CC104="","",ROUND(main!CC104*100,6))</f>
        <v/>
      </c>
      <c r="BR101" s="68" t="str">
        <f>IF(main!CD104="","",ROUND(main!CD104*100,6))</f>
        <v/>
      </c>
      <c r="BS101" s="68" t="str">
        <f>IF(main!CE104="","",ROUND(main!CE104*100,6))</f>
        <v/>
      </c>
      <c r="BT101" s="68" t="str">
        <f>IF(main!CF104="","",ROUND(main!CF104*100,6))</f>
        <v/>
      </c>
      <c r="BU101" s="68" t="str">
        <f>IF(main!CG104="","",ROUND(main!CG104*100,6))</f>
        <v/>
      </c>
      <c r="BV101" s="68" t="str">
        <f>IF(main!CH104="","",ROUND(main!CH104*100,6))</f>
        <v/>
      </c>
      <c r="BW101" s="68" t="str">
        <f>IF(main!CI104="","",ROUND(main!CI104*100,6))</f>
        <v/>
      </c>
      <c r="BX101" s="68" t="str">
        <f>IF(main!CJ104="","",ROUND(main!CJ104*100,6))</f>
        <v/>
      </c>
      <c r="BY101" s="68" t="str">
        <f>IF(main!CK104="","",ROUND(main!CK104*100,6))</f>
        <v/>
      </c>
      <c r="BZ101" s="68" t="str">
        <f>IF(main!CL104="","",ROUND(main!CL104*100,6))</f>
        <v/>
      </c>
      <c r="CA101" s="68" t="str">
        <f>IF(main!CM104="","",ROUND(main!CM104*100,6))</f>
        <v/>
      </c>
      <c r="CB101" s="68" t="str">
        <f>IF(main!CN104="","",ROUND(main!CN104*100,6))</f>
        <v/>
      </c>
      <c r="CC101" s="68" t="str">
        <f>IF(main!CO104="","",ROUND(main!CO104*100,6))</f>
        <v/>
      </c>
    </row>
    <row r="102" spans="1:81" x14ac:dyDescent="0.25">
      <c r="A102" s="65" t="s">
        <v>236</v>
      </c>
      <c r="B102" s="66" t="str">
        <f>main!C105</f>
        <v>Concrete Top</v>
      </c>
      <c r="C102" s="67">
        <f>main!O105</f>
        <v>100000</v>
      </c>
      <c r="D102" s="65" t="s">
        <v>110</v>
      </c>
      <c r="E102" s="68">
        <f t="shared" si="1"/>
        <v>100</v>
      </c>
      <c r="F102" s="68" t="str">
        <f>IF(main!R105="","",ROUND(main!R105*100,6))</f>
        <v/>
      </c>
      <c r="G102" s="68" t="str">
        <f>IF(main!S105="","",ROUND(main!S105*100,6))</f>
        <v/>
      </c>
      <c r="H102" s="68" t="str">
        <f>IF(main!T105="","",ROUND(main!T105*100,6))</f>
        <v/>
      </c>
      <c r="I102" s="68" t="str">
        <f>IF(main!U105="","",ROUND(main!U105*100,6))</f>
        <v/>
      </c>
      <c r="J102" s="68" t="str">
        <f>IF(main!V105="","",ROUND(main!V105*100,6))</f>
        <v/>
      </c>
      <c r="K102" s="68" t="str">
        <f>IF(main!W105="","",ROUND(main!W105*100,6))</f>
        <v/>
      </c>
      <c r="L102" s="68" t="str">
        <f>IF(main!X105="","",ROUND(main!X105*100,6))</f>
        <v/>
      </c>
      <c r="M102" s="68" t="str">
        <f>IF(main!Y105="","",ROUND(main!Y105*100,6))</f>
        <v/>
      </c>
      <c r="N102" s="68" t="str">
        <f>IF(main!Z105="","",ROUND(main!Z105*100,6))</f>
        <v/>
      </c>
      <c r="O102" s="68" t="str">
        <f>IF(main!AA105="","",ROUND(main!AA105*100,6))</f>
        <v/>
      </c>
      <c r="P102" s="68" t="str">
        <f>IF(main!AB105="","",ROUND(main!AB105*100,6))</f>
        <v/>
      </c>
      <c r="Q102" s="68" t="str">
        <f>IF(main!AC105="","",ROUND(main!AC105*100,6))</f>
        <v/>
      </c>
      <c r="R102" s="68" t="str">
        <f>IF(main!AD105="","",ROUND(main!AD105*100,6))</f>
        <v/>
      </c>
      <c r="S102" s="68" t="str">
        <f>IF(main!AE105="","",ROUND(main!AE105*100,6))</f>
        <v/>
      </c>
      <c r="T102" s="68" t="str">
        <f>IF(main!AF105="","",ROUND(main!AF105*100,6))</f>
        <v/>
      </c>
      <c r="U102" s="68" t="str">
        <f>IF(main!AG105="","",ROUND(main!AG105*100,6))</f>
        <v/>
      </c>
      <c r="V102" s="68" t="str">
        <f>IF(main!AH105="","",ROUND(main!AH105*100,6))</f>
        <v/>
      </c>
      <c r="W102" s="68" t="str">
        <f>IF(main!AI105="","",ROUND(main!AI105*100,6))</f>
        <v/>
      </c>
      <c r="X102" s="68" t="str">
        <f>IF(main!AJ105="","",ROUND(main!AJ105*100,6))</f>
        <v/>
      </c>
      <c r="Y102" s="68" t="str">
        <f>IF(main!AK105="","",ROUND(main!AK105*100,6))</f>
        <v/>
      </c>
      <c r="Z102" s="68" t="str">
        <f>IF(main!AL105="","",ROUND(main!AL105*100,6))</f>
        <v/>
      </c>
      <c r="AA102" s="68" t="str">
        <f>IF(main!AM105="","",ROUND(main!AM105*100,6))</f>
        <v/>
      </c>
      <c r="AB102" s="68" t="str">
        <f>IF(main!AN105="","",ROUND(main!AN105*100,6))</f>
        <v/>
      </c>
      <c r="AC102" s="68" t="str">
        <f>IF(main!AO105="","",ROUND(main!AO105*100,6))</f>
        <v/>
      </c>
      <c r="AD102" s="68" t="str">
        <f>IF(main!AP105="","",ROUND(main!AP105*100,6))</f>
        <v/>
      </c>
      <c r="AE102" s="68" t="str">
        <f>IF(main!AQ105="","",ROUND(main!AQ105*100,6))</f>
        <v/>
      </c>
      <c r="AF102" s="68" t="str">
        <f>IF(main!AR105="","",ROUND(main!AR105*100,6))</f>
        <v/>
      </c>
      <c r="AG102" s="68" t="str">
        <f>IF(main!AS105="","",ROUND(main!AS105*100,6))</f>
        <v/>
      </c>
      <c r="AH102" s="68" t="str">
        <f>IF(main!AT105="","",ROUND(main!AT105*100,6))</f>
        <v/>
      </c>
      <c r="AI102" s="68" t="str">
        <f>IF(main!AU105="","",ROUND(main!AU105*100,6))</f>
        <v/>
      </c>
      <c r="AJ102" s="68" t="str">
        <f>IF(main!AV105="","",ROUND(main!AV105*100,6))</f>
        <v/>
      </c>
      <c r="AK102" s="68" t="str">
        <f>IF(main!AW105="","",ROUND(main!AW105*100,6))</f>
        <v/>
      </c>
      <c r="AL102" s="68" t="str">
        <f>IF(main!AX105="","",ROUND(main!AX105*100,6))</f>
        <v/>
      </c>
      <c r="AM102" s="68" t="str">
        <f>IF(main!AY105="","",ROUND(main!AY105*100,6))</f>
        <v/>
      </c>
      <c r="AN102" s="68" t="str">
        <f>IF(main!AZ105="","",ROUND(main!AZ105*100,6))</f>
        <v/>
      </c>
      <c r="AO102" s="68" t="str">
        <f>IF(main!BA105="","",ROUND(main!BA105*100,6))</f>
        <v/>
      </c>
      <c r="AP102" s="68" t="str">
        <f>IF(main!BB105="","",ROUND(main!BB105*100,6))</f>
        <v/>
      </c>
      <c r="AQ102" s="68" t="str">
        <f>IF(main!BC105="","",ROUND(main!BC105*100,6))</f>
        <v/>
      </c>
      <c r="AR102" s="68" t="str">
        <f>IF(main!BD105="","",ROUND(main!BD105*100,6))</f>
        <v/>
      </c>
      <c r="AS102" s="68" t="str">
        <f>IF(main!BE105="","",ROUND(main!BE105*100,6))</f>
        <v/>
      </c>
      <c r="AT102" s="68" t="str">
        <f>IF(main!BF105="","",ROUND(main!BF105*100,6))</f>
        <v/>
      </c>
      <c r="AU102" s="68" t="str">
        <f>IF(main!BG105="","",ROUND(main!BG105*100,6))</f>
        <v/>
      </c>
      <c r="AV102" s="68" t="str">
        <f>IF(main!BH105="","",ROUND(main!BH105*100,6))</f>
        <v/>
      </c>
      <c r="AW102" s="68" t="str">
        <f>IF(main!BI105="","",ROUND(main!BI105*100,6))</f>
        <v/>
      </c>
      <c r="AX102" s="68" t="str">
        <f>IF(main!BJ105="","",ROUND(main!BJ105*100,6))</f>
        <v/>
      </c>
      <c r="AY102" s="68" t="str">
        <f>IF(main!BK105="","",ROUND(main!BK105*100,6))</f>
        <v/>
      </c>
      <c r="AZ102" s="68" t="str">
        <f>IF(main!BL105="","",ROUND(main!BL105*100,6))</f>
        <v/>
      </c>
      <c r="BA102" s="68" t="str">
        <f>IF(main!BM105="","",ROUND(main!BM105*100,6))</f>
        <v/>
      </c>
      <c r="BB102" s="68">
        <f>IF(main!BN105="","",ROUND(main!BN105*100,6))</f>
        <v>28.571428999999998</v>
      </c>
      <c r="BC102" s="68">
        <f>IF(main!BO105="","",ROUND(main!BO105*100,6))</f>
        <v>71.428571000000005</v>
      </c>
      <c r="BD102" s="68" t="str">
        <f>IF(main!BP105="","",ROUND(main!BP105*100,6))</f>
        <v/>
      </c>
      <c r="BE102" s="68" t="str">
        <f>IF(main!BQ105="","",ROUND(main!BQ105*100,6))</f>
        <v/>
      </c>
      <c r="BF102" s="68" t="str">
        <f>IF(main!BR105="","",ROUND(main!BR105*100,6))</f>
        <v/>
      </c>
      <c r="BG102" s="68" t="str">
        <f>IF(main!BS105="","",ROUND(main!BS105*100,6))</f>
        <v/>
      </c>
      <c r="BH102" s="68" t="str">
        <f>IF(main!BT105="","",ROUND(main!BT105*100,6))</f>
        <v/>
      </c>
      <c r="BI102" s="68" t="str">
        <f>IF(main!BU105="","",ROUND(main!BU105*100,6))</f>
        <v/>
      </c>
      <c r="BJ102" s="68" t="str">
        <f>IF(main!BV105="","",ROUND(main!BV105*100,6))</f>
        <v/>
      </c>
      <c r="BK102" s="68" t="str">
        <f>IF(main!BW105="","",ROUND(main!BW105*100,6))</f>
        <v/>
      </c>
      <c r="BL102" s="68" t="str">
        <f>IF(main!BX105="","",ROUND(main!BX105*100,6))</f>
        <v/>
      </c>
      <c r="BM102" s="68" t="str">
        <f>IF(main!BY105="","",ROUND(main!BY105*100,6))</f>
        <v/>
      </c>
      <c r="BN102" s="68" t="str">
        <f>IF(main!BZ105="","",ROUND(main!BZ105*100,6))</f>
        <v/>
      </c>
      <c r="BO102" s="68" t="str">
        <f>IF(main!CA105="","",ROUND(main!CA105*100,6))</f>
        <v/>
      </c>
      <c r="BP102" s="68" t="str">
        <f>IF(main!CB105="","",ROUND(main!CB105*100,6))</f>
        <v/>
      </c>
      <c r="BQ102" s="68" t="str">
        <f>IF(main!CC105="","",ROUND(main!CC105*100,6))</f>
        <v/>
      </c>
      <c r="BR102" s="68" t="str">
        <f>IF(main!CD105="","",ROUND(main!CD105*100,6))</f>
        <v/>
      </c>
      <c r="BS102" s="68" t="str">
        <f>IF(main!CE105="","",ROUND(main!CE105*100,6))</f>
        <v/>
      </c>
      <c r="BT102" s="68" t="str">
        <f>IF(main!CF105="","",ROUND(main!CF105*100,6))</f>
        <v/>
      </c>
      <c r="BU102" s="68" t="str">
        <f>IF(main!CG105="","",ROUND(main!CG105*100,6))</f>
        <v/>
      </c>
      <c r="BV102" s="68" t="str">
        <f>IF(main!CH105="","",ROUND(main!CH105*100,6))</f>
        <v/>
      </c>
      <c r="BW102" s="68" t="str">
        <f>IF(main!CI105="","",ROUND(main!CI105*100,6))</f>
        <v/>
      </c>
      <c r="BX102" s="68" t="str">
        <f>IF(main!CJ105="","",ROUND(main!CJ105*100,6))</f>
        <v/>
      </c>
      <c r="BY102" s="68" t="str">
        <f>IF(main!CK105="","",ROUND(main!CK105*100,6))</f>
        <v/>
      </c>
      <c r="BZ102" s="68" t="str">
        <f>IF(main!CL105="","",ROUND(main!CL105*100,6))</f>
        <v/>
      </c>
      <c r="CA102" s="68" t="str">
        <f>IF(main!CM105="","",ROUND(main!CM105*100,6))</f>
        <v/>
      </c>
      <c r="CB102" s="68" t="str">
        <f>IF(main!CN105="","",ROUND(main!CN105*100,6))</f>
        <v/>
      </c>
      <c r="CC102" s="68" t="str">
        <f>IF(main!CO105="","",ROUND(main!CO105*100,6))</f>
        <v/>
      </c>
    </row>
    <row r="103" spans="1:81" x14ac:dyDescent="0.25">
      <c r="A103" s="65" t="s">
        <v>236</v>
      </c>
      <c r="B103" s="66" t="str">
        <f>main!C105</f>
        <v>Concrete Top</v>
      </c>
      <c r="C103" s="67">
        <f>main!O105</f>
        <v>100000</v>
      </c>
      <c r="D103" s="65" t="s">
        <v>111</v>
      </c>
      <c r="E103" s="68" t="str">
        <f t="shared" si="1"/>
        <v/>
      </c>
      <c r="F103" s="68" t="str">
        <f>IF(main!R106="","",ROUND(main!R106*100,6))</f>
        <v/>
      </c>
      <c r="G103" s="68" t="str">
        <f>IF(main!S106="","",ROUND(main!S106*100,6))</f>
        <v/>
      </c>
      <c r="H103" s="68" t="str">
        <f>IF(main!T106="","",ROUND(main!T106*100,6))</f>
        <v/>
      </c>
      <c r="I103" s="68" t="str">
        <f>IF(main!U106="","",ROUND(main!U106*100,6))</f>
        <v/>
      </c>
      <c r="J103" s="68" t="str">
        <f>IF(main!V106="","",ROUND(main!V106*100,6))</f>
        <v/>
      </c>
      <c r="K103" s="68" t="str">
        <f>IF(main!W106="","",ROUND(main!W106*100,6))</f>
        <v/>
      </c>
      <c r="L103" s="68" t="str">
        <f>IF(main!X106="","",ROUND(main!X106*100,6))</f>
        <v/>
      </c>
      <c r="M103" s="68" t="str">
        <f>IF(main!Y106="","",ROUND(main!Y106*100,6))</f>
        <v/>
      </c>
      <c r="N103" s="68" t="str">
        <f>IF(main!Z106="","",ROUND(main!Z106*100,6))</f>
        <v/>
      </c>
      <c r="O103" s="68" t="str">
        <f>IF(main!AA106="","",ROUND(main!AA106*100,6))</f>
        <v/>
      </c>
      <c r="P103" s="68" t="str">
        <f>IF(main!AB106="","",ROUND(main!AB106*100,6))</f>
        <v/>
      </c>
      <c r="Q103" s="68" t="str">
        <f>IF(main!AC106="","",ROUND(main!AC106*100,6))</f>
        <v/>
      </c>
      <c r="R103" s="68" t="str">
        <f>IF(main!AD106="","",ROUND(main!AD106*100,6))</f>
        <v/>
      </c>
      <c r="S103" s="68" t="str">
        <f>IF(main!AE106="","",ROUND(main!AE106*100,6))</f>
        <v/>
      </c>
      <c r="T103" s="68" t="str">
        <f>IF(main!AF106="","",ROUND(main!AF106*100,6))</f>
        <v/>
      </c>
      <c r="U103" s="68" t="str">
        <f>IF(main!AG106="","",ROUND(main!AG106*100,6))</f>
        <v/>
      </c>
      <c r="V103" s="68" t="str">
        <f>IF(main!AH106="","",ROUND(main!AH106*100,6))</f>
        <v/>
      </c>
      <c r="W103" s="68" t="str">
        <f>IF(main!AI106="","",ROUND(main!AI106*100,6))</f>
        <v/>
      </c>
      <c r="X103" s="68" t="str">
        <f>IF(main!AJ106="","",ROUND(main!AJ106*100,6))</f>
        <v/>
      </c>
      <c r="Y103" s="68" t="str">
        <f>IF(main!AK106="","",ROUND(main!AK106*100,6))</f>
        <v/>
      </c>
      <c r="Z103" s="68" t="str">
        <f>IF(main!AL106="","",ROUND(main!AL106*100,6))</f>
        <v/>
      </c>
      <c r="AA103" s="68" t="str">
        <f>IF(main!AM106="","",ROUND(main!AM106*100,6))</f>
        <v/>
      </c>
      <c r="AB103" s="68" t="str">
        <f>IF(main!AN106="","",ROUND(main!AN106*100,6))</f>
        <v/>
      </c>
      <c r="AC103" s="68" t="str">
        <f>IF(main!AO106="","",ROUND(main!AO106*100,6))</f>
        <v/>
      </c>
      <c r="AD103" s="68" t="str">
        <f>IF(main!AP106="","",ROUND(main!AP106*100,6))</f>
        <v/>
      </c>
      <c r="AE103" s="68" t="str">
        <f>IF(main!AQ106="","",ROUND(main!AQ106*100,6))</f>
        <v/>
      </c>
      <c r="AF103" s="68" t="str">
        <f>IF(main!AR106="","",ROUND(main!AR106*100,6))</f>
        <v/>
      </c>
      <c r="AG103" s="68" t="str">
        <f>IF(main!AS106="","",ROUND(main!AS106*100,6))</f>
        <v/>
      </c>
      <c r="AH103" s="68" t="str">
        <f>IF(main!AT106="","",ROUND(main!AT106*100,6))</f>
        <v/>
      </c>
      <c r="AI103" s="68" t="str">
        <f>IF(main!AU106="","",ROUND(main!AU106*100,6))</f>
        <v/>
      </c>
      <c r="AJ103" s="68" t="str">
        <f>IF(main!AV106="","",ROUND(main!AV106*100,6))</f>
        <v/>
      </c>
      <c r="AK103" s="68" t="str">
        <f>IF(main!AW106="","",ROUND(main!AW106*100,6))</f>
        <v/>
      </c>
      <c r="AL103" s="68" t="str">
        <f>IF(main!AX106="","",ROUND(main!AX106*100,6))</f>
        <v/>
      </c>
      <c r="AM103" s="68" t="str">
        <f>IF(main!AY106="","",ROUND(main!AY106*100,6))</f>
        <v/>
      </c>
      <c r="AN103" s="68" t="str">
        <f>IF(main!AZ106="","",ROUND(main!AZ106*100,6))</f>
        <v/>
      </c>
      <c r="AO103" s="68" t="str">
        <f>IF(main!BA106="","",ROUND(main!BA106*100,6))</f>
        <v/>
      </c>
      <c r="AP103" s="68" t="str">
        <f>IF(main!BB106="","",ROUND(main!BB106*100,6))</f>
        <v/>
      </c>
      <c r="AQ103" s="68" t="str">
        <f>IF(main!BC106="","",ROUND(main!BC106*100,6))</f>
        <v/>
      </c>
      <c r="AR103" s="68" t="str">
        <f>IF(main!BD106="","",ROUND(main!BD106*100,6))</f>
        <v/>
      </c>
      <c r="AS103" s="68" t="str">
        <f>IF(main!BE106="","",ROUND(main!BE106*100,6))</f>
        <v/>
      </c>
      <c r="AT103" s="68" t="str">
        <f>IF(main!BF106="","",ROUND(main!BF106*100,6))</f>
        <v/>
      </c>
      <c r="AU103" s="68" t="str">
        <f>IF(main!BG106="","",ROUND(main!BG106*100,6))</f>
        <v/>
      </c>
      <c r="AV103" s="68" t="str">
        <f>IF(main!BH106="","",ROUND(main!BH106*100,6))</f>
        <v/>
      </c>
      <c r="AW103" s="68" t="str">
        <f>IF(main!BI106="","",ROUND(main!BI106*100,6))</f>
        <v/>
      </c>
      <c r="AX103" s="68" t="str">
        <f>IF(main!BJ106="","",ROUND(main!BJ106*100,6))</f>
        <v/>
      </c>
      <c r="AY103" s="68" t="str">
        <f>IF(main!BK106="","",ROUND(main!BK106*100,6))</f>
        <v/>
      </c>
      <c r="AZ103" s="68" t="str">
        <f>IF(main!BL106="","",ROUND(main!BL106*100,6))</f>
        <v/>
      </c>
      <c r="BA103" s="68" t="str">
        <f>IF(main!BM106="","",ROUND(main!BM106*100,6))</f>
        <v/>
      </c>
      <c r="BB103" s="68" t="str">
        <f>IF(main!BN106="","",ROUND(main!BN106*100,6))</f>
        <v/>
      </c>
      <c r="BC103" s="68" t="str">
        <f>IF(main!BO106="","",ROUND(main!BO106*100,6))</f>
        <v/>
      </c>
      <c r="BD103" s="68" t="str">
        <f>IF(main!BP106="","",ROUND(main!BP106*100,6))</f>
        <v/>
      </c>
      <c r="BE103" s="68" t="str">
        <f>IF(main!BQ106="","",ROUND(main!BQ106*100,6))</f>
        <v/>
      </c>
      <c r="BF103" s="68" t="str">
        <f>IF(main!BR106="","",ROUND(main!BR106*100,6))</f>
        <v/>
      </c>
      <c r="BG103" s="68" t="str">
        <f>IF(main!BS106="","",ROUND(main!BS106*100,6))</f>
        <v/>
      </c>
      <c r="BH103" s="68" t="str">
        <f>IF(main!BT106="","",ROUND(main!BT106*100,6))</f>
        <v/>
      </c>
      <c r="BI103" s="68" t="str">
        <f>IF(main!BU106="","",ROUND(main!BU106*100,6))</f>
        <v/>
      </c>
      <c r="BJ103" s="68" t="str">
        <f>IF(main!BV106="","",ROUND(main!BV106*100,6))</f>
        <v/>
      </c>
      <c r="BK103" s="68" t="str">
        <f>IF(main!BW106="","",ROUND(main!BW106*100,6))</f>
        <v/>
      </c>
      <c r="BL103" s="68" t="str">
        <f>IF(main!BX106="","",ROUND(main!BX106*100,6))</f>
        <v/>
      </c>
      <c r="BM103" s="68" t="str">
        <f>IF(main!BY106="","",ROUND(main!BY106*100,6))</f>
        <v/>
      </c>
      <c r="BN103" s="68" t="str">
        <f>IF(main!BZ106="","",ROUND(main!BZ106*100,6))</f>
        <v/>
      </c>
      <c r="BO103" s="68" t="str">
        <f>IF(main!CA106="","",ROUND(main!CA106*100,6))</f>
        <v/>
      </c>
      <c r="BP103" s="68" t="str">
        <f>IF(main!CB106="","",ROUND(main!CB106*100,6))</f>
        <v/>
      </c>
      <c r="BQ103" s="68" t="str">
        <f>IF(main!CC106="","",ROUND(main!CC106*100,6))</f>
        <v/>
      </c>
      <c r="BR103" s="68" t="str">
        <f>IF(main!CD106="","",ROUND(main!CD106*100,6))</f>
        <v/>
      </c>
      <c r="BS103" s="68" t="str">
        <f>IF(main!CE106="","",ROUND(main!CE106*100,6))</f>
        <v/>
      </c>
      <c r="BT103" s="68" t="str">
        <f>IF(main!CF106="","",ROUND(main!CF106*100,6))</f>
        <v/>
      </c>
      <c r="BU103" s="68" t="str">
        <f>IF(main!CG106="","",ROUND(main!CG106*100,6))</f>
        <v/>
      </c>
      <c r="BV103" s="68" t="str">
        <f>IF(main!CH106="","",ROUND(main!CH106*100,6))</f>
        <v/>
      </c>
      <c r="BW103" s="68" t="str">
        <f>IF(main!CI106="","",ROUND(main!CI106*100,6))</f>
        <v/>
      </c>
      <c r="BX103" s="68" t="str">
        <f>IF(main!CJ106="","",ROUND(main!CJ106*100,6))</f>
        <v/>
      </c>
      <c r="BY103" s="68" t="str">
        <f>IF(main!CK106="","",ROUND(main!CK106*100,6))</f>
        <v/>
      </c>
      <c r="BZ103" s="68" t="str">
        <f>IF(main!CL106="","",ROUND(main!CL106*100,6))</f>
        <v/>
      </c>
      <c r="CA103" s="68" t="str">
        <f>IF(main!CM106="","",ROUND(main!CM106*100,6))</f>
        <v/>
      </c>
      <c r="CB103" s="68" t="str">
        <f>IF(main!CN106="","",ROUND(main!CN106*100,6))</f>
        <v/>
      </c>
      <c r="CC103" s="68" t="str">
        <f>IF(main!CO106="","",ROUND(main!CO106*100,6))</f>
        <v/>
      </c>
    </row>
    <row r="104" spans="1:81" x14ac:dyDescent="0.25">
      <c r="A104" s="65" t="s">
        <v>238</v>
      </c>
      <c r="B104" s="66" t="str">
        <f>main!C107</f>
        <v>Workshop room</v>
      </c>
      <c r="C104" s="67">
        <f>main!O107</f>
        <v>300000</v>
      </c>
      <c r="D104" s="65" t="s">
        <v>110</v>
      </c>
      <c r="E104" s="68">
        <f t="shared" si="1"/>
        <v>100</v>
      </c>
      <c r="F104" s="68" t="str">
        <f>IF(main!R107="","",ROUND(main!R107*100,6))</f>
        <v/>
      </c>
      <c r="G104" s="68" t="str">
        <f>IF(main!S107="","",ROUND(main!S107*100,6))</f>
        <v/>
      </c>
      <c r="H104" s="68" t="str">
        <f>IF(main!T107="","",ROUND(main!T107*100,6))</f>
        <v/>
      </c>
      <c r="I104" s="68" t="str">
        <f>IF(main!U107="","",ROUND(main!U107*100,6))</f>
        <v/>
      </c>
      <c r="J104" s="68" t="str">
        <f>IF(main!V107="","",ROUND(main!V107*100,6))</f>
        <v/>
      </c>
      <c r="K104" s="68" t="str">
        <f>IF(main!W107="","",ROUND(main!W107*100,6))</f>
        <v/>
      </c>
      <c r="L104" s="68" t="str">
        <f>IF(main!X107="","",ROUND(main!X107*100,6))</f>
        <v/>
      </c>
      <c r="M104" s="68" t="str">
        <f>IF(main!Y107="","",ROUND(main!Y107*100,6))</f>
        <v/>
      </c>
      <c r="N104" s="68" t="str">
        <f>IF(main!Z107="","",ROUND(main!Z107*100,6))</f>
        <v/>
      </c>
      <c r="O104" s="68" t="str">
        <f>IF(main!AA107="","",ROUND(main!AA107*100,6))</f>
        <v/>
      </c>
      <c r="P104" s="68" t="str">
        <f>IF(main!AB107="","",ROUND(main!AB107*100,6))</f>
        <v/>
      </c>
      <c r="Q104" s="68" t="str">
        <f>IF(main!AC107="","",ROUND(main!AC107*100,6))</f>
        <v/>
      </c>
      <c r="R104" s="68" t="str">
        <f>IF(main!AD107="","",ROUND(main!AD107*100,6))</f>
        <v/>
      </c>
      <c r="S104" s="68" t="str">
        <f>IF(main!AE107="","",ROUND(main!AE107*100,6))</f>
        <v/>
      </c>
      <c r="T104" s="68" t="str">
        <f>IF(main!AF107="","",ROUND(main!AF107*100,6))</f>
        <v/>
      </c>
      <c r="U104" s="68" t="str">
        <f>IF(main!AG107="","",ROUND(main!AG107*100,6))</f>
        <v/>
      </c>
      <c r="V104" s="68" t="str">
        <f>IF(main!AH107="","",ROUND(main!AH107*100,6))</f>
        <v/>
      </c>
      <c r="W104" s="68" t="str">
        <f>IF(main!AI107="","",ROUND(main!AI107*100,6))</f>
        <v/>
      </c>
      <c r="X104" s="68" t="str">
        <f>IF(main!AJ107="","",ROUND(main!AJ107*100,6))</f>
        <v/>
      </c>
      <c r="Y104" s="68" t="str">
        <f>IF(main!AK107="","",ROUND(main!AK107*100,6))</f>
        <v/>
      </c>
      <c r="Z104" s="68" t="str">
        <f>IF(main!AL107="","",ROUND(main!AL107*100,6))</f>
        <v/>
      </c>
      <c r="AA104" s="68" t="str">
        <f>IF(main!AM107="","",ROUND(main!AM107*100,6))</f>
        <v/>
      </c>
      <c r="AB104" s="68" t="str">
        <f>IF(main!AN107="","",ROUND(main!AN107*100,6))</f>
        <v/>
      </c>
      <c r="AC104" s="68" t="str">
        <f>IF(main!AO107="","",ROUND(main!AO107*100,6))</f>
        <v/>
      </c>
      <c r="AD104" s="68" t="str">
        <f>IF(main!AP107="","",ROUND(main!AP107*100,6))</f>
        <v/>
      </c>
      <c r="AE104" s="68" t="str">
        <f>IF(main!AQ107="","",ROUND(main!AQ107*100,6))</f>
        <v/>
      </c>
      <c r="AF104" s="68" t="str">
        <f>IF(main!AR107="","",ROUND(main!AR107*100,6))</f>
        <v/>
      </c>
      <c r="AG104" s="68" t="str">
        <f>IF(main!AS107="","",ROUND(main!AS107*100,6))</f>
        <v/>
      </c>
      <c r="AH104" s="68" t="str">
        <f>IF(main!AT107="","",ROUND(main!AT107*100,6))</f>
        <v/>
      </c>
      <c r="AI104" s="68" t="str">
        <f>IF(main!AU107="","",ROUND(main!AU107*100,6))</f>
        <v/>
      </c>
      <c r="AJ104" s="68" t="str">
        <f>IF(main!AV107="","",ROUND(main!AV107*100,6))</f>
        <v/>
      </c>
      <c r="AK104" s="68" t="str">
        <f>IF(main!AW107="","",ROUND(main!AW107*100,6))</f>
        <v/>
      </c>
      <c r="AL104" s="68" t="str">
        <f>IF(main!AX107="","",ROUND(main!AX107*100,6))</f>
        <v/>
      </c>
      <c r="AM104" s="68" t="str">
        <f>IF(main!AY107="","",ROUND(main!AY107*100,6))</f>
        <v/>
      </c>
      <c r="AN104" s="68" t="str">
        <f>IF(main!AZ107="","",ROUND(main!AZ107*100,6))</f>
        <v/>
      </c>
      <c r="AO104" s="68" t="str">
        <f>IF(main!BA107="","",ROUND(main!BA107*100,6))</f>
        <v/>
      </c>
      <c r="AP104" s="68" t="str">
        <f>IF(main!BB107="","",ROUND(main!BB107*100,6))</f>
        <v/>
      </c>
      <c r="AQ104" s="68" t="str">
        <f>IF(main!BC107="","",ROUND(main!BC107*100,6))</f>
        <v/>
      </c>
      <c r="AR104" s="68" t="str">
        <f>IF(main!BD107="","",ROUND(main!BD107*100,6))</f>
        <v/>
      </c>
      <c r="AS104" s="68" t="str">
        <f>IF(main!BE107="","",ROUND(main!BE107*100,6))</f>
        <v/>
      </c>
      <c r="AT104" s="68" t="str">
        <f>IF(main!BF107="","",ROUND(main!BF107*100,6))</f>
        <v/>
      </c>
      <c r="AU104" s="68" t="str">
        <f>IF(main!BG107="","",ROUND(main!BG107*100,6))</f>
        <v/>
      </c>
      <c r="AV104" s="68" t="str">
        <f>IF(main!BH107="","",ROUND(main!BH107*100,6))</f>
        <v/>
      </c>
      <c r="AW104" s="68" t="str">
        <f>IF(main!BI107="","",ROUND(main!BI107*100,6))</f>
        <v/>
      </c>
      <c r="AX104" s="68" t="str">
        <f>IF(main!BJ107="","",ROUND(main!BJ107*100,6))</f>
        <v/>
      </c>
      <c r="AY104" s="68" t="str">
        <f>IF(main!BK107="","",ROUND(main!BK107*100,6))</f>
        <v/>
      </c>
      <c r="AZ104" s="68" t="str">
        <f>IF(main!BL107="","",ROUND(main!BL107*100,6))</f>
        <v/>
      </c>
      <c r="BA104" s="68" t="str">
        <f>IF(main!BM107="","",ROUND(main!BM107*100,6))</f>
        <v/>
      </c>
      <c r="BB104" s="68" t="str">
        <f>IF(main!BN107="","",ROUND(main!BN107*100,6))</f>
        <v/>
      </c>
      <c r="BC104" s="68">
        <f>IF(main!BO107="","",ROUND(main!BO107*100,6))</f>
        <v>9.5238099999999992</v>
      </c>
      <c r="BD104" s="68">
        <f>IF(main!BP107="","",ROUND(main!BP107*100,6))</f>
        <v>33.333333000000003</v>
      </c>
      <c r="BE104" s="68">
        <f>IF(main!BQ107="","",ROUND(main!BQ107*100,6))</f>
        <v>33.333333000000003</v>
      </c>
      <c r="BF104" s="68">
        <f>IF(main!BR107="","",ROUND(main!BR107*100,6))</f>
        <v>23.809524</v>
      </c>
      <c r="BG104" s="68" t="str">
        <f>IF(main!BS107="","",ROUND(main!BS107*100,6))</f>
        <v/>
      </c>
      <c r="BH104" s="68" t="str">
        <f>IF(main!BT107="","",ROUND(main!BT107*100,6))</f>
        <v/>
      </c>
      <c r="BI104" s="68" t="str">
        <f>IF(main!BU107="","",ROUND(main!BU107*100,6))</f>
        <v/>
      </c>
      <c r="BJ104" s="68" t="str">
        <f>IF(main!BV107="","",ROUND(main!BV107*100,6))</f>
        <v/>
      </c>
      <c r="BK104" s="68" t="str">
        <f>IF(main!BW107="","",ROUND(main!BW107*100,6))</f>
        <v/>
      </c>
      <c r="BL104" s="68" t="str">
        <f>IF(main!BX107="","",ROUND(main!BX107*100,6))</f>
        <v/>
      </c>
      <c r="BM104" s="68" t="str">
        <f>IF(main!BY107="","",ROUND(main!BY107*100,6))</f>
        <v/>
      </c>
      <c r="BN104" s="68" t="str">
        <f>IF(main!BZ107="","",ROUND(main!BZ107*100,6))</f>
        <v/>
      </c>
      <c r="BO104" s="68" t="str">
        <f>IF(main!CA107="","",ROUND(main!CA107*100,6))</f>
        <v/>
      </c>
      <c r="BP104" s="68" t="str">
        <f>IF(main!CB107="","",ROUND(main!CB107*100,6))</f>
        <v/>
      </c>
      <c r="BQ104" s="68" t="str">
        <f>IF(main!CC107="","",ROUND(main!CC107*100,6))</f>
        <v/>
      </c>
      <c r="BR104" s="68" t="str">
        <f>IF(main!CD107="","",ROUND(main!CD107*100,6))</f>
        <v/>
      </c>
      <c r="BS104" s="68" t="str">
        <f>IF(main!CE107="","",ROUND(main!CE107*100,6))</f>
        <v/>
      </c>
      <c r="BT104" s="68" t="str">
        <f>IF(main!CF107="","",ROUND(main!CF107*100,6))</f>
        <v/>
      </c>
      <c r="BU104" s="68" t="str">
        <f>IF(main!CG107="","",ROUND(main!CG107*100,6))</f>
        <v/>
      </c>
      <c r="BV104" s="68" t="str">
        <f>IF(main!CH107="","",ROUND(main!CH107*100,6))</f>
        <v/>
      </c>
      <c r="BW104" s="68" t="str">
        <f>IF(main!CI107="","",ROUND(main!CI107*100,6))</f>
        <v/>
      </c>
      <c r="BX104" s="68" t="str">
        <f>IF(main!CJ107="","",ROUND(main!CJ107*100,6))</f>
        <v/>
      </c>
      <c r="BY104" s="68" t="str">
        <f>IF(main!CK107="","",ROUND(main!CK107*100,6))</f>
        <v/>
      </c>
      <c r="BZ104" s="68" t="str">
        <f>IF(main!CL107="","",ROUND(main!CL107*100,6))</f>
        <v/>
      </c>
      <c r="CA104" s="68" t="str">
        <f>IF(main!CM107="","",ROUND(main!CM107*100,6))</f>
        <v/>
      </c>
      <c r="CB104" s="68" t="str">
        <f>IF(main!CN107="","",ROUND(main!CN107*100,6))</f>
        <v/>
      </c>
      <c r="CC104" s="68" t="str">
        <f>IF(main!CO107="","",ROUND(main!CO107*100,6))</f>
        <v/>
      </c>
    </row>
    <row r="105" spans="1:81" x14ac:dyDescent="0.25">
      <c r="A105" s="65" t="s">
        <v>238</v>
      </c>
      <c r="B105" s="66" t="str">
        <f>main!C107</f>
        <v>Workshop room</v>
      </c>
      <c r="C105" s="67">
        <f>main!O107</f>
        <v>300000</v>
      </c>
      <c r="D105" s="65" t="s">
        <v>111</v>
      </c>
      <c r="E105" s="68" t="str">
        <f t="shared" si="1"/>
        <v/>
      </c>
      <c r="F105" s="68" t="str">
        <f>IF(main!R108="","",ROUND(main!R108*100,6))</f>
        <v/>
      </c>
      <c r="G105" s="68" t="str">
        <f>IF(main!S108="","",ROUND(main!S108*100,6))</f>
        <v/>
      </c>
      <c r="H105" s="68" t="str">
        <f>IF(main!T108="","",ROUND(main!T108*100,6))</f>
        <v/>
      </c>
      <c r="I105" s="68" t="str">
        <f>IF(main!U108="","",ROUND(main!U108*100,6))</f>
        <v/>
      </c>
      <c r="J105" s="68" t="str">
        <f>IF(main!V108="","",ROUND(main!V108*100,6))</f>
        <v/>
      </c>
      <c r="K105" s="68" t="str">
        <f>IF(main!W108="","",ROUND(main!W108*100,6))</f>
        <v/>
      </c>
      <c r="L105" s="68" t="str">
        <f>IF(main!X108="","",ROUND(main!X108*100,6))</f>
        <v/>
      </c>
      <c r="M105" s="68" t="str">
        <f>IF(main!Y108="","",ROUND(main!Y108*100,6))</f>
        <v/>
      </c>
      <c r="N105" s="68" t="str">
        <f>IF(main!Z108="","",ROUND(main!Z108*100,6))</f>
        <v/>
      </c>
      <c r="O105" s="68" t="str">
        <f>IF(main!AA108="","",ROUND(main!AA108*100,6))</f>
        <v/>
      </c>
      <c r="P105" s="68" t="str">
        <f>IF(main!AB108="","",ROUND(main!AB108*100,6))</f>
        <v/>
      </c>
      <c r="Q105" s="68" t="str">
        <f>IF(main!AC108="","",ROUND(main!AC108*100,6))</f>
        <v/>
      </c>
      <c r="R105" s="68" t="str">
        <f>IF(main!AD108="","",ROUND(main!AD108*100,6))</f>
        <v/>
      </c>
      <c r="S105" s="68" t="str">
        <f>IF(main!AE108="","",ROUND(main!AE108*100,6))</f>
        <v/>
      </c>
      <c r="T105" s="68" t="str">
        <f>IF(main!AF108="","",ROUND(main!AF108*100,6))</f>
        <v/>
      </c>
      <c r="U105" s="68" t="str">
        <f>IF(main!AG108="","",ROUND(main!AG108*100,6))</f>
        <v/>
      </c>
      <c r="V105" s="68" t="str">
        <f>IF(main!AH108="","",ROUND(main!AH108*100,6))</f>
        <v/>
      </c>
      <c r="W105" s="68" t="str">
        <f>IF(main!AI108="","",ROUND(main!AI108*100,6))</f>
        <v/>
      </c>
      <c r="X105" s="68" t="str">
        <f>IF(main!AJ108="","",ROUND(main!AJ108*100,6))</f>
        <v/>
      </c>
      <c r="Y105" s="68" t="str">
        <f>IF(main!AK108="","",ROUND(main!AK108*100,6))</f>
        <v/>
      </c>
      <c r="Z105" s="68" t="str">
        <f>IF(main!AL108="","",ROUND(main!AL108*100,6))</f>
        <v/>
      </c>
      <c r="AA105" s="68" t="str">
        <f>IF(main!AM108="","",ROUND(main!AM108*100,6))</f>
        <v/>
      </c>
      <c r="AB105" s="68" t="str">
        <f>IF(main!AN108="","",ROUND(main!AN108*100,6))</f>
        <v/>
      </c>
      <c r="AC105" s="68" t="str">
        <f>IF(main!AO108="","",ROUND(main!AO108*100,6))</f>
        <v/>
      </c>
      <c r="AD105" s="68" t="str">
        <f>IF(main!AP108="","",ROUND(main!AP108*100,6))</f>
        <v/>
      </c>
      <c r="AE105" s="68" t="str">
        <f>IF(main!AQ108="","",ROUND(main!AQ108*100,6))</f>
        <v/>
      </c>
      <c r="AF105" s="68" t="str">
        <f>IF(main!AR108="","",ROUND(main!AR108*100,6))</f>
        <v/>
      </c>
      <c r="AG105" s="68" t="str">
        <f>IF(main!AS108="","",ROUND(main!AS108*100,6))</f>
        <v/>
      </c>
      <c r="AH105" s="68" t="str">
        <f>IF(main!AT108="","",ROUND(main!AT108*100,6))</f>
        <v/>
      </c>
      <c r="AI105" s="68" t="str">
        <f>IF(main!AU108="","",ROUND(main!AU108*100,6))</f>
        <v/>
      </c>
      <c r="AJ105" s="68" t="str">
        <f>IF(main!AV108="","",ROUND(main!AV108*100,6))</f>
        <v/>
      </c>
      <c r="AK105" s="68" t="str">
        <f>IF(main!AW108="","",ROUND(main!AW108*100,6))</f>
        <v/>
      </c>
      <c r="AL105" s="68" t="str">
        <f>IF(main!AX108="","",ROUND(main!AX108*100,6))</f>
        <v/>
      </c>
      <c r="AM105" s="68" t="str">
        <f>IF(main!AY108="","",ROUND(main!AY108*100,6))</f>
        <v/>
      </c>
      <c r="AN105" s="68" t="str">
        <f>IF(main!AZ108="","",ROUND(main!AZ108*100,6))</f>
        <v/>
      </c>
      <c r="AO105" s="68" t="str">
        <f>IF(main!BA108="","",ROUND(main!BA108*100,6))</f>
        <v/>
      </c>
      <c r="AP105" s="68" t="str">
        <f>IF(main!BB108="","",ROUND(main!BB108*100,6))</f>
        <v/>
      </c>
      <c r="AQ105" s="68" t="str">
        <f>IF(main!BC108="","",ROUND(main!BC108*100,6))</f>
        <v/>
      </c>
      <c r="AR105" s="68" t="str">
        <f>IF(main!BD108="","",ROUND(main!BD108*100,6))</f>
        <v/>
      </c>
      <c r="AS105" s="68" t="str">
        <f>IF(main!BE108="","",ROUND(main!BE108*100,6))</f>
        <v/>
      </c>
      <c r="AT105" s="68" t="str">
        <f>IF(main!BF108="","",ROUND(main!BF108*100,6))</f>
        <v/>
      </c>
      <c r="AU105" s="68" t="str">
        <f>IF(main!BG108="","",ROUND(main!BG108*100,6))</f>
        <v/>
      </c>
      <c r="AV105" s="68" t="str">
        <f>IF(main!BH108="","",ROUND(main!BH108*100,6))</f>
        <v/>
      </c>
      <c r="AW105" s="68" t="str">
        <f>IF(main!BI108="","",ROUND(main!BI108*100,6))</f>
        <v/>
      </c>
      <c r="AX105" s="68" t="str">
        <f>IF(main!BJ108="","",ROUND(main!BJ108*100,6))</f>
        <v/>
      </c>
      <c r="AY105" s="68" t="str">
        <f>IF(main!BK108="","",ROUND(main!BK108*100,6))</f>
        <v/>
      </c>
      <c r="AZ105" s="68" t="str">
        <f>IF(main!BL108="","",ROUND(main!BL108*100,6))</f>
        <v/>
      </c>
      <c r="BA105" s="68" t="str">
        <f>IF(main!BM108="","",ROUND(main!BM108*100,6))</f>
        <v/>
      </c>
      <c r="BB105" s="68" t="str">
        <f>IF(main!BN108="","",ROUND(main!BN108*100,6))</f>
        <v/>
      </c>
      <c r="BC105" s="68" t="str">
        <f>IF(main!BO108="","",ROUND(main!BO108*100,6))</f>
        <v/>
      </c>
      <c r="BD105" s="68" t="str">
        <f>IF(main!BP108="","",ROUND(main!BP108*100,6))</f>
        <v/>
      </c>
      <c r="BE105" s="68" t="str">
        <f>IF(main!BQ108="","",ROUND(main!BQ108*100,6))</f>
        <v/>
      </c>
      <c r="BF105" s="68" t="str">
        <f>IF(main!BR108="","",ROUND(main!BR108*100,6))</f>
        <v/>
      </c>
      <c r="BG105" s="68" t="str">
        <f>IF(main!BS108="","",ROUND(main!BS108*100,6))</f>
        <v/>
      </c>
      <c r="BH105" s="68" t="str">
        <f>IF(main!BT108="","",ROUND(main!BT108*100,6))</f>
        <v/>
      </c>
      <c r="BI105" s="68" t="str">
        <f>IF(main!BU108="","",ROUND(main!BU108*100,6))</f>
        <v/>
      </c>
      <c r="BJ105" s="68" t="str">
        <f>IF(main!BV108="","",ROUND(main!BV108*100,6))</f>
        <v/>
      </c>
      <c r="BK105" s="68" t="str">
        <f>IF(main!BW108="","",ROUND(main!BW108*100,6))</f>
        <v/>
      </c>
      <c r="BL105" s="68" t="str">
        <f>IF(main!BX108="","",ROUND(main!BX108*100,6))</f>
        <v/>
      </c>
      <c r="BM105" s="68" t="str">
        <f>IF(main!BY108="","",ROUND(main!BY108*100,6))</f>
        <v/>
      </c>
      <c r="BN105" s="68" t="str">
        <f>IF(main!BZ108="","",ROUND(main!BZ108*100,6))</f>
        <v/>
      </c>
      <c r="BO105" s="68" t="str">
        <f>IF(main!CA108="","",ROUND(main!CA108*100,6))</f>
        <v/>
      </c>
      <c r="BP105" s="68" t="str">
        <f>IF(main!CB108="","",ROUND(main!CB108*100,6))</f>
        <v/>
      </c>
      <c r="BQ105" s="68" t="str">
        <f>IF(main!CC108="","",ROUND(main!CC108*100,6))</f>
        <v/>
      </c>
      <c r="BR105" s="68" t="str">
        <f>IF(main!CD108="","",ROUND(main!CD108*100,6))</f>
        <v/>
      </c>
      <c r="BS105" s="68" t="str">
        <f>IF(main!CE108="","",ROUND(main!CE108*100,6))</f>
        <v/>
      </c>
      <c r="BT105" s="68" t="str">
        <f>IF(main!CF108="","",ROUND(main!CF108*100,6))</f>
        <v/>
      </c>
      <c r="BU105" s="68" t="str">
        <f>IF(main!CG108="","",ROUND(main!CG108*100,6))</f>
        <v/>
      </c>
      <c r="BV105" s="68" t="str">
        <f>IF(main!CH108="","",ROUND(main!CH108*100,6))</f>
        <v/>
      </c>
      <c r="BW105" s="68" t="str">
        <f>IF(main!CI108="","",ROUND(main!CI108*100,6))</f>
        <v/>
      </c>
      <c r="BX105" s="68" t="str">
        <f>IF(main!CJ108="","",ROUND(main!CJ108*100,6))</f>
        <v/>
      </c>
      <c r="BY105" s="68" t="str">
        <f>IF(main!CK108="","",ROUND(main!CK108*100,6))</f>
        <v/>
      </c>
      <c r="BZ105" s="68" t="str">
        <f>IF(main!CL108="","",ROUND(main!CL108*100,6))</f>
        <v/>
      </c>
      <c r="CA105" s="68" t="str">
        <f>IF(main!CM108="","",ROUND(main!CM108*100,6))</f>
        <v/>
      </c>
      <c r="CB105" s="68" t="str">
        <f>IF(main!CN108="","",ROUND(main!CN108*100,6))</f>
        <v/>
      </c>
      <c r="CC105" s="68" t="str">
        <f>IF(main!CO108="","",ROUND(main!CO108*100,6))</f>
        <v/>
      </c>
    </row>
    <row r="106" spans="1:81" x14ac:dyDescent="0.25">
      <c r="A106" s="65" t="s">
        <v>240</v>
      </c>
      <c r="B106" s="66" t="str">
        <f>main!C109</f>
        <v>Support Installation</v>
      </c>
      <c r="C106" s="67">
        <f>main!O109</f>
        <v>100000</v>
      </c>
      <c r="D106" s="65" t="s">
        <v>110</v>
      </c>
      <c r="E106" s="68">
        <f t="shared" si="1"/>
        <v>100</v>
      </c>
      <c r="F106" s="68" t="str">
        <f>IF(main!R109="","",ROUND(main!R109*100,6))</f>
        <v/>
      </c>
      <c r="G106" s="68" t="str">
        <f>IF(main!S109="","",ROUND(main!S109*100,6))</f>
        <v/>
      </c>
      <c r="H106" s="68" t="str">
        <f>IF(main!T109="","",ROUND(main!T109*100,6))</f>
        <v/>
      </c>
      <c r="I106" s="68" t="str">
        <f>IF(main!U109="","",ROUND(main!U109*100,6))</f>
        <v/>
      </c>
      <c r="J106" s="68" t="str">
        <f>IF(main!V109="","",ROUND(main!V109*100,6))</f>
        <v/>
      </c>
      <c r="K106" s="68" t="str">
        <f>IF(main!W109="","",ROUND(main!W109*100,6))</f>
        <v/>
      </c>
      <c r="L106" s="68" t="str">
        <f>IF(main!X109="","",ROUND(main!X109*100,6))</f>
        <v/>
      </c>
      <c r="M106" s="68" t="str">
        <f>IF(main!Y109="","",ROUND(main!Y109*100,6))</f>
        <v/>
      </c>
      <c r="N106" s="68" t="str">
        <f>IF(main!Z109="","",ROUND(main!Z109*100,6))</f>
        <v/>
      </c>
      <c r="O106" s="68" t="str">
        <f>IF(main!AA109="","",ROUND(main!AA109*100,6))</f>
        <v/>
      </c>
      <c r="P106" s="68" t="str">
        <f>IF(main!AB109="","",ROUND(main!AB109*100,6))</f>
        <v/>
      </c>
      <c r="Q106" s="68" t="str">
        <f>IF(main!AC109="","",ROUND(main!AC109*100,6))</f>
        <v/>
      </c>
      <c r="R106" s="68" t="str">
        <f>IF(main!AD109="","",ROUND(main!AD109*100,6))</f>
        <v/>
      </c>
      <c r="S106" s="68" t="str">
        <f>IF(main!AE109="","",ROUND(main!AE109*100,6))</f>
        <v/>
      </c>
      <c r="T106" s="68" t="str">
        <f>IF(main!AF109="","",ROUND(main!AF109*100,6))</f>
        <v/>
      </c>
      <c r="U106" s="68" t="str">
        <f>IF(main!AG109="","",ROUND(main!AG109*100,6))</f>
        <v/>
      </c>
      <c r="V106" s="68" t="str">
        <f>IF(main!AH109="","",ROUND(main!AH109*100,6))</f>
        <v/>
      </c>
      <c r="W106" s="68" t="str">
        <f>IF(main!AI109="","",ROUND(main!AI109*100,6))</f>
        <v/>
      </c>
      <c r="X106" s="68" t="str">
        <f>IF(main!AJ109="","",ROUND(main!AJ109*100,6))</f>
        <v/>
      </c>
      <c r="Y106" s="68" t="str">
        <f>IF(main!AK109="","",ROUND(main!AK109*100,6))</f>
        <v/>
      </c>
      <c r="Z106" s="68" t="str">
        <f>IF(main!AL109="","",ROUND(main!AL109*100,6))</f>
        <v/>
      </c>
      <c r="AA106" s="68" t="str">
        <f>IF(main!AM109="","",ROUND(main!AM109*100,6))</f>
        <v/>
      </c>
      <c r="AB106" s="68" t="str">
        <f>IF(main!AN109="","",ROUND(main!AN109*100,6))</f>
        <v/>
      </c>
      <c r="AC106" s="68" t="str">
        <f>IF(main!AO109="","",ROUND(main!AO109*100,6))</f>
        <v/>
      </c>
      <c r="AD106" s="68" t="str">
        <f>IF(main!AP109="","",ROUND(main!AP109*100,6))</f>
        <v/>
      </c>
      <c r="AE106" s="68" t="str">
        <f>IF(main!AQ109="","",ROUND(main!AQ109*100,6))</f>
        <v/>
      </c>
      <c r="AF106" s="68" t="str">
        <f>IF(main!AR109="","",ROUND(main!AR109*100,6))</f>
        <v/>
      </c>
      <c r="AG106" s="68" t="str">
        <f>IF(main!AS109="","",ROUND(main!AS109*100,6))</f>
        <v/>
      </c>
      <c r="AH106" s="68" t="str">
        <f>IF(main!AT109="","",ROUND(main!AT109*100,6))</f>
        <v/>
      </c>
      <c r="AI106" s="68" t="str">
        <f>IF(main!AU109="","",ROUND(main!AU109*100,6))</f>
        <v/>
      </c>
      <c r="AJ106" s="68" t="str">
        <f>IF(main!AV109="","",ROUND(main!AV109*100,6))</f>
        <v/>
      </c>
      <c r="AK106" s="68" t="str">
        <f>IF(main!AW109="","",ROUND(main!AW109*100,6))</f>
        <v/>
      </c>
      <c r="AL106" s="68" t="str">
        <f>IF(main!AX109="","",ROUND(main!AX109*100,6))</f>
        <v/>
      </c>
      <c r="AM106" s="68" t="str">
        <f>IF(main!AY109="","",ROUND(main!AY109*100,6))</f>
        <v/>
      </c>
      <c r="AN106" s="68" t="str">
        <f>IF(main!AZ109="","",ROUND(main!AZ109*100,6))</f>
        <v/>
      </c>
      <c r="AO106" s="68" t="str">
        <f>IF(main!BA109="","",ROUND(main!BA109*100,6))</f>
        <v/>
      </c>
      <c r="AP106" s="68" t="str">
        <f>IF(main!BB109="","",ROUND(main!BB109*100,6))</f>
        <v/>
      </c>
      <c r="AQ106" s="68" t="str">
        <f>IF(main!BC109="","",ROUND(main!BC109*100,6))</f>
        <v/>
      </c>
      <c r="AR106" s="68" t="str">
        <f>IF(main!BD109="","",ROUND(main!BD109*100,6))</f>
        <v/>
      </c>
      <c r="AS106" s="68" t="str">
        <f>IF(main!BE109="","",ROUND(main!BE109*100,6))</f>
        <v/>
      </c>
      <c r="AT106" s="68" t="str">
        <f>IF(main!BF109="","",ROUND(main!BF109*100,6))</f>
        <v/>
      </c>
      <c r="AU106" s="68" t="str">
        <f>IF(main!BG109="","",ROUND(main!BG109*100,6))</f>
        <v/>
      </c>
      <c r="AV106" s="68" t="str">
        <f>IF(main!BH109="","",ROUND(main!BH109*100,6))</f>
        <v/>
      </c>
      <c r="AW106" s="68" t="str">
        <f>IF(main!BI109="","",ROUND(main!BI109*100,6))</f>
        <v/>
      </c>
      <c r="AX106" s="68" t="str">
        <f>IF(main!BJ109="","",ROUND(main!BJ109*100,6))</f>
        <v/>
      </c>
      <c r="AY106" s="68" t="str">
        <f>IF(main!BK109="","",ROUND(main!BK109*100,6))</f>
        <v/>
      </c>
      <c r="AZ106" s="68" t="str">
        <f>IF(main!BL109="","",ROUND(main!BL109*100,6))</f>
        <v/>
      </c>
      <c r="BA106" s="68" t="str">
        <f>IF(main!BM109="","",ROUND(main!BM109*100,6))</f>
        <v/>
      </c>
      <c r="BB106" s="68" t="str">
        <f>IF(main!BN109="","",ROUND(main!BN109*100,6))</f>
        <v/>
      </c>
      <c r="BC106" s="68">
        <f>IF(main!BO109="","",ROUND(main!BO109*100,6))</f>
        <v>28.571428999999998</v>
      </c>
      <c r="BD106" s="68">
        <f>IF(main!BP109="","",ROUND(main!BP109*100,6))</f>
        <v>71.428571000000005</v>
      </c>
      <c r="BE106" s="68" t="str">
        <f>IF(main!BQ109="","",ROUND(main!BQ109*100,6))</f>
        <v/>
      </c>
      <c r="BF106" s="68" t="str">
        <f>IF(main!BR109="","",ROUND(main!BR109*100,6))</f>
        <v/>
      </c>
      <c r="BG106" s="68" t="str">
        <f>IF(main!BS109="","",ROUND(main!BS109*100,6))</f>
        <v/>
      </c>
      <c r="BH106" s="68" t="str">
        <f>IF(main!BT109="","",ROUND(main!BT109*100,6))</f>
        <v/>
      </c>
      <c r="BI106" s="68" t="str">
        <f>IF(main!BU109="","",ROUND(main!BU109*100,6))</f>
        <v/>
      </c>
      <c r="BJ106" s="68" t="str">
        <f>IF(main!BV109="","",ROUND(main!BV109*100,6))</f>
        <v/>
      </c>
      <c r="BK106" s="68" t="str">
        <f>IF(main!BW109="","",ROUND(main!BW109*100,6))</f>
        <v/>
      </c>
      <c r="BL106" s="68" t="str">
        <f>IF(main!BX109="","",ROUND(main!BX109*100,6))</f>
        <v/>
      </c>
      <c r="BM106" s="68" t="str">
        <f>IF(main!BY109="","",ROUND(main!BY109*100,6))</f>
        <v/>
      </c>
      <c r="BN106" s="68" t="str">
        <f>IF(main!BZ109="","",ROUND(main!BZ109*100,6))</f>
        <v/>
      </c>
      <c r="BO106" s="68" t="str">
        <f>IF(main!CA109="","",ROUND(main!CA109*100,6))</f>
        <v/>
      </c>
      <c r="BP106" s="68" t="str">
        <f>IF(main!CB109="","",ROUND(main!CB109*100,6))</f>
        <v/>
      </c>
      <c r="BQ106" s="68" t="str">
        <f>IF(main!CC109="","",ROUND(main!CC109*100,6))</f>
        <v/>
      </c>
      <c r="BR106" s="68" t="str">
        <f>IF(main!CD109="","",ROUND(main!CD109*100,6))</f>
        <v/>
      </c>
      <c r="BS106" s="68" t="str">
        <f>IF(main!CE109="","",ROUND(main!CE109*100,6))</f>
        <v/>
      </c>
      <c r="BT106" s="68" t="str">
        <f>IF(main!CF109="","",ROUND(main!CF109*100,6))</f>
        <v/>
      </c>
      <c r="BU106" s="68" t="str">
        <f>IF(main!CG109="","",ROUND(main!CG109*100,6))</f>
        <v/>
      </c>
      <c r="BV106" s="68" t="str">
        <f>IF(main!CH109="","",ROUND(main!CH109*100,6))</f>
        <v/>
      </c>
      <c r="BW106" s="68" t="str">
        <f>IF(main!CI109="","",ROUND(main!CI109*100,6))</f>
        <v/>
      </c>
      <c r="BX106" s="68" t="str">
        <f>IF(main!CJ109="","",ROUND(main!CJ109*100,6))</f>
        <v/>
      </c>
      <c r="BY106" s="68" t="str">
        <f>IF(main!CK109="","",ROUND(main!CK109*100,6))</f>
        <v/>
      </c>
      <c r="BZ106" s="68" t="str">
        <f>IF(main!CL109="","",ROUND(main!CL109*100,6))</f>
        <v/>
      </c>
      <c r="CA106" s="68" t="str">
        <f>IF(main!CM109="","",ROUND(main!CM109*100,6))</f>
        <v/>
      </c>
      <c r="CB106" s="68" t="str">
        <f>IF(main!CN109="","",ROUND(main!CN109*100,6))</f>
        <v/>
      </c>
      <c r="CC106" s="68" t="str">
        <f>IF(main!CO109="","",ROUND(main!CO109*100,6))</f>
        <v/>
      </c>
    </row>
    <row r="107" spans="1:81" x14ac:dyDescent="0.25">
      <c r="A107" s="65" t="s">
        <v>240</v>
      </c>
      <c r="B107" s="66" t="str">
        <f>main!C109</f>
        <v>Support Installation</v>
      </c>
      <c r="C107" s="67">
        <f>main!O109</f>
        <v>100000</v>
      </c>
      <c r="D107" s="65" t="s">
        <v>111</v>
      </c>
      <c r="E107" s="68" t="str">
        <f t="shared" si="1"/>
        <v/>
      </c>
      <c r="F107" s="68" t="str">
        <f>IF(main!R110="","",ROUND(main!R110*100,6))</f>
        <v/>
      </c>
      <c r="G107" s="68" t="str">
        <f>IF(main!S110="","",ROUND(main!S110*100,6))</f>
        <v/>
      </c>
      <c r="H107" s="68" t="str">
        <f>IF(main!T110="","",ROUND(main!T110*100,6))</f>
        <v/>
      </c>
      <c r="I107" s="68" t="str">
        <f>IF(main!U110="","",ROUND(main!U110*100,6))</f>
        <v/>
      </c>
      <c r="J107" s="68" t="str">
        <f>IF(main!V110="","",ROUND(main!V110*100,6))</f>
        <v/>
      </c>
      <c r="K107" s="68" t="str">
        <f>IF(main!W110="","",ROUND(main!W110*100,6))</f>
        <v/>
      </c>
      <c r="L107" s="68" t="str">
        <f>IF(main!X110="","",ROUND(main!X110*100,6))</f>
        <v/>
      </c>
      <c r="M107" s="68" t="str">
        <f>IF(main!Y110="","",ROUND(main!Y110*100,6))</f>
        <v/>
      </c>
      <c r="N107" s="68" t="str">
        <f>IF(main!Z110="","",ROUND(main!Z110*100,6))</f>
        <v/>
      </c>
      <c r="O107" s="68" t="str">
        <f>IF(main!AA110="","",ROUND(main!AA110*100,6))</f>
        <v/>
      </c>
      <c r="P107" s="68" t="str">
        <f>IF(main!AB110="","",ROUND(main!AB110*100,6))</f>
        <v/>
      </c>
      <c r="Q107" s="68" t="str">
        <f>IF(main!AC110="","",ROUND(main!AC110*100,6))</f>
        <v/>
      </c>
      <c r="R107" s="68" t="str">
        <f>IF(main!AD110="","",ROUND(main!AD110*100,6))</f>
        <v/>
      </c>
      <c r="S107" s="68" t="str">
        <f>IF(main!AE110="","",ROUND(main!AE110*100,6))</f>
        <v/>
      </c>
      <c r="T107" s="68" t="str">
        <f>IF(main!AF110="","",ROUND(main!AF110*100,6))</f>
        <v/>
      </c>
      <c r="U107" s="68" t="str">
        <f>IF(main!AG110="","",ROUND(main!AG110*100,6))</f>
        <v/>
      </c>
      <c r="V107" s="68" t="str">
        <f>IF(main!AH110="","",ROUND(main!AH110*100,6))</f>
        <v/>
      </c>
      <c r="W107" s="68" t="str">
        <f>IF(main!AI110="","",ROUND(main!AI110*100,6))</f>
        <v/>
      </c>
      <c r="X107" s="68" t="str">
        <f>IF(main!AJ110="","",ROUND(main!AJ110*100,6))</f>
        <v/>
      </c>
      <c r="Y107" s="68" t="str">
        <f>IF(main!AK110="","",ROUND(main!AK110*100,6))</f>
        <v/>
      </c>
      <c r="Z107" s="68" t="str">
        <f>IF(main!AL110="","",ROUND(main!AL110*100,6))</f>
        <v/>
      </c>
      <c r="AA107" s="68" t="str">
        <f>IF(main!AM110="","",ROUND(main!AM110*100,6))</f>
        <v/>
      </c>
      <c r="AB107" s="68" t="str">
        <f>IF(main!AN110="","",ROUND(main!AN110*100,6))</f>
        <v/>
      </c>
      <c r="AC107" s="68" t="str">
        <f>IF(main!AO110="","",ROUND(main!AO110*100,6))</f>
        <v/>
      </c>
      <c r="AD107" s="68" t="str">
        <f>IF(main!AP110="","",ROUND(main!AP110*100,6))</f>
        <v/>
      </c>
      <c r="AE107" s="68" t="str">
        <f>IF(main!AQ110="","",ROUND(main!AQ110*100,6))</f>
        <v/>
      </c>
      <c r="AF107" s="68" t="str">
        <f>IF(main!AR110="","",ROUND(main!AR110*100,6))</f>
        <v/>
      </c>
      <c r="AG107" s="68" t="str">
        <f>IF(main!AS110="","",ROUND(main!AS110*100,6))</f>
        <v/>
      </c>
      <c r="AH107" s="68" t="str">
        <f>IF(main!AT110="","",ROUND(main!AT110*100,6))</f>
        <v/>
      </c>
      <c r="AI107" s="68" t="str">
        <f>IF(main!AU110="","",ROUND(main!AU110*100,6))</f>
        <v/>
      </c>
      <c r="AJ107" s="68" t="str">
        <f>IF(main!AV110="","",ROUND(main!AV110*100,6))</f>
        <v/>
      </c>
      <c r="AK107" s="68" t="str">
        <f>IF(main!AW110="","",ROUND(main!AW110*100,6))</f>
        <v/>
      </c>
      <c r="AL107" s="68" t="str">
        <f>IF(main!AX110="","",ROUND(main!AX110*100,6))</f>
        <v/>
      </c>
      <c r="AM107" s="68" t="str">
        <f>IF(main!AY110="","",ROUND(main!AY110*100,6))</f>
        <v/>
      </c>
      <c r="AN107" s="68" t="str">
        <f>IF(main!AZ110="","",ROUND(main!AZ110*100,6))</f>
        <v/>
      </c>
      <c r="AO107" s="68" t="str">
        <f>IF(main!BA110="","",ROUND(main!BA110*100,6))</f>
        <v/>
      </c>
      <c r="AP107" s="68" t="str">
        <f>IF(main!BB110="","",ROUND(main!BB110*100,6))</f>
        <v/>
      </c>
      <c r="AQ107" s="68" t="str">
        <f>IF(main!BC110="","",ROUND(main!BC110*100,6))</f>
        <v/>
      </c>
      <c r="AR107" s="68" t="str">
        <f>IF(main!BD110="","",ROUND(main!BD110*100,6))</f>
        <v/>
      </c>
      <c r="AS107" s="68" t="str">
        <f>IF(main!BE110="","",ROUND(main!BE110*100,6))</f>
        <v/>
      </c>
      <c r="AT107" s="68" t="str">
        <f>IF(main!BF110="","",ROUND(main!BF110*100,6))</f>
        <v/>
      </c>
      <c r="AU107" s="68" t="str">
        <f>IF(main!BG110="","",ROUND(main!BG110*100,6))</f>
        <v/>
      </c>
      <c r="AV107" s="68" t="str">
        <f>IF(main!BH110="","",ROUND(main!BH110*100,6))</f>
        <v/>
      </c>
      <c r="AW107" s="68" t="str">
        <f>IF(main!BI110="","",ROUND(main!BI110*100,6))</f>
        <v/>
      </c>
      <c r="AX107" s="68" t="str">
        <f>IF(main!BJ110="","",ROUND(main!BJ110*100,6))</f>
        <v/>
      </c>
      <c r="AY107" s="68" t="str">
        <f>IF(main!BK110="","",ROUND(main!BK110*100,6))</f>
        <v/>
      </c>
      <c r="AZ107" s="68" t="str">
        <f>IF(main!BL110="","",ROUND(main!BL110*100,6))</f>
        <v/>
      </c>
      <c r="BA107" s="68" t="str">
        <f>IF(main!BM110="","",ROUND(main!BM110*100,6))</f>
        <v/>
      </c>
      <c r="BB107" s="68" t="str">
        <f>IF(main!BN110="","",ROUND(main!BN110*100,6))</f>
        <v/>
      </c>
      <c r="BC107" s="68" t="str">
        <f>IF(main!BO110="","",ROUND(main!BO110*100,6))</f>
        <v/>
      </c>
      <c r="BD107" s="68" t="str">
        <f>IF(main!BP110="","",ROUND(main!BP110*100,6))</f>
        <v/>
      </c>
      <c r="BE107" s="68" t="str">
        <f>IF(main!BQ110="","",ROUND(main!BQ110*100,6))</f>
        <v/>
      </c>
      <c r="BF107" s="68" t="str">
        <f>IF(main!BR110="","",ROUND(main!BR110*100,6))</f>
        <v/>
      </c>
      <c r="BG107" s="68" t="str">
        <f>IF(main!BS110="","",ROUND(main!BS110*100,6))</f>
        <v/>
      </c>
      <c r="BH107" s="68" t="str">
        <f>IF(main!BT110="","",ROUND(main!BT110*100,6))</f>
        <v/>
      </c>
      <c r="BI107" s="68" t="str">
        <f>IF(main!BU110="","",ROUND(main!BU110*100,6))</f>
        <v/>
      </c>
      <c r="BJ107" s="68" t="str">
        <f>IF(main!BV110="","",ROUND(main!BV110*100,6))</f>
        <v/>
      </c>
      <c r="BK107" s="68" t="str">
        <f>IF(main!BW110="","",ROUND(main!BW110*100,6))</f>
        <v/>
      </c>
      <c r="BL107" s="68" t="str">
        <f>IF(main!BX110="","",ROUND(main!BX110*100,6))</f>
        <v/>
      </c>
      <c r="BM107" s="68" t="str">
        <f>IF(main!BY110="","",ROUND(main!BY110*100,6))</f>
        <v/>
      </c>
      <c r="BN107" s="68" t="str">
        <f>IF(main!BZ110="","",ROUND(main!BZ110*100,6))</f>
        <v/>
      </c>
      <c r="BO107" s="68" t="str">
        <f>IF(main!CA110="","",ROUND(main!CA110*100,6))</f>
        <v/>
      </c>
      <c r="BP107" s="68" t="str">
        <f>IF(main!CB110="","",ROUND(main!CB110*100,6))</f>
        <v/>
      </c>
      <c r="BQ107" s="68" t="str">
        <f>IF(main!CC110="","",ROUND(main!CC110*100,6))</f>
        <v/>
      </c>
      <c r="BR107" s="68" t="str">
        <f>IF(main!CD110="","",ROUND(main!CD110*100,6))</f>
        <v/>
      </c>
      <c r="BS107" s="68" t="str">
        <f>IF(main!CE110="","",ROUND(main!CE110*100,6))</f>
        <v/>
      </c>
      <c r="BT107" s="68" t="str">
        <f>IF(main!CF110="","",ROUND(main!CF110*100,6))</f>
        <v/>
      </c>
      <c r="BU107" s="68" t="str">
        <f>IF(main!CG110="","",ROUND(main!CG110*100,6))</f>
        <v/>
      </c>
      <c r="BV107" s="68" t="str">
        <f>IF(main!CH110="","",ROUND(main!CH110*100,6))</f>
        <v/>
      </c>
      <c r="BW107" s="68" t="str">
        <f>IF(main!CI110="","",ROUND(main!CI110*100,6))</f>
        <v/>
      </c>
      <c r="BX107" s="68" t="str">
        <f>IF(main!CJ110="","",ROUND(main!CJ110*100,6))</f>
        <v/>
      </c>
      <c r="BY107" s="68" t="str">
        <f>IF(main!CK110="","",ROUND(main!CK110*100,6))</f>
        <v/>
      </c>
      <c r="BZ107" s="68" t="str">
        <f>IF(main!CL110="","",ROUND(main!CL110*100,6))</f>
        <v/>
      </c>
      <c r="CA107" s="68" t="str">
        <f>IF(main!CM110="","",ROUND(main!CM110*100,6))</f>
        <v/>
      </c>
      <c r="CB107" s="68" t="str">
        <f>IF(main!CN110="","",ROUND(main!CN110*100,6))</f>
        <v/>
      </c>
      <c r="CC107" s="68" t="str">
        <f>IF(main!CO110="","",ROUND(main!CO110*100,6))</f>
        <v/>
      </c>
    </row>
    <row r="108" spans="1:81" x14ac:dyDescent="0.25">
      <c r="A108" s="65" t="s">
        <v>243</v>
      </c>
      <c r="B108" s="66" t="str">
        <f>main!C111</f>
        <v>Steel Column &amp; Beam</v>
      </c>
      <c r="C108" s="67">
        <f>main!O111</f>
        <v>100000</v>
      </c>
      <c r="D108" s="65" t="s">
        <v>110</v>
      </c>
      <c r="E108" s="68">
        <f t="shared" si="1"/>
        <v>100</v>
      </c>
      <c r="F108" s="68" t="str">
        <f>IF(main!R111="","",ROUND(main!R111*100,6))</f>
        <v/>
      </c>
      <c r="G108" s="68" t="str">
        <f>IF(main!S111="","",ROUND(main!S111*100,6))</f>
        <v/>
      </c>
      <c r="H108" s="68" t="str">
        <f>IF(main!T111="","",ROUND(main!T111*100,6))</f>
        <v/>
      </c>
      <c r="I108" s="68" t="str">
        <f>IF(main!U111="","",ROUND(main!U111*100,6))</f>
        <v/>
      </c>
      <c r="J108" s="68" t="str">
        <f>IF(main!V111="","",ROUND(main!V111*100,6))</f>
        <v/>
      </c>
      <c r="K108" s="68" t="str">
        <f>IF(main!W111="","",ROUND(main!W111*100,6))</f>
        <v/>
      </c>
      <c r="L108" s="68" t="str">
        <f>IF(main!X111="","",ROUND(main!X111*100,6))</f>
        <v/>
      </c>
      <c r="M108" s="68" t="str">
        <f>IF(main!Y111="","",ROUND(main!Y111*100,6))</f>
        <v/>
      </c>
      <c r="N108" s="68" t="str">
        <f>IF(main!Z111="","",ROUND(main!Z111*100,6))</f>
        <v/>
      </c>
      <c r="O108" s="68" t="str">
        <f>IF(main!AA111="","",ROUND(main!AA111*100,6))</f>
        <v/>
      </c>
      <c r="P108" s="68" t="str">
        <f>IF(main!AB111="","",ROUND(main!AB111*100,6))</f>
        <v/>
      </c>
      <c r="Q108" s="68" t="str">
        <f>IF(main!AC111="","",ROUND(main!AC111*100,6))</f>
        <v/>
      </c>
      <c r="R108" s="68" t="str">
        <f>IF(main!AD111="","",ROUND(main!AD111*100,6))</f>
        <v/>
      </c>
      <c r="S108" s="68" t="str">
        <f>IF(main!AE111="","",ROUND(main!AE111*100,6))</f>
        <v/>
      </c>
      <c r="T108" s="68" t="str">
        <f>IF(main!AF111="","",ROUND(main!AF111*100,6))</f>
        <v/>
      </c>
      <c r="U108" s="68" t="str">
        <f>IF(main!AG111="","",ROUND(main!AG111*100,6))</f>
        <v/>
      </c>
      <c r="V108" s="68" t="str">
        <f>IF(main!AH111="","",ROUND(main!AH111*100,6))</f>
        <v/>
      </c>
      <c r="W108" s="68" t="str">
        <f>IF(main!AI111="","",ROUND(main!AI111*100,6))</f>
        <v/>
      </c>
      <c r="X108" s="68" t="str">
        <f>IF(main!AJ111="","",ROUND(main!AJ111*100,6))</f>
        <v/>
      </c>
      <c r="Y108" s="68" t="str">
        <f>IF(main!AK111="","",ROUND(main!AK111*100,6))</f>
        <v/>
      </c>
      <c r="Z108" s="68" t="str">
        <f>IF(main!AL111="","",ROUND(main!AL111*100,6))</f>
        <v/>
      </c>
      <c r="AA108" s="68" t="str">
        <f>IF(main!AM111="","",ROUND(main!AM111*100,6))</f>
        <v/>
      </c>
      <c r="AB108" s="68" t="str">
        <f>IF(main!AN111="","",ROUND(main!AN111*100,6))</f>
        <v/>
      </c>
      <c r="AC108" s="68" t="str">
        <f>IF(main!AO111="","",ROUND(main!AO111*100,6))</f>
        <v/>
      </c>
      <c r="AD108" s="68" t="str">
        <f>IF(main!AP111="","",ROUND(main!AP111*100,6))</f>
        <v/>
      </c>
      <c r="AE108" s="68" t="str">
        <f>IF(main!AQ111="","",ROUND(main!AQ111*100,6))</f>
        <v/>
      </c>
      <c r="AF108" s="68" t="str">
        <f>IF(main!AR111="","",ROUND(main!AR111*100,6))</f>
        <v/>
      </c>
      <c r="AG108" s="68" t="str">
        <f>IF(main!AS111="","",ROUND(main!AS111*100,6))</f>
        <v/>
      </c>
      <c r="AH108" s="68" t="str">
        <f>IF(main!AT111="","",ROUND(main!AT111*100,6))</f>
        <v/>
      </c>
      <c r="AI108" s="68" t="str">
        <f>IF(main!AU111="","",ROUND(main!AU111*100,6))</f>
        <v/>
      </c>
      <c r="AJ108" s="68" t="str">
        <f>IF(main!AV111="","",ROUND(main!AV111*100,6))</f>
        <v/>
      </c>
      <c r="AK108" s="68" t="str">
        <f>IF(main!AW111="","",ROUND(main!AW111*100,6))</f>
        <v/>
      </c>
      <c r="AL108" s="68" t="str">
        <f>IF(main!AX111="","",ROUND(main!AX111*100,6))</f>
        <v/>
      </c>
      <c r="AM108" s="68" t="str">
        <f>IF(main!AY111="","",ROUND(main!AY111*100,6))</f>
        <v/>
      </c>
      <c r="AN108" s="68" t="str">
        <f>IF(main!AZ111="","",ROUND(main!AZ111*100,6))</f>
        <v/>
      </c>
      <c r="AO108" s="68" t="str">
        <f>IF(main!BA111="","",ROUND(main!BA111*100,6))</f>
        <v/>
      </c>
      <c r="AP108" s="68" t="str">
        <f>IF(main!BB111="","",ROUND(main!BB111*100,6))</f>
        <v/>
      </c>
      <c r="AQ108" s="68" t="str">
        <f>IF(main!BC111="","",ROUND(main!BC111*100,6))</f>
        <v/>
      </c>
      <c r="AR108" s="68" t="str">
        <f>IF(main!BD111="","",ROUND(main!BD111*100,6))</f>
        <v/>
      </c>
      <c r="AS108" s="68" t="str">
        <f>IF(main!BE111="","",ROUND(main!BE111*100,6))</f>
        <v/>
      </c>
      <c r="AT108" s="68" t="str">
        <f>IF(main!BF111="","",ROUND(main!BF111*100,6))</f>
        <v/>
      </c>
      <c r="AU108" s="68" t="str">
        <f>IF(main!BG111="","",ROUND(main!BG111*100,6))</f>
        <v/>
      </c>
      <c r="AV108" s="68" t="str">
        <f>IF(main!BH111="","",ROUND(main!BH111*100,6))</f>
        <v/>
      </c>
      <c r="AW108" s="68" t="str">
        <f>IF(main!BI111="","",ROUND(main!BI111*100,6))</f>
        <v/>
      </c>
      <c r="AX108" s="68" t="str">
        <f>IF(main!BJ111="","",ROUND(main!BJ111*100,6))</f>
        <v/>
      </c>
      <c r="AY108" s="68" t="str">
        <f>IF(main!BK111="","",ROUND(main!BK111*100,6))</f>
        <v/>
      </c>
      <c r="AZ108" s="68" t="str">
        <f>IF(main!BL111="","",ROUND(main!BL111*100,6))</f>
        <v/>
      </c>
      <c r="BA108" s="68" t="str">
        <f>IF(main!BM111="","",ROUND(main!BM111*100,6))</f>
        <v/>
      </c>
      <c r="BB108" s="68" t="str">
        <f>IF(main!BN111="","",ROUND(main!BN111*100,6))</f>
        <v/>
      </c>
      <c r="BC108" s="68" t="str">
        <f>IF(main!BO111="","",ROUND(main!BO111*100,6))</f>
        <v/>
      </c>
      <c r="BD108" s="68">
        <f>IF(main!BP111="","",ROUND(main!BP111*100,6))</f>
        <v>28.571428999999998</v>
      </c>
      <c r="BE108" s="68">
        <f>IF(main!BQ111="","",ROUND(main!BQ111*100,6))</f>
        <v>71.428571000000005</v>
      </c>
      <c r="BF108" s="68" t="str">
        <f>IF(main!BR111="","",ROUND(main!BR111*100,6))</f>
        <v/>
      </c>
      <c r="BG108" s="68" t="str">
        <f>IF(main!BS111="","",ROUND(main!BS111*100,6))</f>
        <v/>
      </c>
      <c r="BH108" s="68" t="str">
        <f>IF(main!BT111="","",ROUND(main!BT111*100,6))</f>
        <v/>
      </c>
      <c r="BI108" s="68" t="str">
        <f>IF(main!BU111="","",ROUND(main!BU111*100,6))</f>
        <v/>
      </c>
      <c r="BJ108" s="68" t="str">
        <f>IF(main!BV111="","",ROUND(main!BV111*100,6))</f>
        <v/>
      </c>
      <c r="BK108" s="68" t="str">
        <f>IF(main!BW111="","",ROUND(main!BW111*100,6))</f>
        <v/>
      </c>
      <c r="BL108" s="68" t="str">
        <f>IF(main!BX111="","",ROUND(main!BX111*100,6))</f>
        <v/>
      </c>
      <c r="BM108" s="68" t="str">
        <f>IF(main!BY111="","",ROUND(main!BY111*100,6))</f>
        <v/>
      </c>
      <c r="BN108" s="68" t="str">
        <f>IF(main!BZ111="","",ROUND(main!BZ111*100,6))</f>
        <v/>
      </c>
      <c r="BO108" s="68" t="str">
        <f>IF(main!CA111="","",ROUND(main!CA111*100,6))</f>
        <v/>
      </c>
      <c r="BP108" s="68" t="str">
        <f>IF(main!CB111="","",ROUND(main!CB111*100,6))</f>
        <v/>
      </c>
      <c r="BQ108" s="68" t="str">
        <f>IF(main!CC111="","",ROUND(main!CC111*100,6))</f>
        <v/>
      </c>
      <c r="BR108" s="68" t="str">
        <f>IF(main!CD111="","",ROUND(main!CD111*100,6))</f>
        <v/>
      </c>
      <c r="BS108" s="68" t="str">
        <f>IF(main!CE111="","",ROUND(main!CE111*100,6))</f>
        <v/>
      </c>
      <c r="BT108" s="68" t="str">
        <f>IF(main!CF111="","",ROUND(main!CF111*100,6))</f>
        <v/>
      </c>
      <c r="BU108" s="68" t="str">
        <f>IF(main!CG111="","",ROUND(main!CG111*100,6))</f>
        <v/>
      </c>
      <c r="BV108" s="68" t="str">
        <f>IF(main!CH111="","",ROUND(main!CH111*100,6))</f>
        <v/>
      </c>
      <c r="BW108" s="68" t="str">
        <f>IF(main!CI111="","",ROUND(main!CI111*100,6))</f>
        <v/>
      </c>
      <c r="BX108" s="68" t="str">
        <f>IF(main!CJ111="","",ROUND(main!CJ111*100,6))</f>
        <v/>
      </c>
      <c r="BY108" s="68" t="str">
        <f>IF(main!CK111="","",ROUND(main!CK111*100,6))</f>
        <v/>
      </c>
      <c r="BZ108" s="68" t="str">
        <f>IF(main!CL111="","",ROUND(main!CL111*100,6))</f>
        <v/>
      </c>
      <c r="CA108" s="68" t="str">
        <f>IF(main!CM111="","",ROUND(main!CM111*100,6))</f>
        <v/>
      </c>
      <c r="CB108" s="68" t="str">
        <f>IF(main!CN111="","",ROUND(main!CN111*100,6))</f>
        <v/>
      </c>
      <c r="CC108" s="68" t="str">
        <f>IF(main!CO111="","",ROUND(main!CO111*100,6))</f>
        <v/>
      </c>
    </row>
    <row r="109" spans="1:81" x14ac:dyDescent="0.25">
      <c r="A109" s="65" t="s">
        <v>243</v>
      </c>
      <c r="B109" s="66" t="str">
        <f>main!C111</f>
        <v>Steel Column &amp; Beam</v>
      </c>
      <c r="C109" s="67">
        <f>main!O111</f>
        <v>100000</v>
      </c>
      <c r="D109" s="65" t="s">
        <v>111</v>
      </c>
      <c r="E109" s="68" t="str">
        <f t="shared" si="1"/>
        <v/>
      </c>
      <c r="F109" s="68" t="str">
        <f>IF(main!R112="","",ROUND(main!R112*100,6))</f>
        <v/>
      </c>
      <c r="G109" s="68" t="str">
        <f>IF(main!S112="","",ROUND(main!S112*100,6))</f>
        <v/>
      </c>
      <c r="H109" s="68" t="str">
        <f>IF(main!T112="","",ROUND(main!T112*100,6))</f>
        <v/>
      </c>
      <c r="I109" s="68" t="str">
        <f>IF(main!U112="","",ROUND(main!U112*100,6))</f>
        <v/>
      </c>
      <c r="J109" s="68" t="str">
        <f>IF(main!V112="","",ROUND(main!V112*100,6))</f>
        <v/>
      </c>
      <c r="K109" s="68" t="str">
        <f>IF(main!W112="","",ROUND(main!W112*100,6))</f>
        <v/>
      </c>
      <c r="L109" s="68" t="str">
        <f>IF(main!X112="","",ROUND(main!X112*100,6))</f>
        <v/>
      </c>
      <c r="M109" s="68" t="str">
        <f>IF(main!Y112="","",ROUND(main!Y112*100,6))</f>
        <v/>
      </c>
      <c r="N109" s="68" t="str">
        <f>IF(main!Z112="","",ROUND(main!Z112*100,6))</f>
        <v/>
      </c>
      <c r="O109" s="68" t="str">
        <f>IF(main!AA112="","",ROUND(main!AA112*100,6))</f>
        <v/>
      </c>
      <c r="P109" s="68" t="str">
        <f>IF(main!AB112="","",ROUND(main!AB112*100,6))</f>
        <v/>
      </c>
      <c r="Q109" s="68" t="str">
        <f>IF(main!AC112="","",ROUND(main!AC112*100,6))</f>
        <v/>
      </c>
      <c r="R109" s="68" t="str">
        <f>IF(main!AD112="","",ROUND(main!AD112*100,6))</f>
        <v/>
      </c>
      <c r="S109" s="68" t="str">
        <f>IF(main!AE112="","",ROUND(main!AE112*100,6))</f>
        <v/>
      </c>
      <c r="T109" s="68" t="str">
        <f>IF(main!AF112="","",ROUND(main!AF112*100,6))</f>
        <v/>
      </c>
      <c r="U109" s="68" t="str">
        <f>IF(main!AG112="","",ROUND(main!AG112*100,6))</f>
        <v/>
      </c>
      <c r="V109" s="68" t="str">
        <f>IF(main!AH112="","",ROUND(main!AH112*100,6))</f>
        <v/>
      </c>
      <c r="W109" s="68" t="str">
        <f>IF(main!AI112="","",ROUND(main!AI112*100,6))</f>
        <v/>
      </c>
      <c r="X109" s="68" t="str">
        <f>IF(main!AJ112="","",ROUND(main!AJ112*100,6))</f>
        <v/>
      </c>
      <c r="Y109" s="68" t="str">
        <f>IF(main!AK112="","",ROUND(main!AK112*100,6))</f>
        <v/>
      </c>
      <c r="Z109" s="68" t="str">
        <f>IF(main!AL112="","",ROUND(main!AL112*100,6))</f>
        <v/>
      </c>
      <c r="AA109" s="68" t="str">
        <f>IF(main!AM112="","",ROUND(main!AM112*100,6))</f>
        <v/>
      </c>
      <c r="AB109" s="68" t="str">
        <f>IF(main!AN112="","",ROUND(main!AN112*100,6))</f>
        <v/>
      </c>
      <c r="AC109" s="68" t="str">
        <f>IF(main!AO112="","",ROUND(main!AO112*100,6))</f>
        <v/>
      </c>
      <c r="AD109" s="68" t="str">
        <f>IF(main!AP112="","",ROUND(main!AP112*100,6))</f>
        <v/>
      </c>
      <c r="AE109" s="68" t="str">
        <f>IF(main!AQ112="","",ROUND(main!AQ112*100,6))</f>
        <v/>
      </c>
      <c r="AF109" s="68" t="str">
        <f>IF(main!AR112="","",ROUND(main!AR112*100,6))</f>
        <v/>
      </c>
      <c r="AG109" s="68" t="str">
        <f>IF(main!AS112="","",ROUND(main!AS112*100,6))</f>
        <v/>
      </c>
      <c r="AH109" s="68" t="str">
        <f>IF(main!AT112="","",ROUND(main!AT112*100,6))</f>
        <v/>
      </c>
      <c r="AI109" s="68" t="str">
        <f>IF(main!AU112="","",ROUND(main!AU112*100,6))</f>
        <v/>
      </c>
      <c r="AJ109" s="68" t="str">
        <f>IF(main!AV112="","",ROUND(main!AV112*100,6))</f>
        <v/>
      </c>
      <c r="AK109" s="68" t="str">
        <f>IF(main!AW112="","",ROUND(main!AW112*100,6))</f>
        <v/>
      </c>
      <c r="AL109" s="68" t="str">
        <f>IF(main!AX112="","",ROUND(main!AX112*100,6))</f>
        <v/>
      </c>
      <c r="AM109" s="68" t="str">
        <f>IF(main!AY112="","",ROUND(main!AY112*100,6))</f>
        <v/>
      </c>
      <c r="AN109" s="68" t="str">
        <f>IF(main!AZ112="","",ROUND(main!AZ112*100,6))</f>
        <v/>
      </c>
      <c r="AO109" s="68" t="str">
        <f>IF(main!BA112="","",ROUND(main!BA112*100,6))</f>
        <v/>
      </c>
      <c r="AP109" s="68" t="str">
        <f>IF(main!BB112="","",ROUND(main!BB112*100,6))</f>
        <v/>
      </c>
      <c r="AQ109" s="68" t="str">
        <f>IF(main!BC112="","",ROUND(main!BC112*100,6))</f>
        <v/>
      </c>
      <c r="AR109" s="68" t="str">
        <f>IF(main!BD112="","",ROUND(main!BD112*100,6))</f>
        <v/>
      </c>
      <c r="AS109" s="68" t="str">
        <f>IF(main!BE112="","",ROUND(main!BE112*100,6))</f>
        <v/>
      </c>
      <c r="AT109" s="68" t="str">
        <f>IF(main!BF112="","",ROUND(main!BF112*100,6))</f>
        <v/>
      </c>
      <c r="AU109" s="68" t="str">
        <f>IF(main!BG112="","",ROUND(main!BG112*100,6))</f>
        <v/>
      </c>
      <c r="AV109" s="68" t="str">
        <f>IF(main!BH112="","",ROUND(main!BH112*100,6))</f>
        <v/>
      </c>
      <c r="AW109" s="68" t="str">
        <f>IF(main!BI112="","",ROUND(main!BI112*100,6))</f>
        <v/>
      </c>
      <c r="AX109" s="68" t="str">
        <f>IF(main!BJ112="","",ROUND(main!BJ112*100,6))</f>
        <v/>
      </c>
      <c r="AY109" s="68" t="str">
        <f>IF(main!BK112="","",ROUND(main!BK112*100,6))</f>
        <v/>
      </c>
      <c r="AZ109" s="68" t="str">
        <f>IF(main!BL112="","",ROUND(main!BL112*100,6))</f>
        <v/>
      </c>
      <c r="BA109" s="68" t="str">
        <f>IF(main!BM112="","",ROUND(main!BM112*100,6))</f>
        <v/>
      </c>
      <c r="BB109" s="68" t="str">
        <f>IF(main!BN112="","",ROUND(main!BN112*100,6))</f>
        <v/>
      </c>
      <c r="BC109" s="68" t="str">
        <f>IF(main!BO112="","",ROUND(main!BO112*100,6))</f>
        <v/>
      </c>
      <c r="BD109" s="68" t="str">
        <f>IF(main!BP112="","",ROUND(main!BP112*100,6))</f>
        <v/>
      </c>
      <c r="BE109" s="68" t="str">
        <f>IF(main!BQ112="","",ROUND(main!BQ112*100,6))</f>
        <v/>
      </c>
      <c r="BF109" s="68" t="str">
        <f>IF(main!BR112="","",ROUND(main!BR112*100,6))</f>
        <v/>
      </c>
      <c r="BG109" s="68" t="str">
        <f>IF(main!BS112="","",ROUND(main!BS112*100,6))</f>
        <v/>
      </c>
      <c r="BH109" s="68" t="str">
        <f>IF(main!BT112="","",ROUND(main!BT112*100,6))</f>
        <v/>
      </c>
      <c r="BI109" s="68" t="str">
        <f>IF(main!BU112="","",ROUND(main!BU112*100,6))</f>
        <v/>
      </c>
      <c r="BJ109" s="68" t="str">
        <f>IF(main!BV112="","",ROUND(main!BV112*100,6))</f>
        <v/>
      </c>
      <c r="BK109" s="68" t="str">
        <f>IF(main!BW112="","",ROUND(main!BW112*100,6))</f>
        <v/>
      </c>
      <c r="BL109" s="68" t="str">
        <f>IF(main!BX112="","",ROUND(main!BX112*100,6))</f>
        <v/>
      </c>
      <c r="BM109" s="68" t="str">
        <f>IF(main!BY112="","",ROUND(main!BY112*100,6))</f>
        <v/>
      </c>
      <c r="BN109" s="68" t="str">
        <f>IF(main!BZ112="","",ROUND(main!BZ112*100,6))</f>
        <v/>
      </c>
      <c r="BO109" s="68" t="str">
        <f>IF(main!CA112="","",ROUND(main!CA112*100,6))</f>
        <v/>
      </c>
      <c r="BP109" s="68" t="str">
        <f>IF(main!CB112="","",ROUND(main!CB112*100,6))</f>
        <v/>
      </c>
      <c r="BQ109" s="68" t="str">
        <f>IF(main!CC112="","",ROUND(main!CC112*100,6))</f>
        <v/>
      </c>
      <c r="BR109" s="68" t="str">
        <f>IF(main!CD112="","",ROUND(main!CD112*100,6))</f>
        <v/>
      </c>
      <c r="BS109" s="68" t="str">
        <f>IF(main!CE112="","",ROUND(main!CE112*100,6))</f>
        <v/>
      </c>
      <c r="BT109" s="68" t="str">
        <f>IF(main!CF112="","",ROUND(main!CF112*100,6))</f>
        <v/>
      </c>
      <c r="BU109" s="68" t="str">
        <f>IF(main!CG112="","",ROUND(main!CG112*100,6))</f>
        <v/>
      </c>
      <c r="BV109" s="68" t="str">
        <f>IF(main!CH112="","",ROUND(main!CH112*100,6))</f>
        <v/>
      </c>
      <c r="BW109" s="68" t="str">
        <f>IF(main!CI112="","",ROUND(main!CI112*100,6))</f>
        <v/>
      </c>
      <c r="BX109" s="68" t="str">
        <f>IF(main!CJ112="","",ROUND(main!CJ112*100,6))</f>
        <v/>
      </c>
      <c r="BY109" s="68" t="str">
        <f>IF(main!CK112="","",ROUND(main!CK112*100,6))</f>
        <v/>
      </c>
      <c r="BZ109" s="68" t="str">
        <f>IF(main!CL112="","",ROUND(main!CL112*100,6))</f>
        <v/>
      </c>
      <c r="CA109" s="68" t="str">
        <f>IF(main!CM112="","",ROUND(main!CM112*100,6))</f>
        <v/>
      </c>
      <c r="CB109" s="68" t="str">
        <f>IF(main!CN112="","",ROUND(main!CN112*100,6))</f>
        <v/>
      </c>
      <c r="CC109" s="68" t="str">
        <f>IF(main!CO112="","",ROUND(main!CO112*100,6))</f>
        <v/>
      </c>
    </row>
    <row r="110" spans="1:81" x14ac:dyDescent="0.25">
      <c r="A110" s="65" t="s">
        <v>246</v>
      </c>
      <c r="B110" s="66" t="str">
        <f>main!C113</f>
        <v>Fiber Cement Slab</v>
      </c>
      <c r="C110" s="67">
        <f>main!O113</f>
        <v>100000</v>
      </c>
      <c r="D110" s="65" t="s">
        <v>110</v>
      </c>
      <c r="E110" s="68">
        <f t="shared" si="1"/>
        <v>100</v>
      </c>
      <c r="F110" s="68" t="str">
        <f>IF(main!R113="","",ROUND(main!R113*100,6))</f>
        <v/>
      </c>
      <c r="G110" s="68" t="str">
        <f>IF(main!S113="","",ROUND(main!S113*100,6))</f>
        <v/>
      </c>
      <c r="H110" s="68" t="str">
        <f>IF(main!T113="","",ROUND(main!T113*100,6))</f>
        <v/>
      </c>
      <c r="I110" s="68" t="str">
        <f>IF(main!U113="","",ROUND(main!U113*100,6))</f>
        <v/>
      </c>
      <c r="J110" s="68" t="str">
        <f>IF(main!V113="","",ROUND(main!V113*100,6))</f>
        <v/>
      </c>
      <c r="K110" s="68" t="str">
        <f>IF(main!W113="","",ROUND(main!W113*100,6))</f>
        <v/>
      </c>
      <c r="L110" s="68" t="str">
        <f>IF(main!X113="","",ROUND(main!X113*100,6))</f>
        <v/>
      </c>
      <c r="M110" s="68" t="str">
        <f>IF(main!Y113="","",ROUND(main!Y113*100,6))</f>
        <v/>
      </c>
      <c r="N110" s="68" t="str">
        <f>IF(main!Z113="","",ROUND(main!Z113*100,6))</f>
        <v/>
      </c>
      <c r="O110" s="68" t="str">
        <f>IF(main!AA113="","",ROUND(main!AA113*100,6))</f>
        <v/>
      </c>
      <c r="P110" s="68" t="str">
        <f>IF(main!AB113="","",ROUND(main!AB113*100,6))</f>
        <v/>
      </c>
      <c r="Q110" s="68" t="str">
        <f>IF(main!AC113="","",ROUND(main!AC113*100,6))</f>
        <v/>
      </c>
      <c r="R110" s="68" t="str">
        <f>IF(main!AD113="","",ROUND(main!AD113*100,6))</f>
        <v/>
      </c>
      <c r="S110" s="68" t="str">
        <f>IF(main!AE113="","",ROUND(main!AE113*100,6))</f>
        <v/>
      </c>
      <c r="T110" s="68" t="str">
        <f>IF(main!AF113="","",ROUND(main!AF113*100,6))</f>
        <v/>
      </c>
      <c r="U110" s="68" t="str">
        <f>IF(main!AG113="","",ROUND(main!AG113*100,6))</f>
        <v/>
      </c>
      <c r="V110" s="68" t="str">
        <f>IF(main!AH113="","",ROUND(main!AH113*100,6))</f>
        <v/>
      </c>
      <c r="W110" s="68" t="str">
        <f>IF(main!AI113="","",ROUND(main!AI113*100,6))</f>
        <v/>
      </c>
      <c r="X110" s="68" t="str">
        <f>IF(main!AJ113="","",ROUND(main!AJ113*100,6))</f>
        <v/>
      </c>
      <c r="Y110" s="68" t="str">
        <f>IF(main!AK113="","",ROUND(main!AK113*100,6))</f>
        <v/>
      </c>
      <c r="Z110" s="68" t="str">
        <f>IF(main!AL113="","",ROUND(main!AL113*100,6))</f>
        <v/>
      </c>
      <c r="AA110" s="68" t="str">
        <f>IF(main!AM113="","",ROUND(main!AM113*100,6))</f>
        <v/>
      </c>
      <c r="AB110" s="68" t="str">
        <f>IF(main!AN113="","",ROUND(main!AN113*100,6))</f>
        <v/>
      </c>
      <c r="AC110" s="68" t="str">
        <f>IF(main!AO113="","",ROUND(main!AO113*100,6))</f>
        <v/>
      </c>
      <c r="AD110" s="68" t="str">
        <f>IF(main!AP113="","",ROUND(main!AP113*100,6))</f>
        <v/>
      </c>
      <c r="AE110" s="68" t="str">
        <f>IF(main!AQ113="","",ROUND(main!AQ113*100,6))</f>
        <v/>
      </c>
      <c r="AF110" s="68" t="str">
        <f>IF(main!AR113="","",ROUND(main!AR113*100,6))</f>
        <v/>
      </c>
      <c r="AG110" s="68" t="str">
        <f>IF(main!AS113="","",ROUND(main!AS113*100,6))</f>
        <v/>
      </c>
      <c r="AH110" s="68" t="str">
        <f>IF(main!AT113="","",ROUND(main!AT113*100,6))</f>
        <v/>
      </c>
      <c r="AI110" s="68" t="str">
        <f>IF(main!AU113="","",ROUND(main!AU113*100,6))</f>
        <v/>
      </c>
      <c r="AJ110" s="68" t="str">
        <f>IF(main!AV113="","",ROUND(main!AV113*100,6))</f>
        <v/>
      </c>
      <c r="AK110" s="68" t="str">
        <f>IF(main!AW113="","",ROUND(main!AW113*100,6))</f>
        <v/>
      </c>
      <c r="AL110" s="68" t="str">
        <f>IF(main!AX113="","",ROUND(main!AX113*100,6))</f>
        <v/>
      </c>
      <c r="AM110" s="68" t="str">
        <f>IF(main!AY113="","",ROUND(main!AY113*100,6))</f>
        <v/>
      </c>
      <c r="AN110" s="68" t="str">
        <f>IF(main!AZ113="","",ROUND(main!AZ113*100,6))</f>
        <v/>
      </c>
      <c r="AO110" s="68" t="str">
        <f>IF(main!BA113="","",ROUND(main!BA113*100,6))</f>
        <v/>
      </c>
      <c r="AP110" s="68" t="str">
        <f>IF(main!BB113="","",ROUND(main!BB113*100,6))</f>
        <v/>
      </c>
      <c r="AQ110" s="68" t="str">
        <f>IF(main!BC113="","",ROUND(main!BC113*100,6))</f>
        <v/>
      </c>
      <c r="AR110" s="68" t="str">
        <f>IF(main!BD113="","",ROUND(main!BD113*100,6))</f>
        <v/>
      </c>
      <c r="AS110" s="68" t="str">
        <f>IF(main!BE113="","",ROUND(main!BE113*100,6))</f>
        <v/>
      </c>
      <c r="AT110" s="68" t="str">
        <f>IF(main!BF113="","",ROUND(main!BF113*100,6))</f>
        <v/>
      </c>
      <c r="AU110" s="68" t="str">
        <f>IF(main!BG113="","",ROUND(main!BG113*100,6))</f>
        <v/>
      </c>
      <c r="AV110" s="68" t="str">
        <f>IF(main!BH113="","",ROUND(main!BH113*100,6))</f>
        <v/>
      </c>
      <c r="AW110" s="68" t="str">
        <f>IF(main!BI113="","",ROUND(main!BI113*100,6))</f>
        <v/>
      </c>
      <c r="AX110" s="68" t="str">
        <f>IF(main!BJ113="","",ROUND(main!BJ113*100,6))</f>
        <v/>
      </c>
      <c r="AY110" s="68" t="str">
        <f>IF(main!BK113="","",ROUND(main!BK113*100,6))</f>
        <v/>
      </c>
      <c r="AZ110" s="68" t="str">
        <f>IF(main!BL113="","",ROUND(main!BL113*100,6))</f>
        <v/>
      </c>
      <c r="BA110" s="68" t="str">
        <f>IF(main!BM113="","",ROUND(main!BM113*100,6))</f>
        <v/>
      </c>
      <c r="BB110" s="68" t="str">
        <f>IF(main!BN113="","",ROUND(main!BN113*100,6))</f>
        <v/>
      </c>
      <c r="BC110" s="68" t="str">
        <f>IF(main!BO113="","",ROUND(main!BO113*100,6))</f>
        <v/>
      </c>
      <c r="BD110" s="68" t="str">
        <f>IF(main!BP113="","",ROUND(main!BP113*100,6))</f>
        <v/>
      </c>
      <c r="BE110" s="68">
        <f>IF(main!BQ113="","",ROUND(main!BQ113*100,6))</f>
        <v>28.571428999999998</v>
      </c>
      <c r="BF110" s="68">
        <f>IF(main!BR113="","",ROUND(main!BR113*100,6))</f>
        <v>71.428571000000005</v>
      </c>
      <c r="BG110" s="68" t="str">
        <f>IF(main!BS113="","",ROUND(main!BS113*100,6))</f>
        <v/>
      </c>
      <c r="BH110" s="68" t="str">
        <f>IF(main!BT113="","",ROUND(main!BT113*100,6))</f>
        <v/>
      </c>
      <c r="BI110" s="68" t="str">
        <f>IF(main!BU113="","",ROUND(main!BU113*100,6))</f>
        <v/>
      </c>
      <c r="BJ110" s="68" t="str">
        <f>IF(main!BV113="","",ROUND(main!BV113*100,6))</f>
        <v/>
      </c>
      <c r="BK110" s="68" t="str">
        <f>IF(main!BW113="","",ROUND(main!BW113*100,6))</f>
        <v/>
      </c>
      <c r="BL110" s="68" t="str">
        <f>IF(main!BX113="","",ROUND(main!BX113*100,6))</f>
        <v/>
      </c>
      <c r="BM110" s="68" t="str">
        <f>IF(main!BY113="","",ROUND(main!BY113*100,6))</f>
        <v/>
      </c>
      <c r="BN110" s="68" t="str">
        <f>IF(main!BZ113="","",ROUND(main!BZ113*100,6))</f>
        <v/>
      </c>
      <c r="BO110" s="68" t="str">
        <f>IF(main!CA113="","",ROUND(main!CA113*100,6))</f>
        <v/>
      </c>
      <c r="BP110" s="68" t="str">
        <f>IF(main!CB113="","",ROUND(main!CB113*100,6))</f>
        <v/>
      </c>
      <c r="BQ110" s="68" t="str">
        <f>IF(main!CC113="","",ROUND(main!CC113*100,6))</f>
        <v/>
      </c>
      <c r="BR110" s="68" t="str">
        <f>IF(main!CD113="","",ROUND(main!CD113*100,6))</f>
        <v/>
      </c>
      <c r="BS110" s="68" t="str">
        <f>IF(main!CE113="","",ROUND(main!CE113*100,6))</f>
        <v/>
      </c>
      <c r="BT110" s="68" t="str">
        <f>IF(main!CF113="","",ROUND(main!CF113*100,6))</f>
        <v/>
      </c>
      <c r="BU110" s="68" t="str">
        <f>IF(main!CG113="","",ROUND(main!CG113*100,6))</f>
        <v/>
      </c>
      <c r="BV110" s="68" t="str">
        <f>IF(main!CH113="","",ROUND(main!CH113*100,6))</f>
        <v/>
      </c>
      <c r="BW110" s="68" t="str">
        <f>IF(main!CI113="","",ROUND(main!CI113*100,6))</f>
        <v/>
      </c>
      <c r="BX110" s="68" t="str">
        <f>IF(main!CJ113="","",ROUND(main!CJ113*100,6))</f>
        <v/>
      </c>
      <c r="BY110" s="68" t="str">
        <f>IF(main!CK113="","",ROUND(main!CK113*100,6))</f>
        <v/>
      </c>
      <c r="BZ110" s="68" t="str">
        <f>IF(main!CL113="","",ROUND(main!CL113*100,6))</f>
        <v/>
      </c>
      <c r="CA110" s="68" t="str">
        <f>IF(main!CM113="","",ROUND(main!CM113*100,6))</f>
        <v/>
      </c>
      <c r="CB110" s="68" t="str">
        <f>IF(main!CN113="","",ROUND(main!CN113*100,6))</f>
        <v/>
      </c>
      <c r="CC110" s="68" t="str">
        <f>IF(main!CO113="","",ROUND(main!CO113*100,6))</f>
        <v/>
      </c>
    </row>
    <row r="111" spans="1:81" x14ac:dyDescent="0.25">
      <c r="A111" s="65" t="s">
        <v>246</v>
      </c>
      <c r="B111" s="66" t="str">
        <f>main!C113</f>
        <v>Fiber Cement Slab</v>
      </c>
      <c r="C111" s="67">
        <f>main!O113</f>
        <v>100000</v>
      </c>
      <c r="D111" s="65" t="s">
        <v>111</v>
      </c>
      <c r="E111" s="68" t="str">
        <f t="shared" si="1"/>
        <v/>
      </c>
      <c r="F111" s="68" t="str">
        <f>IF(main!R114="","",ROUND(main!R114*100,6))</f>
        <v/>
      </c>
      <c r="G111" s="68" t="str">
        <f>IF(main!S114="","",ROUND(main!S114*100,6))</f>
        <v/>
      </c>
      <c r="H111" s="68" t="str">
        <f>IF(main!T114="","",ROUND(main!T114*100,6))</f>
        <v/>
      </c>
      <c r="I111" s="68" t="str">
        <f>IF(main!U114="","",ROUND(main!U114*100,6))</f>
        <v/>
      </c>
      <c r="J111" s="68" t="str">
        <f>IF(main!V114="","",ROUND(main!V114*100,6))</f>
        <v/>
      </c>
      <c r="K111" s="68" t="str">
        <f>IF(main!W114="","",ROUND(main!W114*100,6))</f>
        <v/>
      </c>
      <c r="L111" s="68" t="str">
        <f>IF(main!X114="","",ROUND(main!X114*100,6))</f>
        <v/>
      </c>
      <c r="M111" s="68" t="str">
        <f>IF(main!Y114="","",ROUND(main!Y114*100,6))</f>
        <v/>
      </c>
      <c r="N111" s="68" t="str">
        <f>IF(main!Z114="","",ROUND(main!Z114*100,6))</f>
        <v/>
      </c>
      <c r="O111" s="68" t="str">
        <f>IF(main!AA114="","",ROUND(main!AA114*100,6))</f>
        <v/>
      </c>
      <c r="P111" s="68" t="str">
        <f>IF(main!AB114="","",ROUND(main!AB114*100,6))</f>
        <v/>
      </c>
      <c r="Q111" s="68" t="str">
        <f>IF(main!AC114="","",ROUND(main!AC114*100,6))</f>
        <v/>
      </c>
      <c r="R111" s="68" t="str">
        <f>IF(main!AD114="","",ROUND(main!AD114*100,6))</f>
        <v/>
      </c>
      <c r="S111" s="68" t="str">
        <f>IF(main!AE114="","",ROUND(main!AE114*100,6))</f>
        <v/>
      </c>
      <c r="T111" s="68" t="str">
        <f>IF(main!AF114="","",ROUND(main!AF114*100,6))</f>
        <v/>
      </c>
      <c r="U111" s="68" t="str">
        <f>IF(main!AG114="","",ROUND(main!AG114*100,6))</f>
        <v/>
      </c>
      <c r="V111" s="68" t="str">
        <f>IF(main!AH114="","",ROUND(main!AH114*100,6))</f>
        <v/>
      </c>
      <c r="W111" s="68" t="str">
        <f>IF(main!AI114="","",ROUND(main!AI114*100,6))</f>
        <v/>
      </c>
      <c r="X111" s="68" t="str">
        <f>IF(main!AJ114="","",ROUND(main!AJ114*100,6))</f>
        <v/>
      </c>
      <c r="Y111" s="68" t="str">
        <f>IF(main!AK114="","",ROUND(main!AK114*100,6))</f>
        <v/>
      </c>
      <c r="Z111" s="68" t="str">
        <f>IF(main!AL114="","",ROUND(main!AL114*100,6))</f>
        <v/>
      </c>
      <c r="AA111" s="68" t="str">
        <f>IF(main!AM114="","",ROUND(main!AM114*100,6))</f>
        <v/>
      </c>
      <c r="AB111" s="68" t="str">
        <f>IF(main!AN114="","",ROUND(main!AN114*100,6))</f>
        <v/>
      </c>
      <c r="AC111" s="68" t="str">
        <f>IF(main!AO114="","",ROUND(main!AO114*100,6))</f>
        <v/>
      </c>
      <c r="AD111" s="68" t="str">
        <f>IF(main!AP114="","",ROUND(main!AP114*100,6))</f>
        <v/>
      </c>
      <c r="AE111" s="68" t="str">
        <f>IF(main!AQ114="","",ROUND(main!AQ114*100,6))</f>
        <v/>
      </c>
      <c r="AF111" s="68" t="str">
        <f>IF(main!AR114="","",ROUND(main!AR114*100,6))</f>
        <v/>
      </c>
      <c r="AG111" s="68" t="str">
        <f>IF(main!AS114="","",ROUND(main!AS114*100,6))</f>
        <v/>
      </c>
      <c r="AH111" s="68" t="str">
        <f>IF(main!AT114="","",ROUND(main!AT114*100,6))</f>
        <v/>
      </c>
      <c r="AI111" s="68" t="str">
        <f>IF(main!AU114="","",ROUND(main!AU114*100,6))</f>
        <v/>
      </c>
      <c r="AJ111" s="68" t="str">
        <f>IF(main!AV114="","",ROUND(main!AV114*100,6))</f>
        <v/>
      </c>
      <c r="AK111" s="68" t="str">
        <f>IF(main!AW114="","",ROUND(main!AW114*100,6))</f>
        <v/>
      </c>
      <c r="AL111" s="68" t="str">
        <f>IF(main!AX114="","",ROUND(main!AX114*100,6))</f>
        <v/>
      </c>
      <c r="AM111" s="68" t="str">
        <f>IF(main!AY114="","",ROUND(main!AY114*100,6))</f>
        <v/>
      </c>
      <c r="AN111" s="68" t="str">
        <f>IF(main!AZ114="","",ROUND(main!AZ114*100,6))</f>
        <v/>
      </c>
      <c r="AO111" s="68" t="str">
        <f>IF(main!BA114="","",ROUND(main!BA114*100,6))</f>
        <v/>
      </c>
      <c r="AP111" s="68" t="str">
        <f>IF(main!BB114="","",ROUND(main!BB114*100,6))</f>
        <v/>
      </c>
      <c r="AQ111" s="68" t="str">
        <f>IF(main!BC114="","",ROUND(main!BC114*100,6))</f>
        <v/>
      </c>
      <c r="AR111" s="68" t="str">
        <f>IF(main!BD114="","",ROUND(main!BD114*100,6))</f>
        <v/>
      </c>
      <c r="AS111" s="68" t="str">
        <f>IF(main!BE114="","",ROUND(main!BE114*100,6))</f>
        <v/>
      </c>
      <c r="AT111" s="68" t="str">
        <f>IF(main!BF114="","",ROUND(main!BF114*100,6))</f>
        <v/>
      </c>
      <c r="AU111" s="68" t="str">
        <f>IF(main!BG114="","",ROUND(main!BG114*100,6))</f>
        <v/>
      </c>
      <c r="AV111" s="68" t="str">
        <f>IF(main!BH114="","",ROUND(main!BH114*100,6))</f>
        <v/>
      </c>
      <c r="AW111" s="68" t="str">
        <f>IF(main!BI114="","",ROUND(main!BI114*100,6))</f>
        <v/>
      </c>
      <c r="AX111" s="68" t="str">
        <f>IF(main!BJ114="","",ROUND(main!BJ114*100,6))</f>
        <v/>
      </c>
      <c r="AY111" s="68" t="str">
        <f>IF(main!BK114="","",ROUND(main!BK114*100,6))</f>
        <v/>
      </c>
      <c r="AZ111" s="68" t="str">
        <f>IF(main!BL114="","",ROUND(main!BL114*100,6))</f>
        <v/>
      </c>
      <c r="BA111" s="68" t="str">
        <f>IF(main!BM114="","",ROUND(main!BM114*100,6))</f>
        <v/>
      </c>
      <c r="BB111" s="68" t="str">
        <f>IF(main!BN114="","",ROUND(main!BN114*100,6))</f>
        <v/>
      </c>
      <c r="BC111" s="68" t="str">
        <f>IF(main!BO114="","",ROUND(main!BO114*100,6))</f>
        <v/>
      </c>
      <c r="BD111" s="68" t="str">
        <f>IF(main!BP114="","",ROUND(main!BP114*100,6))</f>
        <v/>
      </c>
      <c r="BE111" s="68" t="str">
        <f>IF(main!BQ114="","",ROUND(main!BQ114*100,6))</f>
        <v/>
      </c>
      <c r="BF111" s="68" t="str">
        <f>IF(main!BR114="","",ROUND(main!BR114*100,6))</f>
        <v/>
      </c>
      <c r="BG111" s="68" t="str">
        <f>IF(main!BS114="","",ROUND(main!BS114*100,6))</f>
        <v/>
      </c>
      <c r="BH111" s="68" t="str">
        <f>IF(main!BT114="","",ROUND(main!BT114*100,6))</f>
        <v/>
      </c>
      <c r="BI111" s="68" t="str">
        <f>IF(main!BU114="","",ROUND(main!BU114*100,6))</f>
        <v/>
      </c>
      <c r="BJ111" s="68" t="str">
        <f>IF(main!BV114="","",ROUND(main!BV114*100,6))</f>
        <v/>
      </c>
      <c r="BK111" s="68" t="str">
        <f>IF(main!BW114="","",ROUND(main!BW114*100,6))</f>
        <v/>
      </c>
      <c r="BL111" s="68" t="str">
        <f>IF(main!BX114="","",ROUND(main!BX114*100,6))</f>
        <v/>
      </c>
      <c r="BM111" s="68" t="str">
        <f>IF(main!BY114="","",ROUND(main!BY114*100,6))</f>
        <v/>
      </c>
      <c r="BN111" s="68" t="str">
        <f>IF(main!BZ114="","",ROUND(main!BZ114*100,6))</f>
        <v/>
      </c>
      <c r="BO111" s="68" t="str">
        <f>IF(main!CA114="","",ROUND(main!CA114*100,6))</f>
        <v/>
      </c>
      <c r="BP111" s="68" t="str">
        <f>IF(main!CB114="","",ROUND(main!CB114*100,6))</f>
        <v/>
      </c>
      <c r="BQ111" s="68" t="str">
        <f>IF(main!CC114="","",ROUND(main!CC114*100,6))</f>
        <v/>
      </c>
      <c r="BR111" s="68" t="str">
        <f>IF(main!CD114="","",ROUND(main!CD114*100,6))</f>
        <v/>
      </c>
      <c r="BS111" s="68" t="str">
        <f>IF(main!CE114="","",ROUND(main!CE114*100,6))</f>
        <v/>
      </c>
      <c r="BT111" s="68" t="str">
        <f>IF(main!CF114="","",ROUND(main!CF114*100,6))</f>
        <v/>
      </c>
      <c r="BU111" s="68" t="str">
        <f>IF(main!CG114="","",ROUND(main!CG114*100,6))</f>
        <v/>
      </c>
      <c r="BV111" s="68" t="str">
        <f>IF(main!CH114="","",ROUND(main!CH114*100,6))</f>
        <v/>
      </c>
      <c r="BW111" s="68" t="str">
        <f>IF(main!CI114="","",ROUND(main!CI114*100,6))</f>
        <v/>
      </c>
      <c r="BX111" s="68" t="str">
        <f>IF(main!CJ114="","",ROUND(main!CJ114*100,6))</f>
        <v/>
      </c>
      <c r="BY111" s="68" t="str">
        <f>IF(main!CK114="","",ROUND(main!CK114*100,6))</f>
        <v/>
      </c>
      <c r="BZ111" s="68" t="str">
        <f>IF(main!CL114="","",ROUND(main!CL114*100,6))</f>
        <v/>
      </c>
      <c r="CA111" s="68" t="str">
        <f>IF(main!CM114="","",ROUND(main!CM114*100,6))</f>
        <v/>
      </c>
      <c r="CB111" s="68" t="str">
        <f>IF(main!CN114="","",ROUND(main!CN114*100,6))</f>
        <v/>
      </c>
      <c r="CC111" s="68" t="str">
        <f>IF(main!CO114="","",ROUND(main!CO114*100,6))</f>
        <v/>
      </c>
    </row>
    <row r="112" spans="1:81" x14ac:dyDescent="0.25">
      <c r="A112" s="65" t="s">
        <v>249</v>
      </c>
      <c r="B112" s="66" t="str">
        <f>main!C115</f>
        <v>ST6</v>
      </c>
      <c r="C112" s="67">
        <f>main!O115</f>
        <v>300000</v>
      </c>
      <c r="D112" s="65" t="s">
        <v>110</v>
      </c>
      <c r="E112" s="68">
        <f t="shared" si="1"/>
        <v>100.00000199999999</v>
      </c>
      <c r="F112" s="68" t="str">
        <f>IF(main!R115="","",ROUND(main!R115*100,6))</f>
        <v/>
      </c>
      <c r="G112" s="68" t="str">
        <f>IF(main!S115="","",ROUND(main!S115*100,6))</f>
        <v/>
      </c>
      <c r="H112" s="68" t="str">
        <f>IF(main!T115="","",ROUND(main!T115*100,6))</f>
        <v/>
      </c>
      <c r="I112" s="68" t="str">
        <f>IF(main!U115="","",ROUND(main!U115*100,6))</f>
        <v/>
      </c>
      <c r="J112" s="68" t="str">
        <f>IF(main!V115="","",ROUND(main!V115*100,6))</f>
        <v/>
      </c>
      <c r="K112" s="68" t="str">
        <f>IF(main!W115="","",ROUND(main!W115*100,6))</f>
        <v/>
      </c>
      <c r="L112" s="68" t="str">
        <f>IF(main!X115="","",ROUND(main!X115*100,6))</f>
        <v/>
      </c>
      <c r="M112" s="68" t="str">
        <f>IF(main!Y115="","",ROUND(main!Y115*100,6))</f>
        <v/>
      </c>
      <c r="N112" s="68" t="str">
        <f>IF(main!Z115="","",ROUND(main!Z115*100,6))</f>
        <v/>
      </c>
      <c r="O112" s="68" t="str">
        <f>IF(main!AA115="","",ROUND(main!AA115*100,6))</f>
        <v/>
      </c>
      <c r="P112" s="68" t="str">
        <f>IF(main!AB115="","",ROUND(main!AB115*100,6))</f>
        <v/>
      </c>
      <c r="Q112" s="68" t="str">
        <f>IF(main!AC115="","",ROUND(main!AC115*100,6))</f>
        <v/>
      </c>
      <c r="R112" s="68" t="str">
        <f>IF(main!AD115="","",ROUND(main!AD115*100,6))</f>
        <v/>
      </c>
      <c r="S112" s="68" t="str">
        <f>IF(main!AE115="","",ROUND(main!AE115*100,6))</f>
        <v/>
      </c>
      <c r="T112" s="68" t="str">
        <f>IF(main!AF115="","",ROUND(main!AF115*100,6))</f>
        <v/>
      </c>
      <c r="U112" s="68" t="str">
        <f>IF(main!AG115="","",ROUND(main!AG115*100,6))</f>
        <v/>
      </c>
      <c r="V112" s="68" t="str">
        <f>IF(main!AH115="","",ROUND(main!AH115*100,6))</f>
        <v/>
      </c>
      <c r="W112" s="68" t="str">
        <f>IF(main!AI115="","",ROUND(main!AI115*100,6))</f>
        <v/>
      </c>
      <c r="X112" s="68" t="str">
        <f>IF(main!AJ115="","",ROUND(main!AJ115*100,6))</f>
        <v/>
      </c>
      <c r="Y112" s="68" t="str">
        <f>IF(main!AK115="","",ROUND(main!AK115*100,6))</f>
        <v/>
      </c>
      <c r="Z112" s="68" t="str">
        <f>IF(main!AL115="","",ROUND(main!AL115*100,6))</f>
        <v/>
      </c>
      <c r="AA112" s="68" t="str">
        <f>IF(main!AM115="","",ROUND(main!AM115*100,6))</f>
        <v/>
      </c>
      <c r="AB112" s="68" t="str">
        <f>IF(main!AN115="","",ROUND(main!AN115*100,6))</f>
        <v/>
      </c>
      <c r="AC112" s="68" t="str">
        <f>IF(main!AO115="","",ROUND(main!AO115*100,6))</f>
        <v/>
      </c>
      <c r="AD112" s="68" t="str">
        <f>IF(main!AP115="","",ROUND(main!AP115*100,6))</f>
        <v/>
      </c>
      <c r="AE112" s="68" t="str">
        <f>IF(main!AQ115="","",ROUND(main!AQ115*100,6))</f>
        <v/>
      </c>
      <c r="AF112" s="68" t="str">
        <f>IF(main!AR115="","",ROUND(main!AR115*100,6))</f>
        <v/>
      </c>
      <c r="AG112" s="68" t="str">
        <f>IF(main!AS115="","",ROUND(main!AS115*100,6))</f>
        <v/>
      </c>
      <c r="AH112" s="68" t="str">
        <f>IF(main!AT115="","",ROUND(main!AT115*100,6))</f>
        <v/>
      </c>
      <c r="AI112" s="68" t="str">
        <f>IF(main!AU115="","",ROUND(main!AU115*100,6))</f>
        <v/>
      </c>
      <c r="AJ112" s="68" t="str">
        <f>IF(main!AV115="","",ROUND(main!AV115*100,6))</f>
        <v/>
      </c>
      <c r="AK112" s="68" t="str">
        <f>IF(main!AW115="","",ROUND(main!AW115*100,6))</f>
        <v/>
      </c>
      <c r="AL112" s="68" t="str">
        <f>IF(main!AX115="","",ROUND(main!AX115*100,6))</f>
        <v/>
      </c>
      <c r="AM112" s="68" t="str">
        <f>IF(main!AY115="","",ROUND(main!AY115*100,6))</f>
        <v/>
      </c>
      <c r="AN112" s="68" t="str">
        <f>IF(main!AZ115="","",ROUND(main!AZ115*100,6))</f>
        <v/>
      </c>
      <c r="AO112" s="68" t="str">
        <f>IF(main!BA115="","",ROUND(main!BA115*100,6))</f>
        <v/>
      </c>
      <c r="AP112" s="68" t="str">
        <f>IF(main!BB115="","",ROUND(main!BB115*100,6))</f>
        <v/>
      </c>
      <c r="AQ112" s="68" t="str">
        <f>IF(main!BC115="","",ROUND(main!BC115*100,6))</f>
        <v/>
      </c>
      <c r="AR112" s="68" t="str">
        <f>IF(main!BD115="","",ROUND(main!BD115*100,6))</f>
        <v/>
      </c>
      <c r="AS112" s="68" t="str">
        <f>IF(main!BE115="","",ROUND(main!BE115*100,6))</f>
        <v/>
      </c>
      <c r="AT112" s="68" t="str">
        <f>IF(main!BF115="","",ROUND(main!BF115*100,6))</f>
        <v/>
      </c>
      <c r="AU112" s="68" t="str">
        <f>IF(main!BG115="","",ROUND(main!BG115*100,6))</f>
        <v/>
      </c>
      <c r="AV112" s="68" t="str">
        <f>IF(main!BH115="","",ROUND(main!BH115*100,6))</f>
        <v/>
      </c>
      <c r="AW112" s="68" t="str">
        <f>IF(main!BI115="","",ROUND(main!BI115*100,6))</f>
        <v/>
      </c>
      <c r="AX112" s="68" t="str">
        <f>IF(main!BJ115="","",ROUND(main!BJ115*100,6))</f>
        <v/>
      </c>
      <c r="AY112" s="68" t="str">
        <f>IF(main!BK115="","",ROUND(main!BK115*100,6))</f>
        <v/>
      </c>
      <c r="AZ112" s="68" t="str">
        <f>IF(main!BL115="","",ROUND(main!BL115*100,6))</f>
        <v/>
      </c>
      <c r="BA112" s="68" t="str">
        <f>IF(main!BM115="","",ROUND(main!BM115*100,6))</f>
        <v/>
      </c>
      <c r="BB112" s="68" t="str">
        <f>IF(main!BN115="","",ROUND(main!BN115*100,6))</f>
        <v/>
      </c>
      <c r="BC112" s="68" t="str">
        <f>IF(main!BO115="","",ROUND(main!BO115*100,6))</f>
        <v/>
      </c>
      <c r="BD112" s="68" t="str">
        <f>IF(main!BP115="","",ROUND(main!BP115*100,6))</f>
        <v/>
      </c>
      <c r="BE112" s="68" t="str">
        <f>IF(main!BQ115="","",ROUND(main!BQ115*100,6))</f>
        <v/>
      </c>
      <c r="BF112" s="68">
        <f>IF(main!BR115="","",ROUND(main!BR115*100,6))</f>
        <v>9.5238099999999992</v>
      </c>
      <c r="BG112" s="68">
        <f>IF(main!BS115="","",ROUND(main!BS115*100,6))</f>
        <v>26.584182999999999</v>
      </c>
      <c r="BH112" s="68">
        <f>IF(main!BT115="","",ROUND(main!BT115*100,6))</f>
        <v>23.622028</v>
      </c>
      <c r="BI112" s="68">
        <f>IF(main!BU115="","",ROUND(main!BU115*100,6))</f>
        <v>16.460457000000002</v>
      </c>
      <c r="BJ112" s="68">
        <f>IF(main!BV115="","",ROUND(main!BV115*100,6))</f>
        <v>23.809524</v>
      </c>
      <c r="BK112" s="68" t="str">
        <f>IF(main!BW115="","",ROUND(main!BW115*100,6))</f>
        <v/>
      </c>
      <c r="BL112" s="68" t="str">
        <f>IF(main!BX115="","",ROUND(main!BX115*100,6))</f>
        <v/>
      </c>
      <c r="BM112" s="68" t="str">
        <f>IF(main!BY115="","",ROUND(main!BY115*100,6))</f>
        <v/>
      </c>
      <c r="BN112" s="68" t="str">
        <f>IF(main!BZ115="","",ROUND(main!BZ115*100,6))</f>
        <v/>
      </c>
      <c r="BO112" s="68" t="str">
        <f>IF(main!CA115="","",ROUND(main!CA115*100,6))</f>
        <v/>
      </c>
      <c r="BP112" s="68" t="str">
        <f>IF(main!CB115="","",ROUND(main!CB115*100,6))</f>
        <v/>
      </c>
      <c r="BQ112" s="68" t="str">
        <f>IF(main!CC115="","",ROUND(main!CC115*100,6))</f>
        <v/>
      </c>
      <c r="BR112" s="68" t="str">
        <f>IF(main!CD115="","",ROUND(main!CD115*100,6))</f>
        <v/>
      </c>
      <c r="BS112" s="68" t="str">
        <f>IF(main!CE115="","",ROUND(main!CE115*100,6))</f>
        <v/>
      </c>
      <c r="BT112" s="68" t="str">
        <f>IF(main!CF115="","",ROUND(main!CF115*100,6))</f>
        <v/>
      </c>
      <c r="BU112" s="68" t="str">
        <f>IF(main!CG115="","",ROUND(main!CG115*100,6))</f>
        <v/>
      </c>
      <c r="BV112" s="68" t="str">
        <f>IF(main!CH115="","",ROUND(main!CH115*100,6))</f>
        <v/>
      </c>
      <c r="BW112" s="68" t="str">
        <f>IF(main!CI115="","",ROUND(main!CI115*100,6))</f>
        <v/>
      </c>
      <c r="BX112" s="68" t="str">
        <f>IF(main!CJ115="","",ROUND(main!CJ115*100,6))</f>
        <v/>
      </c>
      <c r="BY112" s="68" t="str">
        <f>IF(main!CK115="","",ROUND(main!CK115*100,6))</f>
        <v/>
      </c>
      <c r="BZ112" s="68" t="str">
        <f>IF(main!CL115="","",ROUND(main!CL115*100,6))</f>
        <v/>
      </c>
      <c r="CA112" s="68" t="str">
        <f>IF(main!CM115="","",ROUND(main!CM115*100,6))</f>
        <v/>
      </c>
      <c r="CB112" s="68" t="str">
        <f>IF(main!CN115="","",ROUND(main!CN115*100,6))</f>
        <v/>
      </c>
      <c r="CC112" s="68" t="str">
        <f>IF(main!CO115="","",ROUND(main!CO115*100,6))</f>
        <v/>
      </c>
    </row>
    <row r="113" spans="1:81" x14ac:dyDescent="0.25">
      <c r="A113" s="65" t="s">
        <v>249</v>
      </c>
      <c r="B113" s="66" t="str">
        <f>main!C115</f>
        <v>ST6</v>
      </c>
      <c r="C113" s="67">
        <f>main!O115</f>
        <v>300000</v>
      </c>
      <c r="D113" s="65" t="s">
        <v>111</v>
      </c>
      <c r="E113" s="68" t="str">
        <f t="shared" si="1"/>
        <v/>
      </c>
      <c r="F113" s="68" t="str">
        <f>IF(main!R116="","",ROUND(main!R116*100,6))</f>
        <v/>
      </c>
      <c r="G113" s="68" t="str">
        <f>IF(main!S116="","",ROUND(main!S116*100,6))</f>
        <v/>
      </c>
      <c r="H113" s="68" t="str">
        <f>IF(main!T116="","",ROUND(main!T116*100,6))</f>
        <v/>
      </c>
      <c r="I113" s="68" t="str">
        <f>IF(main!U116="","",ROUND(main!U116*100,6))</f>
        <v/>
      </c>
      <c r="J113" s="68" t="str">
        <f>IF(main!V116="","",ROUND(main!V116*100,6))</f>
        <v/>
      </c>
      <c r="K113" s="68" t="str">
        <f>IF(main!W116="","",ROUND(main!W116*100,6))</f>
        <v/>
      </c>
      <c r="L113" s="68" t="str">
        <f>IF(main!X116="","",ROUND(main!X116*100,6))</f>
        <v/>
      </c>
      <c r="M113" s="68" t="str">
        <f>IF(main!Y116="","",ROUND(main!Y116*100,6))</f>
        <v/>
      </c>
      <c r="N113" s="68" t="str">
        <f>IF(main!Z116="","",ROUND(main!Z116*100,6))</f>
        <v/>
      </c>
      <c r="O113" s="68" t="str">
        <f>IF(main!AA116="","",ROUND(main!AA116*100,6))</f>
        <v/>
      </c>
      <c r="P113" s="68" t="str">
        <f>IF(main!AB116="","",ROUND(main!AB116*100,6))</f>
        <v/>
      </c>
      <c r="Q113" s="68" t="str">
        <f>IF(main!AC116="","",ROUND(main!AC116*100,6))</f>
        <v/>
      </c>
      <c r="R113" s="68" t="str">
        <f>IF(main!AD116="","",ROUND(main!AD116*100,6))</f>
        <v/>
      </c>
      <c r="S113" s="68" t="str">
        <f>IF(main!AE116="","",ROUND(main!AE116*100,6))</f>
        <v/>
      </c>
      <c r="T113" s="68" t="str">
        <f>IF(main!AF116="","",ROUND(main!AF116*100,6))</f>
        <v/>
      </c>
      <c r="U113" s="68" t="str">
        <f>IF(main!AG116="","",ROUND(main!AG116*100,6))</f>
        <v/>
      </c>
      <c r="V113" s="68" t="str">
        <f>IF(main!AH116="","",ROUND(main!AH116*100,6))</f>
        <v/>
      </c>
      <c r="W113" s="68" t="str">
        <f>IF(main!AI116="","",ROUND(main!AI116*100,6))</f>
        <v/>
      </c>
      <c r="X113" s="68" t="str">
        <f>IF(main!AJ116="","",ROUND(main!AJ116*100,6))</f>
        <v/>
      </c>
      <c r="Y113" s="68" t="str">
        <f>IF(main!AK116="","",ROUND(main!AK116*100,6))</f>
        <v/>
      </c>
      <c r="Z113" s="68" t="str">
        <f>IF(main!AL116="","",ROUND(main!AL116*100,6))</f>
        <v/>
      </c>
      <c r="AA113" s="68" t="str">
        <f>IF(main!AM116="","",ROUND(main!AM116*100,6))</f>
        <v/>
      </c>
      <c r="AB113" s="68" t="str">
        <f>IF(main!AN116="","",ROUND(main!AN116*100,6))</f>
        <v/>
      </c>
      <c r="AC113" s="68" t="str">
        <f>IF(main!AO116="","",ROUND(main!AO116*100,6))</f>
        <v/>
      </c>
      <c r="AD113" s="68" t="str">
        <f>IF(main!AP116="","",ROUND(main!AP116*100,6))</f>
        <v/>
      </c>
      <c r="AE113" s="68" t="str">
        <f>IF(main!AQ116="","",ROUND(main!AQ116*100,6))</f>
        <v/>
      </c>
      <c r="AF113" s="68" t="str">
        <f>IF(main!AR116="","",ROUND(main!AR116*100,6))</f>
        <v/>
      </c>
      <c r="AG113" s="68" t="str">
        <f>IF(main!AS116="","",ROUND(main!AS116*100,6))</f>
        <v/>
      </c>
      <c r="AH113" s="68" t="str">
        <f>IF(main!AT116="","",ROUND(main!AT116*100,6))</f>
        <v/>
      </c>
      <c r="AI113" s="68" t="str">
        <f>IF(main!AU116="","",ROUND(main!AU116*100,6))</f>
        <v/>
      </c>
      <c r="AJ113" s="68" t="str">
        <f>IF(main!AV116="","",ROUND(main!AV116*100,6))</f>
        <v/>
      </c>
      <c r="AK113" s="68" t="str">
        <f>IF(main!AW116="","",ROUND(main!AW116*100,6))</f>
        <v/>
      </c>
      <c r="AL113" s="68" t="str">
        <f>IF(main!AX116="","",ROUND(main!AX116*100,6))</f>
        <v/>
      </c>
      <c r="AM113" s="68" t="str">
        <f>IF(main!AY116="","",ROUND(main!AY116*100,6))</f>
        <v/>
      </c>
      <c r="AN113" s="68" t="str">
        <f>IF(main!AZ116="","",ROUND(main!AZ116*100,6))</f>
        <v/>
      </c>
      <c r="AO113" s="68" t="str">
        <f>IF(main!BA116="","",ROUND(main!BA116*100,6))</f>
        <v/>
      </c>
      <c r="AP113" s="68" t="str">
        <f>IF(main!BB116="","",ROUND(main!BB116*100,6))</f>
        <v/>
      </c>
      <c r="AQ113" s="68" t="str">
        <f>IF(main!BC116="","",ROUND(main!BC116*100,6))</f>
        <v/>
      </c>
      <c r="AR113" s="68" t="str">
        <f>IF(main!BD116="","",ROUND(main!BD116*100,6))</f>
        <v/>
      </c>
      <c r="AS113" s="68" t="str">
        <f>IF(main!BE116="","",ROUND(main!BE116*100,6))</f>
        <v/>
      </c>
      <c r="AT113" s="68" t="str">
        <f>IF(main!BF116="","",ROUND(main!BF116*100,6))</f>
        <v/>
      </c>
      <c r="AU113" s="68" t="str">
        <f>IF(main!BG116="","",ROUND(main!BG116*100,6))</f>
        <v/>
      </c>
      <c r="AV113" s="68" t="str">
        <f>IF(main!BH116="","",ROUND(main!BH116*100,6))</f>
        <v/>
      </c>
      <c r="AW113" s="68" t="str">
        <f>IF(main!BI116="","",ROUND(main!BI116*100,6))</f>
        <v/>
      </c>
      <c r="AX113" s="68" t="str">
        <f>IF(main!BJ116="","",ROUND(main!BJ116*100,6))</f>
        <v/>
      </c>
      <c r="AY113" s="68" t="str">
        <f>IF(main!BK116="","",ROUND(main!BK116*100,6))</f>
        <v/>
      </c>
      <c r="AZ113" s="68" t="str">
        <f>IF(main!BL116="","",ROUND(main!BL116*100,6))</f>
        <v/>
      </c>
      <c r="BA113" s="68" t="str">
        <f>IF(main!BM116="","",ROUND(main!BM116*100,6))</f>
        <v/>
      </c>
      <c r="BB113" s="68" t="str">
        <f>IF(main!BN116="","",ROUND(main!BN116*100,6))</f>
        <v/>
      </c>
      <c r="BC113" s="68" t="str">
        <f>IF(main!BO116="","",ROUND(main!BO116*100,6))</f>
        <v/>
      </c>
      <c r="BD113" s="68" t="str">
        <f>IF(main!BP116="","",ROUND(main!BP116*100,6))</f>
        <v/>
      </c>
      <c r="BE113" s="68" t="str">
        <f>IF(main!BQ116="","",ROUND(main!BQ116*100,6))</f>
        <v/>
      </c>
      <c r="BF113" s="68" t="str">
        <f>IF(main!BR116="","",ROUND(main!BR116*100,6))</f>
        <v/>
      </c>
      <c r="BG113" s="68" t="str">
        <f>IF(main!BS116="","",ROUND(main!BS116*100,6))</f>
        <v/>
      </c>
      <c r="BH113" s="68" t="str">
        <f>IF(main!BT116="","",ROUND(main!BT116*100,6))</f>
        <v/>
      </c>
      <c r="BI113" s="68" t="str">
        <f>IF(main!BU116="","",ROUND(main!BU116*100,6))</f>
        <v/>
      </c>
      <c r="BJ113" s="68" t="str">
        <f>IF(main!BV116="","",ROUND(main!BV116*100,6))</f>
        <v/>
      </c>
      <c r="BK113" s="68" t="str">
        <f>IF(main!BW116="","",ROUND(main!BW116*100,6))</f>
        <v/>
      </c>
      <c r="BL113" s="68" t="str">
        <f>IF(main!BX116="","",ROUND(main!BX116*100,6))</f>
        <v/>
      </c>
      <c r="BM113" s="68" t="str">
        <f>IF(main!BY116="","",ROUND(main!BY116*100,6))</f>
        <v/>
      </c>
      <c r="BN113" s="68" t="str">
        <f>IF(main!BZ116="","",ROUND(main!BZ116*100,6))</f>
        <v/>
      </c>
      <c r="BO113" s="68" t="str">
        <f>IF(main!CA116="","",ROUND(main!CA116*100,6))</f>
        <v/>
      </c>
      <c r="BP113" s="68" t="str">
        <f>IF(main!CB116="","",ROUND(main!CB116*100,6))</f>
        <v/>
      </c>
      <c r="BQ113" s="68" t="str">
        <f>IF(main!CC116="","",ROUND(main!CC116*100,6))</f>
        <v/>
      </c>
      <c r="BR113" s="68" t="str">
        <f>IF(main!CD116="","",ROUND(main!CD116*100,6))</f>
        <v/>
      </c>
      <c r="BS113" s="68" t="str">
        <f>IF(main!CE116="","",ROUND(main!CE116*100,6))</f>
        <v/>
      </c>
      <c r="BT113" s="68" t="str">
        <f>IF(main!CF116="","",ROUND(main!CF116*100,6))</f>
        <v/>
      </c>
      <c r="BU113" s="68" t="str">
        <f>IF(main!CG116="","",ROUND(main!CG116*100,6))</f>
        <v/>
      </c>
      <c r="BV113" s="68" t="str">
        <f>IF(main!CH116="","",ROUND(main!CH116*100,6))</f>
        <v/>
      </c>
      <c r="BW113" s="68" t="str">
        <f>IF(main!CI116="","",ROUND(main!CI116*100,6))</f>
        <v/>
      </c>
      <c r="BX113" s="68" t="str">
        <f>IF(main!CJ116="","",ROUND(main!CJ116*100,6))</f>
        <v/>
      </c>
      <c r="BY113" s="68" t="str">
        <f>IF(main!CK116="","",ROUND(main!CK116*100,6))</f>
        <v/>
      </c>
      <c r="BZ113" s="68" t="str">
        <f>IF(main!CL116="","",ROUND(main!CL116*100,6))</f>
        <v/>
      </c>
      <c r="CA113" s="68" t="str">
        <f>IF(main!CM116="","",ROUND(main!CM116*100,6))</f>
        <v/>
      </c>
      <c r="CB113" s="68" t="str">
        <f>IF(main!CN116="","",ROUND(main!CN116*100,6))</f>
        <v/>
      </c>
      <c r="CC113" s="68" t="str">
        <f>IF(main!CO116="","",ROUND(main!CO116*100,6))</f>
        <v/>
      </c>
    </row>
    <row r="114" spans="1:81" x14ac:dyDescent="0.25">
      <c r="A114" s="65" t="s">
        <v>251</v>
      </c>
      <c r="B114" s="66" t="str">
        <f>main!C117</f>
        <v>Support Installation</v>
      </c>
      <c r="C114" s="67">
        <f>main!O117</f>
        <v>100000</v>
      </c>
      <c r="D114" s="65" t="s">
        <v>110</v>
      </c>
      <c r="E114" s="68">
        <f t="shared" si="1"/>
        <v>100</v>
      </c>
      <c r="F114" s="68" t="str">
        <f>IF(main!R117="","",ROUND(main!R117*100,6))</f>
        <v/>
      </c>
      <c r="G114" s="68" t="str">
        <f>IF(main!S117="","",ROUND(main!S117*100,6))</f>
        <v/>
      </c>
      <c r="H114" s="68" t="str">
        <f>IF(main!T117="","",ROUND(main!T117*100,6))</f>
        <v/>
      </c>
      <c r="I114" s="68" t="str">
        <f>IF(main!U117="","",ROUND(main!U117*100,6))</f>
        <v/>
      </c>
      <c r="J114" s="68" t="str">
        <f>IF(main!V117="","",ROUND(main!V117*100,6))</f>
        <v/>
      </c>
      <c r="K114" s="68" t="str">
        <f>IF(main!W117="","",ROUND(main!W117*100,6))</f>
        <v/>
      </c>
      <c r="L114" s="68" t="str">
        <f>IF(main!X117="","",ROUND(main!X117*100,6))</f>
        <v/>
      </c>
      <c r="M114" s="68" t="str">
        <f>IF(main!Y117="","",ROUND(main!Y117*100,6))</f>
        <v/>
      </c>
      <c r="N114" s="68" t="str">
        <f>IF(main!Z117="","",ROUND(main!Z117*100,6))</f>
        <v/>
      </c>
      <c r="O114" s="68" t="str">
        <f>IF(main!AA117="","",ROUND(main!AA117*100,6))</f>
        <v/>
      </c>
      <c r="P114" s="68" t="str">
        <f>IF(main!AB117="","",ROUND(main!AB117*100,6))</f>
        <v/>
      </c>
      <c r="Q114" s="68" t="str">
        <f>IF(main!AC117="","",ROUND(main!AC117*100,6))</f>
        <v/>
      </c>
      <c r="R114" s="68" t="str">
        <f>IF(main!AD117="","",ROUND(main!AD117*100,6))</f>
        <v/>
      </c>
      <c r="S114" s="68" t="str">
        <f>IF(main!AE117="","",ROUND(main!AE117*100,6))</f>
        <v/>
      </c>
      <c r="T114" s="68" t="str">
        <f>IF(main!AF117="","",ROUND(main!AF117*100,6))</f>
        <v/>
      </c>
      <c r="U114" s="68" t="str">
        <f>IF(main!AG117="","",ROUND(main!AG117*100,6))</f>
        <v/>
      </c>
      <c r="V114" s="68" t="str">
        <f>IF(main!AH117="","",ROUND(main!AH117*100,6))</f>
        <v/>
      </c>
      <c r="W114" s="68" t="str">
        <f>IF(main!AI117="","",ROUND(main!AI117*100,6))</f>
        <v/>
      </c>
      <c r="X114" s="68" t="str">
        <f>IF(main!AJ117="","",ROUND(main!AJ117*100,6))</f>
        <v/>
      </c>
      <c r="Y114" s="68" t="str">
        <f>IF(main!AK117="","",ROUND(main!AK117*100,6))</f>
        <v/>
      </c>
      <c r="Z114" s="68" t="str">
        <f>IF(main!AL117="","",ROUND(main!AL117*100,6))</f>
        <v/>
      </c>
      <c r="AA114" s="68" t="str">
        <f>IF(main!AM117="","",ROUND(main!AM117*100,6))</f>
        <v/>
      </c>
      <c r="AB114" s="68" t="str">
        <f>IF(main!AN117="","",ROUND(main!AN117*100,6))</f>
        <v/>
      </c>
      <c r="AC114" s="68" t="str">
        <f>IF(main!AO117="","",ROUND(main!AO117*100,6))</f>
        <v/>
      </c>
      <c r="AD114" s="68" t="str">
        <f>IF(main!AP117="","",ROUND(main!AP117*100,6))</f>
        <v/>
      </c>
      <c r="AE114" s="68" t="str">
        <f>IF(main!AQ117="","",ROUND(main!AQ117*100,6))</f>
        <v/>
      </c>
      <c r="AF114" s="68" t="str">
        <f>IF(main!AR117="","",ROUND(main!AR117*100,6))</f>
        <v/>
      </c>
      <c r="AG114" s="68" t="str">
        <f>IF(main!AS117="","",ROUND(main!AS117*100,6))</f>
        <v/>
      </c>
      <c r="AH114" s="68" t="str">
        <f>IF(main!AT117="","",ROUND(main!AT117*100,6))</f>
        <v/>
      </c>
      <c r="AI114" s="68" t="str">
        <f>IF(main!AU117="","",ROUND(main!AU117*100,6))</f>
        <v/>
      </c>
      <c r="AJ114" s="68" t="str">
        <f>IF(main!AV117="","",ROUND(main!AV117*100,6))</f>
        <v/>
      </c>
      <c r="AK114" s="68" t="str">
        <f>IF(main!AW117="","",ROUND(main!AW117*100,6))</f>
        <v/>
      </c>
      <c r="AL114" s="68" t="str">
        <f>IF(main!AX117="","",ROUND(main!AX117*100,6))</f>
        <v/>
      </c>
      <c r="AM114" s="68" t="str">
        <f>IF(main!AY117="","",ROUND(main!AY117*100,6))</f>
        <v/>
      </c>
      <c r="AN114" s="68" t="str">
        <f>IF(main!AZ117="","",ROUND(main!AZ117*100,6))</f>
        <v/>
      </c>
      <c r="AO114" s="68" t="str">
        <f>IF(main!BA117="","",ROUND(main!BA117*100,6))</f>
        <v/>
      </c>
      <c r="AP114" s="68" t="str">
        <f>IF(main!BB117="","",ROUND(main!BB117*100,6))</f>
        <v/>
      </c>
      <c r="AQ114" s="68" t="str">
        <f>IF(main!BC117="","",ROUND(main!BC117*100,6))</f>
        <v/>
      </c>
      <c r="AR114" s="68" t="str">
        <f>IF(main!BD117="","",ROUND(main!BD117*100,6))</f>
        <v/>
      </c>
      <c r="AS114" s="68" t="str">
        <f>IF(main!BE117="","",ROUND(main!BE117*100,6))</f>
        <v/>
      </c>
      <c r="AT114" s="68" t="str">
        <f>IF(main!BF117="","",ROUND(main!BF117*100,6))</f>
        <v/>
      </c>
      <c r="AU114" s="68" t="str">
        <f>IF(main!BG117="","",ROUND(main!BG117*100,6))</f>
        <v/>
      </c>
      <c r="AV114" s="68" t="str">
        <f>IF(main!BH117="","",ROUND(main!BH117*100,6))</f>
        <v/>
      </c>
      <c r="AW114" s="68" t="str">
        <f>IF(main!BI117="","",ROUND(main!BI117*100,6))</f>
        <v/>
      </c>
      <c r="AX114" s="68" t="str">
        <f>IF(main!BJ117="","",ROUND(main!BJ117*100,6))</f>
        <v/>
      </c>
      <c r="AY114" s="68" t="str">
        <f>IF(main!BK117="","",ROUND(main!BK117*100,6))</f>
        <v/>
      </c>
      <c r="AZ114" s="68" t="str">
        <f>IF(main!BL117="","",ROUND(main!BL117*100,6))</f>
        <v/>
      </c>
      <c r="BA114" s="68" t="str">
        <f>IF(main!BM117="","",ROUND(main!BM117*100,6))</f>
        <v/>
      </c>
      <c r="BB114" s="68" t="str">
        <f>IF(main!BN117="","",ROUND(main!BN117*100,6))</f>
        <v/>
      </c>
      <c r="BC114" s="68" t="str">
        <f>IF(main!BO117="","",ROUND(main!BO117*100,6))</f>
        <v/>
      </c>
      <c r="BD114" s="68" t="str">
        <f>IF(main!BP117="","",ROUND(main!BP117*100,6))</f>
        <v/>
      </c>
      <c r="BE114" s="68" t="str">
        <f>IF(main!BQ117="","",ROUND(main!BQ117*100,6))</f>
        <v/>
      </c>
      <c r="BF114" s="68">
        <f>IF(main!BR117="","",ROUND(main!BR117*100,6))</f>
        <v>28.571428999999998</v>
      </c>
      <c r="BG114" s="68">
        <f>IF(main!BS117="","",ROUND(main!BS117*100,6))</f>
        <v>71.428571000000005</v>
      </c>
      <c r="BH114" s="68" t="str">
        <f>IF(main!BT117="","",ROUND(main!BT117*100,6))</f>
        <v/>
      </c>
      <c r="BI114" s="68" t="str">
        <f>IF(main!BU117="","",ROUND(main!BU117*100,6))</f>
        <v/>
      </c>
      <c r="BJ114" s="68" t="str">
        <f>IF(main!BV117="","",ROUND(main!BV117*100,6))</f>
        <v/>
      </c>
      <c r="BK114" s="68" t="str">
        <f>IF(main!BW117="","",ROUND(main!BW117*100,6))</f>
        <v/>
      </c>
      <c r="BL114" s="68" t="str">
        <f>IF(main!BX117="","",ROUND(main!BX117*100,6))</f>
        <v/>
      </c>
      <c r="BM114" s="68" t="str">
        <f>IF(main!BY117="","",ROUND(main!BY117*100,6))</f>
        <v/>
      </c>
      <c r="BN114" s="68" t="str">
        <f>IF(main!BZ117="","",ROUND(main!BZ117*100,6))</f>
        <v/>
      </c>
      <c r="BO114" s="68" t="str">
        <f>IF(main!CA117="","",ROUND(main!CA117*100,6))</f>
        <v/>
      </c>
      <c r="BP114" s="68" t="str">
        <f>IF(main!CB117="","",ROUND(main!CB117*100,6))</f>
        <v/>
      </c>
      <c r="BQ114" s="68" t="str">
        <f>IF(main!CC117="","",ROUND(main!CC117*100,6))</f>
        <v/>
      </c>
      <c r="BR114" s="68" t="str">
        <f>IF(main!CD117="","",ROUND(main!CD117*100,6))</f>
        <v/>
      </c>
      <c r="BS114" s="68" t="str">
        <f>IF(main!CE117="","",ROUND(main!CE117*100,6))</f>
        <v/>
      </c>
      <c r="BT114" s="68" t="str">
        <f>IF(main!CF117="","",ROUND(main!CF117*100,6))</f>
        <v/>
      </c>
      <c r="BU114" s="68" t="str">
        <f>IF(main!CG117="","",ROUND(main!CG117*100,6))</f>
        <v/>
      </c>
      <c r="BV114" s="68" t="str">
        <f>IF(main!CH117="","",ROUND(main!CH117*100,6))</f>
        <v/>
      </c>
      <c r="BW114" s="68" t="str">
        <f>IF(main!CI117="","",ROUND(main!CI117*100,6))</f>
        <v/>
      </c>
      <c r="BX114" s="68" t="str">
        <f>IF(main!CJ117="","",ROUND(main!CJ117*100,6))</f>
        <v/>
      </c>
      <c r="BY114" s="68" t="str">
        <f>IF(main!CK117="","",ROUND(main!CK117*100,6))</f>
        <v/>
      </c>
      <c r="BZ114" s="68" t="str">
        <f>IF(main!CL117="","",ROUND(main!CL117*100,6))</f>
        <v/>
      </c>
      <c r="CA114" s="68" t="str">
        <f>IF(main!CM117="","",ROUND(main!CM117*100,6))</f>
        <v/>
      </c>
      <c r="CB114" s="68" t="str">
        <f>IF(main!CN117="","",ROUND(main!CN117*100,6))</f>
        <v/>
      </c>
      <c r="CC114" s="68" t="str">
        <f>IF(main!CO117="","",ROUND(main!CO117*100,6))</f>
        <v/>
      </c>
    </row>
    <row r="115" spans="1:81" x14ac:dyDescent="0.25">
      <c r="A115" s="65" t="s">
        <v>251</v>
      </c>
      <c r="B115" s="66" t="str">
        <f>main!C117</f>
        <v>Support Installation</v>
      </c>
      <c r="C115" s="67">
        <f>main!O117</f>
        <v>100000</v>
      </c>
      <c r="D115" s="65" t="s">
        <v>111</v>
      </c>
      <c r="E115" s="68" t="str">
        <f t="shared" si="1"/>
        <v/>
      </c>
      <c r="F115" s="68" t="str">
        <f>IF(main!R118="","",ROUND(main!R118*100,6))</f>
        <v/>
      </c>
      <c r="G115" s="68" t="str">
        <f>IF(main!S118="","",ROUND(main!S118*100,6))</f>
        <v/>
      </c>
      <c r="H115" s="68" t="str">
        <f>IF(main!T118="","",ROUND(main!T118*100,6))</f>
        <v/>
      </c>
      <c r="I115" s="68" t="str">
        <f>IF(main!U118="","",ROUND(main!U118*100,6))</f>
        <v/>
      </c>
      <c r="J115" s="68" t="str">
        <f>IF(main!V118="","",ROUND(main!V118*100,6))</f>
        <v/>
      </c>
      <c r="K115" s="68" t="str">
        <f>IF(main!W118="","",ROUND(main!W118*100,6))</f>
        <v/>
      </c>
      <c r="L115" s="68" t="str">
        <f>IF(main!X118="","",ROUND(main!X118*100,6))</f>
        <v/>
      </c>
      <c r="M115" s="68" t="str">
        <f>IF(main!Y118="","",ROUND(main!Y118*100,6))</f>
        <v/>
      </c>
      <c r="N115" s="68" t="str">
        <f>IF(main!Z118="","",ROUND(main!Z118*100,6))</f>
        <v/>
      </c>
      <c r="O115" s="68" t="str">
        <f>IF(main!AA118="","",ROUND(main!AA118*100,6))</f>
        <v/>
      </c>
      <c r="P115" s="68" t="str">
        <f>IF(main!AB118="","",ROUND(main!AB118*100,6))</f>
        <v/>
      </c>
      <c r="Q115" s="68" t="str">
        <f>IF(main!AC118="","",ROUND(main!AC118*100,6))</f>
        <v/>
      </c>
      <c r="R115" s="68" t="str">
        <f>IF(main!AD118="","",ROUND(main!AD118*100,6))</f>
        <v/>
      </c>
      <c r="S115" s="68" t="str">
        <f>IF(main!AE118="","",ROUND(main!AE118*100,6))</f>
        <v/>
      </c>
      <c r="T115" s="68" t="str">
        <f>IF(main!AF118="","",ROUND(main!AF118*100,6))</f>
        <v/>
      </c>
      <c r="U115" s="68" t="str">
        <f>IF(main!AG118="","",ROUND(main!AG118*100,6))</f>
        <v/>
      </c>
      <c r="V115" s="68" t="str">
        <f>IF(main!AH118="","",ROUND(main!AH118*100,6))</f>
        <v/>
      </c>
      <c r="W115" s="68" t="str">
        <f>IF(main!AI118="","",ROUND(main!AI118*100,6))</f>
        <v/>
      </c>
      <c r="X115" s="68" t="str">
        <f>IF(main!AJ118="","",ROUND(main!AJ118*100,6))</f>
        <v/>
      </c>
      <c r="Y115" s="68" t="str">
        <f>IF(main!AK118="","",ROUND(main!AK118*100,6))</f>
        <v/>
      </c>
      <c r="Z115" s="68" t="str">
        <f>IF(main!AL118="","",ROUND(main!AL118*100,6))</f>
        <v/>
      </c>
      <c r="AA115" s="68" t="str">
        <f>IF(main!AM118="","",ROUND(main!AM118*100,6))</f>
        <v/>
      </c>
      <c r="AB115" s="68" t="str">
        <f>IF(main!AN118="","",ROUND(main!AN118*100,6))</f>
        <v/>
      </c>
      <c r="AC115" s="68" t="str">
        <f>IF(main!AO118="","",ROUND(main!AO118*100,6))</f>
        <v/>
      </c>
      <c r="AD115" s="68" t="str">
        <f>IF(main!AP118="","",ROUND(main!AP118*100,6))</f>
        <v/>
      </c>
      <c r="AE115" s="68" t="str">
        <f>IF(main!AQ118="","",ROUND(main!AQ118*100,6))</f>
        <v/>
      </c>
      <c r="AF115" s="68" t="str">
        <f>IF(main!AR118="","",ROUND(main!AR118*100,6))</f>
        <v/>
      </c>
      <c r="AG115" s="68" t="str">
        <f>IF(main!AS118="","",ROUND(main!AS118*100,6))</f>
        <v/>
      </c>
      <c r="AH115" s="68" t="str">
        <f>IF(main!AT118="","",ROUND(main!AT118*100,6))</f>
        <v/>
      </c>
      <c r="AI115" s="68" t="str">
        <f>IF(main!AU118="","",ROUND(main!AU118*100,6))</f>
        <v/>
      </c>
      <c r="AJ115" s="68" t="str">
        <f>IF(main!AV118="","",ROUND(main!AV118*100,6))</f>
        <v/>
      </c>
      <c r="AK115" s="68" t="str">
        <f>IF(main!AW118="","",ROUND(main!AW118*100,6))</f>
        <v/>
      </c>
      <c r="AL115" s="68" t="str">
        <f>IF(main!AX118="","",ROUND(main!AX118*100,6))</f>
        <v/>
      </c>
      <c r="AM115" s="68" t="str">
        <f>IF(main!AY118="","",ROUND(main!AY118*100,6))</f>
        <v/>
      </c>
      <c r="AN115" s="68" t="str">
        <f>IF(main!AZ118="","",ROUND(main!AZ118*100,6))</f>
        <v/>
      </c>
      <c r="AO115" s="68" t="str">
        <f>IF(main!BA118="","",ROUND(main!BA118*100,6))</f>
        <v/>
      </c>
      <c r="AP115" s="68" t="str">
        <f>IF(main!BB118="","",ROUND(main!BB118*100,6))</f>
        <v/>
      </c>
      <c r="AQ115" s="68" t="str">
        <f>IF(main!BC118="","",ROUND(main!BC118*100,6))</f>
        <v/>
      </c>
      <c r="AR115" s="68" t="str">
        <f>IF(main!BD118="","",ROUND(main!BD118*100,6))</f>
        <v/>
      </c>
      <c r="AS115" s="68" t="str">
        <f>IF(main!BE118="","",ROUND(main!BE118*100,6))</f>
        <v/>
      </c>
      <c r="AT115" s="68" t="str">
        <f>IF(main!BF118="","",ROUND(main!BF118*100,6))</f>
        <v/>
      </c>
      <c r="AU115" s="68" t="str">
        <f>IF(main!BG118="","",ROUND(main!BG118*100,6))</f>
        <v/>
      </c>
      <c r="AV115" s="68" t="str">
        <f>IF(main!BH118="","",ROUND(main!BH118*100,6))</f>
        <v/>
      </c>
      <c r="AW115" s="68" t="str">
        <f>IF(main!BI118="","",ROUND(main!BI118*100,6))</f>
        <v/>
      </c>
      <c r="AX115" s="68" t="str">
        <f>IF(main!BJ118="","",ROUND(main!BJ118*100,6))</f>
        <v/>
      </c>
      <c r="AY115" s="68" t="str">
        <f>IF(main!BK118="","",ROUND(main!BK118*100,6))</f>
        <v/>
      </c>
      <c r="AZ115" s="68" t="str">
        <f>IF(main!BL118="","",ROUND(main!BL118*100,6))</f>
        <v/>
      </c>
      <c r="BA115" s="68" t="str">
        <f>IF(main!BM118="","",ROUND(main!BM118*100,6))</f>
        <v/>
      </c>
      <c r="BB115" s="68" t="str">
        <f>IF(main!BN118="","",ROUND(main!BN118*100,6))</f>
        <v/>
      </c>
      <c r="BC115" s="68" t="str">
        <f>IF(main!BO118="","",ROUND(main!BO118*100,6))</f>
        <v/>
      </c>
      <c r="BD115" s="68" t="str">
        <f>IF(main!BP118="","",ROUND(main!BP118*100,6))</f>
        <v/>
      </c>
      <c r="BE115" s="68" t="str">
        <f>IF(main!BQ118="","",ROUND(main!BQ118*100,6))</f>
        <v/>
      </c>
      <c r="BF115" s="68" t="str">
        <f>IF(main!BR118="","",ROUND(main!BR118*100,6))</f>
        <v/>
      </c>
      <c r="BG115" s="68" t="str">
        <f>IF(main!BS118="","",ROUND(main!BS118*100,6))</f>
        <v/>
      </c>
      <c r="BH115" s="68" t="str">
        <f>IF(main!BT118="","",ROUND(main!BT118*100,6))</f>
        <v/>
      </c>
      <c r="BI115" s="68" t="str">
        <f>IF(main!BU118="","",ROUND(main!BU118*100,6))</f>
        <v/>
      </c>
      <c r="BJ115" s="68" t="str">
        <f>IF(main!BV118="","",ROUND(main!BV118*100,6))</f>
        <v/>
      </c>
      <c r="BK115" s="68" t="str">
        <f>IF(main!BW118="","",ROUND(main!BW118*100,6))</f>
        <v/>
      </c>
      <c r="BL115" s="68" t="str">
        <f>IF(main!BX118="","",ROUND(main!BX118*100,6))</f>
        <v/>
      </c>
      <c r="BM115" s="68" t="str">
        <f>IF(main!BY118="","",ROUND(main!BY118*100,6))</f>
        <v/>
      </c>
      <c r="BN115" s="68" t="str">
        <f>IF(main!BZ118="","",ROUND(main!BZ118*100,6))</f>
        <v/>
      </c>
      <c r="BO115" s="68" t="str">
        <f>IF(main!CA118="","",ROUND(main!CA118*100,6))</f>
        <v/>
      </c>
      <c r="BP115" s="68" t="str">
        <f>IF(main!CB118="","",ROUND(main!CB118*100,6))</f>
        <v/>
      </c>
      <c r="BQ115" s="68" t="str">
        <f>IF(main!CC118="","",ROUND(main!CC118*100,6))</f>
        <v/>
      </c>
      <c r="BR115" s="68" t="str">
        <f>IF(main!CD118="","",ROUND(main!CD118*100,6))</f>
        <v/>
      </c>
      <c r="BS115" s="68" t="str">
        <f>IF(main!CE118="","",ROUND(main!CE118*100,6))</f>
        <v/>
      </c>
      <c r="BT115" s="68" t="str">
        <f>IF(main!CF118="","",ROUND(main!CF118*100,6))</f>
        <v/>
      </c>
      <c r="BU115" s="68" t="str">
        <f>IF(main!CG118="","",ROUND(main!CG118*100,6))</f>
        <v/>
      </c>
      <c r="BV115" s="68" t="str">
        <f>IF(main!CH118="","",ROUND(main!CH118*100,6))</f>
        <v/>
      </c>
      <c r="BW115" s="68" t="str">
        <f>IF(main!CI118="","",ROUND(main!CI118*100,6))</f>
        <v/>
      </c>
      <c r="BX115" s="68" t="str">
        <f>IF(main!CJ118="","",ROUND(main!CJ118*100,6))</f>
        <v/>
      </c>
      <c r="BY115" s="68" t="str">
        <f>IF(main!CK118="","",ROUND(main!CK118*100,6))</f>
        <v/>
      </c>
      <c r="BZ115" s="68" t="str">
        <f>IF(main!CL118="","",ROUND(main!CL118*100,6))</f>
        <v/>
      </c>
      <c r="CA115" s="68" t="str">
        <f>IF(main!CM118="","",ROUND(main!CM118*100,6))</f>
        <v/>
      </c>
      <c r="CB115" s="68" t="str">
        <f>IF(main!CN118="","",ROUND(main!CN118*100,6))</f>
        <v/>
      </c>
      <c r="CC115" s="68" t="str">
        <f>IF(main!CO118="","",ROUND(main!CO118*100,6))</f>
        <v/>
      </c>
    </row>
    <row r="116" spans="1:81" x14ac:dyDescent="0.25">
      <c r="A116" s="65" t="s">
        <v>253</v>
      </c>
      <c r="B116" s="66" t="str">
        <f>main!C119</f>
        <v>Built-up Frame&amp;Slab</v>
      </c>
      <c r="C116" s="67">
        <f>main!O119</f>
        <v>100000</v>
      </c>
      <c r="D116" s="65" t="s">
        <v>110</v>
      </c>
      <c r="E116" s="68">
        <f t="shared" si="1"/>
        <v>100</v>
      </c>
      <c r="F116" s="68" t="str">
        <f>IF(main!R119="","",ROUND(main!R119*100,6))</f>
        <v/>
      </c>
      <c r="G116" s="68" t="str">
        <f>IF(main!S119="","",ROUND(main!S119*100,6))</f>
        <v/>
      </c>
      <c r="H116" s="68" t="str">
        <f>IF(main!T119="","",ROUND(main!T119*100,6))</f>
        <v/>
      </c>
      <c r="I116" s="68" t="str">
        <f>IF(main!U119="","",ROUND(main!U119*100,6))</f>
        <v/>
      </c>
      <c r="J116" s="68" t="str">
        <f>IF(main!V119="","",ROUND(main!V119*100,6))</f>
        <v/>
      </c>
      <c r="K116" s="68" t="str">
        <f>IF(main!W119="","",ROUND(main!W119*100,6))</f>
        <v/>
      </c>
      <c r="L116" s="68" t="str">
        <f>IF(main!X119="","",ROUND(main!X119*100,6))</f>
        <v/>
      </c>
      <c r="M116" s="68" t="str">
        <f>IF(main!Y119="","",ROUND(main!Y119*100,6))</f>
        <v/>
      </c>
      <c r="N116" s="68" t="str">
        <f>IF(main!Z119="","",ROUND(main!Z119*100,6))</f>
        <v/>
      </c>
      <c r="O116" s="68" t="str">
        <f>IF(main!AA119="","",ROUND(main!AA119*100,6))</f>
        <v/>
      </c>
      <c r="P116" s="68" t="str">
        <f>IF(main!AB119="","",ROUND(main!AB119*100,6))</f>
        <v/>
      </c>
      <c r="Q116" s="68" t="str">
        <f>IF(main!AC119="","",ROUND(main!AC119*100,6))</f>
        <v/>
      </c>
      <c r="R116" s="68" t="str">
        <f>IF(main!AD119="","",ROUND(main!AD119*100,6))</f>
        <v/>
      </c>
      <c r="S116" s="68" t="str">
        <f>IF(main!AE119="","",ROUND(main!AE119*100,6))</f>
        <v/>
      </c>
      <c r="T116" s="68" t="str">
        <f>IF(main!AF119="","",ROUND(main!AF119*100,6))</f>
        <v/>
      </c>
      <c r="U116" s="68" t="str">
        <f>IF(main!AG119="","",ROUND(main!AG119*100,6))</f>
        <v/>
      </c>
      <c r="V116" s="68" t="str">
        <f>IF(main!AH119="","",ROUND(main!AH119*100,6))</f>
        <v/>
      </c>
      <c r="W116" s="68" t="str">
        <f>IF(main!AI119="","",ROUND(main!AI119*100,6))</f>
        <v/>
      </c>
      <c r="X116" s="68" t="str">
        <f>IF(main!AJ119="","",ROUND(main!AJ119*100,6))</f>
        <v/>
      </c>
      <c r="Y116" s="68" t="str">
        <f>IF(main!AK119="","",ROUND(main!AK119*100,6))</f>
        <v/>
      </c>
      <c r="Z116" s="68" t="str">
        <f>IF(main!AL119="","",ROUND(main!AL119*100,6))</f>
        <v/>
      </c>
      <c r="AA116" s="68" t="str">
        <f>IF(main!AM119="","",ROUND(main!AM119*100,6))</f>
        <v/>
      </c>
      <c r="AB116" s="68" t="str">
        <f>IF(main!AN119="","",ROUND(main!AN119*100,6))</f>
        <v/>
      </c>
      <c r="AC116" s="68" t="str">
        <f>IF(main!AO119="","",ROUND(main!AO119*100,6))</f>
        <v/>
      </c>
      <c r="AD116" s="68" t="str">
        <f>IF(main!AP119="","",ROUND(main!AP119*100,6))</f>
        <v/>
      </c>
      <c r="AE116" s="68" t="str">
        <f>IF(main!AQ119="","",ROUND(main!AQ119*100,6))</f>
        <v/>
      </c>
      <c r="AF116" s="68" t="str">
        <f>IF(main!AR119="","",ROUND(main!AR119*100,6))</f>
        <v/>
      </c>
      <c r="AG116" s="68" t="str">
        <f>IF(main!AS119="","",ROUND(main!AS119*100,6))</f>
        <v/>
      </c>
      <c r="AH116" s="68" t="str">
        <f>IF(main!AT119="","",ROUND(main!AT119*100,6))</f>
        <v/>
      </c>
      <c r="AI116" s="68" t="str">
        <f>IF(main!AU119="","",ROUND(main!AU119*100,6))</f>
        <v/>
      </c>
      <c r="AJ116" s="68" t="str">
        <f>IF(main!AV119="","",ROUND(main!AV119*100,6))</f>
        <v/>
      </c>
      <c r="AK116" s="68" t="str">
        <f>IF(main!AW119="","",ROUND(main!AW119*100,6))</f>
        <v/>
      </c>
      <c r="AL116" s="68" t="str">
        <f>IF(main!AX119="","",ROUND(main!AX119*100,6))</f>
        <v/>
      </c>
      <c r="AM116" s="68" t="str">
        <f>IF(main!AY119="","",ROUND(main!AY119*100,6))</f>
        <v/>
      </c>
      <c r="AN116" s="68" t="str">
        <f>IF(main!AZ119="","",ROUND(main!AZ119*100,6))</f>
        <v/>
      </c>
      <c r="AO116" s="68" t="str">
        <f>IF(main!BA119="","",ROUND(main!BA119*100,6))</f>
        <v/>
      </c>
      <c r="AP116" s="68" t="str">
        <f>IF(main!BB119="","",ROUND(main!BB119*100,6))</f>
        <v/>
      </c>
      <c r="AQ116" s="68" t="str">
        <f>IF(main!BC119="","",ROUND(main!BC119*100,6))</f>
        <v/>
      </c>
      <c r="AR116" s="68" t="str">
        <f>IF(main!BD119="","",ROUND(main!BD119*100,6))</f>
        <v/>
      </c>
      <c r="AS116" s="68" t="str">
        <f>IF(main!BE119="","",ROUND(main!BE119*100,6))</f>
        <v/>
      </c>
      <c r="AT116" s="68" t="str">
        <f>IF(main!BF119="","",ROUND(main!BF119*100,6))</f>
        <v/>
      </c>
      <c r="AU116" s="68" t="str">
        <f>IF(main!BG119="","",ROUND(main!BG119*100,6))</f>
        <v/>
      </c>
      <c r="AV116" s="68" t="str">
        <f>IF(main!BH119="","",ROUND(main!BH119*100,6))</f>
        <v/>
      </c>
      <c r="AW116" s="68" t="str">
        <f>IF(main!BI119="","",ROUND(main!BI119*100,6))</f>
        <v/>
      </c>
      <c r="AX116" s="68" t="str">
        <f>IF(main!BJ119="","",ROUND(main!BJ119*100,6))</f>
        <v/>
      </c>
      <c r="AY116" s="68" t="str">
        <f>IF(main!BK119="","",ROUND(main!BK119*100,6))</f>
        <v/>
      </c>
      <c r="AZ116" s="68" t="str">
        <f>IF(main!BL119="","",ROUND(main!BL119*100,6))</f>
        <v/>
      </c>
      <c r="BA116" s="68" t="str">
        <f>IF(main!BM119="","",ROUND(main!BM119*100,6))</f>
        <v/>
      </c>
      <c r="BB116" s="68" t="str">
        <f>IF(main!BN119="","",ROUND(main!BN119*100,6))</f>
        <v/>
      </c>
      <c r="BC116" s="68" t="str">
        <f>IF(main!BO119="","",ROUND(main!BO119*100,6))</f>
        <v/>
      </c>
      <c r="BD116" s="68" t="str">
        <f>IF(main!BP119="","",ROUND(main!BP119*100,6))</f>
        <v/>
      </c>
      <c r="BE116" s="68" t="str">
        <f>IF(main!BQ119="","",ROUND(main!BQ119*100,6))</f>
        <v/>
      </c>
      <c r="BF116" s="68" t="str">
        <f>IF(main!BR119="","",ROUND(main!BR119*100,6))</f>
        <v/>
      </c>
      <c r="BG116" s="68">
        <f>IF(main!BS119="","",ROUND(main!BS119*100,6))</f>
        <v>8.323976</v>
      </c>
      <c r="BH116" s="68">
        <f>IF(main!BT119="","",ROUND(main!BT119*100,6))</f>
        <v>70.866083000000003</v>
      </c>
      <c r="BI116" s="68">
        <f>IF(main!BU119="","",ROUND(main!BU119*100,6))</f>
        <v>20.809940999999998</v>
      </c>
      <c r="BJ116" s="68" t="str">
        <f>IF(main!BV119="","",ROUND(main!BV119*100,6))</f>
        <v/>
      </c>
      <c r="BK116" s="68" t="str">
        <f>IF(main!BW119="","",ROUND(main!BW119*100,6))</f>
        <v/>
      </c>
      <c r="BL116" s="68" t="str">
        <f>IF(main!BX119="","",ROUND(main!BX119*100,6))</f>
        <v/>
      </c>
      <c r="BM116" s="68" t="str">
        <f>IF(main!BY119="","",ROUND(main!BY119*100,6))</f>
        <v/>
      </c>
      <c r="BN116" s="68" t="str">
        <f>IF(main!BZ119="","",ROUND(main!BZ119*100,6))</f>
        <v/>
      </c>
      <c r="BO116" s="68" t="str">
        <f>IF(main!CA119="","",ROUND(main!CA119*100,6))</f>
        <v/>
      </c>
      <c r="BP116" s="68" t="str">
        <f>IF(main!CB119="","",ROUND(main!CB119*100,6))</f>
        <v/>
      </c>
      <c r="BQ116" s="68" t="str">
        <f>IF(main!CC119="","",ROUND(main!CC119*100,6))</f>
        <v/>
      </c>
      <c r="BR116" s="68" t="str">
        <f>IF(main!CD119="","",ROUND(main!CD119*100,6))</f>
        <v/>
      </c>
      <c r="BS116" s="68" t="str">
        <f>IF(main!CE119="","",ROUND(main!CE119*100,6))</f>
        <v/>
      </c>
      <c r="BT116" s="68" t="str">
        <f>IF(main!CF119="","",ROUND(main!CF119*100,6))</f>
        <v/>
      </c>
      <c r="BU116" s="68" t="str">
        <f>IF(main!CG119="","",ROUND(main!CG119*100,6))</f>
        <v/>
      </c>
      <c r="BV116" s="68" t="str">
        <f>IF(main!CH119="","",ROUND(main!CH119*100,6))</f>
        <v/>
      </c>
      <c r="BW116" s="68" t="str">
        <f>IF(main!CI119="","",ROUND(main!CI119*100,6))</f>
        <v/>
      </c>
      <c r="BX116" s="68" t="str">
        <f>IF(main!CJ119="","",ROUND(main!CJ119*100,6))</f>
        <v/>
      </c>
      <c r="BY116" s="68" t="str">
        <f>IF(main!CK119="","",ROUND(main!CK119*100,6))</f>
        <v/>
      </c>
      <c r="BZ116" s="68" t="str">
        <f>IF(main!CL119="","",ROUND(main!CL119*100,6))</f>
        <v/>
      </c>
      <c r="CA116" s="68" t="str">
        <f>IF(main!CM119="","",ROUND(main!CM119*100,6))</f>
        <v/>
      </c>
      <c r="CB116" s="68" t="str">
        <f>IF(main!CN119="","",ROUND(main!CN119*100,6))</f>
        <v/>
      </c>
      <c r="CC116" s="68" t="str">
        <f>IF(main!CO119="","",ROUND(main!CO119*100,6))</f>
        <v/>
      </c>
    </row>
    <row r="117" spans="1:81" x14ac:dyDescent="0.25">
      <c r="A117" s="65" t="s">
        <v>253</v>
      </c>
      <c r="B117" s="66" t="str">
        <f>main!C119</f>
        <v>Built-up Frame&amp;Slab</v>
      </c>
      <c r="C117" s="67">
        <f>main!O119</f>
        <v>100000</v>
      </c>
      <c r="D117" s="65" t="s">
        <v>111</v>
      </c>
      <c r="E117" s="68" t="str">
        <f t="shared" si="1"/>
        <v/>
      </c>
      <c r="F117" s="68" t="str">
        <f>IF(main!R120="","",ROUND(main!R120*100,6))</f>
        <v/>
      </c>
      <c r="G117" s="68" t="str">
        <f>IF(main!S120="","",ROUND(main!S120*100,6))</f>
        <v/>
      </c>
      <c r="H117" s="68" t="str">
        <f>IF(main!T120="","",ROUND(main!T120*100,6))</f>
        <v/>
      </c>
      <c r="I117" s="68" t="str">
        <f>IF(main!U120="","",ROUND(main!U120*100,6))</f>
        <v/>
      </c>
      <c r="J117" s="68" t="str">
        <f>IF(main!V120="","",ROUND(main!V120*100,6))</f>
        <v/>
      </c>
      <c r="K117" s="68" t="str">
        <f>IF(main!W120="","",ROUND(main!W120*100,6))</f>
        <v/>
      </c>
      <c r="L117" s="68" t="str">
        <f>IF(main!X120="","",ROUND(main!X120*100,6))</f>
        <v/>
      </c>
      <c r="M117" s="68" t="str">
        <f>IF(main!Y120="","",ROUND(main!Y120*100,6))</f>
        <v/>
      </c>
      <c r="N117" s="68" t="str">
        <f>IF(main!Z120="","",ROUND(main!Z120*100,6))</f>
        <v/>
      </c>
      <c r="O117" s="68" t="str">
        <f>IF(main!AA120="","",ROUND(main!AA120*100,6))</f>
        <v/>
      </c>
      <c r="P117" s="68" t="str">
        <f>IF(main!AB120="","",ROUND(main!AB120*100,6))</f>
        <v/>
      </c>
      <c r="Q117" s="68" t="str">
        <f>IF(main!AC120="","",ROUND(main!AC120*100,6))</f>
        <v/>
      </c>
      <c r="R117" s="68" t="str">
        <f>IF(main!AD120="","",ROUND(main!AD120*100,6))</f>
        <v/>
      </c>
      <c r="S117" s="68" t="str">
        <f>IF(main!AE120="","",ROUND(main!AE120*100,6))</f>
        <v/>
      </c>
      <c r="T117" s="68" t="str">
        <f>IF(main!AF120="","",ROUND(main!AF120*100,6))</f>
        <v/>
      </c>
      <c r="U117" s="68" t="str">
        <f>IF(main!AG120="","",ROUND(main!AG120*100,6))</f>
        <v/>
      </c>
      <c r="V117" s="68" t="str">
        <f>IF(main!AH120="","",ROUND(main!AH120*100,6))</f>
        <v/>
      </c>
      <c r="W117" s="68" t="str">
        <f>IF(main!AI120="","",ROUND(main!AI120*100,6))</f>
        <v/>
      </c>
      <c r="X117" s="68" t="str">
        <f>IF(main!AJ120="","",ROUND(main!AJ120*100,6))</f>
        <v/>
      </c>
      <c r="Y117" s="68" t="str">
        <f>IF(main!AK120="","",ROUND(main!AK120*100,6))</f>
        <v/>
      </c>
      <c r="Z117" s="68" t="str">
        <f>IF(main!AL120="","",ROUND(main!AL120*100,6))</f>
        <v/>
      </c>
      <c r="AA117" s="68" t="str">
        <f>IF(main!AM120="","",ROUND(main!AM120*100,6))</f>
        <v/>
      </c>
      <c r="AB117" s="68" t="str">
        <f>IF(main!AN120="","",ROUND(main!AN120*100,6))</f>
        <v/>
      </c>
      <c r="AC117" s="68" t="str">
        <f>IF(main!AO120="","",ROUND(main!AO120*100,6))</f>
        <v/>
      </c>
      <c r="AD117" s="68" t="str">
        <f>IF(main!AP120="","",ROUND(main!AP120*100,6))</f>
        <v/>
      </c>
      <c r="AE117" s="68" t="str">
        <f>IF(main!AQ120="","",ROUND(main!AQ120*100,6))</f>
        <v/>
      </c>
      <c r="AF117" s="68" t="str">
        <f>IF(main!AR120="","",ROUND(main!AR120*100,6))</f>
        <v/>
      </c>
      <c r="AG117" s="68" t="str">
        <f>IF(main!AS120="","",ROUND(main!AS120*100,6))</f>
        <v/>
      </c>
      <c r="AH117" s="68" t="str">
        <f>IF(main!AT120="","",ROUND(main!AT120*100,6))</f>
        <v/>
      </c>
      <c r="AI117" s="68" t="str">
        <f>IF(main!AU120="","",ROUND(main!AU120*100,6))</f>
        <v/>
      </c>
      <c r="AJ117" s="68" t="str">
        <f>IF(main!AV120="","",ROUND(main!AV120*100,6))</f>
        <v/>
      </c>
      <c r="AK117" s="68" t="str">
        <f>IF(main!AW120="","",ROUND(main!AW120*100,6))</f>
        <v/>
      </c>
      <c r="AL117" s="68" t="str">
        <f>IF(main!AX120="","",ROUND(main!AX120*100,6))</f>
        <v/>
      </c>
      <c r="AM117" s="68" t="str">
        <f>IF(main!AY120="","",ROUND(main!AY120*100,6))</f>
        <v/>
      </c>
      <c r="AN117" s="68" t="str">
        <f>IF(main!AZ120="","",ROUND(main!AZ120*100,6))</f>
        <v/>
      </c>
      <c r="AO117" s="68" t="str">
        <f>IF(main!BA120="","",ROUND(main!BA120*100,6))</f>
        <v/>
      </c>
      <c r="AP117" s="68" t="str">
        <f>IF(main!BB120="","",ROUND(main!BB120*100,6))</f>
        <v/>
      </c>
      <c r="AQ117" s="68" t="str">
        <f>IF(main!BC120="","",ROUND(main!BC120*100,6))</f>
        <v/>
      </c>
      <c r="AR117" s="68" t="str">
        <f>IF(main!BD120="","",ROUND(main!BD120*100,6))</f>
        <v/>
      </c>
      <c r="AS117" s="68" t="str">
        <f>IF(main!BE120="","",ROUND(main!BE120*100,6))</f>
        <v/>
      </c>
      <c r="AT117" s="68" t="str">
        <f>IF(main!BF120="","",ROUND(main!BF120*100,6))</f>
        <v/>
      </c>
      <c r="AU117" s="68" t="str">
        <f>IF(main!BG120="","",ROUND(main!BG120*100,6))</f>
        <v/>
      </c>
      <c r="AV117" s="68" t="str">
        <f>IF(main!BH120="","",ROUND(main!BH120*100,6))</f>
        <v/>
      </c>
      <c r="AW117" s="68" t="str">
        <f>IF(main!BI120="","",ROUND(main!BI120*100,6))</f>
        <v/>
      </c>
      <c r="AX117" s="68" t="str">
        <f>IF(main!BJ120="","",ROUND(main!BJ120*100,6))</f>
        <v/>
      </c>
      <c r="AY117" s="68" t="str">
        <f>IF(main!BK120="","",ROUND(main!BK120*100,6))</f>
        <v/>
      </c>
      <c r="AZ117" s="68" t="str">
        <f>IF(main!BL120="","",ROUND(main!BL120*100,6))</f>
        <v/>
      </c>
      <c r="BA117" s="68" t="str">
        <f>IF(main!BM120="","",ROUND(main!BM120*100,6))</f>
        <v/>
      </c>
      <c r="BB117" s="68" t="str">
        <f>IF(main!BN120="","",ROUND(main!BN120*100,6))</f>
        <v/>
      </c>
      <c r="BC117" s="68" t="str">
        <f>IF(main!BO120="","",ROUND(main!BO120*100,6))</f>
        <v/>
      </c>
      <c r="BD117" s="68" t="str">
        <f>IF(main!BP120="","",ROUND(main!BP120*100,6))</f>
        <v/>
      </c>
      <c r="BE117" s="68" t="str">
        <f>IF(main!BQ120="","",ROUND(main!BQ120*100,6))</f>
        <v/>
      </c>
      <c r="BF117" s="68" t="str">
        <f>IF(main!BR120="","",ROUND(main!BR120*100,6))</f>
        <v/>
      </c>
      <c r="BG117" s="68" t="str">
        <f>IF(main!BS120="","",ROUND(main!BS120*100,6))</f>
        <v/>
      </c>
      <c r="BH117" s="68" t="str">
        <f>IF(main!BT120="","",ROUND(main!BT120*100,6))</f>
        <v/>
      </c>
      <c r="BI117" s="68" t="str">
        <f>IF(main!BU120="","",ROUND(main!BU120*100,6))</f>
        <v/>
      </c>
      <c r="BJ117" s="68" t="str">
        <f>IF(main!BV120="","",ROUND(main!BV120*100,6))</f>
        <v/>
      </c>
      <c r="BK117" s="68" t="str">
        <f>IF(main!BW120="","",ROUND(main!BW120*100,6))</f>
        <v/>
      </c>
      <c r="BL117" s="68" t="str">
        <f>IF(main!BX120="","",ROUND(main!BX120*100,6))</f>
        <v/>
      </c>
      <c r="BM117" s="68" t="str">
        <f>IF(main!BY120="","",ROUND(main!BY120*100,6))</f>
        <v/>
      </c>
      <c r="BN117" s="68" t="str">
        <f>IF(main!BZ120="","",ROUND(main!BZ120*100,6))</f>
        <v/>
      </c>
      <c r="BO117" s="68" t="str">
        <f>IF(main!CA120="","",ROUND(main!CA120*100,6))</f>
        <v/>
      </c>
      <c r="BP117" s="68" t="str">
        <f>IF(main!CB120="","",ROUND(main!CB120*100,6))</f>
        <v/>
      </c>
      <c r="BQ117" s="68" t="str">
        <f>IF(main!CC120="","",ROUND(main!CC120*100,6))</f>
        <v/>
      </c>
      <c r="BR117" s="68" t="str">
        <f>IF(main!CD120="","",ROUND(main!CD120*100,6))</f>
        <v/>
      </c>
      <c r="BS117" s="68" t="str">
        <f>IF(main!CE120="","",ROUND(main!CE120*100,6))</f>
        <v/>
      </c>
      <c r="BT117" s="68" t="str">
        <f>IF(main!CF120="","",ROUND(main!CF120*100,6))</f>
        <v/>
      </c>
      <c r="BU117" s="68" t="str">
        <f>IF(main!CG120="","",ROUND(main!CG120*100,6))</f>
        <v/>
      </c>
      <c r="BV117" s="68" t="str">
        <f>IF(main!CH120="","",ROUND(main!CH120*100,6))</f>
        <v/>
      </c>
      <c r="BW117" s="68" t="str">
        <f>IF(main!CI120="","",ROUND(main!CI120*100,6))</f>
        <v/>
      </c>
      <c r="BX117" s="68" t="str">
        <f>IF(main!CJ120="","",ROUND(main!CJ120*100,6))</f>
        <v/>
      </c>
      <c r="BY117" s="68" t="str">
        <f>IF(main!CK120="","",ROUND(main!CK120*100,6))</f>
        <v/>
      </c>
      <c r="BZ117" s="68" t="str">
        <f>IF(main!CL120="","",ROUND(main!CL120*100,6))</f>
        <v/>
      </c>
      <c r="CA117" s="68" t="str">
        <f>IF(main!CM120="","",ROUND(main!CM120*100,6))</f>
        <v/>
      </c>
      <c r="CB117" s="68" t="str">
        <f>IF(main!CN120="","",ROUND(main!CN120*100,6))</f>
        <v/>
      </c>
      <c r="CC117" s="68" t="str">
        <f>IF(main!CO120="","",ROUND(main!CO120*100,6))</f>
        <v/>
      </c>
    </row>
    <row r="118" spans="1:81" x14ac:dyDescent="0.25">
      <c r="A118" s="65" t="s">
        <v>255</v>
      </c>
      <c r="B118" s="66" t="str">
        <f>main!C121</f>
        <v>Concrete Top</v>
      </c>
      <c r="C118" s="67">
        <f>main!O121</f>
        <v>100000</v>
      </c>
      <c r="D118" s="65" t="s">
        <v>110</v>
      </c>
      <c r="E118" s="68">
        <f t="shared" si="1"/>
        <v>100</v>
      </c>
      <c r="F118" s="68" t="str">
        <f>IF(main!R121="","",ROUND(main!R121*100,6))</f>
        <v/>
      </c>
      <c r="G118" s="68" t="str">
        <f>IF(main!S121="","",ROUND(main!S121*100,6))</f>
        <v/>
      </c>
      <c r="H118" s="68" t="str">
        <f>IF(main!T121="","",ROUND(main!T121*100,6))</f>
        <v/>
      </c>
      <c r="I118" s="68" t="str">
        <f>IF(main!U121="","",ROUND(main!U121*100,6))</f>
        <v/>
      </c>
      <c r="J118" s="68" t="str">
        <f>IF(main!V121="","",ROUND(main!V121*100,6))</f>
        <v/>
      </c>
      <c r="K118" s="68" t="str">
        <f>IF(main!W121="","",ROUND(main!W121*100,6))</f>
        <v/>
      </c>
      <c r="L118" s="68" t="str">
        <f>IF(main!X121="","",ROUND(main!X121*100,6))</f>
        <v/>
      </c>
      <c r="M118" s="68" t="str">
        <f>IF(main!Y121="","",ROUND(main!Y121*100,6))</f>
        <v/>
      </c>
      <c r="N118" s="68" t="str">
        <f>IF(main!Z121="","",ROUND(main!Z121*100,6))</f>
        <v/>
      </c>
      <c r="O118" s="68" t="str">
        <f>IF(main!AA121="","",ROUND(main!AA121*100,6))</f>
        <v/>
      </c>
      <c r="P118" s="68" t="str">
        <f>IF(main!AB121="","",ROUND(main!AB121*100,6))</f>
        <v/>
      </c>
      <c r="Q118" s="68" t="str">
        <f>IF(main!AC121="","",ROUND(main!AC121*100,6))</f>
        <v/>
      </c>
      <c r="R118" s="68" t="str">
        <f>IF(main!AD121="","",ROUND(main!AD121*100,6))</f>
        <v/>
      </c>
      <c r="S118" s="68" t="str">
        <f>IF(main!AE121="","",ROUND(main!AE121*100,6))</f>
        <v/>
      </c>
      <c r="T118" s="68" t="str">
        <f>IF(main!AF121="","",ROUND(main!AF121*100,6))</f>
        <v/>
      </c>
      <c r="U118" s="68" t="str">
        <f>IF(main!AG121="","",ROUND(main!AG121*100,6))</f>
        <v/>
      </c>
      <c r="V118" s="68" t="str">
        <f>IF(main!AH121="","",ROUND(main!AH121*100,6))</f>
        <v/>
      </c>
      <c r="W118" s="68" t="str">
        <f>IF(main!AI121="","",ROUND(main!AI121*100,6))</f>
        <v/>
      </c>
      <c r="X118" s="68" t="str">
        <f>IF(main!AJ121="","",ROUND(main!AJ121*100,6))</f>
        <v/>
      </c>
      <c r="Y118" s="68" t="str">
        <f>IF(main!AK121="","",ROUND(main!AK121*100,6))</f>
        <v/>
      </c>
      <c r="Z118" s="68" t="str">
        <f>IF(main!AL121="","",ROUND(main!AL121*100,6))</f>
        <v/>
      </c>
      <c r="AA118" s="68" t="str">
        <f>IF(main!AM121="","",ROUND(main!AM121*100,6))</f>
        <v/>
      </c>
      <c r="AB118" s="68" t="str">
        <f>IF(main!AN121="","",ROUND(main!AN121*100,6))</f>
        <v/>
      </c>
      <c r="AC118" s="68" t="str">
        <f>IF(main!AO121="","",ROUND(main!AO121*100,6))</f>
        <v/>
      </c>
      <c r="AD118" s="68" t="str">
        <f>IF(main!AP121="","",ROUND(main!AP121*100,6))</f>
        <v/>
      </c>
      <c r="AE118" s="68" t="str">
        <f>IF(main!AQ121="","",ROUND(main!AQ121*100,6))</f>
        <v/>
      </c>
      <c r="AF118" s="68" t="str">
        <f>IF(main!AR121="","",ROUND(main!AR121*100,6))</f>
        <v/>
      </c>
      <c r="AG118" s="68" t="str">
        <f>IF(main!AS121="","",ROUND(main!AS121*100,6))</f>
        <v/>
      </c>
      <c r="AH118" s="68" t="str">
        <f>IF(main!AT121="","",ROUND(main!AT121*100,6))</f>
        <v/>
      </c>
      <c r="AI118" s="68" t="str">
        <f>IF(main!AU121="","",ROUND(main!AU121*100,6))</f>
        <v/>
      </c>
      <c r="AJ118" s="68" t="str">
        <f>IF(main!AV121="","",ROUND(main!AV121*100,6))</f>
        <v/>
      </c>
      <c r="AK118" s="68" t="str">
        <f>IF(main!AW121="","",ROUND(main!AW121*100,6))</f>
        <v/>
      </c>
      <c r="AL118" s="68" t="str">
        <f>IF(main!AX121="","",ROUND(main!AX121*100,6))</f>
        <v/>
      </c>
      <c r="AM118" s="68" t="str">
        <f>IF(main!AY121="","",ROUND(main!AY121*100,6))</f>
        <v/>
      </c>
      <c r="AN118" s="68" t="str">
        <f>IF(main!AZ121="","",ROUND(main!AZ121*100,6))</f>
        <v/>
      </c>
      <c r="AO118" s="68" t="str">
        <f>IF(main!BA121="","",ROUND(main!BA121*100,6))</f>
        <v/>
      </c>
      <c r="AP118" s="68" t="str">
        <f>IF(main!BB121="","",ROUND(main!BB121*100,6))</f>
        <v/>
      </c>
      <c r="AQ118" s="68" t="str">
        <f>IF(main!BC121="","",ROUND(main!BC121*100,6))</f>
        <v/>
      </c>
      <c r="AR118" s="68" t="str">
        <f>IF(main!BD121="","",ROUND(main!BD121*100,6))</f>
        <v/>
      </c>
      <c r="AS118" s="68" t="str">
        <f>IF(main!BE121="","",ROUND(main!BE121*100,6))</f>
        <v/>
      </c>
      <c r="AT118" s="68" t="str">
        <f>IF(main!BF121="","",ROUND(main!BF121*100,6))</f>
        <v/>
      </c>
      <c r="AU118" s="68" t="str">
        <f>IF(main!BG121="","",ROUND(main!BG121*100,6))</f>
        <v/>
      </c>
      <c r="AV118" s="68" t="str">
        <f>IF(main!BH121="","",ROUND(main!BH121*100,6))</f>
        <v/>
      </c>
      <c r="AW118" s="68" t="str">
        <f>IF(main!BI121="","",ROUND(main!BI121*100,6))</f>
        <v/>
      </c>
      <c r="AX118" s="68" t="str">
        <f>IF(main!BJ121="","",ROUND(main!BJ121*100,6))</f>
        <v/>
      </c>
      <c r="AY118" s="68" t="str">
        <f>IF(main!BK121="","",ROUND(main!BK121*100,6))</f>
        <v/>
      </c>
      <c r="AZ118" s="68" t="str">
        <f>IF(main!BL121="","",ROUND(main!BL121*100,6))</f>
        <v/>
      </c>
      <c r="BA118" s="68" t="str">
        <f>IF(main!BM121="","",ROUND(main!BM121*100,6))</f>
        <v/>
      </c>
      <c r="BB118" s="68" t="str">
        <f>IF(main!BN121="","",ROUND(main!BN121*100,6))</f>
        <v/>
      </c>
      <c r="BC118" s="68" t="str">
        <f>IF(main!BO121="","",ROUND(main!BO121*100,6))</f>
        <v/>
      </c>
      <c r="BD118" s="68" t="str">
        <f>IF(main!BP121="","",ROUND(main!BP121*100,6))</f>
        <v/>
      </c>
      <c r="BE118" s="68" t="str">
        <f>IF(main!BQ121="","",ROUND(main!BQ121*100,6))</f>
        <v/>
      </c>
      <c r="BF118" s="68" t="str">
        <f>IF(main!BR121="","",ROUND(main!BR121*100,6))</f>
        <v/>
      </c>
      <c r="BG118" s="68" t="str">
        <f>IF(main!BS121="","",ROUND(main!BS121*100,6))</f>
        <v/>
      </c>
      <c r="BH118" s="68" t="str">
        <f>IF(main!BT121="","",ROUND(main!BT121*100,6))</f>
        <v/>
      </c>
      <c r="BI118" s="68">
        <f>IF(main!BU121="","",ROUND(main!BU121*100,6))</f>
        <v>28.571428999999998</v>
      </c>
      <c r="BJ118" s="68">
        <f>IF(main!BV121="","",ROUND(main!BV121*100,6))</f>
        <v>71.428571000000005</v>
      </c>
      <c r="BK118" s="68" t="str">
        <f>IF(main!BW121="","",ROUND(main!BW121*100,6))</f>
        <v/>
      </c>
      <c r="BL118" s="68" t="str">
        <f>IF(main!BX121="","",ROUND(main!BX121*100,6))</f>
        <v/>
      </c>
      <c r="BM118" s="68" t="str">
        <f>IF(main!BY121="","",ROUND(main!BY121*100,6))</f>
        <v/>
      </c>
      <c r="BN118" s="68" t="str">
        <f>IF(main!BZ121="","",ROUND(main!BZ121*100,6))</f>
        <v/>
      </c>
      <c r="BO118" s="68" t="str">
        <f>IF(main!CA121="","",ROUND(main!CA121*100,6))</f>
        <v/>
      </c>
      <c r="BP118" s="68" t="str">
        <f>IF(main!CB121="","",ROUND(main!CB121*100,6))</f>
        <v/>
      </c>
      <c r="BQ118" s="68" t="str">
        <f>IF(main!CC121="","",ROUND(main!CC121*100,6))</f>
        <v/>
      </c>
      <c r="BR118" s="68" t="str">
        <f>IF(main!CD121="","",ROUND(main!CD121*100,6))</f>
        <v/>
      </c>
      <c r="BS118" s="68" t="str">
        <f>IF(main!CE121="","",ROUND(main!CE121*100,6))</f>
        <v/>
      </c>
      <c r="BT118" s="68" t="str">
        <f>IF(main!CF121="","",ROUND(main!CF121*100,6))</f>
        <v/>
      </c>
      <c r="BU118" s="68" t="str">
        <f>IF(main!CG121="","",ROUND(main!CG121*100,6))</f>
        <v/>
      </c>
      <c r="BV118" s="68" t="str">
        <f>IF(main!CH121="","",ROUND(main!CH121*100,6))</f>
        <v/>
      </c>
      <c r="BW118" s="68" t="str">
        <f>IF(main!CI121="","",ROUND(main!CI121*100,6))</f>
        <v/>
      </c>
      <c r="BX118" s="68" t="str">
        <f>IF(main!CJ121="","",ROUND(main!CJ121*100,6))</f>
        <v/>
      </c>
      <c r="BY118" s="68" t="str">
        <f>IF(main!CK121="","",ROUND(main!CK121*100,6))</f>
        <v/>
      </c>
      <c r="BZ118" s="68" t="str">
        <f>IF(main!CL121="","",ROUND(main!CL121*100,6))</f>
        <v/>
      </c>
      <c r="CA118" s="68" t="str">
        <f>IF(main!CM121="","",ROUND(main!CM121*100,6))</f>
        <v/>
      </c>
      <c r="CB118" s="68" t="str">
        <f>IF(main!CN121="","",ROUND(main!CN121*100,6))</f>
        <v/>
      </c>
      <c r="CC118" s="68" t="str">
        <f>IF(main!CO121="","",ROUND(main!CO121*100,6))</f>
        <v/>
      </c>
    </row>
    <row r="119" spans="1:81" x14ac:dyDescent="0.25">
      <c r="A119" s="65" t="s">
        <v>255</v>
      </c>
      <c r="B119" s="66" t="str">
        <f>main!C121</f>
        <v>Concrete Top</v>
      </c>
      <c r="C119" s="67">
        <f>main!O121</f>
        <v>100000</v>
      </c>
      <c r="D119" s="65" t="s">
        <v>111</v>
      </c>
      <c r="E119" s="68" t="str">
        <f t="shared" si="1"/>
        <v/>
      </c>
      <c r="F119" s="68" t="str">
        <f>IF(main!R122="","",ROUND(main!R122*100,6))</f>
        <v/>
      </c>
      <c r="G119" s="68" t="str">
        <f>IF(main!S122="","",ROUND(main!S122*100,6))</f>
        <v/>
      </c>
      <c r="H119" s="68" t="str">
        <f>IF(main!T122="","",ROUND(main!T122*100,6))</f>
        <v/>
      </c>
      <c r="I119" s="68" t="str">
        <f>IF(main!U122="","",ROUND(main!U122*100,6))</f>
        <v/>
      </c>
      <c r="J119" s="68" t="str">
        <f>IF(main!V122="","",ROUND(main!V122*100,6))</f>
        <v/>
      </c>
      <c r="K119" s="68" t="str">
        <f>IF(main!W122="","",ROUND(main!W122*100,6))</f>
        <v/>
      </c>
      <c r="L119" s="68" t="str">
        <f>IF(main!X122="","",ROUND(main!X122*100,6))</f>
        <v/>
      </c>
      <c r="M119" s="68" t="str">
        <f>IF(main!Y122="","",ROUND(main!Y122*100,6))</f>
        <v/>
      </c>
      <c r="N119" s="68" t="str">
        <f>IF(main!Z122="","",ROUND(main!Z122*100,6))</f>
        <v/>
      </c>
      <c r="O119" s="68" t="str">
        <f>IF(main!AA122="","",ROUND(main!AA122*100,6))</f>
        <v/>
      </c>
      <c r="P119" s="68" t="str">
        <f>IF(main!AB122="","",ROUND(main!AB122*100,6))</f>
        <v/>
      </c>
      <c r="Q119" s="68" t="str">
        <f>IF(main!AC122="","",ROUND(main!AC122*100,6))</f>
        <v/>
      </c>
      <c r="R119" s="68" t="str">
        <f>IF(main!AD122="","",ROUND(main!AD122*100,6))</f>
        <v/>
      </c>
      <c r="S119" s="68" t="str">
        <f>IF(main!AE122="","",ROUND(main!AE122*100,6))</f>
        <v/>
      </c>
      <c r="T119" s="68" t="str">
        <f>IF(main!AF122="","",ROUND(main!AF122*100,6))</f>
        <v/>
      </c>
      <c r="U119" s="68" t="str">
        <f>IF(main!AG122="","",ROUND(main!AG122*100,6))</f>
        <v/>
      </c>
      <c r="V119" s="68" t="str">
        <f>IF(main!AH122="","",ROUND(main!AH122*100,6))</f>
        <v/>
      </c>
      <c r="W119" s="68" t="str">
        <f>IF(main!AI122="","",ROUND(main!AI122*100,6))</f>
        <v/>
      </c>
      <c r="X119" s="68" t="str">
        <f>IF(main!AJ122="","",ROUND(main!AJ122*100,6))</f>
        <v/>
      </c>
      <c r="Y119" s="68" t="str">
        <f>IF(main!AK122="","",ROUND(main!AK122*100,6))</f>
        <v/>
      </c>
      <c r="Z119" s="68" t="str">
        <f>IF(main!AL122="","",ROUND(main!AL122*100,6))</f>
        <v/>
      </c>
      <c r="AA119" s="68" t="str">
        <f>IF(main!AM122="","",ROUND(main!AM122*100,6))</f>
        <v/>
      </c>
      <c r="AB119" s="68" t="str">
        <f>IF(main!AN122="","",ROUND(main!AN122*100,6))</f>
        <v/>
      </c>
      <c r="AC119" s="68" t="str">
        <f>IF(main!AO122="","",ROUND(main!AO122*100,6))</f>
        <v/>
      </c>
      <c r="AD119" s="68" t="str">
        <f>IF(main!AP122="","",ROUND(main!AP122*100,6))</f>
        <v/>
      </c>
      <c r="AE119" s="68" t="str">
        <f>IF(main!AQ122="","",ROUND(main!AQ122*100,6))</f>
        <v/>
      </c>
      <c r="AF119" s="68" t="str">
        <f>IF(main!AR122="","",ROUND(main!AR122*100,6))</f>
        <v/>
      </c>
      <c r="AG119" s="68" t="str">
        <f>IF(main!AS122="","",ROUND(main!AS122*100,6))</f>
        <v/>
      </c>
      <c r="AH119" s="68" t="str">
        <f>IF(main!AT122="","",ROUND(main!AT122*100,6))</f>
        <v/>
      </c>
      <c r="AI119" s="68" t="str">
        <f>IF(main!AU122="","",ROUND(main!AU122*100,6))</f>
        <v/>
      </c>
      <c r="AJ119" s="68" t="str">
        <f>IF(main!AV122="","",ROUND(main!AV122*100,6))</f>
        <v/>
      </c>
      <c r="AK119" s="68" t="str">
        <f>IF(main!AW122="","",ROUND(main!AW122*100,6))</f>
        <v/>
      </c>
      <c r="AL119" s="68" t="str">
        <f>IF(main!AX122="","",ROUND(main!AX122*100,6))</f>
        <v/>
      </c>
      <c r="AM119" s="68" t="str">
        <f>IF(main!AY122="","",ROUND(main!AY122*100,6))</f>
        <v/>
      </c>
      <c r="AN119" s="68" t="str">
        <f>IF(main!AZ122="","",ROUND(main!AZ122*100,6))</f>
        <v/>
      </c>
      <c r="AO119" s="68" t="str">
        <f>IF(main!BA122="","",ROUND(main!BA122*100,6))</f>
        <v/>
      </c>
      <c r="AP119" s="68" t="str">
        <f>IF(main!BB122="","",ROUND(main!BB122*100,6))</f>
        <v/>
      </c>
      <c r="AQ119" s="68" t="str">
        <f>IF(main!BC122="","",ROUND(main!BC122*100,6))</f>
        <v/>
      </c>
      <c r="AR119" s="68" t="str">
        <f>IF(main!BD122="","",ROUND(main!BD122*100,6))</f>
        <v/>
      </c>
      <c r="AS119" s="68" t="str">
        <f>IF(main!BE122="","",ROUND(main!BE122*100,6))</f>
        <v/>
      </c>
      <c r="AT119" s="68" t="str">
        <f>IF(main!BF122="","",ROUND(main!BF122*100,6))</f>
        <v/>
      </c>
      <c r="AU119" s="68" t="str">
        <f>IF(main!BG122="","",ROUND(main!BG122*100,6))</f>
        <v/>
      </c>
      <c r="AV119" s="68" t="str">
        <f>IF(main!BH122="","",ROUND(main!BH122*100,6))</f>
        <v/>
      </c>
      <c r="AW119" s="68" t="str">
        <f>IF(main!BI122="","",ROUND(main!BI122*100,6))</f>
        <v/>
      </c>
      <c r="AX119" s="68" t="str">
        <f>IF(main!BJ122="","",ROUND(main!BJ122*100,6))</f>
        <v/>
      </c>
      <c r="AY119" s="68" t="str">
        <f>IF(main!BK122="","",ROUND(main!BK122*100,6))</f>
        <v/>
      </c>
      <c r="AZ119" s="68" t="str">
        <f>IF(main!BL122="","",ROUND(main!BL122*100,6))</f>
        <v/>
      </c>
      <c r="BA119" s="68" t="str">
        <f>IF(main!BM122="","",ROUND(main!BM122*100,6))</f>
        <v/>
      </c>
      <c r="BB119" s="68" t="str">
        <f>IF(main!BN122="","",ROUND(main!BN122*100,6))</f>
        <v/>
      </c>
      <c r="BC119" s="68" t="str">
        <f>IF(main!BO122="","",ROUND(main!BO122*100,6))</f>
        <v/>
      </c>
      <c r="BD119" s="68" t="str">
        <f>IF(main!BP122="","",ROUND(main!BP122*100,6))</f>
        <v/>
      </c>
      <c r="BE119" s="68" t="str">
        <f>IF(main!BQ122="","",ROUND(main!BQ122*100,6))</f>
        <v/>
      </c>
      <c r="BF119" s="68" t="str">
        <f>IF(main!BR122="","",ROUND(main!BR122*100,6))</f>
        <v/>
      </c>
      <c r="BG119" s="68" t="str">
        <f>IF(main!BS122="","",ROUND(main!BS122*100,6))</f>
        <v/>
      </c>
      <c r="BH119" s="68" t="str">
        <f>IF(main!BT122="","",ROUND(main!BT122*100,6))</f>
        <v/>
      </c>
      <c r="BI119" s="68" t="str">
        <f>IF(main!BU122="","",ROUND(main!BU122*100,6))</f>
        <v/>
      </c>
      <c r="BJ119" s="68" t="str">
        <f>IF(main!BV122="","",ROUND(main!BV122*100,6))</f>
        <v/>
      </c>
      <c r="BK119" s="68" t="str">
        <f>IF(main!BW122="","",ROUND(main!BW122*100,6))</f>
        <v/>
      </c>
      <c r="BL119" s="68" t="str">
        <f>IF(main!BX122="","",ROUND(main!BX122*100,6))</f>
        <v/>
      </c>
      <c r="BM119" s="68" t="str">
        <f>IF(main!BY122="","",ROUND(main!BY122*100,6))</f>
        <v/>
      </c>
      <c r="BN119" s="68" t="str">
        <f>IF(main!BZ122="","",ROUND(main!BZ122*100,6))</f>
        <v/>
      </c>
      <c r="BO119" s="68" t="str">
        <f>IF(main!CA122="","",ROUND(main!CA122*100,6))</f>
        <v/>
      </c>
      <c r="BP119" s="68" t="str">
        <f>IF(main!CB122="","",ROUND(main!CB122*100,6))</f>
        <v/>
      </c>
      <c r="BQ119" s="68" t="str">
        <f>IF(main!CC122="","",ROUND(main!CC122*100,6))</f>
        <v/>
      </c>
      <c r="BR119" s="68" t="str">
        <f>IF(main!CD122="","",ROUND(main!CD122*100,6))</f>
        <v/>
      </c>
      <c r="BS119" s="68" t="str">
        <f>IF(main!CE122="","",ROUND(main!CE122*100,6))</f>
        <v/>
      </c>
      <c r="BT119" s="68" t="str">
        <f>IF(main!CF122="","",ROUND(main!CF122*100,6))</f>
        <v/>
      </c>
      <c r="BU119" s="68" t="str">
        <f>IF(main!CG122="","",ROUND(main!CG122*100,6))</f>
        <v/>
      </c>
      <c r="BV119" s="68" t="str">
        <f>IF(main!CH122="","",ROUND(main!CH122*100,6))</f>
        <v/>
      </c>
      <c r="BW119" s="68" t="str">
        <f>IF(main!CI122="","",ROUND(main!CI122*100,6))</f>
        <v/>
      </c>
      <c r="BX119" s="68" t="str">
        <f>IF(main!CJ122="","",ROUND(main!CJ122*100,6))</f>
        <v/>
      </c>
      <c r="BY119" s="68" t="str">
        <f>IF(main!CK122="","",ROUND(main!CK122*100,6))</f>
        <v/>
      </c>
      <c r="BZ119" s="68" t="str">
        <f>IF(main!CL122="","",ROUND(main!CL122*100,6))</f>
        <v/>
      </c>
      <c r="CA119" s="68" t="str">
        <f>IF(main!CM122="","",ROUND(main!CM122*100,6))</f>
        <v/>
      </c>
      <c r="CB119" s="68" t="str">
        <f>IF(main!CN122="","",ROUND(main!CN122*100,6))</f>
        <v/>
      </c>
      <c r="CC119" s="68" t="str">
        <f>IF(main!CO122="","",ROUND(main!CO122*100,6))</f>
        <v/>
      </c>
    </row>
    <row r="120" spans="1:81" x14ac:dyDescent="0.25">
      <c r="A120" s="65" t="s">
        <v>257</v>
      </c>
      <c r="B120" s="66" t="str">
        <f>main!C123</f>
        <v>MEP Foundation</v>
      </c>
      <c r="C120" s="67">
        <f>main!O123</f>
        <v>500000</v>
      </c>
      <c r="D120" s="65" t="s">
        <v>110</v>
      </c>
      <c r="E120" s="68">
        <f t="shared" si="1"/>
        <v>99.999998000000005</v>
      </c>
      <c r="F120" s="68" t="str">
        <f>IF(main!R123="","",ROUND(main!R123*100,6))</f>
        <v/>
      </c>
      <c r="G120" s="68" t="str">
        <f>IF(main!S123="","",ROUND(main!S123*100,6))</f>
        <v/>
      </c>
      <c r="H120" s="68" t="str">
        <f>IF(main!T123="","",ROUND(main!T123*100,6))</f>
        <v/>
      </c>
      <c r="I120" s="68" t="str">
        <f>IF(main!U123="","",ROUND(main!U123*100,6))</f>
        <v/>
      </c>
      <c r="J120" s="68" t="str">
        <f>IF(main!V123="","",ROUND(main!V123*100,6))</f>
        <v/>
      </c>
      <c r="K120" s="68" t="str">
        <f>IF(main!W123="","",ROUND(main!W123*100,6))</f>
        <v/>
      </c>
      <c r="L120" s="68" t="str">
        <f>IF(main!X123="","",ROUND(main!X123*100,6))</f>
        <v/>
      </c>
      <c r="M120" s="68" t="str">
        <f>IF(main!Y123="","",ROUND(main!Y123*100,6))</f>
        <v/>
      </c>
      <c r="N120" s="68" t="str">
        <f>IF(main!Z123="","",ROUND(main!Z123*100,6))</f>
        <v/>
      </c>
      <c r="O120" s="68" t="str">
        <f>IF(main!AA123="","",ROUND(main!AA123*100,6))</f>
        <v/>
      </c>
      <c r="P120" s="68" t="str">
        <f>IF(main!AB123="","",ROUND(main!AB123*100,6))</f>
        <v/>
      </c>
      <c r="Q120" s="68" t="str">
        <f>IF(main!AC123="","",ROUND(main!AC123*100,6))</f>
        <v/>
      </c>
      <c r="R120" s="68" t="str">
        <f>IF(main!AD123="","",ROUND(main!AD123*100,6))</f>
        <v/>
      </c>
      <c r="S120" s="68" t="str">
        <f>IF(main!AE123="","",ROUND(main!AE123*100,6))</f>
        <v/>
      </c>
      <c r="T120" s="68" t="str">
        <f>IF(main!AF123="","",ROUND(main!AF123*100,6))</f>
        <v/>
      </c>
      <c r="U120" s="68" t="str">
        <f>IF(main!AG123="","",ROUND(main!AG123*100,6))</f>
        <v/>
      </c>
      <c r="V120" s="68" t="str">
        <f>IF(main!AH123="","",ROUND(main!AH123*100,6))</f>
        <v/>
      </c>
      <c r="W120" s="68" t="str">
        <f>IF(main!AI123="","",ROUND(main!AI123*100,6))</f>
        <v/>
      </c>
      <c r="X120" s="68" t="str">
        <f>IF(main!AJ123="","",ROUND(main!AJ123*100,6))</f>
        <v/>
      </c>
      <c r="Y120" s="68" t="str">
        <f>IF(main!AK123="","",ROUND(main!AK123*100,6))</f>
        <v/>
      </c>
      <c r="Z120" s="68" t="str">
        <f>IF(main!AL123="","",ROUND(main!AL123*100,6))</f>
        <v/>
      </c>
      <c r="AA120" s="68" t="str">
        <f>IF(main!AM123="","",ROUND(main!AM123*100,6))</f>
        <v/>
      </c>
      <c r="AB120" s="68" t="str">
        <f>IF(main!AN123="","",ROUND(main!AN123*100,6))</f>
        <v/>
      </c>
      <c r="AC120" s="68" t="str">
        <f>IF(main!AO123="","",ROUND(main!AO123*100,6))</f>
        <v/>
      </c>
      <c r="AD120" s="68" t="str">
        <f>IF(main!AP123="","",ROUND(main!AP123*100,6))</f>
        <v/>
      </c>
      <c r="AE120" s="68" t="str">
        <f>IF(main!AQ123="","",ROUND(main!AQ123*100,6))</f>
        <v/>
      </c>
      <c r="AF120" s="68" t="str">
        <f>IF(main!AR123="","",ROUND(main!AR123*100,6))</f>
        <v/>
      </c>
      <c r="AG120" s="68" t="str">
        <f>IF(main!AS123="","",ROUND(main!AS123*100,6))</f>
        <v/>
      </c>
      <c r="AH120" s="68" t="str">
        <f>IF(main!AT123="","",ROUND(main!AT123*100,6))</f>
        <v/>
      </c>
      <c r="AI120" s="68" t="str">
        <f>IF(main!AU123="","",ROUND(main!AU123*100,6))</f>
        <v/>
      </c>
      <c r="AJ120" s="68" t="str">
        <f>IF(main!AV123="","",ROUND(main!AV123*100,6))</f>
        <v/>
      </c>
      <c r="AK120" s="68" t="str">
        <f>IF(main!AW123="","",ROUND(main!AW123*100,6))</f>
        <v/>
      </c>
      <c r="AL120" s="68" t="str">
        <f>IF(main!AX123="","",ROUND(main!AX123*100,6))</f>
        <v/>
      </c>
      <c r="AM120" s="68" t="str">
        <f>IF(main!AY123="","",ROUND(main!AY123*100,6))</f>
        <v/>
      </c>
      <c r="AN120" s="68" t="str">
        <f>IF(main!AZ123="","",ROUND(main!AZ123*100,6))</f>
        <v/>
      </c>
      <c r="AO120" s="68" t="str">
        <f>IF(main!BA123="","",ROUND(main!BA123*100,6))</f>
        <v/>
      </c>
      <c r="AP120" s="68">
        <f>IF(main!BB123="","",ROUND(main!BB123*100,6))</f>
        <v>2.6086960000000001</v>
      </c>
      <c r="AQ120" s="68">
        <f>IF(main!BC123="","",ROUND(main!BC123*100,6))</f>
        <v>12.173913000000001</v>
      </c>
      <c r="AR120" s="68">
        <f>IF(main!BD123="","",ROUND(main!BD123*100,6))</f>
        <v>6.9951689999999997</v>
      </c>
      <c r="AS120" s="68">
        <f>IF(main!BE123="","",ROUND(main!BE123*100,6))</f>
        <v>9.3333329999999997</v>
      </c>
      <c r="AT120" s="68">
        <f>IF(main!BF123="","",ROUND(main!BF123*100,6))</f>
        <v>6.2222220000000004</v>
      </c>
      <c r="AU120" s="68">
        <f>IF(main!BG123="","",ROUND(main!BG123*100,6))</f>
        <v>4.4444439999999998</v>
      </c>
      <c r="AV120" s="68">
        <f>IF(main!BH123="","",ROUND(main!BH123*100,6))</f>
        <v>9.3333329999999997</v>
      </c>
      <c r="AW120" s="68">
        <f>IF(main!BI123="","",ROUND(main!BI123*100,6))</f>
        <v>6.2222220000000004</v>
      </c>
      <c r="AX120" s="68">
        <f>IF(main!BJ123="","",ROUND(main!BJ123*100,6))</f>
        <v>5.5238100000000001</v>
      </c>
      <c r="AY120" s="68">
        <f>IF(main!BK123="","",ROUND(main!BK123*100,6))</f>
        <v>13.333333</v>
      </c>
      <c r="AZ120" s="68">
        <f>IF(main!BL123="","",ROUND(main!BL123*100,6))</f>
        <v>10.476190000000001</v>
      </c>
      <c r="BA120" s="68">
        <f>IF(main!BM123="","",ROUND(main!BM123*100,6))</f>
        <v>13.333333</v>
      </c>
      <c r="BB120" s="68" t="str">
        <f>IF(main!BN123="","",ROUND(main!BN123*100,6))</f>
        <v/>
      </c>
      <c r="BC120" s="68" t="str">
        <f>IF(main!BO123="","",ROUND(main!BO123*100,6))</f>
        <v/>
      </c>
      <c r="BD120" s="68" t="str">
        <f>IF(main!BP123="","",ROUND(main!BP123*100,6))</f>
        <v/>
      </c>
      <c r="BE120" s="68" t="str">
        <f>IF(main!BQ123="","",ROUND(main!BQ123*100,6))</f>
        <v/>
      </c>
      <c r="BF120" s="68" t="str">
        <f>IF(main!BR123="","",ROUND(main!BR123*100,6))</f>
        <v/>
      </c>
      <c r="BG120" s="68" t="str">
        <f>IF(main!BS123="","",ROUND(main!BS123*100,6))</f>
        <v/>
      </c>
      <c r="BH120" s="68" t="str">
        <f>IF(main!BT123="","",ROUND(main!BT123*100,6))</f>
        <v/>
      </c>
      <c r="BI120" s="68" t="str">
        <f>IF(main!BU123="","",ROUND(main!BU123*100,6))</f>
        <v/>
      </c>
      <c r="BJ120" s="68" t="str">
        <f>IF(main!BV123="","",ROUND(main!BV123*100,6))</f>
        <v/>
      </c>
      <c r="BK120" s="68" t="str">
        <f>IF(main!BW123="","",ROUND(main!BW123*100,6))</f>
        <v/>
      </c>
      <c r="BL120" s="68" t="str">
        <f>IF(main!BX123="","",ROUND(main!BX123*100,6))</f>
        <v/>
      </c>
      <c r="BM120" s="68" t="str">
        <f>IF(main!BY123="","",ROUND(main!BY123*100,6))</f>
        <v/>
      </c>
      <c r="BN120" s="68" t="str">
        <f>IF(main!BZ123="","",ROUND(main!BZ123*100,6))</f>
        <v/>
      </c>
      <c r="BO120" s="68" t="str">
        <f>IF(main!CA123="","",ROUND(main!CA123*100,6))</f>
        <v/>
      </c>
      <c r="BP120" s="68" t="str">
        <f>IF(main!CB123="","",ROUND(main!CB123*100,6))</f>
        <v/>
      </c>
      <c r="BQ120" s="68" t="str">
        <f>IF(main!CC123="","",ROUND(main!CC123*100,6))</f>
        <v/>
      </c>
      <c r="BR120" s="68" t="str">
        <f>IF(main!CD123="","",ROUND(main!CD123*100,6))</f>
        <v/>
      </c>
      <c r="BS120" s="68" t="str">
        <f>IF(main!CE123="","",ROUND(main!CE123*100,6))</f>
        <v/>
      </c>
      <c r="BT120" s="68" t="str">
        <f>IF(main!CF123="","",ROUND(main!CF123*100,6))</f>
        <v/>
      </c>
      <c r="BU120" s="68" t="str">
        <f>IF(main!CG123="","",ROUND(main!CG123*100,6))</f>
        <v/>
      </c>
      <c r="BV120" s="68" t="str">
        <f>IF(main!CH123="","",ROUND(main!CH123*100,6))</f>
        <v/>
      </c>
      <c r="BW120" s="68" t="str">
        <f>IF(main!CI123="","",ROUND(main!CI123*100,6))</f>
        <v/>
      </c>
      <c r="BX120" s="68" t="str">
        <f>IF(main!CJ123="","",ROUND(main!CJ123*100,6))</f>
        <v/>
      </c>
      <c r="BY120" s="68" t="str">
        <f>IF(main!CK123="","",ROUND(main!CK123*100,6))</f>
        <v/>
      </c>
      <c r="BZ120" s="68" t="str">
        <f>IF(main!CL123="","",ROUND(main!CL123*100,6))</f>
        <v/>
      </c>
      <c r="CA120" s="68" t="str">
        <f>IF(main!CM123="","",ROUND(main!CM123*100,6))</f>
        <v/>
      </c>
      <c r="CB120" s="68" t="str">
        <f>IF(main!CN123="","",ROUND(main!CN123*100,6))</f>
        <v/>
      </c>
      <c r="CC120" s="68" t="str">
        <f>IF(main!CO123="","",ROUND(main!CO123*100,6))</f>
        <v/>
      </c>
    </row>
    <row r="121" spans="1:81" x14ac:dyDescent="0.25">
      <c r="A121" s="65" t="s">
        <v>257</v>
      </c>
      <c r="B121" s="66" t="str">
        <f>main!C123</f>
        <v>MEP Foundation</v>
      </c>
      <c r="C121" s="67">
        <f>main!O123</f>
        <v>500000</v>
      </c>
      <c r="D121" s="65" t="s">
        <v>111</v>
      </c>
      <c r="E121" s="68" t="str">
        <f t="shared" si="1"/>
        <v/>
      </c>
      <c r="F121" s="68" t="str">
        <f>IF(main!R124="","",ROUND(main!R124*100,6))</f>
        <v/>
      </c>
      <c r="G121" s="68" t="str">
        <f>IF(main!S124="","",ROUND(main!S124*100,6))</f>
        <v/>
      </c>
      <c r="H121" s="68" t="str">
        <f>IF(main!T124="","",ROUND(main!T124*100,6))</f>
        <v/>
      </c>
      <c r="I121" s="68" t="str">
        <f>IF(main!U124="","",ROUND(main!U124*100,6))</f>
        <v/>
      </c>
      <c r="J121" s="68" t="str">
        <f>IF(main!V124="","",ROUND(main!V124*100,6))</f>
        <v/>
      </c>
      <c r="K121" s="68" t="str">
        <f>IF(main!W124="","",ROUND(main!W124*100,6))</f>
        <v/>
      </c>
      <c r="L121" s="68" t="str">
        <f>IF(main!X124="","",ROUND(main!X124*100,6))</f>
        <v/>
      </c>
      <c r="M121" s="68" t="str">
        <f>IF(main!Y124="","",ROUND(main!Y124*100,6))</f>
        <v/>
      </c>
      <c r="N121" s="68" t="str">
        <f>IF(main!Z124="","",ROUND(main!Z124*100,6))</f>
        <v/>
      </c>
      <c r="O121" s="68" t="str">
        <f>IF(main!AA124="","",ROUND(main!AA124*100,6))</f>
        <v/>
      </c>
      <c r="P121" s="68" t="str">
        <f>IF(main!AB124="","",ROUND(main!AB124*100,6))</f>
        <v/>
      </c>
      <c r="Q121" s="68" t="str">
        <f>IF(main!AC124="","",ROUND(main!AC124*100,6))</f>
        <v/>
      </c>
      <c r="R121" s="68" t="str">
        <f>IF(main!AD124="","",ROUND(main!AD124*100,6))</f>
        <v/>
      </c>
      <c r="S121" s="68" t="str">
        <f>IF(main!AE124="","",ROUND(main!AE124*100,6))</f>
        <v/>
      </c>
      <c r="T121" s="68" t="str">
        <f>IF(main!AF124="","",ROUND(main!AF124*100,6))</f>
        <v/>
      </c>
      <c r="U121" s="68" t="str">
        <f>IF(main!AG124="","",ROUND(main!AG124*100,6))</f>
        <v/>
      </c>
      <c r="V121" s="68" t="str">
        <f>IF(main!AH124="","",ROUND(main!AH124*100,6))</f>
        <v/>
      </c>
      <c r="W121" s="68" t="str">
        <f>IF(main!AI124="","",ROUND(main!AI124*100,6))</f>
        <v/>
      </c>
      <c r="X121" s="68" t="str">
        <f>IF(main!AJ124="","",ROUND(main!AJ124*100,6))</f>
        <v/>
      </c>
      <c r="Y121" s="68" t="str">
        <f>IF(main!AK124="","",ROUND(main!AK124*100,6))</f>
        <v/>
      </c>
      <c r="Z121" s="68" t="str">
        <f>IF(main!AL124="","",ROUND(main!AL124*100,6))</f>
        <v/>
      </c>
      <c r="AA121" s="68" t="str">
        <f>IF(main!AM124="","",ROUND(main!AM124*100,6))</f>
        <v/>
      </c>
      <c r="AB121" s="68" t="str">
        <f>IF(main!AN124="","",ROUND(main!AN124*100,6))</f>
        <v/>
      </c>
      <c r="AC121" s="68" t="str">
        <f>IF(main!AO124="","",ROUND(main!AO124*100,6))</f>
        <v/>
      </c>
      <c r="AD121" s="68" t="str">
        <f>IF(main!AP124="","",ROUND(main!AP124*100,6))</f>
        <v/>
      </c>
      <c r="AE121" s="68" t="str">
        <f>IF(main!AQ124="","",ROUND(main!AQ124*100,6))</f>
        <v/>
      </c>
      <c r="AF121" s="68" t="str">
        <f>IF(main!AR124="","",ROUND(main!AR124*100,6))</f>
        <v/>
      </c>
      <c r="AG121" s="68" t="str">
        <f>IF(main!AS124="","",ROUND(main!AS124*100,6))</f>
        <v/>
      </c>
      <c r="AH121" s="68" t="str">
        <f>IF(main!AT124="","",ROUND(main!AT124*100,6))</f>
        <v/>
      </c>
      <c r="AI121" s="68" t="str">
        <f>IF(main!AU124="","",ROUND(main!AU124*100,6))</f>
        <v/>
      </c>
      <c r="AJ121" s="68" t="str">
        <f>IF(main!AV124="","",ROUND(main!AV124*100,6))</f>
        <v/>
      </c>
      <c r="AK121" s="68" t="str">
        <f>IF(main!AW124="","",ROUND(main!AW124*100,6))</f>
        <v/>
      </c>
      <c r="AL121" s="68" t="str">
        <f>IF(main!AX124="","",ROUND(main!AX124*100,6))</f>
        <v/>
      </c>
      <c r="AM121" s="68" t="str">
        <f>IF(main!AY124="","",ROUND(main!AY124*100,6))</f>
        <v/>
      </c>
      <c r="AN121" s="68" t="str">
        <f>IF(main!AZ124="","",ROUND(main!AZ124*100,6))</f>
        <v/>
      </c>
      <c r="AO121" s="68" t="str">
        <f>IF(main!BA124="","",ROUND(main!BA124*100,6))</f>
        <v/>
      </c>
      <c r="AP121" s="68" t="str">
        <f>IF(main!BB124="","",ROUND(main!BB124*100,6))</f>
        <v/>
      </c>
      <c r="AQ121" s="68" t="str">
        <f>IF(main!BC124="","",ROUND(main!BC124*100,6))</f>
        <v/>
      </c>
      <c r="AR121" s="68" t="str">
        <f>IF(main!BD124="","",ROUND(main!BD124*100,6))</f>
        <v/>
      </c>
      <c r="AS121" s="68" t="str">
        <f>IF(main!BE124="","",ROUND(main!BE124*100,6))</f>
        <v/>
      </c>
      <c r="AT121" s="68" t="str">
        <f>IF(main!BF124="","",ROUND(main!BF124*100,6))</f>
        <v/>
      </c>
      <c r="AU121" s="68" t="str">
        <f>IF(main!BG124="","",ROUND(main!BG124*100,6))</f>
        <v/>
      </c>
      <c r="AV121" s="68" t="str">
        <f>IF(main!BH124="","",ROUND(main!BH124*100,6))</f>
        <v/>
      </c>
      <c r="AW121" s="68" t="str">
        <f>IF(main!BI124="","",ROUND(main!BI124*100,6))</f>
        <v/>
      </c>
      <c r="AX121" s="68" t="str">
        <f>IF(main!BJ124="","",ROUND(main!BJ124*100,6))</f>
        <v/>
      </c>
      <c r="AY121" s="68" t="str">
        <f>IF(main!BK124="","",ROUND(main!BK124*100,6))</f>
        <v/>
      </c>
      <c r="AZ121" s="68" t="str">
        <f>IF(main!BL124="","",ROUND(main!BL124*100,6))</f>
        <v/>
      </c>
      <c r="BA121" s="68" t="str">
        <f>IF(main!BM124="","",ROUND(main!BM124*100,6))</f>
        <v/>
      </c>
      <c r="BB121" s="68" t="str">
        <f>IF(main!BN124="","",ROUND(main!BN124*100,6))</f>
        <v/>
      </c>
      <c r="BC121" s="68" t="str">
        <f>IF(main!BO124="","",ROUND(main!BO124*100,6))</f>
        <v/>
      </c>
      <c r="BD121" s="68" t="str">
        <f>IF(main!BP124="","",ROUND(main!BP124*100,6))</f>
        <v/>
      </c>
      <c r="BE121" s="68" t="str">
        <f>IF(main!BQ124="","",ROUND(main!BQ124*100,6))</f>
        <v/>
      </c>
      <c r="BF121" s="68" t="str">
        <f>IF(main!BR124="","",ROUND(main!BR124*100,6))</f>
        <v/>
      </c>
      <c r="BG121" s="68" t="str">
        <f>IF(main!BS124="","",ROUND(main!BS124*100,6))</f>
        <v/>
      </c>
      <c r="BH121" s="68" t="str">
        <f>IF(main!BT124="","",ROUND(main!BT124*100,6))</f>
        <v/>
      </c>
      <c r="BI121" s="68" t="str">
        <f>IF(main!BU124="","",ROUND(main!BU124*100,6))</f>
        <v/>
      </c>
      <c r="BJ121" s="68" t="str">
        <f>IF(main!BV124="","",ROUND(main!BV124*100,6))</f>
        <v/>
      </c>
      <c r="BK121" s="68" t="str">
        <f>IF(main!BW124="","",ROUND(main!BW124*100,6))</f>
        <v/>
      </c>
      <c r="BL121" s="68" t="str">
        <f>IF(main!BX124="","",ROUND(main!BX124*100,6))</f>
        <v/>
      </c>
      <c r="BM121" s="68" t="str">
        <f>IF(main!BY124="","",ROUND(main!BY124*100,6))</f>
        <v/>
      </c>
      <c r="BN121" s="68" t="str">
        <f>IF(main!BZ124="","",ROUND(main!BZ124*100,6))</f>
        <v/>
      </c>
      <c r="BO121" s="68" t="str">
        <f>IF(main!CA124="","",ROUND(main!CA124*100,6))</f>
        <v/>
      </c>
      <c r="BP121" s="68" t="str">
        <f>IF(main!CB124="","",ROUND(main!CB124*100,6))</f>
        <v/>
      </c>
      <c r="BQ121" s="68" t="str">
        <f>IF(main!CC124="","",ROUND(main!CC124*100,6))</f>
        <v/>
      </c>
      <c r="BR121" s="68" t="str">
        <f>IF(main!CD124="","",ROUND(main!CD124*100,6))</f>
        <v/>
      </c>
      <c r="BS121" s="68" t="str">
        <f>IF(main!CE124="","",ROUND(main!CE124*100,6))</f>
        <v/>
      </c>
      <c r="BT121" s="68" t="str">
        <f>IF(main!CF124="","",ROUND(main!CF124*100,6))</f>
        <v/>
      </c>
      <c r="BU121" s="68" t="str">
        <f>IF(main!CG124="","",ROUND(main!CG124*100,6))</f>
        <v/>
      </c>
      <c r="BV121" s="68" t="str">
        <f>IF(main!CH124="","",ROUND(main!CH124*100,6))</f>
        <v/>
      </c>
      <c r="BW121" s="68" t="str">
        <f>IF(main!CI124="","",ROUND(main!CI124*100,6))</f>
        <v/>
      </c>
      <c r="BX121" s="68" t="str">
        <f>IF(main!CJ124="","",ROUND(main!CJ124*100,6))</f>
        <v/>
      </c>
      <c r="BY121" s="68" t="str">
        <f>IF(main!CK124="","",ROUND(main!CK124*100,6))</f>
        <v/>
      </c>
      <c r="BZ121" s="68" t="str">
        <f>IF(main!CL124="","",ROUND(main!CL124*100,6))</f>
        <v/>
      </c>
      <c r="CA121" s="68" t="str">
        <f>IF(main!CM124="","",ROUND(main!CM124*100,6))</f>
        <v/>
      </c>
      <c r="CB121" s="68" t="str">
        <f>IF(main!CN124="","",ROUND(main!CN124*100,6))</f>
        <v/>
      </c>
      <c r="CC121" s="68" t="str">
        <f>IF(main!CO124="","",ROUND(main!CO124*100,6))</f>
        <v/>
      </c>
    </row>
    <row r="122" spans="1:81" x14ac:dyDescent="0.25">
      <c r="A122" s="65" t="s">
        <v>259</v>
      </c>
      <c r="B122" s="66" t="str">
        <f>main!C125</f>
        <v>Pile Driven</v>
      </c>
      <c r="C122" s="67">
        <f>main!O125</f>
        <v>100000</v>
      </c>
      <c r="D122" s="65" t="s">
        <v>110</v>
      </c>
      <c r="E122" s="68">
        <f t="shared" si="1"/>
        <v>100</v>
      </c>
      <c r="F122" s="68" t="str">
        <f>IF(main!R125="","",ROUND(main!R125*100,6))</f>
        <v/>
      </c>
      <c r="G122" s="68" t="str">
        <f>IF(main!S125="","",ROUND(main!S125*100,6))</f>
        <v/>
      </c>
      <c r="H122" s="68" t="str">
        <f>IF(main!T125="","",ROUND(main!T125*100,6))</f>
        <v/>
      </c>
      <c r="I122" s="68" t="str">
        <f>IF(main!U125="","",ROUND(main!U125*100,6))</f>
        <v/>
      </c>
      <c r="J122" s="68" t="str">
        <f>IF(main!V125="","",ROUND(main!V125*100,6))</f>
        <v/>
      </c>
      <c r="K122" s="68" t="str">
        <f>IF(main!W125="","",ROUND(main!W125*100,6))</f>
        <v/>
      </c>
      <c r="L122" s="68" t="str">
        <f>IF(main!X125="","",ROUND(main!X125*100,6))</f>
        <v/>
      </c>
      <c r="M122" s="68" t="str">
        <f>IF(main!Y125="","",ROUND(main!Y125*100,6))</f>
        <v/>
      </c>
      <c r="N122" s="68" t="str">
        <f>IF(main!Z125="","",ROUND(main!Z125*100,6))</f>
        <v/>
      </c>
      <c r="O122" s="68" t="str">
        <f>IF(main!AA125="","",ROUND(main!AA125*100,6))</f>
        <v/>
      </c>
      <c r="P122" s="68" t="str">
        <f>IF(main!AB125="","",ROUND(main!AB125*100,6))</f>
        <v/>
      </c>
      <c r="Q122" s="68" t="str">
        <f>IF(main!AC125="","",ROUND(main!AC125*100,6))</f>
        <v/>
      </c>
      <c r="R122" s="68" t="str">
        <f>IF(main!AD125="","",ROUND(main!AD125*100,6))</f>
        <v/>
      </c>
      <c r="S122" s="68" t="str">
        <f>IF(main!AE125="","",ROUND(main!AE125*100,6))</f>
        <v/>
      </c>
      <c r="T122" s="68" t="str">
        <f>IF(main!AF125="","",ROUND(main!AF125*100,6))</f>
        <v/>
      </c>
      <c r="U122" s="68" t="str">
        <f>IF(main!AG125="","",ROUND(main!AG125*100,6))</f>
        <v/>
      </c>
      <c r="V122" s="68" t="str">
        <f>IF(main!AH125="","",ROUND(main!AH125*100,6))</f>
        <v/>
      </c>
      <c r="W122" s="68" t="str">
        <f>IF(main!AI125="","",ROUND(main!AI125*100,6))</f>
        <v/>
      </c>
      <c r="X122" s="68" t="str">
        <f>IF(main!AJ125="","",ROUND(main!AJ125*100,6))</f>
        <v/>
      </c>
      <c r="Y122" s="68" t="str">
        <f>IF(main!AK125="","",ROUND(main!AK125*100,6))</f>
        <v/>
      </c>
      <c r="Z122" s="68" t="str">
        <f>IF(main!AL125="","",ROUND(main!AL125*100,6))</f>
        <v/>
      </c>
      <c r="AA122" s="68" t="str">
        <f>IF(main!AM125="","",ROUND(main!AM125*100,6))</f>
        <v/>
      </c>
      <c r="AB122" s="68" t="str">
        <f>IF(main!AN125="","",ROUND(main!AN125*100,6))</f>
        <v/>
      </c>
      <c r="AC122" s="68" t="str">
        <f>IF(main!AO125="","",ROUND(main!AO125*100,6))</f>
        <v/>
      </c>
      <c r="AD122" s="68" t="str">
        <f>IF(main!AP125="","",ROUND(main!AP125*100,6))</f>
        <v/>
      </c>
      <c r="AE122" s="68" t="str">
        <f>IF(main!AQ125="","",ROUND(main!AQ125*100,6))</f>
        <v/>
      </c>
      <c r="AF122" s="68" t="str">
        <f>IF(main!AR125="","",ROUND(main!AR125*100,6))</f>
        <v/>
      </c>
      <c r="AG122" s="68" t="str">
        <f>IF(main!AS125="","",ROUND(main!AS125*100,6))</f>
        <v/>
      </c>
      <c r="AH122" s="68" t="str">
        <f>IF(main!AT125="","",ROUND(main!AT125*100,6))</f>
        <v/>
      </c>
      <c r="AI122" s="68" t="str">
        <f>IF(main!AU125="","",ROUND(main!AU125*100,6))</f>
        <v/>
      </c>
      <c r="AJ122" s="68" t="str">
        <f>IF(main!AV125="","",ROUND(main!AV125*100,6))</f>
        <v/>
      </c>
      <c r="AK122" s="68" t="str">
        <f>IF(main!AW125="","",ROUND(main!AW125*100,6))</f>
        <v/>
      </c>
      <c r="AL122" s="68" t="str">
        <f>IF(main!AX125="","",ROUND(main!AX125*100,6))</f>
        <v/>
      </c>
      <c r="AM122" s="68" t="str">
        <f>IF(main!AY125="","",ROUND(main!AY125*100,6))</f>
        <v/>
      </c>
      <c r="AN122" s="68" t="str">
        <f>IF(main!AZ125="","",ROUND(main!AZ125*100,6))</f>
        <v/>
      </c>
      <c r="AO122" s="68" t="str">
        <f>IF(main!BA125="","",ROUND(main!BA125*100,6))</f>
        <v/>
      </c>
      <c r="AP122" s="68">
        <f>IF(main!BB125="","",ROUND(main!BB125*100,6))</f>
        <v>13.043478</v>
      </c>
      <c r="AQ122" s="68">
        <f>IF(main!BC125="","",ROUND(main!BC125*100,6))</f>
        <v>60.869565000000001</v>
      </c>
      <c r="AR122" s="68">
        <f>IF(main!BD125="","",ROUND(main!BD125*100,6))</f>
        <v>26.086957000000002</v>
      </c>
      <c r="AS122" s="68" t="str">
        <f>IF(main!BE125="","",ROUND(main!BE125*100,6))</f>
        <v/>
      </c>
      <c r="AT122" s="68" t="str">
        <f>IF(main!BF125="","",ROUND(main!BF125*100,6))</f>
        <v/>
      </c>
      <c r="AU122" s="68" t="str">
        <f>IF(main!BG125="","",ROUND(main!BG125*100,6))</f>
        <v/>
      </c>
      <c r="AV122" s="68" t="str">
        <f>IF(main!BH125="","",ROUND(main!BH125*100,6))</f>
        <v/>
      </c>
      <c r="AW122" s="68" t="str">
        <f>IF(main!BI125="","",ROUND(main!BI125*100,6))</f>
        <v/>
      </c>
      <c r="AX122" s="68" t="str">
        <f>IF(main!BJ125="","",ROUND(main!BJ125*100,6))</f>
        <v/>
      </c>
      <c r="AY122" s="68" t="str">
        <f>IF(main!BK125="","",ROUND(main!BK125*100,6))</f>
        <v/>
      </c>
      <c r="AZ122" s="68" t="str">
        <f>IF(main!BL125="","",ROUND(main!BL125*100,6))</f>
        <v/>
      </c>
      <c r="BA122" s="68" t="str">
        <f>IF(main!BM125="","",ROUND(main!BM125*100,6))</f>
        <v/>
      </c>
      <c r="BB122" s="68" t="str">
        <f>IF(main!BN125="","",ROUND(main!BN125*100,6))</f>
        <v/>
      </c>
      <c r="BC122" s="68" t="str">
        <f>IF(main!BO125="","",ROUND(main!BO125*100,6))</f>
        <v/>
      </c>
      <c r="BD122" s="68" t="str">
        <f>IF(main!BP125="","",ROUND(main!BP125*100,6))</f>
        <v/>
      </c>
      <c r="BE122" s="68" t="str">
        <f>IF(main!BQ125="","",ROUND(main!BQ125*100,6))</f>
        <v/>
      </c>
      <c r="BF122" s="68" t="str">
        <f>IF(main!BR125="","",ROUND(main!BR125*100,6))</f>
        <v/>
      </c>
      <c r="BG122" s="68" t="str">
        <f>IF(main!BS125="","",ROUND(main!BS125*100,6))</f>
        <v/>
      </c>
      <c r="BH122" s="68" t="str">
        <f>IF(main!BT125="","",ROUND(main!BT125*100,6))</f>
        <v/>
      </c>
      <c r="BI122" s="68" t="str">
        <f>IF(main!BU125="","",ROUND(main!BU125*100,6))</f>
        <v/>
      </c>
      <c r="BJ122" s="68" t="str">
        <f>IF(main!BV125="","",ROUND(main!BV125*100,6))</f>
        <v/>
      </c>
      <c r="BK122" s="68" t="str">
        <f>IF(main!BW125="","",ROUND(main!BW125*100,6))</f>
        <v/>
      </c>
      <c r="BL122" s="68" t="str">
        <f>IF(main!BX125="","",ROUND(main!BX125*100,6))</f>
        <v/>
      </c>
      <c r="BM122" s="68" t="str">
        <f>IF(main!BY125="","",ROUND(main!BY125*100,6))</f>
        <v/>
      </c>
      <c r="BN122" s="68" t="str">
        <f>IF(main!BZ125="","",ROUND(main!BZ125*100,6))</f>
        <v/>
      </c>
      <c r="BO122" s="68" t="str">
        <f>IF(main!CA125="","",ROUND(main!CA125*100,6))</f>
        <v/>
      </c>
      <c r="BP122" s="68" t="str">
        <f>IF(main!CB125="","",ROUND(main!CB125*100,6))</f>
        <v/>
      </c>
      <c r="BQ122" s="68" t="str">
        <f>IF(main!CC125="","",ROUND(main!CC125*100,6))</f>
        <v/>
      </c>
      <c r="BR122" s="68" t="str">
        <f>IF(main!CD125="","",ROUND(main!CD125*100,6))</f>
        <v/>
      </c>
      <c r="BS122" s="68" t="str">
        <f>IF(main!CE125="","",ROUND(main!CE125*100,6))</f>
        <v/>
      </c>
      <c r="BT122" s="68" t="str">
        <f>IF(main!CF125="","",ROUND(main!CF125*100,6))</f>
        <v/>
      </c>
      <c r="BU122" s="68" t="str">
        <f>IF(main!CG125="","",ROUND(main!CG125*100,6))</f>
        <v/>
      </c>
      <c r="BV122" s="68" t="str">
        <f>IF(main!CH125="","",ROUND(main!CH125*100,6))</f>
        <v/>
      </c>
      <c r="BW122" s="68" t="str">
        <f>IF(main!CI125="","",ROUND(main!CI125*100,6))</f>
        <v/>
      </c>
      <c r="BX122" s="68" t="str">
        <f>IF(main!CJ125="","",ROUND(main!CJ125*100,6))</f>
        <v/>
      </c>
      <c r="BY122" s="68" t="str">
        <f>IF(main!CK125="","",ROUND(main!CK125*100,6))</f>
        <v/>
      </c>
      <c r="BZ122" s="68" t="str">
        <f>IF(main!CL125="","",ROUND(main!CL125*100,6))</f>
        <v/>
      </c>
      <c r="CA122" s="68" t="str">
        <f>IF(main!CM125="","",ROUND(main!CM125*100,6))</f>
        <v/>
      </c>
      <c r="CB122" s="68" t="str">
        <f>IF(main!CN125="","",ROUND(main!CN125*100,6))</f>
        <v/>
      </c>
      <c r="CC122" s="68" t="str">
        <f>IF(main!CO125="","",ROUND(main!CO125*100,6))</f>
        <v/>
      </c>
    </row>
    <row r="123" spans="1:81" x14ac:dyDescent="0.25">
      <c r="A123" s="65" t="s">
        <v>259</v>
      </c>
      <c r="B123" s="66" t="str">
        <f>main!C125</f>
        <v>Pile Driven</v>
      </c>
      <c r="C123" s="67">
        <f>main!O125</f>
        <v>100000</v>
      </c>
      <c r="D123" s="65" t="s">
        <v>111</v>
      </c>
      <c r="E123" s="68" t="str">
        <f t="shared" si="1"/>
        <v/>
      </c>
      <c r="F123" s="68" t="str">
        <f>IF(main!R126="","",ROUND(main!R126*100,6))</f>
        <v/>
      </c>
      <c r="G123" s="68" t="str">
        <f>IF(main!S126="","",ROUND(main!S126*100,6))</f>
        <v/>
      </c>
      <c r="H123" s="68" t="str">
        <f>IF(main!T126="","",ROUND(main!T126*100,6))</f>
        <v/>
      </c>
      <c r="I123" s="68" t="str">
        <f>IF(main!U126="","",ROUND(main!U126*100,6))</f>
        <v/>
      </c>
      <c r="J123" s="68" t="str">
        <f>IF(main!V126="","",ROUND(main!V126*100,6))</f>
        <v/>
      </c>
      <c r="K123" s="68" t="str">
        <f>IF(main!W126="","",ROUND(main!W126*100,6))</f>
        <v/>
      </c>
      <c r="L123" s="68" t="str">
        <f>IF(main!X126="","",ROUND(main!X126*100,6))</f>
        <v/>
      </c>
      <c r="M123" s="68" t="str">
        <f>IF(main!Y126="","",ROUND(main!Y126*100,6))</f>
        <v/>
      </c>
      <c r="N123" s="68" t="str">
        <f>IF(main!Z126="","",ROUND(main!Z126*100,6))</f>
        <v/>
      </c>
      <c r="O123" s="68" t="str">
        <f>IF(main!AA126="","",ROUND(main!AA126*100,6))</f>
        <v/>
      </c>
      <c r="P123" s="68" t="str">
        <f>IF(main!AB126="","",ROUND(main!AB126*100,6))</f>
        <v/>
      </c>
      <c r="Q123" s="68" t="str">
        <f>IF(main!AC126="","",ROUND(main!AC126*100,6))</f>
        <v/>
      </c>
      <c r="R123" s="68" t="str">
        <f>IF(main!AD126="","",ROUND(main!AD126*100,6))</f>
        <v/>
      </c>
      <c r="S123" s="68" t="str">
        <f>IF(main!AE126="","",ROUND(main!AE126*100,6))</f>
        <v/>
      </c>
      <c r="T123" s="68" t="str">
        <f>IF(main!AF126="","",ROUND(main!AF126*100,6))</f>
        <v/>
      </c>
      <c r="U123" s="68" t="str">
        <f>IF(main!AG126="","",ROUND(main!AG126*100,6))</f>
        <v/>
      </c>
      <c r="V123" s="68" t="str">
        <f>IF(main!AH126="","",ROUND(main!AH126*100,6))</f>
        <v/>
      </c>
      <c r="W123" s="68" t="str">
        <f>IF(main!AI126="","",ROUND(main!AI126*100,6))</f>
        <v/>
      </c>
      <c r="X123" s="68" t="str">
        <f>IF(main!AJ126="","",ROUND(main!AJ126*100,6))</f>
        <v/>
      </c>
      <c r="Y123" s="68" t="str">
        <f>IF(main!AK126="","",ROUND(main!AK126*100,6))</f>
        <v/>
      </c>
      <c r="Z123" s="68" t="str">
        <f>IF(main!AL126="","",ROUND(main!AL126*100,6))</f>
        <v/>
      </c>
      <c r="AA123" s="68" t="str">
        <f>IF(main!AM126="","",ROUND(main!AM126*100,6))</f>
        <v/>
      </c>
      <c r="AB123" s="68" t="str">
        <f>IF(main!AN126="","",ROUND(main!AN126*100,6))</f>
        <v/>
      </c>
      <c r="AC123" s="68" t="str">
        <f>IF(main!AO126="","",ROUND(main!AO126*100,6))</f>
        <v/>
      </c>
      <c r="AD123" s="68" t="str">
        <f>IF(main!AP126="","",ROUND(main!AP126*100,6))</f>
        <v/>
      </c>
      <c r="AE123" s="68" t="str">
        <f>IF(main!AQ126="","",ROUND(main!AQ126*100,6))</f>
        <v/>
      </c>
      <c r="AF123" s="68" t="str">
        <f>IF(main!AR126="","",ROUND(main!AR126*100,6))</f>
        <v/>
      </c>
      <c r="AG123" s="68" t="str">
        <f>IF(main!AS126="","",ROUND(main!AS126*100,6))</f>
        <v/>
      </c>
      <c r="AH123" s="68" t="str">
        <f>IF(main!AT126="","",ROUND(main!AT126*100,6))</f>
        <v/>
      </c>
      <c r="AI123" s="68" t="str">
        <f>IF(main!AU126="","",ROUND(main!AU126*100,6))</f>
        <v/>
      </c>
      <c r="AJ123" s="68" t="str">
        <f>IF(main!AV126="","",ROUND(main!AV126*100,6))</f>
        <v/>
      </c>
      <c r="AK123" s="68" t="str">
        <f>IF(main!AW126="","",ROUND(main!AW126*100,6))</f>
        <v/>
      </c>
      <c r="AL123" s="68" t="str">
        <f>IF(main!AX126="","",ROUND(main!AX126*100,6))</f>
        <v/>
      </c>
      <c r="AM123" s="68" t="str">
        <f>IF(main!AY126="","",ROUND(main!AY126*100,6))</f>
        <v/>
      </c>
      <c r="AN123" s="68" t="str">
        <f>IF(main!AZ126="","",ROUND(main!AZ126*100,6))</f>
        <v/>
      </c>
      <c r="AO123" s="68" t="str">
        <f>IF(main!BA126="","",ROUND(main!BA126*100,6))</f>
        <v/>
      </c>
      <c r="AP123" s="68" t="str">
        <f>IF(main!BB126="","",ROUND(main!BB126*100,6))</f>
        <v/>
      </c>
      <c r="AQ123" s="68" t="str">
        <f>IF(main!BC126="","",ROUND(main!BC126*100,6))</f>
        <v/>
      </c>
      <c r="AR123" s="68" t="str">
        <f>IF(main!BD126="","",ROUND(main!BD126*100,6))</f>
        <v/>
      </c>
      <c r="AS123" s="68" t="str">
        <f>IF(main!BE126="","",ROUND(main!BE126*100,6))</f>
        <v/>
      </c>
      <c r="AT123" s="68" t="str">
        <f>IF(main!BF126="","",ROUND(main!BF126*100,6))</f>
        <v/>
      </c>
      <c r="AU123" s="68" t="str">
        <f>IF(main!BG126="","",ROUND(main!BG126*100,6))</f>
        <v/>
      </c>
      <c r="AV123" s="68" t="str">
        <f>IF(main!BH126="","",ROUND(main!BH126*100,6))</f>
        <v/>
      </c>
      <c r="AW123" s="68" t="str">
        <f>IF(main!BI126="","",ROUND(main!BI126*100,6))</f>
        <v/>
      </c>
      <c r="AX123" s="68" t="str">
        <f>IF(main!BJ126="","",ROUND(main!BJ126*100,6))</f>
        <v/>
      </c>
      <c r="AY123" s="68" t="str">
        <f>IF(main!BK126="","",ROUND(main!BK126*100,6))</f>
        <v/>
      </c>
      <c r="AZ123" s="68" t="str">
        <f>IF(main!BL126="","",ROUND(main!BL126*100,6))</f>
        <v/>
      </c>
      <c r="BA123" s="68" t="str">
        <f>IF(main!BM126="","",ROUND(main!BM126*100,6))</f>
        <v/>
      </c>
      <c r="BB123" s="68" t="str">
        <f>IF(main!BN126="","",ROUND(main!BN126*100,6))</f>
        <v/>
      </c>
      <c r="BC123" s="68" t="str">
        <f>IF(main!BO126="","",ROUND(main!BO126*100,6))</f>
        <v/>
      </c>
      <c r="BD123" s="68" t="str">
        <f>IF(main!BP126="","",ROUND(main!BP126*100,6))</f>
        <v/>
      </c>
      <c r="BE123" s="68" t="str">
        <f>IF(main!BQ126="","",ROUND(main!BQ126*100,6))</f>
        <v/>
      </c>
      <c r="BF123" s="68" t="str">
        <f>IF(main!BR126="","",ROUND(main!BR126*100,6))</f>
        <v/>
      </c>
      <c r="BG123" s="68" t="str">
        <f>IF(main!BS126="","",ROUND(main!BS126*100,6))</f>
        <v/>
      </c>
      <c r="BH123" s="68" t="str">
        <f>IF(main!BT126="","",ROUND(main!BT126*100,6))</f>
        <v/>
      </c>
      <c r="BI123" s="68" t="str">
        <f>IF(main!BU126="","",ROUND(main!BU126*100,6))</f>
        <v/>
      </c>
      <c r="BJ123" s="68" t="str">
        <f>IF(main!BV126="","",ROUND(main!BV126*100,6))</f>
        <v/>
      </c>
      <c r="BK123" s="68" t="str">
        <f>IF(main!BW126="","",ROUND(main!BW126*100,6))</f>
        <v/>
      </c>
      <c r="BL123" s="68" t="str">
        <f>IF(main!BX126="","",ROUND(main!BX126*100,6))</f>
        <v/>
      </c>
      <c r="BM123" s="68" t="str">
        <f>IF(main!BY126="","",ROUND(main!BY126*100,6))</f>
        <v/>
      </c>
      <c r="BN123" s="68" t="str">
        <f>IF(main!BZ126="","",ROUND(main!BZ126*100,6))</f>
        <v/>
      </c>
      <c r="BO123" s="68" t="str">
        <f>IF(main!CA126="","",ROUND(main!CA126*100,6))</f>
        <v/>
      </c>
      <c r="BP123" s="68" t="str">
        <f>IF(main!CB126="","",ROUND(main!CB126*100,6))</f>
        <v/>
      </c>
      <c r="BQ123" s="68" t="str">
        <f>IF(main!CC126="","",ROUND(main!CC126*100,6))</f>
        <v/>
      </c>
      <c r="BR123" s="68" t="str">
        <f>IF(main!CD126="","",ROUND(main!CD126*100,6))</f>
        <v/>
      </c>
      <c r="BS123" s="68" t="str">
        <f>IF(main!CE126="","",ROUND(main!CE126*100,6))</f>
        <v/>
      </c>
      <c r="BT123" s="68" t="str">
        <f>IF(main!CF126="","",ROUND(main!CF126*100,6))</f>
        <v/>
      </c>
      <c r="BU123" s="68" t="str">
        <f>IF(main!CG126="","",ROUND(main!CG126*100,6))</f>
        <v/>
      </c>
      <c r="BV123" s="68" t="str">
        <f>IF(main!CH126="","",ROUND(main!CH126*100,6))</f>
        <v/>
      </c>
      <c r="BW123" s="68" t="str">
        <f>IF(main!CI126="","",ROUND(main!CI126*100,6))</f>
        <v/>
      </c>
      <c r="BX123" s="68" t="str">
        <f>IF(main!CJ126="","",ROUND(main!CJ126*100,6))</f>
        <v/>
      </c>
      <c r="BY123" s="68" t="str">
        <f>IF(main!CK126="","",ROUND(main!CK126*100,6))</f>
        <v/>
      </c>
      <c r="BZ123" s="68" t="str">
        <f>IF(main!CL126="","",ROUND(main!CL126*100,6))</f>
        <v/>
      </c>
      <c r="CA123" s="68" t="str">
        <f>IF(main!CM126="","",ROUND(main!CM126*100,6))</f>
        <v/>
      </c>
      <c r="CB123" s="68" t="str">
        <f>IF(main!CN126="","",ROUND(main!CN126*100,6))</f>
        <v/>
      </c>
      <c r="CC123" s="68" t="str">
        <f>IF(main!CO126="","",ROUND(main!CO126*100,6))</f>
        <v/>
      </c>
    </row>
    <row r="124" spans="1:81" x14ac:dyDescent="0.25">
      <c r="A124" s="65" t="s">
        <v>262</v>
      </c>
      <c r="B124" s="66" t="str">
        <f>main!C127</f>
        <v>WWT - Excavation&amp;Concrete Work</v>
      </c>
      <c r="C124" s="67">
        <f>main!O127</f>
        <v>100000</v>
      </c>
      <c r="D124" s="65" t="s">
        <v>110</v>
      </c>
      <c r="E124" s="68">
        <f t="shared" si="1"/>
        <v>100</v>
      </c>
      <c r="F124" s="68" t="str">
        <f>IF(main!R127="","",ROUND(main!R127*100,6))</f>
        <v/>
      </c>
      <c r="G124" s="68" t="str">
        <f>IF(main!S127="","",ROUND(main!S127*100,6))</f>
        <v/>
      </c>
      <c r="H124" s="68" t="str">
        <f>IF(main!T127="","",ROUND(main!T127*100,6))</f>
        <v/>
      </c>
      <c r="I124" s="68" t="str">
        <f>IF(main!U127="","",ROUND(main!U127*100,6))</f>
        <v/>
      </c>
      <c r="J124" s="68" t="str">
        <f>IF(main!V127="","",ROUND(main!V127*100,6))</f>
        <v/>
      </c>
      <c r="K124" s="68" t="str">
        <f>IF(main!W127="","",ROUND(main!W127*100,6))</f>
        <v/>
      </c>
      <c r="L124" s="68" t="str">
        <f>IF(main!X127="","",ROUND(main!X127*100,6))</f>
        <v/>
      </c>
      <c r="M124" s="68" t="str">
        <f>IF(main!Y127="","",ROUND(main!Y127*100,6))</f>
        <v/>
      </c>
      <c r="N124" s="68" t="str">
        <f>IF(main!Z127="","",ROUND(main!Z127*100,6))</f>
        <v/>
      </c>
      <c r="O124" s="68" t="str">
        <f>IF(main!AA127="","",ROUND(main!AA127*100,6))</f>
        <v/>
      </c>
      <c r="P124" s="68" t="str">
        <f>IF(main!AB127="","",ROUND(main!AB127*100,6))</f>
        <v/>
      </c>
      <c r="Q124" s="68" t="str">
        <f>IF(main!AC127="","",ROUND(main!AC127*100,6))</f>
        <v/>
      </c>
      <c r="R124" s="68" t="str">
        <f>IF(main!AD127="","",ROUND(main!AD127*100,6))</f>
        <v/>
      </c>
      <c r="S124" s="68" t="str">
        <f>IF(main!AE127="","",ROUND(main!AE127*100,6))</f>
        <v/>
      </c>
      <c r="T124" s="68" t="str">
        <f>IF(main!AF127="","",ROUND(main!AF127*100,6))</f>
        <v/>
      </c>
      <c r="U124" s="68" t="str">
        <f>IF(main!AG127="","",ROUND(main!AG127*100,6))</f>
        <v/>
      </c>
      <c r="V124" s="68" t="str">
        <f>IF(main!AH127="","",ROUND(main!AH127*100,6))</f>
        <v/>
      </c>
      <c r="W124" s="68" t="str">
        <f>IF(main!AI127="","",ROUND(main!AI127*100,6))</f>
        <v/>
      </c>
      <c r="X124" s="68" t="str">
        <f>IF(main!AJ127="","",ROUND(main!AJ127*100,6))</f>
        <v/>
      </c>
      <c r="Y124" s="68" t="str">
        <f>IF(main!AK127="","",ROUND(main!AK127*100,6))</f>
        <v/>
      </c>
      <c r="Z124" s="68" t="str">
        <f>IF(main!AL127="","",ROUND(main!AL127*100,6))</f>
        <v/>
      </c>
      <c r="AA124" s="68" t="str">
        <f>IF(main!AM127="","",ROUND(main!AM127*100,6))</f>
        <v/>
      </c>
      <c r="AB124" s="68" t="str">
        <f>IF(main!AN127="","",ROUND(main!AN127*100,6))</f>
        <v/>
      </c>
      <c r="AC124" s="68" t="str">
        <f>IF(main!AO127="","",ROUND(main!AO127*100,6))</f>
        <v/>
      </c>
      <c r="AD124" s="68" t="str">
        <f>IF(main!AP127="","",ROUND(main!AP127*100,6))</f>
        <v/>
      </c>
      <c r="AE124" s="68" t="str">
        <f>IF(main!AQ127="","",ROUND(main!AQ127*100,6))</f>
        <v/>
      </c>
      <c r="AF124" s="68" t="str">
        <f>IF(main!AR127="","",ROUND(main!AR127*100,6))</f>
        <v/>
      </c>
      <c r="AG124" s="68" t="str">
        <f>IF(main!AS127="","",ROUND(main!AS127*100,6))</f>
        <v/>
      </c>
      <c r="AH124" s="68" t="str">
        <f>IF(main!AT127="","",ROUND(main!AT127*100,6))</f>
        <v/>
      </c>
      <c r="AI124" s="68" t="str">
        <f>IF(main!AU127="","",ROUND(main!AU127*100,6))</f>
        <v/>
      </c>
      <c r="AJ124" s="68" t="str">
        <f>IF(main!AV127="","",ROUND(main!AV127*100,6))</f>
        <v/>
      </c>
      <c r="AK124" s="68" t="str">
        <f>IF(main!AW127="","",ROUND(main!AW127*100,6))</f>
        <v/>
      </c>
      <c r="AL124" s="68" t="str">
        <f>IF(main!AX127="","",ROUND(main!AX127*100,6))</f>
        <v/>
      </c>
      <c r="AM124" s="68" t="str">
        <f>IF(main!AY127="","",ROUND(main!AY127*100,6))</f>
        <v/>
      </c>
      <c r="AN124" s="68" t="str">
        <f>IF(main!AZ127="","",ROUND(main!AZ127*100,6))</f>
        <v/>
      </c>
      <c r="AO124" s="68" t="str">
        <f>IF(main!BA127="","",ROUND(main!BA127*100,6))</f>
        <v/>
      </c>
      <c r="AP124" s="68" t="str">
        <f>IF(main!BB127="","",ROUND(main!BB127*100,6))</f>
        <v/>
      </c>
      <c r="AQ124" s="68" t="str">
        <f>IF(main!BC127="","",ROUND(main!BC127*100,6))</f>
        <v/>
      </c>
      <c r="AR124" s="68">
        <f>IF(main!BD127="","",ROUND(main!BD127*100,6))</f>
        <v>8.8888890000000007</v>
      </c>
      <c r="AS124" s="68">
        <f>IF(main!BE127="","",ROUND(main!BE127*100,6))</f>
        <v>46.666666999999997</v>
      </c>
      <c r="AT124" s="68">
        <f>IF(main!BF127="","",ROUND(main!BF127*100,6))</f>
        <v>31.111111000000001</v>
      </c>
      <c r="AU124" s="68">
        <f>IF(main!BG127="","",ROUND(main!BG127*100,6))</f>
        <v>13.333333</v>
      </c>
      <c r="AV124" s="68" t="str">
        <f>IF(main!BH127="","",ROUND(main!BH127*100,6))</f>
        <v/>
      </c>
      <c r="AW124" s="68" t="str">
        <f>IF(main!BI127="","",ROUND(main!BI127*100,6))</f>
        <v/>
      </c>
      <c r="AX124" s="68" t="str">
        <f>IF(main!BJ127="","",ROUND(main!BJ127*100,6))</f>
        <v/>
      </c>
      <c r="AY124" s="68" t="str">
        <f>IF(main!BK127="","",ROUND(main!BK127*100,6))</f>
        <v/>
      </c>
      <c r="AZ124" s="68" t="str">
        <f>IF(main!BL127="","",ROUND(main!BL127*100,6))</f>
        <v/>
      </c>
      <c r="BA124" s="68" t="str">
        <f>IF(main!BM127="","",ROUND(main!BM127*100,6))</f>
        <v/>
      </c>
      <c r="BB124" s="68" t="str">
        <f>IF(main!BN127="","",ROUND(main!BN127*100,6))</f>
        <v/>
      </c>
      <c r="BC124" s="68" t="str">
        <f>IF(main!BO127="","",ROUND(main!BO127*100,6))</f>
        <v/>
      </c>
      <c r="BD124" s="68" t="str">
        <f>IF(main!BP127="","",ROUND(main!BP127*100,6))</f>
        <v/>
      </c>
      <c r="BE124" s="68" t="str">
        <f>IF(main!BQ127="","",ROUND(main!BQ127*100,6))</f>
        <v/>
      </c>
      <c r="BF124" s="68" t="str">
        <f>IF(main!BR127="","",ROUND(main!BR127*100,6))</f>
        <v/>
      </c>
      <c r="BG124" s="68" t="str">
        <f>IF(main!BS127="","",ROUND(main!BS127*100,6))</f>
        <v/>
      </c>
      <c r="BH124" s="68" t="str">
        <f>IF(main!BT127="","",ROUND(main!BT127*100,6))</f>
        <v/>
      </c>
      <c r="BI124" s="68" t="str">
        <f>IF(main!BU127="","",ROUND(main!BU127*100,6))</f>
        <v/>
      </c>
      <c r="BJ124" s="68" t="str">
        <f>IF(main!BV127="","",ROUND(main!BV127*100,6))</f>
        <v/>
      </c>
      <c r="BK124" s="68" t="str">
        <f>IF(main!BW127="","",ROUND(main!BW127*100,6))</f>
        <v/>
      </c>
      <c r="BL124" s="68" t="str">
        <f>IF(main!BX127="","",ROUND(main!BX127*100,6))</f>
        <v/>
      </c>
      <c r="BM124" s="68" t="str">
        <f>IF(main!BY127="","",ROUND(main!BY127*100,6))</f>
        <v/>
      </c>
      <c r="BN124" s="68" t="str">
        <f>IF(main!BZ127="","",ROUND(main!BZ127*100,6))</f>
        <v/>
      </c>
      <c r="BO124" s="68" t="str">
        <f>IF(main!CA127="","",ROUND(main!CA127*100,6))</f>
        <v/>
      </c>
      <c r="BP124" s="68" t="str">
        <f>IF(main!CB127="","",ROUND(main!CB127*100,6))</f>
        <v/>
      </c>
      <c r="BQ124" s="68" t="str">
        <f>IF(main!CC127="","",ROUND(main!CC127*100,6))</f>
        <v/>
      </c>
      <c r="BR124" s="68" t="str">
        <f>IF(main!CD127="","",ROUND(main!CD127*100,6))</f>
        <v/>
      </c>
      <c r="BS124" s="68" t="str">
        <f>IF(main!CE127="","",ROUND(main!CE127*100,6))</f>
        <v/>
      </c>
      <c r="BT124" s="68" t="str">
        <f>IF(main!CF127="","",ROUND(main!CF127*100,6))</f>
        <v/>
      </c>
      <c r="BU124" s="68" t="str">
        <f>IF(main!CG127="","",ROUND(main!CG127*100,6))</f>
        <v/>
      </c>
      <c r="BV124" s="68" t="str">
        <f>IF(main!CH127="","",ROUND(main!CH127*100,6))</f>
        <v/>
      </c>
      <c r="BW124" s="68" t="str">
        <f>IF(main!CI127="","",ROUND(main!CI127*100,6))</f>
        <v/>
      </c>
      <c r="BX124" s="68" t="str">
        <f>IF(main!CJ127="","",ROUND(main!CJ127*100,6))</f>
        <v/>
      </c>
      <c r="BY124" s="68" t="str">
        <f>IF(main!CK127="","",ROUND(main!CK127*100,6))</f>
        <v/>
      </c>
      <c r="BZ124" s="68" t="str">
        <f>IF(main!CL127="","",ROUND(main!CL127*100,6))</f>
        <v/>
      </c>
      <c r="CA124" s="68" t="str">
        <f>IF(main!CM127="","",ROUND(main!CM127*100,6))</f>
        <v/>
      </c>
      <c r="CB124" s="68" t="str">
        <f>IF(main!CN127="","",ROUND(main!CN127*100,6))</f>
        <v/>
      </c>
      <c r="CC124" s="68" t="str">
        <f>IF(main!CO127="","",ROUND(main!CO127*100,6))</f>
        <v/>
      </c>
    </row>
    <row r="125" spans="1:81" x14ac:dyDescent="0.25">
      <c r="A125" s="65" t="s">
        <v>262</v>
      </c>
      <c r="B125" s="66" t="str">
        <f>main!C127</f>
        <v>WWT - Excavation&amp;Concrete Work</v>
      </c>
      <c r="C125" s="67">
        <f>main!O127</f>
        <v>100000</v>
      </c>
      <c r="D125" s="65" t="s">
        <v>111</v>
      </c>
      <c r="E125" s="68" t="str">
        <f t="shared" si="1"/>
        <v/>
      </c>
      <c r="F125" s="68" t="str">
        <f>IF(main!R128="","",ROUND(main!R128*100,6))</f>
        <v/>
      </c>
      <c r="G125" s="68" t="str">
        <f>IF(main!S128="","",ROUND(main!S128*100,6))</f>
        <v/>
      </c>
      <c r="H125" s="68" t="str">
        <f>IF(main!T128="","",ROUND(main!T128*100,6))</f>
        <v/>
      </c>
      <c r="I125" s="68" t="str">
        <f>IF(main!U128="","",ROUND(main!U128*100,6))</f>
        <v/>
      </c>
      <c r="J125" s="68" t="str">
        <f>IF(main!V128="","",ROUND(main!V128*100,6))</f>
        <v/>
      </c>
      <c r="K125" s="68" t="str">
        <f>IF(main!W128="","",ROUND(main!W128*100,6))</f>
        <v/>
      </c>
      <c r="L125" s="68" t="str">
        <f>IF(main!X128="","",ROUND(main!X128*100,6))</f>
        <v/>
      </c>
      <c r="M125" s="68" t="str">
        <f>IF(main!Y128="","",ROUND(main!Y128*100,6))</f>
        <v/>
      </c>
      <c r="N125" s="68" t="str">
        <f>IF(main!Z128="","",ROUND(main!Z128*100,6))</f>
        <v/>
      </c>
      <c r="O125" s="68" t="str">
        <f>IF(main!AA128="","",ROUND(main!AA128*100,6))</f>
        <v/>
      </c>
      <c r="P125" s="68" t="str">
        <f>IF(main!AB128="","",ROUND(main!AB128*100,6))</f>
        <v/>
      </c>
      <c r="Q125" s="68" t="str">
        <f>IF(main!AC128="","",ROUND(main!AC128*100,6))</f>
        <v/>
      </c>
      <c r="R125" s="68" t="str">
        <f>IF(main!AD128="","",ROUND(main!AD128*100,6))</f>
        <v/>
      </c>
      <c r="S125" s="68" t="str">
        <f>IF(main!AE128="","",ROUND(main!AE128*100,6))</f>
        <v/>
      </c>
      <c r="T125" s="68" t="str">
        <f>IF(main!AF128="","",ROUND(main!AF128*100,6))</f>
        <v/>
      </c>
      <c r="U125" s="68" t="str">
        <f>IF(main!AG128="","",ROUND(main!AG128*100,6))</f>
        <v/>
      </c>
      <c r="V125" s="68" t="str">
        <f>IF(main!AH128="","",ROUND(main!AH128*100,6))</f>
        <v/>
      </c>
      <c r="W125" s="68" t="str">
        <f>IF(main!AI128="","",ROUND(main!AI128*100,6))</f>
        <v/>
      </c>
      <c r="X125" s="68" t="str">
        <f>IF(main!AJ128="","",ROUND(main!AJ128*100,6))</f>
        <v/>
      </c>
      <c r="Y125" s="68" t="str">
        <f>IF(main!AK128="","",ROUND(main!AK128*100,6))</f>
        <v/>
      </c>
      <c r="Z125" s="68" t="str">
        <f>IF(main!AL128="","",ROUND(main!AL128*100,6))</f>
        <v/>
      </c>
      <c r="AA125" s="68" t="str">
        <f>IF(main!AM128="","",ROUND(main!AM128*100,6))</f>
        <v/>
      </c>
      <c r="AB125" s="68" t="str">
        <f>IF(main!AN128="","",ROUND(main!AN128*100,6))</f>
        <v/>
      </c>
      <c r="AC125" s="68" t="str">
        <f>IF(main!AO128="","",ROUND(main!AO128*100,6))</f>
        <v/>
      </c>
      <c r="AD125" s="68" t="str">
        <f>IF(main!AP128="","",ROUND(main!AP128*100,6))</f>
        <v/>
      </c>
      <c r="AE125" s="68" t="str">
        <f>IF(main!AQ128="","",ROUND(main!AQ128*100,6))</f>
        <v/>
      </c>
      <c r="AF125" s="68" t="str">
        <f>IF(main!AR128="","",ROUND(main!AR128*100,6))</f>
        <v/>
      </c>
      <c r="AG125" s="68" t="str">
        <f>IF(main!AS128="","",ROUND(main!AS128*100,6))</f>
        <v/>
      </c>
      <c r="AH125" s="68" t="str">
        <f>IF(main!AT128="","",ROUND(main!AT128*100,6))</f>
        <v/>
      </c>
      <c r="AI125" s="68" t="str">
        <f>IF(main!AU128="","",ROUND(main!AU128*100,6))</f>
        <v/>
      </c>
      <c r="AJ125" s="68" t="str">
        <f>IF(main!AV128="","",ROUND(main!AV128*100,6))</f>
        <v/>
      </c>
      <c r="AK125" s="68" t="str">
        <f>IF(main!AW128="","",ROUND(main!AW128*100,6))</f>
        <v/>
      </c>
      <c r="AL125" s="68" t="str">
        <f>IF(main!AX128="","",ROUND(main!AX128*100,6))</f>
        <v/>
      </c>
      <c r="AM125" s="68" t="str">
        <f>IF(main!AY128="","",ROUND(main!AY128*100,6))</f>
        <v/>
      </c>
      <c r="AN125" s="68" t="str">
        <f>IF(main!AZ128="","",ROUND(main!AZ128*100,6))</f>
        <v/>
      </c>
      <c r="AO125" s="68" t="str">
        <f>IF(main!BA128="","",ROUND(main!BA128*100,6))</f>
        <v/>
      </c>
      <c r="AP125" s="68" t="str">
        <f>IF(main!BB128="","",ROUND(main!BB128*100,6))</f>
        <v/>
      </c>
      <c r="AQ125" s="68" t="str">
        <f>IF(main!BC128="","",ROUND(main!BC128*100,6))</f>
        <v/>
      </c>
      <c r="AR125" s="68" t="str">
        <f>IF(main!BD128="","",ROUND(main!BD128*100,6))</f>
        <v/>
      </c>
      <c r="AS125" s="68" t="str">
        <f>IF(main!BE128="","",ROUND(main!BE128*100,6))</f>
        <v/>
      </c>
      <c r="AT125" s="68" t="str">
        <f>IF(main!BF128="","",ROUND(main!BF128*100,6))</f>
        <v/>
      </c>
      <c r="AU125" s="68" t="str">
        <f>IF(main!BG128="","",ROUND(main!BG128*100,6))</f>
        <v/>
      </c>
      <c r="AV125" s="68" t="str">
        <f>IF(main!BH128="","",ROUND(main!BH128*100,6))</f>
        <v/>
      </c>
      <c r="AW125" s="68" t="str">
        <f>IF(main!BI128="","",ROUND(main!BI128*100,6))</f>
        <v/>
      </c>
      <c r="AX125" s="68" t="str">
        <f>IF(main!BJ128="","",ROUND(main!BJ128*100,6))</f>
        <v/>
      </c>
      <c r="AY125" s="68" t="str">
        <f>IF(main!BK128="","",ROUND(main!BK128*100,6))</f>
        <v/>
      </c>
      <c r="AZ125" s="68" t="str">
        <f>IF(main!BL128="","",ROUND(main!BL128*100,6))</f>
        <v/>
      </c>
      <c r="BA125" s="68" t="str">
        <f>IF(main!BM128="","",ROUND(main!BM128*100,6))</f>
        <v/>
      </c>
      <c r="BB125" s="68" t="str">
        <f>IF(main!BN128="","",ROUND(main!BN128*100,6))</f>
        <v/>
      </c>
      <c r="BC125" s="68" t="str">
        <f>IF(main!BO128="","",ROUND(main!BO128*100,6))</f>
        <v/>
      </c>
      <c r="BD125" s="68" t="str">
        <f>IF(main!BP128="","",ROUND(main!BP128*100,6))</f>
        <v/>
      </c>
      <c r="BE125" s="68" t="str">
        <f>IF(main!BQ128="","",ROUND(main!BQ128*100,6))</f>
        <v/>
      </c>
      <c r="BF125" s="68" t="str">
        <f>IF(main!BR128="","",ROUND(main!BR128*100,6))</f>
        <v/>
      </c>
      <c r="BG125" s="68" t="str">
        <f>IF(main!BS128="","",ROUND(main!BS128*100,6))</f>
        <v/>
      </c>
      <c r="BH125" s="68" t="str">
        <f>IF(main!BT128="","",ROUND(main!BT128*100,6))</f>
        <v/>
      </c>
      <c r="BI125" s="68" t="str">
        <f>IF(main!BU128="","",ROUND(main!BU128*100,6))</f>
        <v/>
      </c>
      <c r="BJ125" s="68" t="str">
        <f>IF(main!BV128="","",ROUND(main!BV128*100,6))</f>
        <v/>
      </c>
      <c r="BK125" s="68" t="str">
        <f>IF(main!BW128="","",ROUND(main!BW128*100,6))</f>
        <v/>
      </c>
      <c r="BL125" s="68" t="str">
        <f>IF(main!BX128="","",ROUND(main!BX128*100,6))</f>
        <v/>
      </c>
      <c r="BM125" s="68" t="str">
        <f>IF(main!BY128="","",ROUND(main!BY128*100,6))</f>
        <v/>
      </c>
      <c r="BN125" s="68" t="str">
        <f>IF(main!BZ128="","",ROUND(main!BZ128*100,6))</f>
        <v/>
      </c>
      <c r="BO125" s="68" t="str">
        <f>IF(main!CA128="","",ROUND(main!CA128*100,6))</f>
        <v/>
      </c>
      <c r="BP125" s="68" t="str">
        <f>IF(main!CB128="","",ROUND(main!CB128*100,6))</f>
        <v/>
      </c>
      <c r="BQ125" s="68" t="str">
        <f>IF(main!CC128="","",ROUND(main!CC128*100,6))</f>
        <v/>
      </c>
      <c r="BR125" s="68" t="str">
        <f>IF(main!CD128="","",ROUND(main!CD128*100,6))</f>
        <v/>
      </c>
      <c r="BS125" s="68" t="str">
        <f>IF(main!CE128="","",ROUND(main!CE128*100,6))</f>
        <v/>
      </c>
      <c r="BT125" s="68" t="str">
        <f>IF(main!CF128="","",ROUND(main!CF128*100,6))</f>
        <v/>
      </c>
      <c r="BU125" s="68" t="str">
        <f>IF(main!CG128="","",ROUND(main!CG128*100,6))</f>
        <v/>
      </c>
      <c r="BV125" s="68" t="str">
        <f>IF(main!CH128="","",ROUND(main!CH128*100,6))</f>
        <v/>
      </c>
      <c r="BW125" s="68" t="str">
        <f>IF(main!CI128="","",ROUND(main!CI128*100,6))</f>
        <v/>
      </c>
      <c r="BX125" s="68" t="str">
        <f>IF(main!CJ128="","",ROUND(main!CJ128*100,6))</f>
        <v/>
      </c>
      <c r="BY125" s="68" t="str">
        <f>IF(main!CK128="","",ROUND(main!CK128*100,6))</f>
        <v/>
      </c>
      <c r="BZ125" s="68" t="str">
        <f>IF(main!CL128="","",ROUND(main!CL128*100,6))</f>
        <v/>
      </c>
      <c r="CA125" s="68" t="str">
        <f>IF(main!CM128="","",ROUND(main!CM128*100,6))</f>
        <v/>
      </c>
      <c r="CB125" s="68" t="str">
        <f>IF(main!CN128="","",ROUND(main!CN128*100,6))</f>
        <v/>
      </c>
      <c r="CC125" s="68" t="str">
        <f>IF(main!CO128="","",ROUND(main!CO128*100,6))</f>
        <v/>
      </c>
    </row>
    <row r="126" spans="1:81" x14ac:dyDescent="0.25">
      <c r="A126" s="65" t="s">
        <v>265</v>
      </c>
      <c r="B126" s="66" t="str">
        <f>main!C129</f>
        <v>WWWT - Excavation&amp;Concrete Work</v>
      </c>
      <c r="C126" s="67">
        <f>main!O129</f>
        <v>100000</v>
      </c>
      <c r="D126" s="65" t="s">
        <v>110</v>
      </c>
      <c r="E126" s="68">
        <f t="shared" si="1"/>
        <v>100</v>
      </c>
      <c r="F126" s="68" t="str">
        <f>IF(main!R129="","",ROUND(main!R129*100,6))</f>
        <v/>
      </c>
      <c r="G126" s="68" t="str">
        <f>IF(main!S129="","",ROUND(main!S129*100,6))</f>
        <v/>
      </c>
      <c r="H126" s="68" t="str">
        <f>IF(main!T129="","",ROUND(main!T129*100,6))</f>
        <v/>
      </c>
      <c r="I126" s="68" t="str">
        <f>IF(main!U129="","",ROUND(main!U129*100,6))</f>
        <v/>
      </c>
      <c r="J126" s="68" t="str">
        <f>IF(main!V129="","",ROUND(main!V129*100,6))</f>
        <v/>
      </c>
      <c r="K126" s="68" t="str">
        <f>IF(main!W129="","",ROUND(main!W129*100,6))</f>
        <v/>
      </c>
      <c r="L126" s="68" t="str">
        <f>IF(main!X129="","",ROUND(main!X129*100,6))</f>
        <v/>
      </c>
      <c r="M126" s="68" t="str">
        <f>IF(main!Y129="","",ROUND(main!Y129*100,6))</f>
        <v/>
      </c>
      <c r="N126" s="68" t="str">
        <f>IF(main!Z129="","",ROUND(main!Z129*100,6))</f>
        <v/>
      </c>
      <c r="O126" s="68" t="str">
        <f>IF(main!AA129="","",ROUND(main!AA129*100,6))</f>
        <v/>
      </c>
      <c r="P126" s="68" t="str">
        <f>IF(main!AB129="","",ROUND(main!AB129*100,6))</f>
        <v/>
      </c>
      <c r="Q126" s="68" t="str">
        <f>IF(main!AC129="","",ROUND(main!AC129*100,6))</f>
        <v/>
      </c>
      <c r="R126" s="68" t="str">
        <f>IF(main!AD129="","",ROUND(main!AD129*100,6))</f>
        <v/>
      </c>
      <c r="S126" s="68" t="str">
        <f>IF(main!AE129="","",ROUND(main!AE129*100,6))</f>
        <v/>
      </c>
      <c r="T126" s="68" t="str">
        <f>IF(main!AF129="","",ROUND(main!AF129*100,6))</f>
        <v/>
      </c>
      <c r="U126" s="68" t="str">
        <f>IF(main!AG129="","",ROUND(main!AG129*100,6))</f>
        <v/>
      </c>
      <c r="V126" s="68" t="str">
        <f>IF(main!AH129="","",ROUND(main!AH129*100,6))</f>
        <v/>
      </c>
      <c r="W126" s="68" t="str">
        <f>IF(main!AI129="","",ROUND(main!AI129*100,6))</f>
        <v/>
      </c>
      <c r="X126" s="68" t="str">
        <f>IF(main!AJ129="","",ROUND(main!AJ129*100,6))</f>
        <v/>
      </c>
      <c r="Y126" s="68" t="str">
        <f>IF(main!AK129="","",ROUND(main!AK129*100,6))</f>
        <v/>
      </c>
      <c r="Z126" s="68" t="str">
        <f>IF(main!AL129="","",ROUND(main!AL129*100,6))</f>
        <v/>
      </c>
      <c r="AA126" s="68" t="str">
        <f>IF(main!AM129="","",ROUND(main!AM129*100,6))</f>
        <v/>
      </c>
      <c r="AB126" s="68" t="str">
        <f>IF(main!AN129="","",ROUND(main!AN129*100,6))</f>
        <v/>
      </c>
      <c r="AC126" s="68" t="str">
        <f>IF(main!AO129="","",ROUND(main!AO129*100,6))</f>
        <v/>
      </c>
      <c r="AD126" s="68" t="str">
        <f>IF(main!AP129="","",ROUND(main!AP129*100,6))</f>
        <v/>
      </c>
      <c r="AE126" s="68" t="str">
        <f>IF(main!AQ129="","",ROUND(main!AQ129*100,6))</f>
        <v/>
      </c>
      <c r="AF126" s="68" t="str">
        <f>IF(main!AR129="","",ROUND(main!AR129*100,6))</f>
        <v/>
      </c>
      <c r="AG126" s="68" t="str">
        <f>IF(main!AS129="","",ROUND(main!AS129*100,6))</f>
        <v/>
      </c>
      <c r="AH126" s="68" t="str">
        <f>IF(main!AT129="","",ROUND(main!AT129*100,6))</f>
        <v/>
      </c>
      <c r="AI126" s="68" t="str">
        <f>IF(main!AU129="","",ROUND(main!AU129*100,6))</f>
        <v/>
      </c>
      <c r="AJ126" s="68" t="str">
        <f>IF(main!AV129="","",ROUND(main!AV129*100,6))</f>
        <v/>
      </c>
      <c r="AK126" s="68" t="str">
        <f>IF(main!AW129="","",ROUND(main!AW129*100,6))</f>
        <v/>
      </c>
      <c r="AL126" s="68" t="str">
        <f>IF(main!AX129="","",ROUND(main!AX129*100,6))</f>
        <v/>
      </c>
      <c r="AM126" s="68" t="str">
        <f>IF(main!AY129="","",ROUND(main!AY129*100,6))</f>
        <v/>
      </c>
      <c r="AN126" s="68" t="str">
        <f>IF(main!AZ129="","",ROUND(main!AZ129*100,6))</f>
        <v/>
      </c>
      <c r="AO126" s="68" t="str">
        <f>IF(main!BA129="","",ROUND(main!BA129*100,6))</f>
        <v/>
      </c>
      <c r="AP126" s="68" t="str">
        <f>IF(main!BB129="","",ROUND(main!BB129*100,6))</f>
        <v/>
      </c>
      <c r="AQ126" s="68" t="str">
        <f>IF(main!BC129="","",ROUND(main!BC129*100,6))</f>
        <v/>
      </c>
      <c r="AR126" s="68" t="str">
        <f>IF(main!BD129="","",ROUND(main!BD129*100,6))</f>
        <v/>
      </c>
      <c r="AS126" s="68" t="str">
        <f>IF(main!BE129="","",ROUND(main!BE129*100,6))</f>
        <v/>
      </c>
      <c r="AT126" s="68" t="str">
        <f>IF(main!BF129="","",ROUND(main!BF129*100,6))</f>
        <v/>
      </c>
      <c r="AU126" s="68">
        <f>IF(main!BG129="","",ROUND(main!BG129*100,6))</f>
        <v>8.8888890000000007</v>
      </c>
      <c r="AV126" s="68">
        <f>IF(main!BH129="","",ROUND(main!BH129*100,6))</f>
        <v>46.666666999999997</v>
      </c>
      <c r="AW126" s="68">
        <f>IF(main!BI129="","",ROUND(main!BI129*100,6))</f>
        <v>31.111111000000001</v>
      </c>
      <c r="AX126" s="68">
        <f>IF(main!BJ129="","",ROUND(main!BJ129*100,6))</f>
        <v>13.333333</v>
      </c>
      <c r="AY126" s="68" t="str">
        <f>IF(main!BK129="","",ROUND(main!BK129*100,6))</f>
        <v/>
      </c>
      <c r="AZ126" s="68" t="str">
        <f>IF(main!BL129="","",ROUND(main!BL129*100,6))</f>
        <v/>
      </c>
      <c r="BA126" s="68" t="str">
        <f>IF(main!BM129="","",ROUND(main!BM129*100,6))</f>
        <v/>
      </c>
      <c r="BB126" s="68" t="str">
        <f>IF(main!BN129="","",ROUND(main!BN129*100,6))</f>
        <v/>
      </c>
      <c r="BC126" s="68" t="str">
        <f>IF(main!BO129="","",ROUND(main!BO129*100,6))</f>
        <v/>
      </c>
      <c r="BD126" s="68" t="str">
        <f>IF(main!BP129="","",ROUND(main!BP129*100,6))</f>
        <v/>
      </c>
      <c r="BE126" s="68" t="str">
        <f>IF(main!BQ129="","",ROUND(main!BQ129*100,6))</f>
        <v/>
      </c>
      <c r="BF126" s="68" t="str">
        <f>IF(main!BR129="","",ROUND(main!BR129*100,6))</f>
        <v/>
      </c>
      <c r="BG126" s="68" t="str">
        <f>IF(main!BS129="","",ROUND(main!BS129*100,6))</f>
        <v/>
      </c>
      <c r="BH126" s="68" t="str">
        <f>IF(main!BT129="","",ROUND(main!BT129*100,6))</f>
        <v/>
      </c>
      <c r="BI126" s="68" t="str">
        <f>IF(main!BU129="","",ROUND(main!BU129*100,6))</f>
        <v/>
      </c>
      <c r="BJ126" s="68" t="str">
        <f>IF(main!BV129="","",ROUND(main!BV129*100,6))</f>
        <v/>
      </c>
      <c r="BK126" s="68" t="str">
        <f>IF(main!BW129="","",ROUND(main!BW129*100,6))</f>
        <v/>
      </c>
      <c r="BL126" s="68" t="str">
        <f>IF(main!BX129="","",ROUND(main!BX129*100,6))</f>
        <v/>
      </c>
      <c r="BM126" s="68" t="str">
        <f>IF(main!BY129="","",ROUND(main!BY129*100,6))</f>
        <v/>
      </c>
      <c r="BN126" s="68" t="str">
        <f>IF(main!BZ129="","",ROUND(main!BZ129*100,6))</f>
        <v/>
      </c>
      <c r="BO126" s="68" t="str">
        <f>IF(main!CA129="","",ROUND(main!CA129*100,6))</f>
        <v/>
      </c>
      <c r="BP126" s="68" t="str">
        <f>IF(main!CB129="","",ROUND(main!CB129*100,6))</f>
        <v/>
      </c>
      <c r="BQ126" s="68" t="str">
        <f>IF(main!CC129="","",ROUND(main!CC129*100,6))</f>
        <v/>
      </c>
      <c r="BR126" s="68" t="str">
        <f>IF(main!CD129="","",ROUND(main!CD129*100,6))</f>
        <v/>
      </c>
      <c r="BS126" s="68" t="str">
        <f>IF(main!CE129="","",ROUND(main!CE129*100,6))</f>
        <v/>
      </c>
      <c r="BT126" s="68" t="str">
        <f>IF(main!CF129="","",ROUND(main!CF129*100,6))</f>
        <v/>
      </c>
      <c r="BU126" s="68" t="str">
        <f>IF(main!CG129="","",ROUND(main!CG129*100,6))</f>
        <v/>
      </c>
      <c r="BV126" s="68" t="str">
        <f>IF(main!CH129="","",ROUND(main!CH129*100,6))</f>
        <v/>
      </c>
      <c r="BW126" s="68" t="str">
        <f>IF(main!CI129="","",ROUND(main!CI129*100,6))</f>
        <v/>
      </c>
      <c r="BX126" s="68" t="str">
        <f>IF(main!CJ129="","",ROUND(main!CJ129*100,6))</f>
        <v/>
      </c>
      <c r="BY126" s="68" t="str">
        <f>IF(main!CK129="","",ROUND(main!CK129*100,6))</f>
        <v/>
      </c>
      <c r="BZ126" s="68" t="str">
        <f>IF(main!CL129="","",ROUND(main!CL129*100,6))</f>
        <v/>
      </c>
      <c r="CA126" s="68" t="str">
        <f>IF(main!CM129="","",ROUND(main!CM129*100,6))</f>
        <v/>
      </c>
      <c r="CB126" s="68" t="str">
        <f>IF(main!CN129="","",ROUND(main!CN129*100,6))</f>
        <v/>
      </c>
      <c r="CC126" s="68" t="str">
        <f>IF(main!CO129="","",ROUND(main!CO129*100,6))</f>
        <v/>
      </c>
    </row>
    <row r="127" spans="1:81" x14ac:dyDescent="0.25">
      <c r="A127" s="65" t="s">
        <v>265</v>
      </c>
      <c r="B127" s="66" t="str">
        <f>main!C129</f>
        <v>WWWT - Excavation&amp;Concrete Work</v>
      </c>
      <c r="C127" s="67">
        <f>main!O129</f>
        <v>100000</v>
      </c>
      <c r="D127" s="65" t="s">
        <v>111</v>
      </c>
      <c r="E127" s="68" t="str">
        <f t="shared" si="1"/>
        <v/>
      </c>
      <c r="F127" s="68" t="str">
        <f>IF(main!R130="","",ROUND(main!R130*100,6))</f>
        <v/>
      </c>
      <c r="G127" s="68" t="str">
        <f>IF(main!S130="","",ROUND(main!S130*100,6))</f>
        <v/>
      </c>
      <c r="H127" s="68" t="str">
        <f>IF(main!T130="","",ROUND(main!T130*100,6))</f>
        <v/>
      </c>
      <c r="I127" s="68" t="str">
        <f>IF(main!U130="","",ROUND(main!U130*100,6))</f>
        <v/>
      </c>
      <c r="J127" s="68" t="str">
        <f>IF(main!V130="","",ROUND(main!V130*100,6))</f>
        <v/>
      </c>
      <c r="K127" s="68" t="str">
        <f>IF(main!W130="","",ROUND(main!W130*100,6))</f>
        <v/>
      </c>
      <c r="L127" s="68" t="str">
        <f>IF(main!X130="","",ROUND(main!X130*100,6))</f>
        <v/>
      </c>
      <c r="M127" s="68" t="str">
        <f>IF(main!Y130="","",ROUND(main!Y130*100,6))</f>
        <v/>
      </c>
      <c r="N127" s="68" t="str">
        <f>IF(main!Z130="","",ROUND(main!Z130*100,6))</f>
        <v/>
      </c>
      <c r="O127" s="68" t="str">
        <f>IF(main!AA130="","",ROUND(main!AA130*100,6))</f>
        <v/>
      </c>
      <c r="P127" s="68" t="str">
        <f>IF(main!AB130="","",ROUND(main!AB130*100,6))</f>
        <v/>
      </c>
      <c r="Q127" s="68" t="str">
        <f>IF(main!AC130="","",ROUND(main!AC130*100,6))</f>
        <v/>
      </c>
      <c r="R127" s="68" t="str">
        <f>IF(main!AD130="","",ROUND(main!AD130*100,6))</f>
        <v/>
      </c>
      <c r="S127" s="68" t="str">
        <f>IF(main!AE130="","",ROUND(main!AE130*100,6))</f>
        <v/>
      </c>
      <c r="T127" s="68" t="str">
        <f>IF(main!AF130="","",ROUND(main!AF130*100,6))</f>
        <v/>
      </c>
      <c r="U127" s="68" t="str">
        <f>IF(main!AG130="","",ROUND(main!AG130*100,6))</f>
        <v/>
      </c>
      <c r="V127" s="68" t="str">
        <f>IF(main!AH130="","",ROUND(main!AH130*100,6))</f>
        <v/>
      </c>
      <c r="W127" s="68" t="str">
        <f>IF(main!AI130="","",ROUND(main!AI130*100,6))</f>
        <v/>
      </c>
      <c r="X127" s="68" t="str">
        <f>IF(main!AJ130="","",ROUND(main!AJ130*100,6))</f>
        <v/>
      </c>
      <c r="Y127" s="68" t="str">
        <f>IF(main!AK130="","",ROUND(main!AK130*100,6))</f>
        <v/>
      </c>
      <c r="Z127" s="68" t="str">
        <f>IF(main!AL130="","",ROUND(main!AL130*100,6))</f>
        <v/>
      </c>
      <c r="AA127" s="68" t="str">
        <f>IF(main!AM130="","",ROUND(main!AM130*100,6))</f>
        <v/>
      </c>
      <c r="AB127" s="68" t="str">
        <f>IF(main!AN130="","",ROUND(main!AN130*100,6))</f>
        <v/>
      </c>
      <c r="AC127" s="68" t="str">
        <f>IF(main!AO130="","",ROUND(main!AO130*100,6))</f>
        <v/>
      </c>
      <c r="AD127" s="68" t="str">
        <f>IF(main!AP130="","",ROUND(main!AP130*100,6))</f>
        <v/>
      </c>
      <c r="AE127" s="68" t="str">
        <f>IF(main!AQ130="","",ROUND(main!AQ130*100,6))</f>
        <v/>
      </c>
      <c r="AF127" s="68" t="str">
        <f>IF(main!AR130="","",ROUND(main!AR130*100,6))</f>
        <v/>
      </c>
      <c r="AG127" s="68" t="str">
        <f>IF(main!AS130="","",ROUND(main!AS130*100,6))</f>
        <v/>
      </c>
      <c r="AH127" s="68" t="str">
        <f>IF(main!AT130="","",ROUND(main!AT130*100,6))</f>
        <v/>
      </c>
      <c r="AI127" s="68" t="str">
        <f>IF(main!AU130="","",ROUND(main!AU130*100,6))</f>
        <v/>
      </c>
      <c r="AJ127" s="68" t="str">
        <f>IF(main!AV130="","",ROUND(main!AV130*100,6))</f>
        <v/>
      </c>
      <c r="AK127" s="68" t="str">
        <f>IF(main!AW130="","",ROUND(main!AW130*100,6))</f>
        <v/>
      </c>
      <c r="AL127" s="68" t="str">
        <f>IF(main!AX130="","",ROUND(main!AX130*100,6))</f>
        <v/>
      </c>
      <c r="AM127" s="68" t="str">
        <f>IF(main!AY130="","",ROUND(main!AY130*100,6))</f>
        <v/>
      </c>
      <c r="AN127" s="68" t="str">
        <f>IF(main!AZ130="","",ROUND(main!AZ130*100,6))</f>
        <v/>
      </c>
      <c r="AO127" s="68" t="str">
        <f>IF(main!BA130="","",ROUND(main!BA130*100,6))</f>
        <v/>
      </c>
      <c r="AP127" s="68" t="str">
        <f>IF(main!BB130="","",ROUND(main!BB130*100,6))</f>
        <v/>
      </c>
      <c r="AQ127" s="68" t="str">
        <f>IF(main!BC130="","",ROUND(main!BC130*100,6))</f>
        <v/>
      </c>
      <c r="AR127" s="68" t="str">
        <f>IF(main!BD130="","",ROUND(main!BD130*100,6))</f>
        <v/>
      </c>
      <c r="AS127" s="68" t="str">
        <f>IF(main!BE130="","",ROUND(main!BE130*100,6))</f>
        <v/>
      </c>
      <c r="AT127" s="68" t="str">
        <f>IF(main!BF130="","",ROUND(main!BF130*100,6))</f>
        <v/>
      </c>
      <c r="AU127" s="68" t="str">
        <f>IF(main!BG130="","",ROUND(main!BG130*100,6))</f>
        <v/>
      </c>
      <c r="AV127" s="68" t="str">
        <f>IF(main!BH130="","",ROUND(main!BH130*100,6))</f>
        <v/>
      </c>
      <c r="AW127" s="68" t="str">
        <f>IF(main!BI130="","",ROUND(main!BI130*100,6))</f>
        <v/>
      </c>
      <c r="AX127" s="68" t="str">
        <f>IF(main!BJ130="","",ROUND(main!BJ130*100,6))</f>
        <v/>
      </c>
      <c r="AY127" s="68" t="str">
        <f>IF(main!BK130="","",ROUND(main!BK130*100,6))</f>
        <v/>
      </c>
      <c r="AZ127" s="68" t="str">
        <f>IF(main!BL130="","",ROUND(main!BL130*100,6))</f>
        <v/>
      </c>
      <c r="BA127" s="68" t="str">
        <f>IF(main!BM130="","",ROUND(main!BM130*100,6))</f>
        <v/>
      </c>
      <c r="BB127" s="68" t="str">
        <f>IF(main!BN130="","",ROUND(main!BN130*100,6))</f>
        <v/>
      </c>
      <c r="BC127" s="68" t="str">
        <f>IF(main!BO130="","",ROUND(main!BO130*100,6))</f>
        <v/>
      </c>
      <c r="BD127" s="68" t="str">
        <f>IF(main!BP130="","",ROUND(main!BP130*100,6))</f>
        <v/>
      </c>
      <c r="BE127" s="68" t="str">
        <f>IF(main!BQ130="","",ROUND(main!BQ130*100,6))</f>
        <v/>
      </c>
      <c r="BF127" s="68" t="str">
        <f>IF(main!BR130="","",ROUND(main!BR130*100,6))</f>
        <v/>
      </c>
      <c r="BG127" s="68" t="str">
        <f>IF(main!BS130="","",ROUND(main!BS130*100,6))</f>
        <v/>
      </c>
      <c r="BH127" s="68" t="str">
        <f>IF(main!BT130="","",ROUND(main!BT130*100,6))</f>
        <v/>
      </c>
      <c r="BI127" s="68" t="str">
        <f>IF(main!BU130="","",ROUND(main!BU130*100,6))</f>
        <v/>
      </c>
      <c r="BJ127" s="68" t="str">
        <f>IF(main!BV130="","",ROUND(main!BV130*100,6))</f>
        <v/>
      </c>
      <c r="BK127" s="68" t="str">
        <f>IF(main!BW130="","",ROUND(main!BW130*100,6))</f>
        <v/>
      </c>
      <c r="BL127" s="68" t="str">
        <f>IF(main!BX130="","",ROUND(main!BX130*100,6))</f>
        <v/>
      </c>
      <c r="BM127" s="68" t="str">
        <f>IF(main!BY130="","",ROUND(main!BY130*100,6))</f>
        <v/>
      </c>
      <c r="BN127" s="68" t="str">
        <f>IF(main!BZ130="","",ROUND(main!BZ130*100,6))</f>
        <v/>
      </c>
      <c r="BO127" s="68" t="str">
        <f>IF(main!CA130="","",ROUND(main!CA130*100,6))</f>
        <v/>
      </c>
      <c r="BP127" s="68" t="str">
        <f>IF(main!CB130="","",ROUND(main!CB130*100,6))</f>
        <v/>
      </c>
      <c r="BQ127" s="68" t="str">
        <f>IF(main!CC130="","",ROUND(main!CC130*100,6))</f>
        <v/>
      </c>
      <c r="BR127" s="68" t="str">
        <f>IF(main!CD130="","",ROUND(main!CD130*100,6))</f>
        <v/>
      </c>
      <c r="BS127" s="68" t="str">
        <f>IF(main!CE130="","",ROUND(main!CE130*100,6))</f>
        <v/>
      </c>
      <c r="BT127" s="68" t="str">
        <f>IF(main!CF130="","",ROUND(main!CF130*100,6))</f>
        <v/>
      </c>
      <c r="BU127" s="68" t="str">
        <f>IF(main!CG130="","",ROUND(main!CG130*100,6))</f>
        <v/>
      </c>
      <c r="BV127" s="68" t="str">
        <f>IF(main!CH130="","",ROUND(main!CH130*100,6))</f>
        <v/>
      </c>
      <c r="BW127" s="68" t="str">
        <f>IF(main!CI130="","",ROUND(main!CI130*100,6))</f>
        <v/>
      </c>
      <c r="BX127" s="68" t="str">
        <f>IF(main!CJ130="","",ROUND(main!CJ130*100,6))</f>
        <v/>
      </c>
      <c r="BY127" s="68" t="str">
        <f>IF(main!CK130="","",ROUND(main!CK130*100,6))</f>
        <v/>
      </c>
      <c r="BZ127" s="68" t="str">
        <f>IF(main!CL130="","",ROUND(main!CL130*100,6))</f>
        <v/>
      </c>
      <c r="CA127" s="68" t="str">
        <f>IF(main!CM130="","",ROUND(main!CM130*100,6))</f>
        <v/>
      </c>
      <c r="CB127" s="68" t="str">
        <f>IF(main!CN130="","",ROUND(main!CN130*100,6))</f>
        <v/>
      </c>
      <c r="CC127" s="68" t="str">
        <f>IF(main!CO130="","",ROUND(main!CO130*100,6))</f>
        <v/>
      </c>
    </row>
    <row r="128" spans="1:81" x14ac:dyDescent="0.25">
      <c r="A128" s="65" t="s">
        <v>268</v>
      </c>
      <c r="B128" s="66" t="str">
        <f>main!C131</f>
        <v>Grease Trap - Excavation&amp;Concrete Work</v>
      </c>
      <c r="C128" s="67">
        <f>main!O131</f>
        <v>100000</v>
      </c>
      <c r="D128" s="65" t="s">
        <v>110</v>
      </c>
      <c r="E128" s="68">
        <f t="shared" si="1"/>
        <v>100</v>
      </c>
      <c r="F128" s="68" t="str">
        <f>IF(main!R131="","",ROUND(main!R131*100,6))</f>
        <v/>
      </c>
      <c r="G128" s="68" t="str">
        <f>IF(main!S131="","",ROUND(main!S131*100,6))</f>
        <v/>
      </c>
      <c r="H128" s="68" t="str">
        <f>IF(main!T131="","",ROUND(main!T131*100,6))</f>
        <v/>
      </c>
      <c r="I128" s="68" t="str">
        <f>IF(main!U131="","",ROUND(main!U131*100,6))</f>
        <v/>
      </c>
      <c r="J128" s="68" t="str">
        <f>IF(main!V131="","",ROUND(main!V131*100,6))</f>
        <v/>
      </c>
      <c r="K128" s="68" t="str">
        <f>IF(main!W131="","",ROUND(main!W131*100,6))</f>
        <v/>
      </c>
      <c r="L128" s="68" t="str">
        <f>IF(main!X131="","",ROUND(main!X131*100,6))</f>
        <v/>
      </c>
      <c r="M128" s="68" t="str">
        <f>IF(main!Y131="","",ROUND(main!Y131*100,6))</f>
        <v/>
      </c>
      <c r="N128" s="68" t="str">
        <f>IF(main!Z131="","",ROUND(main!Z131*100,6))</f>
        <v/>
      </c>
      <c r="O128" s="68" t="str">
        <f>IF(main!AA131="","",ROUND(main!AA131*100,6))</f>
        <v/>
      </c>
      <c r="P128" s="68" t="str">
        <f>IF(main!AB131="","",ROUND(main!AB131*100,6))</f>
        <v/>
      </c>
      <c r="Q128" s="68" t="str">
        <f>IF(main!AC131="","",ROUND(main!AC131*100,6))</f>
        <v/>
      </c>
      <c r="R128" s="68" t="str">
        <f>IF(main!AD131="","",ROUND(main!AD131*100,6))</f>
        <v/>
      </c>
      <c r="S128" s="68" t="str">
        <f>IF(main!AE131="","",ROUND(main!AE131*100,6))</f>
        <v/>
      </c>
      <c r="T128" s="68" t="str">
        <f>IF(main!AF131="","",ROUND(main!AF131*100,6))</f>
        <v/>
      </c>
      <c r="U128" s="68" t="str">
        <f>IF(main!AG131="","",ROUND(main!AG131*100,6))</f>
        <v/>
      </c>
      <c r="V128" s="68" t="str">
        <f>IF(main!AH131="","",ROUND(main!AH131*100,6))</f>
        <v/>
      </c>
      <c r="W128" s="68" t="str">
        <f>IF(main!AI131="","",ROUND(main!AI131*100,6))</f>
        <v/>
      </c>
      <c r="X128" s="68" t="str">
        <f>IF(main!AJ131="","",ROUND(main!AJ131*100,6))</f>
        <v/>
      </c>
      <c r="Y128" s="68" t="str">
        <f>IF(main!AK131="","",ROUND(main!AK131*100,6))</f>
        <v/>
      </c>
      <c r="Z128" s="68" t="str">
        <f>IF(main!AL131="","",ROUND(main!AL131*100,6))</f>
        <v/>
      </c>
      <c r="AA128" s="68" t="str">
        <f>IF(main!AM131="","",ROUND(main!AM131*100,6))</f>
        <v/>
      </c>
      <c r="AB128" s="68" t="str">
        <f>IF(main!AN131="","",ROUND(main!AN131*100,6))</f>
        <v/>
      </c>
      <c r="AC128" s="68" t="str">
        <f>IF(main!AO131="","",ROUND(main!AO131*100,6))</f>
        <v/>
      </c>
      <c r="AD128" s="68" t="str">
        <f>IF(main!AP131="","",ROUND(main!AP131*100,6))</f>
        <v/>
      </c>
      <c r="AE128" s="68" t="str">
        <f>IF(main!AQ131="","",ROUND(main!AQ131*100,6))</f>
        <v/>
      </c>
      <c r="AF128" s="68" t="str">
        <f>IF(main!AR131="","",ROUND(main!AR131*100,6))</f>
        <v/>
      </c>
      <c r="AG128" s="68" t="str">
        <f>IF(main!AS131="","",ROUND(main!AS131*100,6))</f>
        <v/>
      </c>
      <c r="AH128" s="68" t="str">
        <f>IF(main!AT131="","",ROUND(main!AT131*100,6))</f>
        <v/>
      </c>
      <c r="AI128" s="68" t="str">
        <f>IF(main!AU131="","",ROUND(main!AU131*100,6))</f>
        <v/>
      </c>
      <c r="AJ128" s="68" t="str">
        <f>IF(main!AV131="","",ROUND(main!AV131*100,6))</f>
        <v/>
      </c>
      <c r="AK128" s="68" t="str">
        <f>IF(main!AW131="","",ROUND(main!AW131*100,6))</f>
        <v/>
      </c>
      <c r="AL128" s="68" t="str">
        <f>IF(main!AX131="","",ROUND(main!AX131*100,6))</f>
        <v/>
      </c>
      <c r="AM128" s="68" t="str">
        <f>IF(main!AY131="","",ROUND(main!AY131*100,6))</f>
        <v/>
      </c>
      <c r="AN128" s="68" t="str">
        <f>IF(main!AZ131="","",ROUND(main!AZ131*100,6))</f>
        <v/>
      </c>
      <c r="AO128" s="68" t="str">
        <f>IF(main!BA131="","",ROUND(main!BA131*100,6))</f>
        <v/>
      </c>
      <c r="AP128" s="68" t="str">
        <f>IF(main!BB131="","",ROUND(main!BB131*100,6))</f>
        <v/>
      </c>
      <c r="AQ128" s="68" t="str">
        <f>IF(main!BC131="","",ROUND(main!BC131*100,6))</f>
        <v/>
      </c>
      <c r="AR128" s="68" t="str">
        <f>IF(main!BD131="","",ROUND(main!BD131*100,6))</f>
        <v/>
      </c>
      <c r="AS128" s="68" t="str">
        <f>IF(main!BE131="","",ROUND(main!BE131*100,6))</f>
        <v/>
      </c>
      <c r="AT128" s="68" t="str">
        <f>IF(main!BF131="","",ROUND(main!BF131*100,6))</f>
        <v/>
      </c>
      <c r="AU128" s="68" t="str">
        <f>IF(main!BG131="","",ROUND(main!BG131*100,6))</f>
        <v/>
      </c>
      <c r="AV128" s="68" t="str">
        <f>IF(main!BH131="","",ROUND(main!BH131*100,6))</f>
        <v/>
      </c>
      <c r="AW128" s="68" t="str">
        <f>IF(main!BI131="","",ROUND(main!BI131*100,6))</f>
        <v/>
      </c>
      <c r="AX128" s="68">
        <f>IF(main!BJ131="","",ROUND(main!BJ131*100,6))</f>
        <v>14.285714</v>
      </c>
      <c r="AY128" s="68">
        <f>IF(main!BK131="","",ROUND(main!BK131*100,6))</f>
        <v>66.666667000000004</v>
      </c>
      <c r="AZ128" s="68">
        <f>IF(main!BL131="","",ROUND(main!BL131*100,6))</f>
        <v>19.047619000000001</v>
      </c>
      <c r="BA128" s="68" t="str">
        <f>IF(main!BM131="","",ROUND(main!BM131*100,6))</f>
        <v/>
      </c>
      <c r="BB128" s="68" t="str">
        <f>IF(main!BN131="","",ROUND(main!BN131*100,6))</f>
        <v/>
      </c>
      <c r="BC128" s="68" t="str">
        <f>IF(main!BO131="","",ROUND(main!BO131*100,6))</f>
        <v/>
      </c>
      <c r="BD128" s="68" t="str">
        <f>IF(main!BP131="","",ROUND(main!BP131*100,6))</f>
        <v/>
      </c>
      <c r="BE128" s="68" t="str">
        <f>IF(main!BQ131="","",ROUND(main!BQ131*100,6))</f>
        <v/>
      </c>
      <c r="BF128" s="68" t="str">
        <f>IF(main!BR131="","",ROUND(main!BR131*100,6))</f>
        <v/>
      </c>
      <c r="BG128" s="68" t="str">
        <f>IF(main!BS131="","",ROUND(main!BS131*100,6))</f>
        <v/>
      </c>
      <c r="BH128" s="68" t="str">
        <f>IF(main!BT131="","",ROUND(main!BT131*100,6))</f>
        <v/>
      </c>
      <c r="BI128" s="68" t="str">
        <f>IF(main!BU131="","",ROUND(main!BU131*100,6))</f>
        <v/>
      </c>
      <c r="BJ128" s="68" t="str">
        <f>IF(main!BV131="","",ROUND(main!BV131*100,6))</f>
        <v/>
      </c>
      <c r="BK128" s="68" t="str">
        <f>IF(main!BW131="","",ROUND(main!BW131*100,6))</f>
        <v/>
      </c>
      <c r="BL128" s="68" t="str">
        <f>IF(main!BX131="","",ROUND(main!BX131*100,6))</f>
        <v/>
      </c>
      <c r="BM128" s="68" t="str">
        <f>IF(main!BY131="","",ROUND(main!BY131*100,6))</f>
        <v/>
      </c>
      <c r="BN128" s="68" t="str">
        <f>IF(main!BZ131="","",ROUND(main!BZ131*100,6))</f>
        <v/>
      </c>
      <c r="BO128" s="68" t="str">
        <f>IF(main!CA131="","",ROUND(main!CA131*100,6))</f>
        <v/>
      </c>
      <c r="BP128" s="68" t="str">
        <f>IF(main!CB131="","",ROUND(main!CB131*100,6))</f>
        <v/>
      </c>
      <c r="BQ128" s="68" t="str">
        <f>IF(main!CC131="","",ROUND(main!CC131*100,6))</f>
        <v/>
      </c>
      <c r="BR128" s="68" t="str">
        <f>IF(main!CD131="","",ROUND(main!CD131*100,6))</f>
        <v/>
      </c>
      <c r="BS128" s="68" t="str">
        <f>IF(main!CE131="","",ROUND(main!CE131*100,6))</f>
        <v/>
      </c>
      <c r="BT128" s="68" t="str">
        <f>IF(main!CF131="","",ROUND(main!CF131*100,6))</f>
        <v/>
      </c>
      <c r="BU128" s="68" t="str">
        <f>IF(main!CG131="","",ROUND(main!CG131*100,6))</f>
        <v/>
      </c>
      <c r="BV128" s="68" t="str">
        <f>IF(main!CH131="","",ROUND(main!CH131*100,6))</f>
        <v/>
      </c>
      <c r="BW128" s="68" t="str">
        <f>IF(main!CI131="","",ROUND(main!CI131*100,6))</f>
        <v/>
      </c>
      <c r="BX128" s="68" t="str">
        <f>IF(main!CJ131="","",ROUND(main!CJ131*100,6))</f>
        <v/>
      </c>
      <c r="BY128" s="68" t="str">
        <f>IF(main!CK131="","",ROUND(main!CK131*100,6))</f>
        <v/>
      </c>
      <c r="BZ128" s="68" t="str">
        <f>IF(main!CL131="","",ROUND(main!CL131*100,6))</f>
        <v/>
      </c>
      <c r="CA128" s="68" t="str">
        <f>IF(main!CM131="","",ROUND(main!CM131*100,6))</f>
        <v/>
      </c>
      <c r="CB128" s="68" t="str">
        <f>IF(main!CN131="","",ROUND(main!CN131*100,6))</f>
        <v/>
      </c>
      <c r="CC128" s="68" t="str">
        <f>IF(main!CO131="","",ROUND(main!CO131*100,6))</f>
        <v/>
      </c>
    </row>
    <row r="129" spans="1:81" x14ac:dyDescent="0.25">
      <c r="A129" s="65" t="s">
        <v>268</v>
      </c>
      <c r="B129" s="66" t="str">
        <f>main!C131</f>
        <v>Grease Trap - Excavation&amp;Concrete Work</v>
      </c>
      <c r="C129" s="67">
        <f>main!O131</f>
        <v>100000</v>
      </c>
      <c r="D129" s="65" t="s">
        <v>111</v>
      </c>
      <c r="E129" s="68" t="str">
        <f t="shared" si="1"/>
        <v/>
      </c>
      <c r="F129" s="68" t="str">
        <f>IF(main!R132="","",ROUND(main!R132*100,6))</f>
        <v/>
      </c>
      <c r="G129" s="68" t="str">
        <f>IF(main!S132="","",ROUND(main!S132*100,6))</f>
        <v/>
      </c>
      <c r="H129" s="68" t="str">
        <f>IF(main!T132="","",ROUND(main!T132*100,6))</f>
        <v/>
      </c>
      <c r="I129" s="68" t="str">
        <f>IF(main!U132="","",ROUND(main!U132*100,6))</f>
        <v/>
      </c>
      <c r="J129" s="68" t="str">
        <f>IF(main!V132="","",ROUND(main!V132*100,6))</f>
        <v/>
      </c>
      <c r="K129" s="68" t="str">
        <f>IF(main!W132="","",ROUND(main!W132*100,6))</f>
        <v/>
      </c>
      <c r="L129" s="68" t="str">
        <f>IF(main!X132="","",ROUND(main!X132*100,6))</f>
        <v/>
      </c>
      <c r="M129" s="68" t="str">
        <f>IF(main!Y132="","",ROUND(main!Y132*100,6))</f>
        <v/>
      </c>
      <c r="N129" s="68" t="str">
        <f>IF(main!Z132="","",ROUND(main!Z132*100,6))</f>
        <v/>
      </c>
      <c r="O129" s="68" t="str">
        <f>IF(main!AA132="","",ROUND(main!AA132*100,6))</f>
        <v/>
      </c>
      <c r="P129" s="68" t="str">
        <f>IF(main!AB132="","",ROUND(main!AB132*100,6))</f>
        <v/>
      </c>
      <c r="Q129" s="68" t="str">
        <f>IF(main!AC132="","",ROUND(main!AC132*100,6))</f>
        <v/>
      </c>
      <c r="R129" s="68" t="str">
        <f>IF(main!AD132="","",ROUND(main!AD132*100,6))</f>
        <v/>
      </c>
      <c r="S129" s="68" t="str">
        <f>IF(main!AE132="","",ROUND(main!AE132*100,6))</f>
        <v/>
      </c>
      <c r="T129" s="68" t="str">
        <f>IF(main!AF132="","",ROUND(main!AF132*100,6))</f>
        <v/>
      </c>
      <c r="U129" s="68" t="str">
        <f>IF(main!AG132="","",ROUND(main!AG132*100,6))</f>
        <v/>
      </c>
      <c r="V129" s="68" t="str">
        <f>IF(main!AH132="","",ROUND(main!AH132*100,6))</f>
        <v/>
      </c>
      <c r="W129" s="68" t="str">
        <f>IF(main!AI132="","",ROUND(main!AI132*100,6))</f>
        <v/>
      </c>
      <c r="X129" s="68" t="str">
        <f>IF(main!AJ132="","",ROUND(main!AJ132*100,6))</f>
        <v/>
      </c>
      <c r="Y129" s="68" t="str">
        <f>IF(main!AK132="","",ROUND(main!AK132*100,6))</f>
        <v/>
      </c>
      <c r="Z129" s="68" t="str">
        <f>IF(main!AL132="","",ROUND(main!AL132*100,6))</f>
        <v/>
      </c>
      <c r="AA129" s="68" t="str">
        <f>IF(main!AM132="","",ROUND(main!AM132*100,6))</f>
        <v/>
      </c>
      <c r="AB129" s="68" t="str">
        <f>IF(main!AN132="","",ROUND(main!AN132*100,6))</f>
        <v/>
      </c>
      <c r="AC129" s="68" t="str">
        <f>IF(main!AO132="","",ROUND(main!AO132*100,6))</f>
        <v/>
      </c>
      <c r="AD129" s="68" t="str">
        <f>IF(main!AP132="","",ROUND(main!AP132*100,6))</f>
        <v/>
      </c>
      <c r="AE129" s="68" t="str">
        <f>IF(main!AQ132="","",ROUND(main!AQ132*100,6))</f>
        <v/>
      </c>
      <c r="AF129" s="68" t="str">
        <f>IF(main!AR132="","",ROUND(main!AR132*100,6))</f>
        <v/>
      </c>
      <c r="AG129" s="68" t="str">
        <f>IF(main!AS132="","",ROUND(main!AS132*100,6))</f>
        <v/>
      </c>
      <c r="AH129" s="68" t="str">
        <f>IF(main!AT132="","",ROUND(main!AT132*100,6))</f>
        <v/>
      </c>
      <c r="AI129" s="68" t="str">
        <f>IF(main!AU132="","",ROUND(main!AU132*100,6))</f>
        <v/>
      </c>
      <c r="AJ129" s="68" t="str">
        <f>IF(main!AV132="","",ROUND(main!AV132*100,6))</f>
        <v/>
      </c>
      <c r="AK129" s="68" t="str">
        <f>IF(main!AW132="","",ROUND(main!AW132*100,6))</f>
        <v/>
      </c>
      <c r="AL129" s="68" t="str">
        <f>IF(main!AX132="","",ROUND(main!AX132*100,6))</f>
        <v/>
      </c>
      <c r="AM129" s="68" t="str">
        <f>IF(main!AY132="","",ROUND(main!AY132*100,6))</f>
        <v/>
      </c>
      <c r="AN129" s="68" t="str">
        <f>IF(main!AZ132="","",ROUND(main!AZ132*100,6))</f>
        <v/>
      </c>
      <c r="AO129" s="68" t="str">
        <f>IF(main!BA132="","",ROUND(main!BA132*100,6))</f>
        <v/>
      </c>
      <c r="AP129" s="68" t="str">
        <f>IF(main!BB132="","",ROUND(main!BB132*100,6))</f>
        <v/>
      </c>
      <c r="AQ129" s="68" t="str">
        <f>IF(main!BC132="","",ROUND(main!BC132*100,6))</f>
        <v/>
      </c>
      <c r="AR129" s="68" t="str">
        <f>IF(main!BD132="","",ROUND(main!BD132*100,6))</f>
        <v/>
      </c>
      <c r="AS129" s="68" t="str">
        <f>IF(main!BE132="","",ROUND(main!BE132*100,6))</f>
        <v/>
      </c>
      <c r="AT129" s="68" t="str">
        <f>IF(main!BF132="","",ROUND(main!BF132*100,6))</f>
        <v/>
      </c>
      <c r="AU129" s="68" t="str">
        <f>IF(main!BG132="","",ROUND(main!BG132*100,6))</f>
        <v/>
      </c>
      <c r="AV129" s="68" t="str">
        <f>IF(main!BH132="","",ROUND(main!BH132*100,6))</f>
        <v/>
      </c>
      <c r="AW129" s="68" t="str">
        <f>IF(main!BI132="","",ROUND(main!BI132*100,6))</f>
        <v/>
      </c>
      <c r="AX129" s="68" t="str">
        <f>IF(main!BJ132="","",ROUND(main!BJ132*100,6))</f>
        <v/>
      </c>
      <c r="AY129" s="68" t="str">
        <f>IF(main!BK132="","",ROUND(main!BK132*100,6))</f>
        <v/>
      </c>
      <c r="AZ129" s="68" t="str">
        <f>IF(main!BL132="","",ROUND(main!BL132*100,6))</f>
        <v/>
      </c>
      <c r="BA129" s="68" t="str">
        <f>IF(main!BM132="","",ROUND(main!BM132*100,6))</f>
        <v/>
      </c>
      <c r="BB129" s="68" t="str">
        <f>IF(main!BN132="","",ROUND(main!BN132*100,6))</f>
        <v/>
      </c>
      <c r="BC129" s="68" t="str">
        <f>IF(main!BO132="","",ROUND(main!BO132*100,6))</f>
        <v/>
      </c>
      <c r="BD129" s="68" t="str">
        <f>IF(main!BP132="","",ROUND(main!BP132*100,6))</f>
        <v/>
      </c>
      <c r="BE129" s="68" t="str">
        <f>IF(main!BQ132="","",ROUND(main!BQ132*100,6))</f>
        <v/>
      </c>
      <c r="BF129" s="68" t="str">
        <f>IF(main!BR132="","",ROUND(main!BR132*100,6))</f>
        <v/>
      </c>
      <c r="BG129" s="68" t="str">
        <f>IF(main!BS132="","",ROUND(main!BS132*100,6))</f>
        <v/>
      </c>
      <c r="BH129" s="68" t="str">
        <f>IF(main!BT132="","",ROUND(main!BT132*100,6))</f>
        <v/>
      </c>
      <c r="BI129" s="68" t="str">
        <f>IF(main!BU132="","",ROUND(main!BU132*100,6))</f>
        <v/>
      </c>
      <c r="BJ129" s="68" t="str">
        <f>IF(main!BV132="","",ROUND(main!BV132*100,6))</f>
        <v/>
      </c>
      <c r="BK129" s="68" t="str">
        <f>IF(main!BW132="","",ROUND(main!BW132*100,6))</f>
        <v/>
      </c>
      <c r="BL129" s="68" t="str">
        <f>IF(main!BX132="","",ROUND(main!BX132*100,6))</f>
        <v/>
      </c>
      <c r="BM129" s="68" t="str">
        <f>IF(main!BY132="","",ROUND(main!BY132*100,6))</f>
        <v/>
      </c>
      <c r="BN129" s="68" t="str">
        <f>IF(main!BZ132="","",ROUND(main!BZ132*100,6))</f>
        <v/>
      </c>
      <c r="BO129" s="68" t="str">
        <f>IF(main!CA132="","",ROUND(main!CA132*100,6))</f>
        <v/>
      </c>
      <c r="BP129" s="68" t="str">
        <f>IF(main!CB132="","",ROUND(main!CB132*100,6))</f>
        <v/>
      </c>
      <c r="BQ129" s="68" t="str">
        <f>IF(main!CC132="","",ROUND(main!CC132*100,6))</f>
        <v/>
      </c>
      <c r="BR129" s="68" t="str">
        <f>IF(main!CD132="","",ROUND(main!CD132*100,6))</f>
        <v/>
      </c>
      <c r="BS129" s="68" t="str">
        <f>IF(main!CE132="","",ROUND(main!CE132*100,6))</f>
        <v/>
      </c>
      <c r="BT129" s="68" t="str">
        <f>IF(main!CF132="","",ROUND(main!CF132*100,6))</f>
        <v/>
      </c>
      <c r="BU129" s="68" t="str">
        <f>IF(main!CG132="","",ROUND(main!CG132*100,6))</f>
        <v/>
      </c>
      <c r="BV129" s="68" t="str">
        <f>IF(main!CH132="","",ROUND(main!CH132*100,6))</f>
        <v/>
      </c>
      <c r="BW129" s="68" t="str">
        <f>IF(main!CI132="","",ROUND(main!CI132*100,6))</f>
        <v/>
      </c>
      <c r="BX129" s="68" t="str">
        <f>IF(main!CJ132="","",ROUND(main!CJ132*100,6))</f>
        <v/>
      </c>
      <c r="BY129" s="68" t="str">
        <f>IF(main!CK132="","",ROUND(main!CK132*100,6))</f>
        <v/>
      </c>
      <c r="BZ129" s="68" t="str">
        <f>IF(main!CL132="","",ROUND(main!CL132*100,6))</f>
        <v/>
      </c>
      <c r="CA129" s="68" t="str">
        <f>IF(main!CM132="","",ROUND(main!CM132*100,6))</f>
        <v/>
      </c>
      <c r="CB129" s="68" t="str">
        <f>IF(main!CN132="","",ROUND(main!CN132*100,6))</f>
        <v/>
      </c>
      <c r="CC129" s="68" t="str">
        <f>IF(main!CO132="","",ROUND(main!CO132*100,6))</f>
        <v/>
      </c>
    </row>
    <row r="130" spans="1:81" x14ac:dyDescent="0.25">
      <c r="A130" s="65" t="s">
        <v>271</v>
      </c>
      <c r="B130" s="66" t="str">
        <f>main!C133</f>
        <v>EE Plateform - Concrete Work</v>
      </c>
      <c r="C130" s="67">
        <f>main!O133</f>
        <v>100000</v>
      </c>
      <c r="D130" s="65" t="s">
        <v>110</v>
      </c>
      <c r="E130" s="68">
        <f t="shared" ref="E130:E193" si="2">IF(COUNT(F130:CC130)=0,"",ROUND(SUM(F130:CC130),6))</f>
        <v>100</v>
      </c>
      <c r="F130" s="68" t="str">
        <f>IF(main!R133="","",ROUND(main!R133*100,6))</f>
        <v/>
      </c>
      <c r="G130" s="68" t="str">
        <f>IF(main!S133="","",ROUND(main!S133*100,6))</f>
        <v/>
      </c>
      <c r="H130" s="68" t="str">
        <f>IF(main!T133="","",ROUND(main!T133*100,6))</f>
        <v/>
      </c>
      <c r="I130" s="68" t="str">
        <f>IF(main!U133="","",ROUND(main!U133*100,6))</f>
        <v/>
      </c>
      <c r="J130" s="68" t="str">
        <f>IF(main!V133="","",ROUND(main!V133*100,6))</f>
        <v/>
      </c>
      <c r="K130" s="68" t="str">
        <f>IF(main!W133="","",ROUND(main!W133*100,6))</f>
        <v/>
      </c>
      <c r="L130" s="68" t="str">
        <f>IF(main!X133="","",ROUND(main!X133*100,6))</f>
        <v/>
      </c>
      <c r="M130" s="68" t="str">
        <f>IF(main!Y133="","",ROUND(main!Y133*100,6))</f>
        <v/>
      </c>
      <c r="N130" s="68" t="str">
        <f>IF(main!Z133="","",ROUND(main!Z133*100,6))</f>
        <v/>
      </c>
      <c r="O130" s="68" t="str">
        <f>IF(main!AA133="","",ROUND(main!AA133*100,6))</f>
        <v/>
      </c>
      <c r="P130" s="68" t="str">
        <f>IF(main!AB133="","",ROUND(main!AB133*100,6))</f>
        <v/>
      </c>
      <c r="Q130" s="68" t="str">
        <f>IF(main!AC133="","",ROUND(main!AC133*100,6))</f>
        <v/>
      </c>
      <c r="R130" s="68" t="str">
        <f>IF(main!AD133="","",ROUND(main!AD133*100,6))</f>
        <v/>
      </c>
      <c r="S130" s="68" t="str">
        <f>IF(main!AE133="","",ROUND(main!AE133*100,6))</f>
        <v/>
      </c>
      <c r="T130" s="68" t="str">
        <f>IF(main!AF133="","",ROUND(main!AF133*100,6))</f>
        <v/>
      </c>
      <c r="U130" s="68" t="str">
        <f>IF(main!AG133="","",ROUND(main!AG133*100,6))</f>
        <v/>
      </c>
      <c r="V130" s="68" t="str">
        <f>IF(main!AH133="","",ROUND(main!AH133*100,6))</f>
        <v/>
      </c>
      <c r="W130" s="68" t="str">
        <f>IF(main!AI133="","",ROUND(main!AI133*100,6))</f>
        <v/>
      </c>
      <c r="X130" s="68" t="str">
        <f>IF(main!AJ133="","",ROUND(main!AJ133*100,6))</f>
        <v/>
      </c>
      <c r="Y130" s="68" t="str">
        <f>IF(main!AK133="","",ROUND(main!AK133*100,6))</f>
        <v/>
      </c>
      <c r="Z130" s="68" t="str">
        <f>IF(main!AL133="","",ROUND(main!AL133*100,6))</f>
        <v/>
      </c>
      <c r="AA130" s="68" t="str">
        <f>IF(main!AM133="","",ROUND(main!AM133*100,6))</f>
        <v/>
      </c>
      <c r="AB130" s="68" t="str">
        <f>IF(main!AN133="","",ROUND(main!AN133*100,6))</f>
        <v/>
      </c>
      <c r="AC130" s="68" t="str">
        <f>IF(main!AO133="","",ROUND(main!AO133*100,6))</f>
        <v/>
      </c>
      <c r="AD130" s="68" t="str">
        <f>IF(main!AP133="","",ROUND(main!AP133*100,6))</f>
        <v/>
      </c>
      <c r="AE130" s="68" t="str">
        <f>IF(main!AQ133="","",ROUND(main!AQ133*100,6))</f>
        <v/>
      </c>
      <c r="AF130" s="68" t="str">
        <f>IF(main!AR133="","",ROUND(main!AR133*100,6))</f>
        <v/>
      </c>
      <c r="AG130" s="68" t="str">
        <f>IF(main!AS133="","",ROUND(main!AS133*100,6))</f>
        <v/>
      </c>
      <c r="AH130" s="68" t="str">
        <f>IF(main!AT133="","",ROUND(main!AT133*100,6))</f>
        <v/>
      </c>
      <c r="AI130" s="68" t="str">
        <f>IF(main!AU133="","",ROUND(main!AU133*100,6))</f>
        <v/>
      </c>
      <c r="AJ130" s="68" t="str">
        <f>IF(main!AV133="","",ROUND(main!AV133*100,6))</f>
        <v/>
      </c>
      <c r="AK130" s="68" t="str">
        <f>IF(main!AW133="","",ROUND(main!AW133*100,6))</f>
        <v/>
      </c>
      <c r="AL130" s="68" t="str">
        <f>IF(main!AX133="","",ROUND(main!AX133*100,6))</f>
        <v/>
      </c>
      <c r="AM130" s="68" t="str">
        <f>IF(main!AY133="","",ROUND(main!AY133*100,6))</f>
        <v/>
      </c>
      <c r="AN130" s="68" t="str">
        <f>IF(main!AZ133="","",ROUND(main!AZ133*100,6))</f>
        <v/>
      </c>
      <c r="AO130" s="68" t="str">
        <f>IF(main!BA133="","",ROUND(main!BA133*100,6))</f>
        <v/>
      </c>
      <c r="AP130" s="68" t="str">
        <f>IF(main!BB133="","",ROUND(main!BB133*100,6))</f>
        <v/>
      </c>
      <c r="AQ130" s="68" t="str">
        <f>IF(main!BC133="","",ROUND(main!BC133*100,6))</f>
        <v/>
      </c>
      <c r="AR130" s="68" t="str">
        <f>IF(main!BD133="","",ROUND(main!BD133*100,6))</f>
        <v/>
      </c>
      <c r="AS130" s="68" t="str">
        <f>IF(main!BE133="","",ROUND(main!BE133*100,6))</f>
        <v/>
      </c>
      <c r="AT130" s="68" t="str">
        <f>IF(main!BF133="","",ROUND(main!BF133*100,6))</f>
        <v/>
      </c>
      <c r="AU130" s="68" t="str">
        <f>IF(main!BG133="","",ROUND(main!BG133*100,6))</f>
        <v/>
      </c>
      <c r="AV130" s="68" t="str">
        <f>IF(main!BH133="","",ROUND(main!BH133*100,6))</f>
        <v/>
      </c>
      <c r="AW130" s="68" t="str">
        <f>IF(main!BI133="","",ROUND(main!BI133*100,6))</f>
        <v/>
      </c>
      <c r="AX130" s="68" t="str">
        <f>IF(main!BJ133="","",ROUND(main!BJ133*100,6))</f>
        <v/>
      </c>
      <c r="AY130" s="68" t="str">
        <f>IF(main!BK133="","",ROUND(main!BK133*100,6))</f>
        <v/>
      </c>
      <c r="AZ130" s="68">
        <f>IF(main!BL133="","",ROUND(main!BL133*100,6))</f>
        <v>33.333333000000003</v>
      </c>
      <c r="BA130" s="68">
        <f>IF(main!BM133="","",ROUND(main!BM133*100,6))</f>
        <v>66.666667000000004</v>
      </c>
      <c r="BB130" s="68" t="str">
        <f>IF(main!BN133="","",ROUND(main!BN133*100,6))</f>
        <v/>
      </c>
      <c r="BC130" s="68" t="str">
        <f>IF(main!BO133="","",ROUND(main!BO133*100,6))</f>
        <v/>
      </c>
      <c r="BD130" s="68" t="str">
        <f>IF(main!BP133="","",ROUND(main!BP133*100,6))</f>
        <v/>
      </c>
      <c r="BE130" s="68" t="str">
        <f>IF(main!BQ133="","",ROUND(main!BQ133*100,6))</f>
        <v/>
      </c>
      <c r="BF130" s="68" t="str">
        <f>IF(main!BR133="","",ROUND(main!BR133*100,6))</f>
        <v/>
      </c>
      <c r="BG130" s="68" t="str">
        <f>IF(main!BS133="","",ROUND(main!BS133*100,6))</f>
        <v/>
      </c>
      <c r="BH130" s="68" t="str">
        <f>IF(main!BT133="","",ROUND(main!BT133*100,6))</f>
        <v/>
      </c>
      <c r="BI130" s="68" t="str">
        <f>IF(main!BU133="","",ROUND(main!BU133*100,6))</f>
        <v/>
      </c>
      <c r="BJ130" s="68" t="str">
        <f>IF(main!BV133="","",ROUND(main!BV133*100,6))</f>
        <v/>
      </c>
      <c r="BK130" s="68" t="str">
        <f>IF(main!BW133="","",ROUND(main!BW133*100,6))</f>
        <v/>
      </c>
      <c r="BL130" s="68" t="str">
        <f>IF(main!BX133="","",ROUND(main!BX133*100,6))</f>
        <v/>
      </c>
      <c r="BM130" s="68" t="str">
        <f>IF(main!BY133="","",ROUND(main!BY133*100,6))</f>
        <v/>
      </c>
      <c r="BN130" s="68" t="str">
        <f>IF(main!BZ133="","",ROUND(main!BZ133*100,6))</f>
        <v/>
      </c>
      <c r="BO130" s="68" t="str">
        <f>IF(main!CA133="","",ROUND(main!CA133*100,6))</f>
        <v/>
      </c>
      <c r="BP130" s="68" t="str">
        <f>IF(main!CB133="","",ROUND(main!CB133*100,6))</f>
        <v/>
      </c>
      <c r="BQ130" s="68" t="str">
        <f>IF(main!CC133="","",ROUND(main!CC133*100,6))</f>
        <v/>
      </c>
      <c r="BR130" s="68" t="str">
        <f>IF(main!CD133="","",ROUND(main!CD133*100,6))</f>
        <v/>
      </c>
      <c r="BS130" s="68" t="str">
        <f>IF(main!CE133="","",ROUND(main!CE133*100,6))</f>
        <v/>
      </c>
      <c r="BT130" s="68" t="str">
        <f>IF(main!CF133="","",ROUND(main!CF133*100,6))</f>
        <v/>
      </c>
      <c r="BU130" s="68" t="str">
        <f>IF(main!CG133="","",ROUND(main!CG133*100,6))</f>
        <v/>
      </c>
      <c r="BV130" s="68" t="str">
        <f>IF(main!CH133="","",ROUND(main!CH133*100,6))</f>
        <v/>
      </c>
      <c r="BW130" s="68" t="str">
        <f>IF(main!CI133="","",ROUND(main!CI133*100,6))</f>
        <v/>
      </c>
      <c r="BX130" s="68" t="str">
        <f>IF(main!CJ133="","",ROUND(main!CJ133*100,6))</f>
        <v/>
      </c>
      <c r="BY130" s="68" t="str">
        <f>IF(main!CK133="","",ROUND(main!CK133*100,6))</f>
        <v/>
      </c>
      <c r="BZ130" s="68" t="str">
        <f>IF(main!CL133="","",ROUND(main!CL133*100,6))</f>
        <v/>
      </c>
      <c r="CA130" s="68" t="str">
        <f>IF(main!CM133="","",ROUND(main!CM133*100,6))</f>
        <v/>
      </c>
      <c r="CB130" s="68" t="str">
        <f>IF(main!CN133="","",ROUND(main!CN133*100,6))</f>
        <v/>
      </c>
      <c r="CC130" s="68" t="str">
        <f>IF(main!CO133="","",ROUND(main!CO133*100,6))</f>
        <v/>
      </c>
    </row>
    <row r="131" spans="1:81" x14ac:dyDescent="0.25">
      <c r="A131" s="65" t="s">
        <v>271</v>
      </c>
      <c r="B131" s="66" t="str">
        <f>main!C133</f>
        <v>EE Plateform - Concrete Work</v>
      </c>
      <c r="C131" s="67">
        <f>main!O133</f>
        <v>100000</v>
      </c>
      <c r="D131" s="65" t="s">
        <v>111</v>
      </c>
      <c r="E131" s="68" t="str">
        <f t="shared" si="2"/>
        <v/>
      </c>
      <c r="F131" s="68" t="str">
        <f>IF(main!R134="","",ROUND(main!R134*100,6))</f>
        <v/>
      </c>
      <c r="G131" s="68" t="str">
        <f>IF(main!S134="","",ROUND(main!S134*100,6))</f>
        <v/>
      </c>
      <c r="H131" s="68" t="str">
        <f>IF(main!T134="","",ROUND(main!T134*100,6))</f>
        <v/>
      </c>
      <c r="I131" s="68" t="str">
        <f>IF(main!U134="","",ROUND(main!U134*100,6))</f>
        <v/>
      </c>
      <c r="J131" s="68" t="str">
        <f>IF(main!V134="","",ROUND(main!V134*100,6))</f>
        <v/>
      </c>
      <c r="K131" s="68" t="str">
        <f>IF(main!W134="","",ROUND(main!W134*100,6))</f>
        <v/>
      </c>
      <c r="L131" s="68" t="str">
        <f>IF(main!X134="","",ROUND(main!X134*100,6))</f>
        <v/>
      </c>
      <c r="M131" s="68" t="str">
        <f>IF(main!Y134="","",ROUND(main!Y134*100,6))</f>
        <v/>
      </c>
      <c r="N131" s="68" t="str">
        <f>IF(main!Z134="","",ROUND(main!Z134*100,6))</f>
        <v/>
      </c>
      <c r="O131" s="68" t="str">
        <f>IF(main!AA134="","",ROUND(main!AA134*100,6))</f>
        <v/>
      </c>
      <c r="P131" s="68" t="str">
        <f>IF(main!AB134="","",ROUND(main!AB134*100,6))</f>
        <v/>
      </c>
      <c r="Q131" s="68" t="str">
        <f>IF(main!AC134="","",ROUND(main!AC134*100,6))</f>
        <v/>
      </c>
      <c r="R131" s="68" t="str">
        <f>IF(main!AD134="","",ROUND(main!AD134*100,6))</f>
        <v/>
      </c>
      <c r="S131" s="68" t="str">
        <f>IF(main!AE134="","",ROUND(main!AE134*100,6))</f>
        <v/>
      </c>
      <c r="T131" s="68" t="str">
        <f>IF(main!AF134="","",ROUND(main!AF134*100,6))</f>
        <v/>
      </c>
      <c r="U131" s="68" t="str">
        <f>IF(main!AG134="","",ROUND(main!AG134*100,6))</f>
        <v/>
      </c>
      <c r="V131" s="68" t="str">
        <f>IF(main!AH134="","",ROUND(main!AH134*100,6))</f>
        <v/>
      </c>
      <c r="W131" s="68" t="str">
        <f>IF(main!AI134="","",ROUND(main!AI134*100,6))</f>
        <v/>
      </c>
      <c r="X131" s="68" t="str">
        <f>IF(main!AJ134="","",ROUND(main!AJ134*100,6))</f>
        <v/>
      </c>
      <c r="Y131" s="68" t="str">
        <f>IF(main!AK134="","",ROUND(main!AK134*100,6))</f>
        <v/>
      </c>
      <c r="Z131" s="68" t="str">
        <f>IF(main!AL134="","",ROUND(main!AL134*100,6))</f>
        <v/>
      </c>
      <c r="AA131" s="68" t="str">
        <f>IF(main!AM134="","",ROUND(main!AM134*100,6))</f>
        <v/>
      </c>
      <c r="AB131" s="68" t="str">
        <f>IF(main!AN134="","",ROUND(main!AN134*100,6))</f>
        <v/>
      </c>
      <c r="AC131" s="68" t="str">
        <f>IF(main!AO134="","",ROUND(main!AO134*100,6))</f>
        <v/>
      </c>
      <c r="AD131" s="68" t="str">
        <f>IF(main!AP134="","",ROUND(main!AP134*100,6))</f>
        <v/>
      </c>
      <c r="AE131" s="68" t="str">
        <f>IF(main!AQ134="","",ROUND(main!AQ134*100,6))</f>
        <v/>
      </c>
      <c r="AF131" s="68" t="str">
        <f>IF(main!AR134="","",ROUND(main!AR134*100,6))</f>
        <v/>
      </c>
      <c r="AG131" s="68" t="str">
        <f>IF(main!AS134="","",ROUND(main!AS134*100,6))</f>
        <v/>
      </c>
      <c r="AH131" s="68" t="str">
        <f>IF(main!AT134="","",ROUND(main!AT134*100,6))</f>
        <v/>
      </c>
      <c r="AI131" s="68" t="str">
        <f>IF(main!AU134="","",ROUND(main!AU134*100,6))</f>
        <v/>
      </c>
      <c r="AJ131" s="68" t="str">
        <f>IF(main!AV134="","",ROUND(main!AV134*100,6))</f>
        <v/>
      </c>
      <c r="AK131" s="68" t="str">
        <f>IF(main!AW134="","",ROUND(main!AW134*100,6))</f>
        <v/>
      </c>
      <c r="AL131" s="68" t="str">
        <f>IF(main!AX134="","",ROUND(main!AX134*100,6))</f>
        <v/>
      </c>
      <c r="AM131" s="68" t="str">
        <f>IF(main!AY134="","",ROUND(main!AY134*100,6))</f>
        <v/>
      </c>
      <c r="AN131" s="68" t="str">
        <f>IF(main!AZ134="","",ROUND(main!AZ134*100,6))</f>
        <v/>
      </c>
      <c r="AO131" s="68" t="str">
        <f>IF(main!BA134="","",ROUND(main!BA134*100,6))</f>
        <v/>
      </c>
      <c r="AP131" s="68" t="str">
        <f>IF(main!BB134="","",ROUND(main!BB134*100,6))</f>
        <v/>
      </c>
      <c r="AQ131" s="68" t="str">
        <f>IF(main!BC134="","",ROUND(main!BC134*100,6))</f>
        <v/>
      </c>
      <c r="AR131" s="68" t="str">
        <f>IF(main!BD134="","",ROUND(main!BD134*100,6))</f>
        <v/>
      </c>
      <c r="AS131" s="68" t="str">
        <f>IF(main!BE134="","",ROUND(main!BE134*100,6))</f>
        <v/>
      </c>
      <c r="AT131" s="68" t="str">
        <f>IF(main!BF134="","",ROUND(main!BF134*100,6))</f>
        <v/>
      </c>
      <c r="AU131" s="68" t="str">
        <f>IF(main!BG134="","",ROUND(main!BG134*100,6))</f>
        <v/>
      </c>
      <c r="AV131" s="68" t="str">
        <f>IF(main!BH134="","",ROUND(main!BH134*100,6))</f>
        <v/>
      </c>
      <c r="AW131" s="68" t="str">
        <f>IF(main!BI134="","",ROUND(main!BI134*100,6))</f>
        <v/>
      </c>
      <c r="AX131" s="68" t="str">
        <f>IF(main!BJ134="","",ROUND(main!BJ134*100,6))</f>
        <v/>
      </c>
      <c r="AY131" s="68" t="str">
        <f>IF(main!BK134="","",ROUND(main!BK134*100,6))</f>
        <v/>
      </c>
      <c r="AZ131" s="68" t="str">
        <f>IF(main!BL134="","",ROUND(main!BL134*100,6))</f>
        <v/>
      </c>
      <c r="BA131" s="68" t="str">
        <f>IF(main!BM134="","",ROUND(main!BM134*100,6))</f>
        <v/>
      </c>
      <c r="BB131" s="68" t="str">
        <f>IF(main!BN134="","",ROUND(main!BN134*100,6))</f>
        <v/>
      </c>
      <c r="BC131" s="68" t="str">
        <f>IF(main!BO134="","",ROUND(main!BO134*100,6))</f>
        <v/>
      </c>
      <c r="BD131" s="68" t="str">
        <f>IF(main!BP134="","",ROUND(main!BP134*100,6))</f>
        <v/>
      </c>
      <c r="BE131" s="68" t="str">
        <f>IF(main!BQ134="","",ROUND(main!BQ134*100,6))</f>
        <v/>
      </c>
      <c r="BF131" s="68" t="str">
        <f>IF(main!BR134="","",ROUND(main!BR134*100,6))</f>
        <v/>
      </c>
      <c r="BG131" s="68" t="str">
        <f>IF(main!BS134="","",ROUND(main!BS134*100,6))</f>
        <v/>
      </c>
      <c r="BH131" s="68" t="str">
        <f>IF(main!BT134="","",ROUND(main!BT134*100,6))</f>
        <v/>
      </c>
      <c r="BI131" s="68" t="str">
        <f>IF(main!BU134="","",ROUND(main!BU134*100,6))</f>
        <v/>
      </c>
      <c r="BJ131" s="68" t="str">
        <f>IF(main!BV134="","",ROUND(main!BV134*100,6))</f>
        <v/>
      </c>
      <c r="BK131" s="68" t="str">
        <f>IF(main!BW134="","",ROUND(main!BW134*100,6))</f>
        <v/>
      </c>
      <c r="BL131" s="68" t="str">
        <f>IF(main!BX134="","",ROUND(main!BX134*100,6))</f>
        <v/>
      </c>
      <c r="BM131" s="68" t="str">
        <f>IF(main!BY134="","",ROUND(main!BY134*100,6))</f>
        <v/>
      </c>
      <c r="BN131" s="68" t="str">
        <f>IF(main!BZ134="","",ROUND(main!BZ134*100,6))</f>
        <v/>
      </c>
      <c r="BO131" s="68" t="str">
        <f>IF(main!CA134="","",ROUND(main!CA134*100,6))</f>
        <v/>
      </c>
      <c r="BP131" s="68" t="str">
        <f>IF(main!CB134="","",ROUND(main!CB134*100,6))</f>
        <v/>
      </c>
      <c r="BQ131" s="68" t="str">
        <f>IF(main!CC134="","",ROUND(main!CC134*100,6))</f>
        <v/>
      </c>
      <c r="BR131" s="68" t="str">
        <f>IF(main!CD134="","",ROUND(main!CD134*100,6))</f>
        <v/>
      </c>
      <c r="BS131" s="68" t="str">
        <f>IF(main!CE134="","",ROUND(main!CE134*100,6))</f>
        <v/>
      </c>
      <c r="BT131" s="68" t="str">
        <f>IF(main!CF134="","",ROUND(main!CF134*100,6))</f>
        <v/>
      </c>
      <c r="BU131" s="68" t="str">
        <f>IF(main!CG134="","",ROUND(main!CG134*100,6))</f>
        <v/>
      </c>
      <c r="BV131" s="68" t="str">
        <f>IF(main!CH134="","",ROUND(main!CH134*100,6))</f>
        <v/>
      </c>
      <c r="BW131" s="68" t="str">
        <f>IF(main!CI134="","",ROUND(main!CI134*100,6))</f>
        <v/>
      </c>
      <c r="BX131" s="68" t="str">
        <f>IF(main!CJ134="","",ROUND(main!CJ134*100,6))</f>
        <v/>
      </c>
      <c r="BY131" s="68" t="str">
        <f>IF(main!CK134="","",ROUND(main!CK134*100,6))</f>
        <v/>
      </c>
      <c r="BZ131" s="68" t="str">
        <f>IF(main!CL134="","",ROUND(main!CL134*100,6))</f>
        <v/>
      </c>
      <c r="CA131" s="68" t="str">
        <f>IF(main!CM134="","",ROUND(main!CM134*100,6))</f>
        <v/>
      </c>
      <c r="CB131" s="68" t="str">
        <f>IF(main!CN134="","",ROUND(main!CN134*100,6))</f>
        <v/>
      </c>
      <c r="CC131" s="68" t="str">
        <f>IF(main!CO134="","",ROUND(main!CO134*100,6))</f>
        <v/>
      </c>
    </row>
    <row r="132" spans="1:81" x14ac:dyDescent="0.25">
      <c r="A132" s="65" t="s">
        <v>274</v>
      </c>
      <c r="B132" s="66" t="str">
        <f>main!C135</f>
        <v>Entrance</v>
      </c>
      <c r="C132" s="67">
        <f>main!O135</f>
        <v>600000</v>
      </c>
      <c r="D132" s="65" t="s">
        <v>110</v>
      </c>
      <c r="E132" s="68">
        <f t="shared" si="2"/>
        <v>99.999999000000003</v>
      </c>
      <c r="F132" s="68" t="str">
        <f>IF(main!R135="","",ROUND(main!R135*100,6))</f>
        <v/>
      </c>
      <c r="G132" s="68" t="str">
        <f>IF(main!S135="","",ROUND(main!S135*100,6))</f>
        <v/>
      </c>
      <c r="H132" s="68" t="str">
        <f>IF(main!T135="","",ROUND(main!T135*100,6))</f>
        <v/>
      </c>
      <c r="I132" s="68" t="str">
        <f>IF(main!U135="","",ROUND(main!U135*100,6))</f>
        <v/>
      </c>
      <c r="J132" s="68" t="str">
        <f>IF(main!V135="","",ROUND(main!V135*100,6))</f>
        <v/>
      </c>
      <c r="K132" s="68" t="str">
        <f>IF(main!W135="","",ROUND(main!W135*100,6))</f>
        <v/>
      </c>
      <c r="L132" s="68" t="str">
        <f>IF(main!X135="","",ROUND(main!X135*100,6))</f>
        <v/>
      </c>
      <c r="M132" s="68" t="str">
        <f>IF(main!Y135="","",ROUND(main!Y135*100,6))</f>
        <v/>
      </c>
      <c r="N132" s="68" t="str">
        <f>IF(main!Z135="","",ROUND(main!Z135*100,6))</f>
        <v/>
      </c>
      <c r="O132" s="68" t="str">
        <f>IF(main!AA135="","",ROUND(main!AA135*100,6))</f>
        <v/>
      </c>
      <c r="P132" s="68" t="str">
        <f>IF(main!AB135="","",ROUND(main!AB135*100,6))</f>
        <v/>
      </c>
      <c r="Q132" s="68" t="str">
        <f>IF(main!AC135="","",ROUND(main!AC135*100,6))</f>
        <v/>
      </c>
      <c r="R132" s="68" t="str">
        <f>IF(main!AD135="","",ROUND(main!AD135*100,6))</f>
        <v/>
      </c>
      <c r="S132" s="68" t="str">
        <f>IF(main!AE135="","",ROUND(main!AE135*100,6))</f>
        <v/>
      </c>
      <c r="T132" s="68" t="str">
        <f>IF(main!AF135="","",ROUND(main!AF135*100,6))</f>
        <v/>
      </c>
      <c r="U132" s="68" t="str">
        <f>IF(main!AG135="","",ROUND(main!AG135*100,6))</f>
        <v/>
      </c>
      <c r="V132" s="68" t="str">
        <f>IF(main!AH135="","",ROUND(main!AH135*100,6))</f>
        <v/>
      </c>
      <c r="W132" s="68" t="str">
        <f>IF(main!AI135="","",ROUND(main!AI135*100,6))</f>
        <v/>
      </c>
      <c r="X132" s="68" t="str">
        <f>IF(main!AJ135="","",ROUND(main!AJ135*100,6))</f>
        <v/>
      </c>
      <c r="Y132" s="68" t="str">
        <f>IF(main!AK135="","",ROUND(main!AK135*100,6))</f>
        <v/>
      </c>
      <c r="Z132" s="68" t="str">
        <f>IF(main!AL135="","",ROUND(main!AL135*100,6))</f>
        <v/>
      </c>
      <c r="AA132" s="68" t="str">
        <f>IF(main!AM135="","",ROUND(main!AM135*100,6))</f>
        <v/>
      </c>
      <c r="AB132" s="68" t="str">
        <f>IF(main!AN135="","",ROUND(main!AN135*100,6))</f>
        <v/>
      </c>
      <c r="AC132" s="68" t="str">
        <f>IF(main!AO135="","",ROUND(main!AO135*100,6))</f>
        <v/>
      </c>
      <c r="AD132" s="68" t="str">
        <f>IF(main!AP135="","",ROUND(main!AP135*100,6))</f>
        <v/>
      </c>
      <c r="AE132" s="68" t="str">
        <f>IF(main!AQ135="","",ROUND(main!AQ135*100,6))</f>
        <v/>
      </c>
      <c r="AF132" s="68" t="str">
        <f>IF(main!AR135="","",ROUND(main!AR135*100,6))</f>
        <v/>
      </c>
      <c r="AG132" s="68" t="str">
        <f>IF(main!AS135="","",ROUND(main!AS135*100,6))</f>
        <v/>
      </c>
      <c r="AH132" s="68" t="str">
        <f>IF(main!AT135="","",ROUND(main!AT135*100,6))</f>
        <v/>
      </c>
      <c r="AI132" s="68" t="str">
        <f>IF(main!AU135="","",ROUND(main!AU135*100,6))</f>
        <v/>
      </c>
      <c r="AJ132" s="68" t="str">
        <f>IF(main!AV135="","",ROUND(main!AV135*100,6))</f>
        <v/>
      </c>
      <c r="AK132" s="68" t="str">
        <f>IF(main!AW135="","",ROUND(main!AW135*100,6))</f>
        <v/>
      </c>
      <c r="AL132" s="68" t="str">
        <f>IF(main!AX135="","",ROUND(main!AX135*100,6))</f>
        <v/>
      </c>
      <c r="AM132" s="68" t="str">
        <f>IF(main!AY135="","",ROUND(main!AY135*100,6))</f>
        <v/>
      </c>
      <c r="AN132" s="68" t="str">
        <f>IF(main!AZ135="","",ROUND(main!AZ135*100,6))</f>
        <v/>
      </c>
      <c r="AO132" s="68" t="str">
        <f>IF(main!BA135="","",ROUND(main!BA135*100,6))</f>
        <v/>
      </c>
      <c r="AP132" s="68" t="str">
        <f>IF(main!BB135="","",ROUND(main!BB135*100,6))</f>
        <v/>
      </c>
      <c r="AQ132" s="68" t="str">
        <f>IF(main!BC135="","",ROUND(main!BC135*100,6))</f>
        <v/>
      </c>
      <c r="AR132" s="68" t="str">
        <f>IF(main!BD135="","",ROUND(main!BD135*100,6))</f>
        <v/>
      </c>
      <c r="AS132" s="68" t="str">
        <f>IF(main!BE135="","",ROUND(main!BE135*100,6))</f>
        <v/>
      </c>
      <c r="AT132" s="68" t="str">
        <f>IF(main!BF135="","",ROUND(main!BF135*100,6))</f>
        <v/>
      </c>
      <c r="AU132" s="68" t="str">
        <f>IF(main!BG135="","",ROUND(main!BG135*100,6))</f>
        <v/>
      </c>
      <c r="AV132" s="68" t="str">
        <f>IF(main!BH135="","",ROUND(main!BH135*100,6))</f>
        <v/>
      </c>
      <c r="AW132" s="68" t="str">
        <f>IF(main!BI135="","",ROUND(main!BI135*100,6))</f>
        <v/>
      </c>
      <c r="AX132" s="68" t="str">
        <f>IF(main!BJ135="","",ROUND(main!BJ135*100,6))</f>
        <v/>
      </c>
      <c r="AY132" s="68" t="str">
        <f>IF(main!BK135="","",ROUND(main!BK135*100,6))</f>
        <v/>
      </c>
      <c r="AZ132" s="68" t="str">
        <f>IF(main!BL135="","",ROUND(main!BL135*100,6))</f>
        <v/>
      </c>
      <c r="BA132" s="68">
        <f>IF(main!BM135="","",ROUND(main!BM135*100,6))</f>
        <v>2.9040400000000002</v>
      </c>
      <c r="BB132" s="68">
        <f>IF(main!BN135="","",ROUND(main!BN135*100,6))</f>
        <v>20.328282999999999</v>
      </c>
      <c r="BC132" s="68">
        <f>IF(main!BO135="","",ROUND(main!BO135*100,6))</f>
        <v>23.063973000000001</v>
      </c>
      <c r="BD132" s="68">
        <f>IF(main!BP135="","",ROUND(main!BP135*100,6))</f>
        <v>25.26455</v>
      </c>
      <c r="BE132" s="68">
        <f>IF(main!BQ135="","",ROUND(main!BQ135*100,6))</f>
        <v>21.296296000000002</v>
      </c>
      <c r="BF132" s="68">
        <f>IF(main!BR135="","",ROUND(main!BR135*100,6))</f>
        <v>7.1428570000000002</v>
      </c>
      <c r="BG132" s="68" t="str">
        <f>IF(main!BS135="","",ROUND(main!BS135*100,6))</f>
        <v/>
      </c>
      <c r="BH132" s="68" t="str">
        <f>IF(main!BT135="","",ROUND(main!BT135*100,6))</f>
        <v/>
      </c>
      <c r="BI132" s="68" t="str">
        <f>IF(main!BU135="","",ROUND(main!BU135*100,6))</f>
        <v/>
      </c>
      <c r="BJ132" s="68" t="str">
        <f>IF(main!BV135="","",ROUND(main!BV135*100,6))</f>
        <v/>
      </c>
      <c r="BK132" s="68" t="str">
        <f>IF(main!BW135="","",ROUND(main!BW135*100,6))</f>
        <v/>
      </c>
      <c r="BL132" s="68" t="str">
        <f>IF(main!BX135="","",ROUND(main!BX135*100,6))</f>
        <v/>
      </c>
      <c r="BM132" s="68" t="str">
        <f>IF(main!BY135="","",ROUND(main!BY135*100,6))</f>
        <v/>
      </c>
      <c r="BN132" s="68" t="str">
        <f>IF(main!BZ135="","",ROUND(main!BZ135*100,6))</f>
        <v/>
      </c>
      <c r="BO132" s="68" t="str">
        <f>IF(main!CA135="","",ROUND(main!CA135*100,6))</f>
        <v/>
      </c>
      <c r="BP132" s="68" t="str">
        <f>IF(main!CB135="","",ROUND(main!CB135*100,6))</f>
        <v/>
      </c>
      <c r="BQ132" s="68" t="str">
        <f>IF(main!CC135="","",ROUND(main!CC135*100,6))</f>
        <v/>
      </c>
      <c r="BR132" s="68" t="str">
        <f>IF(main!CD135="","",ROUND(main!CD135*100,6))</f>
        <v/>
      </c>
      <c r="BS132" s="68" t="str">
        <f>IF(main!CE135="","",ROUND(main!CE135*100,6))</f>
        <v/>
      </c>
      <c r="BT132" s="68" t="str">
        <f>IF(main!CF135="","",ROUND(main!CF135*100,6))</f>
        <v/>
      </c>
      <c r="BU132" s="68" t="str">
        <f>IF(main!CG135="","",ROUND(main!CG135*100,6))</f>
        <v/>
      </c>
      <c r="BV132" s="68" t="str">
        <f>IF(main!CH135="","",ROUND(main!CH135*100,6))</f>
        <v/>
      </c>
      <c r="BW132" s="68" t="str">
        <f>IF(main!CI135="","",ROUND(main!CI135*100,6))</f>
        <v/>
      </c>
      <c r="BX132" s="68" t="str">
        <f>IF(main!CJ135="","",ROUND(main!CJ135*100,6))</f>
        <v/>
      </c>
      <c r="BY132" s="68" t="str">
        <f>IF(main!CK135="","",ROUND(main!CK135*100,6))</f>
        <v/>
      </c>
      <c r="BZ132" s="68" t="str">
        <f>IF(main!CL135="","",ROUND(main!CL135*100,6))</f>
        <v/>
      </c>
      <c r="CA132" s="68" t="str">
        <f>IF(main!CM135="","",ROUND(main!CM135*100,6))</f>
        <v/>
      </c>
      <c r="CB132" s="68" t="str">
        <f>IF(main!CN135="","",ROUND(main!CN135*100,6))</f>
        <v/>
      </c>
      <c r="CC132" s="68" t="str">
        <f>IF(main!CO135="","",ROUND(main!CO135*100,6))</f>
        <v/>
      </c>
    </row>
    <row r="133" spans="1:81" x14ac:dyDescent="0.25">
      <c r="A133" s="65" t="s">
        <v>274</v>
      </c>
      <c r="B133" s="66" t="str">
        <f>main!C135</f>
        <v>Entrance</v>
      </c>
      <c r="C133" s="67">
        <f>main!O135</f>
        <v>600000</v>
      </c>
      <c r="D133" s="65" t="s">
        <v>111</v>
      </c>
      <c r="E133" s="68" t="str">
        <f t="shared" si="2"/>
        <v/>
      </c>
      <c r="F133" s="68" t="str">
        <f>IF(main!R136="","",ROUND(main!R136*100,6))</f>
        <v/>
      </c>
      <c r="G133" s="68" t="str">
        <f>IF(main!S136="","",ROUND(main!S136*100,6))</f>
        <v/>
      </c>
      <c r="H133" s="68" t="str">
        <f>IF(main!T136="","",ROUND(main!T136*100,6))</f>
        <v/>
      </c>
      <c r="I133" s="68" t="str">
        <f>IF(main!U136="","",ROUND(main!U136*100,6))</f>
        <v/>
      </c>
      <c r="J133" s="68" t="str">
        <f>IF(main!V136="","",ROUND(main!V136*100,6))</f>
        <v/>
      </c>
      <c r="K133" s="68" t="str">
        <f>IF(main!W136="","",ROUND(main!W136*100,6))</f>
        <v/>
      </c>
      <c r="L133" s="68" t="str">
        <f>IF(main!X136="","",ROUND(main!X136*100,6))</f>
        <v/>
      </c>
      <c r="M133" s="68" t="str">
        <f>IF(main!Y136="","",ROUND(main!Y136*100,6))</f>
        <v/>
      </c>
      <c r="N133" s="68" t="str">
        <f>IF(main!Z136="","",ROUND(main!Z136*100,6))</f>
        <v/>
      </c>
      <c r="O133" s="68" t="str">
        <f>IF(main!AA136="","",ROUND(main!AA136*100,6))</f>
        <v/>
      </c>
      <c r="P133" s="68" t="str">
        <f>IF(main!AB136="","",ROUND(main!AB136*100,6))</f>
        <v/>
      </c>
      <c r="Q133" s="68" t="str">
        <f>IF(main!AC136="","",ROUND(main!AC136*100,6))</f>
        <v/>
      </c>
      <c r="R133" s="68" t="str">
        <f>IF(main!AD136="","",ROUND(main!AD136*100,6))</f>
        <v/>
      </c>
      <c r="S133" s="68" t="str">
        <f>IF(main!AE136="","",ROUND(main!AE136*100,6))</f>
        <v/>
      </c>
      <c r="T133" s="68" t="str">
        <f>IF(main!AF136="","",ROUND(main!AF136*100,6))</f>
        <v/>
      </c>
      <c r="U133" s="68" t="str">
        <f>IF(main!AG136="","",ROUND(main!AG136*100,6))</f>
        <v/>
      </c>
      <c r="V133" s="68" t="str">
        <f>IF(main!AH136="","",ROUND(main!AH136*100,6))</f>
        <v/>
      </c>
      <c r="W133" s="68" t="str">
        <f>IF(main!AI136="","",ROUND(main!AI136*100,6))</f>
        <v/>
      </c>
      <c r="X133" s="68" t="str">
        <f>IF(main!AJ136="","",ROUND(main!AJ136*100,6))</f>
        <v/>
      </c>
      <c r="Y133" s="68" t="str">
        <f>IF(main!AK136="","",ROUND(main!AK136*100,6))</f>
        <v/>
      </c>
      <c r="Z133" s="68" t="str">
        <f>IF(main!AL136="","",ROUND(main!AL136*100,6))</f>
        <v/>
      </c>
      <c r="AA133" s="68" t="str">
        <f>IF(main!AM136="","",ROUND(main!AM136*100,6))</f>
        <v/>
      </c>
      <c r="AB133" s="68" t="str">
        <f>IF(main!AN136="","",ROUND(main!AN136*100,6))</f>
        <v/>
      </c>
      <c r="AC133" s="68" t="str">
        <f>IF(main!AO136="","",ROUND(main!AO136*100,6))</f>
        <v/>
      </c>
      <c r="AD133" s="68" t="str">
        <f>IF(main!AP136="","",ROUND(main!AP136*100,6))</f>
        <v/>
      </c>
      <c r="AE133" s="68" t="str">
        <f>IF(main!AQ136="","",ROUND(main!AQ136*100,6))</f>
        <v/>
      </c>
      <c r="AF133" s="68" t="str">
        <f>IF(main!AR136="","",ROUND(main!AR136*100,6))</f>
        <v/>
      </c>
      <c r="AG133" s="68" t="str">
        <f>IF(main!AS136="","",ROUND(main!AS136*100,6))</f>
        <v/>
      </c>
      <c r="AH133" s="68" t="str">
        <f>IF(main!AT136="","",ROUND(main!AT136*100,6))</f>
        <v/>
      </c>
      <c r="AI133" s="68" t="str">
        <f>IF(main!AU136="","",ROUND(main!AU136*100,6))</f>
        <v/>
      </c>
      <c r="AJ133" s="68" t="str">
        <f>IF(main!AV136="","",ROUND(main!AV136*100,6))</f>
        <v/>
      </c>
      <c r="AK133" s="68" t="str">
        <f>IF(main!AW136="","",ROUND(main!AW136*100,6))</f>
        <v/>
      </c>
      <c r="AL133" s="68" t="str">
        <f>IF(main!AX136="","",ROUND(main!AX136*100,6))</f>
        <v/>
      </c>
      <c r="AM133" s="68" t="str">
        <f>IF(main!AY136="","",ROUND(main!AY136*100,6))</f>
        <v/>
      </c>
      <c r="AN133" s="68" t="str">
        <f>IF(main!AZ136="","",ROUND(main!AZ136*100,6))</f>
        <v/>
      </c>
      <c r="AO133" s="68" t="str">
        <f>IF(main!BA136="","",ROUND(main!BA136*100,6))</f>
        <v/>
      </c>
      <c r="AP133" s="68" t="str">
        <f>IF(main!BB136="","",ROUND(main!BB136*100,6))</f>
        <v/>
      </c>
      <c r="AQ133" s="68" t="str">
        <f>IF(main!BC136="","",ROUND(main!BC136*100,6))</f>
        <v/>
      </c>
      <c r="AR133" s="68" t="str">
        <f>IF(main!BD136="","",ROUND(main!BD136*100,6))</f>
        <v/>
      </c>
      <c r="AS133" s="68" t="str">
        <f>IF(main!BE136="","",ROUND(main!BE136*100,6))</f>
        <v/>
      </c>
      <c r="AT133" s="68" t="str">
        <f>IF(main!BF136="","",ROUND(main!BF136*100,6))</f>
        <v/>
      </c>
      <c r="AU133" s="68" t="str">
        <f>IF(main!BG136="","",ROUND(main!BG136*100,6))</f>
        <v/>
      </c>
      <c r="AV133" s="68" t="str">
        <f>IF(main!BH136="","",ROUND(main!BH136*100,6))</f>
        <v/>
      </c>
      <c r="AW133" s="68" t="str">
        <f>IF(main!BI136="","",ROUND(main!BI136*100,6))</f>
        <v/>
      </c>
      <c r="AX133" s="68" t="str">
        <f>IF(main!BJ136="","",ROUND(main!BJ136*100,6))</f>
        <v/>
      </c>
      <c r="AY133" s="68" t="str">
        <f>IF(main!BK136="","",ROUND(main!BK136*100,6))</f>
        <v/>
      </c>
      <c r="AZ133" s="68" t="str">
        <f>IF(main!BL136="","",ROUND(main!BL136*100,6))</f>
        <v/>
      </c>
      <c r="BA133" s="68" t="str">
        <f>IF(main!BM136="","",ROUND(main!BM136*100,6))</f>
        <v/>
      </c>
      <c r="BB133" s="68" t="str">
        <f>IF(main!BN136="","",ROUND(main!BN136*100,6))</f>
        <v/>
      </c>
      <c r="BC133" s="68" t="str">
        <f>IF(main!BO136="","",ROUND(main!BO136*100,6))</f>
        <v/>
      </c>
      <c r="BD133" s="68" t="str">
        <f>IF(main!BP136="","",ROUND(main!BP136*100,6))</f>
        <v/>
      </c>
      <c r="BE133" s="68" t="str">
        <f>IF(main!BQ136="","",ROUND(main!BQ136*100,6))</f>
        <v/>
      </c>
      <c r="BF133" s="68" t="str">
        <f>IF(main!BR136="","",ROUND(main!BR136*100,6))</f>
        <v/>
      </c>
      <c r="BG133" s="68" t="str">
        <f>IF(main!BS136="","",ROUND(main!BS136*100,6))</f>
        <v/>
      </c>
      <c r="BH133" s="68" t="str">
        <f>IF(main!BT136="","",ROUND(main!BT136*100,6))</f>
        <v/>
      </c>
      <c r="BI133" s="68" t="str">
        <f>IF(main!BU136="","",ROUND(main!BU136*100,6))</f>
        <v/>
      </c>
      <c r="BJ133" s="68" t="str">
        <f>IF(main!BV136="","",ROUND(main!BV136*100,6))</f>
        <v/>
      </c>
      <c r="BK133" s="68" t="str">
        <f>IF(main!BW136="","",ROUND(main!BW136*100,6))</f>
        <v/>
      </c>
      <c r="BL133" s="68" t="str">
        <f>IF(main!BX136="","",ROUND(main!BX136*100,6))</f>
        <v/>
      </c>
      <c r="BM133" s="68" t="str">
        <f>IF(main!BY136="","",ROUND(main!BY136*100,6))</f>
        <v/>
      </c>
      <c r="BN133" s="68" t="str">
        <f>IF(main!BZ136="","",ROUND(main!BZ136*100,6))</f>
        <v/>
      </c>
      <c r="BO133" s="68" t="str">
        <f>IF(main!CA136="","",ROUND(main!CA136*100,6))</f>
        <v/>
      </c>
      <c r="BP133" s="68" t="str">
        <f>IF(main!CB136="","",ROUND(main!CB136*100,6))</f>
        <v/>
      </c>
      <c r="BQ133" s="68" t="str">
        <f>IF(main!CC136="","",ROUND(main!CC136*100,6))</f>
        <v/>
      </c>
      <c r="BR133" s="68" t="str">
        <f>IF(main!CD136="","",ROUND(main!CD136*100,6))</f>
        <v/>
      </c>
      <c r="BS133" s="68" t="str">
        <f>IF(main!CE136="","",ROUND(main!CE136*100,6))</f>
        <v/>
      </c>
      <c r="BT133" s="68" t="str">
        <f>IF(main!CF136="","",ROUND(main!CF136*100,6))</f>
        <v/>
      </c>
      <c r="BU133" s="68" t="str">
        <f>IF(main!CG136="","",ROUND(main!CG136*100,6))</f>
        <v/>
      </c>
      <c r="BV133" s="68" t="str">
        <f>IF(main!CH136="","",ROUND(main!CH136*100,6))</f>
        <v/>
      </c>
      <c r="BW133" s="68" t="str">
        <f>IF(main!CI136="","",ROUND(main!CI136*100,6))</f>
        <v/>
      </c>
      <c r="BX133" s="68" t="str">
        <f>IF(main!CJ136="","",ROUND(main!CJ136*100,6))</f>
        <v/>
      </c>
      <c r="BY133" s="68" t="str">
        <f>IF(main!CK136="","",ROUND(main!CK136*100,6))</f>
        <v/>
      </c>
      <c r="BZ133" s="68" t="str">
        <f>IF(main!CL136="","",ROUND(main!CL136*100,6))</f>
        <v/>
      </c>
      <c r="CA133" s="68" t="str">
        <f>IF(main!CM136="","",ROUND(main!CM136*100,6))</f>
        <v/>
      </c>
      <c r="CB133" s="68" t="str">
        <f>IF(main!CN136="","",ROUND(main!CN136*100,6))</f>
        <v/>
      </c>
      <c r="CC133" s="68" t="str">
        <f>IF(main!CO136="","",ROUND(main!CO136*100,6))</f>
        <v/>
      </c>
    </row>
    <row r="134" spans="1:81" x14ac:dyDescent="0.25">
      <c r="A134" s="65" t="s">
        <v>276</v>
      </c>
      <c r="B134" s="66" t="str">
        <f>main!C137</f>
        <v>ทางเข้าบันไดหลัก 1</v>
      </c>
      <c r="C134" s="67">
        <f>main!O137</f>
        <v>100000</v>
      </c>
      <c r="D134" s="65" t="s">
        <v>110</v>
      </c>
      <c r="E134" s="68">
        <f t="shared" si="2"/>
        <v>99.999999000000003</v>
      </c>
      <c r="F134" s="68" t="str">
        <f>IF(main!R137="","",ROUND(main!R137*100,6))</f>
        <v/>
      </c>
      <c r="G134" s="68" t="str">
        <f>IF(main!S137="","",ROUND(main!S137*100,6))</f>
        <v/>
      </c>
      <c r="H134" s="68" t="str">
        <f>IF(main!T137="","",ROUND(main!T137*100,6))</f>
        <v/>
      </c>
      <c r="I134" s="68" t="str">
        <f>IF(main!U137="","",ROUND(main!U137*100,6))</f>
        <v/>
      </c>
      <c r="J134" s="68" t="str">
        <f>IF(main!V137="","",ROUND(main!V137*100,6))</f>
        <v/>
      </c>
      <c r="K134" s="68" t="str">
        <f>IF(main!W137="","",ROUND(main!W137*100,6))</f>
        <v/>
      </c>
      <c r="L134" s="68" t="str">
        <f>IF(main!X137="","",ROUND(main!X137*100,6))</f>
        <v/>
      </c>
      <c r="M134" s="68" t="str">
        <f>IF(main!Y137="","",ROUND(main!Y137*100,6))</f>
        <v/>
      </c>
      <c r="N134" s="68" t="str">
        <f>IF(main!Z137="","",ROUND(main!Z137*100,6))</f>
        <v/>
      </c>
      <c r="O134" s="68" t="str">
        <f>IF(main!AA137="","",ROUND(main!AA137*100,6))</f>
        <v/>
      </c>
      <c r="P134" s="68" t="str">
        <f>IF(main!AB137="","",ROUND(main!AB137*100,6))</f>
        <v/>
      </c>
      <c r="Q134" s="68" t="str">
        <f>IF(main!AC137="","",ROUND(main!AC137*100,6))</f>
        <v/>
      </c>
      <c r="R134" s="68" t="str">
        <f>IF(main!AD137="","",ROUND(main!AD137*100,6))</f>
        <v/>
      </c>
      <c r="S134" s="68" t="str">
        <f>IF(main!AE137="","",ROUND(main!AE137*100,6))</f>
        <v/>
      </c>
      <c r="T134" s="68" t="str">
        <f>IF(main!AF137="","",ROUND(main!AF137*100,6))</f>
        <v/>
      </c>
      <c r="U134" s="68" t="str">
        <f>IF(main!AG137="","",ROUND(main!AG137*100,6))</f>
        <v/>
      </c>
      <c r="V134" s="68" t="str">
        <f>IF(main!AH137="","",ROUND(main!AH137*100,6))</f>
        <v/>
      </c>
      <c r="W134" s="68" t="str">
        <f>IF(main!AI137="","",ROUND(main!AI137*100,6))</f>
        <v/>
      </c>
      <c r="X134" s="68" t="str">
        <f>IF(main!AJ137="","",ROUND(main!AJ137*100,6))</f>
        <v/>
      </c>
      <c r="Y134" s="68" t="str">
        <f>IF(main!AK137="","",ROUND(main!AK137*100,6))</f>
        <v/>
      </c>
      <c r="Z134" s="68" t="str">
        <f>IF(main!AL137="","",ROUND(main!AL137*100,6))</f>
        <v/>
      </c>
      <c r="AA134" s="68" t="str">
        <f>IF(main!AM137="","",ROUND(main!AM137*100,6))</f>
        <v/>
      </c>
      <c r="AB134" s="68" t="str">
        <f>IF(main!AN137="","",ROUND(main!AN137*100,6))</f>
        <v/>
      </c>
      <c r="AC134" s="68" t="str">
        <f>IF(main!AO137="","",ROUND(main!AO137*100,6))</f>
        <v/>
      </c>
      <c r="AD134" s="68" t="str">
        <f>IF(main!AP137="","",ROUND(main!AP137*100,6))</f>
        <v/>
      </c>
      <c r="AE134" s="68" t="str">
        <f>IF(main!AQ137="","",ROUND(main!AQ137*100,6))</f>
        <v/>
      </c>
      <c r="AF134" s="68" t="str">
        <f>IF(main!AR137="","",ROUND(main!AR137*100,6))</f>
        <v/>
      </c>
      <c r="AG134" s="68" t="str">
        <f>IF(main!AS137="","",ROUND(main!AS137*100,6))</f>
        <v/>
      </c>
      <c r="AH134" s="68" t="str">
        <f>IF(main!AT137="","",ROUND(main!AT137*100,6))</f>
        <v/>
      </c>
      <c r="AI134" s="68" t="str">
        <f>IF(main!AU137="","",ROUND(main!AU137*100,6))</f>
        <v/>
      </c>
      <c r="AJ134" s="68" t="str">
        <f>IF(main!AV137="","",ROUND(main!AV137*100,6))</f>
        <v/>
      </c>
      <c r="AK134" s="68" t="str">
        <f>IF(main!AW137="","",ROUND(main!AW137*100,6))</f>
        <v/>
      </c>
      <c r="AL134" s="68" t="str">
        <f>IF(main!AX137="","",ROUND(main!AX137*100,6))</f>
        <v/>
      </c>
      <c r="AM134" s="68" t="str">
        <f>IF(main!AY137="","",ROUND(main!AY137*100,6))</f>
        <v/>
      </c>
      <c r="AN134" s="68" t="str">
        <f>IF(main!AZ137="","",ROUND(main!AZ137*100,6))</f>
        <v/>
      </c>
      <c r="AO134" s="68" t="str">
        <f>IF(main!BA137="","",ROUND(main!BA137*100,6))</f>
        <v/>
      </c>
      <c r="AP134" s="68" t="str">
        <f>IF(main!BB137="","",ROUND(main!BB137*100,6))</f>
        <v/>
      </c>
      <c r="AQ134" s="68" t="str">
        <f>IF(main!BC137="","",ROUND(main!BC137*100,6))</f>
        <v/>
      </c>
      <c r="AR134" s="68" t="str">
        <f>IF(main!BD137="","",ROUND(main!BD137*100,6))</f>
        <v/>
      </c>
      <c r="AS134" s="68" t="str">
        <f>IF(main!BE137="","",ROUND(main!BE137*100,6))</f>
        <v/>
      </c>
      <c r="AT134" s="68" t="str">
        <f>IF(main!BF137="","",ROUND(main!BF137*100,6))</f>
        <v/>
      </c>
      <c r="AU134" s="68" t="str">
        <f>IF(main!BG137="","",ROUND(main!BG137*100,6))</f>
        <v/>
      </c>
      <c r="AV134" s="68" t="str">
        <f>IF(main!BH137="","",ROUND(main!BH137*100,6))</f>
        <v/>
      </c>
      <c r="AW134" s="68" t="str">
        <f>IF(main!BI137="","",ROUND(main!BI137*100,6))</f>
        <v/>
      </c>
      <c r="AX134" s="68" t="str">
        <f>IF(main!BJ137="","",ROUND(main!BJ137*100,6))</f>
        <v/>
      </c>
      <c r="AY134" s="68" t="str">
        <f>IF(main!BK137="","",ROUND(main!BK137*100,6))</f>
        <v/>
      </c>
      <c r="AZ134" s="68" t="str">
        <f>IF(main!BL137="","",ROUND(main!BL137*100,6))</f>
        <v/>
      </c>
      <c r="BA134" s="68">
        <f>IF(main!BM137="","",ROUND(main!BM137*100,6))</f>
        <v>8.3333329999999997</v>
      </c>
      <c r="BB134" s="68">
        <f>IF(main!BN137="","",ROUND(main!BN137*100,6))</f>
        <v>58.333333000000003</v>
      </c>
      <c r="BC134" s="68">
        <f>IF(main!BO137="","",ROUND(main!BO137*100,6))</f>
        <v>33.333333000000003</v>
      </c>
      <c r="BD134" s="68" t="str">
        <f>IF(main!BP137="","",ROUND(main!BP137*100,6))</f>
        <v/>
      </c>
      <c r="BE134" s="68" t="str">
        <f>IF(main!BQ137="","",ROUND(main!BQ137*100,6))</f>
        <v/>
      </c>
      <c r="BF134" s="68" t="str">
        <f>IF(main!BR137="","",ROUND(main!BR137*100,6))</f>
        <v/>
      </c>
      <c r="BG134" s="68" t="str">
        <f>IF(main!BS137="","",ROUND(main!BS137*100,6))</f>
        <v/>
      </c>
      <c r="BH134" s="68" t="str">
        <f>IF(main!BT137="","",ROUND(main!BT137*100,6))</f>
        <v/>
      </c>
      <c r="BI134" s="68" t="str">
        <f>IF(main!BU137="","",ROUND(main!BU137*100,6))</f>
        <v/>
      </c>
      <c r="BJ134" s="68" t="str">
        <f>IF(main!BV137="","",ROUND(main!BV137*100,6))</f>
        <v/>
      </c>
      <c r="BK134" s="68" t="str">
        <f>IF(main!BW137="","",ROUND(main!BW137*100,6))</f>
        <v/>
      </c>
      <c r="BL134" s="68" t="str">
        <f>IF(main!BX137="","",ROUND(main!BX137*100,6))</f>
        <v/>
      </c>
      <c r="BM134" s="68" t="str">
        <f>IF(main!BY137="","",ROUND(main!BY137*100,6))</f>
        <v/>
      </c>
      <c r="BN134" s="68" t="str">
        <f>IF(main!BZ137="","",ROUND(main!BZ137*100,6))</f>
        <v/>
      </c>
      <c r="BO134" s="68" t="str">
        <f>IF(main!CA137="","",ROUND(main!CA137*100,6))</f>
        <v/>
      </c>
      <c r="BP134" s="68" t="str">
        <f>IF(main!CB137="","",ROUND(main!CB137*100,6))</f>
        <v/>
      </c>
      <c r="BQ134" s="68" t="str">
        <f>IF(main!CC137="","",ROUND(main!CC137*100,6))</f>
        <v/>
      </c>
      <c r="BR134" s="68" t="str">
        <f>IF(main!CD137="","",ROUND(main!CD137*100,6))</f>
        <v/>
      </c>
      <c r="BS134" s="68" t="str">
        <f>IF(main!CE137="","",ROUND(main!CE137*100,6))</f>
        <v/>
      </c>
      <c r="BT134" s="68" t="str">
        <f>IF(main!CF137="","",ROUND(main!CF137*100,6))</f>
        <v/>
      </c>
      <c r="BU134" s="68" t="str">
        <f>IF(main!CG137="","",ROUND(main!CG137*100,6))</f>
        <v/>
      </c>
      <c r="BV134" s="68" t="str">
        <f>IF(main!CH137="","",ROUND(main!CH137*100,6))</f>
        <v/>
      </c>
      <c r="BW134" s="68" t="str">
        <f>IF(main!CI137="","",ROUND(main!CI137*100,6))</f>
        <v/>
      </c>
      <c r="BX134" s="68" t="str">
        <f>IF(main!CJ137="","",ROUND(main!CJ137*100,6))</f>
        <v/>
      </c>
      <c r="BY134" s="68" t="str">
        <f>IF(main!CK137="","",ROUND(main!CK137*100,6))</f>
        <v/>
      </c>
      <c r="BZ134" s="68" t="str">
        <f>IF(main!CL137="","",ROUND(main!CL137*100,6))</f>
        <v/>
      </c>
      <c r="CA134" s="68" t="str">
        <f>IF(main!CM137="","",ROUND(main!CM137*100,6))</f>
        <v/>
      </c>
      <c r="CB134" s="68" t="str">
        <f>IF(main!CN137="","",ROUND(main!CN137*100,6))</f>
        <v/>
      </c>
      <c r="CC134" s="68" t="str">
        <f>IF(main!CO137="","",ROUND(main!CO137*100,6))</f>
        <v/>
      </c>
    </row>
    <row r="135" spans="1:81" x14ac:dyDescent="0.25">
      <c r="A135" s="65" t="s">
        <v>276</v>
      </c>
      <c r="B135" s="66" t="str">
        <f>main!C137</f>
        <v>ทางเข้าบันไดหลัก 1</v>
      </c>
      <c r="C135" s="67">
        <f>main!O137</f>
        <v>100000</v>
      </c>
      <c r="D135" s="65" t="s">
        <v>111</v>
      </c>
      <c r="E135" s="68" t="str">
        <f t="shared" si="2"/>
        <v/>
      </c>
      <c r="F135" s="68" t="str">
        <f>IF(main!R138="","",ROUND(main!R138*100,6))</f>
        <v/>
      </c>
      <c r="G135" s="68" t="str">
        <f>IF(main!S138="","",ROUND(main!S138*100,6))</f>
        <v/>
      </c>
      <c r="H135" s="68" t="str">
        <f>IF(main!T138="","",ROUND(main!T138*100,6))</f>
        <v/>
      </c>
      <c r="I135" s="68" t="str">
        <f>IF(main!U138="","",ROUND(main!U138*100,6))</f>
        <v/>
      </c>
      <c r="J135" s="68" t="str">
        <f>IF(main!V138="","",ROUND(main!V138*100,6))</f>
        <v/>
      </c>
      <c r="K135" s="68" t="str">
        <f>IF(main!W138="","",ROUND(main!W138*100,6))</f>
        <v/>
      </c>
      <c r="L135" s="68" t="str">
        <f>IF(main!X138="","",ROUND(main!X138*100,6))</f>
        <v/>
      </c>
      <c r="M135" s="68" t="str">
        <f>IF(main!Y138="","",ROUND(main!Y138*100,6))</f>
        <v/>
      </c>
      <c r="N135" s="68" t="str">
        <f>IF(main!Z138="","",ROUND(main!Z138*100,6))</f>
        <v/>
      </c>
      <c r="O135" s="68" t="str">
        <f>IF(main!AA138="","",ROUND(main!AA138*100,6))</f>
        <v/>
      </c>
      <c r="P135" s="68" t="str">
        <f>IF(main!AB138="","",ROUND(main!AB138*100,6))</f>
        <v/>
      </c>
      <c r="Q135" s="68" t="str">
        <f>IF(main!AC138="","",ROUND(main!AC138*100,6))</f>
        <v/>
      </c>
      <c r="R135" s="68" t="str">
        <f>IF(main!AD138="","",ROUND(main!AD138*100,6))</f>
        <v/>
      </c>
      <c r="S135" s="68" t="str">
        <f>IF(main!AE138="","",ROUND(main!AE138*100,6))</f>
        <v/>
      </c>
      <c r="T135" s="68" t="str">
        <f>IF(main!AF138="","",ROUND(main!AF138*100,6))</f>
        <v/>
      </c>
      <c r="U135" s="68" t="str">
        <f>IF(main!AG138="","",ROUND(main!AG138*100,6))</f>
        <v/>
      </c>
      <c r="V135" s="68" t="str">
        <f>IF(main!AH138="","",ROUND(main!AH138*100,6))</f>
        <v/>
      </c>
      <c r="W135" s="68" t="str">
        <f>IF(main!AI138="","",ROUND(main!AI138*100,6))</f>
        <v/>
      </c>
      <c r="X135" s="68" t="str">
        <f>IF(main!AJ138="","",ROUND(main!AJ138*100,6))</f>
        <v/>
      </c>
      <c r="Y135" s="68" t="str">
        <f>IF(main!AK138="","",ROUND(main!AK138*100,6))</f>
        <v/>
      </c>
      <c r="Z135" s="68" t="str">
        <f>IF(main!AL138="","",ROUND(main!AL138*100,6))</f>
        <v/>
      </c>
      <c r="AA135" s="68" t="str">
        <f>IF(main!AM138="","",ROUND(main!AM138*100,6))</f>
        <v/>
      </c>
      <c r="AB135" s="68" t="str">
        <f>IF(main!AN138="","",ROUND(main!AN138*100,6))</f>
        <v/>
      </c>
      <c r="AC135" s="68" t="str">
        <f>IF(main!AO138="","",ROUND(main!AO138*100,6))</f>
        <v/>
      </c>
      <c r="AD135" s="68" t="str">
        <f>IF(main!AP138="","",ROUND(main!AP138*100,6))</f>
        <v/>
      </c>
      <c r="AE135" s="68" t="str">
        <f>IF(main!AQ138="","",ROUND(main!AQ138*100,6))</f>
        <v/>
      </c>
      <c r="AF135" s="68" t="str">
        <f>IF(main!AR138="","",ROUND(main!AR138*100,6))</f>
        <v/>
      </c>
      <c r="AG135" s="68" t="str">
        <f>IF(main!AS138="","",ROUND(main!AS138*100,6))</f>
        <v/>
      </c>
      <c r="AH135" s="68" t="str">
        <f>IF(main!AT138="","",ROUND(main!AT138*100,6))</f>
        <v/>
      </c>
      <c r="AI135" s="68" t="str">
        <f>IF(main!AU138="","",ROUND(main!AU138*100,6))</f>
        <v/>
      </c>
      <c r="AJ135" s="68" t="str">
        <f>IF(main!AV138="","",ROUND(main!AV138*100,6))</f>
        <v/>
      </c>
      <c r="AK135" s="68" t="str">
        <f>IF(main!AW138="","",ROUND(main!AW138*100,6))</f>
        <v/>
      </c>
      <c r="AL135" s="68" t="str">
        <f>IF(main!AX138="","",ROUND(main!AX138*100,6))</f>
        <v/>
      </c>
      <c r="AM135" s="68" t="str">
        <f>IF(main!AY138="","",ROUND(main!AY138*100,6))</f>
        <v/>
      </c>
      <c r="AN135" s="68" t="str">
        <f>IF(main!AZ138="","",ROUND(main!AZ138*100,6))</f>
        <v/>
      </c>
      <c r="AO135" s="68" t="str">
        <f>IF(main!BA138="","",ROUND(main!BA138*100,6))</f>
        <v/>
      </c>
      <c r="AP135" s="68" t="str">
        <f>IF(main!BB138="","",ROUND(main!BB138*100,6))</f>
        <v/>
      </c>
      <c r="AQ135" s="68" t="str">
        <f>IF(main!BC138="","",ROUND(main!BC138*100,6))</f>
        <v/>
      </c>
      <c r="AR135" s="68" t="str">
        <f>IF(main!BD138="","",ROUND(main!BD138*100,6))</f>
        <v/>
      </c>
      <c r="AS135" s="68" t="str">
        <f>IF(main!BE138="","",ROUND(main!BE138*100,6))</f>
        <v/>
      </c>
      <c r="AT135" s="68" t="str">
        <f>IF(main!BF138="","",ROUND(main!BF138*100,6))</f>
        <v/>
      </c>
      <c r="AU135" s="68" t="str">
        <f>IF(main!BG138="","",ROUND(main!BG138*100,6))</f>
        <v/>
      </c>
      <c r="AV135" s="68" t="str">
        <f>IF(main!BH138="","",ROUND(main!BH138*100,6))</f>
        <v/>
      </c>
      <c r="AW135" s="68" t="str">
        <f>IF(main!BI138="","",ROUND(main!BI138*100,6))</f>
        <v/>
      </c>
      <c r="AX135" s="68" t="str">
        <f>IF(main!BJ138="","",ROUND(main!BJ138*100,6))</f>
        <v/>
      </c>
      <c r="AY135" s="68" t="str">
        <f>IF(main!BK138="","",ROUND(main!BK138*100,6))</f>
        <v/>
      </c>
      <c r="AZ135" s="68" t="str">
        <f>IF(main!BL138="","",ROUND(main!BL138*100,6))</f>
        <v/>
      </c>
      <c r="BA135" s="68" t="str">
        <f>IF(main!BM138="","",ROUND(main!BM138*100,6))</f>
        <v/>
      </c>
      <c r="BB135" s="68" t="str">
        <f>IF(main!BN138="","",ROUND(main!BN138*100,6))</f>
        <v/>
      </c>
      <c r="BC135" s="68" t="str">
        <f>IF(main!BO138="","",ROUND(main!BO138*100,6))</f>
        <v/>
      </c>
      <c r="BD135" s="68" t="str">
        <f>IF(main!BP138="","",ROUND(main!BP138*100,6))</f>
        <v/>
      </c>
      <c r="BE135" s="68" t="str">
        <f>IF(main!BQ138="","",ROUND(main!BQ138*100,6))</f>
        <v/>
      </c>
      <c r="BF135" s="68" t="str">
        <f>IF(main!BR138="","",ROUND(main!BR138*100,6))</f>
        <v/>
      </c>
      <c r="BG135" s="68" t="str">
        <f>IF(main!BS138="","",ROUND(main!BS138*100,6))</f>
        <v/>
      </c>
      <c r="BH135" s="68" t="str">
        <f>IF(main!BT138="","",ROUND(main!BT138*100,6))</f>
        <v/>
      </c>
      <c r="BI135" s="68" t="str">
        <f>IF(main!BU138="","",ROUND(main!BU138*100,6))</f>
        <v/>
      </c>
      <c r="BJ135" s="68" t="str">
        <f>IF(main!BV138="","",ROUND(main!BV138*100,6))</f>
        <v/>
      </c>
      <c r="BK135" s="68" t="str">
        <f>IF(main!BW138="","",ROUND(main!BW138*100,6))</f>
        <v/>
      </c>
      <c r="BL135" s="68" t="str">
        <f>IF(main!BX138="","",ROUND(main!BX138*100,6))</f>
        <v/>
      </c>
      <c r="BM135" s="68" t="str">
        <f>IF(main!BY138="","",ROUND(main!BY138*100,6))</f>
        <v/>
      </c>
      <c r="BN135" s="68" t="str">
        <f>IF(main!BZ138="","",ROUND(main!BZ138*100,6))</f>
        <v/>
      </c>
      <c r="BO135" s="68" t="str">
        <f>IF(main!CA138="","",ROUND(main!CA138*100,6))</f>
        <v/>
      </c>
      <c r="BP135" s="68" t="str">
        <f>IF(main!CB138="","",ROUND(main!CB138*100,6))</f>
        <v/>
      </c>
      <c r="BQ135" s="68" t="str">
        <f>IF(main!CC138="","",ROUND(main!CC138*100,6))</f>
        <v/>
      </c>
      <c r="BR135" s="68" t="str">
        <f>IF(main!CD138="","",ROUND(main!CD138*100,6))</f>
        <v/>
      </c>
      <c r="BS135" s="68" t="str">
        <f>IF(main!CE138="","",ROUND(main!CE138*100,6))</f>
        <v/>
      </c>
      <c r="BT135" s="68" t="str">
        <f>IF(main!CF138="","",ROUND(main!CF138*100,6))</f>
        <v/>
      </c>
      <c r="BU135" s="68" t="str">
        <f>IF(main!CG138="","",ROUND(main!CG138*100,6))</f>
        <v/>
      </c>
      <c r="BV135" s="68" t="str">
        <f>IF(main!CH138="","",ROUND(main!CH138*100,6))</f>
        <v/>
      </c>
      <c r="BW135" s="68" t="str">
        <f>IF(main!CI138="","",ROUND(main!CI138*100,6))</f>
        <v/>
      </c>
      <c r="BX135" s="68" t="str">
        <f>IF(main!CJ138="","",ROUND(main!CJ138*100,6))</f>
        <v/>
      </c>
      <c r="BY135" s="68" t="str">
        <f>IF(main!CK138="","",ROUND(main!CK138*100,6))</f>
        <v/>
      </c>
      <c r="BZ135" s="68" t="str">
        <f>IF(main!CL138="","",ROUND(main!CL138*100,6))</f>
        <v/>
      </c>
      <c r="CA135" s="68" t="str">
        <f>IF(main!CM138="","",ROUND(main!CM138*100,6))</f>
        <v/>
      </c>
      <c r="CB135" s="68" t="str">
        <f>IF(main!CN138="","",ROUND(main!CN138*100,6))</f>
        <v/>
      </c>
      <c r="CC135" s="68" t="str">
        <f>IF(main!CO138="","",ROUND(main!CO138*100,6))</f>
        <v/>
      </c>
    </row>
    <row r="136" spans="1:81" x14ac:dyDescent="0.25">
      <c r="A136" s="65" t="s">
        <v>279</v>
      </c>
      <c r="B136" s="66" t="str">
        <f>main!C139</f>
        <v>ทางเข้าบันไดหลัก 2</v>
      </c>
      <c r="C136" s="67">
        <f>main!O139</f>
        <v>100000</v>
      </c>
      <c r="D136" s="65" t="s">
        <v>110</v>
      </c>
      <c r="E136" s="68">
        <f t="shared" si="2"/>
        <v>100</v>
      </c>
      <c r="F136" s="68" t="str">
        <f>IF(main!R139="","",ROUND(main!R139*100,6))</f>
        <v/>
      </c>
      <c r="G136" s="68" t="str">
        <f>IF(main!S139="","",ROUND(main!S139*100,6))</f>
        <v/>
      </c>
      <c r="H136" s="68" t="str">
        <f>IF(main!T139="","",ROUND(main!T139*100,6))</f>
        <v/>
      </c>
      <c r="I136" s="68" t="str">
        <f>IF(main!U139="","",ROUND(main!U139*100,6))</f>
        <v/>
      </c>
      <c r="J136" s="68" t="str">
        <f>IF(main!V139="","",ROUND(main!V139*100,6))</f>
        <v/>
      </c>
      <c r="K136" s="68" t="str">
        <f>IF(main!W139="","",ROUND(main!W139*100,6))</f>
        <v/>
      </c>
      <c r="L136" s="68" t="str">
        <f>IF(main!X139="","",ROUND(main!X139*100,6))</f>
        <v/>
      </c>
      <c r="M136" s="68" t="str">
        <f>IF(main!Y139="","",ROUND(main!Y139*100,6))</f>
        <v/>
      </c>
      <c r="N136" s="68" t="str">
        <f>IF(main!Z139="","",ROUND(main!Z139*100,6))</f>
        <v/>
      </c>
      <c r="O136" s="68" t="str">
        <f>IF(main!AA139="","",ROUND(main!AA139*100,6))</f>
        <v/>
      </c>
      <c r="P136" s="68" t="str">
        <f>IF(main!AB139="","",ROUND(main!AB139*100,6))</f>
        <v/>
      </c>
      <c r="Q136" s="68" t="str">
        <f>IF(main!AC139="","",ROUND(main!AC139*100,6))</f>
        <v/>
      </c>
      <c r="R136" s="68" t="str">
        <f>IF(main!AD139="","",ROUND(main!AD139*100,6))</f>
        <v/>
      </c>
      <c r="S136" s="68" t="str">
        <f>IF(main!AE139="","",ROUND(main!AE139*100,6))</f>
        <v/>
      </c>
      <c r="T136" s="68" t="str">
        <f>IF(main!AF139="","",ROUND(main!AF139*100,6))</f>
        <v/>
      </c>
      <c r="U136" s="68" t="str">
        <f>IF(main!AG139="","",ROUND(main!AG139*100,6))</f>
        <v/>
      </c>
      <c r="V136" s="68" t="str">
        <f>IF(main!AH139="","",ROUND(main!AH139*100,6))</f>
        <v/>
      </c>
      <c r="W136" s="68" t="str">
        <f>IF(main!AI139="","",ROUND(main!AI139*100,6))</f>
        <v/>
      </c>
      <c r="X136" s="68" t="str">
        <f>IF(main!AJ139="","",ROUND(main!AJ139*100,6))</f>
        <v/>
      </c>
      <c r="Y136" s="68" t="str">
        <f>IF(main!AK139="","",ROUND(main!AK139*100,6))</f>
        <v/>
      </c>
      <c r="Z136" s="68" t="str">
        <f>IF(main!AL139="","",ROUND(main!AL139*100,6))</f>
        <v/>
      </c>
      <c r="AA136" s="68" t="str">
        <f>IF(main!AM139="","",ROUND(main!AM139*100,6))</f>
        <v/>
      </c>
      <c r="AB136" s="68" t="str">
        <f>IF(main!AN139="","",ROUND(main!AN139*100,6))</f>
        <v/>
      </c>
      <c r="AC136" s="68" t="str">
        <f>IF(main!AO139="","",ROUND(main!AO139*100,6))</f>
        <v/>
      </c>
      <c r="AD136" s="68" t="str">
        <f>IF(main!AP139="","",ROUND(main!AP139*100,6))</f>
        <v/>
      </c>
      <c r="AE136" s="68" t="str">
        <f>IF(main!AQ139="","",ROUND(main!AQ139*100,6))</f>
        <v/>
      </c>
      <c r="AF136" s="68" t="str">
        <f>IF(main!AR139="","",ROUND(main!AR139*100,6))</f>
        <v/>
      </c>
      <c r="AG136" s="68" t="str">
        <f>IF(main!AS139="","",ROUND(main!AS139*100,6))</f>
        <v/>
      </c>
      <c r="AH136" s="68" t="str">
        <f>IF(main!AT139="","",ROUND(main!AT139*100,6))</f>
        <v/>
      </c>
      <c r="AI136" s="68" t="str">
        <f>IF(main!AU139="","",ROUND(main!AU139*100,6))</f>
        <v/>
      </c>
      <c r="AJ136" s="68" t="str">
        <f>IF(main!AV139="","",ROUND(main!AV139*100,6))</f>
        <v/>
      </c>
      <c r="AK136" s="68" t="str">
        <f>IF(main!AW139="","",ROUND(main!AW139*100,6))</f>
        <v/>
      </c>
      <c r="AL136" s="68" t="str">
        <f>IF(main!AX139="","",ROUND(main!AX139*100,6))</f>
        <v/>
      </c>
      <c r="AM136" s="68" t="str">
        <f>IF(main!AY139="","",ROUND(main!AY139*100,6))</f>
        <v/>
      </c>
      <c r="AN136" s="68" t="str">
        <f>IF(main!AZ139="","",ROUND(main!AZ139*100,6))</f>
        <v/>
      </c>
      <c r="AO136" s="68" t="str">
        <f>IF(main!BA139="","",ROUND(main!BA139*100,6))</f>
        <v/>
      </c>
      <c r="AP136" s="68" t="str">
        <f>IF(main!BB139="","",ROUND(main!BB139*100,6))</f>
        <v/>
      </c>
      <c r="AQ136" s="68" t="str">
        <f>IF(main!BC139="","",ROUND(main!BC139*100,6))</f>
        <v/>
      </c>
      <c r="AR136" s="68" t="str">
        <f>IF(main!BD139="","",ROUND(main!BD139*100,6))</f>
        <v/>
      </c>
      <c r="AS136" s="68" t="str">
        <f>IF(main!BE139="","",ROUND(main!BE139*100,6))</f>
        <v/>
      </c>
      <c r="AT136" s="68" t="str">
        <f>IF(main!BF139="","",ROUND(main!BF139*100,6))</f>
        <v/>
      </c>
      <c r="AU136" s="68" t="str">
        <f>IF(main!BG139="","",ROUND(main!BG139*100,6))</f>
        <v/>
      </c>
      <c r="AV136" s="68" t="str">
        <f>IF(main!BH139="","",ROUND(main!BH139*100,6))</f>
        <v/>
      </c>
      <c r="AW136" s="68" t="str">
        <f>IF(main!BI139="","",ROUND(main!BI139*100,6))</f>
        <v/>
      </c>
      <c r="AX136" s="68" t="str">
        <f>IF(main!BJ139="","",ROUND(main!BJ139*100,6))</f>
        <v/>
      </c>
      <c r="AY136" s="68" t="str">
        <f>IF(main!BK139="","",ROUND(main!BK139*100,6))</f>
        <v/>
      </c>
      <c r="AZ136" s="68" t="str">
        <f>IF(main!BL139="","",ROUND(main!BL139*100,6))</f>
        <v/>
      </c>
      <c r="BA136" s="68" t="str">
        <f>IF(main!BM139="","",ROUND(main!BM139*100,6))</f>
        <v/>
      </c>
      <c r="BB136" s="68" t="str">
        <f>IF(main!BN139="","",ROUND(main!BN139*100,6))</f>
        <v/>
      </c>
      <c r="BC136" s="68">
        <f>IF(main!BO139="","",ROUND(main!BO139*100,6))</f>
        <v>33.333333000000003</v>
      </c>
      <c r="BD136" s="68">
        <f>IF(main!BP139="","",ROUND(main!BP139*100,6))</f>
        <v>66.666667000000004</v>
      </c>
      <c r="BE136" s="68" t="str">
        <f>IF(main!BQ139="","",ROUND(main!BQ139*100,6))</f>
        <v/>
      </c>
      <c r="BF136" s="68" t="str">
        <f>IF(main!BR139="","",ROUND(main!BR139*100,6))</f>
        <v/>
      </c>
      <c r="BG136" s="68" t="str">
        <f>IF(main!BS139="","",ROUND(main!BS139*100,6))</f>
        <v/>
      </c>
      <c r="BH136" s="68" t="str">
        <f>IF(main!BT139="","",ROUND(main!BT139*100,6))</f>
        <v/>
      </c>
      <c r="BI136" s="68" t="str">
        <f>IF(main!BU139="","",ROUND(main!BU139*100,6))</f>
        <v/>
      </c>
      <c r="BJ136" s="68" t="str">
        <f>IF(main!BV139="","",ROUND(main!BV139*100,6))</f>
        <v/>
      </c>
      <c r="BK136" s="68" t="str">
        <f>IF(main!BW139="","",ROUND(main!BW139*100,6))</f>
        <v/>
      </c>
      <c r="BL136" s="68" t="str">
        <f>IF(main!BX139="","",ROUND(main!BX139*100,6))</f>
        <v/>
      </c>
      <c r="BM136" s="68" t="str">
        <f>IF(main!BY139="","",ROUND(main!BY139*100,6))</f>
        <v/>
      </c>
      <c r="BN136" s="68" t="str">
        <f>IF(main!BZ139="","",ROUND(main!BZ139*100,6))</f>
        <v/>
      </c>
      <c r="BO136" s="68" t="str">
        <f>IF(main!CA139="","",ROUND(main!CA139*100,6))</f>
        <v/>
      </c>
      <c r="BP136" s="68" t="str">
        <f>IF(main!CB139="","",ROUND(main!CB139*100,6))</f>
        <v/>
      </c>
      <c r="BQ136" s="68" t="str">
        <f>IF(main!CC139="","",ROUND(main!CC139*100,6))</f>
        <v/>
      </c>
      <c r="BR136" s="68" t="str">
        <f>IF(main!CD139="","",ROUND(main!CD139*100,6))</f>
        <v/>
      </c>
      <c r="BS136" s="68" t="str">
        <f>IF(main!CE139="","",ROUND(main!CE139*100,6))</f>
        <v/>
      </c>
      <c r="BT136" s="68" t="str">
        <f>IF(main!CF139="","",ROUND(main!CF139*100,6))</f>
        <v/>
      </c>
      <c r="BU136" s="68" t="str">
        <f>IF(main!CG139="","",ROUND(main!CG139*100,6))</f>
        <v/>
      </c>
      <c r="BV136" s="68" t="str">
        <f>IF(main!CH139="","",ROUND(main!CH139*100,6))</f>
        <v/>
      </c>
      <c r="BW136" s="68" t="str">
        <f>IF(main!CI139="","",ROUND(main!CI139*100,6))</f>
        <v/>
      </c>
      <c r="BX136" s="68" t="str">
        <f>IF(main!CJ139="","",ROUND(main!CJ139*100,6))</f>
        <v/>
      </c>
      <c r="BY136" s="68" t="str">
        <f>IF(main!CK139="","",ROUND(main!CK139*100,6))</f>
        <v/>
      </c>
      <c r="BZ136" s="68" t="str">
        <f>IF(main!CL139="","",ROUND(main!CL139*100,6))</f>
        <v/>
      </c>
      <c r="CA136" s="68" t="str">
        <f>IF(main!CM139="","",ROUND(main!CM139*100,6))</f>
        <v/>
      </c>
      <c r="CB136" s="68" t="str">
        <f>IF(main!CN139="","",ROUND(main!CN139*100,6))</f>
        <v/>
      </c>
      <c r="CC136" s="68" t="str">
        <f>IF(main!CO139="","",ROUND(main!CO139*100,6))</f>
        <v/>
      </c>
    </row>
    <row r="137" spans="1:81" x14ac:dyDescent="0.25">
      <c r="A137" s="65" t="s">
        <v>279</v>
      </c>
      <c r="B137" s="66" t="str">
        <f>main!C139</f>
        <v>ทางเข้าบันไดหลัก 2</v>
      </c>
      <c r="C137" s="67">
        <f>main!O139</f>
        <v>100000</v>
      </c>
      <c r="D137" s="65" t="s">
        <v>111</v>
      </c>
      <c r="E137" s="68" t="str">
        <f t="shared" si="2"/>
        <v/>
      </c>
      <c r="F137" s="68" t="str">
        <f>IF(main!R140="","",ROUND(main!R140*100,6))</f>
        <v/>
      </c>
      <c r="G137" s="68" t="str">
        <f>IF(main!S140="","",ROUND(main!S140*100,6))</f>
        <v/>
      </c>
      <c r="H137" s="68" t="str">
        <f>IF(main!T140="","",ROUND(main!T140*100,6))</f>
        <v/>
      </c>
      <c r="I137" s="68" t="str">
        <f>IF(main!U140="","",ROUND(main!U140*100,6))</f>
        <v/>
      </c>
      <c r="J137" s="68" t="str">
        <f>IF(main!V140="","",ROUND(main!V140*100,6))</f>
        <v/>
      </c>
      <c r="K137" s="68" t="str">
        <f>IF(main!W140="","",ROUND(main!W140*100,6))</f>
        <v/>
      </c>
      <c r="L137" s="68" t="str">
        <f>IF(main!X140="","",ROUND(main!X140*100,6))</f>
        <v/>
      </c>
      <c r="M137" s="68" t="str">
        <f>IF(main!Y140="","",ROUND(main!Y140*100,6))</f>
        <v/>
      </c>
      <c r="N137" s="68" t="str">
        <f>IF(main!Z140="","",ROUND(main!Z140*100,6))</f>
        <v/>
      </c>
      <c r="O137" s="68" t="str">
        <f>IF(main!AA140="","",ROUND(main!AA140*100,6))</f>
        <v/>
      </c>
      <c r="P137" s="68" t="str">
        <f>IF(main!AB140="","",ROUND(main!AB140*100,6))</f>
        <v/>
      </c>
      <c r="Q137" s="68" t="str">
        <f>IF(main!AC140="","",ROUND(main!AC140*100,6))</f>
        <v/>
      </c>
      <c r="R137" s="68" t="str">
        <f>IF(main!AD140="","",ROUND(main!AD140*100,6))</f>
        <v/>
      </c>
      <c r="S137" s="68" t="str">
        <f>IF(main!AE140="","",ROUND(main!AE140*100,6))</f>
        <v/>
      </c>
      <c r="T137" s="68" t="str">
        <f>IF(main!AF140="","",ROUND(main!AF140*100,6))</f>
        <v/>
      </c>
      <c r="U137" s="68" t="str">
        <f>IF(main!AG140="","",ROUND(main!AG140*100,6))</f>
        <v/>
      </c>
      <c r="V137" s="68" t="str">
        <f>IF(main!AH140="","",ROUND(main!AH140*100,6))</f>
        <v/>
      </c>
      <c r="W137" s="68" t="str">
        <f>IF(main!AI140="","",ROUND(main!AI140*100,6))</f>
        <v/>
      </c>
      <c r="X137" s="68" t="str">
        <f>IF(main!AJ140="","",ROUND(main!AJ140*100,6))</f>
        <v/>
      </c>
      <c r="Y137" s="68" t="str">
        <f>IF(main!AK140="","",ROUND(main!AK140*100,6))</f>
        <v/>
      </c>
      <c r="Z137" s="68" t="str">
        <f>IF(main!AL140="","",ROUND(main!AL140*100,6))</f>
        <v/>
      </c>
      <c r="AA137" s="68" t="str">
        <f>IF(main!AM140="","",ROUND(main!AM140*100,6))</f>
        <v/>
      </c>
      <c r="AB137" s="68" t="str">
        <f>IF(main!AN140="","",ROUND(main!AN140*100,6))</f>
        <v/>
      </c>
      <c r="AC137" s="68" t="str">
        <f>IF(main!AO140="","",ROUND(main!AO140*100,6))</f>
        <v/>
      </c>
      <c r="AD137" s="68" t="str">
        <f>IF(main!AP140="","",ROUND(main!AP140*100,6))</f>
        <v/>
      </c>
      <c r="AE137" s="68" t="str">
        <f>IF(main!AQ140="","",ROUND(main!AQ140*100,6))</f>
        <v/>
      </c>
      <c r="AF137" s="68" t="str">
        <f>IF(main!AR140="","",ROUND(main!AR140*100,6))</f>
        <v/>
      </c>
      <c r="AG137" s="68" t="str">
        <f>IF(main!AS140="","",ROUND(main!AS140*100,6))</f>
        <v/>
      </c>
      <c r="AH137" s="68" t="str">
        <f>IF(main!AT140="","",ROUND(main!AT140*100,6))</f>
        <v/>
      </c>
      <c r="AI137" s="68" t="str">
        <f>IF(main!AU140="","",ROUND(main!AU140*100,6))</f>
        <v/>
      </c>
      <c r="AJ137" s="68" t="str">
        <f>IF(main!AV140="","",ROUND(main!AV140*100,6))</f>
        <v/>
      </c>
      <c r="AK137" s="68" t="str">
        <f>IF(main!AW140="","",ROUND(main!AW140*100,6))</f>
        <v/>
      </c>
      <c r="AL137" s="68" t="str">
        <f>IF(main!AX140="","",ROUND(main!AX140*100,6))</f>
        <v/>
      </c>
      <c r="AM137" s="68" t="str">
        <f>IF(main!AY140="","",ROUND(main!AY140*100,6))</f>
        <v/>
      </c>
      <c r="AN137" s="68" t="str">
        <f>IF(main!AZ140="","",ROUND(main!AZ140*100,6))</f>
        <v/>
      </c>
      <c r="AO137" s="68" t="str">
        <f>IF(main!BA140="","",ROUND(main!BA140*100,6))</f>
        <v/>
      </c>
      <c r="AP137" s="68" t="str">
        <f>IF(main!BB140="","",ROUND(main!BB140*100,6))</f>
        <v/>
      </c>
      <c r="AQ137" s="68" t="str">
        <f>IF(main!BC140="","",ROUND(main!BC140*100,6))</f>
        <v/>
      </c>
      <c r="AR137" s="68" t="str">
        <f>IF(main!BD140="","",ROUND(main!BD140*100,6))</f>
        <v/>
      </c>
      <c r="AS137" s="68" t="str">
        <f>IF(main!BE140="","",ROUND(main!BE140*100,6))</f>
        <v/>
      </c>
      <c r="AT137" s="68" t="str">
        <f>IF(main!BF140="","",ROUND(main!BF140*100,6))</f>
        <v/>
      </c>
      <c r="AU137" s="68" t="str">
        <f>IF(main!BG140="","",ROUND(main!BG140*100,6))</f>
        <v/>
      </c>
      <c r="AV137" s="68" t="str">
        <f>IF(main!BH140="","",ROUND(main!BH140*100,6))</f>
        <v/>
      </c>
      <c r="AW137" s="68" t="str">
        <f>IF(main!BI140="","",ROUND(main!BI140*100,6))</f>
        <v/>
      </c>
      <c r="AX137" s="68" t="str">
        <f>IF(main!BJ140="","",ROUND(main!BJ140*100,6))</f>
        <v/>
      </c>
      <c r="AY137" s="68" t="str">
        <f>IF(main!BK140="","",ROUND(main!BK140*100,6))</f>
        <v/>
      </c>
      <c r="AZ137" s="68" t="str">
        <f>IF(main!BL140="","",ROUND(main!BL140*100,6))</f>
        <v/>
      </c>
      <c r="BA137" s="68" t="str">
        <f>IF(main!BM140="","",ROUND(main!BM140*100,6))</f>
        <v/>
      </c>
      <c r="BB137" s="68" t="str">
        <f>IF(main!BN140="","",ROUND(main!BN140*100,6))</f>
        <v/>
      </c>
      <c r="BC137" s="68" t="str">
        <f>IF(main!BO140="","",ROUND(main!BO140*100,6))</f>
        <v/>
      </c>
      <c r="BD137" s="68" t="str">
        <f>IF(main!BP140="","",ROUND(main!BP140*100,6))</f>
        <v/>
      </c>
      <c r="BE137" s="68" t="str">
        <f>IF(main!BQ140="","",ROUND(main!BQ140*100,6))</f>
        <v/>
      </c>
      <c r="BF137" s="68" t="str">
        <f>IF(main!BR140="","",ROUND(main!BR140*100,6))</f>
        <v/>
      </c>
      <c r="BG137" s="68" t="str">
        <f>IF(main!BS140="","",ROUND(main!BS140*100,6))</f>
        <v/>
      </c>
      <c r="BH137" s="68" t="str">
        <f>IF(main!BT140="","",ROUND(main!BT140*100,6))</f>
        <v/>
      </c>
      <c r="BI137" s="68" t="str">
        <f>IF(main!BU140="","",ROUND(main!BU140*100,6))</f>
        <v/>
      </c>
      <c r="BJ137" s="68" t="str">
        <f>IF(main!BV140="","",ROUND(main!BV140*100,6))</f>
        <v/>
      </c>
      <c r="BK137" s="68" t="str">
        <f>IF(main!BW140="","",ROUND(main!BW140*100,6))</f>
        <v/>
      </c>
      <c r="BL137" s="68" t="str">
        <f>IF(main!BX140="","",ROUND(main!BX140*100,6))</f>
        <v/>
      </c>
      <c r="BM137" s="68" t="str">
        <f>IF(main!BY140="","",ROUND(main!BY140*100,6))</f>
        <v/>
      </c>
      <c r="BN137" s="68" t="str">
        <f>IF(main!BZ140="","",ROUND(main!BZ140*100,6))</f>
        <v/>
      </c>
      <c r="BO137" s="68" t="str">
        <f>IF(main!CA140="","",ROUND(main!CA140*100,6))</f>
        <v/>
      </c>
      <c r="BP137" s="68" t="str">
        <f>IF(main!CB140="","",ROUND(main!CB140*100,6))</f>
        <v/>
      </c>
      <c r="BQ137" s="68" t="str">
        <f>IF(main!CC140="","",ROUND(main!CC140*100,6))</f>
        <v/>
      </c>
      <c r="BR137" s="68" t="str">
        <f>IF(main!CD140="","",ROUND(main!CD140*100,6))</f>
        <v/>
      </c>
      <c r="BS137" s="68" t="str">
        <f>IF(main!CE140="","",ROUND(main!CE140*100,6))</f>
        <v/>
      </c>
      <c r="BT137" s="68" t="str">
        <f>IF(main!CF140="","",ROUND(main!CF140*100,6))</f>
        <v/>
      </c>
      <c r="BU137" s="68" t="str">
        <f>IF(main!CG140="","",ROUND(main!CG140*100,6))</f>
        <v/>
      </c>
      <c r="BV137" s="68" t="str">
        <f>IF(main!CH140="","",ROUND(main!CH140*100,6))</f>
        <v/>
      </c>
      <c r="BW137" s="68" t="str">
        <f>IF(main!CI140="","",ROUND(main!CI140*100,6))</f>
        <v/>
      </c>
      <c r="BX137" s="68" t="str">
        <f>IF(main!CJ140="","",ROUND(main!CJ140*100,6))</f>
        <v/>
      </c>
      <c r="BY137" s="68" t="str">
        <f>IF(main!CK140="","",ROUND(main!CK140*100,6))</f>
        <v/>
      </c>
      <c r="BZ137" s="68" t="str">
        <f>IF(main!CL140="","",ROUND(main!CL140*100,6))</f>
        <v/>
      </c>
      <c r="CA137" s="68" t="str">
        <f>IF(main!CM140="","",ROUND(main!CM140*100,6))</f>
        <v/>
      </c>
      <c r="CB137" s="68" t="str">
        <f>IF(main!CN140="","",ROUND(main!CN140*100,6))</f>
        <v/>
      </c>
      <c r="CC137" s="68" t="str">
        <f>IF(main!CO140="","",ROUND(main!CO140*100,6))</f>
        <v/>
      </c>
    </row>
    <row r="138" spans="1:81" x14ac:dyDescent="0.25">
      <c r="A138" s="65" t="s">
        <v>282</v>
      </c>
      <c r="B138" s="66" t="str">
        <f>main!C141</f>
        <v>ทางเข้าบันไดรอง 1</v>
      </c>
      <c r="C138" s="67">
        <f>main!O141</f>
        <v>100000</v>
      </c>
      <c r="D138" s="65" t="s">
        <v>110</v>
      </c>
      <c r="E138" s="68">
        <f t="shared" si="2"/>
        <v>100</v>
      </c>
      <c r="F138" s="68" t="str">
        <f>IF(main!R141="","",ROUND(main!R141*100,6))</f>
        <v/>
      </c>
      <c r="G138" s="68" t="str">
        <f>IF(main!S141="","",ROUND(main!S141*100,6))</f>
        <v/>
      </c>
      <c r="H138" s="68" t="str">
        <f>IF(main!T141="","",ROUND(main!T141*100,6))</f>
        <v/>
      </c>
      <c r="I138" s="68" t="str">
        <f>IF(main!U141="","",ROUND(main!U141*100,6))</f>
        <v/>
      </c>
      <c r="J138" s="68" t="str">
        <f>IF(main!V141="","",ROUND(main!V141*100,6))</f>
        <v/>
      </c>
      <c r="K138" s="68" t="str">
        <f>IF(main!W141="","",ROUND(main!W141*100,6))</f>
        <v/>
      </c>
      <c r="L138" s="68" t="str">
        <f>IF(main!X141="","",ROUND(main!X141*100,6))</f>
        <v/>
      </c>
      <c r="M138" s="68" t="str">
        <f>IF(main!Y141="","",ROUND(main!Y141*100,6))</f>
        <v/>
      </c>
      <c r="N138" s="68" t="str">
        <f>IF(main!Z141="","",ROUND(main!Z141*100,6))</f>
        <v/>
      </c>
      <c r="O138" s="68" t="str">
        <f>IF(main!AA141="","",ROUND(main!AA141*100,6))</f>
        <v/>
      </c>
      <c r="P138" s="68" t="str">
        <f>IF(main!AB141="","",ROUND(main!AB141*100,6))</f>
        <v/>
      </c>
      <c r="Q138" s="68" t="str">
        <f>IF(main!AC141="","",ROUND(main!AC141*100,6))</f>
        <v/>
      </c>
      <c r="R138" s="68" t="str">
        <f>IF(main!AD141="","",ROUND(main!AD141*100,6))</f>
        <v/>
      </c>
      <c r="S138" s="68" t="str">
        <f>IF(main!AE141="","",ROUND(main!AE141*100,6))</f>
        <v/>
      </c>
      <c r="T138" s="68" t="str">
        <f>IF(main!AF141="","",ROUND(main!AF141*100,6))</f>
        <v/>
      </c>
      <c r="U138" s="68" t="str">
        <f>IF(main!AG141="","",ROUND(main!AG141*100,6))</f>
        <v/>
      </c>
      <c r="V138" s="68" t="str">
        <f>IF(main!AH141="","",ROUND(main!AH141*100,6))</f>
        <v/>
      </c>
      <c r="W138" s="68" t="str">
        <f>IF(main!AI141="","",ROUND(main!AI141*100,6))</f>
        <v/>
      </c>
      <c r="X138" s="68" t="str">
        <f>IF(main!AJ141="","",ROUND(main!AJ141*100,6))</f>
        <v/>
      </c>
      <c r="Y138" s="68" t="str">
        <f>IF(main!AK141="","",ROUND(main!AK141*100,6))</f>
        <v/>
      </c>
      <c r="Z138" s="68" t="str">
        <f>IF(main!AL141="","",ROUND(main!AL141*100,6))</f>
        <v/>
      </c>
      <c r="AA138" s="68" t="str">
        <f>IF(main!AM141="","",ROUND(main!AM141*100,6))</f>
        <v/>
      </c>
      <c r="AB138" s="68" t="str">
        <f>IF(main!AN141="","",ROUND(main!AN141*100,6))</f>
        <v/>
      </c>
      <c r="AC138" s="68" t="str">
        <f>IF(main!AO141="","",ROUND(main!AO141*100,6))</f>
        <v/>
      </c>
      <c r="AD138" s="68" t="str">
        <f>IF(main!AP141="","",ROUND(main!AP141*100,6))</f>
        <v/>
      </c>
      <c r="AE138" s="68" t="str">
        <f>IF(main!AQ141="","",ROUND(main!AQ141*100,6))</f>
        <v/>
      </c>
      <c r="AF138" s="68" t="str">
        <f>IF(main!AR141="","",ROUND(main!AR141*100,6))</f>
        <v/>
      </c>
      <c r="AG138" s="68" t="str">
        <f>IF(main!AS141="","",ROUND(main!AS141*100,6))</f>
        <v/>
      </c>
      <c r="AH138" s="68" t="str">
        <f>IF(main!AT141="","",ROUND(main!AT141*100,6))</f>
        <v/>
      </c>
      <c r="AI138" s="68" t="str">
        <f>IF(main!AU141="","",ROUND(main!AU141*100,6))</f>
        <v/>
      </c>
      <c r="AJ138" s="68" t="str">
        <f>IF(main!AV141="","",ROUND(main!AV141*100,6))</f>
        <v/>
      </c>
      <c r="AK138" s="68" t="str">
        <f>IF(main!AW141="","",ROUND(main!AW141*100,6))</f>
        <v/>
      </c>
      <c r="AL138" s="68" t="str">
        <f>IF(main!AX141="","",ROUND(main!AX141*100,6))</f>
        <v/>
      </c>
      <c r="AM138" s="68" t="str">
        <f>IF(main!AY141="","",ROUND(main!AY141*100,6))</f>
        <v/>
      </c>
      <c r="AN138" s="68" t="str">
        <f>IF(main!AZ141="","",ROUND(main!AZ141*100,6))</f>
        <v/>
      </c>
      <c r="AO138" s="68" t="str">
        <f>IF(main!BA141="","",ROUND(main!BA141*100,6))</f>
        <v/>
      </c>
      <c r="AP138" s="68" t="str">
        <f>IF(main!BB141="","",ROUND(main!BB141*100,6))</f>
        <v/>
      </c>
      <c r="AQ138" s="68" t="str">
        <f>IF(main!BC141="","",ROUND(main!BC141*100,6))</f>
        <v/>
      </c>
      <c r="AR138" s="68" t="str">
        <f>IF(main!BD141="","",ROUND(main!BD141*100,6))</f>
        <v/>
      </c>
      <c r="AS138" s="68" t="str">
        <f>IF(main!BE141="","",ROUND(main!BE141*100,6))</f>
        <v/>
      </c>
      <c r="AT138" s="68" t="str">
        <f>IF(main!BF141="","",ROUND(main!BF141*100,6))</f>
        <v/>
      </c>
      <c r="AU138" s="68" t="str">
        <f>IF(main!BG141="","",ROUND(main!BG141*100,6))</f>
        <v/>
      </c>
      <c r="AV138" s="68" t="str">
        <f>IF(main!BH141="","",ROUND(main!BH141*100,6))</f>
        <v/>
      </c>
      <c r="AW138" s="68" t="str">
        <f>IF(main!BI141="","",ROUND(main!BI141*100,6))</f>
        <v/>
      </c>
      <c r="AX138" s="68" t="str">
        <f>IF(main!BJ141="","",ROUND(main!BJ141*100,6))</f>
        <v/>
      </c>
      <c r="AY138" s="68" t="str">
        <f>IF(main!BK141="","",ROUND(main!BK141*100,6))</f>
        <v/>
      </c>
      <c r="AZ138" s="68" t="str">
        <f>IF(main!BL141="","",ROUND(main!BL141*100,6))</f>
        <v/>
      </c>
      <c r="BA138" s="68" t="str">
        <f>IF(main!BM141="","",ROUND(main!BM141*100,6))</f>
        <v/>
      </c>
      <c r="BB138" s="68" t="str">
        <f>IF(main!BN141="","",ROUND(main!BN141*100,6))</f>
        <v/>
      </c>
      <c r="BC138" s="68" t="str">
        <f>IF(main!BO141="","",ROUND(main!BO141*100,6))</f>
        <v/>
      </c>
      <c r="BD138" s="68">
        <f>IF(main!BP141="","",ROUND(main!BP141*100,6))</f>
        <v>7.1428570000000002</v>
      </c>
      <c r="BE138" s="68">
        <f>IF(main!BQ141="","",ROUND(main!BQ141*100,6))</f>
        <v>50</v>
      </c>
      <c r="BF138" s="68">
        <f>IF(main!BR141="","",ROUND(main!BR141*100,6))</f>
        <v>42.857143000000001</v>
      </c>
      <c r="BG138" s="68" t="str">
        <f>IF(main!BS141="","",ROUND(main!BS141*100,6))</f>
        <v/>
      </c>
      <c r="BH138" s="68" t="str">
        <f>IF(main!BT141="","",ROUND(main!BT141*100,6))</f>
        <v/>
      </c>
      <c r="BI138" s="68" t="str">
        <f>IF(main!BU141="","",ROUND(main!BU141*100,6))</f>
        <v/>
      </c>
      <c r="BJ138" s="68" t="str">
        <f>IF(main!BV141="","",ROUND(main!BV141*100,6))</f>
        <v/>
      </c>
      <c r="BK138" s="68" t="str">
        <f>IF(main!BW141="","",ROUND(main!BW141*100,6))</f>
        <v/>
      </c>
      <c r="BL138" s="68" t="str">
        <f>IF(main!BX141="","",ROUND(main!BX141*100,6))</f>
        <v/>
      </c>
      <c r="BM138" s="68" t="str">
        <f>IF(main!BY141="","",ROUND(main!BY141*100,6))</f>
        <v/>
      </c>
      <c r="BN138" s="68" t="str">
        <f>IF(main!BZ141="","",ROUND(main!BZ141*100,6))</f>
        <v/>
      </c>
      <c r="BO138" s="68" t="str">
        <f>IF(main!CA141="","",ROUND(main!CA141*100,6))</f>
        <v/>
      </c>
      <c r="BP138" s="68" t="str">
        <f>IF(main!CB141="","",ROUND(main!CB141*100,6))</f>
        <v/>
      </c>
      <c r="BQ138" s="68" t="str">
        <f>IF(main!CC141="","",ROUND(main!CC141*100,6))</f>
        <v/>
      </c>
      <c r="BR138" s="68" t="str">
        <f>IF(main!CD141="","",ROUND(main!CD141*100,6))</f>
        <v/>
      </c>
      <c r="BS138" s="68" t="str">
        <f>IF(main!CE141="","",ROUND(main!CE141*100,6))</f>
        <v/>
      </c>
      <c r="BT138" s="68" t="str">
        <f>IF(main!CF141="","",ROUND(main!CF141*100,6))</f>
        <v/>
      </c>
      <c r="BU138" s="68" t="str">
        <f>IF(main!CG141="","",ROUND(main!CG141*100,6))</f>
        <v/>
      </c>
      <c r="BV138" s="68" t="str">
        <f>IF(main!CH141="","",ROUND(main!CH141*100,6))</f>
        <v/>
      </c>
      <c r="BW138" s="68" t="str">
        <f>IF(main!CI141="","",ROUND(main!CI141*100,6))</f>
        <v/>
      </c>
      <c r="BX138" s="68" t="str">
        <f>IF(main!CJ141="","",ROUND(main!CJ141*100,6))</f>
        <v/>
      </c>
      <c r="BY138" s="68" t="str">
        <f>IF(main!CK141="","",ROUND(main!CK141*100,6))</f>
        <v/>
      </c>
      <c r="BZ138" s="68" t="str">
        <f>IF(main!CL141="","",ROUND(main!CL141*100,6))</f>
        <v/>
      </c>
      <c r="CA138" s="68" t="str">
        <f>IF(main!CM141="","",ROUND(main!CM141*100,6))</f>
        <v/>
      </c>
      <c r="CB138" s="68" t="str">
        <f>IF(main!CN141="","",ROUND(main!CN141*100,6))</f>
        <v/>
      </c>
      <c r="CC138" s="68" t="str">
        <f>IF(main!CO141="","",ROUND(main!CO141*100,6))</f>
        <v/>
      </c>
    </row>
    <row r="139" spans="1:81" x14ac:dyDescent="0.25">
      <c r="A139" s="65" t="s">
        <v>282</v>
      </c>
      <c r="B139" s="66" t="str">
        <f>main!C141</f>
        <v>ทางเข้าบันไดรอง 1</v>
      </c>
      <c r="C139" s="67">
        <f>main!O141</f>
        <v>100000</v>
      </c>
      <c r="D139" s="65" t="s">
        <v>111</v>
      </c>
      <c r="E139" s="68" t="str">
        <f t="shared" si="2"/>
        <v/>
      </c>
      <c r="F139" s="68" t="str">
        <f>IF(main!R142="","",ROUND(main!R142*100,6))</f>
        <v/>
      </c>
      <c r="G139" s="68" t="str">
        <f>IF(main!S142="","",ROUND(main!S142*100,6))</f>
        <v/>
      </c>
      <c r="H139" s="68" t="str">
        <f>IF(main!T142="","",ROUND(main!T142*100,6))</f>
        <v/>
      </c>
      <c r="I139" s="68" t="str">
        <f>IF(main!U142="","",ROUND(main!U142*100,6))</f>
        <v/>
      </c>
      <c r="J139" s="68" t="str">
        <f>IF(main!V142="","",ROUND(main!V142*100,6))</f>
        <v/>
      </c>
      <c r="K139" s="68" t="str">
        <f>IF(main!W142="","",ROUND(main!W142*100,6))</f>
        <v/>
      </c>
      <c r="L139" s="68" t="str">
        <f>IF(main!X142="","",ROUND(main!X142*100,6))</f>
        <v/>
      </c>
      <c r="M139" s="68" t="str">
        <f>IF(main!Y142="","",ROUND(main!Y142*100,6))</f>
        <v/>
      </c>
      <c r="N139" s="68" t="str">
        <f>IF(main!Z142="","",ROUND(main!Z142*100,6))</f>
        <v/>
      </c>
      <c r="O139" s="68" t="str">
        <f>IF(main!AA142="","",ROUND(main!AA142*100,6))</f>
        <v/>
      </c>
      <c r="P139" s="68" t="str">
        <f>IF(main!AB142="","",ROUND(main!AB142*100,6))</f>
        <v/>
      </c>
      <c r="Q139" s="68" t="str">
        <f>IF(main!AC142="","",ROUND(main!AC142*100,6))</f>
        <v/>
      </c>
      <c r="R139" s="68" t="str">
        <f>IF(main!AD142="","",ROUND(main!AD142*100,6))</f>
        <v/>
      </c>
      <c r="S139" s="68" t="str">
        <f>IF(main!AE142="","",ROUND(main!AE142*100,6))</f>
        <v/>
      </c>
      <c r="T139" s="68" t="str">
        <f>IF(main!AF142="","",ROUND(main!AF142*100,6))</f>
        <v/>
      </c>
      <c r="U139" s="68" t="str">
        <f>IF(main!AG142="","",ROUND(main!AG142*100,6))</f>
        <v/>
      </c>
      <c r="V139" s="68" t="str">
        <f>IF(main!AH142="","",ROUND(main!AH142*100,6))</f>
        <v/>
      </c>
      <c r="W139" s="68" t="str">
        <f>IF(main!AI142="","",ROUND(main!AI142*100,6))</f>
        <v/>
      </c>
      <c r="X139" s="68" t="str">
        <f>IF(main!AJ142="","",ROUND(main!AJ142*100,6))</f>
        <v/>
      </c>
      <c r="Y139" s="68" t="str">
        <f>IF(main!AK142="","",ROUND(main!AK142*100,6))</f>
        <v/>
      </c>
      <c r="Z139" s="68" t="str">
        <f>IF(main!AL142="","",ROUND(main!AL142*100,6))</f>
        <v/>
      </c>
      <c r="AA139" s="68" t="str">
        <f>IF(main!AM142="","",ROUND(main!AM142*100,6))</f>
        <v/>
      </c>
      <c r="AB139" s="68" t="str">
        <f>IF(main!AN142="","",ROUND(main!AN142*100,6))</f>
        <v/>
      </c>
      <c r="AC139" s="68" t="str">
        <f>IF(main!AO142="","",ROUND(main!AO142*100,6))</f>
        <v/>
      </c>
      <c r="AD139" s="68" t="str">
        <f>IF(main!AP142="","",ROUND(main!AP142*100,6))</f>
        <v/>
      </c>
      <c r="AE139" s="68" t="str">
        <f>IF(main!AQ142="","",ROUND(main!AQ142*100,6))</f>
        <v/>
      </c>
      <c r="AF139" s="68" t="str">
        <f>IF(main!AR142="","",ROUND(main!AR142*100,6))</f>
        <v/>
      </c>
      <c r="AG139" s="68" t="str">
        <f>IF(main!AS142="","",ROUND(main!AS142*100,6))</f>
        <v/>
      </c>
      <c r="AH139" s="68" t="str">
        <f>IF(main!AT142="","",ROUND(main!AT142*100,6))</f>
        <v/>
      </c>
      <c r="AI139" s="68" t="str">
        <f>IF(main!AU142="","",ROUND(main!AU142*100,6))</f>
        <v/>
      </c>
      <c r="AJ139" s="68" t="str">
        <f>IF(main!AV142="","",ROUND(main!AV142*100,6))</f>
        <v/>
      </c>
      <c r="AK139" s="68" t="str">
        <f>IF(main!AW142="","",ROUND(main!AW142*100,6))</f>
        <v/>
      </c>
      <c r="AL139" s="68" t="str">
        <f>IF(main!AX142="","",ROUND(main!AX142*100,6))</f>
        <v/>
      </c>
      <c r="AM139" s="68" t="str">
        <f>IF(main!AY142="","",ROUND(main!AY142*100,6))</f>
        <v/>
      </c>
      <c r="AN139" s="68" t="str">
        <f>IF(main!AZ142="","",ROUND(main!AZ142*100,6))</f>
        <v/>
      </c>
      <c r="AO139" s="68" t="str">
        <f>IF(main!BA142="","",ROUND(main!BA142*100,6))</f>
        <v/>
      </c>
      <c r="AP139" s="68" t="str">
        <f>IF(main!BB142="","",ROUND(main!BB142*100,6))</f>
        <v/>
      </c>
      <c r="AQ139" s="68" t="str">
        <f>IF(main!BC142="","",ROUND(main!BC142*100,6))</f>
        <v/>
      </c>
      <c r="AR139" s="68" t="str">
        <f>IF(main!BD142="","",ROUND(main!BD142*100,6))</f>
        <v/>
      </c>
      <c r="AS139" s="68" t="str">
        <f>IF(main!BE142="","",ROUND(main!BE142*100,6))</f>
        <v/>
      </c>
      <c r="AT139" s="68" t="str">
        <f>IF(main!BF142="","",ROUND(main!BF142*100,6))</f>
        <v/>
      </c>
      <c r="AU139" s="68" t="str">
        <f>IF(main!BG142="","",ROUND(main!BG142*100,6))</f>
        <v/>
      </c>
      <c r="AV139" s="68" t="str">
        <f>IF(main!BH142="","",ROUND(main!BH142*100,6))</f>
        <v/>
      </c>
      <c r="AW139" s="68" t="str">
        <f>IF(main!BI142="","",ROUND(main!BI142*100,6))</f>
        <v/>
      </c>
      <c r="AX139" s="68" t="str">
        <f>IF(main!BJ142="","",ROUND(main!BJ142*100,6))</f>
        <v/>
      </c>
      <c r="AY139" s="68" t="str">
        <f>IF(main!BK142="","",ROUND(main!BK142*100,6))</f>
        <v/>
      </c>
      <c r="AZ139" s="68" t="str">
        <f>IF(main!BL142="","",ROUND(main!BL142*100,6))</f>
        <v/>
      </c>
      <c r="BA139" s="68" t="str">
        <f>IF(main!BM142="","",ROUND(main!BM142*100,6))</f>
        <v/>
      </c>
      <c r="BB139" s="68" t="str">
        <f>IF(main!BN142="","",ROUND(main!BN142*100,6))</f>
        <v/>
      </c>
      <c r="BC139" s="68" t="str">
        <f>IF(main!BO142="","",ROUND(main!BO142*100,6))</f>
        <v/>
      </c>
      <c r="BD139" s="68" t="str">
        <f>IF(main!BP142="","",ROUND(main!BP142*100,6))</f>
        <v/>
      </c>
      <c r="BE139" s="68" t="str">
        <f>IF(main!BQ142="","",ROUND(main!BQ142*100,6))</f>
        <v/>
      </c>
      <c r="BF139" s="68" t="str">
        <f>IF(main!BR142="","",ROUND(main!BR142*100,6))</f>
        <v/>
      </c>
      <c r="BG139" s="68" t="str">
        <f>IF(main!BS142="","",ROUND(main!BS142*100,6))</f>
        <v/>
      </c>
      <c r="BH139" s="68" t="str">
        <f>IF(main!BT142="","",ROUND(main!BT142*100,6))</f>
        <v/>
      </c>
      <c r="BI139" s="68" t="str">
        <f>IF(main!BU142="","",ROUND(main!BU142*100,6))</f>
        <v/>
      </c>
      <c r="BJ139" s="68" t="str">
        <f>IF(main!BV142="","",ROUND(main!BV142*100,6))</f>
        <v/>
      </c>
      <c r="BK139" s="68" t="str">
        <f>IF(main!BW142="","",ROUND(main!BW142*100,6))</f>
        <v/>
      </c>
      <c r="BL139" s="68" t="str">
        <f>IF(main!BX142="","",ROUND(main!BX142*100,6))</f>
        <v/>
      </c>
      <c r="BM139" s="68" t="str">
        <f>IF(main!BY142="","",ROUND(main!BY142*100,6))</f>
        <v/>
      </c>
      <c r="BN139" s="68" t="str">
        <f>IF(main!BZ142="","",ROUND(main!BZ142*100,6))</f>
        <v/>
      </c>
      <c r="BO139" s="68" t="str">
        <f>IF(main!CA142="","",ROUND(main!CA142*100,6))</f>
        <v/>
      </c>
      <c r="BP139" s="68" t="str">
        <f>IF(main!CB142="","",ROUND(main!CB142*100,6))</f>
        <v/>
      </c>
      <c r="BQ139" s="68" t="str">
        <f>IF(main!CC142="","",ROUND(main!CC142*100,6))</f>
        <v/>
      </c>
      <c r="BR139" s="68" t="str">
        <f>IF(main!CD142="","",ROUND(main!CD142*100,6))</f>
        <v/>
      </c>
      <c r="BS139" s="68" t="str">
        <f>IF(main!CE142="","",ROUND(main!CE142*100,6))</f>
        <v/>
      </c>
      <c r="BT139" s="68" t="str">
        <f>IF(main!CF142="","",ROUND(main!CF142*100,6))</f>
        <v/>
      </c>
      <c r="BU139" s="68" t="str">
        <f>IF(main!CG142="","",ROUND(main!CG142*100,6))</f>
        <v/>
      </c>
      <c r="BV139" s="68" t="str">
        <f>IF(main!CH142="","",ROUND(main!CH142*100,6))</f>
        <v/>
      </c>
      <c r="BW139" s="68" t="str">
        <f>IF(main!CI142="","",ROUND(main!CI142*100,6))</f>
        <v/>
      </c>
      <c r="BX139" s="68" t="str">
        <f>IF(main!CJ142="","",ROUND(main!CJ142*100,6))</f>
        <v/>
      </c>
      <c r="BY139" s="68" t="str">
        <f>IF(main!CK142="","",ROUND(main!CK142*100,6))</f>
        <v/>
      </c>
      <c r="BZ139" s="68" t="str">
        <f>IF(main!CL142="","",ROUND(main!CL142*100,6))</f>
        <v/>
      </c>
      <c r="CA139" s="68" t="str">
        <f>IF(main!CM142="","",ROUND(main!CM142*100,6))</f>
        <v/>
      </c>
      <c r="CB139" s="68" t="str">
        <f>IF(main!CN142="","",ROUND(main!CN142*100,6))</f>
        <v/>
      </c>
      <c r="CC139" s="68" t="str">
        <f>IF(main!CO142="","",ROUND(main!CO142*100,6))</f>
        <v/>
      </c>
    </row>
    <row r="140" spans="1:81" x14ac:dyDescent="0.25">
      <c r="A140" s="65" t="s">
        <v>285</v>
      </c>
      <c r="B140" s="66" t="str">
        <f>main!C143</f>
        <v>ทางเข้าบันไดรอง 2</v>
      </c>
      <c r="C140" s="67">
        <f>main!O143</f>
        <v>100000</v>
      </c>
      <c r="D140" s="65" t="s">
        <v>110</v>
      </c>
      <c r="E140" s="68">
        <f t="shared" si="2"/>
        <v>100</v>
      </c>
      <c r="F140" s="68" t="str">
        <f>IF(main!R143="","",ROUND(main!R143*100,6))</f>
        <v/>
      </c>
      <c r="G140" s="68" t="str">
        <f>IF(main!S143="","",ROUND(main!S143*100,6))</f>
        <v/>
      </c>
      <c r="H140" s="68" t="str">
        <f>IF(main!T143="","",ROUND(main!T143*100,6))</f>
        <v/>
      </c>
      <c r="I140" s="68" t="str">
        <f>IF(main!U143="","",ROUND(main!U143*100,6))</f>
        <v/>
      </c>
      <c r="J140" s="68" t="str">
        <f>IF(main!V143="","",ROUND(main!V143*100,6))</f>
        <v/>
      </c>
      <c r="K140" s="68" t="str">
        <f>IF(main!W143="","",ROUND(main!W143*100,6))</f>
        <v/>
      </c>
      <c r="L140" s="68" t="str">
        <f>IF(main!X143="","",ROUND(main!X143*100,6))</f>
        <v/>
      </c>
      <c r="M140" s="68" t="str">
        <f>IF(main!Y143="","",ROUND(main!Y143*100,6))</f>
        <v/>
      </c>
      <c r="N140" s="68" t="str">
        <f>IF(main!Z143="","",ROUND(main!Z143*100,6))</f>
        <v/>
      </c>
      <c r="O140" s="68" t="str">
        <f>IF(main!AA143="","",ROUND(main!AA143*100,6))</f>
        <v/>
      </c>
      <c r="P140" s="68" t="str">
        <f>IF(main!AB143="","",ROUND(main!AB143*100,6))</f>
        <v/>
      </c>
      <c r="Q140" s="68" t="str">
        <f>IF(main!AC143="","",ROUND(main!AC143*100,6))</f>
        <v/>
      </c>
      <c r="R140" s="68" t="str">
        <f>IF(main!AD143="","",ROUND(main!AD143*100,6))</f>
        <v/>
      </c>
      <c r="S140" s="68" t="str">
        <f>IF(main!AE143="","",ROUND(main!AE143*100,6))</f>
        <v/>
      </c>
      <c r="T140" s="68" t="str">
        <f>IF(main!AF143="","",ROUND(main!AF143*100,6))</f>
        <v/>
      </c>
      <c r="U140" s="68" t="str">
        <f>IF(main!AG143="","",ROUND(main!AG143*100,6))</f>
        <v/>
      </c>
      <c r="V140" s="68" t="str">
        <f>IF(main!AH143="","",ROUND(main!AH143*100,6))</f>
        <v/>
      </c>
      <c r="W140" s="68" t="str">
        <f>IF(main!AI143="","",ROUND(main!AI143*100,6))</f>
        <v/>
      </c>
      <c r="X140" s="68" t="str">
        <f>IF(main!AJ143="","",ROUND(main!AJ143*100,6))</f>
        <v/>
      </c>
      <c r="Y140" s="68" t="str">
        <f>IF(main!AK143="","",ROUND(main!AK143*100,6))</f>
        <v/>
      </c>
      <c r="Z140" s="68" t="str">
        <f>IF(main!AL143="","",ROUND(main!AL143*100,6))</f>
        <v/>
      </c>
      <c r="AA140" s="68" t="str">
        <f>IF(main!AM143="","",ROUND(main!AM143*100,6))</f>
        <v/>
      </c>
      <c r="AB140" s="68" t="str">
        <f>IF(main!AN143="","",ROUND(main!AN143*100,6))</f>
        <v/>
      </c>
      <c r="AC140" s="68" t="str">
        <f>IF(main!AO143="","",ROUND(main!AO143*100,6))</f>
        <v/>
      </c>
      <c r="AD140" s="68" t="str">
        <f>IF(main!AP143="","",ROUND(main!AP143*100,6))</f>
        <v/>
      </c>
      <c r="AE140" s="68" t="str">
        <f>IF(main!AQ143="","",ROUND(main!AQ143*100,6))</f>
        <v/>
      </c>
      <c r="AF140" s="68" t="str">
        <f>IF(main!AR143="","",ROUND(main!AR143*100,6))</f>
        <v/>
      </c>
      <c r="AG140" s="68" t="str">
        <f>IF(main!AS143="","",ROUND(main!AS143*100,6))</f>
        <v/>
      </c>
      <c r="AH140" s="68" t="str">
        <f>IF(main!AT143="","",ROUND(main!AT143*100,6))</f>
        <v/>
      </c>
      <c r="AI140" s="68" t="str">
        <f>IF(main!AU143="","",ROUND(main!AU143*100,6))</f>
        <v/>
      </c>
      <c r="AJ140" s="68" t="str">
        <f>IF(main!AV143="","",ROUND(main!AV143*100,6))</f>
        <v/>
      </c>
      <c r="AK140" s="68" t="str">
        <f>IF(main!AW143="","",ROUND(main!AW143*100,6))</f>
        <v/>
      </c>
      <c r="AL140" s="68" t="str">
        <f>IF(main!AX143="","",ROUND(main!AX143*100,6))</f>
        <v/>
      </c>
      <c r="AM140" s="68" t="str">
        <f>IF(main!AY143="","",ROUND(main!AY143*100,6))</f>
        <v/>
      </c>
      <c r="AN140" s="68" t="str">
        <f>IF(main!AZ143="","",ROUND(main!AZ143*100,6))</f>
        <v/>
      </c>
      <c r="AO140" s="68" t="str">
        <f>IF(main!BA143="","",ROUND(main!BA143*100,6))</f>
        <v/>
      </c>
      <c r="AP140" s="68" t="str">
        <f>IF(main!BB143="","",ROUND(main!BB143*100,6))</f>
        <v/>
      </c>
      <c r="AQ140" s="68" t="str">
        <f>IF(main!BC143="","",ROUND(main!BC143*100,6))</f>
        <v/>
      </c>
      <c r="AR140" s="68" t="str">
        <f>IF(main!BD143="","",ROUND(main!BD143*100,6))</f>
        <v/>
      </c>
      <c r="AS140" s="68" t="str">
        <f>IF(main!BE143="","",ROUND(main!BE143*100,6))</f>
        <v/>
      </c>
      <c r="AT140" s="68" t="str">
        <f>IF(main!BF143="","",ROUND(main!BF143*100,6))</f>
        <v/>
      </c>
      <c r="AU140" s="68" t="str">
        <f>IF(main!BG143="","",ROUND(main!BG143*100,6))</f>
        <v/>
      </c>
      <c r="AV140" s="68" t="str">
        <f>IF(main!BH143="","",ROUND(main!BH143*100,6))</f>
        <v/>
      </c>
      <c r="AW140" s="68" t="str">
        <f>IF(main!BI143="","",ROUND(main!BI143*100,6))</f>
        <v/>
      </c>
      <c r="AX140" s="68" t="str">
        <f>IF(main!BJ143="","",ROUND(main!BJ143*100,6))</f>
        <v/>
      </c>
      <c r="AY140" s="68" t="str">
        <f>IF(main!BK143="","",ROUND(main!BK143*100,6))</f>
        <v/>
      </c>
      <c r="AZ140" s="68" t="str">
        <f>IF(main!BL143="","",ROUND(main!BL143*100,6))</f>
        <v/>
      </c>
      <c r="BA140" s="68">
        <f>IF(main!BM143="","",ROUND(main!BM143*100,6))</f>
        <v>9.0909089999999999</v>
      </c>
      <c r="BB140" s="68">
        <f>IF(main!BN143="","",ROUND(main!BN143*100,6))</f>
        <v>63.636364</v>
      </c>
      <c r="BC140" s="68">
        <f>IF(main!BO143="","",ROUND(main!BO143*100,6))</f>
        <v>27.272727</v>
      </c>
      <c r="BD140" s="68" t="str">
        <f>IF(main!BP143="","",ROUND(main!BP143*100,6))</f>
        <v/>
      </c>
      <c r="BE140" s="68" t="str">
        <f>IF(main!BQ143="","",ROUND(main!BQ143*100,6))</f>
        <v/>
      </c>
      <c r="BF140" s="68" t="str">
        <f>IF(main!BR143="","",ROUND(main!BR143*100,6))</f>
        <v/>
      </c>
      <c r="BG140" s="68" t="str">
        <f>IF(main!BS143="","",ROUND(main!BS143*100,6))</f>
        <v/>
      </c>
      <c r="BH140" s="68" t="str">
        <f>IF(main!BT143="","",ROUND(main!BT143*100,6))</f>
        <v/>
      </c>
      <c r="BI140" s="68" t="str">
        <f>IF(main!BU143="","",ROUND(main!BU143*100,6))</f>
        <v/>
      </c>
      <c r="BJ140" s="68" t="str">
        <f>IF(main!BV143="","",ROUND(main!BV143*100,6))</f>
        <v/>
      </c>
      <c r="BK140" s="68" t="str">
        <f>IF(main!BW143="","",ROUND(main!BW143*100,6))</f>
        <v/>
      </c>
      <c r="BL140" s="68" t="str">
        <f>IF(main!BX143="","",ROUND(main!BX143*100,6))</f>
        <v/>
      </c>
      <c r="BM140" s="68" t="str">
        <f>IF(main!BY143="","",ROUND(main!BY143*100,6))</f>
        <v/>
      </c>
      <c r="BN140" s="68" t="str">
        <f>IF(main!BZ143="","",ROUND(main!BZ143*100,6))</f>
        <v/>
      </c>
      <c r="BO140" s="68" t="str">
        <f>IF(main!CA143="","",ROUND(main!CA143*100,6))</f>
        <v/>
      </c>
      <c r="BP140" s="68" t="str">
        <f>IF(main!CB143="","",ROUND(main!CB143*100,6))</f>
        <v/>
      </c>
      <c r="BQ140" s="68" t="str">
        <f>IF(main!CC143="","",ROUND(main!CC143*100,6))</f>
        <v/>
      </c>
      <c r="BR140" s="68" t="str">
        <f>IF(main!CD143="","",ROUND(main!CD143*100,6))</f>
        <v/>
      </c>
      <c r="BS140" s="68" t="str">
        <f>IF(main!CE143="","",ROUND(main!CE143*100,6))</f>
        <v/>
      </c>
      <c r="BT140" s="68" t="str">
        <f>IF(main!CF143="","",ROUND(main!CF143*100,6))</f>
        <v/>
      </c>
      <c r="BU140" s="68" t="str">
        <f>IF(main!CG143="","",ROUND(main!CG143*100,6))</f>
        <v/>
      </c>
      <c r="BV140" s="68" t="str">
        <f>IF(main!CH143="","",ROUND(main!CH143*100,6))</f>
        <v/>
      </c>
      <c r="BW140" s="68" t="str">
        <f>IF(main!CI143="","",ROUND(main!CI143*100,6))</f>
        <v/>
      </c>
      <c r="BX140" s="68" t="str">
        <f>IF(main!CJ143="","",ROUND(main!CJ143*100,6))</f>
        <v/>
      </c>
      <c r="BY140" s="68" t="str">
        <f>IF(main!CK143="","",ROUND(main!CK143*100,6))</f>
        <v/>
      </c>
      <c r="BZ140" s="68" t="str">
        <f>IF(main!CL143="","",ROUND(main!CL143*100,6))</f>
        <v/>
      </c>
      <c r="CA140" s="68" t="str">
        <f>IF(main!CM143="","",ROUND(main!CM143*100,6))</f>
        <v/>
      </c>
      <c r="CB140" s="68" t="str">
        <f>IF(main!CN143="","",ROUND(main!CN143*100,6))</f>
        <v/>
      </c>
      <c r="CC140" s="68" t="str">
        <f>IF(main!CO143="","",ROUND(main!CO143*100,6))</f>
        <v/>
      </c>
    </row>
    <row r="141" spans="1:81" x14ac:dyDescent="0.25">
      <c r="A141" s="65" t="s">
        <v>285</v>
      </c>
      <c r="B141" s="66" t="str">
        <f>main!C143</f>
        <v>ทางเข้าบันไดรอง 2</v>
      </c>
      <c r="C141" s="67">
        <f>main!O143</f>
        <v>100000</v>
      </c>
      <c r="D141" s="65" t="s">
        <v>111</v>
      </c>
      <c r="E141" s="68" t="str">
        <f t="shared" si="2"/>
        <v/>
      </c>
      <c r="F141" s="68" t="str">
        <f>IF(main!R144="","",ROUND(main!R144*100,6))</f>
        <v/>
      </c>
      <c r="G141" s="68" t="str">
        <f>IF(main!S144="","",ROUND(main!S144*100,6))</f>
        <v/>
      </c>
      <c r="H141" s="68" t="str">
        <f>IF(main!T144="","",ROUND(main!T144*100,6))</f>
        <v/>
      </c>
      <c r="I141" s="68" t="str">
        <f>IF(main!U144="","",ROUND(main!U144*100,6))</f>
        <v/>
      </c>
      <c r="J141" s="68" t="str">
        <f>IF(main!V144="","",ROUND(main!V144*100,6))</f>
        <v/>
      </c>
      <c r="K141" s="68" t="str">
        <f>IF(main!W144="","",ROUND(main!W144*100,6))</f>
        <v/>
      </c>
      <c r="L141" s="68" t="str">
        <f>IF(main!X144="","",ROUND(main!X144*100,6))</f>
        <v/>
      </c>
      <c r="M141" s="68" t="str">
        <f>IF(main!Y144="","",ROUND(main!Y144*100,6))</f>
        <v/>
      </c>
      <c r="N141" s="68" t="str">
        <f>IF(main!Z144="","",ROUND(main!Z144*100,6))</f>
        <v/>
      </c>
      <c r="O141" s="68" t="str">
        <f>IF(main!AA144="","",ROUND(main!AA144*100,6))</f>
        <v/>
      </c>
      <c r="P141" s="68" t="str">
        <f>IF(main!AB144="","",ROUND(main!AB144*100,6))</f>
        <v/>
      </c>
      <c r="Q141" s="68" t="str">
        <f>IF(main!AC144="","",ROUND(main!AC144*100,6))</f>
        <v/>
      </c>
      <c r="R141" s="68" t="str">
        <f>IF(main!AD144="","",ROUND(main!AD144*100,6))</f>
        <v/>
      </c>
      <c r="S141" s="68" t="str">
        <f>IF(main!AE144="","",ROUND(main!AE144*100,6))</f>
        <v/>
      </c>
      <c r="T141" s="68" t="str">
        <f>IF(main!AF144="","",ROUND(main!AF144*100,6))</f>
        <v/>
      </c>
      <c r="U141" s="68" t="str">
        <f>IF(main!AG144="","",ROUND(main!AG144*100,6))</f>
        <v/>
      </c>
      <c r="V141" s="68" t="str">
        <f>IF(main!AH144="","",ROUND(main!AH144*100,6))</f>
        <v/>
      </c>
      <c r="W141" s="68" t="str">
        <f>IF(main!AI144="","",ROUND(main!AI144*100,6))</f>
        <v/>
      </c>
      <c r="X141" s="68" t="str">
        <f>IF(main!AJ144="","",ROUND(main!AJ144*100,6))</f>
        <v/>
      </c>
      <c r="Y141" s="68" t="str">
        <f>IF(main!AK144="","",ROUND(main!AK144*100,6))</f>
        <v/>
      </c>
      <c r="Z141" s="68" t="str">
        <f>IF(main!AL144="","",ROUND(main!AL144*100,6))</f>
        <v/>
      </c>
      <c r="AA141" s="68" t="str">
        <f>IF(main!AM144="","",ROUND(main!AM144*100,6))</f>
        <v/>
      </c>
      <c r="AB141" s="68" t="str">
        <f>IF(main!AN144="","",ROUND(main!AN144*100,6))</f>
        <v/>
      </c>
      <c r="AC141" s="68" t="str">
        <f>IF(main!AO144="","",ROUND(main!AO144*100,6))</f>
        <v/>
      </c>
      <c r="AD141" s="68" t="str">
        <f>IF(main!AP144="","",ROUND(main!AP144*100,6))</f>
        <v/>
      </c>
      <c r="AE141" s="68" t="str">
        <f>IF(main!AQ144="","",ROUND(main!AQ144*100,6))</f>
        <v/>
      </c>
      <c r="AF141" s="68" t="str">
        <f>IF(main!AR144="","",ROUND(main!AR144*100,6))</f>
        <v/>
      </c>
      <c r="AG141" s="68" t="str">
        <f>IF(main!AS144="","",ROUND(main!AS144*100,6))</f>
        <v/>
      </c>
      <c r="AH141" s="68" t="str">
        <f>IF(main!AT144="","",ROUND(main!AT144*100,6))</f>
        <v/>
      </c>
      <c r="AI141" s="68" t="str">
        <f>IF(main!AU144="","",ROUND(main!AU144*100,6))</f>
        <v/>
      </c>
      <c r="AJ141" s="68" t="str">
        <f>IF(main!AV144="","",ROUND(main!AV144*100,6))</f>
        <v/>
      </c>
      <c r="AK141" s="68" t="str">
        <f>IF(main!AW144="","",ROUND(main!AW144*100,6))</f>
        <v/>
      </c>
      <c r="AL141" s="68" t="str">
        <f>IF(main!AX144="","",ROUND(main!AX144*100,6))</f>
        <v/>
      </c>
      <c r="AM141" s="68" t="str">
        <f>IF(main!AY144="","",ROUND(main!AY144*100,6))</f>
        <v/>
      </c>
      <c r="AN141" s="68" t="str">
        <f>IF(main!AZ144="","",ROUND(main!AZ144*100,6))</f>
        <v/>
      </c>
      <c r="AO141" s="68" t="str">
        <f>IF(main!BA144="","",ROUND(main!BA144*100,6))</f>
        <v/>
      </c>
      <c r="AP141" s="68" t="str">
        <f>IF(main!BB144="","",ROUND(main!BB144*100,6))</f>
        <v/>
      </c>
      <c r="AQ141" s="68" t="str">
        <f>IF(main!BC144="","",ROUND(main!BC144*100,6))</f>
        <v/>
      </c>
      <c r="AR141" s="68" t="str">
        <f>IF(main!BD144="","",ROUND(main!BD144*100,6))</f>
        <v/>
      </c>
      <c r="AS141" s="68" t="str">
        <f>IF(main!BE144="","",ROUND(main!BE144*100,6))</f>
        <v/>
      </c>
      <c r="AT141" s="68" t="str">
        <f>IF(main!BF144="","",ROUND(main!BF144*100,6))</f>
        <v/>
      </c>
      <c r="AU141" s="68" t="str">
        <f>IF(main!BG144="","",ROUND(main!BG144*100,6))</f>
        <v/>
      </c>
      <c r="AV141" s="68" t="str">
        <f>IF(main!BH144="","",ROUND(main!BH144*100,6))</f>
        <v/>
      </c>
      <c r="AW141" s="68" t="str">
        <f>IF(main!BI144="","",ROUND(main!BI144*100,6))</f>
        <v/>
      </c>
      <c r="AX141" s="68" t="str">
        <f>IF(main!BJ144="","",ROUND(main!BJ144*100,6))</f>
        <v/>
      </c>
      <c r="AY141" s="68" t="str">
        <f>IF(main!BK144="","",ROUND(main!BK144*100,6))</f>
        <v/>
      </c>
      <c r="AZ141" s="68" t="str">
        <f>IF(main!BL144="","",ROUND(main!BL144*100,6))</f>
        <v/>
      </c>
      <c r="BA141" s="68" t="str">
        <f>IF(main!BM144="","",ROUND(main!BM144*100,6))</f>
        <v/>
      </c>
      <c r="BB141" s="68" t="str">
        <f>IF(main!BN144="","",ROUND(main!BN144*100,6))</f>
        <v/>
      </c>
      <c r="BC141" s="68" t="str">
        <f>IF(main!BO144="","",ROUND(main!BO144*100,6))</f>
        <v/>
      </c>
      <c r="BD141" s="68" t="str">
        <f>IF(main!BP144="","",ROUND(main!BP144*100,6))</f>
        <v/>
      </c>
      <c r="BE141" s="68" t="str">
        <f>IF(main!BQ144="","",ROUND(main!BQ144*100,6))</f>
        <v/>
      </c>
      <c r="BF141" s="68" t="str">
        <f>IF(main!BR144="","",ROUND(main!BR144*100,6))</f>
        <v/>
      </c>
      <c r="BG141" s="68" t="str">
        <f>IF(main!BS144="","",ROUND(main!BS144*100,6))</f>
        <v/>
      </c>
      <c r="BH141" s="68" t="str">
        <f>IF(main!BT144="","",ROUND(main!BT144*100,6))</f>
        <v/>
      </c>
      <c r="BI141" s="68" t="str">
        <f>IF(main!BU144="","",ROUND(main!BU144*100,6))</f>
        <v/>
      </c>
      <c r="BJ141" s="68" t="str">
        <f>IF(main!BV144="","",ROUND(main!BV144*100,6))</f>
        <v/>
      </c>
      <c r="BK141" s="68" t="str">
        <f>IF(main!BW144="","",ROUND(main!BW144*100,6))</f>
        <v/>
      </c>
      <c r="BL141" s="68" t="str">
        <f>IF(main!BX144="","",ROUND(main!BX144*100,6))</f>
        <v/>
      </c>
      <c r="BM141" s="68" t="str">
        <f>IF(main!BY144="","",ROUND(main!BY144*100,6))</f>
        <v/>
      </c>
      <c r="BN141" s="68" t="str">
        <f>IF(main!BZ144="","",ROUND(main!BZ144*100,6))</f>
        <v/>
      </c>
      <c r="BO141" s="68" t="str">
        <f>IF(main!CA144="","",ROUND(main!CA144*100,6))</f>
        <v/>
      </c>
      <c r="BP141" s="68" t="str">
        <f>IF(main!CB144="","",ROUND(main!CB144*100,6))</f>
        <v/>
      </c>
      <c r="BQ141" s="68" t="str">
        <f>IF(main!CC144="","",ROUND(main!CC144*100,6))</f>
        <v/>
      </c>
      <c r="BR141" s="68" t="str">
        <f>IF(main!CD144="","",ROUND(main!CD144*100,6))</f>
        <v/>
      </c>
      <c r="BS141" s="68" t="str">
        <f>IF(main!CE144="","",ROUND(main!CE144*100,6))</f>
        <v/>
      </c>
      <c r="BT141" s="68" t="str">
        <f>IF(main!CF144="","",ROUND(main!CF144*100,6))</f>
        <v/>
      </c>
      <c r="BU141" s="68" t="str">
        <f>IF(main!CG144="","",ROUND(main!CG144*100,6))</f>
        <v/>
      </c>
      <c r="BV141" s="68" t="str">
        <f>IF(main!CH144="","",ROUND(main!CH144*100,6))</f>
        <v/>
      </c>
      <c r="BW141" s="68" t="str">
        <f>IF(main!CI144="","",ROUND(main!CI144*100,6))</f>
        <v/>
      </c>
      <c r="BX141" s="68" t="str">
        <f>IF(main!CJ144="","",ROUND(main!CJ144*100,6))</f>
        <v/>
      </c>
      <c r="BY141" s="68" t="str">
        <f>IF(main!CK144="","",ROUND(main!CK144*100,6))</f>
        <v/>
      </c>
      <c r="BZ141" s="68" t="str">
        <f>IF(main!CL144="","",ROUND(main!CL144*100,6))</f>
        <v/>
      </c>
      <c r="CA141" s="68" t="str">
        <f>IF(main!CM144="","",ROUND(main!CM144*100,6))</f>
        <v/>
      </c>
      <c r="CB141" s="68" t="str">
        <f>IF(main!CN144="","",ROUND(main!CN144*100,6))</f>
        <v/>
      </c>
      <c r="CC141" s="68" t="str">
        <f>IF(main!CO144="","",ROUND(main!CO144*100,6))</f>
        <v/>
      </c>
    </row>
    <row r="142" spans="1:81" x14ac:dyDescent="0.25">
      <c r="A142" s="65" t="s">
        <v>288</v>
      </c>
      <c r="B142" s="66" t="str">
        <f>main!C145</f>
        <v>Entrance ST2</v>
      </c>
      <c r="C142" s="67">
        <f>main!O145</f>
        <v>100000</v>
      </c>
      <c r="D142" s="65" t="s">
        <v>110</v>
      </c>
      <c r="E142" s="68">
        <f t="shared" si="2"/>
        <v>100</v>
      </c>
      <c r="F142" s="68" t="str">
        <f>IF(main!R145="","",ROUND(main!R145*100,6))</f>
        <v/>
      </c>
      <c r="G142" s="68" t="str">
        <f>IF(main!S145="","",ROUND(main!S145*100,6))</f>
        <v/>
      </c>
      <c r="H142" s="68" t="str">
        <f>IF(main!T145="","",ROUND(main!T145*100,6))</f>
        <v/>
      </c>
      <c r="I142" s="68" t="str">
        <f>IF(main!U145="","",ROUND(main!U145*100,6))</f>
        <v/>
      </c>
      <c r="J142" s="68" t="str">
        <f>IF(main!V145="","",ROUND(main!V145*100,6))</f>
        <v/>
      </c>
      <c r="K142" s="68" t="str">
        <f>IF(main!W145="","",ROUND(main!W145*100,6))</f>
        <v/>
      </c>
      <c r="L142" s="68" t="str">
        <f>IF(main!X145="","",ROUND(main!X145*100,6))</f>
        <v/>
      </c>
      <c r="M142" s="68" t="str">
        <f>IF(main!Y145="","",ROUND(main!Y145*100,6))</f>
        <v/>
      </c>
      <c r="N142" s="68" t="str">
        <f>IF(main!Z145="","",ROUND(main!Z145*100,6))</f>
        <v/>
      </c>
      <c r="O142" s="68" t="str">
        <f>IF(main!AA145="","",ROUND(main!AA145*100,6))</f>
        <v/>
      </c>
      <c r="P142" s="68" t="str">
        <f>IF(main!AB145="","",ROUND(main!AB145*100,6))</f>
        <v/>
      </c>
      <c r="Q142" s="68" t="str">
        <f>IF(main!AC145="","",ROUND(main!AC145*100,6))</f>
        <v/>
      </c>
      <c r="R142" s="68" t="str">
        <f>IF(main!AD145="","",ROUND(main!AD145*100,6))</f>
        <v/>
      </c>
      <c r="S142" s="68" t="str">
        <f>IF(main!AE145="","",ROUND(main!AE145*100,6))</f>
        <v/>
      </c>
      <c r="T142" s="68" t="str">
        <f>IF(main!AF145="","",ROUND(main!AF145*100,6))</f>
        <v/>
      </c>
      <c r="U142" s="68" t="str">
        <f>IF(main!AG145="","",ROUND(main!AG145*100,6))</f>
        <v/>
      </c>
      <c r="V142" s="68" t="str">
        <f>IF(main!AH145="","",ROUND(main!AH145*100,6))</f>
        <v/>
      </c>
      <c r="W142" s="68" t="str">
        <f>IF(main!AI145="","",ROUND(main!AI145*100,6))</f>
        <v/>
      </c>
      <c r="X142" s="68" t="str">
        <f>IF(main!AJ145="","",ROUND(main!AJ145*100,6))</f>
        <v/>
      </c>
      <c r="Y142" s="68" t="str">
        <f>IF(main!AK145="","",ROUND(main!AK145*100,6))</f>
        <v/>
      </c>
      <c r="Z142" s="68" t="str">
        <f>IF(main!AL145="","",ROUND(main!AL145*100,6))</f>
        <v/>
      </c>
      <c r="AA142" s="68" t="str">
        <f>IF(main!AM145="","",ROUND(main!AM145*100,6))</f>
        <v/>
      </c>
      <c r="AB142" s="68" t="str">
        <f>IF(main!AN145="","",ROUND(main!AN145*100,6))</f>
        <v/>
      </c>
      <c r="AC142" s="68" t="str">
        <f>IF(main!AO145="","",ROUND(main!AO145*100,6))</f>
        <v/>
      </c>
      <c r="AD142" s="68" t="str">
        <f>IF(main!AP145="","",ROUND(main!AP145*100,6))</f>
        <v/>
      </c>
      <c r="AE142" s="68" t="str">
        <f>IF(main!AQ145="","",ROUND(main!AQ145*100,6))</f>
        <v/>
      </c>
      <c r="AF142" s="68" t="str">
        <f>IF(main!AR145="","",ROUND(main!AR145*100,6))</f>
        <v/>
      </c>
      <c r="AG142" s="68" t="str">
        <f>IF(main!AS145="","",ROUND(main!AS145*100,6))</f>
        <v/>
      </c>
      <c r="AH142" s="68" t="str">
        <f>IF(main!AT145="","",ROUND(main!AT145*100,6))</f>
        <v/>
      </c>
      <c r="AI142" s="68" t="str">
        <f>IF(main!AU145="","",ROUND(main!AU145*100,6))</f>
        <v/>
      </c>
      <c r="AJ142" s="68" t="str">
        <f>IF(main!AV145="","",ROUND(main!AV145*100,6))</f>
        <v/>
      </c>
      <c r="AK142" s="68" t="str">
        <f>IF(main!AW145="","",ROUND(main!AW145*100,6))</f>
        <v/>
      </c>
      <c r="AL142" s="68" t="str">
        <f>IF(main!AX145="","",ROUND(main!AX145*100,6))</f>
        <v/>
      </c>
      <c r="AM142" s="68" t="str">
        <f>IF(main!AY145="","",ROUND(main!AY145*100,6))</f>
        <v/>
      </c>
      <c r="AN142" s="68" t="str">
        <f>IF(main!AZ145="","",ROUND(main!AZ145*100,6))</f>
        <v/>
      </c>
      <c r="AO142" s="68" t="str">
        <f>IF(main!BA145="","",ROUND(main!BA145*100,6))</f>
        <v/>
      </c>
      <c r="AP142" s="68" t="str">
        <f>IF(main!BB145="","",ROUND(main!BB145*100,6))</f>
        <v/>
      </c>
      <c r="AQ142" s="68" t="str">
        <f>IF(main!BC145="","",ROUND(main!BC145*100,6))</f>
        <v/>
      </c>
      <c r="AR142" s="68" t="str">
        <f>IF(main!BD145="","",ROUND(main!BD145*100,6))</f>
        <v/>
      </c>
      <c r="AS142" s="68" t="str">
        <f>IF(main!BE145="","",ROUND(main!BE145*100,6))</f>
        <v/>
      </c>
      <c r="AT142" s="68" t="str">
        <f>IF(main!BF145="","",ROUND(main!BF145*100,6))</f>
        <v/>
      </c>
      <c r="AU142" s="68" t="str">
        <f>IF(main!BG145="","",ROUND(main!BG145*100,6))</f>
        <v/>
      </c>
      <c r="AV142" s="68" t="str">
        <f>IF(main!BH145="","",ROUND(main!BH145*100,6))</f>
        <v/>
      </c>
      <c r="AW142" s="68" t="str">
        <f>IF(main!BI145="","",ROUND(main!BI145*100,6))</f>
        <v/>
      </c>
      <c r="AX142" s="68" t="str">
        <f>IF(main!BJ145="","",ROUND(main!BJ145*100,6))</f>
        <v/>
      </c>
      <c r="AY142" s="68" t="str">
        <f>IF(main!BK145="","",ROUND(main!BK145*100,6))</f>
        <v/>
      </c>
      <c r="AZ142" s="68" t="str">
        <f>IF(main!BL145="","",ROUND(main!BL145*100,6))</f>
        <v/>
      </c>
      <c r="BA142" s="68" t="str">
        <f>IF(main!BM145="","",ROUND(main!BM145*100,6))</f>
        <v/>
      </c>
      <c r="BB142" s="68" t="str">
        <f>IF(main!BN145="","",ROUND(main!BN145*100,6))</f>
        <v/>
      </c>
      <c r="BC142" s="68">
        <f>IF(main!BO145="","",ROUND(main!BO145*100,6))</f>
        <v>44.444443999999997</v>
      </c>
      <c r="BD142" s="68">
        <f>IF(main!BP145="","",ROUND(main!BP145*100,6))</f>
        <v>55.555556000000003</v>
      </c>
      <c r="BE142" s="68" t="str">
        <f>IF(main!BQ145="","",ROUND(main!BQ145*100,6))</f>
        <v/>
      </c>
      <c r="BF142" s="68" t="str">
        <f>IF(main!BR145="","",ROUND(main!BR145*100,6))</f>
        <v/>
      </c>
      <c r="BG142" s="68" t="str">
        <f>IF(main!BS145="","",ROUND(main!BS145*100,6))</f>
        <v/>
      </c>
      <c r="BH142" s="68" t="str">
        <f>IF(main!BT145="","",ROUND(main!BT145*100,6))</f>
        <v/>
      </c>
      <c r="BI142" s="68" t="str">
        <f>IF(main!BU145="","",ROUND(main!BU145*100,6))</f>
        <v/>
      </c>
      <c r="BJ142" s="68" t="str">
        <f>IF(main!BV145="","",ROUND(main!BV145*100,6))</f>
        <v/>
      </c>
      <c r="BK142" s="68" t="str">
        <f>IF(main!BW145="","",ROUND(main!BW145*100,6))</f>
        <v/>
      </c>
      <c r="BL142" s="68" t="str">
        <f>IF(main!BX145="","",ROUND(main!BX145*100,6))</f>
        <v/>
      </c>
      <c r="BM142" s="68" t="str">
        <f>IF(main!BY145="","",ROUND(main!BY145*100,6))</f>
        <v/>
      </c>
      <c r="BN142" s="68" t="str">
        <f>IF(main!BZ145="","",ROUND(main!BZ145*100,6))</f>
        <v/>
      </c>
      <c r="BO142" s="68" t="str">
        <f>IF(main!CA145="","",ROUND(main!CA145*100,6))</f>
        <v/>
      </c>
      <c r="BP142" s="68" t="str">
        <f>IF(main!CB145="","",ROUND(main!CB145*100,6))</f>
        <v/>
      </c>
      <c r="BQ142" s="68" t="str">
        <f>IF(main!CC145="","",ROUND(main!CC145*100,6))</f>
        <v/>
      </c>
      <c r="BR142" s="68" t="str">
        <f>IF(main!CD145="","",ROUND(main!CD145*100,6))</f>
        <v/>
      </c>
      <c r="BS142" s="68" t="str">
        <f>IF(main!CE145="","",ROUND(main!CE145*100,6))</f>
        <v/>
      </c>
      <c r="BT142" s="68" t="str">
        <f>IF(main!CF145="","",ROUND(main!CF145*100,6))</f>
        <v/>
      </c>
      <c r="BU142" s="68" t="str">
        <f>IF(main!CG145="","",ROUND(main!CG145*100,6))</f>
        <v/>
      </c>
      <c r="BV142" s="68" t="str">
        <f>IF(main!CH145="","",ROUND(main!CH145*100,6))</f>
        <v/>
      </c>
      <c r="BW142" s="68" t="str">
        <f>IF(main!CI145="","",ROUND(main!CI145*100,6))</f>
        <v/>
      </c>
      <c r="BX142" s="68" t="str">
        <f>IF(main!CJ145="","",ROUND(main!CJ145*100,6))</f>
        <v/>
      </c>
      <c r="BY142" s="68" t="str">
        <f>IF(main!CK145="","",ROUND(main!CK145*100,6))</f>
        <v/>
      </c>
      <c r="BZ142" s="68" t="str">
        <f>IF(main!CL145="","",ROUND(main!CL145*100,6))</f>
        <v/>
      </c>
      <c r="CA142" s="68" t="str">
        <f>IF(main!CM145="","",ROUND(main!CM145*100,6))</f>
        <v/>
      </c>
      <c r="CB142" s="68" t="str">
        <f>IF(main!CN145="","",ROUND(main!CN145*100,6))</f>
        <v/>
      </c>
      <c r="CC142" s="68" t="str">
        <f>IF(main!CO145="","",ROUND(main!CO145*100,6))</f>
        <v/>
      </c>
    </row>
    <row r="143" spans="1:81" x14ac:dyDescent="0.25">
      <c r="A143" s="65" t="s">
        <v>288</v>
      </c>
      <c r="B143" s="66" t="str">
        <f>main!C145</f>
        <v>Entrance ST2</v>
      </c>
      <c r="C143" s="67">
        <f>main!O145</f>
        <v>100000</v>
      </c>
      <c r="D143" s="65" t="s">
        <v>111</v>
      </c>
      <c r="E143" s="68" t="str">
        <f t="shared" si="2"/>
        <v/>
      </c>
      <c r="F143" s="68" t="str">
        <f>IF(main!R146="","",ROUND(main!R146*100,6))</f>
        <v/>
      </c>
      <c r="G143" s="68" t="str">
        <f>IF(main!S146="","",ROUND(main!S146*100,6))</f>
        <v/>
      </c>
      <c r="H143" s="68" t="str">
        <f>IF(main!T146="","",ROUND(main!T146*100,6))</f>
        <v/>
      </c>
      <c r="I143" s="68" t="str">
        <f>IF(main!U146="","",ROUND(main!U146*100,6))</f>
        <v/>
      </c>
      <c r="J143" s="68" t="str">
        <f>IF(main!V146="","",ROUND(main!V146*100,6))</f>
        <v/>
      </c>
      <c r="K143" s="68" t="str">
        <f>IF(main!W146="","",ROUND(main!W146*100,6))</f>
        <v/>
      </c>
      <c r="L143" s="68" t="str">
        <f>IF(main!X146="","",ROUND(main!X146*100,6))</f>
        <v/>
      </c>
      <c r="M143" s="68" t="str">
        <f>IF(main!Y146="","",ROUND(main!Y146*100,6))</f>
        <v/>
      </c>
      <c r="N143" s="68" t="str">
        <f>IF(main!Z146="","",ROUND(main!Z146*100,6))</f>
        <v/>
      </c>
      <c r="O143" s="68" t="str">
        <f>IF(main!AA146="","",ROUND(main!AA146*100,6))</f>
        <v/>
      </c>
      <c r="P143" s="68" t="str">
        <f>IF(main!AB146="","",ROUND(main!AB146*100,6))</f>
        <v/>
      </c>
      <c r="Q143" s="68" t="str">
        <f>IF(main!AC146="","",ROUND(main!AC146*100,6))</f>
        <v/>
      </c>
      <c r="R143" s="68" t="str">
        <f>IF(main!AD146="","",ROUND(main!AD146*100,6))</f>
        <v/>
      </c>
      <c r="S143" s="68" t="str">
        <f>IF(main!AE146="","",ROUND(main!AE146*100,6))</f>
        <v/>
      </c>
      <c r="T143" s="68" t="str">
        <f>IF(main!AF146="","",ROUND(main!AF146*100,6))</f>
        <v/>
      </c>
      <c r="U143" s="68" t="str">
        <f>IF(main!AG146="","",ROUND(main!AG146*100,6))</f>
        <v/>
      </c>
      <c r="V143" s="68" t="str">
        <f>IF(main!AH146="","",ROUND(main!AH146*100,6))</f>
        <v/>
      </c>
      <c r="W143" s="68" t="str">
        <f>IF(main!AI146="","",ROUND(main!AI146*100,6))</f>
        <v/>
      </c>
      <c r="X143" s="68" t="str">
        <f>IF(main!AJ146="","",ROUND(main!AJ146*100,6))</f>
        <v/>
      </c>
      <c r="Y143" s="68" t="str">
        <f>IF(main!AK146="","",ROUND(main!AK146*100,6))</f>
        <v/>
      </c>
      <c r="Z143" s="68" t="str">
        <f>IF(main!AL146="","",ROUND(main!AL146*100,6))</f>
        <v/>
      </c>
      <c r="AA143" s="68" t="str">
        <f>IF(main!AM146="","",ROUND(main!AM146*100,6))</f>
        <v/>
      </c>
      <c r="AB143" s="68" t="str">
        <f>IF(main!AN146="","",ROUND(main!AN146*100,6))</f>
        <v/>
      </c>
      <c r="AC143" s="68" t="str">
        <f>IF(main!AO146="","",ROUND(main!AO146*100,6))</f>
        <v/>
      </c>
      <c r="AD143" s="68" t="str">
        <f>IF(main!AP146="","",ROUND(main!AP146*100,6))</f>
        <v/>
      </c>
      <c r="AE143" s="68" t="str">
        <f>IF(main!AQ146="","",ROUND(main!AQ146*100,6))</f>
        <v/>
      </c>
      <c r="AF143" s="68" t="str">
        <f>IF(main!AR146="","",ROUND(main!AR146*100,6))</f>
        <v/>
      </c>
      <c r="AG143" s="68" t="str">
        <f>IF(main!AS146="","",ROUND(main!AS146*100,6))</f>
        <v/>
      </c>
      <c r="AH143" s="68" t="str">
        <f>IF(main!AT146="","",ROUND(main!AT146*100,6))</f>
        <v/>
      </c>
      <c r="AI143" s="68" t="str">
        <f>IF(main!AU146="","",ROUND(main!AU146*100,6))</f>
        <v/>
      </c>
      <c r="AJ143" s="68" t="str">
        <f>IF(main!AV146="","",ROUND(main!AV146*100,6))</f>
        <v/>
      </c>
      <c r="AK143" s="68" t="str">
        <f>IF(main!AW146="","",ROUND(main!AW146*100,6))</f>
        <v/>
      </c>
      <c r="AL143" s="68" t="str">
        <f>IF(main!AX146="","",ROUND(main!AX146*100,6))</f>
        <v/>
      </c>
      <c r="AM143" s="68" t="str">
        <f>IF(main!AY146="","",ROUND(main!AY146*100,6))</f>
        <v/>
      </c>
      <c r="AN143" s="68" t="str">
        <f>IF(main!AZ146="","",ROUND(main!AZ146*100,6))</f>
        <v/>
      </c>
      <c r="AO143" s="68" t="str">
        <f>IF(main!BA146="","",ROUND(main!BA146*100,6))</f>
        <v/>
      </c>
      <c r="AP143" s="68" t="str">
        <f>IF(main!BB146="","",ROUND(main!BB146*100,6))</f>
        <v/>
      </c>
      <c r="AQ143" s="68" t="str">
        <f>IF(main!BC146="","",ROUND(main!BC146*100,6))</f>
        <v/>
      </c>
      <c r="AR143" s="68" t="str">
        <f>IF(main!BD146="","",ROUND(main!BD146*100,6))</f>
        <v/>
      </c>
      <c r="AS143" s="68" t="str">
        <f>IF(main!BE146="","",ROUND(main!BE146*100,6))</f>
        <v/>
      </c>
      <c r="AT143" s="68" t="str">
        <f>IF(main!BF146="","",ROUND(main!BF146*100,6))</f>
        <v/>
      </c>
      <c r="AU143" s="68" t="str">
        <f>IF(main!BG146="","",ROUND(main!BG146*100,6))</f>
        <v/>
      </c>
      <c r="AV143" s="68" t="str">
        <f>IF(main!BH146="","",ROUND(main!BH146*100,6))</f>
        <v/>
      </c>
      <c r="AW143" s="68" t="str">
        <f>IF(main!BI146="","",ROUND(main!BI146*100,6))</f>
        <v/>
      </c>
      <c r="AX143" s="68" t="str">
        <f>IF(main!BJ146="","",ROUND(main!BJ146*100,6))</f>
        <v/>
      </c>
      <c r="AY143" s="68" t="str">
        <f>IF(main!BK146="","",ROUND(main!BK146*100,6))</f>
        <v/>
      </c>
      <c r="AZ143" s="68" t="str">
        <f>IF(main!BL146="","",ROUND(main!BL146*100,6))</f>
        <v/>
      </c>
      <c r="BA143" s="68" t="str">
        <f>IF(main!BM146="","",ROUND(main!BM146*100,6))</f>
        <v/>
      </c>
      <c r="BB143" s="68" t="str">
        <f>IF(main!BN146="","",ROUND(main!BN146*100,6))</f>
        <v/>
      </c>
      <c r="BC143" s="68" t="str">
        <f>IF(main!BO146="","",ROUND(main!BO146*100,6))</f>
        <v/>
      </c>
      <c r="BD143" s="68" t="str">
        <f>IF(main!BP146="","",ROUND(main!BP146*100,6))</f>
        <v/>
      </c>
      <c r="BE143" s="68" t="str">
        <f>IF(main!BQ146="","",ROUND(main!BQ146*100,6))</f>
        <v/>
      </c>
      <c r="BF143" s="68" t="str">
        <f>IF(main!BR146="","",ROUND(main!BR146*100,6))</f>
        <v/>
      </c>
      <c r="BG143" s="68" t="str">
        <f>IF(main!BS146="","",ROUND(main!BS146*100,6))</f>
        <v/>
      </c>
      <c r="BH143" s="68" t="str">
        <f>IF(main!BT146="","",ROUND(main!BT146*100,6))</f>
        <v/>
      </c>
      <c r="BI143" s="68" t="str">
        <f>IF(main!BU146="","",ROUND(main!BU146*100,6))</f>
        <v/>
      </c>
      <c r="BJ143" s="68" t="str">
        <f>IF(main!BV146="","",ROUND(main!BV146*100,6))</f>
        <v/>
      </c>
      <c r="BK143" s="68" t="str">
        <f>IF(main!BW146="","",ROUND(main!BW146*100,6))</f>
        <v/>
      </c>
      <c r="BL143" s="68" t="str">
        <f>IF(main!BX146="","",ROUND(main!BX146*100,6))</f>
        <v/>
      </c>
      <c r="BM143" s="68" t="str">
        <f>IF(main!BY146="","",ROUND(main!BY146*100,6))</f>
        <v/>
      </c>
      <c r="BN143" s="68" t="str">
        <f>IF(main!BZ146="","",ROUND(main!BZ146*100,6))</f>
        <v/>
      </c>
      <c r="BO143" s="68" t="str">
        <f>IF(main!CA146="","",ROUND(main!CA146*100,6))</f>
        <v/>
      </c>
      <c r="BP143" s="68" t="str">
        <f>IF(main!CB146="","",ROUND(main!CB146*100,6))</f>
        <v/>
      </c>
      <c r="BQ143" s="68" t="str">
        <f>IF(main!CC146="","",ROUND(main!CC146*100,6))</f>
        <v/>
      </c>
      <c r="BR143" s="68" t="str">
        <f>IF(main!CD146="","",ROUND(main!CD146*100,6))</f>
        <v/>
      </c>
      <c r="BS143" s="68" t="str">
        <f>IF(main!CE146="","",ROUND(main!CE146*100,6))</f>
        <v/>
      </c>
      <c r="BT143" s="68" t="str">
        <f>IF(main!CF146="","",ROUND(main!CF146*100,6))</f>
        <v/>
      </c>
      <c r="BU143" s="68" t="str">
        <f>IF(main!CG146="","",ROUND(main!CG146*100,6))</f>
        <v/>
      </c>
      <c r="BV143" s="68" t="str">
        <f>IF(main!CH146="","",ROUND(main!CH146*100,6))</f>
        <v/>
      </c>
      <c r="BW143" s="68" t="str">
        <f>IF(main!CI146="","",ROUND(main!CI146*100,6))</f>
        <v/>
      </c>
      <c r="BX143" s="68" t="str">
        <f>IF(main!CJ146="","",ROUND(main!CJ146*100,6))</f>
        <v/>
      </c>
      <c r="BY143" s="68" t="str">
        <f>IF(main!CK146="","",ROUND(main!CK146*100,6))</f>
        <v/>
      </c>
      <c r="BZ143" s="68" t="str">
        <f>IF(main!CL146="","",ROUND(main!CL146*100,6))</f>
        <v/>
      </c>
      <c r="CA143" s="68" t="str">
        <f>IF(main!CM146="","",ROUND(main!CM146*100,6))</f>
        <v/>
      </c>
      <c r="CB143" s="68" t="str">
        <f>IF(main!CN146="","",ROUND(main!CN146*100,6))</f>
        <v/>
      </c>
      <c r="CC143" s="68" t="str">
        <f>IF(main!CO146="","",ROUND(main!CO146*100,6))</f>
        <v/>
      </c>
    </row>
    <row r="144" spans="1:81" x14ac:dyDescent="0.25">
      <c r="A144" s="65" t="s">
        <v>291</v>
      </c>
      <c r="B144" s="66" t="str">
        <f>main!C147</f>
        <v>Entrance ST4</v>
      </c>
      <c r="C144" s="67">
        <f>main!O147</f>
        <v>100000</v>
      </c>
      <c r="D144" s="65" t="s">
        <v>110</v>
      </c>
      <c r="E144" s="68">
        <f t="shared" si="2"/>
        <v>100</v>
      </c>
      <c r="F144" s="68" t="str">
        <f>IF(main!R147="","",ROUND(main!R147*100,6))</f>
        <v/>
      </c>
      <c r="G144" s="68" t="str">
        <f>IF(main!S147="","",ROUND(main!S147*100,6))</f>
        <v/>
      </c>
      <c r="H144" s="68" t="str">
        <f>IF(main!T147="","",ROUND(main!T147*100,6))</f>
        <v/>
      </c>
      <c r="I144" s="68" t="str">
        <f>IF(main!U147="","",ROUND(main!U147*100,6))</f>
        <v/>
      </c>
      <c r="J144" s="68" t="str">
        <f>IF(main!V147="","",ROUND(main!V147*100,6))</f>
        <v/>
      </c>
      <c r="K144" s="68" t="str">
        <f>IF(main!W147="","",ROUND(main!W147*100,6))</f>
        <v/>
      </c>
      <c r="L144" s="68" t="str">
        <f>IF(main!X147="","",ROUND(main!X147*100,6))</f>
        <v/>
      </c>
      <c r="M144" s="68" t="str">
        <f>IF(main!Y147="","",ROUND(main!Y147*100,6))</f>
        <v/>
      </c>
      <c r="N144" s="68" t="str">
        <f>IF(main!Z147="","",ROUND(main!Z147*100,6))</f>
        <v/>
      </c>
      <c r="O144" s="68" t="str">
        <f>IF(main!AA147="","",ROUND(main!AA147*100,6))</f>
        <v/>
      </c>
      <c r="P144" s="68" t="str">
        <f>IF(main!AB147="","",ROUND(main!AB147*100,6))</f>
        <v/>
      </c>
      <c r="Q144" s="68" t="str">
        <f>IF(main!AC147="","",ROUND(main!AC147*100,6))</f>
        <v/>
      </c>
      <c r="R144" s="68" t="str">
        <f>IF(main!AD147="","",ROUND(main!AD147*100,6))</f>
        <v/>
      </c>
      <c r="S144" s="68" t="str">
        <f>IF(main!AE147="","",ROUND(main!AE147*100,6))</f>
        <v/>
      </c>
      <c r="T144" s="68" t="str">
        <f>IF(main!AF147="","",ROUND(main!AF147*100,6))</f>
        <v/>
      </c>
      <c r="U144" s="68" t="str">
        <f>IF(main!AG147="","",ROUND(main!AG147*100,6))</f>
        <v/>
      </c>
      <c r="V144" s="68" t="str">
        <f>IF(main!AH147="","",ROUND(main!AH147*100,6))</f>
        <v/>
      </c>
      <c r="W144" s="68" t="str">
        <f>IF(main!AI147="","",ROUND(main!AI147*100,6))</f>
        <v/>
      </c>
      <c r="X144" s="68" t="str">
        <f>IF(main!AJ147="","",ROUND(main!AJ147*100,6))</f>
        <v/>
      </c>
      <c r="Y144" s="68" t="str">
        <f>IF(main!AK147="","",ROUND(main!AK147*100,6))</f>
        <v/>
      </c>
      <c r="Z144" s="68" t="str">
        <f>IF(main!AL147="","",ROUND(main!AL147*100,6))</f>
        <v/>
      </c>
      <c r="AA144" s="68" t="str">
        <f>IF(main!AM147="","",ROUND(main!AM147*100,6))</f>
        <v/>
      </c>
      <c r="AB144" s="68" t="str">
        <f>IF(main!AN147="","",ROUND(main!AN147*100,6))</f>
        <v/>
      </c>
      <c r="AC144" s="68" t="str">
        <f>IF(main!AO147="","",ROUND(main!AO147*100,6))</f>
        <v/>
      </c>
      <c r="AD144" s="68" t="str">
        <f>IF(main!AP147="","",ROUND(main!AP147*100,6))</f>
        <v/>
      </c>
      <c r="AE144" s="68" t="str">
        <f>IF(main!AQ147="","",ROUND(main!AQ147*100,6))</f>
        <v/>
      </c>
      <c r="AF144" s="68" t="str">
        <f>IF(main!AR147="","",ROUND(main!AR147*100,6))</f>
        <v/>
      </c>
      <c r="AG144" s="68" t="str">
        <f>IF(main!AS147="","",ROUND(main!AS147*100,6))</f>
        <v/>
      </c>
      <c r="AH144" s="68" t="str">
        <f>IF(main!AT147="","",ROUND(main!AT147*100,6))</f>
        <v/>
      </c>
      <c r="AI144" s="68" t="str">
        <f>IF(main!AU147="","",ROUND(main!AU147*100,6))</f>
        <v/>
      </c>
      <c r="AJ144" s="68" t="str">
        <f>IF(main!AV147="","",ROUND(main!AV147*100,6))</f>
        <v/>
      </c>
      <c r="AK144" s="68" t="str">
        <f>IF(main!AW147="","",ROUND(main!AW147*100,6))</f>
        <v/>
      </c>
      <c r="AL144" s="68" t="str">
        <f>IF(main!AX147="","",ROUND(main!AX147*100,6))</f>
        <v/>
      </c>
      <c r="AM144" s="68" t="str">
        <f>IF(main!AY147="","",ROUND(main!AY147*100,6))</f>
        <v/>
      </c>
      <c r="AN144" s="68" t="str">
        <f>IF(main!AZ147="","",ROUND(main!AZ147*100,6))</f>
        <v/>
      </c>
      <c r="AO144" s="68" t="str">
        <f>IF(main!BA147="","",ROUND(main!BA147*100,6))</f>
        <v/>
      </c>
      <c r="AP144" s="68" t="str">
        <f>IF(main!BB147="","",ROUND(main!BB147*100,6))</f>
        <v/>
      </c>
      <c r="AQ144" s="68" t="str">
        <f>IF(main!BC147="","",ROUND(main!BC147*100,6))</f>
        <v/>
      </c>
      <c r="AR144" s="68" t="str">
        <f>IF(main!BD147="","",ROUND(main!BD147*100,6))</f>
        <v/>
      </c>
      <c r="AS144" s="68" t="str">
        <f>IF(main!BE147="","",ROUND(main!BE147*100,6))</f>
        <v/>
      </c>
      <c r="AT144" s="68" t="str">
        <f>IF(main!BF147="","",ROUND(main!BF147*100,6))</f>
        <v/>
      </c>
      <c r="AU144" s="68" t="str">
        <f>IF(main!BG147="","",ROUND(main!BG147*100,6))</f>
        <v/>
      </c>
      <c r="AV144" s="68" t="str">
        <f>IF(main!BH147="","",ROUND(main!BH147*100,6))</f>
        <v/>
      </c>
      <c r="AW144" s="68" t="str">
        <f>IF(main!BI147="","",ROUND(main!BI147*100,6))</f>
        <v/>
      </c>
      <c r="AX144" s="68" t="str">
        <f>IF(main!BJ147="","",ROUND(main!BJ147*100,6))</f>
        <v/>
      </c>
      <c r="AY144" s="68" t="str">
        <f>IF(main!BK147="","",ROUND(main!BK147*100,6))</f>
        <v/>
      </c>
      <c r="AZ144" s="68" t="str">
        <f>IF(main!BL147="","",ROUND(main!BL147*100,6))</f>
        <v/>
      </c>
      <c r="BA144" s="68" t="str">
        <f>IF(main!BM147="","",ROUND(main!BM147*100,6))</f>
        <v/>
      </c>
      <c r="BB144" s="68" t="str">
        <f>IF(main!BN147="","",ROUND(main!BN147*100,6))</f>
        <v/>
      </c>
      <c r="BC144" s="68" t="str">
        <f>IF(main!BO147="","",ROUND(main!BO147*100,6))</f>
        <v/>
      </c>
      <c r="BD144" s="68">
        <f>IF(main!BP147="","",ROUND(main!BP147*100,6))</f>
        <v>22.222221999999999</v>
      </c>
      <c r="BE144" s="68">
        <f>IF(main!BQ147="","",ROUND(main!BQ147*100,6))</f>
        <v>77.777777999999998</v>
      </c>
      <c r="BF144" s="68" t="str">
        <f>IF(main!BR147="","",ROUND(main!BR147*100,6))</f>
        <v/>
      </c>
      <c r="BG144" s="68" t="str">
        <f>IF(main!BS147="","",ROUND(main!BS147*100,6))</f>
        <v/>
      </c>
      <c r="BH144" s="68" t="str">
        <f>IF(main!BT147="","",ROUND(main!BT147*100,6))</f>
        <v/>
      </c>
      <c r="BI144" s="68" t="str">
        <f>IF(main!BU147="","",ROUND(main!BU147*100,6))</f>
        <v/>
      </c>
      <c r="BJ144" s="68" t="str">
        <f>IF(main!BV147="","",ROUND(main!BV147*100,6))</f>
        <v/>
      </c>
      <c r="BK144" s="68" t="str">
        <f>IF(main!BW147="","",ROUND(main!BW147*100,6))</f>
        <v/>
      </c>
      <c r="BL144" s="68" t="str">
        <f>IF(main!BX147="","",ROUND(main!BX147*100,6))</f>
        <v/>
      </c>
      <c r="BM144" s="68" t="str">
        <f>IF(main!BY147="","",ROUND(main!BY147*100,6))</f>
        <v/>
      </c>
      <c r="BN144" s="68" t="str">
        <f>IF(main!BZ147="","",ROUND(main!BZ147*100,6))</f>
        <v/>
      </c>
      <c r="BO144" s="68" t="str">
        <f>IF(main!CA147="","",ROUND(main!CA147*100,6))</f>
        <v/>
      </c>
      <c r="BP144" s="68" t="str">
        <f>IF(main!CB147="","",ROUND(main!CB147*100,6))</f>
        <v/>
      </c>
      <c r="BQ144" s="68" t="str">
        <f>IF(main!CC147="","",ROUND(main!CC147*100,6))</f>
        <v/>
      </c>
      <c r="BR144" s="68" t="str">
        <f>IF(main!CD147="","",ROUND(main!CD147*100,6))</f>
        <v/>
      </c>
      <c r="BS144" s="68" t="str">
        <f>IF(main!CE147="","",ROUND(main!CE147*100,6))</f>
        <v/>
      </c>
      <c r="BT144" s="68" t="str">
        <f>IF(main!CF147="","",ROUND(main!CF147*100,6))</f>
        <v/>
      </c>
      <c r="BU144" s="68" t="str">
        <f>IF(main!CG147="","",ROUND(main!CG147*100,6))</f>
        <v/>
      </c>
      <c r="BV144" s="68" t="str">
        <f>IF(main!CH147="","",ROUND(main!CH147*100,6))</f>
        <v/>
      </c>
      <c r="BW144" s="68" t="str">
        <f>IF(main!CI147="","",ROUND(main!CI147*100,6))</f>
        <v/>
      </c>
      <c r="BX144" s="68" t="str">
        <f>IF(main!CJ147="","",ROUND(main!CJ147*100,6))</f>
        <v/>
      </c>
      <c r="BY144" s="68" t="str">
        <f>IF(main!CK147="","",ROUND(main!CK147*100,6))</f>
        <v/>
      </c>
      <c r="BZ144" s="68" t="str">
        <f>IF(main!CL147="","",ROUND(main!CL147*100,6))</f>
        <v/>
      </c>
      <c r="CA144" s="68" t="str">
        <f>IF(main!CM147="","",ROUND(main!CM147*100,6))</f>
        <v/>
      </c>
      <c r="CB144" s="68" t="str">
        <f>IF(main!CN147="","",ROUND(main!CN147*100,6))</f>
        <v/>
      </c>
      <c r="CC144" s="68" t="str">
        <f>IF(main!CO147="","",ROUND(main!CO147*100,6))</f>
        <v/>
      </c>
    </row>
    <row r="145" spans="1:81" x14ac:dyDescent="0.25">
      <c r="A145" s="65" t="s">
        <v>291</v>
      </c>
      <c r="B145" s="66" t="str">
        <f>main!C147</f>
        <v>Entrance ST4</v>
      </c>
      <c r="C145" s="67">
        <f>main!O147</f>
        <v>100000</v>
      </c>
      <c r="D145" s="65" t="s">
        <v>111</v>
      </c>
      <c r="E145" s="68" t="str">
        <f t="shared" si="2"/>
        <v/>
      </c>
      <c r="F145" s="68" t="str">
        <f>IF(main!R148="","",ROUND(main!R148*100,6))</f>
        <v/>
      </c>
      <c r="G145" s="68" t="str">
        <f>IF(main!S148="","",ROUND(main!S148*100,6))</f>
        <v/>
      </c>
      <c r="H145" s="68" t="str">
        <f>IF(main!T148="","",ROUND(main!T148*100,6))</f>
        <v/>
      </c>
      <c r="I145" s="68" t="str">
        <f>IF(main!U148="","",ROUND(main!U148*100,6))</f>
        <v/>
      </c>
      <c r="J145" s="68" t="str">
        <f>IF(main!V148="","",ROUND(main!V148*100,6))</f>
        <v/>
      </c>
      <c r="K145" s="68" t="str">
        <f>IF(main!W148="","",ROUND(main!W148*100,6))</f>
        <v/>
      </c>
      <c r="L145" s="68" t="str">
        <f>IF(main!X148="","",ROUND(main!X148*100,6))</f>
        <v/>
      </c>
      <c r="M145" s="68" t="str">
        <f>IF(main!Y148="","",ROUND(main!Y148*100,6))</f>
        <v/>
      </c>
      <c r="N145" s="68" t="str">
        <f>IF(main!Z148="","",ROUND(main!Z148*100,6))</f>
        <v/>
      </c>
      <c r="O145" s="68" t="str">
        <f>IF(main!AA148="","",ROUND(main!AA148*100,6))</f>
        <v/>
      </c>
      <c r="P145" s="68" t="str">
        <f>IF(main!AB148="","",ROUND(main!AB148*100,6))</f>
        <v/>
      </c>
      <c r="Q145" s="68" t="str">
        <f>IF(main!AC148="","",ROUND(main!AC148*100,6))</f>
        <v/>
      </c>
      <c r="R145" s="68" t="str">
        <f>IF(main!AD148="","",ROUND(main!AD148*100,6))</f>
        <v/>
      </c>
      <c r="S145" s="68" t="str">
        <f>IF(main!AE148="","",ROUND(main!AE148*100,6))</f>
        <v/>
      </c>
      <c r="T145" s="68" t="str">
        <f>IF(main!AF148="","",ROUND(main!AF148*100,6))</f>
        <v/>
      </c>
      <c r="U145" s="68" t="str">
        <f>IF(main!AG148="","",ROUND(main!AG148*100,6))</f>
        <v/>
      </c>
      <c r="V145" s="68" t="str">
        <f>IF(main!AH148="","",ROUND(main!AH148*100,6))</f>
        <v/>
      </c>
      <c r="W145" s="68" t="str">
        <f>IF(main!AI148="","",ROUND(main!AI148*100,6))</f>
        <v/>
      </c>
      <c r="X145" s="68" t="str">
        <f>IF(main!AJ148="","",ROUND(main!AJ148*100,6))</f>
        <v/>
      </c>
      <c r="Y145" s="68" t="str">
        <f>IF(main!AK148="","",ROUND(main!AK148*100,6))</f>
        <v/>
      </c>
      <c r="Z145" s="68" t="str">
        <f>IF(main!AL148="","",ROUND(main!AL148*100,6))</f>
        <v/>
      </c>
      <c r="AA145" s="68" t="str">
        <f>IF(main!AM148="","",ROUND(main!AM148*100,6))</f>
        <v/>
      </c>
      <c r="AB145" s="68" t="str">
        <f>IF(main!AN148="","",ROUND(main!AN148*100,6))</f>
        <v/>
      </c>
      <c r="AC145" s="68" t="str">
        <f>IF(main!AO148="","",ROUND(main!AO148*100,6))</f>
        <v/>
      </c>
      <c r="AD145" s="68" t="str">
        <f>IF(main!AP148="","",ROUND(main!AP148*100,6))</f>
        <v/>
      </c>
      <c r="AE145" s="68" t="str">
        <f>IF(main!AQ148="","",ROUND(main!AQ148*100,6))</f>
        <v/>
      </c>
      <c r="AF145" s="68" t="str">
        <f>IF(main!AR148="","",ROUND(main!AR148*100,6))</f>
        <v/>
      </c>
      <c r="AG145" s="68" t="str">
        <f>IF(main!AS148="","",ROUND(main!AS148*100,6))</f>
        <v/>
      </c>
      <c r="AH145" s="68" t="str">
        <f>IF(main!AT148="","",ROUND(main!AT148*100,6))</f>
        <v/>
      </c>
      <c r="AI145" s="68" t="str">
        <f>IF(main!AU148="","",ROUND(main!AU148*100,6))</f>
        <v/>
      </c>
      <c r="AJ145" s="68" t="str">
        <f>IF(main!AV148="","",ROUND(main!AV148*100,6))</f>
        <v/>
      </c>
      <c r="AK145" s="68" t="str">
        <f>IF(main!AW148="","",ROUND(main!AW148*100,6))</f>
        <v/>
      </c>
      <c r="AL145" s="68" t="str">
        <f>IF(main!AX148="","",ROUND(main!AX148*100,6))</f>
        <v/>
      </c>
      <c r="AM145" s="68" t="str">
        <f>IF(main!AY148="","",ROUND(main!AY148*100,6))</f>
        <v/>
      </c>
      <c r="AN145" s="68" t="str">
        <f>IF(main!AZ148="","",ROUND(main!AZ148*100,6))</f>
        <v/>
      </c>
      <c r="AO145" s="68" t="str">
        <f>IF(main!BA148="","",ROUND(main!BA148*100,6))</f>
        <v/>
      </c>
      <c r="AP145" s="68" t="str">
        <f>IF(main!BB148="","",ROUND(main!BB148*100,6))</f>
        <v/>
      </c>
      <c r="AQ145" s="68" t="str">
        <f>IF(main!BC148="","",ROUND(main!BC148*100,6))</f>
        <v/>
      </c>
      <c r="AR145" s="68" t="str">
        <f>IF(main!BD148="","",ROUND(main!BD148*100,6))</f>
        <v/>
      </c>
      <c r="AS145" s="68" t="str">
        <f>IF(main!BE148="","",ROUND(main!BE148*100,6))</f>
        <v/>
      </c>
      <c r="AT145" s="68" t="str">
        <f>IF(main!BF148="","",ROUND(main!BF148*100,6))</f>
        <v/>
      </c>
      <c r="AU145" s="68" t="str">
        <f>IF(main!BG148="","",ROUND(main!BG148*100,6))</f>
        <v/>
      </c>
      <c r="AV145" s="68" t="str">
        <f>IF(main!BH148="","",ROUND(main!BH148*100,6))</f>
        <v/>
      </c>
      <c r="AW145" s="68" t="str">
        <f>IF(main!BI148="","",ROUND(main!BI148*100,6))</f>
        <v/>
      </c>
      <c r="AX145" s="68" t="str">
        <f>IF(main!BJ148="","",ROUND(main!BJ148*100,6))</f>
        <v/>
      </c>
      <c r="AY145" s="68" t="str">
        <f>IF(main!BK148="","",ROUND(main!BK148*100,6))</f>
        <v/>
      </c>
      <c r="AZ145" s="68" t="str">
        <f>IF(main!BL148="","",ROUND(main!BL148*100,6))</f>
        <v/>
      </c>
      <c r="BA145" s="68" t="str">
        <f>IF(main!BM148="","",ROUND(main!BM148*100,6))</f>
        <v/>
      </c>
      <c r="BB145" s="68" t="str">
        <f>IF(main!BN148="","",ROUND(main!BN148*100,6))</f>
        <v/>
      </c>
      <c r="BC145" s="68" t="str">
        <f>IF(main!BO148="","",ROUND(main!BO148*100,6))</f>
        <v/>
      </c>
      <c r="BD145" s="68" t="str">
        <f>IF(main!BP148="","",ROUND(main!BP148*100,6))</f>
        <v/>
      </c>
      <c r="BE145" s="68" t="str">
        <f>IF(main!BQ148="","",ROUND(main!BQ148*100,6))</f>
        <v/>
      </c>
      <c r="BF145" s="68" t="str">
        <f>IF(main!BR148="","",ROUND(main!BR148*100,6))</f>
        <v/>
      </c>
      <c r="BG145" s="68" t="str">
        <f>IF(main!BS148="","",ROUND(main!BS148*100,6))</f>
        <v/>
      </c>
      <c r="BH145" s="68" t="str">
        <f>IF(main!BT148="","",ROUND(main!BT148*100,6))</f>
        <v/>
      </c>
      <c r="BI145" s="68" t="str">
        <f>IF(main!BU148="","",ROUND(main!BU148*100,6))</f>
        <v/>
      </c>
      <c r="BJ145" s="68" t="str">
        <f>IF(main!BV148="","",ROUND(main!BV148*100,6))</f>
        <v/>
      </c>
      <c r="BK145" s="68" t="str">
        <f>IF(main!BW148="","",ROUND(main!BW148*100,6))</f>
        <v/>
      </c>
      <c r="BL145" s="68" t="str">
        <f>IF(main!BX148="","",ROUND(main!BX148*100,6))</f>
        <v/>
      </c>
      <c r="BM145" s="68" t="str">
        <f>IF(main!BY148="","",ROUND(main!BY148*100,6))</f>
        <v/>
      </c>
      <c r="BN145" s="68" t="str">
        <f>IF(main!BZ148="","",ROUND(main!BZ148*100,6))</f>
        <v/>
      </c>
      <c r="BO145" s="68" t="str">
        <f>IF(main!CA148="","",ROUND(main!CA148*100,6))</f>
        <v/>
      </c>
      <c r="BP145" s="68" t="str">
        <f>IF(main!CB148="","",ROUND(main!CB148*100,6))</f>
        <v/>
      </c>
      <c r="BQ145" s="68" t="str">
        <f>IF(main!CC148="","",ROUND(main!CC148*100,6))</f>
        <v/>
      </c>
      <c r="BR145" s="68" t="str">
        <f>IF(main!CD148="","",ROUND(main!CD148*100,6))</f>
        <v/>
      </c>
      <c r="BS145" s="68" t="str">
        <f>IF(main!CE148="","",ROUND(main!CE148*100,6))</f>
        <v/>
      </c>
      <c r="BT145" s="68" t="str">
        <f>IF(main!CF148="","",ROUND(main!CF148*100,6))</f>
        <v/>
      </c>
      <c r="BU145" s="68" t="str">
        <f>IF(main!CG148="","",ROUND(main!CG148*100,6))</f>
        <v/>
      </c>
      <c r="BV145" s="68" t="str">
        <f>IF(main!CH148="","",ROUND(main!CH148*100,6))</f>
        <v/>
      </c>
      <c r="BW145" s="68" t="str">
        <f>IF(main!CI148="","",ROUND(main!CI148*100,6))</f>
        <v/>
      </c>
      <c r="BX145" s="68" t="str">
        <f>IF(main!CJ148="","",ROUND(main!CJ148*100,6))</f>
        <v/>
      </c>
      <c r="BY145" s="68" t="str">
        <f>IF(main!CK148="","",ROUND(main!CK148*100,6))</f>
        <v/>
      </c>
      <c r="BZ145" s="68" t="str">
        <f>IF(main!CL148="","",ROUND(main!CL148*100,6))</f>
        <v/>
      </c>
      <c r="CA145" s="68" t="str">
        <f>IF(main!CM148="","",ROUND(main!CM148*100,6))</f>
        <v/>
      </c>
      <c r="CB145" s="68" t="str">
        <f>IF(main!CN148="","",ROUND(main!CN148*100,6))</f>
        <v/>
      </c>
      <c r="CC145" s="68" t="str">
        <f>IF(main!CO148="","",ROUND(main!CO148*100,6))</f>
        <v/>
      </c>
    </row>
    <row r="146" spans="1:81" x14ac:dyDescent="0.25">
      <c r="A146" s="65" t="s">
        <v>294</v>
      </c>
      <c r="B146" s="66" t="str">
        <f>main!C149</f>
        <v>Architecture and MEP</v>
      </c>
      <c r="C146" s="67">
        <f>main!O149</f>
        <v>8000000</v>
      </c>
      <c r="D146" s="65" t="s">
        <v>110</v>
      </c>
      <c r="E146" s="68">
        <f t="shared" si="2"/>
        <v>100</v>
      </c>
      <c r="F146" s="68" t="str">
        <f>IF(main!R149="","",ROUND(main!R149*100,6))</f>
        <v/>
      </c>
      <c r="G146" s="68" t="str">
        <f>IF(main!S149="","",ROUND(main!S149*100,6))</f>
        <v/>
      </c>
      <c r="H146" s="68" t="str">
        <f>IF(main!T149="","",ROUND(main!T149*100,6))</f>
        <v/>
      </c>
      <c r="I146" s="68" t="str">
        <f>IF(main!U149="","",ROUND(main!U149*100,6))</f>
        <v/>
      </c>
      <c r="J146" s="68" t="str">
        <f>IF(main!V149="","",ROUND(main!V149*100,6))</f>
        <v/>
      </c>
      <c r="K146" s="68" t="str">
        <f>IF(main!W149="","",ROUND(main!W149*100,6))</f>
        <v/>
      </c>
      <c r="L146" s="68" t="str">
        <f>IF(main!X149="","",ROUND(main!X149*100,6))</f>
        <v/>
      </c>
      <c r="M146" s="68" t="str">
        <f>IF(main!Y149="","",ROUND(main!Y149*100,6))</f>
        <v/>
      </c>
      <c r="N146" s="68" t="str">
        <f>IF(main!Z149="","",ROUND(main!Z149*100,6))</f>
        <v/>
      </c>
      <c r="O146" s="68" t="str">
        <f>IF(main!AA149="","",ROUND(main!AA149*100,6))</f>
        <v/>
      </c>
      <c r="P146" s="68" t="str">
        <f>IF(main!AB149="","",ROUND(main!AB149*100,6))</f>
        <v/>
      </c>
      <c r="Q146" s="68" t="str">
        <f>IF(main!AC149="","",ROUND(main!AC149*100,6))</f>
        <v/>
      </c>
      <c r="R146" s="68" t="str">
        <f>IF(main!AD149="","",ROUND(main!AD149*100,6))</f>
        <v/>
      </c>
      <c r="S146" s="68" t="str">
        <f>IF(main!AE149="","",ROUND(main!AE149*100,6))</f>
        <v/>
      </c>
      <c r="T146" s="68" t="str">
        <f>IF(main!AF149="","",ROUND(main!AF149*100,6))</f>
        <v/>
      </c>
      <c r="U146" s="68" t="str">
        <f>IF(main!AG149="","",ROUND(main!AG149*100,6))</f>
        <v/>
      </c>
      <c r="V146" s="68" t="str">
        <f>IF(main!AH149="","",ROUND(main!AH149*100,6))</f>
        <v/>
      </c>
      <c r="W146" s="68" t="str">
        <f>IF(main!AI149="","",ROUND(main!AI149*100,6))</f>
        <v/>
      </c>
      <c r="X146" s="68" t="str">
        <f>IF(main!AJ149="","",ROUND(main!AJ149*100,6))</f>
        <v/>
      </c>
      <c r="Y146" s="68" t="str">
        <f>IF(main!AK149="","",ROUND(main!AK149*100,6))</f>
        <v/>
      </c>
      <c r="Z146" s="68" t="str">
        <f>IF(main!AL149="","",ROUND(main!AL149*100,6))</f>
        <v/>
      </c>
      <c r="AA146" s="68" t="str">
        <f>IF(main!AM149="","",ROUND(main!AM149*100,6))</f>
        <v/>
      </c>
      <c r="AB146" s="68" t="str">
        <f>IF(main!AN149="","",ROUND(main!AN149*100,6))</f>
        <v/>
      </c>
      <c r="AC146" s="68" t="str">
        <f>IF(main!AO149="","",ROUND(main!AO149*100,6))</f>
        <v/>
      </c>
      <c r="AD146" s="68" t="str">
        <f>IF(main!AP149="","",ROUND(main!AP149*100,6))</f>
        <v/>
      </c>
      <c r="AE146" s="68" t="str">
        <f>IF(main!AQ149="","",ROUND(main!AQ149*100,6))</f>
        <v/>
      </c>
      <c r="AF146" s="68" t="str">
        <f>IF(main!AR149="","",ROUND(main!AR149*100,6))</f>
        <v/>
      </c>
      <c r="AG146" s="68" t="str">
        <f>IF(main!AS149="","",ROUND(main!AS149*100,6))</f>
        <v/>
      </c>
      <c r="AH146" s="68" t="str">
        <f>IF(main!AT149="","",ROUND(main!AT149*100,6))</f>
        <v/>
      </c>
      <c r="AI146" s="68" t="str">
        <f>IF(main!AU149="","",ROUND(main!AU149*100,6))</f>
        <v/>
      </c>
      <c r="AJ146" s="68" t="str">
        <f>IF(main!AV149="","",ROUND(main!AV149*100,6))</f>
        <v/>
      </c>
      <c r="AK146" s="68" t="str">
        <f>IF(main!AW149="","",ROUND(main!AW149*100,6))</f>
        <v/>
      </c>
      <c r="AL146" s="68">
        <f>IF(main!AX149="","",ROUND(main!AX149*100,6))</f>
        <v>0.17857100000000001</v>
      </c>
      <c r="AM146" s="68">
        <f>IF(main!AY149="","",ROUND(main!AY149*100,6))</f>
        <v>0.625</v>
      </c>
      <c r="AN146" s="68">
        <f>IF(main!AZ149="","",ROUND(main!AZ149*100,6))</f>
        <v>0.625</v>
      </c>
      <c r="AO146" s="68">
        <f>IF(main!BA149="","",ROUND(main!BA149*100,6))</f>
        <v>0.625</v>
      </c>
      <c r="AP146" s="68">
        <f>IF(main!BB149="","",ROUND(main!BB149*100,6))</f>
        <v>0.625</v>
      </c>
      <c r="AQ146" s="68">
        <f>IF(main!BC149="","",ROUND(main!BC149*100,6))</f>
        <v>0.625</v>
      </c>
      <c r="AR146" s="68">
        <f>IF(main!BD149="","",ROUND(main!BD149*100,6))</f>
        <v>0.67078800000000005</v>
      </c>
      <c r="AS146" s="68">
        <f>IF(main!BE149="","",ROUND(main!BE149*100,6))</f>
        <v>0.70512799999999998</v>
      </c>
      <c r="AT146" s="68">
        <f>IF(main!BF149="","",ROUND(main!BF149*100,6))</f>
        <v>0.70512799999999998</v>
      </c>
      <c r="AU146" s="68">
        <f>IF(main!BG149="","",ROUND(main!BG149*100,6))</f>
        <v>0.70512799999999998</v>
      </c>
      <c r="AV146" s="68">
        <f>IF(main!BH149="","",ROUND(main!BH149*100,6))</f>
        <v>1.2744599999999999</v>
      </c>
      <c r="AW146" s="68">
        <f>IF(main!BI149="","",ROUND(main!BI149*100,6))</f>
        <v>1.5080199999999999</v>
      </c>
      <c r="AX146" s="68">
        <f>IF(main!BJ149="","",ROUND(main!BJ149*100,6))</f>
        <v>1.560146</v>
      </c>
      <c r="AY146" s="68">
        <f>IF(main!BK149="","",ROUND(main!BK149*100,6))</f>
        <v>1.6887730000000001</v>
      </c>
      <c r="AZ146" s="68">
        <f>IF(main!BL149="","",ROUND(main!BL149*100,6))</f>
        <v>2.1504729999999999</v>
      </c>
      <c r="BA146" s="68">
        <f>IF(main!BM149="","",ROUND(main!BM149*100,6))</f>
        <v>2.4598089999999999</v>
      </c>
      <c r="BB146" s="68">
        <f>IF(main!BN149="","",ROUND(main!BN149*100,6))</f>
        <v>2.576012</v>
      </c>
      <c r="BC146" s="68">
        <f>IF(main!BO149="","",ROUND(main!BO149*100,6))</f>
        <v>2.9903050000000002</v>
      </c>
      <c r="BD146" s="68">
        <f>IF(main!BP149="","",ROUND(main!BP149*100,6))</f>
        <v>3.3373629999999999</v>
      </c>
      <c r="BE146" s="68">
        <f>IF(main!BQ149="","",ROUND(main!BQ149*100,6))</f>
        <v>3.7115200000000002</v>
      </c>
      <c r="BF146" s="68">
        <f>IF(main!BR149="","",ROUND(main!BR149*100,6))</f>
        <v>3.1141269999999999</v>
      </c>
      <c r="BG146" s="68">
        <f>IF(main!BS149="","",ROUND(main!BS149*100,6))</f>
        <v>3.1889409999999998</v>
      </c>
      <c r="BH146" s="68">
        <f>IF(main!BT149="","",ROUND(main!BT149*100,6))</f>
        <v>3.5263939999999998</v>
      </c>
      <c r="BI146" s="68">
        <f>IF(main!BU149="","",ROUND(main!BU149*100,6))</f>
        <v>3.5242239999999998</v>
      </c>
      <c r="BJ146" s="68">
        <f>IF(main!BV149="","",ROUND(main!BV149*100,6))</f>
        <v>3.3864580000000002</v>
      </c>
      <c r="BK146" s="68">
        <f>IF(main!BW149="","",ROUND(main!BW149*100,6))</f>
        <v>3.7144659999999998</v>
      </c>
      <c r="BL146" s="68">
        <f>IF(main!BX149="","",ROUND(main!BX149*100,6))</f>
        <v>3.8282219999999998</v>
      </c>
      <c r="BM146" s="68">
        <f>IF(main!BY149="","",ROUND(main!BY149*100,6))</f>
        <v>4.0882699999999996</v>
      </c>
      <c r="BN146" s="68">
        <f>IF(main!BZ149="","",ROUND(main!BZ149*100,6))</f>
        <v>3.7600349999999998</v>
      </c>
      <c r="BO146" s="68">
        <f>IF(main!CA149="","",ROUND(main!CA149*100,6))</f>
        <v>4.527666</v>
      </c>
      <c r="BP146" s="68">
        <f>IF(main!CB149="","",ROUND(main!CB149*100,6))</f>
        <v>3.7488519999999999</v>
      </c>
      <c r="BQ146" s="68">
        <f>IF(main!CC149="","",ROUND(main!CC149*100,6))</f>
        <v>3.4426450000000002</v>
      </c>
      <c r="BR146" s="68">
        <f>IF(main!CD149="","",ROUND(main!CD149*100,6))</f>
        <v>2.8517649999999999</v>
      </c>
      <c r="BS146" s="68">
        <f>IF(main!CE149="","",ROUND(main!CE149*100,6))</f>
        <v>2.8791769999999999</v>
      </c>
      <c r="BT146" s="68">
        <f>IF(main!CF149="","",ROUND(main!CF149*100,6))</f>
        <v>3.876201</v>
      </c>
      <c r="BU146" s="68">
        <f>IF(main!CG149="","",ROUND(main!CG149*100,6))</f>
        <v>5.1765869999999996</v>
      </c>
      <c r="BV146" s="68">
        <f>IF(main!CH149="","",ROUND(main!CH149*100,6))</f>
        <v>5.0550600000000001</v>
      </c>
      <c r="BW146" s="68">
        <f>IF(main!CI149="","",ROUND(main!CI149*100,6))</f>
        <v>2.9707789999999998</v>
      </c>
      <c r="BX146" s="68">
        <f>IF(main!CJ149="","",ROUND(main!CJ149*100,6))</f>
        <v>2.8490259999999998</v>
      </c>
      <c r="BY146" s="68">
        <f>IF(main!CK149="","",ROUND(main!CK149*100,6))</f>
        <v>1.1444810000000001</v>
      </c>
      <c r="BZ146" s="68" t="str">
        <f>IF(main!CL149="","",ROUND(main!CL149*100,6))</f>
        <v/>
      </c>
      <c r="CA146" s="68" t="str">
        <f>IF(main!CM149="","",ROUND(main!CM149*100,6))</f>
        <v/>
      </c>
      <c r="CB146" s="68" t="str">
        <f>IF(main!CN149="","",ROUND(main!CN149*100,6))</f>
        <v/>
      </c>
      <c r="CC146" s="68" t="str">
        <f>IF(main!CO149="","",ROUND(main!CO149*100,6))</f>
        <v/>
      </c>
    </row>
    <row r="147" spans="1:81" x14ac:dyDescent="0.25">
      <c r="A147" s="65" t="s">
        <v>294</v>
      </c>
      <c r="B147" s="66" t="str">
        <f>main!C149</f>
        <v>Architecture and MEP</v>
      </c>
      <c r="C147" s="67">
        <f>main!O149</f>
        <v>8000000</v>
      </c>
      <c r="D147" s="65" t="s">
        <v>111</v>
      </c>
      <c r="E147" s="68" t="str">
        <f t="shared" si="2"/>
        <v/>
      </c>
      <c r="F147" s="68" t="str">
        <f>IF(main!R150="","",ROUND(main!R150*100,6))</f>
        <v/>
      </c>
      <c r="G147" s="68" t="str">
        <f>IF(main!S150="","",ROUND(main!S150*100,6))</f>
        <v/>
      </c>
      <c r="H147" s="68" t="str">
        <f>IF(main!T150="","",ROUND(main!T150*100,6))</f>
        <v/>
      </c>
      <c r="I147" s="68" t="str">
        <f>IF(main!U150="","",ROUND(main!U150*100,6))</f>
        <v/>
      </c>
      <c r="J147" s="68" t="str">
        <f>IF(main!V150="","",ROUND(main!V150*100,6))</f>
        <v/>
      </c>
      <c r="K147" s="68" t="str">
        <f>IF(main!W150="","",ROUND(main!W150*100,6))</f>
        <v/>
      </c>
      <c r="L147" s="68" t="str">
        <f>IF(main!X150="","",ROUND(main!X150*100,6))</f>
        <v/>
      </c>
      <c r="M147" s="68" t="str">
        <f>IF(main!Y150="","",ROUND(main!Y150*100,6))</f>
        <v/>
      </c>
      <c r="N147" s="68" t="str">
        <f>IF(main!Z150="","",ROUND(main!Z150*100,6))</f>
        <v/>
      </c>
      <c r="O147" s="68" t="str">
        <f>IF(main!AA150="","",ROUND(main!AA150*100,6))</f>
        <v/>
      </c>
      <c r="P147" s="68" t="str">
        <f>IF(main!AB150="","",ROUND(main!AB150*100,6))</f>
        <v/>
      </c>
      <c r="Q147" s="68" t="str">
        <f>IF(main!AC150="","",ROUND(main!AC150*100,6))</f>
        <v/>
      </c>
      <c r="R147" s="68" t="str">
        <f>IF(main!AD150="","",ROUND(main!AD150*100,6))</f>
        <v/>
      </c>
      <c r="S147" s="68" t="str">
        <f>IF(main!AE150="","",ROUND(main!AE150*100,6))</f>
        <v/>
      </c>
      <c r="T147" s="68" t="str">
        <f>IF(main!AF150="","",ROUND(main!AF150*100,6))</f>
        <v/>
      </c>
      <c r="U147" s="68" t="str">
        <f>IF(main!AG150="","",ROUND(main!AG150*100,6))</f>
        <v/>
      </c>
      <c r="V147" s="68" t="str">
        <f>IF(main!AH150="","",ROUND(main!AH150*100,6))</f>
        <v/>
      </c>
      <c r="W147" s="68" t="str">
        <f>IF(main!AI150="","",ROUND(main!AI150*100,6))</f>
        <v/>
      </c>
      <c r="X147" s="68" t="str">
        <f>IF(main!AJ150="","",ROUND(main!AJ150*100,6))</f>
        <v/>
      </c>
      <c r="Y147" s="68" t="str">
        <f>IF(main!AK150="","",ROUND(main!AK150*100,6))</f>
        <v/>
      </c>
      <c r="Z147" s="68" t="str">
        <f>IF(main!AL150="","",ROUND(main!AL150*100,6))</f>
        <v/>
      </c>
      <c r="AA147" s="68" t="str">
        <f>IF(main!AM150="","",ROUND(main!AM150*100,6))</f>
        <v/>
      </c>
      <c r="AB147" s="68" t="str">
        <f>IF(main!AN150="","",ROUND(main!AN150*100,6))</f>
        <v/>
      </c>
      <c r="AC147" s="68" t="str">
        <f>IF(main!AO150="","",ROUND(main!AO150*100,6))</f>
        <v/>
      </c>
      <c r="AD147" s="68" t="str">
        <f>IF(main!AP150="","",ROUND(main!AP150*100,6))</f>
        <v/>
      </c>
      <c r="AE147" s="68" t="str">
        <f>IF(main!AQ150="","",ROUND(main!AQ150*100,6))</f>
        <v/>
      </c>
      <c r="AF147" s="68" t="str">
        <f>IF(main!AR150="","",ROUND(main!AR150*100,6))</f>
        <v/>
      </c>
      <c r="AG147" s="68" t="str">
        <f>IF(main!AS150="","",ROUND(main!AS150*100,6))</f>
        <v/>
      </c>
      <c r="AH147" s="68" t="str">
        <f>IF(main!AT150="","",ROUND(main!AT150*100,6))</f>
        <v/>
      </c>
      <c r="AI147" s="68" t="str">
        <f>IF(main!AU150="","",ROUND(main!AU150*100,6))</f>
        <v/>
      </c>
      <c r="AJ147" s="68" t="str">
        <f>IF(main!AV150="","",ROUND(main!AV150*100,6))</f>
        <v/>
      </c>
      <c r="AK147" s="68" t="str">
        <f>IF(main!AW150="","",ROUND(main!AW150*100,6))</f>
        <v/>
      </c>
      <c r="AL147" s="68" t="str">
        <f>IF(main!AX150="","",ROUND(main!AX150*100,6))</f>
        <v/>
      </c>
      <c r="AM147" s="68" t="str">
        <f>IF(main!AY150="","",ROUND(main!AY150*100,6))</f>
        <v/>
      </c>
      <c r="AN147" s="68" t="str">
        <f>IF(main!AZ150="","",ROUND(main!AZ150*100,6))</f>
        <v/>
      </c>
      <c r="AO147" s="68" t="str">
        <f>IF(main!BA150="","",ROUND(main!BA150*100,6))</f>
        <v/>
      </c>
      <c r="AP147" s="68" t="str">
        <f>IF(main!BB150="","",ROUND(main!BB150*100,6))</f>
        <v/>
      </c>
      <c r="AQ147" s="68" t="str">
        <f>IF(main!BC150="","",ROUND(main!BC150*100,6))</f>
        <v/>
      </c>
      <c r="AR147" s="68" t="str">
        <f>IF(main!BD150="","",ROUND(main!BD150*100,6))</f>
        <v/>
      </c>
      <c r="AS147" s="68" t="str">
        <f>IF(main!BE150="","",ROUND(main!BE150*100,6))</f>
        <v/>
      </c>
      <c r="AT147" s="68" t="str">
        <f>IF(main!BF150="","",ROUND(main!BF150*100,6))</f>
        <v/>
      </c>
      <c r="AU147" s="68" t="str">
        <f>IF(main!BG150="","",ROUND(main!BG150*100,6))</f>
        <v/>
      </c>
      <c r="AV147" s="68" t="str">
        <f>IF(main!BH150="","",ROUND(main!BH150*100,6))</f>
        <v/>
      </c>
      <c r="AW147" s="68" t="str">
        <f>IF(main!BI150="","",ROUND(main!BI150*100,6))</f>
        <v/>
      </c>
      <c r="AX147" s="68" t="str">
        <f>IF(main!BJ150="","",ROUND(main!BJ150*100,6))</f>
        <v/>
      </c>
      <c r="AY147" s="68" t="str">
        <f>IF(main!BK150="","",ROUND(main!BK150*100,6))</f>
        <v/>
      </c>
      <c r="AZ147" s="68" t="str">
        <f>IF(main!BL150="","",ROUND(main!BL150*100,6))</f>
        <v/>
      </c>
      <c r="BA147" s="68" t="str">
        <f>IF(main!BM150="","",ROUND(main!BM150*100,6))</f>
        <v/>
      </c>
      <c r="BB147" s="68" t="str">
        <f>IF(main!BN150="","",ROUND(main!BN150*100,6))</f>
        <v/>
      </c>
      <c r="BC147" s="68" t="str">
        <f>IF(main!BO150="","",ROUND(main!BO150*100,6))</f>
        <v/>
      </c>
      <c r="BD147" s="68" t="str">
        <f>IF(main!BP150="","",ROUND(main!BP150*100,6))</f>
        <v/>
      </c>
      <c r="BE147" s="68" t="str">
        <f>IF(main!BQ150="","",ROUND(main!BQ150*100,6))</f>
        <v/>
      </c>
      <c r="BF147" s="68" t="str">
        <f>IF(main!BR150="","",ROUND(main!BR150*100,6))</f>
        <v/>
      </c>
      <c r="BG147" s="68" t="str">
        <f>IF(main!BS150="","",ROUND(main!BS150*100,6))</f>
        <v/>
      </c>
      <c r="BH147" s="68" t="str">
        <f>IF(main!BT150="","",ROUND(main!BT150*100,6))</f>
        <v/>
      </c>
      <c r="BI147" s="68" t="str">
        <f>IF(main!BU150="","",ROUND(main!BU150*100,6))</f>
        <v/>
      </c>
      <c r="BJ147" s="68" t="str">
        <f>IF(main!BV150="","",ROUND(main!BV150*100,6))</f>
        <v/>
      </c>
      <c r="BK147" s="68" t="str">
        <f>IF(main!BW150="","",ROUND(main!BW150*100,6))</f>
        <v/>
      </c>
      <c r="BL147" s="68" t="str">
        <f>IF(main!BX150="","",ROUND(main!BX150*100,6))</f>
        <v/>
      </c>
      <c r="BM147" s="68" t="str">
        <f>IF(main!BY150="","",ROUND(main!BY150*100,6))</f>
        <v/>
      </c>
      <c r="BN147" s="68" t="str">
        <f>IF(main!BZ150="","",ROUND(main!BZ150*100,6))</f>
        <v/>
      </c>
      <c r="BO147" s="68" t="str">
        <f>IF(main!CA150="","",ROUND(main!CA150*100,6))</f>
        <v/>
      </c>
      <c r="BP147" s="68" t="str">
        <f>IF(main!CB150="","",ROUND(main!CB150*100,6))</f>
        <v/>
      </c>
      <c r="BQ147" s="68" t="str">
        <f>IF(main!CC150="","",ROUND(main!CC150*100,6))</f>
        <v/>
      </c>
      <c r="BR147" s="68" t="str">
        <f>IF(main!CD150="","",ROUND(main!CD150*100,6))</f>
        <v/>
      </c>
      <c r="BS147" s="68" t="str">
        <f>IF(main!CE150="","",ROUND(main!CE150*100,6))</f>
        <v/>
      </c>
      <c r="BT147" s="68" t="str">
        <f>IF(main!CF150="","",ROUND(main!CF150*100,6))</f>
        <v/>
      </c>
      <c r="BU147" s="68" t="str">
        <f>IF(main!CG150="","",ROUND(main!CG150*100,6))</f>
        <v/>
      </c>
      <c r="BV147" s="68" t="str">
        <f>IF(main!CH150="","",ROUND(main!CH150*100,6))</f>
        <v/>
      </c>
      <c r="BW147" s="68" t="str">
        <f>IF(main!CI150="","",ROUND(main!CI150*100,6))</f>
        <v/>
      </c>
      <c r="BX147" s="68" t="str">
        <f>IF(main!CJ150="","",ROUND(main!CJ150*100,6))</f>
        <v/>
      </c>
      <c r="BY147" s="68" t="str">
        <f>IF(main!CK150="","",ROUND(main!CK150*100,6))</f>
        <v/>
      </c>
      <c r="BZ147" s="68" t="str">
        <f>IF(main!CL150="","",ROUND(main!CL150*100,6))</f>
        <v/>
      </c>
      <c r="CA147" s="68" t="str">
        <f>IF(main!CM150="","",ROUND(main!CM150*100,6))</f>
        <v/>
      </c>
      <c r="CB147" s="68" t="str">
        <f>IF(main!CN150="","",ROUND(main!CN150*100,6))</f>
        <v/>
      </c>
      <c r="CC147" s="68" t="str">
        <f>IF(main!CO150="","",ROUND(main!CO150*100,6))</f>
        <v/>
      </c>
    </row>
    <row r="148" spans="1:81" x14ac:dyDescent="0.25">
      <c r="A148" s="65" t="s">
        <v>296</v>
      </c>
      <c r="B148" s="66" t="str">
        <f>main!C151</f>
        <v>งาน Riser</v>
      </c>
      <c r="C148" s="67">
        <f>main!O151</f>
        <v>400000</v>
      </c>
      <c r="D148" s="65" t="s">
        <v>110</v>
      </c>
      <c r="E148" s="68">
        <f t="shared" si="2"/>
        <v>100.000004</v>
      </c>
      <c r="F148" s="68" t="str">
        <f>IF(main!R151="","",ROUND(main!R151*100,6))</f>
        <v/>
      </c>
      <c r="G148" s="68" t="str">
        <f>IF(main!S151="","",ROUND(main!S151*100,6))</f>
        <v/>
      </c>
      <c r="H148" s="68" t="str">
        <f>IF(main!T151="","",ROUND(main!T151*100,6))</f>
        <v/>
      </c>
      <c r="I148" s="68" t="str">
        <f>IF(main!U151="","",ROUND(main!U151*100,6))</f>
        <v/>
      </c>
      <c r="J148" s="68" t="str">
        <f>IF(main!V151="","",ROUND(main!V151*100,6))</f>
        <v/>
      </c>
      <c r="K148" s="68" t="str">
        <f>IF(main!W151="","",ROUND(main!W151*100,6))</f>
        <v/>
      </c>
      <c r="L148" s="68" t="str">
        <f>IF(main!X151="","",ROUND(main!X151*100,6))</f>
        <v/>
      </c>
      <c r="M148" s="68" t="str">
        <f>IF(main!Y151="","",ROUND(main!Y151*100,6))</f>
        <v/>
      </c>
      <c r="N148" s="68" t="str">
        <f>IF(main!Z151="","",ROUND(main!Z151*100,6))</f>
        <v/>
      </c>
      <c r="O148" s="68" t="str">
        <f>IF(main!AA151="","",ROUND(main!AA151*100,6))</f>
        <v/>
      </c>
      <c r="P148" s="68" t="str">
        <f>IF(main!AB151="","",ROUND(main!AB151*100,6))</f>
        <v/>
      </c>
      <c r="Q148" s="68" t="str">
        <f>IF(main!AC151="","",ROUND(main!AC151*100,6))</f>
        <v/>
      </c>
      <c r="R148" s="68" t="str">
        <f>IF(main!AD151="","",ROUND(main!AD151*100,6))</f>
        <v/>
      </c>
      <c r="S148" s="68" t="str">
        <f>IF(main!AE151="","",ROUND(main!AE151*100,6))</f>
        <v/>
      </c>
      <c r="T148" s="68" t="str">
        <f>IF(main!AF151="","",ROUND(main!AF151*100,6))</f>
        <v/>
      </c>
      <c r="U148" s="68" t="str">
        <f>IF(main!AG151="","",ROUND(main!AG151*100,6))</f>
        <v/>
      </c>
      <c r="V148" s="68" t="str">
        <f>IF(main!AH151="","",ROUND(main!AH151*100,6))</f>
        <v/>
      </c>
      <c r="W148" s="68" t="str">
        <f>IF(main!AI151="","",ROUND(main!AI151*100,6))</f>
        <v/>
      </c>
      <c r="X148" s="68" t="str">
        <f>IF(main!AJ151="","",ROUND(main!AJ151*100,6))</f>
        <v/>
      </c>
      <c r="Y148" s="68" t="str">
        <f>IF(main!AK151="","",ROUND(main!AK151*100,6))</f>
        <v/>
      </c>
      <c r="Z148" s="68" t="str">
        <f>IF(main!AL151="","",ROUND(main!AL151*100,6))</f>
        <v/>
      </c>
      <c r="AA148" s="68" t="str">
        <f>IF(main!AM151="","",ROUND(main!AM151*100,6))</f>
        <v/>
      </c>
      <c r="AB148" s="68" t="str">
        <f>IF(main!AN151="","",ROUND(main!AN151*100,6))</f>
        <v/>
      </c>
      <c r="AC148" s="68" t="str">
        <f>IF(main!AO151="","",ROUND(main!AO151*100,6))</f>
        <v/>
      </c>
      <c r="AD148" s="68" t="str">
        <f>IF(main!AP151="","",ROUND(main!AP151*100,6))</f>
        <v/>
      </c>
      <c r="AE148" s="68" t="str">
        <f>IF(main!AQ151="","",ROUND(main!AQ151*100,6))</f>
        <v/>
      </c>
      <c r="AF148" s="68" t="str">
        <f>IF(main!AR151="","",ROUND(main!AR151*100,6))</f>
        <v/>
      </c>
      <c r="AG148" s="68" t="str">
        <f>IF(main!AS151="","",ROUND(main!AS151*100,6))</f>
        <v/>
      </c>
      <c r="AH148" s="68" t="str">
        <f>IF(main!AT151="","",ROUND(main!AT151*100,6))</f>
        <v/>
      </c>
      <c r="AI148" s="68" t="str">
        <f>IF(main!AU151="","",ROUND(main!AU151*100,6))</f>
        <v/>
      </c>
      <c r="AJ148" s="68" t="str">
        <f>IF(main!AV151="","",ROUND(main!AV151*100,6))</f>
        <v/>
      </c>
      <c r="AK148" s="68" t="str">
        <f>IF(main!AW151="","",ROUND(main!AW151*100,6))</f>
        <v/>
      </c>
      <c r="AL148" s="68">
        <f>IF(main!AX151="","",ROUND(main!AX151*100,6))</f>
        <v>2.3809520000000002</v>
      </c>
      <c r="AM148" s="68">
        <f>IF(main!AY151="","",ROUND(main!AY151*100,6))</f>
        <v>4.1666670000000003</v>
      </c>
      <c r="AN148" s="68">
        <f>IF(main!AZ151="","",ROUND(main!AZ151*100,6))</f>
        <v>4.1666670000000003</v>
      </c>
      <c r="AO148" s="68">
        <f>IF(main!BA151="","",ROUND(main!BA151*100,6))</f>
        <v>4.1666670000000003</v>
      </c>
      <c r="AP148" s="68">
        <f>IF(main!BB151="","",ROUND(main!BB151*100,6))</f>
        <v>4.1666670000000003</v>
      </c>
      <c r="AQ148" s="68">
        <f>IF(main!BC151="","",ROUND(main!BC151*100,6))</f>
        <v>4.1666670000000003</v>
      </c>
      <c r="AR148" s="68">
        <f>IF(main!BD151="","",ROUND(main!BD151*100,6))</f>
        <v>5.0824179999999997</v>
      </c>
      <c r="AS148" s="68">
        <f>IF(main!BE151="","",ROUND(main!BE151*100,6))</f>
        <v>5.7692310000000004</v>
      </c>
      <c r="AT148" s="68">
        <f>IF(main!BF151="","",ROUND(main!BF151*100,6))</f>
        <v>5.7692310000000004</v>
      </c>
      <c r="AU148" s="68">
        <f>IF(main!BG151="","",ROUND(main!BG151*100,6))</f>
        <v>5.7692310000000004</v>
      </c>
      <c r="AV148" s="68">
        <f>IF(main!BH151="","",ROUND(main!BH151*100,6))</f>
        <v>5.7692310000000004</v>
      </c>
      <c r="AW148" s="68">
        <f>IF(main!BI151="","",ROUND(main!BI151*100,6))</f>
        <v>5.7692310000000004</v>
      </c>
      <c r="AX148" s="68">
        <f>IF(main!BJ151="","",ROUND(main!BJ151*100,6))</f>
        <v>5.7692310000000004</v>
      </c>
      <c r="AY148" s="68">
        <f>IF(main!BK151="","",ROUND(main!BK151*100,6))</f>
        <v>5.7692310000000004</v>
      </c>
      <c r="AZ148" s="68">
        <f>IF(main!BL151="","",ROUND(main!BL151*100,6))</f>
        <v>5.7692310000000004</v>
      </c>
      <c r="BA148" s="68">
        <f>IF(main!BM151="","",ROUND(main!BM151*100,6))</f>
        <v>5.7692310000000004</v>
      </c>
      <c r="BB148" s="68">
        <f>IF(main!BN151="","",ROUND(main!BN151*100,6))</f>
        <v>5.7692310000000004</v>
      </c>
      <c r="BC148" s="68">
        <f>IF(main!BO151="","",ROUND(main!BO151*100,6))</f>
        <v>5.7692310000000004</v>
      </c>
      <c r="BD148" s="68">
        <f>IF(main!BP151="","",ROUND(main!BP151*100,6))</f>
        <v>5.7692310000000004</v>
      </c>
      <c r="BE148" s="68">
        <f>IF(main!BQ151="","",ROUND(main!BQ151*100,6))</f>
        <v>2.4725269999999999</v>
      </c>
      <c r="BF148" s="68" t="str">
        <f>IF(main!BR151="","",ROUND(main!BR151*100,6))</f>
        <v/>
      </c>
      <c r="BG148" s="68" t="str">
        <f>IF(main!BS151="","",ROUND(main!BS151*100,6))</f>
        <v/>
      </c>
      <c r="BH148" s="68" t="str">
        <f>IF(main!BT151="","",ROUND(main!BT151*100,6))</f>
        <v/>
      </c>
      <c r="BI148" s="68" t="str">
        <f>IF(main!BU151="","",ROUND(main!BU151*100,6))</f>
        <v/>
      </c>
      <c r="BJ148" s="68" t="str">
        <f>IF(main!BV151="","",ROUND(main!BV151*100,6))</f>
        <v/>
      </c>
      <c r="BK148" s="68" t="str">
        <f>IF(main!BW151="","",ROUND(main!BW151*100,6))</f>
        <v/>
      </c>
      <c r="BL148" s="68" t="str">
        <f>IF(main!BX151="","",ROUND(main!BX151*100,6))</f>
        <v/>
      </c>
      <c r="BM148" s="68" t="str">
        <f>IF(main!BY151="","",ROUND(main!BY151*100,6))</f>
        <v/>
      </c>
      <c r="BN148" s="68" t="str">
        <f>IF(main!BZ151="","",ROUND(main!BZ151*100,6))</f>
        <v/>
      </c>
      <c r="BO148" s="68" t="str">
        <f>IF(main!CA151="","",ROUND(main!CA151*100,6))</f>
        <v/>
      </c>
      <c r="BP148" s="68" t="str">
        <f>IF(main!CB151="","",ROUND(main!CB151*100,6))</f>
        <v/>
      </c>
      <c r="BQ148" s="68" t="str">
        <f>IF(main!CC151="","",ROUND(main!CC151*100,6))</f>
        <v/>
      </c>
      <c r="BR148" s="68" t="str">
        <f>IF(main!CD151="","",ROUND(main!CD151*100,6))</f>
        <v/>
      </c>
      <c r="BS148" s="68" t="str">
        <f>IF(main!CE151="","",ROUND(main!CE151*100,6))</f>
        <v/>
      </c>
      <c r="BT148" s="68" t="str">
        <f>IF(main!CF151="","",ROUND(main!CF151*100,6))</f>
        <v/>
      </c>
      <c r="BU148" s="68" t="str">
        <f>IF(main!CG151="","",ROUND(main!CG151*100,6))</f>
        <v/>
      </c>
      <c r="BV148" s="68" t="str">
        <f>IF(main!CH151="","",ROUND(main!CH151*100,6))</f>
        <v/>
      </c>
      <c r="BW148" s="68" t="str">
        <f>IF(main!CI151="","",ROUND(main!CI151*100,6))</f>
        <v/>
      </c>
      <c r="BX148" s="68" t="str">
        <f>IF(main!CJ151="","",ROUND(main!CJ151*100,6))</f>
        <v/>
      </c>
      <c r="BY148" s="68" t="str">
        <f>IF(main!CK151="","",ROUND(main!CK151*100,6))</f>
        <v/>
      </c>
      <c r="BZ148" s="68" t="str">
        <f>IF(main!CL151="","",ROUND(main!CL151*100,6))</f>
        <v/>
      </c>
      <c r="CA148" s="68" t="str">
        <f>IF(main!CM151="","",ROUND(main!CM151*100,6))</f>
        <v/>
      </c>
      <c r="CB148" s="68" t="str">
        <f>IF(main!CN151="","",ROUND(main!CN151*100,6))</f>
        <v/>
      </c>
      <c r="CC148" s="68" t="str">
        <f>IF(main!CO151="","",ROUND(main!CO151*100,6))</f>
        <v/>
      </c>
    </row>
    <row r="149" spans="1:81" x14ac:dyDescent="0.25">
      <c r="A149" s="65" t="s">
        <v>296</v>
      </c>
      <c r="B149" s="66" t="str">
        <f>main!C151</f>
        <v>งาน Riser</v>
      </c>
      <c r="C149" s="67">
        <f>main!O151</f>
        <v>400000</v>
      </c>
      <c r="D149" s="65" t="s">
        <v>111</v>
      </c>
      <c r="E149" s="68" t="str">
        <f t="shared" si="2"/>
        <v/>
      </c>
      <c r="F149" s="68" t="str">
        <f>IF(main!R152="","",ROUND(main!R152*100,6))</f>
        <v/>
      </c>
      <c r="G149" s="68" t="str">
        <f>IF(main!S152="","",ROUND(main!S152*100,6))</f>
        <v/>
      </c>
      <c r="H149" s="68" t="str">
        <f>IF(main!T152="","",ROUND(main!T152*100,6))</f>
        <v/>
      </c>
      <c r="I149" s="68" t="str">
        <f>IF(main!U152="","",ROUND(main!U152*100,6))</f>
        <v/>
      </c>
      <c r="J149" s="68" t="str">
        <f>IF(main!V152="","",ROUND(main!V152*100,6))</f>
        <v/>
      </c>
      <c r="K149" s="68" t="str">
        <f>IF(main!W152="","",ROUND(main!W152*100,6))</f>
        <v/>
      </c>
      <c r="L149" s="68" t="str">
        <f>IF(main!X152="","",ROUND(main!X152*100,6))</f>
        <v/>
      </c>
      <c r="M149" s="68" t="str">
        <f>IF(main!Y152="","",ROUND(main!Y152*100,6))</f>
        <v/>
      </c>
      <c r="N149" s="68" t="str">
        <f>IF(main!Z152="","",ROUND(main!Z152*100,6))</f>
        <v/>
      </c>
      <c r="O149" s="68" t="str">
        <f>IF(main!AA152="","",ROUND(main!AA152*100,6))</f>
        <v/>
      </c>
      <c r="P149" s="68" t="str">
        <f>IF(main!AB152="","",ROUND(main!AB152*100,6))</f>
        <v/>
      </c>
      <c r="Q149" s="68" t="str">
        <f>IF(main!AC152="","",ROUND(main!AC152*100,6))</f>
        <v/>
      </c>
      <c r="R149" s="68" t="str">
        <f>IF(main!AD152="","",ROUND(main!AD152*100,6))</f>
        <v/>
      </c>
      <c r="S149" s="68" t="str">
        <f>IF(main!AE152="","",ROUND(main!AE152*100,6))</f>
        <v/>
      </c>
      <c r="T149" s="68" t="str">
        <f>IF(main!AF152="","",ROUND(main!AF152*100,6))</f>
        <v/>
      </c>
      <c r="U149" s="68" t="str">
        <f>IF(main!AG152="","",ROUND(main!AG152*100,6))</f>
        <v/>
      </c>
      <c r="V149" s="68" t="str">
        <f>IF(main!AH152="","",ROUND(main!AH152*100,6))</f>
        <v/>
      </c>
      <c r="W149" s="68" t="str">
        <f>IF(main!AI152="","",ROUND(main!AI152*100,6))</f>
        <v/>
      </c>
      <c r="X149" s="68" t="str">
        <f>IF(main!AJ152="","",ROUND(main!AJ152*100,6))</f>
        <v/>
      </c>
      <c r="Y149" s="68" t="str">
        <f>IF(main!AK152="","",ROUND(main!AK152*100,6))</f>
        <v/>
      </c>
      <c r="Z149" s="68" t="str">
        <f>IF(main!AL152="","",ROUND(main!AL152*100,6))</f>
        <v/>
      </c>
      <c r="AA149" s="68" t="str">
        <f>IF(main!AM152="","",ROUND(main!AM152*100,6))</f>
        <v/>
      </c>
      <c r="AB149" s="68" t="str">
        <f>IF(main!AN152="","",ROUND(main!AN152*100,6))</f>
        <v/>
      </c>
      <c r="AC149" s="68" t="str">
        <f>IF(main!AO152="","",ROUND(main!AO152*100,6))</f>
        <v/>
      </c>
      <c r="AD149" s="68" t="str">
        <f>IF(main!AP152="","",ROUND(main!AP152*100,6))</f>
        <v/>
      </c>
      <c r="AE149" s="68" t="str">
        <f>IF(main!AQ152="","",ROUND(main!AQ152*100,6))</f>
        <v/>
      </c>
      <c r="AF149" s="68" t="str">
        <f>IF(main!AR152="","",ROUND(main!AR152*100,6))</f>
        <v/>
      </c>
      <c r="AG149" s="68" t="str">
        <f>IF(main!AS152="","",ROUND(main!AS152*100,6))</f>
        <v/>
      </c>
      <c r="AH149" s="68" t="str">
        <f>IF(main!AT152="","",ROUND(main!AT152*100,6))</f>
        <v/>
      </c>
      <c r="AI149" s="68" t="str">
        <f>IF(main!AU152="","",ROUND(main!AU152*100,6))</f>
        <v/>
      </c>
      <c r="AJ149" s="68" t="str">
        <f>IF(main!AV152="","",ROUND(main!AV152*100,6))</f>
        <v/>
      </c>
      <c r="AK149" s="68" t="str">
        <f>IF(main!AW152="","",ROUND(main!AW152*100,6))</f>
        <v/>
      </c>
      <c r="AL149" s="68" t="str">
        <f>IF(main!AX152="","",ROUND(main!AX152*100,6))</f>
        <v/>
      </c>
      <c r="AM149" s="68" t="str">
        <f>IF(main!AY152="","",ROUND(main!AY152*100,6))</f>
        <v/>
      </c>
      <c r="AN149" s="68" t="str">
        <f>IF(main!AZ152="","",ROUND(main!AZ152*100,6))</f>
        <v/>
      </c>
      <c r="AO149" s="68" t="str">
        <f>IF(main!BA152="","",ROUND(main!BA152*100,6))</f>
        <v/>
      </c>
      <c r="AP149" s="68" t="str">
        <f>IF(main!BB152="","",ROUND(main!BB152*100,6))</f>
        <v/>
      </c>
      <c r="AQ149" s="68" t="str">
        <f>IF(main!BC152="","",ROUND(main!BC152*100,6))</f>
        <v/>
      </c>
      <c r="AR149" s="68" t="str">
        <f>IF(main!BD152="","",ROUND(main!BD152*100,6))</f>
        <v/>
      </c>
      <c r="AS149" s="68" t="str">
        <f>IF(main!BE152="","",ROUND(main!BE152*100,6))</f>
        <v/>
      </c>
      <c r="AT149" s="68" t="str">
        <f>IF(main!BF152="","",ROUND(main!BF152*100,6))</f>
        <v/>
      </c>
      <c r="AU149" s="68" t="str">
        <f>IF(main!BG152="","",ROUND(main!BG152*100,6))</f>
        <v/>
      </c>
      <c r="AV149" s="68" t="str">
        <f>IF(main!BH152="","",ROUND(main!BH152*100,6))</f>
        <v/>
      </c>
      <c r="AW149" s="68" t="str">
        <f>IF(main!BI152="","",ROUND(main!BI152*100,6))</f>
        <v/>
      </c>
      <c r="AX149" s="68" t="str">
        <f>IF(main!BJ152="","",ROUND(main!BJ152*100,6))</f>
        <v/>
      </c>
      <c r="AY149" s="68" t="str">
        <f>IF(main!BK152="","",ROUND(main!BK152*100,6))</f>
        <v/>
      </c>
      <c r="AZ149" s="68" t="str">
        <f>IF(main!BL152="","",ROUND(main!BL152*100,6))</f>
        <v/>
      </c>
      <c r="BA149" s="68" t="str">
        <f>IF(main!BM152="","",ROUND(main!BM152*100,6))</f>
        <v/>
      </c>
      <c r="BB149" s="68" t="str">
        <f>IF(main!BN152="","",ROUND(main!BN152*100,6))</f>
        <v/>
      </c>
      <c r="BC149" s="68" t="str">
        <f>IF(main!BO152="","",ROUND(main!BO152*100,6))</f>
        <v/>
      </c>
      <c r="BD149" s="68" t="str">
        <f>IF(main!BP152="","",ROUND(main!BP152*100,6))</f>
        <v/>
      </c>
      <c r="BE149" s="68" t="str">
        <f>IF(main!BQ152="","",ROUND(main!BQ152*100,6))</f>
        <v/>
      </c>
      <c r="BF149" s="68" t="str">
        <f>IF(main!BR152="","",ROUND(main!BR152*100,6))</f>
        <v/>
      </c>
      <c r="BG149" s="68" t="str">
        <f>IF(main!BS152="","",ROUND(main!BS152*100,6))</f>
        <v/>
      </c>
      <c r="BH149" s="68" t="str">
        <f>IF(main!BT152="","",ROUND(main!BT152*100,6))</f>
        <v/>
      </c>
      <c r="BI149" s="68" t="str">
        <f>IF(main!BU152="","",ROUND(main!BU152*100,6))</f>
        <v/>
      </c>
      <c r="BJ149" s="68" t="str">
        <f>IF(main!BV152="","",ROUND(main!BV152*100,6))</f>
        <v/>
      </c>
      <c r="BK149" s="68" t="str">
        <f>IF(main!BW152="","",ROUND(main!BW152*100,6))</f>
        <v/>
      </c>
      <c r="BL149" s="68" t="str">
        <f>IF(main!BX152="","",ROUND(main!BX152*100,6))</f>
        <v/>
      </c>
      <c r="BM149" s="68" t="str">
        <f>IF(main!BY152="","",ROUND(main!BY152*100,6))</f>
        <v/>
      </c>
      <c r="BN149" s="68" t="str">
        <f>IF(main!BZ152="","",ROUND(main!BZ152*100,6))</f>
        <v/>
      </c>
      <c r="BO149" s="68" t="str">
        <f>IF(main!CA152="","",ROUND(main!CA152*100,6))</f>
        <v/>
      </c>
      <c r="BP149" s="68" t="str">
        <f>IF(main!CB152="","",ROUND(main!CB152*100,6))</f>
        <v/>
      </c>
      <c r="BQ149" s="68" t="str">
        <f>IF(main!CC152="","",ROUND(main!CC152*100,6))</f>
        <v/>
      </c>
      <c r="BR149" s="68" t="str">
        <f>IF(main!CD152="","",ROUND(main!CD152*100,6))</f>
        <v/>
      </c>
      <c r="BS149" s="68" t="str">
        <f>IF(main!CE152="","",ROUND(main!CE152*100,6))</f>
        <v/>
      </c>
      <c r="BT149" s="68" t="str">
        <f>IF(main!CF152="","",ROUND(main!CF152*100,6))</f>
        <v/>
      </c>
      <c r="BU149" s="68" t="str">
        <f>IF(main!CG152="","",ROUND(main!CG152*100,6))</f>
        <v/>
      </c>
      <c r="BV149" s="68" t="str">
        <f>IF(main!CH152="","",ROUND(main!CH152*100,6))</f>
        <v/>
      </c>
      <c r="BW149" s="68" t="str">
        <f>IF(main!CI152="","",ROUND(main!CI152*100,6))</f>
        <v/>
      </c>
      <c r="BX149" s="68" t="str">
        <f>IF(main!CJ152="","",ROUND(main!CJ152*100,6))</f>
        <v/>
      </c>
      <c r="BY149" s="68" t="str">
        <f>IF(main!CK152="","",ROUND(main!CK152*100,6))</f>
        <v/>
      </c>
      <c r="BZ149" s="68" t="str">
        <f>IF(main!CL152="","",ROUND(main!CL152*100,6))</f>
        <v/>
      </c>
      <c r="CA149" s="68" t="str">
        <f>IF(main!CM152="","",ROUND(main!CM152*100,6))</f>
        <v/>
      </c>
      <c r="CB149" s="68" t="str">
        <f>IF(main!CN152="","",ROUND(main!CN152*100,6))</f>
        <v/>
      </c>
      <c r="CC149" s="68" t="str">
        <f>IF(main!CO152="","",ROUND(main!CO152*100,6))</f>
        <v/>
      </c>
    </row>
    <row r="150" spans="1:81" x14ac:dyDescent="0.25">
      <c r="A150" s="65" t="s">
        <v>298</v>
      </c>
      <c r="B150" s="66" t="str">
        <f>main!C153</f>
        <v>1st to Roof</v>
      </c>
      <c r="C150" s="67">
        <f>main!O153</f>
        <v>400000</v>
      </c>
      <c r="D150" s="65" t="s">
        <v>110</v>
      </c>
      <c r="E150" s="68">
        <f t="shared" si="2"/>
        <v>100.000004</v>
      </c>
      <c r="F150" s="68" t="str">
        <f>IF(main!R153="","",ROUND(main!R153*100,6))</f>
        <v/>
      </c>
      <c r="G150" s="68" t="str">
        <f>IF(main!S153="","",ROUND(main!S153*100,6))</f>
        <v/>
      </c>
      <c r="H150" s="68" t="str">
        <f>IF(main!T153="","",ROUND(main!T153*100,6))</f>
        <v/>
      </c>
      <c r="I150" s="68" t="str">
        <f>IF(main!U153="","",ROUND(main!U153*100,6))</f>
        <v/>
      </c>
      <c r="J150" s="68" t="str">
        <f>IF(main!V153="","",ROUND(main!V153*100,6))</f>
        <v/>
      </c>
      <c r="K150" s="68" t="str">
        <f>IF(main!W153="","",ROUND(main!W153*100,6))</f>
        <v/>
      </c>
      <c r="L150" s="68" t="str">
        <f>IF(main!X153="","",ROUND(main!X153*100,6))</f>
        <v/>
      </c>
      <c r="M150" s="68" t="str">
        <f>IF(main!Y153="","",ROUND(main!Y153*100,6))</f>
        <v/>
      </c>
      <c r="N150" s="68" t="str">
        <f>IF(main!Z153="","",ROUND(main!Z153*100,6))</f>
        <v/>
      </c>
      <c r="O150" s="68" t="str">
        <f>IF(main!AA153="","",ROUND(main!AA153*100,6))</f>
        <v/>
      </c>
      <c r="P150" s="68" t="str">
        <f>IF(main!AB153="","",ROUND(main!AB153*100,6))</f>
        <v/>
      </c>
      <c r="Q150" s="68" t="str">
        <f>IF(main!AC153="","",ROUND(main!AC153*100,6))</f>
        <v/>
      </c>
      <c r="R150" s="68" t="str">
        <f>IF(main!AD153="","",ROUND(main!AD153*100,6))</f>
        <v/>
      </c>
      <c r="S150" s="68" t="str">
        <f>IF(main!AE153="","",ROUND(main!AE153*100,6))</f>
        <v/>
      </c>
      <c r="T150" s="68" t="str">
        <f>IF(main!AF153="","",ROUND(main!AF153*100,6))</f>
        <v/>
      </c>
      <c r="U150" s="68" t="str">
        <f>IF(main!AG153="","",ROUND(main!AG153*100,6))</f>
        <v/>
      </c>
      <c r="V150" s="68" t="str">
        <f>IF(main!AH153="","",ROUND(main!AH153*100,6))</f>
        <v/>
      </c>
      <c r="W150" s="68" t="str">
        <f>IF(main!AI153="","",ROUND(main!AI153*100,6))</f>
        <v/>
      </c>
      <c r="X150" s="68" t="str">
        <f>IF(main!AJ153="","",ROUND(main!AJ153*100,6))</f>
        <v/>
      </c>
      <c r="Y150" s="68" t="str">
        <f>IF(main!AK153="","",ROUND(main!AK153*100,6))</f>
        <v/>
      </c>
      <c r="Z150" s="68" t="str">
        <f>IF(main!AL153="","",ROUND(main!AL153*100,6))</f>
        <v/>
      </c>
      <c r="AA150" s="68" t="str">
        <f>IF(main!AM153="","",ROUND(main!AM153*100,6))</f>
        <v/>
      </c>
      <c r="AB150" s="68" t="str">
        <f>IF(main!AN153="","",ROUND(main!AN153*100,6))</f>
        <v/>
      </c>
      <c r="AC150" s="68" t="str">
        <f>IF(main!AO153="","",ROUND(main!AO153*100,6))</f>
        <v/>
      </c>
      <c r="AD150" s="68" t="str">
        <f>IF(main!AP153="","",ROUND(main!AP153*100,6))</f>
        <v/>
      </c>
      <c r="AE150" s="68" t="str">
        <f>IF(main!AQ153="","",ROUND(main!AQ153*100,6))</f>
        <v/>
      </c>
      <c r="AF150" s="68" t="str">
        <f>IF(main!AR153="","",ROUND(main!AR153*100,6))</f>
        <v/>
      </c>
      <c r="AG150" s="68" t="str">
        <f>IF(main!AS153="","",ROUND(main!AS153*100,6))</f>
        <v/>
      </c>
      <c r="AH150" s="68" t="str">
        <f>IF(main!AT153="","",ROUND(main!AT153*100,6))</f>
        <v/>
      </c>
      <c r="AI150" s="68" t="str">
        <f>IF(main!AU153="","",ROUND(main!AU153*100,6))</f>
        <v/>
      </c>
      <c r="AJ150" s="68" t="str">
        <f>IF(main!AV153="","",ROUND(main!AV153*100,6))</f>
        <v/>
      </c>
      <c r="AK150" s="68" t="str">
        <f>IF(main!AW153="","",ROUND(main!AW153*100,6))</f>
        <v/>
      </c>
      <c r="AL150" s="68">
        <f>IF(main!AX153="","",ROUND(main!AX153*100,6))</f>
        <v>2.3809520000000002</v>
      </c>
      <c r="AM150" s="68">
        <f>IF(main!AY153="","",ROUND(main!AY153*100,6))</f>
        <v>4.1666670000000003</v>
      </c>
      <c r="AN150" s="68">
        <f>IF(main!AZ153="","",ROUND(main!AZ153*100,6))</f>
        <v>4.1666670000000003</v>
      </c>
      <c r="AO150" s="68">
        <f>IF(main!BA153="","",ROUND(main!BA153*100,6))</f>
        <v>4.1666670000000003</v>
      </c>
      <c r="AP150" s="68">
        <f>IF(main!BB153="","",ROUND(main!BB153*100,6))</f>
        <v>4.1666670000000003</v>
      </c>
      <c r="AQ150" s="68">
        <f>IF(main!BC153="","",ROUND(main!BC153*100,6))</f>
        <v>4.1666670000000003</v>
      </c>
      <c r="AR150" s="68">
        <f>IF(main!BD153="","",ROUND(main!BD153*100,6))</f>
        <v>5.0824179999999997</v>
      </c>
      <c r="AS150" s="68">
        <f>IF(main!BE153="","",ROUND(main!BE153*100,6))</f>
        <v>5.7692310000000004</v>
      </c>
      <c r="AT150" s="68">
        <f>IF(main!BF153="","",ROUND(main!BF153*100,6))</f>
        <v>5.7692310000000004</v>
      </c>
      <c r="AU150" s="68">
        <f>IF(main!BG153="","",ROUND(main!BG153*100,6))</f>
        <v>5.7692310000000004</v>
      </c>
      <c r="AV150" s="68">
        <f>IF(main!BH153="","",ROUND(main!BH153*100,6))</f>
        <v>5.7692310000000004</v>
      </c>
      <c r="AW150" s="68">
        <f>IF(main!BI153="","",ROUND(main!BI153*100,6))</f>
        <v>5.7692310000000004</v>
      </c>
      <c r="AX150" s="68">
        <f>IF(main!BJ153="","",ROUND(main!BJ153*100,6))</f>
        <v>5.7692310000000004</v>
      </c>
      <c r="AY150" s="68">
        <f>IF(main!BK153="","",ROUND(main!BK153*100,6))</f>
        <v>5.7692310000000004</v>
      </c>
      <c r="AZ150" s="68">
        <f>IF(main!BL153="","",ROUND(main!BL153*100,6))</f>
        <v>5.7692310000000004</v>
      </c>
      <c r="BA150" s="68">
        <f>IF(main!BM153="","",ROUND(main!BM153*100,6))</f>
        <v>5.7692310000000004</v>
      </c>
      <c r="BB150" s="68">
        <f>IF(main!BN153="","",ROUND(main!BN153*100,6))</f>
        <v>5.7692310000000004</v>
      </c>
      <c r="BC150" s="68">
        <f>IF(main!BO153="","",ROUND(main!BO153*100,6))</f>
        <v>5.7692310000000004</v>
      </c>
      <c r="BD150" s="68">
        <f>IF(main!BP153="","",ROUND(main!BP153*100,6))</f>
        <v>5.7692310000000004</v>
      </c>
      <c r="BE150" s="68">
        <f>IF(main!BQ153="","",ROUND(main!BQ153*100,6))</f>
        <v>2.4725269999999999</v>
      </c>
      <c r="BF150" s="68" t="str">
        <f>IF(main!BR153="","",ROUND(main!BR153*100,6))</f>
        <v/>
      </c>
      <c r="BG150" s="68" t="str">
        <f>IF(main!BS153="","",ROUND(main!BS153*100,6))</f>
        <v/>
      </c>
      <c r="BH150" s="68" t="str">
        <f>IF(main!BT153="","",ROUND(main!BT153*100,6))</f>
        <v/>
      </c>
      <c r="BI150" s="68" t="str">
        <f>IF(main!BU153="","",ROUND(main!BU153*100,6))</f>
        <v/>
      </c>
      <c r="BJ150" s="68" t="str">
        <f>IF(main!BV153="","",ROUND(main!BV153*100,6))</f>
        <v/>
      </c>
      <c r="BK150" s="68" t="str">
        <f>IF(main!BW153="","",ROUND(main!BW153*100,6))</f>
        <v/>
      </c>
      <c r="BL150" s="68" t="str">
        <f>IF(main!BX153="","",ROUND(main!BX153*100,6))</f>
        <v/>
      </c>
      <c r="BM150" s="68" t="str">
        <f>IF(main!BY153="","",ROUND(main!BY153*100,6))</f>
        <v/>
      </c>
      <c r="BN150" s="68" t="str">
        <f>IF(main!BZ153="","",ROUND(main!BZ153*100,6))</f>
        <v/>
      </c>
      <c r="BO150" s="68" t="str">
        <f>IF(main!CA153="","",ROUND(main!CA153*100,6))</f>
        <v/>
      </c>
      <c r="BP150" s="68" t="str">
        <f>IF(main!CB153="","",ROUND(main!CB153*100,6))</f>
        <v/>
      </c>
      <c r="BQ150" s="68" t="str">
        <f>IF(main!CC153="","",ROUND(main!CC153*100,6))</f>
        <v/>
      </c>
      <c r="BR150" s="68" t="str">
        <f>IF(main!CD153="","",ROUND(main!CD153*100,6))</f>
        <v/>
      </c>
      <c r="BS150" s="68" t="str">
        <f>IF(main!CE153="","",ROUND(main!CE153*100,6))</f>
        <v/>
      </c>
      <c r="BT150" s="68" t="str">
        <f>IF(main!CF153="","",ROUND(main!CF153*100,6))</f>
        <v/>
      </c>
      <c r="BU150" s="68" t="str">
        <f>IF(main!CG153="","",ROUND(main!CG153*100,6))</f>
        <v/>
      </c>
      <c r="BV150" s="68" t="str">
        <f>IF(main!CH153="","",ROUND(main!CH153*100,6))</f>
        <v/>
      </c>
      <c r="BW150" s="68" t="str">
        <f>IF(main!CI153="","",ROUND(main!CI153*100,6))</f>
        <v/>
      </c>
      <c r="BX150" s="68" t="str">
        <f>IF(main!CJ153="","",ROUND(main!CJ153*100,6))</f>
        <v/>
      </c>
      <c r="BY150" s="68" t="str">
        <f>IF(main!CK153="","",ROUND(main!CK153*100,6))</f>
        <v/>
      </c>
      <c r="BZ150" s="68" t="str">
        <f>IF(main!CL153="","",ROUND(main!CL153*100,6))</f>
        <v/>
      </c>
      <c r="CA150" s="68" t="str">
        <f>IF(main!CM153="","",ROUND(main!CM153*100,6))</f>
        <v/>
      </c>
      <c r="CB150" s="68" t="str">
        <f>IF(main!CN153="","",ROUND(main!CN153*100,6))</f>
        <v/>
      </c>
      <c r="CC150" s="68" t="str">
        <f>IF(main!CO153="","",ROUND(main!CO153*100,6))</f>
        <v/>
      </c>
    </row>
    <row r="151" spans="1:81" x14ac:dyDescent="0.25">
      <c r="A151" s="65" t="s">
        <v>298</v>
      </c>
      <c r="B151" s="66" t="str">
        <f>main!C153</f>
        <v>1st to Roof</v>
      </c>
      <c r="C151" s="67">
        <f>main!O153</f>
        <v>400000</v>
      </c>
      <c r="D151" s="65" t="s">
        <v>111</v>
      </c>
      <c r="E151" s="68" t="str">
        <f t="shared" si="2"/>
        <v/>
      </c>
      <c r="F151" s="68" t="str">
        <f>IF(main!R154="","",ROUND(main!R154*100,6))</f>
        <v/>
      </c>
      <c r="G151" s="68" t="str">
        <f>IF(main!S154="","",ROUND(main!S154*100,6))</f>
        <v/>
      </c>
      <c r="H151" s="68" t="str">
        <f>IF(main!T154="","",ROUND(main!T154*100,6))</f>
        <v/>
      </c>
      <c r="I151" s="68" t="str">
        <f>IF(main!U154="","",ROUND(main!U154*100,6))</f>
        <v/>
      </c>
      <c r="J151" s="68" t="str">
        <f>IF(main!V154="","",ROUND(main!V154*100,6))</f>
        <v/>
      </c>
      <c r="K151" s="68" t="str">
        <f>IF(main!W154="","",ROUND(main!W154*100,6))</f>
        <v/>
      </c>
      <c r="L151" s="68" t="str">
        <f>IF(main!X154="","",ROUND(main!X154*100,6))</f>
        <v/>
      </c>
      <c r="M151" s="68" t="str">
        <f>IF(main!Y154="","",ROUND(main!Y154*100,6))</f>
        <v/>
      </c>
      <c r="N151" s="68" t="str">
        <f>IF(main!Z154="","",ROUND(main!Z154*100,6))</f>
        <v/>
      </c>
      <c r="O151" s="68" t="str">
        <f>IF(main!AA154="","",ROUND(main!AA154*100,6))</f>
        <v/>
      </c>
      <c r="P151" s="68" t="str">
        <f>IF(main!AB154="","",ROUND(main!AB154*100,6))</f>
        <v/>
      </c>
      <c r="Q151" s="68" t="str">
        <f>IF(main!AC154="","",ROUND(main!AC154*100,6))</f>
        <v/>
      </c>
      <c r="R151" s="68" t="str">
        <f>IF(main!AD154="","",ROUND(main!AD154*100,6))</f>
        <v/>
      </c>
      <c r="S151" s="68" t="str">
        <f>IF(main!AE154="","",ROUND(main!AE154*100,6))</f>
        <v/>
      </c>
      <c r="T151" s="68" t="str">
        <f>IF(main!AF154="","",ROUND(main!AF154*100,6))</f>
        <v/>
      </c>
      <c r="U151" s="68" t="str">
        <f>IF(main!AG154="","",ROUND(main!AG154*100,6))</f>
        <v/>
      </c>
      <c r="V151" s="68" t="str">
        <f>IF(main!AH154="","",ROUND(main!AH154*100,6))</f>
        <v/>
      </c>
      <c r="W151" s="68" t="str">
        <f>IF(main!AI154="","",ROUND(main!AI154*100,6))</f>
        <v/>
      </c>
      <c r="X151" s="68" t="str">
        <f>IF(main!AJ154="","",ROUND(main!AJ154*100,6))</f>
        <v/>
      </c>
      <c r="Y151" s="68" t="str">
        <f>IF(main!AK154="","",ROUND(main!AK154*100,6))</f>
        <v/>
      </c>
      <c r="Z151" s="68" t="str">
        <f>IF(main!AL154="","",ROUND(main!AL154*100,6))</f>
        <v/>
      </c>
      <c r="AA151" s="68" t="str">
        <f>IF(main!AM154="","",ROUND(main!AM154*100,6))</f>
        <v/>
      </c>
      <c r="AB151" s="68" t="str">
        <f>IF(main!AN154="","",ROUND(main!AN154*100,6))</f>
        <v/>
      </c>
      <c r="AC151" s="68" t="str">
        <f>IF(main!AO154="","",ROUND(main!AO154*100,6))</f>
        <v/>
      </c>
      <c r="AD151" s="68" t="str">
        <f>IF(main!AP154="","",ROUND(main!AP154*100,6))</f>
        <v/>
      </c>
      <c r="AE151" s="68" t="str">
        <f>IF(main!AQ154="","",ROUND(main!AQ154*100,6))</f>
        <v/>
      </c>
      <c r="AF151" s="68" t="str">
        <f>IF(main!AR154="","",ROUND(main!AR154*100,6))</f>
        <v/>
      </c>
      <c r="AG151" s="68" t="str">
        <f>IF(main!AS154="","",ROUND(main!AS154*100,6))</f>
        <v/>
      </c>
      <c r="AH151" s="68" t="str">
        <f>IF(main!AT154="","",ROUND(main!AT154*100,6))</f>
        <v/>
      </c>
      <c r="AI151" s="68" t="str">
        <f>IF(main!AU154="","",ROUND(main!AU154*100,6))</f>
        <v/>
      </c>
      <c r="AJ151" s="68" t="str">
        <f>IF(main!AV154="","",ROUND(main!AV154*100,6))</f>
        <v/>
      </c>
      <c r="AK151" s="68" t="str">
        <f>IF(main!AW154="","",ROUND(main!AW154*100,6))</f>
        <v/>
      </c>
      <c r="AL151" s="68" t="str">
        <f>IF(main!AX154="","",ROUND(main!AX154*100,6))</f>
        <v/>
      </c>
      <c r="AM151" s="68" t="str">
        <f>IF(main!AY154="","",ROUND(main!AY154*100,6))</f>
        <v/>
      </c>
      <c r="AN151" s="68" t="str">
        <f>IF(main!AZ154="","",ROUND(main!AZ154*100,6))</f>
        <v/>
      </c>
      <c r="AO151" s="68" t="str">
        <f>IF(main!BA154="","",ROUND(main!BA154*100,6))</f>
        <v/>
      </c>
      <c r="AP151" s="68" t="str">
        <f>IF(main!BB154="","",ROUND(main!BB154*100,6))</f>
        <v/>
      </c>
      <c r="AQ151" s="68" t="str">
        <f>IF(main!BC154="","",ROUND(main!BC154*100,6))</f>
        <v/>
      </c>
      <c r="AR151" s="68" t="str">
        <f>IF(main!BD154="","",ROUND(main!BD154*100,6))</f>
        <v/>
      </c>
      <c r="AS151" s="68" t="str">
        <f>IF(main!BE154="","",ROUND(main!BE154*100,6))</f>
        <v/>
      </c>
      <c r="AT151" s="68" t="str">
        <f>IF(main!BF154="","",ROUND(main!BF154*100,6))</f>
        <v/>
      </c>
      <c r="AU151" s="68" t="str">
        <f>IF(main!BG154="","",ROUND(main!BG154*100,6))</f>
        <v/>
      </c>
      <c r="AV151" s="68" t="str">
        <f>IF(main!BH154="","",ROUND(main!BH154*100,6))</f>
        <v/>
      </c>
      <c r="AW151" s="68" t="str">
        <f>IF(main!BI154="","",ROUND(main!BI154*100,6))</f>
        <v/>
      </c>
      <c r="AX151" s="68" t="str">
        <f>IF(main!BJ154="","",ROUND(main!BJ154*100,6))</f>
        <v/>
      </c>
      <c r="AY151" s="68" t="str">
        <f>IF(main!BK154="","",ROUND(main!BK154*100,6))</f>
        <v/>
      </c>
      <c r="AZ151" s="68" t="str">
        <f>IF(main!BL154="","",ROUND(main!BL154*100,6))</f>
        <v/>
      </c>
      <c r="BA151" s="68" t="str">
        <f>IF(main!BM154="","",ROUND(main!BM154*100,6))</f>
        <v/>
      </c>
      <c r="BB151" s="68" t="str">
        <f>IF(main!BN154="","",ROUND(main!BN154*100,6))</f>
        <v/>
      </c>
      <c r="BC151" s="68" t="str">
        <f>IF(main!BO154="","",ROUND(main!BO154*100,6))</f>
        <v/>
      </c>
      <c r="BD151" s="68" t="str">
        <f>IF(main!BP154="","",ROUND(main!BP154*100,6))</f>
        <v/>
      </c>
      <c r="BE151" s="68" t="str">
        <f>IF(main!BQ154="","",ROUND(main!BQ154*100,6))</f>
        <v/>
      </c>
      <c r="BF151" s="68" t="str">
        <f>IF(main!BR154="","",ROUND(main!BR154*100,6))</f>
        <v/>
      </c>
      <c r="BG151" s="68" t="str">
        <f>IF(main!BS154="","",ROUND(main!BS154*100,6))</f>
        <v/>
      </c>
      <c r="BH151" s="68" t="str">
        <f>IF(main!BT154="","",ROUND(main!BT154*100,6))</f>
        <v/>
      </c>
      <c r="BI151" s="68" t="str">
        <f>IF(main!BU154="","",ROUND(main!BU154*100,6))</f>
        <v/>
      </c>
      <c r="BJ151" s="68" t="str">
        <f>IF(main!BV154="","",ROUND(main!BV154*100,6))</f>
        <v/>
      </c>
      <c r="BK151" s="68" t="str">
        <f>IF(main!BW154="","",ROUND(main!BW154*100,6))</f>
        <v/>
      </c>
      <c r="BL151" s="68" t="str">
        <f>IF(main!BX154="","",ROUND(main!BX154*100,6))</f>
        <v/>
      </c>
      <c r="BM151" s="68" t="str">
        <f>IF(main!BY154="","",ROUND(main!BY154*100,6))</f>
        <v/>
      </c>
      <c r="BN151" s="68" t="str">
        <f>IF(main!BZ154="","",ROUND(main!BZ154*100,6))</f>
        <v/>
      </c>
      <c r="BO151" s="68" t="str">
        <f>IF(main!CA154="","",ROUND(main!CA154*100,6))</f>
        <v/>
      </c>
      <c r="BP151" s="68" t="str">
        <f>IF(main!CB154="","",ROUND(main!CB154*100,6))</f>
        <v/>
      </c>
      <c r="BQ151" s="68" t="str">
        <f>IF(main!CC154="","",ROUND(main!CC154*100,6))</f>
        <v/>
      </c>
      <c r="BR151" s="68" t="str">
        <f>IF(main!CD154="","",ROUND(main!CD154*100,6))</f>
        <v/>
      </c>
      <c r="BS151" s="68" t="str">
        <f>IF(main!CE154="","",ROUND(main!CE154*100,6))</f>
        <v/>
      </c>
      <c r="BT151" s="68" t="str">
        <f>IF(main!CF154="","",ROUND(main!CF154*100,6))</f>
        <v/>
      </c>
      <c r="BU151" s="68" t="str">
        <f>IF(main!CG154="","",ROUND(main!CG154*100,6))</f>
        <v/>
      </c>
      <c r="BV151" s="68" t="str">
        <f>IF(main!CH154="","",ROUND(main!CH154*100,6))</f>
        <v/>
      </c>
      <c r="BW151" s="68" t="str">
        <f>IF(main!CI154="","",ROUND(main!CI154*100,6))</f>
        <v/>
      </c>
      <c r="BX151" s="68" t="str">
        <f>IF(main!CJ154="","",ROUND(main!CJ154*100,6))</f>
        <v/>
      </c>
      <c r="BY151" s="68" t="str">
        <f>IF(main!CK154="","",ROUND(main!CK154*100,6))</f>
        <v/>
      </c>
      <c r="BZ151" s="68" t="str">
        <f>IF(main!CL154="","",ROUND(main!CL154*100,6))</f>
        <v/>
      </c>
      <c r="CA151" s="68" t="str">
        <f>IF(main!CM154="","",ROUND(main!CM154*100,6))</f>
        <v/>
      </c>
      <c r="CB151" s="68" t="str">
        <f>IF(main!CN154="","",ROUND(main!CN154*100,6))</f>
        <v/>
      </c>
      <c r="CC151" s="68" t="str">
        <f>IF(main!CO154="","",ROUND(main!CO154*100,6))</f>
        <v/>
      </c>
    </row>
    <row r="152" spans="1:81" x14ac:dyDescent="0.25">
      <c r="A152" s="65" t="s">
        <v>300</v>
      </c>
      <c r="B152" s="66" t="str">
        <f>main!C155</f>
        <v>งานก่ออิฐช่องชาร์ปงานระบบประกอบอาคาร</v>
      </c>
      <c r="C152" s="67">
        <f>main!O155</f>
        <v>100000</v>
      </c>
      <c r="D152" s="65" t="s">
        <v>110</v>
      </c>
      <c r="E152" s="68">
        <f t="shared" si="2"/>
        <v>100.00000199999999</v>
      </c>
      <c r="F152" s="68" t="str">
        <f>IF(main!R155="","",ROUND(main!R155*100,6))</f>
        <v/>
      </c>
      <c r="G152" s="68" t="str">
        <f>IF(main!S155="","",ROUND(main!S155*100,6))</f>
        <v/>
      </c>
      <c r="H152" s="68" t="str">
        <f>IF(main!T155="","",ROUND(main!T155*100,6))</f>
        <v/>
      </c>
      <c r="I152" s="68" t="str">
        <f>IF(main!U155="","",ROUND(main!U155*100,6))</f>
        <v/>
      </c>
      <c r="J152" s="68" t="str">
        <f>IF(main!V155="","",ROUND(main!V155*100,6))</f>
        <v/>
      </c>
      <c r="K152" s="68" t="str">
        <f>IF(main!W155="","",ROUND(main!W155*100,6))</f>
        <v/>
      </c>
      <c r="L152" s="68" t="str">
        <f>IF(main!X155="","",ROUND(main!X155*100,6))</f>
        <v/>
      </c>
      <c r="M152" s="68" t="str">
        <f>IF(main!Y155="","",ROUND(main!Y155*100,6))</f>
        <v/>
      </c>
      <c r="N152" s="68" t="str">
        <f>IF(main!Z155="","",ROUND(main!Z155*100,6))</f>
        <v/>
      </c>
      <c r="O152" s="68" t="str">
        <f>IF(main!AA155="","",ROUND(main!AA155*100,6))</f>
        <v/>
      </c>
      <c r="P152" s="68" t="str">
        <f>IF(main!AB155="","",ROUND(main!AB155*100,6))</f>
        <v/>
      </c>
      <c r="Q152" s="68" t="str">
        <f>IF(main!AC155="","",ROUND(main!AC155*100,6))</f>
        <v/>
      </c>
      <c r="R152" s="68" t="str">
        <f>IF(main!AD155="","",ROUND(main!AD155*100,6))</f>
        <v/>
      </c>
      <c r="S152" s="68" t="str">
        <f>IF(main!AE155="","",ROUND(main!AE155*100,6))</f>
        <v/>
      </c>
      <c r="T152" s="68" t="str">
        <f>IF(main!AF155="","",ROUND(main!AF155*100,6))</f>
        <v/>
      </c>
      <c r="U152" s="68" t="str">
        <f>IF(main!AG155="","",ROUND(main!AG155*100,6))</f>
        <v/>
      </c>
      <c r="V152" s="68" t="str">
        <f>IF(main!AH155="","",ROUND(main!AH155*100,6))</f>
        <v/>
      </c>
      <c r="W152" s="68" t="str">
        <f>IF(main!AI155="","",ROUND(main!AI155*100,6))</f>
        <v/>
      </c>
      <c r="X152" s="68" t="str">
        <f>IF(main!AJ155="","",ROUND(main!AJ155*100,6))</f>
        <v/>
      </c>
      <c r="Y152" s="68" t="str">
        <f>IF(main!AK155="","",ROUND(main!AK155*100,6))</f>
        <v/>
      </c>
      <c r="Z152" s="68" t="str">
        <f>IF(main!AL155="","",ROUND(main!AL155*100,6))</f>
        <v/>
      </c>
      <c r="AA152" s="68" t="str">
        <f>IF(main!AM155="","",ROUND(main!AM155*100,6))</f>
        <v/>
      </c>
      <c r="AB152" s="68" t="str">
        <f>IF(main!AN155="","",ROUND(main!AN155*100,6))</f>
        <v/>
      </c>
      <c r="AC152" s="68" t="str">
        <f>IF(main!AO155="","",ROUND(main!AO155*100,6))</f>
        <v/>
      </c>
      <c r="AD152" s="68" t="str">
        <f>IF(main!AP155="","",ROUND(main!AP155*100,6))</f>
        <v/>
      </c>
      <c r="AE152" s="68" t="str">
        <f>IF(main!AQ155="","",ROUND(main!AQ155*100,6))</f>
        <v/>
      </c>
      <c r="AF152" s="68" t="str">
        <f>IF(main!AR155="","",ROUND(main!AR155*100,6))</f>
        <v/>
      </c>
      <c r="AG152" s="68" t="str">
        <f>IF(main!AS155="","",ROUND(main!AS155*100,6))</f>
        <v/>
      </c>
      <c r="AH152" s="68" t="str">
        <f>IF(main!AT155="","",ROUND(main!AT155*100,6))</f>
        <v/>
      </c>
      <c r="AI152" s="68" t="str">
        <f>IF(main!AU155="","",ROUND(main!AU155*100,6))</f>
        <v/>
      </c>
      <c r="AJ152" s="68" t="str">
        <f>IF(main!AV155="","",ROUND(main!AV155*100,6))</f>
        <v/>
      </c>
      <c r="AK152" s="68" t="str">
        <f>IF(main!AW155="","",ROUND(main!AW155*100,6))</f>
        <v/>
      </c>
      <c r="AL152" s="68">
        <f>IF(main!AX155="","",ROUND(main!AX155*100,6))</f>
        <v>9.5238099999999992</v>
      </c>
      <c r="AM152" s="68">
        <f>IF(main!AY155="","",ROUND(main!AY155*100,6))</f>
        <v>16.666667</v>
      </c>
      <c r="AN152" s="68">
        <f>IF(main!AZ155="","",ROUND(main!AZ155*100,6))</f>
        <v>16.666667</v>
      </c>
      <c r="AO152" s="68">
        <f>IF(main!BA155="","",ROUND(main!BA155*100,6))</f>
        <v>16.666667</v>
      </c>
      <c r="AP152" s="68">
        <f>IF(main!BB155="","",ROUND(main!BB155*100,6))</f>
        <v>16.666667</v>
      </c>
      <c r="AQ152" s="68">
        <f>IF(main!BC155="","",ROUND(main!BC155*100,6))</f>
        <v>16.666667</v>
      </c>
      <c r="AR152" s="68">
        <f>IF(main!BD155="","",ROUND(main!BD155*100,6))</f>
        <v>7.1428570000000002</v>
      </c>
      <c r="AS152" s="68" t="str">
        <f>IF(main!BE155="","",ROUND(main!BE155*100,6))</f>
        <v/>
      </c>
      <c r="AT152" s="68" t="str">
        <f>IF(main!BF155="","",ROUND(main!BF155*100,6))</f>
        <v/>
      </c>
      <c r="AU152" s="68" t="str">
        <f>IF(main!BG155="","",ROUND(main!BG155*100,6))</f>
        <v/>
      </c>
      <c r="AV152" s="68" t="str">
        <f>IF(main!BH155="","",ROUND(main!BH155*100,6))</f>
        <v/>
      </c>
      <c r="AW152" s="68" t="str">
        <f>IF(main!BI155="","",ROUND(main!BI155*100,6))</f>
        <v/>
      </c>
      <c r="AX152" s="68" t="str">
        <f>IF(main!BJ155="","",ROUND(main!BJ155*100,6))</f>
        <v/>
      </c>
      <c r="AY152" s="68" t="str">
        <f>IF(main!BK155="","",ROUND(main!BK155*100,6))</f>
        <v/>
      </c>
      <c r="AZ152" s="68" t="str">
        <f>IF(main!BL155="","",ROUND(main!BL155*100,6))</f>
        <v/>
      </c>
      <c r="BA152" s="68" t="str">
        <f>IF(main!BM155="","",ROUND(main!BM155*100,6))</f>
        <v/>
      </c>
      <c r="BB152" s="68" t="str">
        <f>IF(main!BN155="","",ROUND(main!BN155*100,6))</f>
        <v/>
      </c>
      <c r="BC152" s="68" t="str">
        <f>IF(main!BO155="","",ROUND(main!BO155*100,6))</f>
        <v/>
      </c>
      <c r="BD152" s="68" t="str">
        <f>IF(main!BP155="","",ROUND(main!BP155*100,6))</f>
        <v/>
      </c>
      <c r="BE152" s="68" t="str">
        <f>IF(main!BQ155="","",ROUND(main!BQ155*100,6))</f>
        <v/>
      </c>
      <c r="BF152" s="68" t="str">
        <f>IF(main!BR155="","",ROUND(main!BR155*100,6))</f>
        <v/>
      </c>
      <c r="BG152" s="68" t="str">
        <f>IF(main!BS155="","",ROUND(main!BS155*100,6))</f>
        <v/>
      </c>
      <c r="BH152" s="68" t="str">
        <f>IF(main!BT155="","",ROUND(main!BT155*100,6))</f>
        <v/>
      </c>
      <c r="BI152" s="68" t="str">
        <f>IF(main!BU155="","",ROUND(main!BU155*100,6))</f>
        <v/>
      </c>
      <c r="BJ152" s="68" t="str">
        <f>IF(main!BV155="","",ROUND(main!BV155*100,6))</f>
        <v/>
      </c>
      <c r="BK152" s="68" t="str">
        <f>IF(main!BW155="","",ROUND(main!BW155*100,6))</f>
        <v/>
      </c>
      <c r="BL152" s="68" t="str">
        <f>IF(main!BX155="","",ROUND(main!BX155*100,6))</f>
        <v/>
      </c>
      <c r="BM152" s="68" t="str">
        <f>IF(main!BY155="","",ROUND(main!BY155*100,6))</f>
        <v/>
      </c>
      <c r="BN152" s="68" t="str">
        <f>IF(main!BZ155="","",ROUND(main!BZ155*100,6))</f>
        <v/>
      </c>
      <c r="BO152" s="68" t="str">
        <f>IF(main!CA155="","",ROUND(main!CA155*100,6))</f>
        <v/>
      </c>
      <c r="BP152" s="68" t="str">
        <f>IF(main!CB155="","",ROUND(main!CB155*100,6))</f>
        <v/>
      </c>
      <c r="BQ152" s="68" t="str">
        <f>IF(main!CC155="","",ROUND(main!CC155*100,6))</f>
        <v/>
      </c>
      <c r="BR152" s="68" t="str">
        <f>IF(main!CD155="","",ROUND(main!CD155*100,6))</f>
        <v/>
      </c>
      <c r="BS152" s="68" t="str">
        <f>IF(main!CE155="","",ROUND(main!CE155*100,6))</f>
        <v/>
      </c>
      <c r="BT152" s="68" t="str">
        <f>IF(main!CF155="","",ROUND(main!CF155*100,6))</f>
        <v/>
      </c>
      <c r="BU152" s="68" t="str">
        <f>IF(main!CG155="","",ROUND(main!CG155*100,6))</f>
        <v/>
      </c>
      <c r="BV152" s="68" t="str">
        <f>IF(main!CH155="","",ROUND(main!CH155*100,6))</f>
        <v/>
      </c>
      <c r="BW152" s="68" t="str">
        <f>IF(main!CI155="","",ROUND(main!CI155*100,6))</f>
        <v/>
      </c>
      <c r="BX152" s="68" t="str">
        <f>IF(main!CJ155="","",ROUND(main!CJ155*100,6))</f>
        <v/>
      </c>
      <c r="BY152" s="68" t="str">
        <f>IF(main!CK155="","",ROUND(main!CK155*100,6))</f>
        <v/>
      </c>
      <c r="BZ152" s="68" t="str">
        <f>IF(main!CL155="","",ROUND(main!CL155*100,6))</f>
        <v/>
      </c>
      <c r="CA152" s="68" t="str">
        <f>IF(main!CM155="","",ROUND(main!CM155*100,6))</f>
        <v/>
      </c>
      <c r="CB152" s="68" t="str">
        <f>IF(main!CN155="","",ROUND(main!CN155*100,6))</f>
        <v/>
      </c>
      <c r="CC152" s="68" t="str">
        <f>IF(main!CO155="","",ROUND(main!CO155*100,6))</f>
        <v/>
      </c>
    </row>
    <row r="153" spans="1:81" x14ac:dyDescent="0.25">
      <c r="A153" s="65" t="s">
        <v>300</v>
      </c>
      <c r="B153" s="66" t="str">
        <f>main!C155</f>
        <v>งานก่ออิฐช่องชาร์ปงานระบบประกอบอาคาร</v>
      </c>
      <c r="C153" s="67">
        <f>main!O155</f>
        <v>100000</v>
      </c>
      <c r="D153" s="65" t="s">
        <v>111</v>
      </c>
      <c r="E153" s="68" t="str">
        <f t="shared" si="2"/>
        <v/>
      </c>
      <c r="F153" s="68" t="str">
        <f>IF(main!R156="","",ROUND(main!R156*100,6))</f>
        <v/>
      </c>
      <c r="G153" s="68" t="str">
        <f>IF(main!S156="","",ROUND(main!S156*100,6))</f>
        <v/>
      </c>
      <c r="H153" s="68" t="str">
        <f>IF(main!T156="","",ROUND(main!T156*100,6))</f>
        <v/>
      </c>
      <c r="I153" s="68" t="str">
        <f>IF(main!U156="","",ROUND(main!U156*100,6))</f>
        <v/>
      </c>
      <c r="J153" s="68" t="str">
        <f>IF(main!V156="","",ROUND(main!V156*100,6))</f>
        <v/>
      </c>
      <c r="K153" s="68" t="str">
        <f>IF(main!W156="","",ROUND(main!W156*100,6))</f>
        <v/>
      </c>
      <c r="L153" s="68" t="str">
        <f>IF(main!X156="","",ROUND(main!X156*100,6))</f>
        <v/>
      </c>
      <c r="M153" s="68" t="str">
        <f>IF(main!Y156="","",ROUND(main!Y156*100,6))</f>
        <v/>
      </c>
      <c r="N153" s="68" t="str">
        <f>IF(main!Z156="","",ROUND(main!Z156*100,6))</f>
        <v/>
      </c>
      <c r="O153" s="68" t="str">
        <f>IF(main!AA156="","",ROUND(main!AA156*100,6))</f>
        <v/>
      </c>
      <c r="P153" s="68" t="str">
        <f>IF(main!AB156="","",ROUND(main!AB156*100,6))</f>
        <v/>
      </c>
      <c r="Q153" s="68" t="str">
        <f>IF(main!AC156="","",ROUND(main!AC156*100,6))</f>
        <v/>
      </c>
      <c r="R153" s="68" t="str">
        <f>IF(main!AD156="","",ROUND(main!AD156*100,6))</f>
        <v/>
      </c>
      <c r="S153" s="68" t="str">
        <f>IF(main!AE156="","",ROUND(main!AE156*100,6))</f>
        <v/>
      </c>
      <c r="T153" s="68" t="str">
        <f>IF(main!AF156="","",ROUND(main!AF156*100,6))</f>
        <v/>
      </c>
      <c r="U153" s="68" t="str">
        <f>IF(main!AG156="","",ROUND(main!AG156*100,6))</f>
        <v/>
      </c>
      <c r="V153" s="68" t="str">
        <f>IF(main!AH156="","",ROUND(main!AH156*100,6))</f>
        <v/>
      </c>
      <c r="W153" s="68" t="str">
        <f>IF(main!AI156="","",ROUND(main!AI156*100,6))</f>
        <v/>
      </c>
      <c r="X153" s="68" t="str">
        <f>IF(main!AJ156="","",ROUND(main!AJ156*100,6))</f>
        <v/>
      </c>
      <c r="Y153" s="68" t="str">
        <f>IF(main!AK156="","",ROUND(main!AK156*100,6))</f>
        <v/>
      </c>
      <c r="Z153" s="68" t="str">
        <f>IF(main!AL156="","",ROUND(main!AL156*100,6))</f>
        <v/>
      </c>
      <c r="AA153" s="68" t="str">
        <f>IF(main!AM156="","",ROUND(main!AM156*100,6))</f>
        <v/>
      </c>
      <c r="AB153" s="68" t="str">
        <f>IF(main!AN156="","",ROUND(main!AN156*100,6))</f>
        <v/>
      </c>
      <c r="AC153" s="68" t="str">
        <f>IF(main!AO156="","",ROUND(main!AO156*100,6))</f>
        <v/>
      </c>
      <c r="AD153" s="68" t="str">
        <f>IF(main!AP156="","",ROUND(main!AP156*100,6))</f>
        <v/>
      </c>
      <c r="AE153" s="68" t="str">
        <f>IF(main!AQ156="","",ROUND(main!AQ156*100,6))</f>
        <v/>
      </c>
      <c r="AF153" s="68" t="str">
        <f>IF(main!AR156="","",ROUND(main!AR156*100,6))</f>
        <v/>
      </c>
      <c r="AG153" s="68" t="str">
        <f>IF(main!AS156="","",ROUND(main!AS156*100,6))</f>
        <v/>
      </c>
      <c r="AH153" s="68" t="str">
        <f>IF(main!AT156="","",ROUND(main!AT156*100,6))</f>
        <v/>
      </c>
      <c r="AI153" s="68" t="str">
        <f>IF(main!AU156="","",ROUND(main!AU156*100,6))</f>
        <v/>
      </c>
      <c r="AJ153" s="68" t="str">
        <f>IF(main!AV156="","",ROUND(main!AV156*100,6))</f>
        <v/>
      </c>
      <c r="AK153" s="68" t="str">
        <f>IF(main!AW156="","",ROUND(main!AW156*100,6))</f>
        <v/>
      </c>
      <c r="AL153" s="68" t="str">
        <f>IF(main!AX156="","",ROUND(main!AX156*100,6))</f>
        <v/>
      </c>
      <c r="AM153" s="68" t="str">
        <f>IF(main!AY156="","",ROUND(main!AY156*100,6))</f>
        <v/>
      </c>
      <c r="AN153" s="68" t="str">
        <f>IF(main!AZ156="","",ROUND(main!AZ156*100,6))</f>
        <v/>
      </c>
      <c r="AO153" s="68" t="str">
        <f>IF(main!BA156="","",ROUND(main!BA156*100,6))</f>
        <v/>
      </c>
      <c r="AP153" s="68" t="str">
        <f>IF(main!BB156="","",ROUND(main!BB156*100,6))</f>
        <v/>
      </c>
      <c r="AQ153" s="68" t="str">
        <f>IF(main!BC156="","",ROUND(main!BC156*100,6))</f>
        <v/>
      </c>
      <c r="AR153" s="68" t="str">
        <f>IF(main!BD156="","",ROUND(main!BD156*100,6))</f>
        <v/>
      </c>
      <c r="AS153" s="68" t="str">
        <f>IF(main!BE156="","",ROUND(main!BE156*100,6))</f>
        <v/>
      </c>
      <c r="AT153" s="68" t="str">
        <f>IF(main!BF156="","",ROUND(main!BF156*100,6))</f>
        <v/>
      </c>
      <c r="AU153" s="68" t="str">
        <f>IF(main!BG156="","",ROUND(main!BG156*100,6))</f>
        <v/>
      </c>
      <c r="AV153" s="68" t="str">
        <f>IF(main!BH156="","",ROUND(main!BH156*100,6))</f>
        <v/>
      </c>
      <c r="AW153" s="68" t="str">
        <f>IF(main!BI156="","",ROUND(main!BI156*100,6))</f>
        <v/>
      </c>
      <c r="AX153" s="68" t="str">
        <f>IF(main!BJ156="","",ROUND(main!BJ156*100,6))</f>
        <v/>
      </c>
      <c r="AY153" s="68" t="str">
        <f>IF(main!BK156="","",ROUND(main!BK156*100,6))</f>
        <v/>
      </c>
      <c r="AZ153" s="68" t="str">
        <f>IF(main!BL156="","",ROUND(main!BL156*100,6))</f>
        <v/>
      </c>
      <c r="BA153" s="68" t="str">
        <f>IF(main!BM156="","",ROUND(main!BM156*100,6))</f>
        <v/>
      </c>
      <c r="BB153" s="68" t="str">
        <f>IF(main!BN156="","",ROUND(main!BN156*100,6))</f>
        <v/>
      </c>
      <c r="BC153" s="68" t="str">
        <f>IF(main!BO156="","",ROUND(main!BO156*100,6))</f>
        <v/>
      </c>
      <c r="BD153" s="68" t="str">
        <f>IF(main!BP156="","",ROUND(main!BP156*100,6))</f>
        <v/>
      </c>
      <c r="BE153" s="68" t="str">
        <f>IF(main!BQ156="","",ROUND(main!BQ156*100,6))</f>
        <v/>
      </c>
      <c r="BF153" s="68" t="str">
        <f>IF(main!BR156="","",ROUND(main!BR156*100,6))</f>
        <v/>
      </c>
      <c r="BG153" s="68" t="str">
        <f>IF(main!BS156="","",ROUND(main!BS156*100,6))</f>
        <v/>
      </c>
      <c r="BH153" s="68" t="str">
        <f>IF(main!BT156="","",ROUND(main!BT156*100,6))</f>
        <v/>
      </c>
      <c r="BI153" s="68" t="str">
        <f>IF(main!BU156="","",ROUND(main!BU156*100,6))</f>
        <v/>
      </c>
      <c r="BJ153" s="68" t="str">
        <f>IF(main!BV156="","",ROUND(main!BV156*100,6))</f>
        <v/>
      </c>
      <c r="BK153" s="68" t="str">
        <f>IF(main!BW156="","",ROUND(main!BW156*100,6))</f>
        <v/>
      </c>
      <c r="BL153" s="68" t="str">
        <f>IF(main!BX156="","",ROUND(main!BX156*100,6))</f>
        <v/>
      </c>
      <c r="BM153" s="68" t="str">
        <f>IF(main!BY156="","",ROUND(main!BY156*100,6))</f>
        <v/>
      </c>
      <c r="BN153" s="68" t="str">
        <f>IF(main!BZ156="","",ROUND(main!BZ156*100,6))</f>
        <v/>
      </c>
      <c r="BO153" s="68" t="str">
        <f>IF(main!CA156="","",ROUND(main!CA156*100,6))</f>
        <v/>
      </c>
      <c r="BP153" s="68" t="str">
        <f>IF(main!CB156="","",ROUND(main!CB156*100,6))</f>
        <v/>
      </c>
      <c r="BQ153" s="68" t="str">
        <f>IF(main!CC156="","",ROUND(main!CC156*100,6))</f>
        <v/>
      </c>
      <c r="BR153" s="68" t="str">
        <f>IF(main!CD156="","",ROUND(main!CD156*100,6))</f>
        <v/>
      </c>
      <c r="BS153" s="68" t="str">
        <f>IF(main!CE156="","",ROUND(main!CE156*100,6))</f>
        <v/>
      </c>
      <c r="BT153" s="68" t="str">
        <f>IF(main!CF156="","",ROUND(main!CF156*100,6))</f>
        <v/>
      </c>
      <c r="BU153" s="68" t="str">
        <f>IF(main!CG156="","",ROUND(main!CG156*100,6))</f>
        <v/>
      </c>
      <c r="BV153" s="68" t="str">
        <f>IF(main!CH156="","",ROUND(main!CH156*100,6))</f>
        <v/>
      </c>
      <c r="BW153" s="68" t="str">
        <f>IF(main!CI156="","",ROUND(main!CI156*100,6))</f>
        <v/>
      </c>
      <c r="BX153" s="68" t="str">
        <f>IF(main!CJ156="","",ROUND(main!CJ156*100,6))</f>
        <v/>
      </c>
      <c r="BY153" s="68" t="str">
        <f>IF(main!CK156="","",ROUND(main!CK156*100,6))</f>
        <v/>
      </c>
      <c r="BZ153" s="68" t="str">
        <f>IF(main!CL156="","",ROUND(main!CL156*100,6))</f>
        <v/>
      </c>
      <c r="CA153" s="68" t="str">
        <f>IF(main!CM156="","",ROUND(main!CM156*100,6))</f>
        <v/>
      </c>
      <c r="CB153" s="68" t="str">
        <f>IF(main!CN156="","",ROUND(main!CN156*100,6))</f>
        <v/>
      </c>
      <c r="CC153" s="68" t="str">
        <f>IF(main!CO156="","",ROUND(main!CO156*100,6))</f>
        <v/>
      </c>
    </row>
    <row r="154" spans="1:81" x14ac:dyDescent="0.25">
      <c r="A154" s="65" t="s">
        <v>303</v>
      </c>
      <c r="B154" s="66" t="str">
        <f>main!C157</f>
        <v>Electrical and Communication Riser</v>
      </c>
      <c r="C154" s="67">
        <f>main!O157</f>
        <v>100000</v>
      </c>
      <c r="D154" s="65" t="s">
        <v>110</v>
      </c>
      <c r="E154" s="68">
        <f t="shared" si="2"/>
        <v>100.00000300000001</v>
      </c>
      <c r="F154" s="68" t="str">
        <f>IF(main!R157="","",ROUND(main!R157*100,6))</f>
        <v/>
      </c>
      <c r="G154" s="68" t="str">
        <f>IF(main!S157="","",ROUND(main!S157*100,6))</f>
        <v/>
      </c>
      <c r="H154" s="68" t="str">
        <f>IF(main!T157="","",ROUND(main!T157*100,6))</f>
        <v/>
      </c>
      <c r="I154" s="68" t="str">
        <f>IF(main!U157="","",ROUND(main!U157*100,6))</f>
        <v/>
      </c>
      <c r="J154" s="68" t="str">
        <f>IF(main!V157="","",ROUND(main!V157*100,6))</f>
        <v/>
      </c>
      <c r="K154" s="68" t="str">
        <f>IF(main!W157="","",ROUND(main!W157*100,6))</f>
        <v/>
      </c>
      <c r="L154" s="68" t="str">
        <f>IF(main!X157="","",ROUND(main!X157*100,6))</f>
        <v/>
      </c>
      <c r="M154" s="68" t="str">
        <f>IF(main!Y157="","",ROUND(main!Y157*100,6))</f>
        <v/>
      </c>
      <c r="N154" s="68" t="str">
        <f>IF(main!Z157="","",ROUND(main!Z157*100,6))</f>
        <v/>
      </c>
      <c r="O154" s="68" t="str">
        <f>IF(main!AA157="","",ROUND(main!AA157*100,6))</f>
        <v/>
      </c>
      <c r="P154" s="68" t="str">
        <f>IF(main!AB157="","",ROUND(main!AB157*100,6))</f>
        <v/>
      </c>
      <c r="Q154" s="68" t="str">
        <f>IF(main!AC157="","",ROUND(main!AC157*100,6))</f>
        <v/>
      </c>
      <c r="R154" s="68" t="str">
        <f>IF(main!AD157="","",ROUND(main!AD157*100,6))</f>
        <v/>
      </c>
      <c r="S154" s="68" t="str">
        <f>IF(main!AE157="","",ROUND(main!AE157*100,6))</f>
        <v/>
      </c>
      <c r="T154" s="68" t="str">
        <f>IF(main!AF157="","",ROUND(main!AF157*100,6))</f>
        <v/>
      </c>
      <c r="U154" s="68" t="str">
        <f>IF(main!AG157="","",ROUND(main!AG157*100,6))</f>
        <v/>
      </c>
      <c r="V154" s="68" t="str">
        <f>IF(main!AH157="","",ROUND(main!AH157*100,6))</f>
        <v/>
      </c>
      <c r="W154" s="68" t="str">
        <f>IF(main!AI157="","",ROUND(main!AI157*100,6))</f>
        <v/>
      </c>
      <c r="X154" s="68" t="str">
        <f>IF(main!AJ157="","",ROUND(main!AJ157*100,6))</f>
        <v/>
      </c>
      <c r="Y154" s="68" t="str">
        <f>IF(main!AK157="","",ROUND(main!AK157*100,6))</f>
        <v/>
      </c>
      <c r="Z154" s="68" t="str">
        <f>IF(main!AL157="","",ROUND(main!AL157*100,6))</f>
        <v/>
      </c>
      <c r="AA154" s="68" t="str">
        <f>IF(main!AM157="","",ROUND(main!AM157*100,6))</f>
        <v/>
      </c>
      <c r="AB154" s="68" t="str">
        <f>IF(main!AN157="","",ROUND(main!AN157*100,6))</f>
        <v/>
      </c>
      <c r="AC154" s="68" t="str">
        <f>IF(main!AO157="","",ROUND(main!AO157*100,6))</f>
        <v/>
      </c>
      <c r="AD154" s="68" t="str">
        <f>IF(main!AP157="","",ROUND(main!AP157*100,6))</f>
        <v/>
      </c>
      <c r="AE154" s="68" t="str">
        <f>IF(main!AQ157="","",ROUND(main!AQ157*100,6))</f>
        <v/>
      </c>
      <c r="AF154" s="68" t="str">
        <f>IF(main!AR157="","",ROUND(main!AR157*100,6))</f>
        <v/>
      </c>
      <c r="AG154" s="68" t="str">
        <f>IF(main!AS157="","",ROUND(main!AS157*100,6))</f>
        <v/>
      </c>
      <c r="AH154" s="68" t="str">
        <f>IF(main!AT157="","",ROUND(main!AT157*100,6))</f>
        <v/>
      </c>
      <c r="AI154" s="68" t="str">
        <f>IF(main!AU157="","",ROUND(main!AU157*100,6))</f>
        <v/>
      </c>
      <c r="AJ154" s="68" t="str">
        <f>IF(main!AV157="","",ROUND(main!AV157*100,6))</f>
        <v/>
      </c>
      <c r="AK154" s="68" t="str">
        <f>IF(main!AW157="","",ROUND(main!AW157*100,6))</f>
        <v/>
      </c>
      <c r="AL154" s="68" t="str">
        <f>IF(main!AX157="","",ROUND(main!AX157*100,6))</f>
        <v/>
      </c>
      <c r="AM154" s="68" t="str">
        <f>IF(main!AY157="","",ROUND(main!AY157*100,6))</f>
        <v/>
      </c>
      <c r="AN154" s="68" t="str">
        <f>IF(main!AZ157="","",ROUND(main!AZ157*100,6))</f>
        <v/>
      </c>
      <c r="AO154" s="68" t="str">
        <f>IF(main!BA157="","",ROUND(main!BA157*100,6))</f>
        <v/>
      </c>
      <c r="AP154" s="68" t="str">
        <f>IF(main!BB157="","",ROUND(main!BB157*100,6))</f>
        <v/>
      </c>
      <c r="AQ154" s="68" t="str">
        <f>IF(main!BC157="","",ROUND(main!BC157*100,6))</f>
        <v/>
      </c>
      <c r="AR154" s="68">
        <f>IF(main!BD157="","",ROUND(main!BD157*100,6))</f>
        <v>4.3956039999999996</v>
      </c>
      <c r="AS154" s="68">
        <f>IF(main!BE157="","",ROUND(main!BE157*100,6))</f>
        <v>7.6923079999999997</v>
      </c>
      <c r="AT154" s="68">
        <f>IF(main!BF157="","",ROUND(main!BF157*100,6))</f>
        <v>7.6923079999999997</v>
      </c>
      <c r="AU154" s="68">
        <f>IF(main!BG157="","",ROUND(main!BG157*100,6))</f>
        <v>7.6923079999999997</v>
      </c>
      <c r="AV154" s="68">
        <f>IF(main!BH157="","",ROUND(main!BH157*100,6))</f>
        <v>7.6923079999999997</v>
      </c>
      <c r="AW154" s="68">
        <f>IF(main!BI157="","",ROUND(main!BI157*100,6))</f>
        <v>7.6923079999999997</v>
      </c>
      <c r="AX154" s="68">
        <f>IF(main!BJ157="","",ROUND(main!BJ157*100,6))</f>
        <v>7.6923079999999997</v>
      </c>
      <c r="AY154" s="68">
        <f>IF(main!BK157="","",ROUND(main!BK157*100,6))</f>
        <v>7.6923079999999997</v>
      </c>
      <c r="AZ154" s="68">
        <f>IF(main!BL157="","",ROUND(main!BL157*100,6))</f>
        <v>7.6923079999999997</v>
      </c>
      <c r="BA154" s="68">
        <f>IF(main!BM157="","",ROUND(main!BM157*100,6))</f>
        <v>7.6923079999999997</v>
      </c>
      <c r="BB154" s="68">
        <f>IF(main!BN157="","",ROUND(main!BN157*100,6))</f>
        <v>7.6923079999999997</v>
      </c>
      <c r="BC154" s="68">
        <f>IF(main!BO157="","",ROUND(main!BO157*100,6))</f>
        <v>7.6923079999999997</v>
      </c>
      <c r="BD154" s="68">
        <f>IF(main!BP157="","",ROUND(main!BP157*100,6))</f>
        <v>7.6923079999999997</v>
      </c>
      <c r="BE154" s="68">
        <f>IF(main!BQ157="","",ROUND(main!BQ157*100,6))</f>
        <v>3.2967029999999999</v>
      </c>
      <c r="BF154" s="68" t="str">
        <f>IF(main!BR157="","",ROUND(main!BR157*100,6))</f>
        <v/>
      </c>
      <c r="BG154" s="68" t="str">
        <f>IF(main!BS157="","",ROUND(main!BS157*100,6))</f>
        <v/>
      </c>
      <c r="BH154" s="68" t="str">
        <f>IF(main!BT157="","",ROUND(main!BT157*100,6))</f>
        <v/>
      </c>
      <c r="BI154" s="68" t="str">
        <f>IF(main!BU157="","",ROUND(main!BU157*100,6))</f>
        <v/>
      </c>
      <c r="BJ154" s="68" t="str">
        <f>IF(main!BV157="","",ROUND(main!BV157*100,6))</f>
        <v/>
      </c>
      <c r="BK154" s="68" t="str">
        <f>IF(main!BW157="","",ROUND(main!BW157*100,6))</f>
        <v/>
      </c>
      <c r="BL154" s="68" t="str">
        <f>IF(main!BX157="","",ROUND(main!BX157*100,6))</f>
        <v/>
      </c>
      <c r="BM154" s="68" t="str">
        <f>IF(main!BY157="","",ROUND(main!BY157*100,6))</f>
        <v/>
      </c>
      <c r="BN154" s="68" t="str">
        <f>IF(main!BZ157="","",ROUND(main!BZ157*100,6))</f>
        <v/>
      </c>
      <c r="BO154" s="68" t="str">
        <f>IF(main!CA157="","",ROUND(main!CA157*100,6))</f>
        <v/>
      </c>
      <c r="BP154" s="68" t="str">
        <f>IF(main!CB157="","",ROUND(main!CB157*100,6))</f>
        <v/>
      </c>
      <c r="BQ154" s="68" t="str">
        <f>IF(main!CC157="","",ROUND(main!CC157*100,6))</f>
        <v/>
      </c>
      <c r="BR154" s="68" t="str">
        <f>IF(main!CD157="","",ROUND(main!CD157*100,6))</f>
        <v/>
      </c>
      <c r="BS154" s="68" t="str">
        <f>IF(main!CE157="","",ROUND(main!CE157*100,6))</f>
        <v/>
      </c>
      <c r="BT154" s="68" t="str">
        <f>IF(main!CF157="","",ROUND(main!CF157*100,6))</f>
        <v/>
      </c>
      <c r="BU154" s="68" t="str">
        <f>IF(main!CG157="","",ROUND(main!CG157*100,6))</f>
        <v/>
      </c>
      <c r="BV154" s="68" t="str">
        <f>IF(main!CH157="","",ROUND(main!CH157*100,6))</f>
        <v/>
      </c>
      <c r="BW154" s="68" t="str">
        <f>IF(main!CI157="","",ROUND(main!CI157*100,6))</f>
        <v/>
      </c>
      <c r="BX154" s="68" t="str">
        <f>IF(main!CJ157="","",ROUND(main!CJ157*100,6))</f>
        <v/>
      </c>
      <c r="BY154" s="68" t="str">
        <f>IF(main!CK157="","",ROUND(main!CK157*100,6))</f>
        <v/>
      </c>
      <c r="BZ154" s="68" t="str">
        <f>IF(main!CL157="","",ROUND(main!CL157*100,6))</f>
        <v/>
      </c>
      <c r="CA154" s="68" t="str">
        <f>IF(main!CM157="","",ROUND(main!CM157*100,6))</f>
        <v/>
      </c>
      <c r="CB154" s="68" t="str">
        <f>IF(main!CN157="","",ROUND(main!CN157*100,6))</f>
        <v/>
      </c>
      <c r="CC154" s="68" t="str">
        <f>IF(main!CO157="","",ROUND(main!CO157*100,6))</f>
        <v/>
      </c>
    </row>
    <row r="155" spans="1:81" x14ac:dyDescent="0.25">
      <c r="A155" s="65" t="s">
        <v>303</v>
      </c>
      <c r="B155" s="66" t="str">
        <f>main!C157</f>
        <v>Electrical and Communication Riser</v>
      </c>
      <c r="C155" s="67">
        <f>main!O157</f>
        <v>100000</v>
      </c>
      <c r="D155" s="65" t="s">
        <v>111</v>
      </c>
      <c r="E155" s="68" t="str">
        <f t="shared" si="2"/>
        <v/>
      </c>
      <c r="F155" s="68" t="str">
        <f>IF(main!R158="","",ROUND(main!R158*100,6))</f>
        <v/>
      </c>
      <c r="G155" s="68" t="str">
        <f>IF(main!S158="","",ROUND(main!S158*100,6))</f>
        <v/>
      </c>
      <c r="H155" s="68" t="str">
        <f>IF(main!T158="","",ROUND(main!T158*100,6))</f>
        <v/>
      </c>
      <c r="I155" s="68" t="str">
        <f>IF(main!U158="","",ROUND(main!U158*100,6))</f>
        <v/>
      </c>
      <c r="J155" s="68" t="str">
        <f>IF(main!V158="","",ROUND(main!V158*100,6))</f>
        <v/>
      </c>
      <c r="K155" s="68" t="str">
        <f>IF(main!W158="","",ROUND(main!W158*100,6))</f>
        <v/>
      </c>
      <c r="L155" s="68" t="str">
        <f>IF(main!X158="","",ROUND(main!X158*100,6))</f>
        <v/>
      </c>
      <c r="M155" s="68" t="str">
        <f>IF(main!Y158="","",ROUND(main!Y158*100,6))</f>
        <v/>
      </c>
      <c r="N155" s="68" t="str">
        <f>IF(main!Z158="","",ROUND(main!Z158*100,6))</f>
        <v/>
      </c>
      <c r="O155" s="68" t="str">
        <f>IF(main!AA158="","",ROUND(main!AA158*100,6))</f>
        <v/>
      </c>
      <c r="P155" s="68" t="str">
        <f>IF(main!AB158="","",ROUND(main!AB158*100,6))</f>
        <v/>
      </c>
      <c r="Q155" s="68" t="str">
        <f>IF(main!AC158="","",ROUND(main!AC158*100,6))</f>
        <v/>
      </c>
      <c r="R155" s="68" t="str">
        <f>IF(main!AD158="","",ROUND(main!AD158*100,6))</f>
        <v/>
      </c>
      <c r="S155" s="68" t="str">
        <f>IF(main!AE158="","",ROUND(main!AE158*100,6))</f>
        <v/>
      </c>
      <c r="T155" s="68" t="str">
        <f>IF(main!AF158="","",ROUND(main!AF158*100,6))</f>
        <v/>
      </c>
      <c r="U155" s="68" t="str">
        <f>IF(main!AG158="","",ROUND(main!AG158*100,6))</f>
        <v/>
      </c>
      <c r="V155" s="68" t="str">
        <f>IF(main!AH158="","",ROUND(main!AH158*100,6))</f>
        <v/>
      </c>
      <c r="W155" s="68" t="str">
        <f>IF(main!AI158="","",ROUND(main!AI158*100,6))</f>
        <v/>
      </c>
      <c r="X155" s="68" t="str">
        <f>IF(main!AJ158="","",ROUND(main!AJ158*100,6))</f>
        <v/>
      </c>
      <c r="Y155" s="68" t="str">
        <f>IF(main!AK158="","",ROUND(main!AK158*100,6))</f>
        <v/>
      </c>
      <c r="Z155" s="68" t="str">
        <f>IF(main!AL158="","",ROUND(main!AL158*100,6))</f>
        <v/>
      </c>
      <c r="AA155" s="68" t="str">
        <f>IF(main!AM158="","",ROUND(main!AM158*100,6))</f>
        <v/>
      </c>
      <c r="AB155" s="68" t="str">
        <f>IF(main!AN158="","",ROUND(main!AN158*100,6))</f>
        <v/>
      </c>
      <c r="AC155" s="68" t="str">
        <f>IF(main!AO158="","",ROUND(main!AO158*100,6))</f>
        <v/>
      </c>
      <c r="AD155" s="68" t="str">
        <f>IF(main!AP158="","",ROUND(main!AP158*100,6))</f>
        <v/>
      </c>
      <c r="AE155" s="68" t="str">
        <f>IF(main!AQ158="","",ROUND(main!AQ158*100,6))</f>
        <v/>
      </c>
      <c r="AF155" s="68" t="str">
        <f>IF(main!AR158="","",ROUND(main!AR158*100,6))</f>
        <v/>
      </c>
      <c r="AG155" s="68" t="str">
        <f>IF(main!AS158="","",ROUND(main!AS158*100,6))</f>
        <v/>
      </c>
      <c r="AH155" s="68" t="str">
        <f>IF(main!AT158="","",ROUND(main!AT158*100,6))</f>
        <v/>
      </c>
      <c r="AI155" s="68" t="str">
        <f>IF(main!AU158="","",ROUND(main!AU158*100,6))</f>
        <v/>
      </c>
      <c r="AJ155" s="68" t="str">
        <f>IF(main!AV158="","",ROUND(main!AV158*100,6))</f>
        <v/>
      </c>
      <c r="AK155" s="68" t="str">
        <f>IF(main!AW158="","",ROUND(main!AW158*100,6))</f>
        <v/>
      </c>
      <c r="AL155" s="68" t="str">
        <f>IF(main!AX158="","",ROUND(main!AX158*100,6))</f>
        <v/>
      </c>
      <c r="AM155" s="68" t="str">
        <f>IF(main!AY158="","",ROUND(main!AY158*100,6))</f>
        <v/>
      </c>
      <c r="AN155" s="68" t="str">
        <f>IF(main!AZ158="","",ROUND(main!AZ158*100,6))</f>
        <v/>
      </c>
      <c r="AO155" s="68" t="str">
        <f>IF(main!BA158="","",ROUND(main!BA158*100,6))</f>
        <v/>
      </c>
      <c r="AP155" s="68" t="str">
        <f>IF(main!BB158="","",ROUND(main!BB158*100,6))</f>
        <v/>
      </c>
      <c r="AQ155" s="68" t="str">
        <f>IF(main!BC158="","",ROUND(main!BC158*100,6))</f>
        <v/>
      </c>
      <c r="AR155" s="68" t="str">
        <f>IF(main!BD158="","",ROUND(main!BD158*100,6))</f>
        <v/>
      </c>
      <c r="AS155" s="68" t="str">
        <f>IF(main!BE158="","",ROUND(main!BE158*100,6))</f>
        <v/>
      </c>
      <c r="AT155" s="68" t="str">
        <f>IF(main!BF158="","",ROUND(main!BF158*100,6))</f>
        <v/>
      </c>
      <c r="AU155" s="68" t="str">
        <f>IF(main!BG158="","",ROUND(main!BG158*100,6))</f>
        <v/>
      </c>
      <c r="AV155" s="68" t="str">
        <f>IF(main!BH158="","",ROUND(main!BH158*100,6))</f>
        <v/>
      </c>
      <c r="AW155" s="68" t="str">
        <f>IF(main!BI158="","",ROUND(main!BI158*100,6))</f>
        <v/>
      </c>
      <c r="AX155" s="68" t="str">
        <f>IF(main!BJ158="","",ROUND(main!BJ158*100,6))</f>
        <v/>
      </c>
      <c r="AY155" s="68" t="str">
        <f>IF(main!BK158="","",ROUND(main!BK158*100,6))</f>
        <v/>
      </c>
      <c r="AZ155" s="68" t="str">
        <f>IF(main!BL158="","",ROUND(main!BL158*100,6))</f>
        <v/>
      </c>
      <c r="BA155" s="68" t="str">
        <f>IF(main!BM158="","",ROUND(main!BM158*100,6))</f>
        <v/>
      </c>
      <c r="BB155" s="68" t="str">
        <f>IF(main!BN158="","",ROUND(main!BN158*100,6))</f>
        <v/>
      </c>
      <c r="BC155" s="68" t="str">
        <f>IF(main!BO158="","",ROUND(main!BO158*100,6))</f>
        <v/>
      </c>
      <c r="BD155" s="68" t="str">
        <f>IF(main!BP158="","",ROUND(main!BP158*100,6))</f>
        <v/>
      </c>
      <c r="BE155" s="68" t="str">
        <f>IF(main!BQ158="","",ROUND(main!BQ158*100,6))</f>
        <v/>
      </c>
      <c r="BF155" s="68" t="str">
        <f>IF(main!BR158="","",ROUND(main!BR158*100,6))</f>
        <v/>
      </c>
      <c r="BG155" s="68" t="str">
        <f>IF(main!BS158="","",ROUND(main!BS158*100,6))</f>
        <v/>
      </c>
      <c r="BH155" s="68" t="str">
        <f>IF(main!BT158="","",ROUND(main!BT158*100,6))</f>
        <v/>
      </c>
      <c r="BI155" s="68" t="str">
        <f>IF(main!BU158="","",ROUND(main!BU158*100,6))</f>
        <v/>
      </c>
      <c r="BJ155" s="68" t="str">
        <f>IF(main!BV158="","",ROUND(main!BV158*100,6))</f>
        <v/>
      </c>
      <c r="BK155" s="68" t="str">
        <f>IF(main!BW158="","",ROUND(main!BW158*100,6))</f>
        <v/>
      </c>
      <c r="BL155" s="68" t="str">
        <f>IF(main!BX158="","",ROUND(main!BX158*100,6))</f>
        <v/>
      </c>
      <c r="BM155" s="68" t="str">
        <f>IF(main!BY158="","",ROUND(main!BY158*100,6))</f>
        <v/>
      </c>
      <c r="BN155" s="68" t="str">
        <f>IF(main!BZ158="","",ROUND(main!BZ158*100,6))</f>
        <v/>
      </c>
      <c r="BO155" s="68" t="str">
        <f>IF(main!CA158="","",ROUND(main!CA158*100,6))</f>
        <v/>
      </c>
      <c r="BP155" s="68" t="str">
        <f>IF(main!CB158="","",ROUND(main!CB158*100,6))</f>
        <v/>
      </c>
      <c r="BQ155" s="68" t="str">
        <f>IF(main!CC158="","",ROUND(main!CC158*100,6))</f>
        <v/>
      </c>
      <c r="BR155" s="68" t="str">
        <f>IF(main!CD158="","",ROUND(main!CD158*100,6))</f>
        <v/>
      </c>
      <c r="BS155" s="68" t="str">
        <f>IF(main!CE158="","",ROUND(main!CE158*100,6))</f>
        <v/>
      </c>
      <c r="BT155" s="68" t="str">
        <f>IF(main!CF158="","",ROUND(main!CF158*100,6))</f>
        <v/>
      </c>
      <c r="BU155" s="68" t="str">
        <f>IF(main!CG158="","",ROUND(main!CG158*100,6))</f>
        <v/>
      </c>
      <c r="BV155" s="68" t="str">
        <f>IF(main!CH158="","",ROUND(main!CH158*100,6))</f>
        <v/>
      </c>
      <c r="BW155" s="68" t="str">
        <f>IF(main!CI158="","",ROUND(main!CI158*100,6))</f>
        <v/>
      </c>
      <c r="BX155" s="68" t="str">
        <f>IF(main!CJ158="","",ROUND(main!CJ158*100,6))</f>
        <v/>
      </c>
      <c r="BY155" s="68" t="str">
        <f>IF(main!CK158="","",ROUND(main!CK158*100,6))</f>
        <v/>
      </c>
      <c r="BZ155" s="68" t="str">
        <f>IF(main!CL158="","",ROUND(main!CL158*100,6))</f>
        <v/>
      </c>
      <c r="CA155" s="68" t="str">
        <f>IF(main!CM158="","",ROUND(main!CM158*100,6))</f>
        <v/>
      </c>
      <c r="CB155" s="68" t="str">
        <f>IF(main!CN158="","",ROUND(main!CN158*100,6))</f>
        <v/>
      </c>
      <c r="CC155" s="68" t="str">
        <f>IF(main!CO158="","",ROUND(main!CO158*100,6))</f>
        <v/>
      </c>
    </row>
    <row r="156" spans="1:81" x14ac:dyDescent="0.25">
      <c r="A156" s="65" t="s">
        <v>306</v>
      </c>
      <c r="B156" s="66" t="str">
        <f>main!C159</f>
        <v>Sanitary and Fire Protection Riser</v>
      </c>
      <c r="C156" s="67">
        <f>main!O159</f>
        <v>100000</v>
      </c>
      <c r="D156" s="65" t="s">
        <v>110</v>
      </c>
      <c r="E156" s="68">
        <f t="shared" si="2"/>
        <v>100.00000300000001</v>
      </c>
      <c r="F156" s="68" t="str">
        <f>IF(main!R159="","",ROUND(main!R159*100,6))</f>
        <v/>
      </c>
      <c r="G156" s="68" t="str">
        <f>IF(main!S159="","",ROUND(main!S159*100,6))</f>
        <v/>
      </c>
      <c r="H156" s="68" t="str">
        <f>IF(main!T159="","",ROUND(main!T159*100,6))</f>
        <v/>
      </c>
      <c r="I156" s="68" t="str">
        <f>IF(main!U159="","",ROUND(main!U159*100,6))</f>
        <v/>
      </c>
      <c r="J156" s="68" t="str">
        <f>IF(main!V159="","",ROUND(main!V159*100,6))</f>
        <v/>
      </c>
      <c r="K156" s="68" t="str">
        <f>IF(main!W159="","",ROUND(main!W159*100,6))</f>
        <v/>
      </c>
      <c r="L156" s="68" t="str">
        <f>IF(main!X159="","",ROUND(main!X159*100,6))</f>
        <v/>
      </c>
      <c r="M156" s="68" t="str">
        <f>IF(main!Y159="","",ROUND(main!Y159*100,6))</f>
        <v/>
      </c>
      <c r="N156" s="68" t="str">
        <f>IF(main!Z159="","",ROUND(main!Z159*100,6))</f>
        <v/>
      </c>
      <c r="O156" s="68" t="str">
        <f>IF(main!AA159="","",ROUND(main!AA159*100,6))</f>
        <v/>
      </c>
      <c r="P156" s="68" t="str">
        <f>IF(main!AB159="","",ROUND(main!AB159*100,6))</f>
        <v/>
      </c>
      <c r="Q156" s="68" t="str">
        <f>IF(main!AC159="","",ROUND(main!AC159*100,6))</f>
        <v/>
      </c>
      <c r="R156" s="68" t="str">
        <f>IF(main!AD159="","",ROUND(main!AD159*100,6))</f>
        <v/>
      </c>
      <c r="S156" s="68" t="str">
        <f>IF(main!AE159="","",ROUND(main!AE159*100,6))</f>
        <v/>
      </c>
      <c r="T156" s="68" t="str">
        <f>IF(main!AF159="","",ROUND(main!AF159*100,6))</f>
        <v/>
      </c>
      <c r="U156" s="68" t="str">
        <f>IF(main!AG159="","",ROUND(main!AG159*100,6))</f>
        <v/>
      </c>
      <c r="V156" s="68" t="str">
        <f>IF(main!AH159="","",ROUND(main!AH159*100,6))</f>
        <v/>
      </c>
      <c r="W156" s="68" t="str">
        <f>IF(main!AI159="","",ROUND(main!AI159*100,6))</f>
        <v/>
      </c>
      <c r="X156" s="68" t="str">
        <f>IF(main!AJ159="","",ROUND(main!AJ159*100,6))</f>
        <v/>
      </c>
      <c r="Y156" s="68" t="str">
        <f>IF(main!AK159="","",ROUND(main!AK159*100,6))</f>
        <v/>
      </c>
      <c r="Z156" s="68" t="str">
        <f>IF(main!AL159="","",ROUND(main!AL159*100,6))</f>
        <v/>
      </c>
      <c r="AA156" s="68" t="str">
        <f>IF(main!AM159="","",ROUND(main!AM159*100,6))</f>
        <v/>
      </c>
      <c r="AB156" s="68" t="str">
        <f>IF(main!AN159="","",ROUND(main!AN159*100,6))</f>
        <v/>
      </c>
      <c r="AC156" s="68" t="str">
        <f>IF(main!AO159="","",ROUND(main!AO159*100,6))</f>
        <v/>
      </c>
      <c r="AD156" s="68" t="str">
        <f>IF(main!AP159="","",ROUND(main!AP159*100,6))</f>
        <v/>
      </c>
      <c r="AE156" s="68" t="str">
        <f>IF(main!AQ159="","",ROUND(main!AQ159*100,6))</f>
        <v/>
      </c>
      <c r="AF156" s="68" t="str">
        <f>IF(main!AR159="","",ROUND(main!AR159*100,6))</f>
        <v/>
      </c>
      <c r="AG156" s="68" t="str">
        <f>IF(main!AS159="","",ROUND(main!AS159*100,6))</f>
        <v/>
      </c>
      <c r="AH156" s="68" t="str">
        <f>IF(main!AT159="","",ROUND(main!AT159*100,6))</f>
        <v/>
      </c>
      <c r="AI156" s="68" t="str">
        <f>IF(main!AU159="","",ROUND(main!AU159*100,6))</f>
        <v/>
      </c>
      <c r="AJ156" s="68" t="str">
        <f>IF(main!AV159="","",ROUND(main!AV159*100,6))</f>
        <v/>
      </c>
      <c r="AK156" s="68" t="str">
        <f>IF(main!AW159="","",ROUND(main!AW159*100,6))</f>
        <v/>
      </c>
      <c r="AL156" s="68" t="str">
        <f>IF(main!AX159="","",ROUND(main!AX159*100,6))</f>
        <v/>
      </c>
      <c r="AM156" s="68" t="str">
        <f>IF(main!AY159="","",ROUND(main!AY159*100,6))</f>
        <v/>
      </c>
      <c r="AN156" s="68" t="str">
        <f>IF(main!AZ159="","",ROUND(main!AZ159*100,6))</f>
        <v/>
      </c>
      <c r="AO156" s="68" t="str">
        <f>IF(main!BA159="","",ROUND(main!BA159*100,6))</f>
        <v/>
      </c>
      <c r="AP156" s="68" t="str">
        <f>IF(main!BB159="","",ROUND(main!BB159*100,6))</f>
        <v/>
      </c>
      <c r="AQ156" s="68" t="str">
        <f>IF(main!BC159="","",ROUND(main!BC159*100,6))</f>
        <v/>
      </c>
      <c r="AR156" s="68">
        <f>IF(main!BD159="","",ROUND(main!BD159*100,6))</f>
        <v>4.3956039999999996</v>
      </c>
      <c r="AS156" s="68">
        <f>IF(main!BE159="","",ROUND(main!BE159*100,6))</f>
        <v>7.6923079999999997</v>
      </c>
      <c r="AT156" s="68">
        <f>IF(main!BF159="","",ROUND(main!BF159*100,6))</f>
        <v>7.6923079999999997</v>
      </c>
      <c r="AU156" s="68">
        <f>IF(main!BG159="","",ROUND(main!BG159*100,6))</f>
        <v>7.6923079999999997</v>
      </c>
      <c r="AV156" s="68">
        <f>IF(main!BH159="","",ROUND(main!BH159*100,6))</f>
        <v>7.6923079999999997</v>
      </c>
      <c r="AW156" s="68">
        <f>IF(main!BI159="","",ROUND(main!BI159*100,6))</f>
        <v>7.6923079999999997</v>
      </c>
      <c r="AX156" s="68">
        <f>IF(main!BJ159="","",ROUND(main!BJ159*100,6))</f>
        <v>7.6923079999999997</v>
      </c>
      <c r="AY156" s="68">
        <f>IF(main!BK159="","",ROUND(main!BK159*100,6))</f>
        <v>7.6923079999999997</v>
      </c>
      <c r="AZ156" s="68">
        <f>IF(main!BL159="","",ROUND(main!BL159*100,6))</f>
        <v>7.6923079999999997</v>
      </c>
      <c r="BA156" s="68">
        <f>IF(main!BM159="","",ROUND(main!BM159*100,6))</f>
        <v>7.6923079999999997</v>
      </c>
      <c r="BB156" s="68">
        <f>IF(main!BN159="","",ROUND(main!BN159*100,6))</f>
        <v>7.6923079999999997</v>
      </c>
      <c r="BC156" s="68">
        <f>IF(main!BO159="","",ROUND(main!BO159*100,6))</f>
        <v>7.6923079999999997</v>
      </c>
      <c r="BD156" s="68">
        <f>IF(main!BP159="","",ROUND(main!BP159*100,6))</f>
        <v>7.6923079999999997</v>
      </c>
      <c r="BE156" s="68">
        <f>IF(main!BQ159="","",ROUND(main!BQ159*100,6))</f>
        <v>3.2967029999999999</v>
      </c>
      <c r="BF156" s="68" t="str">
        <f>IF(main!BR159="","",ROUND(main!BR159*100,6))</f>
        <v/>
      </c>
      <c r="BG156" s="68" t="str">
        <f>IF(main!BS159="","",ROUND(main!BS159*100,6))</f>
        <v/>
      </c>
      <c r="BH156" s="68" t="str">
        <f>IF(main!BT159="","",ROUND(main!BT159*100,6))</f>
        <v/>
      </c>
      <c r="BI156" s="68" t="str">
        <f>IF(main!BU159="","",ROUND(main!BU159*100,6))</f>
        <v/>
      </c>
      <c r="BJ156" s="68" t="str">
        <f>IF(main!BV159="","",ROUND(main!BV159*100,6))</f>
        <v/>
      </c>
      <c r="BK156" s="68" t="str">
        <f>IF(main!BW159="","",ROUND(main!BW159*100,6))</f>
        <v/>
      </c>
      <c r="BL156" s="68" t="str">
        <f>IF(main!BX159="","",ROUND(main!BX159*100,6))</f>
        <v/>
      </c>
      <c r="BM156" s="68" t="str">
        <f>IF(main!BY159="","",ROUND(main!BY159*100,6))</f>
        <v/>
      </c>
      <c r="BN156" s="68" t="str">
        <f>IF(main!BZ159="","",ROUND(main!BZ159*100,6))</f>
        <v/>
      </c>
      <c r="BO156" s="68" t="str">
        <f>IF(main!CA159="","",ROUND(main!CA159*100,6))</f>
        <v/>
      </c>
      <c r="BP156" s="68" t="str">
        <f>IF(main!CB159="","",ROUND(main!CB159*100,6))</f>
        <v/>
      </c>
      <c r="BQ156" s="68" t="str">
        <f>IF(main!CC159="","",ROUND(main!CC159*100,6))</f>
        <v/>
      </c>
      <c r="BR156" s="68" t="str">
        <f>IF(main!CD159="","",ROUND(main!CD159*100,6))</f>
        <v/>
      </c>
      <c r="BS156" s="68" t="str">
        <f>IF(main!CE159="","",ROUND(main!CE159*100,6))</f>
        <v/>
      </c>
      <c r="BT156" s="68" t="str">
        <f>IF(main!CF159="","",ROUND(main!CF159*100,6))</f>
        <v/>
      </c>
      <c r="BU156" s="68" t="str">
        <f>IF(main!CG159="","",ROUND(main!CG159*100,6))</f>
        <v/>
      </c>
      <c r="BV156" s="68" t="str">
        <f>IF(main!CH159="","",ROUND(main!CH159*100,6))</f>
        <v/>
      </c>
      <c r="BW156" s="68" t="str">
        <f>IF(main!CI159="","",ROUND(main!CI159*100,6))</f>
        <v/>
      </c>
      <c r="BX156" s="68" t="str">
        <f>IF(main!CJ159="","",ROUND(main!CJ159*100,6))</f>
        <v/>
      </c>
      <c r="BY156" s="68" t="str">
        <f>IF(main!CK159="","",ROUND(main!CK159*100,6))</f>
        <v/>
      </c>
      <c r="BZ156" s="68" t="str">
        <f>IF(main!CL159="","",ROUND(main!CL159*100,6))</f>
        <v/>
      </c>
      <c r="CA156" s="68" t="str">
        <f>IF(main!CM159="","",ROUND(main!CM159*100,6))</f>
        <v/>
      </c>
      <c r="CB156" s="68" t="str">
        <f>IF(main!CN159="","",ROUND(main!CN159*100,6))</f>
        <v/>
      </c>
      <c r="CC156" s="68" t="str">
        <f>IF(main!CO159="","",ROUND(main!CO159*100,6))</f>
        <v/>
      </c>
    </row>
    <row r="157" spans="1:81" x14ac:dyDescent="0.25">
      <c r="A157" s="65" t="s">
        <v>306</v>
      </c>
      <c r="B157" s="66" t="str">
        <f>main!C159</f>
        <v>Sanitary and Fire Protection Riser</v>
      </c>
      <c r="C157" s="67">
        <f>main!O159</f>
        <v>100000</v>
      </c>
      <c r="D157" s="65" t="s">
        <v>111</v>
      </c>
      <c r="E157" s="68" t="str">
        <f t="shared" si="2"/>
        <v/>
      </c>
      <c r="F157" s="68" t="str">
        <f>IF(main!R160="","",ROUND(main!R160*100,6))</f>
        <v/>
      </c>
      <c r="G157" s="68" t="str">
        <f>IF(main!S160="","",ROUND(main!S160*100,6))</f>
        <v/>
      </c>
      <c r="H157" s="68" t="str">
        <f>IF(main!T160="","",ROUND(main!T160*100,6))</f>
        <v/>
      </c>
      <c r="I157" s="68" t="str">
        <f>IF(main!U160="","",ROUND(main!U160*100,6))</f>
        <v/>
      </c>
      <c r="J157" s="68" t="str">
        <f>IF(main!V160="","",ROUND(main!V160*100,6))</f>
        <v/>
      </c>
      <c r="K157" s="68" t="str">
        <f>IF(main!W160="","",ROUND(main!W160*100,6))</f>
        <v/>
      </c>
      <c r="L157" s="68" t="str">
        <f>IF(main!X160="","",ROUND(main!X160*100,6))</f>
        <v/>
      </c>
      <c r="M157" s="68" t="str">
        <f>IF(main!Y160="","",ROUND(main!Y160*100,6))</f>
        <v/>
      </c>
      <c r="N157" s="68" t="str">
        <f>IF(main!Z160="","",ROUND(main!Z160*100,6))</f>
        <v/>
      </c>
      <c r="O157" s="68" t="str">
        <f>IF(main!AA160="","",ROUND(main!AA160*100,6))</f>
        <v/>
      </c>
      <c r="P157" s="68" t="str">
        <f>IF(main!AB160="","",ROUND(main!AB160*100,6))</f>
        <v/>
      </c>
      <c r="Q157" s="68" t="str">
        <f>IF(main!AC160="","",ROUND(main!AC160*100,6))</f>
        <v/>
      </c>
      <c r="R157" s="68" t="str">
        <f>IF(main!AD160="","",ROUND(main!AD160*100,6))</f>
        <v/>
      </c>
      <c r="S157" s="68" t="str">
        <f>IF(main!AE160="","",ROUND(main!AE160*100,6))</f>
        <v/>
      </c>
      <c r="T157" s="68" t="str">
        <f>IF(main!AF160="","",ROUND(main!AF160*100,6))</f>
        <v/>
      </c>
      <c r="U157" s="68" t="str">
        <f>IF(main!AG160="","",ROUND(main!AG160*100,6))</f>
        <v/>
      </c>
      <c r="V157" s="68" t="str">
        <f>IF(main!AH160="","",ROUND(main!AH160*100,6))</f>
        <v/>
      </c>
      <c r="W157" s="68" t="str">
        <f>IF(main!AI160="","",ROUND(main!AI160*100,6))</f>
        <v/>
      </c>
      <c r="X157" s="68" t="str">
        <f>IF(main!AJ160="","",ROUND(main!AJ160*100,6))</f>
        <v/>
      </c>
      <c r="Y157" s="68" t="str">
        <f>IF(main!AK160="","",ROUND(main!AK160*100,6))</f>
        <v/>
      </c>
      <c r="Z157" s="68" t="str">
        <f>IF(main!AL160="","",ROUND(main!AL160*100,6))</f>
        <v/>
      </c>
      <c r="AA157" s="68" t="str">
        <f>IF(main!AM160="","",ROUND(main!AM160*100,6))</f>
        <v/>
      </c>
      <c r="AB157" s="68" t="str">
        <f>IF(main!AN160="","",ROUND(main!AN160*100,6))</f>
        <v/>
      </c>
      <c r="AC157" s="68" t="str">
        <f>IF(main!AO160="","",ROUND(main!AO160*100,6))</f>
        <v/>
      </c>
      <c r="AD157" s="68" t="str">
        <f>IF(main!AP160="","",ROUND(main!AP160*100,6))</f>
        <v/>
      </c>
      <c r="AE157" s="68" t="str">
        <f>IF(main!AQ160="","",ROUND(main!AQ160*100,6))</f>
        <v/>
      </c>
      <c r="AF157" s="68" t="str">
        <f>IF(main!AR160="","",ROUND(main!AR160*100,6))</f>
        <v/>
      </c>
      <c r="AG157" s="68" t="str">
        <f>IF(main!AS160="","",ROUND(main!AS160*100,6))</f>
        <v/>
      </c>
      <c r="AH157" s="68" t="str">
        <f>IF(main!AT160="","",ROUND(main!AT160*100,6))</f>
        <v/>
      </c>
      <c r="AI157" s="68" t="str">
        <f>IF(main!AU160="","",ROUND(main!AU160*100,6))</f>
        <v/>
      </c>
      <c r="AJ157" s="68" t="str">
        <f>IF(main!AV160="","",ROUND(main!AV160*100,6))</f>
        <v/>
      </c>
      <c r="AK157" s="68" t="str">
        <f>IF(main!AW160="","",ROUND(main!AW160*100,6))</f>
        <v/>
      </c>
      <c r="AL157" s="68" t="str">
        <f>IF(main!AX160="","",ROUND(main!AX160*100,6))</f>
        <v/>
      </c>
      <c r="AM157" s="68" t="str">
        <f>IF(main!AY160="","",ROUND(main!AY160*100,6))</f>
        <v/>
      </c>
      <c r="AN157" s="68" t="str">
        <f>IF(main!AZ160="","",ROUND(main!AZ160*100,6))</f>
        <v/>
      </c>
      <c r="AO157" s="68" t="str">
        <f>IF(main!BA160="","",ROUND(main!BA160*100,6))</f>
        <v/>
      </c>
      <c r="AP157" s="68" t="str">
        <f>IF(main!BB160="","",ROUND(main!BB160*100,6))</f>
        <v/>
      </c>
      <c r="AQ157" s="68" t="str">
        <f>IF(main!BC160="","",ROUND(main!BC160*100,6))</f>
        <v/>
      </c>
      <c r="AR157" s="68" t="str">
        <f>IF(main!BD160="","",ROUND(main!BD160*100,6))</f>
        <v/>
      </c>
      <c r="AS157" s="68" t="str">
        <f>IF(main!BE160="","",ROUND(main!BE160*100,6))</f>
        <v/>
      </c>
      <c r="AT157" s="68" t="str">
        <f>IF(main!BF160="","",ROUND(main!BF160*100,6))</f>
        <v/>
      </c>
      <c r="AU157" s="68" t="str">
        <f>IF(main!BG160="","",ROUND(main!BG160*100,6))</f>
        <v/>
      </c>
      <c r="AV157" s="68" t="str">
        <f>IF(main!BH160="","",ROUND(main!BH160*100,6))</f>
        <v/>
      </c>
      <c r="AW157" s="68" t="str">
        <f>IF(main!BI160="","",ROUND(main!BI160*100,6))</f>
        <v/>
      </c>
      <c r="AX157" s="68" t="str">
        <f>IF(main!BJ160="","",ROUND(main!BJ160*100,6))</f>
        <v/>
      </c>
      <c r="AY157" s="68" t="str">
        <f>IF(main!BK160="","",ROUND(main!BK160*100,6))</f>
        <v/>
      </c>
      <c r="AZ157" s="68" t="str">
        <f>IF(main!BL160="","",ROUND(main!BL160*100,6))</f>
        <v/>
      </c>
      <c r="BA157" s="68" t="str">
        <f>IF(main!BM160="","",ROUND(main!BM160*100,6))</f>
        <v/>
      </c>
      <c r="BB157" s="68" t="str">
        <f>IF(main!BN160="","",ROUND(main!BN160*100,6))</f>
        <v/>
      </c>
      <c r="BC157" s="68" t="str">
        <f>IF(main!BO160="","",ROUND(main!BO160*100,6))</f>
        <v/>
      </c>
      <c r="BD157" s="68" t="str">
        <f>IF(main!BP160="","",ROUND(main!BP160*100,6))</f>
        <v/>
      </c>
      <c r="BE157" s="68" t="str">
        <f>IF(main!BQ160="","",ROUND(main!BQ160*100,6))</f>
        <v/>
      </c>
      <c r="BF157" s="68" t="str">
        <f>IF(main!BR160="","",ROUND(main!BR160*100,6))</f>
        <v/>
      </c>
      <c r="BG157" s="68" t="str">
        <f>IF(main!BS160="","",ROUND(main!BS160*100,6))</f>
        <v/>
      </c>
      <c r="BH157" s="68" t="str">
        <f>IF(main!BT160="","",ROUND(main!BT160*100,6))</f>
        <v/>
      </c>
      <c r="BI157" s="68" t="str">
        <f>IF(main!BU160="","",ROUND(main!BU160*100,6))</f>
        <v/>
      </c>
      <c r="BJ157" s="68" t="str">
        <f>IF(main!BV160="","",ROUND(main!BV160*100,6))</f>
        <v/>
      </c>
      <c r="BK157" s="68" t="str">
        <f>IF(main!BW160="","",ROUND(main!BW160*100,6))</f>
        <v/>
      </c>
      <c r="BL157" s="68" t="str">
        <f>IF(main!BX160="","",ROUND(main!BX160*100,6))</f>
        <v/>
      </c>
      <c r="BM157" s="68" t="str">
        <f>IF(main!BY160="","",ROUND(main!BY160*100,6))</f>
        <v/>
      </c>
      <c r="BN157" s="68" t="str">
        <f>IF(main!BZ160="","",ROUND(main!BZ160*100,6))</f>
        <v/>
      </c>
      <c r="BO157" s="68" t="str">
        <f>IF(main!CA160="","",ROUND(main!CA160*100,6))</f>
        <v/>
      </c>
      <c r="BP157" s="68" t="str">
        <f>IF(main!CB160="","",ROUND(main!CB160*100,6))</f>
        <v/>
      </c>
      <c r="BQ157" s="68" t="str">
        <f>IF(main!CC160="","",ROUND(main!CC160*100,6))</f>
        <v/>
      </c>
      <c r="BR157" s="68" t="str">
        <f>IF(main!CD160="","",ROUND(main!CD160*100,6))</f>
        <v/>
      </c>
      <c r="BS157" s="68" t="str">
        <f>IF(main!CE160="","",ROUND(main!CE160*100,6))</f>
        <v/>
      </c>
      <c r="BT157" s="68" t="str">
        <f>IF(main!CF160="","",ROUND(main!CF160*100,6))</f>
        <v/>
      </c>
      <c r="BU157" s="68" t="str">
        <f>IF(main!CG160="","",ROUND(main!CG160*100,6))</f>
        <v/>
      </c>
      <c r="BV157" s="68" t="str">
        <f>IF(main!CH160="","",ROUND(main!CH160*100,6))</f>
        <v/>
      </c>
      <c r="BW157" s="68" t="str">
        <f>IF(main!CI160="","",ROUND(main!CI160*100,6))</f>
        <v/>
      </c>
      <c r="BX157" s="68" t="str">
        <f>IF(main!CJ160="","",ROUND(main!CJ160*100,6))</f>
        <v/>
      </c>
      <c r="BY157" s="68" t="str">
        <f>IF(main!CK160="","",ROUND(main!CK160*100,6))</f>
        <v/>
      </c>
      <c r="BZ157" s="68" t="str">
        <f>IF(main!CL160="","",ROUND(main!CL160*100,6))</f>
        <v/>
      </c>
      <c r="CA157" s="68" t="str">
        <f>IF(main!CM160="","",ROUND(main!CM160*100,6))</f>
        <v/>
      </c>
      <c r="CB157" s="68" t="str">
        <f>IF(main!CN160="","",ROUND(main!CN160*100,6))</f>
        <v/>
      </c>
      <c r="CC157" s="68" t="str">
        <f>IF(main!CO160="","",ROUND(main!CO160*100,6))</f>
        <v/>
      </c>
    </row>
    <row r="158" spans="1:81" x14ac:dyDescent="0.25">
      <c r="A158" s="65" t="s">
        <v>309</v>
      </c>
      <c r="B158" s="66" t="str">
        <f>main!C161</f>
        <v>Air Conditioning Riser</v>
      </c>
      <c r="C158" s="67">
        <f>main!O161</f>
        <v>100000</v>
      </c>
      <c r="D158" s="65" t="s">
        <v>110</v>
      </c>
      <c r="E158" s="68">
        <f t="shared" si="2"/>
        <v>100.00000300000001</v>
      </c>
      <c r="F158" s="68" t="str">
        <f>IF(main!R161="","",ROUND(main!R161*100,6))</f>
        <v/>
      </c>
      <c r="G158" s="68" t="str">
        <f>IF(main!S161="","",ROUND(main!S161*100,6))</f>
        <v/>
      </c>
      <c r="H158" s="68" t="str">
        <f>IF(main!T161="","",ROUND(main!T161*100,6))</f>
        <v/>
      </c>
      <c r="I158" s="68" t="str">
        <f>IF(main!U161="","",ROUND(main!U161*100,6))</f>
        <v/>
      </c>
      <c r="J158" s="68" t="str">
        <f>IF(main!V161="","",ROUND(main!V161*100,6))</f>
        <v/>
      </c>
      <c r="K158" s="68" t="str">
        <f>IF(main!W161="","",ROUND(main!W161*100,6))</f>
        <v/>
      </c>
      <c r="L158" s="68" t="str">
        <f>IF(main!X161="","",ROUND(main!X161*100,6))</f>
        <v/>
      </c>
      <c r="M158" s="68" t="str">
        <f>IF(main!Y161="","",ROUND(main!Y161*100,6))</f>
        <v/>
      </c>
      <c r="N158" s="68" t="str">
        <f>IF(main!Z161="","",ROUND(main!Z161*100,6))</f>
        <v/>
      </c>
      <c r="O158" s="68" t="str">
        <f>IF(main!AA161="","",ROUND(main!AA161*100,6))</f>
        <v/>
      </c>
      <c r="P158" s="68" t="str">
        <f>IF(main!AB161="","",ROUND(main!AB161*100,6))</f>
        <v/>
      </c>
      <c r="Q158" s="68" t="str">
        <f>IF(main!AC161="","",ROUND(main!AC161*100,6))</f>
        <v/>
      </c>
      <c r="R158" s="68" t="str">
        <f>IF(main!AD161="","",ROUND(main!AD161*100,6))</f>
        <v/>
      </c>
      <c r="S158" s="68" t="str">
        <f>IF(main!AE161="","",ROUND(main!AE161*100,6))</f>
        <v/>
      </c>
      <c r="T158" s="68" t="str">
        <f>IF(main!AF161="","",ROUND(main!AF161*100,6))</f>
        <v/>
      </c>
      <c r="U158" s="68" t="str">
        <f>IF(main!AG161="","",ROUND(main!AG161*100,6))</f>
        <v/>
      </c>
      <c r="V158" s="68" t="str">
        <f>IF(main!AH161="","",ROUND(main!AH161*100,6))</f>
        <v/>
      </c>
      <c r="W158" s="68" t="str">
        <f>IF(main!AI161="","",ROUND(main!AI161*100,6))</f>
        <v/>
      </c>
      <c r="X158" s="68" t="str">
        <f>IF(main!AJ161="","",ROUND(main!AJ161*100,6))</f>
        <v/>
      </c>
      <c r="Y158" s="68" t="str">
        <f>IF(main!AK161="","",ROUND(main!AK161*100,6))</f>
        <v/>
      </c>
      <c r="Z158" s="68" t="str">
        <f>IF(main!AL161="","",ROUND(main!AL161*100,6))</f>
        <v/>
      </c>
      <c r="AA158" s="68" t="str">
        <f>IF(main!AM161="","",ROUND(main!AM161*100,6))</f>
        <v/>
      </c>
      <c r="AB158" s="68" t="str">
        <f>IF(main!AN161="","",ROUND(main!AN161*100,6))</f>
        <v/>
      </c>
      <c r="AC158" s="68" t="str">
        <f>IF(main!AO161="","",ROUND(main!AO161*100,6))</f>
        <v/>
      </c>
      <c r="AD158" s="68" t="str">
        <f>IF(main!AP161="","",ROUND(main!AP161*100,6))</f>
        <v/>
      </c>
      <c r="AE158" s="68" t="str">
        <f>IF(main!AQ161="","",ROUND(main!AQ161*100,6))</f>
        <v/>
      </c>
      <c r="AF158" s="68" t="str">
        <f>IF(main!AR161="","",ROUND(main!AR161*100,6))</f>
        <v/>
      </c>
      <c r="AG158" s="68" t="str">
        <f>IF(main!AS161="","",ROUND(main!AS161*100,6))</f>
        <v/>
      </c>
      <c r="AH158" s="68" t="str">
        <f>IF(main!AT161="","",ROUND(main!AT161*100,6))</f>
        <v/>
      </c>
      <c r="AI158" s="68" t="str">
        <f>IF(main!AU161="","",ROUND(main!AU161*100,6))</f>
        <v/>
      </c>
      <c r="AJ158" s="68" t="str">
        <f>IF(main!AV161="","",ROUND(main!AV161*100,6))</f>
        <v/>
      </c>
      <c r="AK158" s="68" t="str">
        <f>IF(main!AW161="","",ROUND(main!AW161*100,6))</f>
        <v/>
      </c>
      <c r="AL158" s="68" t="str">
        <f>IF(main!AX161="","",ROUND(main!AX161*100,6))</f>
        <v/>
      </c>
      <c r="AM158" s="68" t="str">
        <f>IF(main!AY161="","",ROUND(main!AY161*100,6))</f>
        <v/>
      </c>
      <c r="AN158" s="68" t="str">
        <f>IF(main!AZ161="","",ROUND(main!AZ161*100,6))</f>
        <v/>
      </c>
      <c r="AO158" s="68" t="str">
        <f>IF(main!BA161="","",ROUND(main!BA161*100,6))</f>
        <v/>
      </c>
      <c r="AP158" s="68" t="str">
        <f>IF(main!BB161="","",ROUND(main!BB161*100,6))</f>
        <v/>
      </c>
      <c r="AQ158" s="68" t="str">
        <f>IF(main!BC161="","",ROUND(main!BC161*100,6))</f>
        <v/>
      </c>
      <c r="AR158" s="68">
        <f>IF(main!BD161="","",ROUND(main!BD161*100,6))</f>
        <v>4.3956039999999996</v>
      </c>
      <c r="AS158" s="68">
        <f>IF(main!BE161="","",ROUND(main!BE161*100,6))</f>
        <v>7.6923079999999997</v>
      </c>
      <c r="AT158" s="68">
        <f>IF(main!BF161="","",ROUND(main!BF161*100,6))</f>
        <v>7.6923079999999997</v>
      </c>
      <c r="AU158" s="68">
        <f>IF(main!BG161="","",ROUND(main!BG161*100,6))</f>
        <v>7.6923079999999997</v>
      </c>
      <c r="AV158" s="68">
        <f>IF(main!BH161="","",ROUND(main!BH161*100,6))</f>
        <v>7.6923079999999997</v>
      </c>
      <c r="AW158" s="68">
        <f>IF(main!BI161="","",ROUND(main!BI161*100,6))</f>
        <v>7.6923079999999997</v>
      </c>
      <c r="AX158" s="68">
        <f>IF(main!BJ161="","",ROUND(main!BJ161*100,6))</f>
        <v>7.6923079999999997</v>
      </c>
      <c r="AY158" s="68">
        <f>IF(main!BK161="","",ROUND(main!BK161*100,6))</f>
        <v>7.6923079999999997</v>
      </c>
      <c r="AZ158" s="68">
        <f>IF(main!BL161="","",ROUND(main!BL161*100,6))</f>
        <v>7.6923079999999997</v>
      </c>
      <c r="BA158" s="68">
        <f>IF(main!BM161="","",ROUND(main!BM161*100,6))</f>
        <v>7.6923079999999997</v>
      </c>
      <c r="BB158" s="68">
        <f>IF(main!BN161="","",ROUND(main!BN161*100,6))</f>
        <v>7.6923079999999997</v>
      </c>
      <c r="BC158" s="68">
        <f>IF(main!BO161="","",ROUND(main!BO161*100,6))</f>
        <v>7.6923079999999997</v>
      </c>
      <c r="BD158" s="68">
        <f>IF(main!BP161="","",ROUND(main!BP161*100,6))</f>
        <v>7.6923079999999997</v>
      </c>
      <c r="BE158" s="68">
        <f>IF(main!BQ161="","",ROUND(main!BQ161*100,6))</f>
        <v>3.2967029999999999</v>
      </c>
      <c r="BF158" s="68" t="str">
        <f>IF(main!BR161="","",ROUND(main!BR161*100,6))</f>
        <v/>
      </c>
      <c r="BG158" s="68" t="str">
        <f>IF(main!BS161="","",ROUND(main!BS161*100,6))</f>
        <v/>
      </c>
      <c r="BH158" s="68" t="str">
        <f>IF(main!BT161="","",ROUND(main!BT161*100,6))</f>
        <v/>
      </c>
      <c r="BI158" s="68" t="str">
        <f>IF(main!BU161="","",ROUND(main!BU161*100,6))</f>
        <v/>
      </c>
      <c r="BJ158" s="68" t="str">
        <f>IF(main!BV161="","",ROUND(main!BV161*100,6))</f>
        <v/>
      </c>
      <c r="BK158" s="68" t="str">
        <f>IF(main!BW161="","",ROUND(main!BW161*100,6))</f>
        <v/>
      </c>
      <c r="BL158" s="68" t="str">
        <f>IF(main!BX161="","",ROUND(main!BX161*100,6))</f>
        <v/>
      </c>
      <c r="BM158" s="68" t="str">
        <f>IF(main!BY161="","",ROUND(main!BY161*100,6))</f>
        <v/>
      </c>
      <c r="BN158" s="68" t="str">
        <f>IF(main!BZ161="","",ROUND(main!BZ161*100,6))</f>
        <v/>
      </c>
      <c r="BO158" s="68" t="str">
        <f>IF(main!CA161="","",ROUND(main!CA161*100,6))</f>
        <v/>
      </c>
      <c r="BP158" s="68" t="str">
        <f>IF(main!CB161="","",ROUND(main!CB161*100,6))</f>
        <v/>
      </c>
      <c r="BQ158" s="68" t="str">
        <f>IF(main!CC161="","",ROUND(main!CC161*100,6))</f>
        <v/>
      </c>
      <c r="BR158" s="68" t="str">
        <f>IF(main!CD161="","",ROUND(main!CD161*100,6))</f>
        <v/>
      </c>
      <c r="BS158" s="68" t="str">
        <f>IF(main!CE161="","",ROUND(main!CE161*100,6))</f>
        <v/>
      </c>
      <c r="BT158" s="68" t="str">
        <f>IF(main!CF161="","",ROUND(main!CF161*100,6))</f>
        <v/>
      </c>
      <c r="BU158" s="68" t="str">
        <f>IF(main!CG161="","",ROUND(main!CG161*100,6))</f>
        <v/>
      </c>
      <c r="BV158" s="68" t="str">
        <f>IF(main!CH161="","",ROUND(main!CH161*100,6))</f>
        <v/>
      </c>
      <c r="BW158" s="68" t="str">
        <f>IF(main!CI161="","",ROUND(main!CI161*100,6))</f>
        <v/>
      </c>
      <c r="BX158" s="68" t="str">
        <f>IF(main!CJ161="","",ROUND(main!CJ161*100,6))</f>
        <v/>
      </c>
      <c r="BY158" s="68" t="str">
        <f>IF(main!CK161="","",ROUND(main!CK161*100,6))</f>
        <v/>
      </c>
      <c r="BZ158" s="68" t="str">
        <f>IF(main!CL161="","",ROUND(main!CL161*100,6))</f>
        <v/>
      </c>
      <c r="CA158" s="68" t="str">
        <f>IF(main!CM161="","",ROUND(main!CM161*100,6))</f>
        <v/>
      </c>
      <c r="CB158" s="68" t="str">
        <f>IF(main!CN161="","",ROUND(main!CN161*100,6))</f>
        <v/>
      </c>
      <c r="CC158" s="68" t="str">
        <f>IF(main!CO161="","",ROUND(main!CO161*100,6))</f>
        <v/>
      </c>
    </row>
    <row r="159" spans="1:81" x14ac:dyDescent="0.25">
      <c r="A159" s="65" t="s">
        <v>309</v>
      </c>
      <c r="B159" s="66" t="str">
        <f>main!C161</f>
        <v>Air Conditioning Riser</v>
      </c>
      <c r="C159" s="67">
        <f>main!O161</f>
        <v>100000</v>
      </c>
      <c r="D159" s="65" t="s">
        <v>111</v>
      </c>
      <c r="E159" s="68" t="str">
        <f t="shared" si="2"/>
        <v/>
      </c>
      <c r="F159" s="68" t="str">
        <f>IF(main!R162="","",ROUND(main!R162*100,6))</f>
        <v/>
      </c>
      <c r="G159" s="68" t="str">
        <f>IF(main!S162="","",ROUND(main!S162*100,6))</f>
        <v/>
      </c>
      <c r="H159" s="68" t="str">
        <f>IF(main!T162="","",ROUND(main!T162*100,6))</f>
        <v/>
      </c>
      <c r="I159" s="68" t="str">
        <f>IF(main!U162="","",ROUND(main!U162*100,6))</f>
        <v/>
      </c>
      <c r="J159" s="68" t="str">
        <f>IF(main!V162="","",ROUND(main!V162*100,6))</f>
        <v/>
      </c>
      <c r="K159" s="68" t="str">
        <f>IF(main!W162="","",ROUND(main!W162*100,6))</f>
        <v/>
      </c>
      <c r="L159" s="68" t="str">
        <f>IF(main!X162="","",ROUND(main!X162*100,6))</f>
        <v/>
      </c>
      <c r="M159" s="68" t="str">
        <f>IF(main!Y162="","",ROUND(main!Y162*100,6))</f>
        <v/>
      </c>
      <c r="N159" s="68" t="str">
        <f>IF(main!Z162="","",ROUND(main!Z162*100,6))</f>
        <v/>
      </c>
      <c r="O159" s="68" t="str">
        <f>IF(main!AA162="","",ROUND(main!AA162*100,6))</f>
        <v/>
      </c>
      <c r="P159" s="68" t="str">
        <f>IF(main!AB162="","",ROUND(main!AB162*100,6))</f>
        <v/>
      </c>
      <c r="Q159" s="68" t="str">
        <f>IF(main!AC162="","",ROUND(main!AC162*100,6))</f>
        <v/>
      </c>
      <c r="R159" s="68" t="str">
        <f>IF(main!AD162="","",ROUND(main!AD162*100,6))</f>
        <v/>
      </c>
      <c r="S159" s="68" t="str">
        <f>IF(main!AE162="","",ROUND(main!AE162*100,6))</f>
        <v/>
      </c>
      <c r="T159" s="68" t="str">
        <f>IF(main!AF162="","",ROUND(main!AF162*100,6))</f>
        <v/>
      </c>
      <c r="U159" s="68" t="str">
        <f>IF(main!AG162="","",ROUND(main!AG162*100,6))</f>
        <v/>
      </c>
      <c r="V159" s="68" t="str">
        <f>IF(main!AH162="","",ROUND(main!AH162*100,6))</f>
        <v/>
      </c>
      <c r="W159" s="68" t="str">
        <f>IF(main!AI162="","",ROUND(main!AI162*100,6))</f>
        <v/>
      </c>
      <c r="X159" s="68" t="str">
        <f>IF(main!AJ162="","",ROUND(main!AJ162*100,6))</f>
        <v/>
      </c>
      <c r="Y159" s="68" t="str">
        <f>IF(main!AK162="","",ROUND(main!AK162*100,6))</f>
        <v/>
      </c>
      <c r="Z159" s="68" t="str">
        <f>IF(main!AL162="","",ROUND(main!AL162*100,6))</f>
        <v/>
      </c>
      <c r="AA159" s="68" t="str">
        <f>IF(main!AM162="","",ROUND(main!AM162*100,6))</f>
        <v/>
      </c>
      <c r="AB159" s="68" t="str">
        <f>IF(main!AN162="","",ROUND(main!AN162*100,6))</f>
        <v/>
      </c>
      <c r="AC159" s="68" t="str">
        <f>IF(main!AO162="","",ROUND(main!AO162*100,6))</f>
        <v/>
      </c>
      <c r="AD159" s="68" t="str">
        <f>IF(main!AP162="","",ROUND(main!AP162*100,6))</f>
        <v/>
      </c>
      <c r="AE159" s="68" t="str">
        <f>IF(main!AQ162="","",ROUND(main!AQ162*100,6))</f>
        <v/>
      </c>
      <c r="AF159" s="68" t="str">
        <f>IF(main!AR162="","",ROUND(main!AR162*100,6))</f>
        <v/>
      </c>
      <c r="AG159" s="68" t="str">
        <f>IF(main!AS162="","",ROUND(main!AS162*100,6))</f>
        <v/>
      </c>
      <c r="AH159" s="68" t="str">
        <f>IF(main!AT162="","",ROUND(main!AT162*100,6))</f>
        <v/>
      </c>
      <c r="AI159" s="68" t="str">
        <f>IF(main!AU162="","",ROUND(main!AU162*100,6))</f>
        <v/>
      </c>
      <c r="AJ159" s="68" t="str">
        <f>IF(main!AV162="","",ROUND(main!AV162*100,6))</f>
        <v/>
      </c>
      <c r="AK159" s="68" t="str">
        <f>IF(main!AW162="","",ROUND(main!AW162*100,6))</f>
        <v/>
      </c>
      <c r="AL159" s="68" t="str">
        <f>IF(main!AX162="","",ROUND(main!AX162*100,6))</f>
        <v/>
      </c>
      <c r="AM159" s="68" t="str">
        <f>IF(main!AY162="","",ROUND(main!AY162*100,6))</f>
        <v/>
      </c>
      <c r="AN159" s="68" t="str">
        <f>IF(main!AZ162="","",ROUND(main!AZ162*100,6))</f>
        <v/>
      </c>
      <c r="AO159" s="68" t="str">
        <f>IF(main!BA162="","",ROUND(main!BA162*100,6))</f>
        <v/>
      </c>
      <c r="AP159" s="68" t="str">
        <f>IF(main!BB162="","",ROUND(main!BB162*100,6))</f>
        <v/>
      </c>
      <c r="AQ159" s="68" t="str">
        <f>IF(main!BC162="","",ROUND(main!BC162*100,6))</f>
        <v/>
      </c>
      <c r="AR159" s="68" t="str">
        <f>IF(main!BD162="","",ROUND(main!BD162*100,6))</f>
        <v/>
      </c>
      <c r="AS159" s="68" t="str">
        <f>IF(main!BE162="","",ROUND(main!BE162*100,6))</f>
        <v/>
      </c>
      <c r="AT159" s="68" t="str">
        <f>IF(main!BF162="","",ROUND(main!BF162*100,6))</f>
        <v/>
      </c>
      <c r="AU159" s="68" t="str">
        <f>IF(main!BG162="","",ROUND(main!BG162*100,6))</f>
        <v/>
      </c>
      <c r="AV159" s="68" t="str">
        <f>IF(main!BH162="","",ROUND(main!BH162*100,6))</f>
        <v/>
      </c>
      <c r="AW159" s="68" t="str">
        <f>IF(main!BI162="","",ROUND(main!BI162*100,6))</f>
        <v/>
      </c>
      <c r="AX159" s="68" t="str">
        <f>IF(main!BJ162="","",ROUND(main!BJ162*100,6))</f>
        <v/>
      </c>
      <c r="AY159" s="68" t="str">
        <f>IF(main!BK162="","",ROUND(main!BK162*100,6))</f>
        <v/>
      </c>
      <c r="AZ159" s="68" t="str">
        <f>IF(main!BL162="","",ROUND(main!BL162*100,6))</f>
        <v/>
      </c>
      <c r="BA159" s="68" t="str">
        <f>IF(main!BM162="","",ROUND(main!BM162*100,6))</f>
        <v/>
      </c>
      <c r="BB159" s="68" t="str">
        <f>IF(main!BN162="","",ROUND(main!BN162*100,6))</f>
        <v/>
      </c>
      <c r="BC159" s="68" t="str">
        <f>IF(main!BO162="","",ROUND(main!BO162*100,6))</f>
        <v/>
      </c>
      <c r="BD159" s="68" t="str">
        <f>IF(main!BP162="","",ROUND(main!BP162*100,6))</f>
        <v/>
      </c>
      <c r="BE159" s="68" t="str">
        <f>IF(main!BQ162="","",ROUND(main!BQ162*100,6))</f>
        <v/>
      </c>
      <c r="BF159" s="68" t="str">
        <f>IF(main!BR162="","",ROUND(main!BR162*100,6))</f>
        <v/>
      </c>
      <c r="BG159" s="68" t="str">
        <f>IF(main!BS162="","",ROUND(main!BS162*100,6))</f>
        <v/>
      </c>
      <c r="BH159" s="68" t="str">
        <f>IF(main!BT162="","",ROUND(main!BT162*100,6))</f>
        <v/>
      </c>
      <c r="BI159" s="68" t="str">
        <f>IF(main!BU162="","",ROUND(main!BU162*100,6))</f>
        <v/>
      </c>
      <c r="BJ159" s="68" t="str">
        <f>IF(main!BV162="","",ROUND(main!BV162*100,6))</f>
        <v/>
      </c>
      <c r="BK159" s="68" t="str">
        <f>IF(main!BW162="","",ROUND(main!BW162*100,6))</f>
        <v/>
      </c>
      <c r="BL159" s="68" t="str">
        <f>IF(main!BX162="","",ROUND(main!BX162*100,6))</f>
        <v/>
      </c>
      <c r="BM159" s="68" t="str">
        <f>IF(main!BY162="","",ROUND(main!BY162*100,6))</f>
        <v/>
      </c>
      <c r="BN159" s="68" t="str">
        <f>IF(main!BZ162="","",ROUND(main!BZ162*100,6))</f>
        <v/>
      </c>
      <c r="BO159" s="68" t="str">
        <f>IF(main!CA162="","",ROUND(main!CA162*100,6))</f>
        <v/>
      </c>
      <c r="BP159" s="68" t="str">
        <f>IF(main!CB162="","",ROUND(main!CB162*100,6))</f>
        <v/>
      </c>
      <c r="BQ159" s="68" t="str">
        <f>IF(main!CC162="","",ROUND(main!CC162*100,6))</f>
        <v/>
      </c>
      <c r="BR159" s="68" t="str">
        <f>IF(main!CD162="","",ROUND(main!CD162*100,6))</f>
        <v/>
      </c>
      <c r="BS159" s="68" t="str">
        <f>IF(main!CE162="","",ROUND(main!CE162*100,6))</f>
        <v/>
      </c>
      <c r="BT159" s="68" t="str">
        <f>IF(main!CF162="","",ROUND(main!CF162*100,6))</f>
        <v/>
      </c>
      <c r="BU159" s="68" t="str">
        <f>IF(main!CG162="","",ROUND(main!CG162*100,6))</f>
        <v/>
      </c>
      <c r="BV159" s="68" t="str">
        <f>IF(main!CH162="","",ROUND(main!CH162*100,6))</f>
        <v/>
      </c>
      <c r="BW159" s="68" t="str">
        <f>IF(main!CI162="","",ROUND(main!CI162*100,6))</f>
        <v/>
      </c>
      <c r="BX159" s="68" t="str">
        <f>IF(main!CJ162="","",ROUND(main!CJ162*100,6))</f>
        <v/>
      </c>
      <c r="BY159" s="68" t="str">
        <f>IF(main!CK162="","",ROUND(main!CK162*100,6))</f>
        <v/>
      </c>
      <c r="BZ159" s="68" t="str">
        <f>IF(main!CL162="","",ROUND(main!CL162*100,6))</f>
        <v/>
      </c>
      <c r="CA159" s="68" t="str">
        <f>IF(main!CM162="","",ROUND(main!CM162*100,6))</f>
        <v/>
      </c>
      <c r="CB159" s="68" t="str">
        <f>IF(main!CN162="","",ROUND(main!CN162*100,6))</f>
        <v/>
      </c>
      <c r="CC159" s="68" t="str">
        <f>IF(main!CO162="","",ROUND(main!CO162*100,6))</f>
        <v/>
      </c>
    </row>
    <row r="160" spans="1:81" x14ac:dyDescent="0.25">
      <c r="A160" s="65" t="s">
        <v>312</v>
      </c>
      <c r="B160" s="66" t="str">
        <f>main!C163</f>
        <v>1st Floor</v>
      </c>
      <c r="C160" s="67">
        <f>main!O163</f>
        <v>1500000</v>
      </c>
      <c r="D160" s="65" t="s">
        <v>110</v>
      </c>
      <c r="E160" s="68">
        <f t="shared" si="2"/>
        <v>99.999998000000005</v>
      </c>
      <c r="F160" s="68" t="str">
        <f>IF(main!R163="","",ROUND(main!R163*100,6))</f>
        <v/>
      </c>
      <c r="G160" s="68" t="str">
        <f>IF(main!S163="","",ROUND(main!S163*100,6))</f>
        <v/>
      </c>
      <c r="H160" s="68" t="str">
        <f>IF(main!T163="","",ROUND(main!T163*100,6))</f>
        <v/>
      </c>
      <c r="I160" s="68" t="str">
        <f>IF(main!U163="","",ROUND(main!U163*100,6))</f>
        <v/>
      </c>
      <c r="J160" s="68" t="str">
        <f>IF(main!V163="","",ROUND(main!V163*100,6))</f>
        <v/>
      </c>
      <c r="K160" s="68" t="str">
        <f>IF(main!W163="","",ROUND(main!W163*100,6))</f>
        <v/>
      </c>
      <c r="L160" s="68" t="str">
        <f>IF(main!X163="","",ROUND(main!X163*100,6))</f>
        <v/>
      </c>
      <c r="M160" s="68" t="str">
        <f>IF(main!Y163="","",ROUND(main!Y163*100,6))</f>
        <v/>
      </c>
      <c r="N160" s="68" t="str">
        <f>IF(main!Z163="","",ROUND(main!Z163*100,6))</f>
        <v/>
      </c>
      <c r="O160" s="68" t="str">
        <f>IF(main!AA163="","",ROUND(main!AA163*100,6))</f>
        <v/>
      </c>
      <c r="P160" s="68" t="str">
        <f>IF(main!AB163="","",ROUND(main!AB163*100,6))</f>
        <v/>
      </c>
      <c r="Q160" s="68" t="str">
        <f>IF(main!AC163="","",ROUND(main!AC163*100,6))</f>
        <v/>
      </c>
      <c r="R160" s="68" t="str">
        <f>IF(main!AD163="","",ROUND(main!AD163*100,6))</f>
        <v/>
      </c>
      <c r="S160" s="68" t="str">
        <f>IF(main!AE163="","",ROUND(main!AE163*100,6))</f>
        <v/>
      </c>
      <c r="T160" s="68" t="str">
        <f>IF(main!AF163="","",ROUND(main!AF163*100,6))</f>
        <v/>
      </c>
      <c r="U160" s="68" t="str">
        <f>IF(main!AG163="","",ROUND(main!AG163*100,6))</f>
        <v/>
      </c>
      <c r="V160" s="68" t="str">
        <f>IF(main!AH163="","",ROUND(main!AH163*100,6))</f>
        <v/>
      </c>
      <c r="W160" s="68" t="str">
        <f>IF(main!AI163="","",ROUND(main!AI163*100,6))</f>
        <v/>
      </c>
      <c r="X160" s="68" t="str">
        <f>IF(main!AJ163="","",ROUND(main!AJ163*100,6))</f>
        <v/>
      </c>
      <c r="Y160" s="68" t="str">
        <f>IF(main!AK163="","",ROUND(main!AK163*100,6))</f>
        <v/>
      </c>
      <c r="Z160" s="68" t="str">
        <f>IF(main!AL163="","",ROUND(main!AL163*100,6))</f>
        <v/>
      </c>
      <c r="AA160" s="68" t="str">
        <f>IF(main!AM163="","",ROUND(main!AM163*100,6))</f>
        <v/>
      </c>
      <c r="AB160" s="68" t="str">
        <f>IF(main!AN163="","",ROUND(main!AN163*100,6))</f>
        <v/>
      </c>
      <c r="AC160" s="68" t="str">
        <f>IF(main!AO163="","",ROUND(main!AO163*100,6))</f>
        <v/>
      </c>
      <c r="AD160" s="68" t="str">
        <f>IF(main!AP163="","",ROUND(main!AP163*100,6))</f>
        <v/>
      </c>
      <c r="AE160" s="68" t="str">
        <f>IF(main!AQ163="","",ROUND(main!AQ163*100,6))</f>
        <v/>
      </c>
      <c r="AF160" s="68" t="str">
        <f>IF(main!AR163="","",ROUND(main!AR163*100,6))</f>
        <v/>
      </c>
      <c r="AG160" s="68" t="str">
        <f>IF(main!AS163="","",ROUND(main!AS163*100,6))</f>
        <v/>
      </c>
      <c r="AH160" s="68" t="str">
        <f>IF(main!AT163="","",ROUND(main!AT163*100,6))</f>
        <v/>
      </c>
      <c r="AI160" s="68" t="str">
        <f>IF(main!AU163="","",ROUND(main!AU163*100,6))</f>
        <v/>
      </c>
      <c r="AJ160" s="68" t="str">
        <f>IF(main!AV163="","",ROUND(main!AV163*100,6))</f>
        <v/>
      </c>
      <c r="AK160" s="68" t="str">
        <f>IF(main!AW163="","",ROUND(main!AW163*100,6))</f>
        <v/>
      </c>
      <c r="AL160" s="68">
        <f>IF(main!AX163="","",ROUND(main!AX163*100,6))</f>
        <v>0.31746000000000002</v>
      </c>
      <c r="AM160" s="68">
        <f>IF(main!AY163="","",ROUND(main!AY163*100,6))</f>
        <v>2.2222219999999999</v>
      </c>
      <c r="AN160" s="68">
        <f>IF(main!AZ163="","",ROUND(main!AZ163*100,6))</f>
        <v>2.2222219999999999</v>
      </c>
      <c r="AO160" s="68">
        <f>IF(main!BA163="","",ROUND(main!BA163*100,6))</f>
        <v>2.2222219999999999</v>
      </c>
      <c r="AP160" s="68">
        <f>IF(main!BB163="","",ROUND(main!BB163*100,6))</f>
        <v>2.2222219999999999</v>
      </c>
      <c r="AQ160" s="68">
        <f>IF(main!BC163="","",ROUND(main!BC163*100,6))</f>
        <v>2.2222219999999999</v>
      </c>
      <c r="AR160" s="68">
        <f>IF(main!BD163="","",ROUND(main!BD163*100,6))</f>
        <v>1.9047620000000001</v>
      </c>
      <c r="AS160" s="68" t="str">
        <f>IF(main!BE163="","",ROUND(main!BE163*100,6))</f>
        <v/>
      </c>
      <c r="AT160" s="68" t="str">
        <f>IF(main!BF163="","",ROUND(main!BF163*100,6))</f>
        <v/>
      </c>
      <c r="AU160" s="68" t="str">
        <f>IF(main!BG163="","",ROUND(main!BG163*100,6))</f>
        <v/>
      </c>
      <c r="AV160" s="68">
        <f>IF(main!BH163="","",ROUND(main!BH163*100,6))</f>
        <v>1.2820510000000001</v>
      </c>
      <c r="AW160" s="68">
        <f>IF(main!BI163="","",ROUND(main!BI163*100,6))</f>
        <v>1.825952</v>
      </c>
      <c r="AX160" s="68">
        <f>IF(main!BJ163="","",ROUND(main!BJ163*100,6))</f>
        <v>2.0905640000000001</v>
      </c>
      <c r="AY160" s="68">
        <f>IF(main!BK163="","",ROUND(main!BK163*100,6))</f>
        <v>2.4208530000000001</v>
      </c>
      <c r="AZ160" s="68">
        <f>IF(main!BL163="","",ROUND(main!BL163*100,6))</f>
        <v>2.31412</v>
      </c>
      <c r="BA160" s="68">
        <f>IF(main!BM163="","",ROUND(main!BM163*100,6))</f>
        <v>3.1200739999999998</v>
      </c>
      <c r="BB160" s="68">
        <f>IF(main!BN163="","",ROUND(main!BN163*100,6))</f>
        <v>3.1200739999999998</v>
      </c>
      <c r="BC160" s="68">
        <f>IF(main!BO163="","",ROUND(main!BO163*100,6))</f>
        <v>4.096781</v>
      </c>
      <c r="BD160" s="68">
        <f>IF(main!BP163="","",ROUND(main!BP163*100,6))</f>
        <v>7.8482029999999998</v>
      </c>
      <c r="BE160" s="68">
        <f>IF(main!BQ163="","",ROUND(main!BQ163*100,6))</f>
        <v>8.6290259999999996</v>
      </c>
      <c r="BF160" s="68">
        <f>IF(main!BR163="","",ROUND(main!BR163*100,6))</f>
        <v>6.181292</v>
      </c>
      <c r="BG160" s="68">
        <f>IF(main!BS163="","",ROUND(main!BS163*100,6))</f>
        <v>6.5672509999999997</v>
      </c>
      <c r="BH160" s="68">
        <f>IF(main!BT163="","",ROUND(main!BT163*100,6))</f>
        <v>6.5672509999999997</v>
      </c>
      <c r="BI160" s="68">
        <f>IF(main!BU163="","",ROUND(main!BU163*100,6))</f>
        <v>4.1111110000000002</v>
      </c>
      <c r="BJ160" s="68">
        <f>IF(main!BV163="","",ROUND(main!BV163*100,6))</f>
        <v>3.6349209999999998</v>
      </c>
      <c r="BK160" s="68">
        <f>IF(main!BW163="","",ROUND(main!BW163*100,6))</f>
        <v>2.0634920000000001</v>
      </c>
      <c r="BL160" s="68">
        <f>IF(main!BX163="","",ROUND(main!BX163*100,6))</f>
        <v>1.0052909999999999</v>
      </c>
      <c r="BM160" s="68">
        <f>IF(main!BY163="","",ROUND(main!BY163*100,6))</f>
        <v>0.74074099999999998</v>
      </c>
      <c r="BN160" s="68">
        <f>IF(main!BZ163="","",ROUND(main!BZ163*100,6))</f>
        <v>1.216931</v>
      </c>
      <c r="BO160" s="68">
        <f>IF(main!CA163="","",ROUND(main!CA163*100,6))</f>
        <v>2.4074070000000001</v>
      </c>
      <c r="BP160" s="68">
        <f>IF(main!CB163="","",ROUND(main!CB163*100,6))</f>
        <v>2.4074070000000001</v>
      </c>
      <c r="BQ160" s="68">
        <f>IF(main!CC163="","",ROUND(main!CC163*100,6))</f>
        <v>2.4074070000000001</v>
      </c>
      <c r="BR160" s="68">
        <f>IF(main!CD163="","",ROUND(main!CD163*100,6))</f>
        <v>1.931217</v>
      </c>
      <c r="BS160" s="68">
        <f>IF(main!CE163="","",ROUND(main!CE163*100,6))</f>
        <v>0.74074099999999998</v>
      </c>
      <c r="BT160" s="68">
        <f>IF(main!CF163="","",ROUND(main!CF163*100,6))</f>
        <v>0.74074099999999998</v>
      </c>
      <c r="BU160" s="68">
        <f>IF(main!CG163="","",ROUND(main!CG163*100,6))</f>
        <v>1.9576720000000001</v>
      </c>
      <c r="BV160" s="68">
        <f>IF(main!CH163="","",ROUND(main!CH163*100,6))</f>
        <v>3.3333330000000001</v>
      </c>
      <c r="BW160" s="68">
        <f>IF(main!CI163="","",ROUND(main!CI163*100,6))</f>
        <v>1.9047620000000001</v>
      </c>
      <c r="BX160" s="68" t="str">
        <f>IF(main!CJ163="","",ROUND(main!CJ163*100,6))</f>
        <v/>
      </c>
      <c r="BY160" s="68" t="str">
        <f>IF(main!CK163="","",ROUND(main!CK163*100,6))</f>
        <v/>
      </c>
      <c r="BZ160" s="68" t="str">
        <f>IF(main!CL163="","",ROUND(main!CL163*100,6))</f>
        <v/>
      </c>
      <c r="CA160" s="68" t="str">
        <f>IF(main!CM163="","",ROUND(main!CM163*100,6))</f>
        <v/>
      </c>
      <c r="CB160" s="68" t="str">
        <f>IF(main!CN163="","",ROUND(main!CN163*100,6))</f>
        <v/>
      </c>
      <c r="CC160" s="68" t="str">
        <f>IF(main!CO163="","",ROUND(main!CO163*100,6))</f>
        <v/>
      </c>
    </row>
    <row r="161" spans="1:81" x14ac:dyDescent="0.25">
      <c r="A161" s="65" t="s">
        <v>312</v>
      </c>
      <c r="B161" s="66" t="str">
        <f>main!C163</f>
        <v>1st Floor</v>
      </c>
      <c r="C161" s="67">
        <f>main!O163</f>
        <v>1500000</v>
      </c>
      <c r="D161" s="65" t="s">
        <v>111</v>
      </c>
      <c r="E161" s="68" t="str">
        <f t="shared" si="2"/>
        <v/>
      </c>
      <c r="F161" s="68" t="str">
        <f>IF(main!R164="","",ROUND(main!R164*100,6))</f>
        <v/>
      </c>
      <c r="G161" s="68" t="str">
        <f>IF(main!S164="","",ROUND(main!S164*100,6))</f>
        <v/>
      </c>
      <c r="H161" s="68" t="str">
        <f>IF(main!T164="","",ROUND(main!T164*100,6))</f>
        <v/>
      </c>
      <c r="I161" s="68" t="str">
        <f>IF(main!U164="","",ROUND(main!U164*100,6))</f>
        <v/>
      </c>
      <c r="J161" s="68" t="str">
        <f>IF(main!V164="","",ROUND(main!V164*100,6))</f>
        <v/>
      </c>
      <c r="K161" s="68" t="str">
        <f>IF(main!W164="","",ROUND(main!W164*100,6))</f>
        <v/>
      </c>
      <c r="L161" s="68" t="str">
        <f>IF(main!X164="","",ROUND(main!X164*100,6))</f>
        <v/>
      </c>
      <c r="M161" s="68" t="str">
        <f>IF(main!Y164="","",ROUND(main!Y164*100,6))</f>
        <v/>
      </c>
      <c r="N161" s="68" t="str">
        <f>IF(main!Z164="","",ROUND(main!Z164*100,6))</f>
        <v/>
      </c>
      <c r="O161" s="68" t="str">
        <f>IF(main!AA164="","",ROUND(main!AA164*100,6))</f>
        <v/>
      </c>
      <c r="P161" s="68" t="str">
        <f>IF(main!AB164="","",ROUND(main!AB164*100,6))</f>
        <v/>
      </c>
      <c r="Q161" s="68" t="str">
        <f>IF(main!AC164="","",ROUND(main!AC164*100,6))</f>
        <v/>
      </c>
      <c r="R161" s="68" t="str">
        <f>IF(main!AD164="","",ROUND(main!AD164*100,6))</f>
        <v/>
      </c>
      <c r="S161" s="68" t="str">
        <f>IF(main!AE164="","",ROUND(main!AE164*100,6))</f>
        <v/>
      </c>
      <c r="T161" s="68" t="str">
        <f>IF(main!AF164="","",ROUND(main!AF164*100,6))</f>
        <v/>
      </c>
      <c r="U161" s="68" t="str">
        <f>IF(main!AG164="","",ROUND(main!AG164*100,6))</f>
        <v/>
      </c>
      <c r="V161" s="68" t="str">
        <f>IF(main!AH164="","",ROUND(main!AH164*100,6))</f>
        <v/>
      </c>
      <c r="W161" s="68" t="str">
        <f>IF(main!AI164="","",ROUND(main!AI164*100,6))</f>
        <v/>
      </c>
      <c r="X161" s="68" t="str">
        <f>IF(main!AJ164="","",ROUND(main!AJ164*100,6))</f>
        <v/>
      </c>
      <c r="Y161" s="68" t="str">
        <f>IF(main!AK164="","",ROUND(main!AK164*100,6))</f>
        <v/>
      </c>
      <c r="Z161" s="68" t="str">
        <f>IF(main!AL164="","",ROUND(main!AL164*100,6))</f>
        <v/>
      </c>
      <c r="AA161" s="68" t="str">
        <f>IF(main!AM164="","",ROUND(main!AM164*100,6))</f>
        <v/>
      </c>
      <c r="AB161" s="68" t="str">
        <f>IF(main!AN164="","",ROUND(main!AN164*100,6))</f>
        <v/>
      </c>
      <c r="AC161" s="68" t="str">
        <f>IF(main!AO164="","",ROUND(main!AO164*100,6))</f>
        <v/>
      </c>
      <c r="AD161" s="68" t="str">
        <f>IF(main!AP164="","",ROUND(main!AP164*100,6))</f>
        <v/>
      </c>
      <c r="AE161" s="68" t="str">
        <f>IF(main!AQ164="","",ROUND(main!AQ164*100,6))</f>
        <v/>
      </c>
      <c r="AF161" s="68" t="str">
        <f>IF(main!AR164="","",ROUND(main!AR164*100,6))</f>
        <v/>
      </c>
      <c r="AG161" s="68" t="str">
        <f>IF(main!AS164="","",ROUND(main!AS164*100,6))</f>
        <v/>
      </c>
      <c r="AH161" s="68" t="str">
        <f>IF(main!AT164="","",ROUND(main!AT164*100,6))</f>
        <v/>
      </c>
      <c r="AI161" s="68" t="str">
        <f>IF(main!AU164="","",ROUND(main!AU164*100,6))</f>
        <v/>
      </c>
      <c r="AJ161" s="68" t="str">
        <f>IF(main!AV164="","",ROUND(main!AV164*100,6))</f>
        <v/>
      </c>
      <c r="AK161" s="68" t="str">
        <f>IF(main!AW164="","",ROUND(main!AW164*100,6))</f>
        <v/>
      </c>
      <c r="AL161" s="68" t="str">
        <f>IF(main!AX164="","",ROUND(main!AX164*100,6))</f>
        <v/>
      </c>
      <c r="AM161" s="68" t="str">
        <f>IF(main!AY164="","",ROUND(main!AY164*100,6))</f>
        <v/>
      </c>
      <c r="AN161" s="68" t="str">
        <f>IF(main!AZ164="","",ROUND(main!AZ164*100,6))</f>
        <v/>
      </c>
      <c r="AO161" s="68" t="str">
        <f>IF(main!BA164="","",ROUND(main!BA164*100,6))</f>
        <v/>
      </c>
      <c r="AP161" s="68" t="str">
        <f>IF(main!BB164="","",ROUND(main!BB164*100,6))</f>
        <v/>
      </c>
      <c r="AQ161" s="68" t="str">
        <f>IF(main!BC164="","",ROUND(main!BC164*100,6))</f>
        <v/>
      </c>
      <c r="AR161" s="68" t="str">
        <f>IF(main!BD164="","",ROUND(main!BD164*100,6))</f>
        <v/>
      </c>
      <c r="AS161" s="68" t="str">
        <f>IF(main!BE164="","",ROUND(main!BE164*100,6))</f>
        <v/>
      </c>
      <c r="AT161" s="68" t="str">
        <f>IF(main!BF164="","",ROUND(main!BF164*100,6))</f>
        <v/>
      </c>
      <c r="AU161" s="68" t="str">
        <f>IF(main!BG164="","",ROUND(main!BG164*100,6))</f>
        <v/>
      </c>
      <c r="AV161" s="68" t="str">
        <f>IF(main!BH164="","",ROUND(main!BH164*100,6))</f>
        <v/>
      </c>
      <c r="AW161" s="68" t="str">
        <f>IF(main!BI164="","",ROUND(main!BI164*100,6))</f>
        <v/>
      </c>
      <c r="AX161" s="68" t="str">
        <f>IF(main!BJ164="","",ROUND(main!BJ164*100,6))</f>
        <v/>
      </c>
      <c r="AY161" s="68" t="str">
        <f>IF(main!BK164="","",ROUND(main!BK164*100,6))</f>
        <v/>
      </c>
      <c r="AZ161" s="68" t="str">
        <f>IF(main!BL164="","",ROUND(main!BL164*100,6))</f>
        <v/>
      </c>
      <c r="BA161" s="68" t="str">
        <f>IF(main!BM164="","",ROUND(main!BM164*100,6))</f>
        <v/>
      </c>
      <c r="BB161" s="68" t="str">
        <f>IF(main!BN164="","",ROUND(main!BN164*100,6))</f>
        <v/>
      </c>
      <c r="BC161" s="68" t="str">
        <f>IF(main!BO164="","",ROUND(main!BO164*100,6))</f>
        <v/>
      </c>
      <c r="BD161" s="68" t="str">
        <f>IF(main!BP164="","",ROUND(main!BP164*100,6))</f>
        <v/>
      </c>
      <c r="BE161" s="68" t="str">
        <f>IF(main!BQ164="","",ROUND(main!BQ164*100,6))</f>
        <v/>
      </c>
      <c r="BF161" s="68" t="str">
        <f>IF(main!BR164="","",ROUND(main!BR164*100,6))</f>
        <v/>
      </c>
      <c r="BG161" s="68" t="str">
        <f>IF(main!BS164="","",ROUND(main!BS164*100,6))</f>
        <v/>
      </c>
      <c r="BH161" s="68" t="str">
        <f>IF(main!BT164="","",ROUND(main!BT164*100,6))</f>
        <v/>
      </c>
      <c r="BI161" s="68" t="str">
        <f>IF(main!BU164="","",ROUND(main!BU164*100,6))</f>
        <v/>
      </c>
      <c r="BJ161" s="68" t="str">
        <f>IF(main!BV164="","",ROUND(main!BV164*100,6))</f>
        <v/>
      </c>
      <c r="BK161" s="68" t="str">
        <f>IF(main!BW164="","",ROUND(main!BW164*100,6))</f>
        <v/>
      </c>
      <c r="BL161" s="68" t="str">
        <f>IF(main!BX164="","",ROUND(main!BX164*100,6))</f>
        <v/>
      </c>
      <c r="BM161" s="68" t="str">
        <f>IF(main!BY164="","",ROUND(main!BY164*100,6))</f>
        <v/>
      </c>
      <c r="BN161" s="68" t="str">
        <f>IF(main!BZ164="","",ROUND(main!BZ164*100,6))</f>
        <v/>
      </c>
      <c r="BO161" s="68" t="str">
        <f>IF(main!CA164="","",ROUND(main!CA164*100,6))</f>
        <v/>
      </c>
      <c r="BP161" s="68" t="str">
        <f>IF(main!CB164="","",ROUND(main!CB164*100,6))</f>
        <v/>
      </c>
      <c r="BQ161" s="68" t="str">
        <f>IF(main!CC164="","",ROUND(main!CC164*100,6))</f>
        <v/>
      </c>
      <c r="BR161" s="68" t="str">
        <f>IF(main!CD164="","",ROUND(main!CD164*100,6))</f>
        <v/>
      </c>
      <c r="BS161" s="68" t="str">
        <f>IF(main!CE164="","",ROUND(main!CE164*100,6))</f>
        <v/>
      </c>
      <c r="BT161" s="68" t="str">
        <f>IF(main!CF164="","",ROUND(main!CF164*100,6))</f>
        <v/>
      </c>
      <c r="BU161" s="68" t="str">
        <f>IF(main!CG164="","",ROUND(main!CG164*100,6))</f>
        <v/>
      </c>
      <c r="BV161" s="68" t="str">
        <f>IF(main!CH164="","",ROUND(main!CH164*100,6))</f>
        <v/>
      </c>
      <c r="BW161" s="68" t="str">
        <f>IF(main!CI164="","",ROUND(main!CI164*100,6))</f>
        <v/>
      </c>
      <c r="BX161" s="68" t="str">
        <f>IF(main!CJ164="","",ROUND(main!CJ164*100,6))</f>
        <v/>
      </c>
      <c r="BY161" s="68" t="str">
        <f>IF(main!CK164="","",ROUND(main!CK164*100,6))</f>
        <v/>
      </c>
      <c r="BZ161" s="68" t="str">
        <f>IF(main!CL164="","",ROUND(main!CL164*100,6))</f>
        <v/>
      </c>
      <c r="CA161" s="68" t="str">
        <f>IF(main!CM164="","",ROUND(main!CM164*100,6))</f>
        <v/>
      </c>
      <c r="CB161" s="68" t="str">
        <f>IF(main!CN164="","",ROUND(main!CN164*100,6))</f>
        <v/>
      </c>
      <c r="CC161" s="68" t="str">
        <f>IF(main!CO164="","",ROUND(main!CO164*100,6))</f>
        <v/>
      </c>
    </row>
    <row r="162" spans="1:81" x14ac:dyDescent="0.25">
      <c r="A162" s="65" t="s">
        <v>314</v>
      </c>
      <c r="B162" s="66" t="str">
        <f>main!C165</f>
        <v>Wall | Wall Fn.</v>
      </c>
      <c r="C162" s="67">
        <f>main!O165</f>
        <v>300000</v>
      </c>
      <c r="D162" s="65" t="s">
        <v>110</v>
      </c>
      <c r="E162" s="68">
        <f t="shared" si="2"/>
        <v>100</v>
      </c>
      <c r="F162" s="68" t="str">
        <f>IF(main!R165="","",ROUND(main!R165*100,6))</f>
        <v/>
      </c>
      <c r="G162" s="68" t="str">
        <f>IF(main!S165="","",ROUND(main!S165*100,6))</f>
        <v/>
      </c>
      <c r="H162" s="68" t="str">
        <f>IF(main!T165="","",ROUND(main!T165*100,6))</f>
        <v/>
      </c>
      <c r="I162" s="68" t="str">
        <f>IF(main!U165="","",ROUND(main!U165*100,6))</f>
        <v/>
      </c>
      <c r="J162" s="68" t="str">
        <f>IF(main!V165="","",ROUND(main!V165*100,6))</f>
        <v/>
      </c>
      <c r="K162" s="68" t="str">
        <f>IF(main!W165="","",ROUND(main!W165*100,6))</f>
        <v/>
      </c>
      <c r="L162" s="68" t="str">
        <f>IF(main!X165="","",ROUND(main!X165*100,6))</f>
        <v/>
      </c>
      <c r="M162" s="68" t="str">
        <f>IF(main!Y165="","",ROUND(main!Y165*100,6))</f>
        <v/>
      </c>
      <c r="N162" s="68" t="str">
        <f>IF(main!Z165="","",ROUND(main!Z165*100,6))</f>
        <v/>
      </c>
      <c r="O162" s="68" t="str">
        <f>IF(main!AA165="","",ROUND(main!AA165*100,6))</f>
        <v/>
      </c>
      <c r="P162" s="68" t="str">
        <f>IF(main!AB165="","",ROUND(main!AB165*100,6))</f>
        <v/>
      </c>
      <c r="Q162" s="68" t="str">
        <f>IF(main!AC165="","",ROUND(main!AC165*100,6))</f>
        <v/>
      </c>
      <c r="R162" s="68" t="str">
        <f>IF(main!AD165="","",ROUND(main!AD165*100,6))</f>
        <v/>
      </c>
      <c r="S162" s="68" t="str">
        <f>IF(main!AE165="","",ROUND(main!AE165*100,6))</f>
        <v/>
      </c>
      <c r="T162" s="68" t="str">
        <f>IF(main!AF165="","",ROUND(main!AF165*100,6))</f>
        <v/>
      </c>
      <c r="U162" s="68" t="str">
        <f>IF(main!AG165="","",ROUND(main!AG165*100,6))</f>
        <v/>
      </c>
      <c r="V162" s="68" t="str">
        <f>IF(main!AH165="","",ROUND(main!AH165*100,6))</f>
        <v/>
      </c>
      <c r="W162" s="68" t="str">
        <f>IF(main!AI165="","",ROUND(main!AI165*100,6))</f>
        <v/>
      </c>
      <c r="X162" s="68" t="str">
        <f>IF(main!AJ165="","",ROUND(main!AJ165*100,6))</f>
        <v/>
      </c>
      <c r="Y162" s="68" t="str">
        <f>IF(main!AK165="","",ROUND(main!AK165*100,6))</f>
        <v/>
      </c>
      <c r="Z162" s="68" t="str">
        <f>IF(main!AL165="","",ROUND(main!AL165*100,6))</f>
        <v/>
      </c>
      <c r="AA162" s="68" t="str">
        <f>IF(main!AM165="","",ROUND(main!AM165*100,6))</f>
        <v/>
      </c>
      <c r="AB162" s="68" t="str">
        <f>IF(main!AN165="","",ROUND(main!AN165*100,6))</f>
        <v/>
      </c>
      <c r="AC162" s="68" t="str">
        <f>IF(main!AO165="","",ROUND(main!AO165*100,6))</f>
        <v/>
      </c>
      <c r="AD162" s="68" t="str">
        <f>IF(main!AP165="","",ROUND(main!AP165*100,6))</f>
        <v/>
      </c>
      <c r="AE162" s="68" t="str">
        <f>IF(main!AQ165="","",ROUND(main!AQ165*100,6))</f>
        <v/>
      </c>
      <c r="AF162" s="68" t="str">
        <f>IF(main!AR165="","",ROUND(main!AR165*100,6))</f>
        <v/>
      </c>
      <c r="AG162" s="68" t="str">
        <f>IF(main!AS165="","",ROUND(main!AS165*100,6))</f>
        <v/>
      </c>
      <c r="AH162" s="68" t="str">
        <f>IF(main!AT165="","",ROUND(main!AT165*100,6))</f>
        <v/>
      </c>
      <c r="AI162" s="68" t="str">
        <f>IF(main!AU165="","",ROUND(main!AU165*100,6))</f>
        <v/>
      </c>
      <c r="AJ162" s="68" t="str">
        <f>IF(main!AV165="","",ROUND(main!AV165*100,6))</f>
        <v/>
      </c>
      <c r="AK162" s="68" t="str">
        <f>IF(main!AW165="","",ROUND(main!AW165*100,6))</f>
        <v/>
      </c>
      <c r="AL162" s="68">
        <f>IF(main!AX165="","",ROUND(main!AX165*100,6))</f>
        <v>1.587302</v>
      </c>
      <c r="AM162" s="68">
        <f>IF(main!AY165="","",ROUND(main!AY165*100,6))</f>
        <v>11.111110999999999</v>
      </c>
      <c r="AN162" s="68">
        <f>IF(main!AZ165="","",ROUND(main!AZ165*100,6))</f>
        <v>11.111110999999999</v>
      </c>
      <c r="AO162" s="68">
        <f>IF(main!BA165="","",ROUND(main!BA165*100,6))</f>
        <v>9.5238099999999992</v>
      </c>
      <c r="AP162" s="68" t="str">
        <f>IF(main!BB165="","",ROUND(main!BB165*100,6))</f>
        <v/>
      </c>
      <c r="AQ162" s="68" t="str">
        <f>IF(main!BC165="","",ROUND(main!BC165*100,6))</f>
        <v/>
      </c>
      <c r="AR162" s="68" t="str">
        <f>IF(main!BD165="","",ROUND(main!BD165*100,6))</f>
        <v/>
      </c>
      <c r="AS162" s="68" t="str">
        <f>IF(main!BE165="","",ROUND(main!BE165*100,6))</f>
        <v/>
      </c>
      <c r="AT162" s="68" t="str">
        <f>IF(main!BF165="","",ROUND(main!BF165*100,6))</f>
        <v/>
      </c>
      <c r="AU162" s="68" t="str">
        <f>IF(main!BG165="","",ROUND(main!BG165*100,6))</f>
        <v/>
      </c>
      <c r="AV162" s="68">
        <f>IF(main!BH165="","",ROUND(main!BH165*100,6))</f>
        <v>6.4102560000000004</v>
      </c>
      <c r="AW162" s="68">
        <f>IF(main!BI165="","",ROUND(main!BI165*100,6))</f>
        <v>8.9743589999999998</v>
      </c>
      <c r="AX162" s="68">
        <f>IF(main!BJ165="","",ROUND(main!BJ165*100,6))</f>
        <v>8.9743589999999998</v>
      </c>
      <c r="AY162" s="68">
        <f>IF(main!BK165="","",ROUND(main!BK165*100,6))</f>
        <v>8.9743589999999998</v>
      </c>
      <c r="AZ162" s="68">
        <f>IF(main!BL165="","",ROUND(main!BL165*100,6))</f>
        <v>6.4102560000000004</v>
      </c>
      <c r="BA162" s="68">
        <f>IF(main!BM165="","",ROUND(main!BM165*100,6))</f>
        <v>8.9743589999999998</v>
      </c>
      <c r="BB162" s="68">
        <f>IF(main!BN165="","",ROUND(main!BN165*100,6))</f>
        <v>8.9743589999999998</v>
      </c>
      <c r="BC162" s="68">
        <f>IF(main!BO165="","",ROUND(main!BO165*100,6))</f>
        <v>8.9743589999999998</v>
      </c>
      <c r="BD162" s="68" t="str">
        <f>IF(main!BP165="","",ROUND(main!BP165*100,6))</f>
        <v/>
      </c>
      <c r="BE162" s="68" t="str">
        <f>IF(main!BQ165="","",ROUND(main!BQ165*100,6))</f>
        <v/>
      </c>
      <c r="BF162" s="68" t="str">
        <f>IF(main!BR165="","",ROUND(main!BR165*100,6))</f>
        <v/>
      </c>
      <c r="BG162" s="68" t="str">
        <f>IF(main!BS165="","",ROUND(main!BS165*100,6))</f>
        <v/>
      </c>
      <c r="BH162" s="68" t="str">
        <f>IF(main!BT165="","",ROUND(main!BT165*100,6))</f>
        <v/>
      </c>
      <c r="BI162" s="68" t="str">
        <f>IF(main!BU165="","",ROUND(main!BU165*100,6))</f>
        <v/>
      </c>
      <c r="BJ162" s="68" t="str">
        <f>IF(main!BV165="","",ROUND(main!BV165*100,6))</f>
        <v/>
      </c>
      <c r="BK162" s="68" t="str">
        <f>IF(main!BW165="","",ROUND(main!BW165*100,6))</f>
        <v/>
      </c>
      <c r="BL162" s="68" t="str">
        <f>IF(main!BX165="","",ROUND(main!BX165*100,6))</f>
        <v/>
      </c>
      <c r="BM162" s="68" t="str">
        <f>IF(main!BY165="","",ROUND(main!BY165*100,6))</f>
        <v/>
      </c>
      <c r="BN162" s="68" t="str">
        <f>IF(main!BZ165="","",ROUND(main!BZ165*100,6))</f>
        <v/>
      </c>
      <c r="BO162" s="68" t="str">
        <f>IF(main!CA165="","",ROUND(main!CA165*100,6))</f>
        <v/>
      </c>
      <c r="BP162" s="68" t="str">
        <f>IF(main!CB165="","",ROUND(main!CB165*100,6))</f>
        <v/>
      </c>
      <c r="BQ162" s="68" t="str">
        <f>IF(main!CC165="","",ROUND(main!CC165*100,6))</f>
        <v/>
      </c>
      <c r="BR162" s="68" t="str">
        <f>IF(main!CD165="","",ROUND(main!CD165*100,6))</f>
        <v/>
      </c>
      <c r="BS162" s="68" t="str">
        <f>IF(main!CE165="","",ROUND(main!CE165*100,6))</f>
        <v/>
      </c>
      <c r="BT162" s="68" t="str">
        <f>IF(main!CF165="","",ROUND(main!CF165*100,6))</f>
        <v/>
      </c>
      <c r="BU162" s="68" t="str">
        <f>IF(main!CG165="","",ROUND(main!CG165*100,6))</f>
        <v/>
      </c>
      <c r="BV162" s="68" t="str">
        <f>IF(main!CH165="","",ROUND(main!CH165*100,6))</f>
        <v/>
      </c>
      <c r="BW162" s="68" t="str">
        <f>IF(main!CI165="","",ROUND(main!CI165*100,6))</f>
        <v/>
      </c>
      <c r="BX162" s="68" t="str">
        <f>IF(main!CJ165="","",ROUND(main!CJ165*100,6))</f>
        <v/>
      </c>
      <c r="BY162" s="68" t="str">
        <f>IF(main!CK165="","",ROUND(main!CK165*100,6))</f>
        <v/>
      </c>
      <c r="BZ162" s="68" t="str">
        <f>IF(main!CL165="","",ROUND(main!CL165*100,6))</f>
        <v/>
      </c>
      <c r="CA162" s="68" t="str">
        <f>IF(main!CM165="","",ROUND(main!CM165*100,6))</f>
        <v/>
      </c>
      <c r="CB162" s="68" t="str">
        <f>IF(main!CN165="","",ROUND(main!CN165*100,6))</f>
        <v/>
      </c>
      <c r="CC162" s="68" t="str">
        <f>IF(main!CO165="","",ROUND(main!CO165*100,6))</f>
        <v/>
      </c>
    </row>
    <row r="163" spans="1:81" x14ac:dyDescent="0.25">
      <c r="A163" s="65" t="s">
        <v>314</v>
      </c>
      <c r="B163" s="66" t="str">
        <f>main!C165</f>
        <v>Wall | Wall Fn.</v>
      </c>
      <c r="C163" s="67">
        <f>main!O165</f>
        <v>300000</v>
      </c>
      <c r="D163" s="65" t="s">
        <v>111</v>
      </c>
      <c r="E163" s="68" t="str">
        <f t="shared" si="2"/>
        <v/>
      </c>
      <c r="F163" s="68" t="str">
        <f>IF(main!R166="","",ROUND(main!R166*100,6))</f>
        <v/>
      </c>
      <c r="G163" s="68" t="str">
        <f>IF(main!S166="","",ROUND(main!S166*100,6))</f>
        <v/>
      </c>
      <c r="H163" s="68" t="str">
        <f>IF(main!T166="","",ROUND(main!T166*100,6))</f>
        <v/>
      </c>
      <c r="I163" s="68" t="str">
        <f>IF(main!U166="","",ROUND(main!U166*100,6))</f>
        <v/>
      </c>
      <c r="J163" s="68" t="str">
        <f>IF(main!V166="","",ROUND(main!V166*100,6))</f>
        <v/>
      </c>
      <c r="K163" s="68" t="str">
        <f>IF(main!W166="","",ROUND(main!W166*100,6))</f>
        <v/>
      </c>
      <c r="L163" s="68" t="str">
        <f>IF(main!X166="","",ROUND(main!X166*100,6))</f>
        <v/>
      </c>
      <c r="M163" s="68" t="str">
        <f>IF(main!Y166="","",ROUND(main!Y166*100,6))</f>
        <v/>
      </c>
      <c r="N163" s="68" t="str">
        <f>IF(main!Z166="","",ROUND(main!Z166*100,6))</f>
        <v/>
      </c>
      <c r="O163" s="68" t="str">
        <f>IF(main!AA166="","",ROUND(main!AA166*100,6))</f>
        <v/>
      </c>
      <c r="P163" s="68" t="str">
        <f>IF(main!AB166="","",ROUND(main!AB166*100,6))</f>
        <v/>
      </c>
      <c r="Q163" s="68" t="str">
        <f>IF(main!AC166="","",ROUND(main!AC166*100,6))</f>
        <v/>
      </c>
      <c r="R163" s="68" t="str">
        <f>IF(main!AD166="","",ROUND(main!AD166*100,6))</f>
        <v/>
      </c>
      <c r="S163" s="68" t="str">
        <f>IF(main!AE166="","",ROUND(main!AE166*100,6))</f>
        <v/>
      </c>
      <c r="T163" s="68" t="str">
        <f>IF(main!AF166="","",ROUND(main!AF166*100,6))</f>
        <v/>
      </c>
      <c r="U163" s="68" t="str">
        <f>IF(main!AG166="","",ROUND(main!AG166*100,6))</f>
        <v/>
      </c>
      <c r="V163" s="68" t="str">
        <f>IF(main!AH166="","",ROUND(main!AH166*100,6))</f>
        <v/>
      </c>
      <c r="W163" s="68" t="str">
        <f>IF(main!AI166="","",ROUND(main!AI166*100,6))</f>
        <v/>
      </c>
      <c r="X163" s="68" t="str">
        <f>IF(main!AJ166="","",ROUND(main!AJ166*100,6))</f>
        <v/>
      </c>
      <c r="Y163" s="68" t="str">
        <f>IF(main!AK166="","",ROUND(main!AK166*100,6))</f>
        <v/>
      </c>
      <c r="Z163" s="68" t="str">
        <f>IF(main!AL166="","",ROUND(main!AL166*100,6))</f>
        <v/>
      </c>
      <c r="AA163" s="68" t="str">
        <f>IF(main!AM166="","",ROUND(main!AM166*100,6))</f>
        <v/>
      </c>
      <c r="AB163" s="68" t="str">
        <f>IF(main!AN166="","",ROUND(main!AN166*100,6))</f>
        <v/>
      </c>
      <c r="AC163" s="68" t="str">
        <f>IF(main!AO166="","",ROUND(main!AO166*100,6))</f>
        <v/>
      </c>
      <c r="AD163" s="68" t="str">
        <f>IF(main!AP166="","",ROUND(main!AP166*100,6))</f>
        <v/>
      </c>
      <c r="AE163" s="68" t="str">
        <f>IF(main!AQ166="","",ROUND(main!AQ166*100,6))</f>
        <v/>
      </c>
      <c r="AF163" s="68" t="str">
        <f>IF(main!AR166="","",ROUND(main!AR166*100,6))</f>
        <v/>
      </c>
      <c r="AG163" s="68" t="str">
        <f>IF(main!AS166="","",ROUND(main!AS166*100,6))</f>
        <v/>
      </c>
      <c r="AH163" s="68" t="str">
        <f>IF(main!AT166="","",ROUND(main!AT166*100,6))</f>
        <v/>
      </c>
      <c r="AI163" s="68" t="str">
        <f>IF(main!AU166="","",ROUND(main!AU166*100,6))</f>
        <v/>
      </c>
      <c r="AJ163" s="68" t="str">
        <f>IF(main!AV166="","",ROUND(main!AV166*100,6))</f>
        <v/>
      </c>
      <c r="AK163" s="68" t="str">
        <f>IF(main!AW166="","",ROUND(main!AW166*100,6))</f>
        <v/>
      </c>
      <c r="AL163" s="68" t="str">
        <f>IF(main!AX166="","",ROUND(main!AX166*100,6))</f>
        <v/>
      </c>
      <c r="AM163" s="68" t="str">
        <f>IF(main!AY166="","",ROUND(main!AY166*100,6))</f>
        <v/>
      </c>
      <c r="AN163" s="68" t="str">
        <f>IF(main!AZ166="","",ROUND(main!AZ166*100,6))</f>
        <v/>
      </c>
      <c r="AO163" s="68" t="str">
        <f>IF(main!BA166="","",ROUND(main!BA166*100,6))</f>
        <v/>
      </c>
      <c r="AP163" s="68" t="str">
        <f>IF(main!BB166="","",ROUND(main!BB166*100,6))</f>
        <v/>
      </c>
      <c r="AQ163" s="68" t="str">
        <f>IF(main!BC166="","",ROUND(main!BC166*100,6))</f>
        <v/>
      </c>
      <c r="AR163" s="68" t="str">
        <f>IF(main!BD166="","",ROUND(main!BD166*100,6))</f>
        <v/>
      </c>
      <c r="AS163" s="68" t="str">
        <f>IF(main!BE166="","",ROUND(main!BE166*100,6))</f>
        <v/>
      </c>
      <c r="AT163" s="68" t="str">
        <f>IF(main!BF166="","",ROUND(main!BF166*100,6))</f>
        <v/>
      </c>
      <c r="AU163" s="68" t="str">
        <f>IF(main!BG166="","",ROUND(main!BG166*100,6))</f>
        <v/>
      </c>
      <c r="AV163" s="68" t="str">
        <f>IF(main!BH166="","",ROUND(main!BH166*100,6))</f>
        <v/>
      </c>
      <c r="AW163" s="68" t="str">
        <f>IF(main!BI166="","",ROUND(main!BI166*100,6))</f>
        <v/>
      </c>
      <c r="AX163" s="68" t="str">
        <f>IF(main!BJ166="","",ROUND(main!BJ166*100,6))</f>
        <v/>
      </c>
      <c r="AY163" s="68" t="str">
        <f>IF(main!BK166="","",ROUND(main!BK166*100,6))</f>
        <v/>
      </c>
      <c r="AZ163" s="68" t="str">
        <f>IF(main!BL166="","",ROUND(main!BL166*100,6))</f>
        <v/>
      </c>
      <c r="BA163" s="68" t="str">
        <f>IF(main!BM166="","",ROUND(main!BM166*100,6))</f>
        <v/>
      </c>
      <c r="BB163" s="68" t="str">
        <f>IF(main!BN166="","",ROUND(main!BN166*100,6))</f>
        <v/>
      </c>
      <c r="BC163" s="68" t="str">
        <f>IF(main!BO166="","",ROUND(main!BO166*100,6))</f>
        <v/>
      </c>
      <c r="BD163" s="68" t="str">
        <f>IF(main!BP166="","",ROUND(main!BP166*100,6))</f>
        <v/>
      </c>
      <c r="BE163" s="68" t="str">
        <f>IF(main!BQ166="","",ROUND(main!BQ166*100,6))</f>
        <v/>
      </c>
      <c r="BF163" s="68" t="str">
        <f>IF(main!BR166="","",ROUND(main!BR166*100,6))</f>
        <v/>
      </c>
      <c r="BG163" s="68" t="str">
        <f>IF(main!BS166="","",ROUND(main!BS166*100,6))</f>
        <v/>
      </c>
      <c r="BH163" s="68" t="str">
        <f>IF(main!BT166="","",ROUND(main!BT166*100,6))</f>
        <v/>
      </c>
      <c r="BI163" s="68" t="str">
        <f>IF(main!BU166="","",ROUND(main!BU166*100,6))</f>
        <v/>
      </c>
      <c r="BJ163" s="68" t="str">
        <f>IF(main!BV166="","",ROUND(main!BV166*100,6))</f>
        <v/>
      </c>
      <c r="BK163" s="68" t="str">
        <f>IF(main!BW166="","",ROUND(main!BW166*100,6))</f>
        <v/>
      </c>
      <c r="BL163" s="68" t="str">
        <f>IF(main!BX166="","",ROUND(main!BX166*100,6))</f>
        <v/>
      </c>
      <c r="BM163" s="68" t="str">
        <f>IF(main!BY166="","",ROUND(main!BY166*100,6))</f>
        <v/>
      </c>
      <c r="BN163" s="68" t="str">
        <f>IF(main!BZ166="","",ROUND(main!BZ166*100,6))</f>
        <v/>
      </c>
      <c r="BO163" s="68" t="str">
        <f>IF(main!CA166="","",ROUND(main!CA166*100,6))</f>
        <v/>
      </c>
      <c r="BP163" s="68" t="str">
        <f>IF(main!CB166="","",ROUND(main!CB166*100,6))</f>
        <v/>
      </c>
      <c r="BQ163" s="68" t="str">
        <f>IF(main!CC166="","",ROUND(main!CC166*100,6))</f>
        <v/>
      </c>
      <c r="BR163" s="68" t="str">
        <f>IF(main!CD166="","",ROUND(main!CD166*100,6))</f>
        <v/>
      </c>
      <c r="BS163" s="68" t="str">
        <f>IF(main!CE166="","",ROUND(main!CE166*100,6))</f>
        <v/>
      </c>
      <c r="BT163" s="68" t="str">
        <f>IF(main!CF166="","",ROUND(main!CF166*100,6))</f>
        <v/>
      </c>
      <c r="BU163" s="68" t="str">
        <f>IF(main!CG166="","",ROUND(main!CG166*100,6))</f>
        <v/>
      </c>
      <c r="BV163" s="68" t="str">
        <f>IF(main!CH166="","",ROUND(main!CH166*100,6))</f>
        <v/>
      </c>
      <c r="BW163" s="68" t="str">
        <f>IF(main!CI166="","",ROUND(main!CI166*100,6))</f>
        <v/>
      </c>
      <c r="BX163" s="68" t="str">
        <f>IF(main!CJ166="","",ROUND(main!CJ166*100,6))</f>
        <v/>
      </c>
      <c r="BY163" s="68" t="str">
        <f>IF(main!CK166="","",ROUND(main!CK166*100,6))</f>
        <v/>
      </c>
      <c r="BZ163" s="68" t="str">
        <f>IF(main!CL166="","",ROUND(main!CL166*100,6))</f>
        <v/>
      </c>
      <c r="CA163" s="68" t="str">
        <f>IF(main!CM166="","",ROUND(main!CM166*100,6))</f>
        <v/>
      </c>
      <c r="CB163" s="68" t="str">
        <f>IF(main!CN166="","",ROUND(main!CN166*100,6))</f>
        <v/>
      </c>
      <c r="CC163" s="68" t="str">
        <f>IF(main!CO166="","",ROUND(main!CO166*100,6))</f>
        <v/>
      </c>
    </row>
    <row r="164" spans="1:81" x14ac:dyDescent="0.25">
      <c r="A164" s="65" t="s">
        <v>316</v>
      </c>
      <c r="B164" s="66" t="str">
        <f>main!C167</f>
        <v>งานก่ออิฐมวลเบา ฉาบเรียบ</v>
      </c>
      <c r="C164" s="67">
        <f>main!O167</f>
        <v>100000</v>
      </c>
      <c r="D164" s="65" t="s">
        <v>110</v>
      </c>
      <c r="E164" s="68">
        <f t="shared" si="2"/>
        <v>100</v>
      </c>
      <c r="F164" s="68" t="str">
        <f>IF(main!R167="","",ROUND(main!R167*100,6))</f>
        <v/>
      </c>
      <c r="G164" s="68" t="str">
        <f>IF(main!S167="","",ROUND(main!S167*100,6))</f>
        <v/>
      </c>
      <c r="H164" s="68" t="str">
        <f>IF(main!T167="","",ROUND(main!T167*100,6))</f>
        <v/>
      </c>
      <c r="I164" s="68" t="str">
        <f>IF(main!U167="","",ROUND(main!U167*100,6))</f>
        <v/>
      </c>
      <c r="J164" s="68" t="str">
        <f>IF(main!V167="","",ROUND(main!V167*100,6))</f>
        <v/>
      </c>
      <c r="K164" s="68" t="str">
        <f>IF(main!W167="","",ROUND(main!W167*100,6))</f>
        <v/>
      </c>
      <c r="L164" s="68" t="str">
        <f>IF(main!X167="","",ROUND(main!X167*100,6))</f>
        <v/>
      </c>
      <c r="M164" s="68" t="str">
        <f>IF(main!Y167="","",ROUND(main!Y167*100,6))</f>
        <v/>
      </c>
      <c r="N164" s="68" t="str">
        <f>IF(main!Z167="","",ROUND(main!Z167*100,6))</f>
        <v/>
      </c>
      <c r="O164" s="68" t="str">
        <f>IF(main!AA167="","",ROUND(main!AA167*100,6))</f>
        <v/>
      </c>
      <c r="P164" s="68" t="str">
        <f>IF(main!AB167="","",ROUND(main!AB167*100,6))</f>
        <v/>
      </c>
      <c r="Q164" s="68" t="str">
        <f>IF(main!AC167="","",ROUND(main!AC167*100,6))</f>
        <v/>
      </c>
      <c r="R164" s="68" t="str">
        <f>IF(main!AD167="","",ROUND(main!AD167*100,6))</f>
        <v/>
      </c>
      <c r="S164" s="68" t="str">
        <f>IF(main!AE167="","",ROUND(main!AE167*100,6))</f>
        <v/>
      </c>
      <c r="T164" s="68" t="str">
        <f>IF(main!AF167="","",ROUND(main!AF167*100,6))</f>
        <v/>
      </c>
      <c r="U164" s="68" t="str">
        <f>IF(main!AG167="","",ROUND(main!AG167*100,6))</f>
        <v/>
      </c>
      <c r="V164" s="68" t="str">
        <f>IF(main!AH167="","",ROUND(main!AH167*100,6))</f>
        <v/>
      </c>
      <c r="W164" s="68" t="str">
        <f>IF(main!AI167="","",ROUND(main!AI167*100,6))</f>
        <v/>
      </c>
      <c r="X164" s="68" t="str">
        <f>IF(main!AJ167="","",ROUND(main!AJ167*100,6))</f>
        <v/>
      </c>
      <c r="Y164" s="68" t="str">
        <f>IF(main!AK167="","",ROUND(main!AK167*100,6))</f>
        <v/>
      </c>
      <c r="Z164" s="68" t="str">
        <f>IF(main!AL167="","",ROUND(main!AL167*100,6))</f>
        <v/>
      </c>
      <c r="AA164" s="68" t="str">
        <f>IF(main!AM167="","",ROUND(main!AM167*100,6))</f>
        <v/>
      </c>
      <c r="AB164" s="68" t="str">
        <f>IF(main!AN167="","",ROUND(main!AN167*100,6))</f>
        <v/>
      </c>
      <c r="AC164" s="68" t="str">
        <f>IF(main!AO167="","",ROUND(main!AO167*100,6))</f>
        <v/>
      </c>
      <c r="AD164" s="68" t="str">
        <f>IF(main!AP167="","",ROUND(main!AP167*100,6))</f>
        <v/>
      </c>
      <c r="AE164" s="68" t="str">
        <f>IF(main!AQ167="","",ROUND(main!AQ167*100,6))</f>
        <v/>
      </c>
      <c r="AF164" s="68" t="str">
        <f>IF(main!AR167="","",ROUND(main!AR167*100,6))</f>
        <v/>
      </c>
      <c r="AG164" s="68" t="str">
        <f>IF(main!AS167="","",ROUND(main!AS167*100,6))</f>
        <v/>
      </c>
      <c r="AH164" s="68" t="str">
        <f>IF(main!AT167="","",ROUND(main!AT167*100,6))</f>
        <v/>
      </c>
      <c r="AI164" s="68" t="str">
        <f>IF(main!AU167="","",ROUND(main!AU167*100,6))</f>
        <v/>
      </c>
      <c r="AJ164" s="68" t="str">
        <f>IF(main!AV167="","",ROUND(main!AV167*100,6))</f>
        <v/>
      </c>
      <c r="AK164" s="68" t="str">
        <f>IF(main!AW167="","",ROUND(main!AW167*100,6))</f>
        <v/>
      </c>
      <c r="AL164" s="68" t="str">
        <f>IF(main!AX167="","",ROUND(main!AX167*100,6))</f>
        <v/>
      </c>
      <c r="AM164" s="68" t="str">
        <f>IF(main!AY167="","",ROUND(main!AY167*100,6))</f>
        <v/>
      </c>
      <c r="AN164" s="68" t="str">
        <f>IF(main!AZ167="","",ROUND(main!AZ167*100,6))</f>
        <v/>
      </c>
      <c r="AO164" s="68" t="str">
        <f>IF(main!BA167="","",ROUND(main!BA167*100,6))</f>
        <v/>
      </c>
      <c r="AP164" s="68" t="str">
        <f>IF(main!BB167="","",ROUND(main!BB167*100,6))</f>
        <v/>
      </c>
      <c r="AQ164" s="68" t="str">
        <f>IF(main!BC167="","",ROUND(main!BC167*100,6))</f>
        <v/>
      </c>
      <c r="AR164" s="68" t="str">
        <f>IF(main!BD167="","",ROUND(main!BD167*100,6))</f>
        <v/>
      </c>
      <c r="AS164" s="68" t="str">
        <f>IF(main!BE167="","",ROUND(main!BE167*100,6))</f>
        <v/>
      </c>
      <c r="AT164" s="68" t="str">
        <f>IF(main!BF167="","",ROUND(main!BF167*100,6))</f>
        <v/>
      </c>
      <c r="AU164" s="68" t="str">
        <f>IF(main!BG167="","",ROUND(main!BG167*100,6))</f>
        <v/>
      </c>
      <c r="AV164" s="68">
        <f>IF(main!BH167="","",ROUND(main!BH167*100,6))</f>
        <v>19.230768999999999</v>
      </c>
      <c r="AW164" s="68">
        <f>IF(main!BI167="","",ROUND(main!BI167*100,6))</f>
        <v>26.923076999999999</v>
      </c>
      <c r="AX164" s="68">
        <f>IF(main!BJ167="","",ROUND(main!BJ167*100,6))</f>
        <v>26.923076999999999</v>
      </c>
      <c r="AY164" s="68">
        <f>IF(main!BK167="","",ROUND(main!BK167*100,6))</f>
        <v>26.923076999999999</v>
      </c>
      <c r="AZ164" s="68" t="str">
        <f>IF(main!BL167="","",ROUND(main!BL167*100,6))</f>
        <v/>
      </c>
      <c r="BA164" s="68" t="str">
        <f>IF(main!BM167="","",ROUND(main!BM167*100,6))</f>
        <v/>
      </c>
      <c r="BB164" s="68" t="str">
        <f>IF(main!BN167="","",ROUND(main!BN167*100,6))</f>
        <v/>
      </c>
      <c r="BC164" s="68" t="str">
        <f>IF(main!BO167="","",ROUND(main!BO167*100,6))</f>
        <v/>
      </c>
      <c r="BD164" s="68" t="str">
        <f>IF(main!BP167="","",ROUND(main!BP167*100,6))</f>
        <v/>
      </c>
      <c r="BE164" s="68" t="str">
        <f>IF(main!BQ167="","",ROUND(main!BQ167*100,6))</f>
        <v/>
      </c>
      <c r="BF164" s="68" t="str">
        <f>IF(main!BR167="","",ROUND(main!BR167*100,6))</f>
        <v/>
      </c>
      <c r="BG164" s="68" t="str">
        <f>IF(main!BS167="","",ROUND(main!BS167*100,6))</f>
        <v/>
      </c>
      <c r="BH164" s="68" t="str">
        <f>IF(main!BT167="","",ROUND(main!BT167*100,6))</f>
        <v/>
      </c>
      <c r="BI164" s="68" t="str">
        <f>IF(main!BU167="","",ROUND(main!BU167*100,6))</f>
        <v/>
      </c>
      <c r="BJ164" s="68" t="str">
        <f>IF(main!BV167="","",ROUND(main!BV167*100,6))</f>
        <v/>
      </c>
      <c r="BK164" s="68" t="str">
        <f>IF(main!BW167="","",ROUND(main!BW167*100,6))</f>
        <v/>
      </c>
      <c r="BL164" s="68" t="str">
        <f>IF(main!BX167="","",ROUND(main!BX167*100,6))</f>
        <v/>
      </c>
      <c r="BM164" s="68" t="str">
        <f>IF(main!BY167="","",ROUND(main!BY167*100,6))</f>
        <v/>
      </c>
      <c r="BN164" s="68" t="str">
        <f>IF(main!BZ167="","",ROUND(main!BZ167*100,6))</f>
        <v/>
      </c>
      <c r="BO164" s="68" t="str">
        <f>IF(main!CA167="","",ROUND(main!CA167*100,6))</f>
        <v/>
      </c>
      <c r="BP164" s="68" t="str">
        <f>IF(main!CB167="","",ROUND(main!CB167*100,6))</f>
        <v/>
      </c>
      <c r="BQ164" s="68" t="str">
        <f>IF(main!CC167="","",ROUND(main!CC167*100,6))</f>
        <v/>
      </c>
      <c r="BR164" s="68" t="str">
        <f>IF(main!CD167="","",ROUND(main!CD167*100,6))</f>
        <v/>
      </c>
      <c r="BS164" s="68" t="str">
        <f>IF(main!CE167="","",ROUND(main!CE167*100,6))</f>
        <v/>
      </c>
      <c r="BT164" s="68" t="str">
        <f>IF(main!CF167="","",ROUND(main!CF167*100,6))</f>
        <v/>
      </c>
      <c r="BU164" s="68" t="str">
        <f>IF(main!CG167="","",ROUND(main!CG167*100,6))</f>
        <v/>
      </c>
      <c r="BV164" s="68" t="str">
        <f>IF(main!CH167="","",ROUND(main!CH167*100,6))</f>
        <v/>
      </c>
      <c r="BW164" s="68" t="str">
        <f>IF(main!CI167="","",ROUND(main!CI167*100,6))</f>
        <v/>
      </c>
      <c r="BX164" s="68" t="str">
        <f>IF(main!CJ167="","",ROUND(main!CJ167*100,6))</f>
        <v/>
      </c>
      <c r="BY164" s="68" t="str">
        <f>IF(main!CK167="","",ROUND(main!CK167*100,6))</f>
        <v/>
      </c>
      <c r="BZ164" s="68" t="str">
        <f>IF(main!CL167="","",ROUND(main!CL167*100,6))</f>
        <v/>
      </c>
      <c r="CA164" s="68" t="str">
        <f>IF(main!CM167="","",ROUND(main!CM167*100,6))</f>
        <v/>
      </c>
      <c r="CB164" s="68" t="str">
        <f>IF(main!CN167="","",ROUND(main!CN167*100,6))</f>
        <v/>
      </c>
      <c r="CC164" s="68" t="str">
        <f>IF(main!CO167="","",ROUND(main!CO167*100,6))</f>
        <v/>
      </c>
    </row>
    <row r="165" spans="1:81" x14ac:dyDescent="0.25">
      <c r="A165" s="65" t="s">
        <v>316</v>
      </c>
      <c r="B165" s="66" t="str">
        <f>main!C167</f>
        <v>งานก่ออิฐมวลเบา ฉาบเรียบ</v>
      </c>
      <c r="C165" s="67">
        <f>main!O167</f>
        <v>100000</v>
      </c>
      <c r="D165" s="65" t="s">
        <v>111</v>
      </c>
      <c r="E165" s="68" t="str">
        <f t="shared" si="2"/>
        <v/>
      </c>
      <c r="F165" s="68" t="str">
        <f>IF(main!R168="","",ROUND(main!R168*100,6))</f>
        <v/>
      </c>
      <c r="G165" s="68" t="str">
        <f>IF(main!S168="","",ROUND(main!S168*100,6))</f>
        <v/>
      </c>
      <c r="H165" s="68" t="str">
        <f>IF(main!T168="","",ROUND(main!T168*100,6))</f>
        <v/>
      </c>
      <c r="I165" s="68" t="str">
        <f>IF(main!U168="","",ROUND(main!U168*100,6))</f>
        <v/>
      </c>
      <c r="J165" s="68" t="str">
        <f>IF(main!V168="","",ROUND(main!V168*100,6))</f>
        <v/>
      </c>
      <c r="K165" s="68" t="str">
        <f>IF(main!W168="","",ROUND(main!W168*100,6))</f>
        <v/>
      </c>
      <c r="L165" s="68" t="str">
        <f>IF(main!X168="","",ROUND(main!X168*100,6))</f>
        <v/>
      </c>
      <c r="M165" s="68" t="str">
        <f>IF(main!Y168="","",ROUND(main!Y168*100,6))</f>
        <v/>
      </c>
      <c r="N165" s="68" t="str">
        <f>IF(main!Z168="","",ROUND(main!Z168*100,6))</f>
        <v/>
      </c>
      <c r="O165" s="68" t="str">
        <f>IF(main!AA168="","",ROUND(main!AA168*100,6))</f>
        <v/>
      </c>
      <c r="P165" s="68" t="str">
        <f>IF(main!AB168="","",ROUND(main!AB168*100,6))</f>
        <v/>
      </c>
      <c r="Q165" s="68" t="str">
        <f>IF(main!AC168="","",ROUND(main!AC168*100,6))</f>
        <v/>
      </c>
      <c r="R165" s="68" t="str">
        <f>IF(main!AD168="","",ROUND(main!AD168*100,6))</f>
        <v/>
      </c>
      <c r="S165" s="68" t="str">
        <f>IF(main!AE168="","",ROUND(main!AE168*100,6))</f>
        <v/>
      </c>
      <c r="T165" s="68" t="str">
        <f>IF(main!AF168="","",ROUND(main!AF168*100,6))</f>
        <v/>
      </c>
      <c r="U165" s="68" t="str">
        <f>IF(main!AG168="","",ROUND(main!AG168*100,6))</f>
        <v/>
      </c>
      <c r="V165" s="68" t="str">
        <f>IF(main!AH168="","",ROUND(main!AH168*100,6))</f>
        <v/>
      </c>
      <c r="W165" s="68" t="str">
        <f>IF(main!AI168="","",ROUND(main!AI168*100,6))</f>
        <v/>
      </c>
      <c r="X165" s="68" t="str">
        <f>IF(main!AJ168="","",ROUND(main!AJ168*100,6))</f>
        <v/>
      </c>
      <c r="Y165" s="68" t="str">
        <f>IF(main!AK168="","",ROUND(main!AK168*100,6))</f>
        <v/>
      </c>
      <c r="Z165" s="68" t="str">
        <f>IF(main!AL168="","",ROUND(main!AL168*100,6))</f>
        <v/>
      </c>
      <c r="AA165" s="68" t="str">
        <f>IF(main!AM168="","",ROUND(main!AM168*100,6))</f>
        <v/>
      </c>
      <c r="AB165" s="68" t="str">
        <f>IF(main!AN168="","",ROUND(main!AN168*100,6))</f>
        <v/>
      </c>
      <c r="AC165" s="68" t="str">
        <f>IF(main!AO168="","",ROUND(main!AO168*100,6))</f>
        <v/>
      </c>
      <c r="AD165" s="68" t="str">
        <f>IF(main!AP168="","",ROUND(main!AP168*100,6))</f>
        <v/>
      </c>
      <c r="AE165" s="68" t="str">
        <f>IF(main!AQ168="","",ROUND(main!AQ168*100,6))</f>
        <v/>
      </c>
      <c r="AF165" s="68" t="str">
        <f>IF(main!AR168="","",ROUND(main!AR168*100,6))</f>
        <v/>
      </c>
      <c r="AG165" s="68" t="str">
        <f>IF(main!AS168="","",ROUND(main!AS168*100,6))</f>
        <v/>
      </c>
      <c r="AH165" s="68" t="str">
        <f>IF(main!AT168="","",ROUND(main!AT168*100,6))</f>
        <v/>
      </c>
      <c r="AI165" s="68" t="str">
        <f>IF(main!AU168="","",ROUND(main!AU168*100,6))</f>
        <v/>
      </c>
      <c r="AJ165" s="68" t="str">
        <f>IF(main!AV168="","",ROUND(main!AV168*100,6))</f>
        <v/>
      </c>
      <c r="AK165" s="68" t="str">
        <f>IF(main!AW168="","",ROUND(main!AW168*100,6))</f>
        <v/>
      </c>
      <c r="AL165" s="68" t="str">
        <f>IF(main!AX168="","",ROUND(main!AX168*100,6))</f>
        <v/>
      </c>
      <c r="AM165" s="68" t="str">
        <f>IF(main!AY168="","",ROUND(main!AY168*100,6))</f>
        <v/>
      </c>
      <c r="AN165" s="68" t="str">
        <f>IF(main!AZ168="","",ROUND(main!AZ168*100,6))</f>
        <v/>
      </c>
      <c r="AO165" s="68" t="str">
        <f>IF(main!BA168="","",ROUND(main!BA168*100,6))</f>
        <v/>
      </c>
      <c r="AP165" s="68" t="str">
        <f>IF(main!BB168="","",ROUND(main!BB168*100,6))</f>
        <v/>
      </c>
      <c r="AQ165" s="68" t="str">
        <f>IF(main!BC168="","",ROUND(main!BC168*100,6))</f>
        <v/>
      </c>
      <c r="AR165" s="68" t="str">
        <f>IF(main!BD168="","",ROUND(main!BD168*100,6))</f>
        <v/>
      </c>
      <c r="AS165" s="68" t="str">
        <f>IF(main!BE168="","",ROUND(main!BE168*100,6))</f>
        <v/>
      </c>
      <c r="AT165" s="68" t="str">
        <f>IF(main!BF168="","",ROUND(main!BF168*100,6))</f>
        <v/>
      </c>
      <c r="AU165" s="68" t="str">
        <f>IF(main!BG168="","",ROUND(main!BG168*100,6))</f>
        <v/>
      </c>
      <c r="AV165" s="68" t="str">
        <f>IF(main!BH168="","",ROUND(main!BH168*100,6))</f>
        <v/>
      </c>
      <c r="AW165" s="68" t="str">
        <f>IF(main!BI168="","",ROUND(main!BI168*100,6))</f>
        <v/>
      </c>
      <c r="AX165" s="68" t="str">
        <f>IF(main!BJ168="","",ROUND(main!BJ168*100,6))</f>
        <v/>
      </c>
      <c r="AY165" s="68" t="str">
        <f>IF(main!BK168="","",ROUND(main!BK168*100,6))</f>
        <v/>
      </c>
      <c r="AZ165" s="68" t="str">
        <f>IF(main!BL168="","",ROUND(main!BL168*100,6))</f>
        <v/>
      </c>
      <c r="BA165" s="68" t="str">
        <f>IF(main!BM168="","",ROUND(main!BM168*100,6))</f>
        <v/>
      </c>
      <c r="BB165" s="68" t="str">
        <f>IF(main!BN168="","",ROUND(main!BN168*100,6))</f>
        <v/>
      </c>
      <c r="BC165" s="68" t="str">
        <f>IF(main!BO168="","",ROUND(main!BO168*100,6))</f>
        <v/>
      </c>
      <c r="BD165" s="68" t="str">
        <f>IF(main!BP168="","",ROUND(main!BP168*100,6))</f>
        <v/>
      </c>
      <c r="BE165" s="68" t="str">
        <f>IF(main!BQ168="","",ROUND(main!BQ168*100,6))</f>
        <v/>
      </c>
      <c r="BF165" s="68" t="str">
        <f>IF(main!BR168="","",ROUND(main!BR168*100,6))</f>
        <v/>
      </c>
      <c r="BG165" s="68" t="str">
        <f>IF(main!BS168="","",ROUND(main!BS168*100,6))</f>
        <v/>
      </c>
      <c r="BH165" s="68" t="str">
        <f>IF(main!BT168="","",ROUND(main!BT168*100,6))</f>
        <v/>
      </c>
      <c r="BI165" s="68" t="str">
        <f>IF(main!BU168="","",ROUND(main!BU168*100,6))</f>
        <v/>
      </c>
      <c r="BJ165" s="68" t="str">
        <f>IF(main!BV168="","",ROUND(main!BV168*100,6))</f>
        <v/>
      </c>
      <c r="BK165" s="68" t="str">
        <f>IF(main!BW168="","",ROUND(main!BW168*100,6))</f>
        <v/>
      </c>
      <c r="BL165" s="68" t="str">
        <f>IF(main!BX168="","",ROUND(main!BX168*100,6))</f>
        <v/>
      </c>
      <c r="BM165" s="68" t="str">
        <f>IF(main!BY168="","",ROUND(main!BY168*100,6))</f>
        <v/>
      </c>
      <c r="BN165" s="68" t="str">
        <f>IF(main!BZ168="","",ROUND(main!BZ168*100,6))</f>
        <v/>
      </c>
      <c r="BO165" s="68" t="str">
        <f>IF(main!CA168="","",ROUND(main!CA168*100,6))</f>
        <v/>
      </c>
      <c r="BP165" s="68" t="str">
        <f>IF(main!CB168="","",ROUND(main!CB168*100,6))</f>
        <v/>
      </c>
      <c r="BQ165" s="68" t="str">
        <f>IF(main!CC168="","",ROUND(main!CC168*100,6))</f>
        <v/>
      </c>
      <c r="BR165" s="68" t="str">
        <f>IF(main!CD168="","",ROUND(main!CD168*100,6))</f>
        <v/>
      </c>
      <c r="BS165" s="68" t="str">
        <f>IF(main!CE168="","",ROUND(main!CE168*100,6))</f>
        <v/>
      </c>
      <c r="BT165" s="68" t="str">
        <f>IF(main!CF168="","",ROUND(main!CF168*100,6))</f>
        <v/>
      </c>
      <c r="BU165" s="68" t="str">
        <f>IF(main!CG168="","",ROUND(main!CG168*100,6))</f>
        <v/>
      </c>
      <c r="BV165" s="68" t="str">
        <f>IF(main!CH168="","",ROUND(main!CH168*100,6))</f>
        <v/>
      </c>
      <c r="BW165" s="68" t="str">
        <f>IF(main!CI168="","",ROUND(main!CI168*100,6))</f>
        <v/>
      </c>
      <c r="BX165" s="68" t="str">
        <f>IF(main!CJ168="","",ROUND(main!CJ168*100,6))</f>
        <v/>
      </c>
      <c r="BY165" s="68" t="str">
        <f>IF(main!CK168="","",ROUND(main!CK168*100,6))</f>
        <v/>
      </c>
      <c r="BZ165" s="68" t="str">
        <f>IF(main!CL168="","",ROUND(main!CL168*100,6))</f>
        <v/>
      </c>
      <c r="CA165" s="68" t="str">
        <f>IF(main!CM168="","",ROUND(main!CM168*100,6))</f>
        <v/>
      </c>
      <c r="CB165" s="68" t="str">
        <f>IF(main!CN168="","",ROUND(main!CN168*100,6))</f>
        <v/>
      </c>
      <c r="CC165" s="68" t="str">
        <f>IF(main!CO168="","",ROUND(main!CO168*100,6))</f>
        <v/>
      </c>
    </row>
    <row r="166" spans="1:81" x14ac:dyDescent="0.25">
      <c r="A166" s="65" t="s">
        <v>319</v>
      </c>
      <c r="B166" s="66" t="str">
        <f>main!C169</f>
        <v>งานกรุกระเบื้องโมเสค ผนังห้องน้ำ</v>
      </c>
      <c r="C166" s="67">
        <f>main!O169</f>
        <v>100000</v>
      </c>
      <c r="D166" s="65" t="s">
        <v>110</v>
      </c>
      <c r="E166" s="68">
        <f t="shared" si="2"/>
        <v>100</v>
      </c>
      <c r="F166" s="68" t="str">
        <f>IF(main!R169="","",ROUND(main!R169*100,6))</f>
        <v/>
      </c>
      <c r="G166" s="68" t="str">
        <f>IF(main!S169="","",ROUND(main!S169*100,6))</f>
        <v/>
      </c>
      <c r="H166" s="68" t="str">
        <f>IF(main!T169="","",ROUND(main!T169*100,6))</f>
        <v/>
      </c>
      <c r="I166" s="68" t="str">
        <f>IF(main!U169="","",ROUND(main!U169*100,6))</f>
        <v/>
      </c>
      <c r="J166" s="68" t="str">
        <f>IF(main!V169="","",ROUND(main!V169*100,6))</f>
        <v/>
      </c>
      <c r="K166" s="68" t="str">
        <f>IF(main!W169="","",ROUND(main!W169*100,6))</f>
        <v/>
      </c>
      <c r="L166" s="68" t="str">
        <f>IF(main!X169="","",ROUND(main!X169*100,6))</f>
        <v/>
      </c>
      <c r="M166" s="68" t="str">
        <f>IF(main!Y169="","",ROUND(main!Y169*100,6))</f>
        <v/>
      </c>
      <c r="N166" s="68" t="str">
        <f>IF(main!Z169="","",ROUND(main!Z169*100,6))</f>
        <v/>
      </c>
      <c r="O166" s="68" t="str">
        <f>IF(main!AA169="","",ROUND(main!AA169*100,6))</f>
        <v/>
      </c>
      <c r="P166" s="68" t="str">
        <f>IF(main!AB169="","",ROUND(main!AB169*100,6))</f>
        <v/>
      </c>
      <c r="Q166" s="68" t="str">
        <f>IF(main!AC169="","",ROUND(main!AC169*100,6))</f>
        <v/>
      </c>
      <c r="R166" s="68" t="str">
        <f>IF(main!AD169="","",ROUND(main!AD169*100,6))</f>
        <v/>
      </c>
      <c r="S166" s="68" t="str">
        <f>IF(main!AE169="","",ROUND(main!AE169*100,6))</f>
        <v/>
      </c>
      <c r="T166" s="68" t="str">
        <f>IF(main!AF169="","",ROUND(main!AF169*100,6))</f>
        <v/>
      </c>
      <c r="U166" s="68" t="str">
        <f>IF(main!AG169="","",ROUND(main!AG169*100,6))</f>
        <v/>
      </c>
      <c r="V166" s="68" t="str">
        <f>IF(main!AH169="","",ROUND(main!AH169*100,6))</f>
        <v/>
      </c>
      <c r="W166" s="68" t="str">
        <f>IF(main!AI169="","",ROUND(main!AI169*100,6))</f>
        <v/>
      </c>
      <c r="X166" s="68" t="str">
        <f>IF(main!AJ169="","",ROUND(main!AJ169*100,6))</f>
        <v/>
      </c>
      <c r="Y166" s="68" t="str">
        <f>IF(main!AK169="","",ROUND(main!AK169*100,6))</f>
        <v/>
      </c>
      <c r="Z166" s="68" t="str">
        <f>IF(main!AL169="","",ROUND(main!AL169*100,6))</f>
        <v/>
      </c>
      <c r="AA166" s="68" t="str">
        <f>IF(main!AM169="","",ROUND(main!AM169*100,6))</f>
        <v/>
      </c>
      <c r="AB166" s="68" t="str">
        <f>IF(main!AN169="","",ROUND(main!AN169*100,6))</f>
        <v/>
      </c>
      <c r="AC166" s="68" t="str">
        <f>IF(main!AO169="","",ROUND(main!AO169*100,6))</f>
        <v/>
      </c>
      <c r="AD166" s="68" t="str">
        <f>IF(main!AP169="","",ROUND(main!AP169*100,6))</f>
        <v/>
      </c>
      <c r="AE166" s="68" t="str">
        <f>IF(main!AQ169="","",ROUND(main!AQ169*100,6))</f>
        <v/>
      </c>
      <c r="AF166" s="68" t="str">
        <f>IF(main!AR169="","",ROUND(main!AR169*100,6))</f>
        <v/>
      </c>
      <c r="AG166" s="68" t="str">
        <f>IF(main!AS169="","",ROUND(main!AS169*100,6))</f>
        <v/>
      </c>
      <c r="AH166" s="68" t="str">
        <f>IF(main!AT169="","",ROUND(main!AT169*100,6))</f>
        <v/>
      </c>
      <c r="AI166" s="68" t="str">
        <f>IF(main!AU169="","",ROUND(main!AU169*100,6))</f>
        <v/>
      </c>
      <c r="AJ166" s="68" t="str">
        <f>IF(main!AV169="","",ROUND(main!AV169*100,6))</f>
        <v/>
      </c>
      <c r="AK166" s="68" t="str">
        <f>IF(main!AW169="","",ROUND(main!AW169*100,6))</f>
        <v/>
      </c>
      <c r="AL166" s="68" t="str">
        <f>IF(main!AX169="","",ROUND(main!AX169*100,6))</f>
        <v/>
      </c>
      <c r="AM166" s="68" t="str">
        <f>IF(main!AY169="","",ROUND(main!AY169*100,6))</f>
        <v/>
      </c>
      <c r="AN166" s="68" t="str">
        <f>IF(main!AZ169="","",ROUND(main!AZ169*100,6))</f>
        <v/>
      </c>
      <c r="AO166" s="68" t="str">
        <f>IF(main!BA169="","",ROUND(main!BA169*100,6))</f>
        <v/>
      </c>
      <c r="AP166" s="68" t="str">
        <f>IF(main!BB169="","",ROUND(main!BB169*100,6))</f>
        <v/>
      </c>
      <c r="AQ166" s="68" t="str">
        <f>IF(main!BC169="","",ROUND(main!BC169*100,6))</f>
        <v/>
      </c>
      <c r="AR166" s="68" t="str">
        <f>IF(main!BD169="","",ROUND(main!BD169*100,6))</f>
        <v/>
      </c>
      <c r="AS166" s="68" t="str">
        <f>IF(main!BE169="","",ROUND(main!BE169*100,6))</f>
        <v/>
      </c>
      <c r="AT166" s="68" t="str">
        <f>IF(main!BF169="","",ROUND(main!BF169*100,6))</f>
        <v/>
      </c>
      <c r="AU166" s="68" t="str">
        <f>IF(main!BG169="","",ROUND(main!BG169*100,6))</f>
        <v/>
      </c>
      <c r="AV166" s="68" t="str">
        <f>IF(main!BH169="","",ROUND(main!BH169*100,6))</f>
        <v/>
      </c>
      <c r="AW166" s="68" t="str">
        <f>IF(main!BI169="","",ROUND(main!BI169*100,6))</f>
        <v/>
      </c>
      <c r="AX166" s="68" t="str">
        <f>IF(main!BJ169="","",ROUND(main!BJ169*100,6))</f>
        <v/>
      </c>
      <c r="AY166" s="68" t="str">
        <f>IF(main!BK169="","",ROUND(main!BK169*100,6))</f>
        <v/>
      </c>
      <c r="AZ166" s="68">
        <f>IF(main!BL169="","",ROUND(main!BL169*100,6))</f>
        <v>19.230768999999999</v>
      </c>
      <c r="BA166" s="68">
        <f>IF(main!BM169="","",ROUND(main!BM169*100,6))</f>
        <v>26.923076999999999</v>
      </c>
      <c r="BB166" s="68">
        <f>IF(main!BN169="","",ROUND(main!BN169*100,6))</f>
        <v>26.923076999999999</v>
      </c>
      <c r="BC166" s="68">
        <f>IF(main!BO169="","",ROUND(main!BO169*100,6))</f>
        <v>26.923076999999999</v>
      </c>
      <c r="BD166" s="68" t="str">
        <f>IF(main!BP169="","",ROUND(main!BP169*100,6))</f>
        <v/>
      </c>
      <c r="BE166" s="68" t="str">
        <f>IF(main!BQ169="","",ROUND(main!BQ169*100,6))</f>
        <v/>
      </c>
      <c r="BF166" s="68" t="str">
        <f>IF(main!BR169="","",ROUND(main!BR169*100,6))</f>
        <v/>
      </c>
      <c r="BG166" s="68" t="str">
        <f>IF(main!BS169="","",ROUND(main!BS169*100,6))</f>
        <v/>
      </c>
      <c r="BH166" s="68" t="str">
        <f>IF(main!BT169="","",ROUND(main!BT169*100,6))</f>
        <v/>
      </c>
      <c r="BI166" s="68" t="str">
        <f>IF(main!BU169="","",ROUND(main!BU169*100,6))</f>
        <v/>
      </c>
      <c r="BJ166" s="68" t="str">
        <f>IF(main!BV169="","",ROUND(main!BV169*100,6))</f>
        <v/>
      </c>
      <c r="BK166" s="68" t="str">
        <f>IF(main!BW169="","",ROUND(main!BW169*100,6))</f>
        <v/>
      </c>
      <c r="BL166" s="68" t="str">
        <f>IF(main!BX169="","",ROUND(main!BX169*100,6))</f>
        <v/>
      </c>
      <c r="BM166" s="68" t="str">
        <f>IF(main!BY169="","",ROUND(main!BY169*100,6))</f>
        <v/>
      </c>
      <c r="BN166" s="68" t="str">
        <f>IF(main!BZ169="","",ROUND(main!BZ169*100,6))</f>
        <v/>
      </c>
      <c r="BO166" s="68" t="str">
        <f>IF(main!CA169="","",ROUND(main!CA169*100,6))</f>
        <v/>
      </c>
      <c r="BP166" s="68" t="str">
        <f>IF(main!CB169="","",ROUND(main!CB169*100,6))</f>
        <v/>
      </c>
      <c r="BQ166" s="68" t="str">
        <f>IF(main!CC169="","",ROUND(main!CC169*100,6))</f>
        <v/>
      </c>
      <c r="BR166" s="68" t="str">
        <f>IF(main!CD169="","",ROUND(main!CD169*100,6))</f>
        <v/>
      </c>
      <c r="BS166" s="68" t="str">
        <f>IF(main!CE169="","",ROUND(main!CE169*100,6))</f>
        <v/>
      </c>
      <c r="BT166" s="68" t="str">
        <f>IF(main!CF169="","",ROUND(main!CF169*100,6))</f>
        <v/>
      </c>
      <c r="BU166" s="68" t="str">
        <f>IF(main!CG169="","",ROUND(main!CG169*100,6))</f>
        <v/>
      </c>
      <c r="BV166" s="68" t="str">
        <f>IF(main!CH169="","",ROUND(main!CH169*100,6))</f>
        <v/>
      </c>
      <c r="BW166" s="68" t="str">
        <f>IF(main!CI169="","",ROUND(main!CI169*100,6))</f>
        <v/>
      </c>
      <c r="BX166" s="68" t="str">
        <f>IF(main!CJ169="","",ROUND(main!CJ169*100,6))</f>
        <v/>
      </c>
      <c r="BY166" s="68" t="str">
        <f>IF(main!CK169="","",ROUND(main!CK169*100,6))</f>
        <v/>
      </c>
      <c r="BZ166" s="68" t="str">
        <f>IF(main!CL169="","",ROUND(main!CL169*100,6))</f>
        <v/>
      </c>
      <c r="CA166" s="68" t="str">
        <f>IF(main!CM169="","",ROUND(main!CM169*100,6))</f>
        <v/>
      </c>
      <c r="CB166" s="68" t="str">
        <f>IF(main!CN169="","",ROUND(main!CN169*100,6))</f>
        <v/>
      </c>
      <c r="CC166" s="68" t="str">
        <f>IF(main!CO169="","",ROUND(main!CO169*100,6))</f>
        <v/>
      </c>
    </row>
    <row r="167" spans="1:81" x14ac:dyDescent="0.25">
      <c r="A167" s="65" t="s">
        <v>319</v>
      </c>
      <c r="B167" s="66" t="str">
        <f>main!C169</f>
        <v>งานกรุกระเบื้องโมเสค ผนังห้องน้ำ</v>
      </c>
      <c r="C167" s="67">
        <f>main!O169</f>
        <v>100000</v>
      </c>
      <c r="D167" s="65" t="s">
        <v>111</v>
      </c>
      <c r="E167" s="68" t="str">
        <f t="shared" si="2"/>
        <v/>
      </c>
      <c r="F167" s="68" t="str">
        <f>IF(main!R170="","",ROUND(main!R170*100,6))</f>
        <v/>
      </c>
      <c r="G167" s="68" t="str">
        <f>IF(main!S170="","",ROUND(main!S170*100,6))</f>
        <v/>
      </c>
      <c r="H167" s="68" t="str">
        <f>IF(main!T170="","",ROUND(main!T170*100,6))</f>
        <v/>
      </c>
      <c r="I167" s="68" t="str">
        <f>IF(main!U170="","",ROUND(main!U170*100,6))</f>
        <v/>
      </c>
      <c r="J167" s="68" t="str">
        <f>IF(main!V170="","",ROUND(main!V170*100,6))</f>
        <v/>
      </c>
      <c r="K167" s="68" t="str">
        <f>IF(main!W170="","",ROUND(main!W170*100,6))</f>
        <v/>
      </c>
      <c r="L167" s="68" t="str">
        <f>IF(main!X170="","",ROUND(main!X170*100,6))</f>
        <v/>
      </c>
      <c r="M167" s="68" t="str">
        <f>IF(main!Y170="","",ROUND(main!Y170*100,6))</f>
        <v/>
      </c>
      <c r="N167" s="68" t="str">
        <f>IF(main!Z170="","",ROUND(main!Z170*100,6))</f>
        <v/>
      </c>
      <c r="O167" s="68" t="str">
        <f>IF(main!AA170="","",ROUND(main!AA170*100,6))</f>
        <v/>
      </c>
      <c r="P167" s="68" t="str">
        <f>IF(main!AB170="","",ROUND(main!AB170*100,6))</f>
        <v/>
      </c>
      <c r="Q167" s="68" t="str">
        <f>IF(main!AC170="","",ROUND(main!AC170*100,6))</f>
        <v/>
      </c>
      <c r="R167" s="68" t="str">
        <f>IF(main!AD170="","",ROUND(main!AD170*100,6))</f>
        <v/>
      </c>
      <c r="S167" s="68" t="str">
        <f>IF(main!AE170="","",ROUND(main!AE170*100,6))</f>
        <v/>
      </c>
      <c r="T167" s="68" t="str">
        <f>IF(main!AF170="","",ROUND(main!AF170*100,6))</f>
        <v/>
      </c>
      <c r="U167" s="68" t="str">
        <f>IF(main!AG170="","",ROUND(main!AG170*100,6))</f>
        <v/>
      </c>
      <c r="V167" s="68" t="str">
        <f>IF(main!AH170="","",ROUND(main!AH170*100,6))</f>
        <v/>
      </c>
      <c r="W167" s="68" t="str">
        <f>IF(main!AI170="","",ROUND(main!AI170*100,6))</f>
        <v/>
      </c>
      <c r="X167" s="68" t="str">
        <f>IF(main!AJ170="","",ROUND(main!AJ170*100,6))</f>
        <v/>
      </c>
      <c r="Y167" s="68" t="str">
        <f>IF(main!AK170="","",ROUND(main!AK170*100,6))</f>
        <v/>
      </c>
      <c r="Z167" s="68" t="str">
        <f>IF(main!AL170="","",ROUND(main!AL170*100,6))</f>
        <v/>
      </c>
      <c r="AA167" s="68" t="str">
        <f>IF(main!AM170="","",ROUND(main!AM170*100,6))</f>
        <v/>
      </c>
      <c r="AB167" s="68" t="str">
        <f>IF(main!AN170="","",ROUND(main!AN170*100,6))</f>
        <v/>
      </c>
      <c r="AC167" s="68" t="str">
        <f>IF(main!AO170="","",ROUND(main!AO170*100,6))</f>
        <v/>
      </c>
      <c r="AD167" s="68" t="str">
        <f>IF(main!AP170="","",ROUND(main!AP170*100,6))</f>
        <v/>
      </c>
      <c r="AE167" s="68" t="str">
        <f>IF(main!AQ170="","",ROUND(main!AQ170*100,6))</f>
        <v/>
      </c>
      <c r="AF167" s="68" t="str">
        <f>IF(main!AR170="","",ROUND(main!AR170*100,6))</f>
        <v/>
      </c>
      <c r="AG167" s="68" t="str">
        <f>IF(main!AS170="","",ROUND(main!AS170*100,6))</f>
        <v/>
      </c>
      <c r="AH167" s="68" t="str">
        <f>IF(main!AT170="","",ROUND(main!AT170*100,6))</f>
        <v/>
      </c>
      <c r="AI167" s="68" t="str">
        <f>IF(main!AU170="","",ROUND(main!AU170*100,6))</f>
        <v/>
      </c>
      <c r="AJ167" s="68" t="str">
        <f>IF(main!AV170="","",ROUND(main!AV170*100,6))</f>
        <v/>
      </c>
      <c r="AK167" s="68" t="str">
        <f>IF(main!AW170="","",ROUND(main!AW170*100,6))</f>
        <v/>
      </c>
      <c r="AL167" s="68" t="str">
        <f>IF(main!AX170="","",ROUND(main!AX170*100,6))</f>
        <v/>
      </c>
      <c r="AM167" s="68" t="str">
        <f>IF(main!AY170="","",ROUND(main!AY170*100,6))</f>
        <v/>
      </c>
      <c r="AN167" s="68" t="str">
        <f>IF(main!AZ170="","",ROUND(main!AZ170*100,6))</f>
        <v/>
      </c>
      <c r="AO167" s="68" t="str">
        <f>IF(main!BA170="","",ROUND(main!BA170*100,6))</f>
        <v/>
      </c>
      <c r="AP167" s="68" t="str">
        <f>IF(main!BB170="","",ROUND(main!BB170*100,6))</f>
        <v/>
      </c>
      <c r="AQ167" s="68" t="str">
        <f>IF(main!BC170="","",ROUND(main!BC170*100,6))</f>
        <v/>
      </c>
      <c r="AR167" s="68" t="str">
        <f>IF(main!BD170="","",ROUND(main!BD170*100,6))</f>
        <v/>
      </c>
      <c r="AS167" s="68" t="str">
        <f>IF(main!BE170="","",ROUND(main!BE170*100,6))</f>
        <v/>
      </c>
      <c r="AT167" s="68" t="str">
        <f>IF(main!BF170="","",ROUND(main!BF170*100,6))</f>
        <v/>
      </c>
      <c r="AU167" s="68" t="str">
        <f>IF(main!BG170="","",ROUND(main!BG170*100,6))</f>
        <v/>
      </c>
      <c r="AV167" s="68" t="str">
        <f>IF(main!BH170="","",ROUND(main!BH170*100,6))</f>
        <v/>
      </c>
      <c r="AW167" s="68" t="str">
        <f>IF(main!BI170="","",ROUND(main!BI170*100,6))</f>
        <v/>
      </c>
      <c r="AX167" s="68" t="str">
        <f>IF(main!BJ170="","",ROUND(main!BJ170*100,6))</f>
        <v/>
      </c>
      <c r="AY167" s="68" t="str">
        <f>IF(main!BK170="","",ROUND(main!BK170*100,6))</f>
        <v/>
      </c>
      <c r="AZ167" s="68" t="str">
        <f>IF(main!BL170="","",ROUND(main!BL170*100,6))</f>
        <v/>
      </c>
      <c r="BA167" s="68" t="str">
        <f>IF(main!BM170="","",ROUND(main!BM170*100,6))</f>
        <v/>
      </c>
      <c r="BB167" s="68" t="str">
        <f>IF(main!BN170="","",ROUND(main!BN170*100,6))</f>
        <v/>
      </c>
      <c r="BC167" s="68" t="str">
        <f>IF(main!BO170="","",ROUND(main!BO170*100,6))</f>
        <v/>
      </c>
      <c r="BD167" s="68" t="str">
        <f>IF(main!BP170="","",ROUND(main!BP170*100,6))</f>
        <v/>
      </c>
      <c r="BE167" s="68" t="str">
        <f>IF(main!BQ170="","",ROUND(main!BQ170*100,6))</f>
        <v/>
      </c>
      <c r="BF167" s="68" t="str">
        <f>IF(main!BR170="","",ROUND(main!BR170*100,6))</f>
        <v/>
      </c>
      <c r="BG167" s="68" t="str">
        <f>IF(main!BS170="","",ROUND(main!BS170*100,6))</f>
        <v/>
      </c>
      <c r="BH167" s="68" t="str">
        <f>IF(main!BT170="","",ROUND(main!BT170*100,6))</f>
        <v/>
      </c>
      <c r="BI167" s="68" t="str">
        <f>IF(main!BU170="","",ROUND(main!BU170*100,6))</f>
        <v/>
      </c>
      <c r="BJ167" s="68" t="str">
        <f>IF(main!BV170="","",ROUND(main!BV170*100,6))</f>
        <v/>
      </c>
      <c r="BK167" s="68" t="str">
        <f>IF(main!BW170="","",ROUND(main!BW170*100,6))</f>
        <v/>
      </c>
      <c r="BL167" s="68" t="str">
        <f>IF(main!BX170="","",ROUND(main!BX170*100,6))</f>
        <v/>
      </c>
      <c r="BM167" s="68" t="str">
        <f>IF(main!BY170="","",ROUND(main!BY170*100,6))</f>
        <v/>
      </c>
      <c r="BN167" s="68" t="str">
        <f>IF(main!BZ170="","",ROUND(main!BZ170*100,6))</f>
        <v/>
      </c>
      <c r="BO167" s="68" t="str">
        <f>IF(main!CA170="","",ROUND(main!CA170*100,6))</f>
        <v/>
      </c>
      <c r="BP167" s="68" t="str">
        <f>IF(main!CB170="","",ROUND(main!CB170*100,6))</f>
        <v/>
      </c>
      <c r="BQ167" s="68" t="str">
        <f>IF(main!CC170="","",ROUND(main!CC170*100,6))</f>
        <v/>
      </c>
      <c r="BR167" s="68" t="str">
        <f>IF(main!CD170="","",ROUND(main!CD170*100,6))</f>
        <v/>
      </c>
      <c r="BS167" s="68" t="str">
        <f>IF(main!CE170="","",ROUND(main!CE170*100,6))</f>
        <v/>
      </c>
      <c r="BT167" s="68" t="str">
        <f>IF(main!CF170="","",ROUND(main!CF170*100,6))</f>
        <v/>
      </c>
      <c r="BU167" s="68" t="str">
        <f>IF(main!CG170="","",ROUND(main!CG170*100,6))</f>
        <v/>
      </c>
      <c r="BV167" s="68" t="str">
        <f>IF(main!CH170="","",ROUND(main!CH170*100,6))</f>
        <v/>
      </c>
      <c r="BW167" s="68" t="str">
        <f>IF(main!CI170="","",ROUND(main!CI170*100,6))</f>
        <v/>
      </c>
      <c r="BX167" s="68" t="str">
        <f>IF(main!CJ170="","",ROUND(main!CJ170*100,6))</f>
        <v/>
      </c>
      <c r="BY167" s="68" t="str">
        <f>IF(main!CK170="","",ROUND(main!CK170*100,6))</f>
        <v/>
      </c>
      <c r="BZ167" s="68" t="str">
        <f>IF(main!CL170="","",ROUND(main!CL170*100,6))</f>
        <v/>
      </c>
      <c r="CA167" s="68" t="str">
        <f>IF(main!CM170="","",ROUND(main!CM170*100,6))</f>
        <v/>
      </c>
      <c r="CB167" s="68" t="str">
        <f>IF(main!CN170="","",ROUND(main!CN170*100,6))</f>
        <v/>
      </c>
      <c r="CC167" s="68" t="str">
        <f>IF(main!CO170="","",ROUND(main!CO170*100,6))</f>
        <v/>
      </c>
    </row>
    <row r="168" spans="1:81" x14ac:dyDescent="0.25">
      <c r="A168" s="65" t="s">
        <v>322</v>
      </c>
      <c r="B168" s="66" t="str">
        <f>main!C171</f>
        <v>งานแต่งเรียบผนังภายในเดิม</v>
      </c>
      <c r="C168" s="67">
        <f>main!O171</f>
        <v>100000</v>
      </c>
      <c r="D168" s="65" t="s">
        <v>110</v>
      </c>
      <c r="E168" s="68">
        <f t="shared" si="2"/>
        <v>100</v>
      </c>
      <c r="F168" s="68" t="str">
        <f>IF(main!R171="","",ROUND(main!R171*100,6))</f>
        <v/>
      </c>
      <c r="G168" s="68" t="str">
        <f>IF(main!S171="","",ROUND(main!S171*100,6))</f>
        <v/>
      </c>
      <c r="H168" s="68" t="str">
        <f>IF(main!T171="","",ROUND(main!T171*100,6))</f>
        <v/>
      </c>
      <c r="I168" s="68" t="str">
        <f>IF(main!U171="","",ROUND(main!U171*100,6))</f>
        <v/>
      </c>
      <c r="J168" s="68" t="str">
        <f>IF(main!V171="","",ROUND(main!V171*100,6))</f>
        <v/>
      </c>
      <c r="K168" s="68" t="str">
        <f>IF(main!W171="","",ROUND(main!W171*100,6))</f>
        <v/>
      </c>
      <c r="L168" s="68" t="str">
        <f>IF(main!X171="","",ROUND(main!X171*100,6))</f>
        <v/>
      </c>
      <c r="M168" s="68" t="str">
        <f>IF(main!Y171="","",ROUND(main!Y171*100,6))</f>
        <v/>
      </c>
      <c r="N168" s="68" t="str">
        <f>IF(main!Z171="","",ROUND(main!Z171*100,6))</f>
        <v/>
      </c>
      <c r="O168" s="68" t="str">
        <f>IF(main!AA171="","",ROUND(main!AA171*100,6))</f>
        <v/>
      </c>
      <c r="P168" s="68" t="str">
        <f>IF(main!AB171="","",ROUND(main!AB171*100,6))</f>
        <v/>
      </c>
      <c r="Q168" s="68" t="str">
        <f>IF(main!AC171="","",ROUND(main!AC171*100,6))</f>
        <v/>
      </c>
      <c r="R168" s="68" t="str">
        <f>IF(main!AD171="","",ROUND(main!AD171*100,6))</f>
        <v/>
      </c>
      <c r="S168" s="68" t="str">
        <f>IF(main!AE171="","",ROUND(main!AE171*100,6))</f>
        <v/>
      </c>
      <c r="T168" s="68" t="str">
        <f>IF(main!AF171="","",ROUND(main!AF171*100,6))</f>
        <v/>
      </c>
      <c r="U168" s="68" t="str">
        <f>IF(main!AG171="","",ROUND(main!AG171*100,6))</f>
        <v/>
      </c>
      <c r="V168" s="68" t="str">
        <f>IF(main!AH171="","",ROUND(main!AH171*100,6))</f>
        <v/>
      </c>
      <c r="W168" s="68" t="str">
        <f>IF(main!AI171="","",ROUND(main!AI171*100,6))</f>
        <v/>
      </c>
      <c r="X168" s="68" t="str">
        <f>IF(main!AJ171="","",ROUND(main!AJ171*100,6))</f>
        <v/>
      </c>
      <c r="Y168" s="68" t="str">
        <f>IF(main!AK171="","",ROUND(main!AK171*100,6))</f>
        <v/>
      </c>
      <c r="Z168" s="68" t="str">
        <f>IF(main!AL171="","",ROUND(main!AL171*100,6))</f>
        <v/>
      </c>
      <c r="AA168" s="68" t="str">
        <f>IF(main!AM171="","",ROUND(main!AM171*100,6))</f>
        <v/>
      </c>
      <c r="AB168" s="68" t="str">
        <f>IF(main!AN171="","",ROUND(main!AN171*100,6))</f>
        <v/>
      </c>
      <c r="AC168" s="68" t="str">
        <f>IF(main!AO171="","",ROUND(main!AO171*100,6))</f>
        <v/>
      </c>
      <c r="AD168" s="68" t="str">
        <f>IF(main!AP171="","",ROUND(main!AP171*100,6))</f>
        <v/>
      </c>
      <c r="AE168" s="68" t="str">
        <f>IF(main!AQ171="","",ROUND(main!AQ171*100,6))</f>
        <v/>
      </c>
      <c r="AF168" s="68" t="str">
        <f>IF(main!AR171="","",ROUND(main!AR171*100,6))</f>
        <v/>
      </c>
      <c r="AG168" s="68" t="str">
        <f>IF(main!AS171="","",ROUND(main!AS171*100,6))</f>
        <v/>
      </c>
      <c r="AH168" s="68" t="str">
        <f>IF(main!AT171="","",ROUND(main!AT171*100,6))</f>
        <v/>
      </c>
      <c r="AI168" s="68" t="str">
        <f>IF(main!AU171="","",ROUND(main!AU171*100,6))</f>
        <v/>
      </c>
      <c r="AJ168" s="68" t="str">
        <f>IF(main!AV171="","",ROUND(main!AV171*100,6))</f>
        <v/>
      </c>
      <c r="AK168" s="68" t="str">
        <f>IF(main!AW171="","",ROUND(main!AW171*100,6))</f>
        <v/>
      </c>
      <c r="AL168" s="68">
        <f>IF(main!AX171="","",ROUND(main!AX171*100,6))</f>
        <v>4.7619049999999996</v>
      </c>
      <c r="AM168" s="68">
        <f>IF(main!AY171="","",ROUND(main!AY171*100,6))</f>
        <v>33.333333000000003</v>
      </c>
      <c r="AN168" s="68">
        <f>IF(main!AZ171="","",ROUND(main!AZ171*100,6))</f>
        <v>33.333333000000003</v>
      </c>
      <c r="AO168" s="68">
        <f>IF(main!BA171="","",ROUND(main!BA171*100,6))</f>
        <v>28.571428999999998</v>
      </c>
      <c r="AP168" s="68" t="str">
        <f>IF(main!BB171="","",ROUND(main!BB171*100,6))</f>
        <v/>
      </c>
      <c r="AQ168" s="68" t="str">
        <f>IF(main!BC171="","",ROUND(main!BC171*100,6))</f>
        <v/>
      </c>
      <c r="AR168" s="68" t="str">
        <f>IF(main!BD171="","",ROUND(main!BD171*100,6))</f>
        <v/>
      </c>
      <c r="AS168" s="68" t="str">
        <f>IF(main!BE171="","",ROUND(main!BE171*100,6))</f>
        <v/>
      </c>
      <c r="AT168" s="68" t="str">
        <f>IF(main!BF171="","",ROUND(main!BF171*100,6))</f>
        <v/>
      </c>
      <c r="AU168" s="68" t="str">
        <f>IF(main!BG171="","",ROUND(main!BG171*100,6))</f>
        <v/>
      </c>
      <c r="AV168" s="68" t="str">
        <f>IF(main!BH171="","",ROUND(main!BH171*100,6))</f>
        <v/>
      </c>
      <c r="AW168" s="68" t="str">
        <f>IF(main!BI171="","",ROUND(main!BI171*100,6))</f>
        <v/>
      </c>
      <c r="AX168" s="68" t="str">
        <f>IF(main!BJ171="","",ROUND(main!BJ171*100,6))</f>
        <v/>
      </c>
      <c r="AY168" s="68" t="str">
        <f>IF(main!BK171="","",ROUND(main!BK171*100,6))</f>
        <v/>
      </c>
      <c r="AZ168" s="68" t="str">
        <f>IF(main!BL171="","",ROUND(main!BL171*100,6))</f>
        <v/>
      </c>
      <c r="BA168" s="68" t="str">
        <f>IF(main!BM171="","",ROUND(main!BM171*100,6))</f>
        <v/>
      </c>
      <c r="BB168" s="68" t="str">
        <f>IF(main!BN171="","",ROUND(main!BN171*100,6))</f>
        <v/>
      </c>
      <c r="BC168" s="68" t="str">
        <f>IF(main!BO171="","",ROUND(main!BO171*100,6))</f>
        <v/>
      </c>
      <c r="BD168" s="68" t="str">
        <f>IF(main!BP171="","",ROUND(main!BP171*100,6))</f>
        <v/>
      </c>
      <c r="BE168" s="68" t="str">
        <f>IF(main!BQ171="","",ROUND(main!BQ171*100,6))</f>
        <v/>
      </c>
      <c r="BF168" s="68" t="str">
        <f>IF(main!BR171="","",ROUND(main!BR171*100,6))</f>
        <v/>
      </c>
      <c r="BG168" s="68" t="str">
        <f>IF(main!BS171="","",ROUND(main!BS171*100,6))</f>
        <v/>
      </c>
      <c r="BH168" s="68" t="str">
        <f>IF(main!BT171="","",ROUND(main!BT171*100,6))</f>
        <v/>
      </c>
      <c r="BI168" s="68" t="str">
        <f>IF(main!BU171="","",ROUND(main!BU171*100,6))</f>
        <v/>
      </c>
      <c r="BJ168" s="68" t="str">
        <f>IF(main!BV171="","",ROUND(main!BV171*100,6))</f>
        <v/>
      </c>
      <c r="BK168" s="68" t="str">
        <f>IF(main!BW171="","",ROUND(main!BW171*100,6))</f>
        <v/>
      </c>
      <c r="BL168" s="68" t="str">
        <f>IF(main!BX171="","",ROUND(main!BX171*100,6))</f>
        <v/>
      </c>
      <c r="BM168" s="68" t="str">
        <f>IF(main!BY171="","",ROUND(main!BY171*100,6))</f>
        <v/>
      </c>
      <c r="BN168" s="68" t="str">
        <f>IF(main!BZ171="","",ROUND(main!BZ171*100,6))</f>
        <v/>
      </c>
      <c r="BO168" s="68" t="str">
        <f>IF(main!CA171="","",ROUND(main!CA171*100,6))</f>
        <v/>
      </c>
      <c r="BP168" s="68" t="str">
        <f>IF(main!CB171="","",ROUND(main!CB171*100,6))</f>
        <v/>
      </c>
      <c r="BQ168" s="68" t="str">
        <f>IF(main!CC171="","",ROUND(main!CC171*100,6))</f>
        <v/>
      </c>
      <c r="BR168" s="68" t="str">
        <f>IF(main!CD171="","",ROUND(main!CD171*100,6))</f>
        <v/>
      </c>
      <c r="BS168" s="68" t="str">
        <f>IF(main!CE171="","",ROUND(main!CE171*100,6))</f>
        <v/>
      </c>
      <c r="BT168" s="68" t="str">
        <f>IF(main!CF171="","",ROUND(main!CF171*100,6))</f>
        <v/>
      </c>
      <c r="BU168" s="68" t="str">
        <f>IF(main!CG171="","",ROUND(main!CG171*100,6))</f>
        <v/>
      </c>
      <c r="BV168" s="68" t="str">
        <f>IF(main!CH171="","",ROUND(main!CH171*100,6))</f>
        <v/>
      </c>
      <c r="BW168" s="68" t="str">
        <f>IF(main!CI171="","",ROUND(main!CI171*100,6))</f>
        <v/>
      </c>
      <c r="BX168" s="68" t="str">
        <f>IF(main!CJ171="","",ROUND(main!CJ171*100,6))</f>
        <v/>
      </c>
      <c r="BY168" s="68" t="str">
        <f>IF(main!CK171="","",ROUND(main!CK171*100,6))</f>
        <v/>
      </c>
      <c r="BZ168" s="68" t="str">
        <f>IF(main!CL171="","",ROUND(main!CL171*100,6))</f>
        <v/>
      </c>
      <c r="CA168" s="68" t="str">
        <f>IF(main!CM171="","",ROUND(main!CM171*100,6))</f>
        <v/>
      </c>
      <c r="CB168" s="68" t="str">
        <f>IF(main!CN171="","",ROUND(main!CN171*100,6))</f>
        <v/>
      </c>
      <c r="CC168" s="68" t="str">
        <f>IF(main!CO171="","",ROUND(main!CO171*100,6))</f>
        <v/>
      </c>
    </row>
    <row r="169" spans="1:81" x14ac:dyDescent="0.25">
      <c r="A169" s="65" t="s">
        <v>322</v>
      </c>
      <c r="B169" s="66" t="str">
        <f>main!C171</f>
        <v>งานแต่งเรียบผนังภายในเดิม</v>
      </c>
      <c r="C169" s="67">
        <f>main!O171</f>
        <v>100000</v>
      </c>
      <c r="D169" s="65" t="s">
        <v>111</v>
      </c>
      <c r="E169" s="68" t="str">
        <f t="shared" si="2"/>
        <v/>
      </c>
      <c r="F169" s="68" t="str">
        <f>IF(main!R172="","",ROUND(main!R172*100,6))</f>
        <v/>
      </c>
      <c r="G169" s="68" t="str">
        <f>IF(main!S172="","",ROUND(main!S172*100,6))</f>
        <v/>
      </c>
      <c r="H169" s="68" t="str">
        <f>IF(main!T172="","",ROUND(main!T172*100,6))</f>
        <v/>
      </c>
      <c r="I169" s="68" t="str">
        <f>IF(main!U172="","",ROUND(main!U172*100,6))</f>
        <v/>
      </c>
      <c r="J169" s="68" t="str">
        <f>IF(main!V172="","",ROUND(main!V172*100,6))</f>
        <v/>
      </c>
      <c r="K169" s="68" t="str">
        <f>IF(main!W172="","",ROUND(main!W172*100,6))</f>
        <v/>
      </c>
      <c r="L169" s="68" t="str">
        <f>IF(main!X172="","",ROUND(main!X172*100,6))</f>
        <v/>
      </c>
      <c r="M169" s="68" t="str">
        <f>IF(main!Y172="","",ROUND(main!Y172*100,6))</f>
        <v/>
      </c>
      <c r="N169" s="68" t="str">
        <f>IF(main!Z172="","",ROUND(main!Z172*100,6))</f>
        <v/>
      </c>
      <c r="O169" s="68" t="str">
        <f>IF(main!AA172="","",ROUND(main!AA172*100,6))</f>
        <v/>
      </c>
      <c r="P169" s="68" t="str">
        <f>IF(main!AB172="","",ROUND(main!AB172*100,6))</f>
        <v/>
      </c>
      <c r="Q169" s="68" t="str">
        <f>IF(main!AC172="","",ROUND(main!AC172*100,6))</f>
        <v/>
      </c>
      <c r="R169" s="68" t="str">
        <f>IF(main!AD172="","",ROUND(main!AD172*100,6))</f>
        <v/>
      </c>
      <c r="S169" s="68" t="str">
        <f>IF(main!AE172="","",ROUND(main!AE172*100,6))</f>
        <v/>
      </c>
      <c r="T169" s="68" t="str">
        <f>IF(main!AF172="","",ROUND(main!AF172*100,6))</f>
        <v/>
      </c>
      <c r="U169" s="68" t="str">
        <f>IF(main!AG172="","",ROUND(main!AG172*100,6))</f>
        <v/>
      </c>
      <c r="V169" s="68" t="str">
        <f>IF(main!AH172="","",ROUND(main!AH172*100,6))</f>
        <v/>
      </c>
      <c r="W169" s="68" t="str">
        <f>IF(main!AI172="","",ROUND(main!AI172*100,6))</f>
        <v/>
      </c>
      <c r="X169" s="68" t="str">
        <f>IF(main!AJ172="","",ROUND(main!AJ172*100,6))</f>
        <v/>
      </c>
      <c r="Y169" s="68" t="str">
        <f>IF(main!AK172="","",ROUND(main!AK172*100,6))</f>
        <v/>
      </c>
      <c r="Z169" s="68" t="str">
        <f>IF(main!AL172="","",ROUND(main!AL172*100,6))</f>
        <v/>
      </c>
      <c r="AA169" s="68" t="str">
        <f>IF(main!AM172="","",ROUND(main!AM172*100,6))</f>
        <v/>
      </c>
      <c r="AB169" s="68" t="str">
        <f>IF(main!AN172="","",ROUND(main!AN172*100,6))</f>
        <v/>
      </c>
      <c r="AC169" s="68" t="str">
        <f>IF(main!AO172="","",ROUND(main!AO172*100,6))</f>
        <v/>
      </c>
      <c r="AD169" s="68" t="str">
        <f>IF(main!AP172="","",ROUND(main!AP172*100,6))</f>
        <v/>
      </c>
      <c r="AE169" s="68" t="str">
        <f>IF(main!AQ172="","",ROUND(main!AQ172*100,6))</f>
        <v/>
      </c>
      <c r="AF169" s="68" t="str">
        <f>IF(main!AR172="","",ROUND(main!AR172*100,6))</f>
        <v/>
      </c>
      <c r="AG169" s="68" t="str">
        <f>IF(main!AS172="","",ROUND(main!AS172*100,6))</f>
        <v/>
      </c>
      <c r="AH169" s="68" t="str">
        <f>IF(main!AT172="","",ROUND(main!AT172*100,6))</f>
        <v/>
      </c>
      <c r="AI169" s="68" t="str">
        <f>IF(main!AU172="","",ROUND(main!AU172*100,6))</f>
        <v/>
      </c>
      <c r="AJ169" s="68" t="str">
        <f>IF(main!AV172="","",ROUND(main!AV172*100,6))</f>
        <v/>
      </c>
      <c r="AK169" s="68" t="str">
        <f>IF(main!AW172="","",ROUND(main!AW172*100,6))</f>
        <v/>
      </c>
      <c r="AL169" s="68" t="str">
        <f>IF(main!AX172="","",ROUND(main!AX172*100,6))</f>
        <v/>
      </c>
      <c r="AM169" s="68" t="str">
        <f>IF(main!AY172="","",ROUND(main!AY172*100,6))</f>
        <v/>
      </c>
      <c r="AN169" s="68" t="str">
        <f>IF(main!AZ172="","",ROUND(main!AZ172*100,6))</f>
        <v/>
      </c>
      <c r="AO169" s="68" t="str">
        <f>IF(main!BA172="","",ROUND(main!BA172*100,6))</f>
        <v/>
      </c>
      <c r="AP169" s="68" t="str">
        <f>IF(main!BB172="","",ROUND(main!BB172*100,6))</f>
        <v/>
      </c>
      <c r="AQ169" s="68" t="str">
        <f>IF(main!BC172="","",ROUND(main!BC172*100,6))</f>
        <v/>
      </c>
      <c r="AR169" s="68" t="str">
        <f>IF(main!BD172="","",ROUND(main!BD172*100,6))</f>
        <v/>
      </c>
      <c r="AS169" s="68" t="str">
        <f>IF(main!BE172="","",ROUND(main!BE172*100,6))</f>
        <v/>
      </c>
      <c r="AT169" s="68" t="str">
        <f>IF(main!BF172="","",ROUND(main!BF172*100,6))</f>
        <v/>
      </c>
      <c r="AU169" s="68" t="str">
        <f>IF(main!BG172="","",ROUND(main!BG172*100,6))</f>
        <v/>
      </c>
      <c r="AV169" s="68" t="str">
        <f>IF(main!BH172="","",ROUND(main!BH172*100,6))</f>
        <v/>
      </c>
      <c r="AW169" s="68" t="str">
        <f>IF(main!BI172="","",ROUND(main!BI172*100,6))</f>
        <v/>
      </c>
      <c r="AX169" s="68" t="str">
        <f>IF(main!BJ172="","",ROUND(main!BJ172*100,6))</f>
        <v/>
      </c>
      <c r="AY169" s="68" t="str">
        <f>IF(main!BK172="","",ROUND(main!BK172*100,6))</f>
        <v/>
      </c>
      <c r="AZ169" s="68" t="str">
        <f>IF(main!BL172="","",ROUND(main!BL172*100,6))</f>
        <v/>
      </c>
      <c r="BA169" s="68" t="str">
        <f>IF(main!BM172="","",ROUND(main!BM172*100,6))</f>
        <v/>
      </c>
      <c r="BB169" s="68" t="str">
        <f>IF(main!BN172="","",ROUND(main!BN172*100,6))</f>
        <v/>
      </c>
      <c r="BC169" s="68" t="str">
        <f>IF(main!BO172="","",ROUND(main!BO172*100,6))</f>
        <v/>
      </c>
      <c r="BD169" s="68" t="str">
        <f>IF(main!BP172="","",ROUND(main!BP172*100,6))</f>
        <v/>
      </c>
      <c r="BE169" s="68" t="str">
        <f>IF(main!BQ172="","",ROUND(main!BQ172*100,6))</f>
        <v/>
      </c>
      <c r="BF169" s="68" t="str">
        <f>IF(main!BR172="","",ROUND(main!BR172*100,6))</f>
        <v/>
      </c>
      <c r="BG169" s="68" t="str">
        <f>IF(main!BS172="","",ROUND(main!BS172*100,6))</f>
        <v/>
      </c>
      <c r="BH169" s="68" t="str">
        <f>IF(main!BT172="","",ROUND(main!BT172*100,6))</f>
        <v/>
      </c>
      <c r="BI169" s="68" t="str">
        <f>IF(main!BU172="","",ROUND(main!BU172*100,6))</f>
        <v/>
      </c>
      <c r="BJ169" s="68" t="str">
        <f>IF(main!BV172="","",ROUND(main!BV172*100,6))</f>
        <v/>
      </c>
      <c r="BK169" s="68" t="str">
        <f>IF(main!BW172="","",ROUND(main!BW172*100,6))</f>
        <v/>
      </c>
      <c r="BL169" s="68" t="str">
        <f>IF(main!BX172="","",ROUND(main!BX172*100,6))</f>
        <v/>
      </c>
      <c r="BM169" s="68" t="str">
        <f>IF(main!BY172="","",ROUND(main!BY172*100,6))</f>
        <v/>
      </c>
      <c r="BN169" s="68" t="str">
        <f>IF(main!BZ172="","",ROUND(main!BZ172*100,6))</f>
        <v/>
      </c>
      <c r="BO169" s="68" t="str">
        <f>IF(main!CA172="","",ROUND(main!CA172*100,6))</f>
        <v/>
      </c>
      <c r="BP169" s="68" t="str">
        <f>IF(main!CB172="","",ROUND(main!CB172*100,6))</f>
        <v/>
      </c>
      <c r="BQ169" s="68" t="str">
        <f>IF(main!CC172="","",ROUND(main!CC172*100,6))</f>
        <v/>
      </c>
      <c r="BR169" s="68" t="str">
        <f>IF(main!CD172="","",ROUND(main!CD172*100,6))</f>
        <v/>
      </c>
      <c r="BS169" s="68" t="str">
        <f>IF(main!CE172="","",ROUND(main!CE172*100,6))</f>
        <v/>
      </c>
      <c r="BT169" s="68" t="str">
        <f>IF(main!CF172="","",ROUND(main!CF172*100,6))</f>
        <v/>
      </c>
      <c r="BU169" s="68" t="str">
        <f>IF(main!CG172="","",ROUND(main!CG172*100,6))</f>
        <v/>
      </c>
      <c r="BV169" s="68" t="str">
        <f>IF(main!CH172="","",ROUND(main!CH172*100,6))</f>
        <v/>
      </c>
      <c r="BW169" s="68" t="str">
        <f>IF(main!CI172="","",ROUND(main!CI172*100,6))</f>
        <v/>
      </c>
      <c r="BX169" s="68" t="str">
        <f>IF(main!CJ172="","",ROUND(main!CJ172*100,6))</f>
        <v/>
      </c>
      <c r="BY169" s="68" t="str">
        <f>IF(main!CK172="","",ROUND(main!CK172*100,6))</f>
        <v/>
      </c>
      <c r="BZ169" s="68" t="str">
        <f>IF(main!CL172="","",ROUND(main!CL172*100,6))</f>
        <v/>
      </c>
      <c r="CA169" s="68" t="str">
        <f>IF(main!CM172="","",ROUND(main!CM172*100,6))</f>
        <v/>
      </c>
      <c r="CB169" s="68" t="str">
        <f>IF(main!CN172="","",ROUND(main!CN172*100,6))</f>
        <v/>
      </c>
      <c r="CC169" s="68" t="str">
        <f>IF(main!CO172="","",ROUND(main!CO172*100,6))</f>
        <v/>
      </c>
    </row>
    <row r="170" spans="1:81" x14ac:dyDescent="0.25">
      <c r="A170" s="65" t="s">
        <v>325</v>
      </c>
      <c r="B170" s="66" t="str">
        <f>main!C173</f>
        <v>Ceiling</v>
      </c>
      <c r="C170" s="67">
        <f>main!O173</f>
        <v>300000</v>
      </c>
      <c r="D170" s="65" t="s">
        <v>110</v>
      </c>
      <c r="E170" s="68">
        <f t="shared" si="2"/>
        <v>100.000001</v>
      </c>
      <c r="F170" s="68" t="str">
        <f>IF(main!R173="","",ROUND(main!R173*100,6))</f>
        <v/>
      </c>
      <c r="G170" s="68" t="str">
        <f>IF(main!S173="","",ROUND(main!S173*100,6))</f>
        <v/>
      </c>
      <c r="H170" s="68" t="str">
        <f>IF(main!T173="","",ROUND(main!T173*100,6))</f>
        <v/>
      </c>
      <c r="I170" s="68" t="str">
        <f>IF(main!U173="","",ROUND(main!U173*100,6))</f>
        <v/>
      </c>
      <c r="J170" s="68" t="str">
        <f>IF(main!V173="","",ROUND(main!V173*100,6))</f>
        <v/>
      </c>
      <c r="K170" s="68" t="str">
        <f>IF(main!W173="","",ROUND(main!W173*100,6))</f>
        <v/>
      </c>
      <c r="L170" s="68" t="str">
        <f>IF(main!X173="","",ROUND(main!X173*100,6))</f>
        <v/>
      </c>
      <c r="M170" s="68" t="str">
        <f>IF(main!Y173="","",ROUND(main!Y173*100,6))</f>
        <v/>
      </c>
      <c r="N170" s="68" t="str">
        <f>IF(main!Z173="","",ROUND(main!Z173*100,6))</f>
        <v/>
      </c>
      <c r="O170" s="68" t="str">
        <f>IF(main!AA173="","",ROUND(main!AA173*100,6))</f>
        <v/>
      </c>
      <c r="P170" s="68" t="str">
        <f>IF(main!AB173="","",ROUND(main!AB173*100,6))</f>
        <v/>
      </c>
      <c r="Q170" s="68" t="str">
        <f>IF(main!AC173="","",ROUND(main!AC173*100,6))</f>
        <v/>
      </c>
      <c r="R170" s="68" t="str">
        <f>IF(main!AD173="","",ROUND(main!AD173*100,6))</f>
        <v/>
      </c>
      <c r="S170" s="68" t="str">
        <f>IF(main!AE173="","",ROUND(main!AE173*100,6))</f>
        <v/>
      </c>
      <c r="T170" s="68" t="str">
        <f>IF(main!AF173="","",ROUND(main!AF173*100,6))</f>
        <v/>
      </c>
      <c r="U170" s="68" t="str">
        <f>IF(main!AG173="","",ROUND(main!AG173*100,6))</f>
        <v/>
      </c>
      <c r="V170" s="68" t="str">
        <f>IF(main!AH173="","",ROUND(main!AH173*100,6))</f>
        <v/>
      </c>
      <c r="W170" s="68" t="str">
        <f>IF(main!AI173="","",ROUND(main!AI173*100,6))</f>
        <v/>
      </c>
      <c r="X170" s="68" t="str">
        <f>IF(main!AJ173="","",ROUND(main!AJ173*100,6))</f>
        <v/>
      </c>
      <c r="Y170" s="68" t="str">
        <f>IF(main!AK173="","",ROUND(main!AK173*100,6))</f>
        <v/>
      </c>
      <c r="Z170" s="68" t="str">
        <f>IF(main!AL173="","",ROUND(main!AL173*100,6))</f>
        <v/>
      </c>
      <c r="AA170" s="68" t="str">
        <f>IF(main!AM173="","",ROUND(main!AM173*100,6))</f>
        <v/>
      </c>
      <c r="AB170" s="68" t="str">
        <f>IF(main!AN173="","",ROUND(main!AN173*100,6))</f>
        <v/>
      </c>
      <c r="AC170" s="68" t="str">
        <f>IF(main!AO173="","",ROUND(main!AO173*100,6))</f>
        <v/>
      </c>
      <c r="AD170" s="68" t="str">
        <f>IF(main!AP173="","",ROUND(main!AP173*100,6))</f>
        <v/>
      </c>
      <c r="AE170" s="68" t="str">
        <f>IF(main!AQ173="","",ROUND(main!AQ173*100,6))</f>
        <v/>
      </c>
      <c r="AF170" s="68" t="str">
        <f>IF(main!AR173="","",ROUND(main!AR173*100,6))</f>
        <v/>
      </c>
      <c r="AG170" s="68" t="str">
        <f>IF(main!AS173="","",ROUND(main!AS173*100,6))</f>
        <v/>
      </c>
      <c r="AH170" s="68" t="str">
        <f>IF(main!AT173="","",ROUND(main!AT173*100,6))</f>
        <v/>
      </c>
      <c r="AI170" s="68" t="str">
        <f>IF(main!AU173="","",ROUND(main!AU173*100,6))</f>
        <v/>
      </c>
      <c r="AJ170" s="68" t="str">
        <f>IF(main!AV173="","",ROUND(main!AV173*100,6))</f>
        <v/>
      </c>
      <c r="AK170" s="68" t="str">
        <f>IF(main!AW173="","",ROUND(main!AW173*100,6))</f>
        <v/>
      </c>
      <c r="AL170" s="68" t="str">
        <f>IF(main!AX173="","",ROUND(main!AX173*100,6))</f>
        <v/>
      </c>
      <c r="AM170" s="68" t="str">
        <f>IF(main!AY173="","",ROUND(main!AY173*100,6))</f>
        <v/>
      </c>
      <c r="AN170" s="68" t="str">
        <f>IF(main!AZ173="","",ROUND(main!AZ173*100,6))</f>
        <v/>
      </c>
      <c r="AO170" s="68">
        <f>IF(main!BA173="","",ROUND(main!BA173*100,6))</f>
        <v>1.587302</v>
      </c>
      <c r="AP170" s="68">
        <f>IF(main!BB173="","",ROUND(main!BB173*100,6))</f>
        <v>11.111110999999999</v>
      </c>
      <c r="AQ170" s="68">
        <f>IF(main!BC173="","",ROUND(main!BC173*100,6))</f>
        <v>11.111110999999999</v>
      </c>
      <c r="AR170" s="68">
        <f>IF(main!BD173="","",ROUND(main!BD173*100,6))</f>
        <v>9.5238099999999992</v>
      </c>
      <c r="AS170" s="68" t="str">
        <f>IF(main!BE173="","",ROUND(main!BE173*100,6))</f>
        <v/>
      </c>
      <c r="AT170" s="68" t="str">
        <f>IF(main!BF173="","",ROUND(main!BF173*100,6))</f>
        <v/>
      </c>
      <c r="AU170" s="68" t="str">
        <f>IF(main!BG173="","",ROUND(main!BG173*100,6))</f>
        <v/>
      </c>
      <c r="AV170" s="68" t="str">
        <f>IF(main!BH173="","",ROUND(main!BH173*100,6))</f>
        <v/>
      </c>
      <c r="AW170" s="68" t="str">
        <f>IF(main!BI173="","",ROUND(main!BI173*100,6))</f>
        <v/>
      </c>
      <c r="AX170" s="68" t="str">
        <f>IF(main!BJ173="","",ROUND(main!BJ173*100,6))</f>
        <v/>
      </c>
      <c r="AY170" s="68" t="str">
        <f>IF(main!BK173="","",ROUND(main!BK173*100,6))</f>
        <v/>
      </c>
      <c r="AZ170" s="68" t="str">
        <f>IF(main!BL173="","",ROUND(main!BL173*100,6))</f>
        <v/>
      </c>
      <c r="BA170" s="68" t="str">
        <f>IF(main!BM173="","",ROUND(main!BM173*100,6))</f>
        <v/>
      </c>
      <c r="BB170" s="68" t="str">
        <f>IF(main!BN173="","",ROUND(main!BN173*100,6))</f>
        <v/>
      </c>
      <c r="BC170" s="68">
        <f>IF(main!BO173="","",ROUND(main!BO173*100,6))</f>
        <v>3.1746029999999998</v>
      </c>
      <c r="BD170" s="68">
        <f>IF(main!BP173="","",ROUND(main!BP173*100,6))</f>
        <v>25</v>
      </c>
      <c r="BE170" s="68">
        <f>IF(main!BQ173="","",ROUND(main!BQ173*100,6))</f>
        <v>30.555555999999999</v>
      </c>
      <c r="BF170" s="68">
        <f>IF(main!BR173="","",ROUND(main!BR173*100,6))</f>
        <v>7.9365079999999999</v>
      </c>
      <c r="BG170" s="68" t="str">
        <f>IF(main!BS173="","",ROUND(main!BS173*100,6))</f>
        <v/>
      </c>
      <c r="BH170" s="68" t="str">
        <f>IF(main!BT173="","",ROUND(main!BT173*100,6))</f>
        <v/>
      </c>
      <c r="BI170" s="68" t="str">
        <f>IF(main!BU173="","",ROUND(main!BU173*100,6))</f>
        <v/>
      </c>
      <c r="BJ170" s="68" t="str">
        <f>IF(main!BV173="","",ROUND(main!BV173*100,6))</f>
        <v/>
      </c>
      <c r="BK170" s="68" t="str">
        <f>IF(main!BW173="","",ROUND(main!BW173*100,6))</f>
        <v/>
      </c>
      <c r="BL170" s="68" t="str">
        <f>IF(main!BX173="","",ROUND(main!BX173*100,6))</f>
        <v/>
      </c>
      <c r="BM170" s="68" t="str">
        <f>IF(main!BY173="","",ROUND(main!BY173*100,6))</f>
        <v/>
      </c>
      <c r="BN170" s="68" t="str">
        <f>IF(main!BZ173="","",ROUND(main!BZ173*100,6))</f>
        <v/>
      </c>
      <c r="BO170" s="68" t="str">
        <f>IF(main!CA173="","",ROUND(main!CA173*100,6))</f>
        <v/>
      </c>
      <c r="BP170" s="68" t="str">
        <f>IF(main!CB173="","",ROUND(main!CB173*100,6))</f>
        <v/>
      </c>
      <c r="BQ170" s="68" t="str">
        <f>IF(main!CC173="","",ROUND(main!CC173*100,6))</f>
        <v/>
      </c>
      <c r="BR170" s="68" t="str">
        <f>IF(main!CD173="","",ROUND(main!CD173*100,6))</f>
        <v/>
      </c>
      <c r="BS170" s="68" t="str">
        <f>IF(main!CE173="","",ROUND(main!CE173*100,6))</f>
        <v/>
      </c>
      <c r="BT170" s="68" t="str">
        <f>IF(main!CF173="","",ROUND(main!CF173*100,6))</f>
        <v/>
      </c>
      <c r="BU170" s="68" t="str">
        <f>IF(main!CG173="","",ROUND(main!CG173*100,6))</f>
        <v/>
      </c>
      <c r="BV170" s="68" t="str">
        <f>IF(main!CH173="","",ROUND(main!CH173*100,6))</f>
        <v/>
      </c>
      <c r="BW170" s="68" t="str">
        <f>IF(main!CI173="","",ROUND(main!CI173*100,6))</f>
        <v/>
      </c>
      <c r="BX170" s="68" t="str">
        <f>IF(main!CJ173="","",ROUND(main!CJ173*100,6))</f>
        <v/>
      </c>
      <c r="BY170" s="68" t="str">
        <f>IF(main!CK173="","",ROUND(main!CK173*100,6))</f>
        <v/>
      </c>
      <c r="BZ170" s="68" t="str">
        <f>IF(main!CL173="","",ROUND(main!CL173*100,6))</f>
        <v/>
      </c>
      <c r="CA170" s="68" t="str">
        <f>IF(main!CM173="","",ROUND(main!CM173*100,6))</f>
        <v/>
      </c>
      <c r="CB170" s="68" t="str">
        <f>IF(main!CN173="","",ROUND(main!CN173*100,6))</f>
        <v/>
      </c>
      <c r="CC170" s="68" t="str">
        <f>IF(main!CO173="","",ROUND(main!CO173*100,6))</f>
        <v/>
      </c>
    </row>
    <row r="171" spans="1:81" x14ac:dyDescent="0.25">
      <c r="A171" s="65" t="s">
        <v>325</v>
      </c>
      <c r="B171" s="66" t="str">
        <f>main!C173</f>
        <v>Ceiling</v>
      </c>
      <c r="C171" s="67">
        <f>main!O173</f>
        <v>300000</v>
      </c>
      <c r="D171" s="65" t="s">
        <v>111</v>
      </c>
      <c r="E171" s="68" t="str">
        <f t="shared" si="2"/>
        <v/>
      </c>
      <c r="F171" s="68" t="str">
        <f>IF(main!R174="","",ROUND(main!R174*100,6))</f>
        <v/>
      </c>
      <c r="G171" s="68" t="str">
        <f>IF(main!S174="","",ROUND(main!S174*100,6))</f>
        <v/>
      </c>
      <c r="H171" s="68" t="str">
        <f>IF(main!T174="","",ROUND(main!T174*100,6))</f>
        <v/>
      </c>
      <c r="I171" s="68" t="str">
        <f>IF(main!U174="","",ROUND(main!U174*100,6))</f>
        <v/>
      </c>
      <c r="J171" s="68" t="str">
        <f>IF(main!V174="","",ROUND(main!V174*100,6))</f>
        <v/>
      </c>
      <c r="K171" s="68" t="str">
        <f>IF(main!W174="","",ROUND(main!W174*100,6))</f>
        <v/>
      </c>
      <c r="L171" s="68" t="str">
        <f>IF(main!X174="","",ROUND(main!X174*100,6))</f>
        <v/>
      </c>
      <c r="M171" s="68" t="str">
        <f>IF(main!Y174="","",ROUND(main!Y174*100,6))</f>
        <v/>
      </c>
      <c r="N171" s="68" t="str">
        <f>IF(main!Z174="","",ROUND(main!Z174*100,6))</f>
        <v/>
      </c>
      <c r="O171" s="68" t="str">
        <f>IF(main!AA174="","",ROUND(main!AA174*100,6))</f>
        <v/>
      </c>
      <c r="P171" s="68" t="str">
        <f>IF(main!AB174="","",ROUND(main!AB174*100,6))</f>
        <v/>
      </c>
      <c r="Q171" s="68" t="str">
        <f>IF(main!AC174="","",ROUND(main!AC174*100,6))</f>
        <v/>
      </c>
      <c r="R171" s="68" t="str">
        <f>IF(main!AD174="","",ROUND(main!AD174*100,6))</f>
        <v/>
      </c>
      <c r="S171" s="68" t="str">
        <f>IF(main!AE174="","",ROUND(main!AE174*100,6))</f>
        <v/>
      </c>
      <c r="T171" s="68" t="str">
        <f>IF(main!AF174="","",ROUND(main!AF174*100,6))</f>
        <v/>
      </c>
      <c r="U171" s="68" t="str">
        <f>IF(main!AG174="","",ROUND(main!AG174*100,6))</f>
        <v/>
      </c>
      <c r="V171" s="68" t="str">
        <f>IF(main!AH174="","",ROUND(main!AH174*100,6))</f>
        <v/>
      </c>
      <c r="W171" s="68" t="str">
        <f>IF(main!AI174="","",ROUND(main!AI174*100,6))</f>
        <v/>
      </c>
      <c r="X171" s="68" t="str">
        <f>IF(main!AJ174="","",ROUND(main!AJ174*100,6))</f>
        <v/>
      </c>
      <c r="Y171" s="68" t="str">
        <f>IF(main!AK174="","",ROUND(main!AK174*100,6))</f>
        <v/>
      </c>
      <c r="Z171" s="68" t="str">
        <f>IF(main!AL174="","",ROUND(main!AL174*100,6))</f>
        <v/>
      </c>
      <c r="AA171" s="68" t="str">
        <f>IF(main!AM174="","",ROUND(main!AM174*100,6))</f>
        <v/>
      </c>
      <c r="AB171" s="68" t="str">
        <f>IF(main!AN174="","",ROUND(main!AN174*100,6))</f>
        <v/>
      </c>
      <c r="AC171" s="68" t="str">
        <f>IF(main!AO174="","",ROUND(main!AO174*100,6))</f>
        <v/>
      </c>
      <c r="AD171" s="68" t="str">
        <f>IF(main!AP174="","",ROUND(main!AP174*100,6))</f>
        <v/>
      </c>
      <c r="AE171" s="68" t="str">
        <f>IF(main!AQ174="","",ROUND(main!AQ174*100,6))</f>
        <v/>
      </c>
      <c r="AF171" s="68" t="str">
        <f>IF(main!AR174="","",ROUND(main!AR174*100,6))</f>
        <v/>
      </c>
      <c r="AG171" s="68" t="str">
        <f>IF(main!AS174="","",ROUND(main!AS174*100,6))</f>
        <v/>
      </c>
      <c r="AH171" s="68" t="str">
        <f>IF(main!AT174="","",ROUND(main!AT174*100,6))</f>
        <v/>
      </c>
      <c r="AI171" s="68" t="str">
        <f>IF(main!AU174="","",ROUND(main!AU174*100,6))</f>
        <v/>
      </c>
      <c r="AJ171" s="68" t="str">
        <f>IF(main!AV174="","",ROUND(main!AV174*100,6))</f>
        <v/>
      </c>
      <c r="AK171" s="68" t="str">
        <f>IF(main!AW174="","",ROUND(main!AW174*100,6))</f>
        <v/>
      </c>
      <c r="AL171" s="68" t="str">
        <f>IF(main!AX174="","",ROUND(main!AX174*100,6))</f>
        <v/>
      </c>
      <c r="AM171" s="68" t="str">
        <f>IF(main!AY174="","",ROUND(main!AY174*100,6))</f>
        <v/>
      </c>
      <c r="AN171" s="68" t="str">
        <f>IF(main!AZ174="","",ROUND(main!AZ174*100,6))</f>
        <v/>
      </c>
      <c r="AO171" s="68" t="str">
        <f>IF(main!BA174="","",ROUND(main!BA174*100,6))</f>
        <v/>
      </c>
      <c r="AP171" s="68" t="str">
        <f>IF(main!BB174="","",ROUND(main!BB174*100,6))</f>
        <v/>
      </c>
      <c r="AQ171" s="68" t="str">
        <f>IF(main!BC174="","",ROUND(main!BC174*100,6))</f>
        <v/>
      </c>
      <c r="AR171" s="68" t="str">
        <f>IF(main!BD174="","",ROUND(main!BD174*100,6))</f>
        <v/>
      </c>
      <c r="AS171" s="68" t="str">
        <f>IF(main!BE174="","",ROUND(main!BE174*100,6))</f>
        <v/>
      </c>
      <c r="AT171" s="68" t="str">
        <f>IF(main!BF174="","",ROUND(main!BF174*100,6))</f>
        <v/>
      </c>
      <c r="AU171" s="68" t="str">
        <f>IF(main!BG174="","",ROUND(main!BG174*100,6))</f>
        <v/>
      </c>
      <c r="AV171" s="68" t="str">
        <f>IF(main!BH174="","",ROUND(main!BH174*100,6))</f>
        <v/>
      </c>
      <c r="AW171" s="68" t="str">
        <f>IF(main!BI174="","",ROUND(main!BI174*100,6))</f>
        <v/>
      </c>
      <c r="AX171" s="68" t="str">
        <f>IF(main!BJ174="","",ROUND(main!BJ174*100,6))</f>
        <v/>
      </c>
      <c r="AY171" s="68" t="str">
        <f>IF(main!BK174="","",ROUND(main!BK174*100,6))</f>
        <v/>
      </c>
      <c r="AZ171" s="68" t="str">
        <f>IF(main!BL174="","",ROUND(main!BL174*100,6))</f>
        <v/>
      </c>
      <c r="BA171" s="68" t="str">
        <f>IF(main!BM174="","",ROUND(main!BM174*100,6))</f>
        <v/>
      </c>
      <c r="BB171" s="68" t="str">
        <f>IF(main!BN174="","",ROUND(main!BN174*100,6))</f>
        <v/>
      </c>
      <c r="BC171" s="68" t="str">
        <f>IF(main!BO174="","",ROUND(main!BO174*100,6))</f>
        <v/>
      </c>
      <c r="BD171" s="68" t="str">
        <f>IF(main!BP174="","",ROUND(main!BP174*100,6))</f>
        <v/>
      </c>
      <c r="BE171" s="68" t="str">
        <f>IF(main!BQ174="","",ROUND(main!BQ174*100,6))</f>
        <v/>
      </c>
      <c r="BF171" s="68" t="str">
        <f>IF(main!BR174="","",ROUND(main!BR174*100,6))</f>
        <v/>
      </c>
      <c r="BG171" s="68" t="str">
        <f>IF(main!BS174="","",ROUND(main!BS174*100,6))</f>
        <v/>
      </c>
      <c r="BH171" s="68" t="str">
        <f>IF(main!BT174="","",ROUND(main!BT174*100,6))</f>
        <v/>
      </c>
      <c r="BI171" s="68" t="str">
        <f>IF(main!BU174="","",ROUND(main!BU174*100,6))</f>
        <v/>
      </c>
      <c r="BJ171" s="68" t="str">
        <f>IF(main!BV174="","",ROUND(main!BV174*100,6))</f>
        <v/>
      </c>
      <c r="BK171" s="68" t="str">
        <f>IF(main!BW174="","",ROUND(main!BW174*100,6))</f>
        <v/>
      </c>
      <c r="BL171" s="68" t="str">
        <f>IF(main!BX174="","",ROUND(main!BX174*100,6))</f>
        <v/>
      </c>
      <c r="BM171" s="68" t="str">
        <f>IF(main!BY174="","",ROUND(main!BY174*100,6))</f>
        <v/>
      </c>
      <c r="BN171" s="68" t="str">
        <f>IF(main!BZ174="","",ROUND(main!BZ174*100,6))</f>
        <v/>
      </c>
      <c r="BO171" s="68" t="str">
        <f>IF(main!CA174="","",ROUND(main!CA174*100,6))</f>
        <v/>
      </c>
      <c r="BP171" s="68" t="str">
        <f>IF(main!CB174="","",ROUND(main!CB174*100,6))</f>
        <v/>
      </c>
      <c r="BQ171" s="68" t="str">
        <f>IF(main!CC174="","",ROUND(main!CC174*100,6))</f>
        <v/>
      </c>
      <c r="BR171" s="68" t="str">
        <f>IF(main!CD174="","",ROUND(main!CD174*100,6))</f>
        <v/>
      </c>
      <c r="BS171" s="68" t="str">
        <f>IF(main!CE174="","",ROUND(main!CE174*100,6))</f>
        <v/>
      </c>
      <c r="BT171" s="68" t="str">
        <f>IF(main!CF174="","",ROUND(main!CF174*100,6))</f>
        <v/>
      </c>
      <c r="BU171" s="68" t="str">
        <f>IF(main!CG174="","",ROUND(main!CG174*100,6))</f>
        <v/>
      </c>
      <c r="BV171" s="68" t="str">
        <f>IF(main!CH174="","",ROUND(main!CH174*100,6))</f>
        <v/>
      </c>
      <c r="BW171" s="68" t="str">
        <f>IF(main!CI174="","",ROUND(main!CI174*100,6))</f>
        <v/>
      </c>
      <c r="BX171" s="68" t="str">
        <f>IF(main!CJ174="","",ROUND(main!CJ174*100,6))</f>
        <v/>
      </c>
      <c r="BY171" s="68" t="str">
        <f>IF(main!CK174="","",ROUND(main!CK174*100,6))</f>
        <v/>
      </c>
      <c r="BZ171" s="68" t="str">
        <f>IF(main!CL174="","",ROUND(main!CL174*100,6))</f>
        <v/>
      </c>
      <c r="CA171" s="68" t="str">
        <f>IF(main!CM174="","",ROUND(main!CM174*100,6))</f>
        <v/>
      </c>
      <c r="CB171" s="68" t="str">
        <f>IF(main!CN174="","",ROUND(main!CN174*100,6))</f>
        <v/>
      </c>
      <c r="CC171" s="68" t="str">
        <f>IF(main!CO174="","",ROUND(main!CO174*100,6))</f>
        <v/>
      </c>
    </row>
    <row r="172" spans="1:81" x14ac:dyDescent="0.25">
      <c r="A172" s="65" t="s">
        <v>327</v>
      </c>
      <c r="B172" s="66" t="str">
        <f>main!C175</f>
        <v>ฝ้าเหล็กรูปพรรณ สีน้ำมัน ใต้พื้นชั้นลอย</v>
      </c>
      <c r="C172" s="67">
        <f>main!O175</f>
        <v>100000</v>
      </c>
      <c r="D172" s="65" t="s">
        <v>110</v>
      </c>
      <c r="E172" s="68">
        <f t="shared" si="2"/>
        <v>100</v>
      </c>
      <c r="F172" s="68" t="str">
        <f>IF(main!R175="","",ROUND(main!R175*100,6))</f>
        <v/>
      </c>
      <c r="G172" s="68" t="str">
        <f>IF(main!S175="","",ROUND(main!S175*100,6))</f>
        <v/>
      </c>
      <c r="H172" s="68" t="str">
        <f>IF(main!T175="","",ROUND(main!T175*100,6))</f>
        <v/>
      </c>
      <c r="I172" s="68" t="str">
        <f>IF(main!U175="","",ROUND(main!U175*100,6))</f>
        <v/>
      </c>
      <c r="J172" s="68" t="str">
        <f>IF(main!V175="","",ROUND(main!V175*100,6))</f>
        <v/>
      </c>
      <c r="K172" s="68" t="str">
        <f>IF(main!W175="","",ROUND(main!W175*100,6))</f>
        <v/>
      </c>
      <c r="L172" s="68" t="str">
        <f>IF(main!X175="","",ROUND(main!X175*100,6))</f>
        <v/>
      </c>
      <c r="M172" s="68" t="str">
        <f>IF(main!Y175="","",ROUND(main!Y175*100,6))</f>
        <v/>
      </c>
      <c r="N172" s="68" t="str">
        <f>IF(main!Z175="","",ROUND(main!Z175*100,6))</f>
        <v/>
      </c>
      <c r="O172" s="68" t="str">
        <f>IF(main!AA175="","",ROUND(main!AA175*100,6))</f>
        <v/>
      </c>
      <c r="P172" s="68" t="str">
        <f>IF(main!AB175="","",ROUND(main!AB175*100,6))</f>
        <v/>
      </c>
      <c r="Q172" s="68" t="str">
        <f>IF(main!AC175="","",ROUND(main!AC175*100,6))</f>
        <v/>
      </c>
      <c r="R172" s="68" t="str">
        <f>IF(main!AD175="","",ROUND(main!AD175*100,6))</f>
        <v/>
      </c>
      <c r="S172" s="68" t="str">
        <f>IF(main!AE175="","",ROUND(main!AE175*100,6))</f>
        <v/>
      </c>
      <c r="T172" s="68" t="str">
        <f>IF(main!AF175="","",ROUND(main!AF175*100,6))</f>
        <v/>
      </c>
      <c r="U172" s="68" t="str">
        <f>IF(main!AG175="","",ROUND(main!AG175*100,6))</f>
        <v/>
      </c>
      <c r="V172" s="68" t="str">
        <f>IF(main!AH175="","",ROUND(main!AH175*100,6))</f>
        <v/>
      </c>
      <c r="W172" s="68" t="str">
        <f>IF(main!AI175="","",ROUND(main!AI175*100,6))</f>
        <v/>
      </c>
      <c r="X172" s="68" t="str">
        <f>IF(main!AJ175="","",ROUND(main!AJ175*100,6))</f>
        <v/>
      </c>
      <c r="Y172" s="68" t="str">
        <f>IF(main!AK175="","",ROUND(main!AK175*100,6))</f>
        <v/>
      </c>
      <c r="Z172" s="68" t="str">
        <f>IF(main!AL175="","",ROUND(main!AL175*100,6))</f>
        <v/>
      </c>
      <c r="AA172" s="68" t="str">
        <f>IF(main!AM175="","",ROUND(main!AM175*100,6))</f>
        <v/>
      </c>
      <c r="AB172" s="68" t="str">
        <f>IF(main!AN175="","",ROUND(main!AN175*100,6))</f>
        <v/>
      </c>
      <c r="AC172" s="68" t="str">
        <f>IF(main!AO175="","",ROUND(main!AO175*100,6))</f>
        <v/>
      </c>
      <c r="AD172" s="68" t="str">
        <f>IF(main!AP175="","",ROUND(main!AP175*100,6))</f>
        <v/>
      </c>
      <c r="AE172" s="68" t="str">
        <f>IF(main!AQ175="","",ROUND(main!AQ175*100,6))</f>
        <v/>
      </c>
      <c r="AF172" s="68" t="str">
        <f>IF(main!AR175="","",ROUND(main!AR175*100,6))</f>
        <v/>
      </c>
      <c r="AG172" s="68" t="str">
        <f>IF(main!AS175="","",ROUND(main!AS175*100,6))</f>
        <v/>
      </c>
      <c r="AH172" s="68" t="str">
        <f>IF(main!AT175="","",ROUND(main!AT175*100,6))</f>
        <v/>
      </c>
      <c r="AI172" s="68" t="str">
        <f>IF(main!AU175="","",ROUND(main!AU175*100,6))</f>
        <v/>
      </c>
      <c r="AJ172" s="68" t="str">
        <f>IF(main!AV175="","",ROUND(main!AV175*100,6))</f>
        <v/>
      </c>
      <c r="AK172" s="68" t="str">
        <f>IF(main!AW175="","",ROUND(main!AW175*100,6))</f>
        <v/>
      </c>
      <c r="AL172" s="68" t="str">
        <f>IF(main!AX175="","",ROUND(main!AX175*100,6))</f>
        <v/>
      </c>
      <c r="AM172" s="68" t="str">
        <f>IF(main!AY175="","",ROUND(main!AY175*100,6))</f>
        <v/>
      </c>
      <c r="AN172" s="68" t="str">
        <f>IF(main!AZ175="","",ROUND(main!AZ175*100,6))</f>
        <v/>
      </c>
      <c r="AO172" s="68" t="str">
        <f>IF(main!BA175="","",ROUND(main!BA175*100,6))</f>
        <v/>
      </c>
      <c r="AP172" s="68" t="str">
        <f>IF(main!BB175="","",ROUND(main!BB175*100,6))</f>
        <v/>
      </c>
      <c r="AQ172" s="68" t="str">
        <f>IF(main!BC175="","",ROUND(main!BC175*100,6))</f>
        <v/>
      </c>
      <c r="AR172" s="68" t="str">
        <f>IF(main!BD175="","",ROUND(main!BD175*100,6))</f>
        <v/>
      </c>
      <c r="AS172" s="68" t="str">
        <f>IF(main!BE175="","",ROUND(main!BE175*100,6))</f>
        <v/>
      </c>
      <c r="AT172" s="68" t="str">
        <f>IF(main!BF175="","",ROUND(main!BF175*100,6))</f>
        <v/>
      </c>
      <c r="AU172" s="68" t="str">
        <f>IF(main!BG175="","",ROUND(main!BG175*100,6))</f>
        <v/>
      </c>
      <c r="AV172" s="68" t="str">
        <f>IF(main!BH175="","",ROUND(main!BH175*100,6))</f>
        <v/>
      </c>
      <c r="AW172" s="68" t="str">
        <f>IF(main!BI175="","",ROUND(main!BI175*100,6))</f>
        <v/>
      </c>
      <c r="AX172" s="68" t="str">
        <f>IF(main!BJ175="","",ROUND(main!BJ175*100,6))</f>
        <v/>
      </c>
      <c r="AY172" s="68" t="str">
        <f>IF(main!BK175="","",ROUND(main!BK175*100,6))</f>
        <v/>
      </c>
      <c r="AZ172" s="68" t="str">
        <f>IF(main!BL175="","",ROUND(main!BL175*100,6))</f>
        <v/>
      </c>
      <c r="BA172" s="68" t="str">
        <f>IF(main!BM175="","",ROUND(main!BM175*100,6))</f>
        <v/>
      </c>
      <c r="BB172" s="68" t="str">
        <f>IF(main!BN175="","",ROUND(main!BN175*100,6))</f>
        <v/>
      </c>
      <c r="BC172" s="68">
        <f>IF(main!BO175="","",ROUND(main!BO175*100,6))</f>
        <v>9.5238099999999992</v>
      </c>
      <c r="BD172" s="68">
        <f>IF(main!BP175="","",ROUND(main!BP175*100,6))</f>
        <v>33.333333000000003</v>
      </c>
      <c r="BE172" s="68">
        <f>IF(main!BQ175="","",ROUND(main!BQ175*100,6))</f>
        <v>33.333333000000003</v>
      </c>
      <c r="BF172" s="68">
        <f>IF(main!BR175="","",ROUND(main!BR175*100,6))</f>
        <v>23.809524</v>
      </c>
      <c r="BG172" s="68" t="str">
        <f>IF(main!BS175="","",ROUND(main!BS175*100,6))</f>
        <v/>
      </c>
      <c r="BH172" s="68" t="str">
        <f>IF(main!BT175="","",ROUND(main!BT175*100,6))</f>
        <v/>
      </c>
      <c r="BI172" s="68" t="str">
        <f>IF(main!BU175="","",ROUND(main!BU175*100,6))</f>
        <v/>
      </c>
      <c r="BJ172" s="68" t="str">
        <f>IF(main!BV175="","",ROUND(main!BV175*100,6))</f>
        <v/>
      </c>
      <c r="BK172" s="68" t="str">
        <f>IF(main!BW175="","",ROUND(main!BW175*100,6))</f>
        <v/>
      </c>
      <c r="BL172" s="68" t="str">
        <f>IF(main!BX175="","",ROUND(main!BX175*100,6))</f>
        <v/>
      </c>
      <c r="BM172" s="68" t="str">
        <f>IF(main!BY175="","",ROUND(main!BY175*100,6))</f>
        <v/>
      </c>
      <c r="BN172" s="68" t="str">
        <f>IF(main!BZ175="","",ROUND(main!BZ175*100,6))</f>
        <v/>
      </c>
      <c r="BO172" s="68" t="str">
        <f>IF(main!CA175="","",ROUND(main!CA175*100,6))</f>
        <v/>
      </c>
      <c r="BP172" s="68" t="str">
        <f>IF(main!CB175="","",ROUND(main!CB175*100,6))</f>
        <v/>
      </c>
      <c r="BQ172" s="68" t="str">
        <f>IF(main!CC175="","",ROUND(main!CC175*100,6))</f>
        <v/>
      </c>
      <c r="BR172" s="68" t="str">
        <f>IF(main!CD175="","",ROUND(main!CD175*100,6))</f>
        <v/>
      </c>
      <c r="BS172" s="68" t="str">
        <f>IF(main!CE175="","",ROUND(main!CE175*100,6))</f>
        <v/>
      </c>
      <c r="BT172" s="68" t="str">
        <f>IF(main!CF175="","",ROUND(main!CF175*100,6))</f>
        <v/>
      </c>
      <c r="BU172" s="68" t="str">
        <f>IF(main!CG175="","",ROUND(main!CG175*100,6))</f>
        <v/>
      </c>
      <c r="BV172" s="68" t="str">
        <f>IF(main!CH175="","",ROUND(main!CH175*100,6))</f>
        <v/>
      </c>
      <c r="BW172" s="68" t="str">
        <f>IF(main!CI175="","",ROUND(main!CI175*100,6))</f>
        <v/>
      </c>
      <c r="BX172" s="68" t="str">
        <f>IF(main!CJ175="","",ROUND(main!CJ175*100,6))</f>
        <v/>
      </c>
      <c r="BY172" s="68" t="str">
        <f>IF(main!CK175="","",ROUND(main!CK175*100,6))</f>
        <v/>
      </c>
      <c r="BZ172" s="68" t="str">
        <f>IF(main!CL175="","",ROUND(main!CL175*100,6))</f>
        <v/>
      </c>
      <c r="CA172" s="68" t="str">
        <f>IF(main!CM175="","",ROUND(main!CM175*100,6))</f>
        <v/>
      </c>
      <c r="CB172" s="68" t="str">
        <f>IF(main!CN175="","",ROUND(main!CN175*100,6))</f>
        <v/>
      </c>
      <c r="CC172" s="68" t="str">
        <f>IF(main!CO175="","",ROUND(main!CO175*100,6))</f>
        <v/>
      </c>
    </row>
    <row r="173" spans="1:81" x14ac:dyDescent="0.25">
      <c r="A173" s="65" t="s">
        <v>327</v>
      </c>
      <c r="B173" s="66" t="str">
        <f>main!C175</f>
        <v>ฝ้าเหล็กรูปพรรณ สีน้ำมัน ใต้พื้นชั้นลอย</v>
      </c>
      <c r="C173" s="67">
        <f>main!O175</f>
        <v>100000</v>
      </c>
      <c r="D173" s="65" t="s">
        <v>111</v>
      </c>
      <c r="E173" s="68" t="str">
        <f t="shared" si="2"/>
        <v/>
      </c>
      <c r="F173" s="68" t="str">
        <f>IF(main!R176="","",ROUND(main!R176*100,6))</f>
        <v/>
      </c>
      <c r="G173" s="68" t="str">
        <f>IF(main!S176="","",ROUND(main!S176*100,6))</f>
        <v/>
      </c>
      <c r="H173" s="68" t="str">
        <f>IF(main!T176="","",ROUND(main!T176*100,6))</f>
        <v/>
      </c>
      <c r="I173" s="68" t="str">
        <f>IF(main!U176="","",ROUND(main!U176*100,6))</f>
        <v/>
      </c>
      <c r="J173" s="68" t="str">
        <f>IF(main!V176="","",ROUND(main!V176*100,6))</f>
        <v/>
      </c>
      <c r="K173" s="68" t="str">
        <f>IF(main!W176="","",ROUND(main!W176*100,6))</f>
        <v/>
      </c>
      <c r="L173" s="68" t="str">
        <f>IF(main!X176="","",ROUND(main!X176*100,6))</f>
        <v/>
      </c>
      <c r="M173" s="68" t="str">
        <f>IF(main!Y176="","",ROUND(main!Y176*100,6))</f>
        <v/>
      </c>
      <c r="N173" s="68" t="str">
        <f>IF(main!Z176="","",ROUND(main!Z176*100,6))</f>
        <v/>
      </c>
      <c r="O173" s="68" t="str">
        <f>IF(main!AA176="","",ROUND(main!AA176*100,6))</f>
        <v/>
      </c>
      <c r="P173" s="68" t="str">
        <f>IF(main!AB176="","",ROUND(main!AB176*100,6))</f>
        <v/>
      </c>
      <c r="Q173" s="68" t="str">
        <f>IF(main!AC176="","",ROUND(main!AC176*100,6))</f>
        <v/>
      </c>
      <c r="R173" s="68" t="str">
        <f>IF(main!AD176="","",ROUND(main!AD176*100,6))</f>
        <v/>
      </c>
      <c r="S173" s="68" t="str">
        <f>IF(main!AE176="","",ROUND(main!AE176*100,6))</f>
        <v/>
      </c>
      <c r="T173" s="68" t="str">
        <f>IF(main!AF176="","",ROUND(main!AF176*100,6))</f>
        <v/>
      </c>
      <c r="U173" s="68" t="str">
        <f>IF(main!AG176="","",ROUND(main!AG176*100,6))</f>
        <v/>
      </c>
      <c r="V173" s="68" t="str">
        <f>IF(main!AH176="","",ROUND(main!AH176*100,6))</f>
        <v/>
      </c>
      <c r="W173" s="68" t="str">
        <f>IF(main!AI176="","",ROUND(main!AI176*100,6))</f>
        <v/>
      </c>
      <c r="X173" s="68" t="str">
        <f>IF(main!AJ176="","",ROUND(main!AJ176*100,6))</f>
        <v/>
      </c>
      <c r="Y173" s="68" t="str">
        <f>IF(main!AK176="","",ROUND(main!AK176*100,6))</f>
        <v/>
      </c>
      <c r="Z173" s="68" t="str">
        <f>IF(main!AL176="","",ROUND(main!AL176*100,6))</f>
        <v/>
      </c>
      <c r="AA173" s="68" t="str">
        <f>IF(main!AM176="","",ROUND(main!AM176*100,6))</f>
        <v/>
      </c>
      <c r="AB173" s="68" t="str">
        <f>IF(main!AN176="","",ROUND(main!AN176*100,6))</f>
        <v/>
      </c>
      <c r="AC173" s="68" t="str">
        <f>IF(main!AO176="","",ROUND(main!AO176*100,6))</f>
        <v/>
      </c>
      <c r="AD173" s="68" t="str">
        <f>IF(main!AP176="","",ROUND(main!AP176*100,6))</f>
        <v/>
      </c>
      <c r="AE173" s="68" t="str">
        <f>IF(main!AQ176="","",ROUND(main!AQ176*100,6))</f>
        <v/>
      </c>
      <c r="AF173" s="68" t="str">
        <f>IF(main!AR176="","",ROUND(main!AR176*100,6))</f>
        <v/>
      </c>
      <c r="AG173" s="68" t="str">
        <f>IF(main!AS176="","",ROUND(main!AS176*100,6))</f>
        <v/>
      </c>
      <c r="AH173" s="68" t="str">
        <f>IF(main!AT176="","",ROUND(main!AT176*100,6))</f>
        <v/>
      </c>
      <c r="AI173" s="68" t="str">
        <f>IF(main!AU176="","",ROUND(main!AU176*100,6))</f>
        <v/>
      </c>
      <c r="AJ173" s="68" t="str">
        <f>IF(main!AV176="","",ROUND(main!AV176*100,6))</f>
        <v/>
      </c>
      <c r="AK173" s="68" t="str">
        <f>IF(main!AW176="","",ROUND(main!AW176*100,6))</f>
        <v/>
      </c>
      <c r="AL173" s="68" t="str">
        <f>IF(main!AX176="","",ROUND(main!AX176*100,6))</f>
        <v/>
      </c>
      <c r="AM173" s="68" t="str">
        <f>IF(main!AY176="","",ROUND(main!AY176*100,6))</f>
        <v/>
      </c>
      <c r="AN173" s="68" t="str">
        <f>IF(main!AZ176="","",ROUND(main!AZ176*100,6))</f>
        <v/>
      </c>
      <c r="AO173" s="68" t="str">
        <f>IF(main!BA176="","",ROUND(main!BA176*100,6))</f>
        <v/>
      </c>
      <c r="AP173" s="68" t="str">
        <f>IF(main!BB176="","",ROUND(main!BB176*100,6))</f>
        <v/>
      </c>
      <c r="AQ173" s="68" t="str">
        <f>IF(main!BC176="","",ROUND(main!BC176*100,6))</f>
        <v/>
      </c>
      <c r="AR173" s="68" t="str">
        <f>IF(main!BD176="","",ROUND(main!BD176*100,6))</f>
        <v/>
      </c>
      <c r="AS173" s="68" t="str">
        <f>IF(main!BE176="","",ROUND(main!BE176*100,6))</f>
        <v/>
      </c>
      <c r="AT173" s="68" t="str">
        <f>IF(main!BF176="","",ROUND(main!BF176*100,6))</f>
        <v/>
      </c>
      <c r="AU173" s="68" t="str">
        <f>IF(main!BG176="","",ROUND(main!BG176*100,6))</f>
        <v/>
      </c>
      <c r="AV173" s="68" t="str">
        <f>IF(main!BH176="","",ROUND(main!BH176*100,6))</f>
        <v/>
      </c>
      <c r="AW173" s="68" t="str">
        <f>IF(main!BI176="","",ROUND(main!BI176*100,6))</f>
        <v/>
      </c>
      <c r="AX173" s="68" t="str">
        <f>IF(main!BJ176="","",ROUND(main!BJ176*100,6))</f>
        <v/>
      </c>
      <c r="AY173" s="68" t="str">
        <f>IF(main!BK176="","",ROUND(main!BK176*100,6))</f>
        <v/>
      </c>
      <c r="AZ173" s="68" t="str">
        <f>IF(main!BL176="","",ROUND(main!BL176*100,6))</f>
        <v/>
      </c>
      <c r="BA173" s="68" t="str">
        <f>IF(main!BM176="","",ROUND(main!BM176*100,6))</f>
        <v/>
      </c>
      <c r="BB173" s="68" t="str">
        <f>IF(main!BN176="","",ROUND(main!BN176*100,6))</f>
        <v/>
      </c>
      <c r="BC173" s="68" t="str">
        <f>IF(main!BO176="","",ROUND(main!BO176*100,6))</f>
        <v/>
      </c>
      <c r="BD173" s="68" t="str">
        <f>IF(main!BP176="","",ROUND(main!BP176*100,6))</f>
        <v/>
      </c>
      <c r="BE173" s="68" t="str">
        <f>IF(main!BQ176="","",ROUND(main!BQ176*100,6))</f>
        <v/>
      </c>
      <c r="BF173" s="68" t="str">
        <f>IF(main!BR176="","",ROUND(main!BR176*100,6))</f>
        <v/>
      </c>
      <c r="BG173" s="68" t="str">
        <f>IF(main!BS176="","",ROUND(main!BS176*100,6))</f>
        <v/>
      </c>
      <c r="BH173" s="68" t="str">
        <f>IF(main!BT176="","",ROUND(main!BT176*100,6))</f>
        <v/>
      </c>
      <c r="BI173" s="68" t="str">
        <f>IF(main!BU176="","",ROUND(main!BU176*100,6))</f>
        <v/>
      </c>
      <c r="BJ173" s="68" t="str">
        <f>IF(main!BV176="","",ROUND(main!BV176*100,6))</f>
        <v/>
      </c>
      <c r="BK173" s="68" t="str">
        <f>IF(main!BW176="","",ROUND(main!BW176*100,6))</f>
        <v/>
      </c>
      <c r="BL173" s="68" t="str">
        <f>IF(main!BX176="","",ROUND(main!BX176*100,6))</f>
        <v/>
      </c>
      <c r="BM173" s="68" t="str">
        <f>IF(main!BY176="","",ROUND(main!BY176*100,6))</f>
        <v/>
      </c>
      <c r="BN173" s="68" t="str">
        <f>IF(main!BZ176="","",ROUND(main!BZ176*100,6))</f>
        <v/>
      </c>
      <c r="BO173" s="68" t="str">
        <f>IF(main!CA176="","",ROUND(main!CA176*100,6))</f>
        <v/>
      </c>
      <c r="BP173" s="68" t="str">
        <f>IF(main!CB176="","",ROUND(main!CB176*100,6))</f>
        <v/>
      </c>
      <c r="BQ173" s="68" t="str">
        <f>IF(main!CC176="","",ROUND(main!CC176*100,6))</f>
        <v/>
      </c>
      <c r="BR173" s="68" t="str">
        <f>IF(main!CD176="","",ROUND(main!CD176*100,6))</f>
        <v/>
      </c>
      <c r="BS173" s="68" t="str">
        <f>IF(main!CE176="","",ROUND(main!CE176*100,6))</f>
        <v/>
      </c>
      <c r="BT173" s="68" t="str">
        <f>IF(main!CF176="","",ROUND(main!CF176*100,6))</f>
        <v/>
      </c>
      <c r="BU173" s="68" t="str">
        <f>IF(main!CG176="","",ROUND(main!CG176*100,6))</f>
        <v/>
      </c>
      <c r="BV173" s="68" t="str">
        <f>IF(main!CH176="","",ROUND(main!CH176*100,6))</f>
        <v/>
      </c>
      <c r="BW173" s="68" t="str">
        <f>IF(main!CI176="","",ROUND(main!CI176*100,6))</f>
        <v/>
      </c>
      <c r="BX173" s="68" t="str">
        <f>IF(main!CJ176="","",ROUND(main!CJ176*100,6))</f>
        <v/>
      </c>
      <c r="BY173" s="68" t="str">
        <f>IF(main!CK176="","",ROUND(main!CK176*100,6))</f>
        <v/>
      </c>
      <c r="BZ173" s="68" t="str">
        <f>IF(main!CL176="","",ROUND(main!CL176*100,6))</f>
        <v/>
      </c>
      <c r="CA173" s="68" t="str">
        <f>IF(main!CM176="","",ROUND(main!CM176*100,6))</f>
        <v/>
      </c>
      <c r="CB173" s="68" t="str">
        <f>IF(main!CN176="","",ROUND(main!CN176*100,6))</f>
        <v/>
      </c>
      <c r="CC173" s="68" t="str">
        <f>IF(main!CO176="","",ROUND(main!CO176*100,6))</f>
        <v/>
      </c>
    </row>
    <row r="174" spans="1:81" x14ac:dyDescent="0.25">
      <c r="A174" s="65" t="s">
        <v>330</v>
      </c>
      <c r="B174" s="66" t="str">
        <f>main!C177</f>
        <v>งานฝ้าห้องน้ำ</v>
      </c>
      <c r="C174" s="67">
        <f>main!O177</f>
        <v>100000</v>
      </c>
      <c r="D174" s="65" t="s">
        <v>110</v>
      </c>
      <c r="E174" s="68">
        <f t="shared" si="2"/>
        <v>100</v>
      </c>
      <c r="F174" s="68" t="str">
        <f>IF(main!R177="","",ROUND(main!R177*100,6))</f>
        <v/>
      </c>
      <c r="G174" s="68" t="str">
        <f>IF(main!S177="","",ROUND(main!S177*100,6))</f>
        <v/>
      </c>
      <c r="H174" s="68" t="str">
        <f>IF(main!T177="","",ROUND(main!T177*100,6))</f>
        <v/>
      </c>
      <c r="I174" s="68" t="str">
        <f>IF(main!U177="","",ROUND(main!U177*100,6))</f>
        <v/>
      </c>
      <c r="J174" s="68" t="str">
        <f>IF(main!V177="","",ROUND(main!V177*100,6))</f>
        <v/>
      </c>
      <c r="K174" s="68" t="str">
        <f>IF(main!W177="","",ROUND(main!W177*100,6))</f>
        <v/>
      </c>
      <c r="L174" s="68" t="str">
        <f>IF(main!X177="","",ROUND(main!X177*100,6))</f>
        <v/>
      </c>
      <c r="M174" s="68" t="str">
        <f>IF(main!Y177="","",ROUND(main!Y177*100,6))</f>
        <v/>
      </c>
      <c r="N174" s="68" t="str">
        <f>IF(main!Z177="","",ROUND(main!Z177*100,6))</f>
        <v/>
      </c>
      <c r="O174" s="68" t="str">
        <f>IF(main!AA177="","",ROUND(main!AA177*100,6))</f>
        <v/>
      </c>
      <c r="P174" s="68" t="str">
        <f>IF(main!AB177="","",ROUND(main!AB177*100,6))</f>
        <v/>
      </c>
      <c r="Q174" s="68" t="str">
        <f>IF(main!AC177="","",ROUND(main!AC177*100,6))</f>
        <v/>
      </c>
      <c r="R174" s="68" t="str">
        <f>IF(main!AD177="","",ROUND(main!AD177*100,6))</f>
        <v/>
      </c>
      <c r="S174" s="68" t="str">
        <f>IF(main!AE177="","",ROUND(main!AE177*100,6))</f>
        <v/>
      </c>
      <c r="T174" s="68" t="str">
        <f>IF(main!AF177="","",ROUND(main!AF177*100,6))</f>
        <v/>
      </c>
      <c r="U174" s="68" t="str">
        <f>IF(main!AG177="","",ROUND(main!AG177*100,6))</f>
        <v/>
      </c>
      <c r="V174" s="68" t="str">
        <f>IF(main!AH177="","",ROUND(main!AH177*100,6))</f>
        <v/>
      </c>
      <c r="W174" s="68" t="str">
        <f>IF(main!AI177="","",ROUND(main!AI177*100,6))</f>
        <v/>
      </c>
      <c r="X174" s="68" t="str">
        <f>IF(main!AJ177="","",ROUND(main!AJ177*100,6))</f>
        <v/>
      </c>
      <c r="Y174" s="68" t="str">
        <f>IF(main!AK177="","",ROUND(main!AK177*100,6))</f>
        <v/>
      </c>
      <c r="Z174" s="68" t="str">
        <f>IF(main!AL177="","",ROUND(main!AL177*100,6))</f>
        <v/>
      </c>
      <c r="AA174" s="68" t="str">
        <f>IF(main!AM177="","",ROUND(main!AM177*100,6))</f>
        <v/>
      </c>
      <c r="AB174" s="68" t="str">
        <f>IF(main!AN177="","",ROUND(main!AN177*100,6))</f>
        <v/>
      </c>
      <c r="AC174" s="68" t="str">
        <f>IF(main!AO177="","",ROUND(main!AO177*100,6))</f>
        <v/>
      </c>
      <c r="AD174" s="68" t="str">
        <f>IF(main!AP177="","",ROUND(main!AP177*100,6))</f>
        <v/>
      </c>
      <c r="AE174" s="68" t="str">
        <f>IF(main!AQ177="","",ROUND(main!AQ177*100,6))</f>
        <v/>
      </c>
      <c r="AF174" s="68" t="str">
        <f>IF(main!AR177="","",ROUND(main!AR177*100,6))</f>
        <v/>
      </c>
      <c r="AG174" s="68" t="str">
        <f>IF(main!AS177="","",ROUND(main!AS177*100,6))</f>
        <v/>
      </c>
      <c r="AH174" s="68" t="str">
        <f>IF(main!AT177="","",ROUND(main!AT177*100,6))</f>
        <v/>
      </c>
      <c r="AI174" s="68" t="str">
        <f>IF(main!AU177="","",ROUND(main!AU177*100,6))</f>
        <v/>
      </c>
      <c r="AJ174" s="68" t="str">
        <f>IF(main!AV177="","",ROUND(main!AV177*100,6))</f>
        <v/>
      </c>
      <c r="AK174" s="68" t="str">
        <f>IF(main!AW177="","",ROUND(main!AW177*100,6))</f>
        <v/>
      </c>
      <c r="AL174" s="68" t="str">
        <f>IF(main!AX177="","",ROUND(main!AX177*100,6))</f>
        <v/>
      </c>
      <c r="AM174" s="68" t="str">
        <f>IF(main!AY177="","",ROUND(main!AY177*100,6))</f>
        <v/>
      </c>
      <c r="AN174" s="68" t="str">
        <f>IF(main!AZ177="","",ROUND(main!AZ177*100,6))</f>
        <v/>
      </c>
      <c r="AO174" s="68" t="str">
        <f>IF(main!BA177="","",ROUND(main!BA177*100,6))</f>
        <v/>
      </c>
      <c r="AP174" s="68" t="str">
        <f>IF(main!BB177="","",ROUND(main!BB177*100,6))</f>
        <v/>
      </c>
      <c r="AQ174" s="68" t="str">
        <f>IF(main!BC177="","",ROUND(main!BC177*100,6))</f>
        <v/>
      </c>
      <c r="AR174" s="68" t="str">
        <f>IF(main!BD177="","",ROUND(main!BD177*100,6))</f>
        <v/>
      </c>
      <c r="AS174" s="68" t="str">
        <f>IF(main!BE177="","",ROUND(main!BE177*100,6))</f>
        <v/>
      </c>
      <c r="AT174" s="68" t="str">
        <f>IF(main!BF177="","",ROUND(main!BF177*100,6))</f>
        <v/>
      </c>
      <c r="AU174" s="68" t="str">
        <f>IF(main!BG177="","",ROUND(main!BG177*100,6))</f>
        <v/>
      </c>
      <c r="AV174" s="68" t="str">
        <f>IF(main!BH177="","",ROUND(main!BH177*100,6))</f>
        <v/>
      </c>
      <c r="AW174" s="68" t="str">
        <f>IF(main!BI177="","",ROUND(main!BI177*100,6))</f>
        <v/>
      </c>
      <c r="AX174" s="68" t="str">
        <f>IF(main!BJ177="","",ROUND(main!BJ177*100,6))</f>
        <v/>
      </c>
      <c r="AY174" s="68" t="str">
        <f>IF(main!BK177="","",ROUND(main!BK177*100,6))</f>
        <v/>
      </c>
      <c r="AZ174" s="68" t="str">
        <f>IF(main!BL177="","",ROUND(main!BL177*100,6))</f>
        <v/>
      </c>
      <c r="BA174" s="68" t="str">
        <f>IF(main!BM177="","",ROUND(main!BM177*100,6))</f>
        <v/>
      </c>
      <c r="BB174" s="68" t="str">
        <f>IF(main!BN177="","",ROUND(main!BN177*100,6))</f>
        <v/>
      </c>
      <c r="BC174" s="68" t="str">
        <f>IF(main!BO177="","",ROUND(main!BO177*100,6))</f>
        <v/>
      </c>
      <c r="BD174" s="68">
        <f>IF(main!BP177="","",ROUND(main!BP177*100,6))</f>
        <v>41.666666999999997</v>
      </c>
      <c r="BE174" s="68">
        <f>IF(main!BQ177="","",ROUND(main!BQ177*100,6))</f>
        <v>58.333333000000003</v>
      </c>
      <c r="BF174" s="68" t="str">
        <f>IF(main!BR177="","",ROUND(main!BR177*100,6))</f>
        <v/>
      </c>
      <c r="BG174" s="68" t="str">
        <f>IF(main!BS177="","",ROUND(main!BS177*100,6))</f>
        <v/>
      </c>
      <c r="BH174" s="68" t="str">
        <f>IF(main!BT177="","",ROUND(main!BT177*100,6))</f>
        <v/>
      </c>
      <c r="BI174" s="68" t="str">
        <f>IF(main!BU177="","",ROUND(main!BU177*100,6))</f>
        <v/>
      </c>
      <c r="BJ174" s="68" t="str">
        <f>IF(main!BV177="","",ROUND(main!BV177*100,6))</f>
        <v/>
      </c>
      <c r="BK174" s="68" t="str">
        <f>IF(main!BW177="","",ROUND(main!BW177*100,6))</f>
        <v/>
      </c>
      <c r="BL174" s="68" t="str">
        <f>IF(main!BX177="","",ROUND(main!BX177*100,6))</f>
        <v/>
      </c>
      <c r="BM174" s="68" t="str">
        <f>IF(main!BY177="","",ROUND(main!BY177*100,6))</f>
        <v/>
      </c>
      <c r="BN174" s="68" t="str">
        <f>IF(main!BZ177="","",ROUND(main!BZ177*100,6))</f>
        <v/>
      </c>
      <c r="BO174" s="68" t="str">
        <f>IF(main!CA177="","",ROUND(main!CA177*100,6))</f>
        <v/>
      </c>
      <c r="BP174" s="68" t="str">
        <f>IF(main!CB177="","",ROUND(main!CB177*100,6))</f>
        <v/>
      </c>
      <c r="BQ174" s="68" t="str">
        <f>IF(main!CC177="","",ROUND(main!CC177*100,6))</f>
        <v/>
      </c>
      <c r="BR174" s="68" t="str">
        <f>IF(main!CD177="","",ROUND(main!CD177*100,6))</f>
        <v/>
      </c>
      <c r="BS174" s="68" t="str">
        <f>IF(main!CE177="","",ROUND(main!CE177*100,6))</f>
        <v/>
      </c>
      <c r="BT174" s="68" t="str">
        <f>IF(main!CF177="","",ROUND(main!CF177*100,6))</f>
        <v/>
      </c>
      <c r="BU174" s="68" t="str">
        <f>IF(main!CG177="","",ROUND(main!CG177*100,6))</f>
        <v/>
      </c>
      <c r="BV174" s="68" t="str">
        <f>IF(main!CH177="","",ROUND(main!CH177*100,6))</f>
        <v/>
      </c>
      <c r="BW174" s="68" t="str">
        <f>IF(main!CI177="","",ROUND(main!CI177*100,6))</f>
        <v/>
      </c>
      <c r="BX174" s="68" t="str">
        <f>IF(main!CJ177="","",ROUND(main!CJ177*100,6))</f>
        <v/>
      </c>
      <c r="BY174" s="68" t="str">
        <f>IF(main!CK177="","",ROUND(main!CK177*100,6))</f>
        <v/>
      </c>
      <c r="BZ174" s="68" t="str">
        <f>IF(main!CL177="","",ROUND(main!CL177*100,6))</f>
        <v/>
      </c>
      <c r="CA174" s="68" t="str">
        <f>IF(main!CM177="","",ROUND(main!CM177*100,6))</f>
        <v/>
      </c>
      <c r="CB174" s="68" t="str">
        <f>IF(main!CN177="","",ROUND(main!CN177*100,6))</f>
        <v/>
      </c>
      <c r="CC174" s="68" t="str">
        <f>IF(main!CO177="","",ROUND(main!CO177*100,6))</f>
        <v/>
      </c>
    </row>
    <row r="175" spans="1:81" x14ac:dyDescent="0.25">
      <c r="A175" s="65" t="s">
        <v>330</v>
      </c>
      <c r="B175" s="66" t="str">
        <f>main!C177</f>
        <v>งานฝ้าห้องน้ำ</v>
      </c>
      <c r="C175" s="67">
        <f>main!O177</f>
        <v>100000</v>
      </c>
      <c r="D175" s="65" t="s">
        <v>111</v>
      </c>
      <c r="E175" s="68" t="str">
        <f t="shared" si="2"/>
        <v/>
      </c>
      <c r="F175" s="68" t="str">
        <f>IF(main!R178="","",ROUND(main!R178*100,6))</f>
        <v/>
      </c>
      <c r="G175" s="68" t="str">
        <f>IF(main!S178="","",ROUND(main!S178*100,6))</f>
        <v/>
      </c>
      <c r="H175" s="68" t="str">
        <f>IF(main!T178="","",ROUND(main!T178*100,6))</f>
        <v/>
      </c>
      <c r="I175" s="68" t="str">
        <f>IF(main!U178="","",ROUND(main!U178*100,6))</f>
        <v/>
      </c>
      <c r="J175" s="68" t="str">
        <f>IF(main!V178="","",ROUND(main!V178*100,6))</f>
        <v/>
      </c>
      <c r="K175" s="68" t="str">
        <f>IF(main!W178="","",ROUND(main!W178*100,6))</f>
        <v/>
      </c>
      <c r="L175" s="68" t="str">
        <f>IF(main!X178="","",ROUND(main!X178*100,6))</f>
        <v/>
      </c>
      <c r="M175" s="68" t="str">
        <f>IF(main!Y178="","",ROUND(main!Y178*100,6))</f>
        <v/>
      </c>
      <c r="N175" s="68" t="str">
        <f>IF(main!Z178="","",ROUND(main!Z178*100,6))</f>
        <v/>
      </c>
      <c r="O175" s="68" t="str">
        <f>IF(main!AA178="","",ROUND(main!AA178*100,6))</f>
        <v/>
      </c>
      <c r="P175" s="68" t="str">
        <f>IF(main!AB178="","",ROUND(main!AB178*100,6))</f>
        <v/>
      </c>
      <c r="Q175" s="68" t="str">
        <f>IF(main!AC178="","",ROUND(main!AC178*100,6))</f>
        <v/>
      </c>
      <c r="R175" s="68" t="str">
        <f>IF(main!AD178="","",ROUND(main!AD178*100,6))</f>
        <v/>
      </c>
      <c r="S175" s="68" t="str">
        <f>IF(main!AE178="","",ROUND(main!AE178*100,6))</f>
        <v/>
      </c>
      <c r="T175" s="68" t="str">
        <f>IF(main!AF178="","",ROUND(main!AF178*100,6))</f>
        <v/>
      </c>
      <c r="U175" s="68" t="str">
        <f>IF(main!AG178="","",ROUND(main!AG178*100,6))</f>
        <v/>
      </c>
      <c r="V175" s="68" t="str">
        <f>IF(main!AH178="","",ROUND(main!AH178*100,6))</f>
        <v/>
      </c>
      <c r="W175" s="68" t="str">
        <f>IF(main!AI178="","",ROUND(main!AI178*100,6))</f>
        <v/>
      </c>
      <c r="X175" s="68" t="str">
        <f>IF(main!AJ178="","",ROUND(main!AJ178*100,6))</f>
        <v/>
      </c>
      <c r="Y175" s="68" t="str">
        <f>IF(main!AK178="","",ROUND(main!AK178*100,6))</f>
        <v/>
      </c>
      <c r="Z175" s="68" t="str">
        <f>IF(main!AL178="","",ROUND(main!AL178*100,6))</f>
        <v/>
      </c>
      <c r="AA175" s="68" t="str">
        <f>IF(main!AM178="","",ROUND(main!AM178*100,6))</f>
        <v/>
      </c>
      <c r="AB175" s="68" t="str">
        <f>IF(main!AN178="","",ROUND(main!AN178*100,6))</f>
        <v/>
      </c>
      <c r="AC175" s="68" t="str">
        <f>IF(main!AO178="","",ROUND(main!AO178*100,6))</f>
        <v/>
      </c>
      <c r="AD175" s="68" t="str">
        <f>IF(main!AP178="","",ROUND(main!AP178*100,6))</f>
        <v/>
      </c>
      <c r="AE175" s="68" t="str">
        <f>IF(main!AQ178="","",ROUND(main!AQ178*100,6))</f>
        <v/>
      </c>
      <c r="AF175" s="68" t="str">
        <f>IF(main!AR178="","",ROUND(main!AR178*100,6))</f>
        <v/>
      </c>
      <c r="AG175" s="68" t="str">
        <f>IF(main!AS178="","",ROUND(main!AS178*100,6))</f>
        <v/>
      </c>
      <c r="AH175" s="68" t="str">
        <f>IF(main!AT178="","",ROUND(main!AT178*100,6))</f>
        <v/>
      </c>
      <c r="AI175" s="68" t="str">
        <f>IF(main!AU178="","",ROUND(main!AU178*100,6))</f>
        <v/>
      </c>
      <c r="AJ175" s="68" t="str">
        <f>IF(main!AV178="","",ROUND(main!AV178*100,6))</f>
        <v/>
      </c>
      <c r="AK175" s="68" t="str">
        <f>IF(main!AW178="","",ROUND(main!AW178*100,6))</f>
        <v/>
      </c>
      <c r="AL175" s="68" t="str">
        <f>IF(main!AX178="","",ROUND(main!AX178*100,6))</f>
        <v/>
      </c>
      <c r="AM175" s="68" t="str">
        <f>IF(main!AY178="","",ROUND(main!AY178*100,6))</f>
        <v/>
      </c>
      <c r="AN175" s="68" t="str">
        <f>IF(main!AZ178="","",ROUND(main!AZ178*100,6))</f>
        <v/>
      </c>
      <c r="AO175" s="68" t="str">
        <f>IF(main!BA178="","",ROUND(main!BA178*100,6))</f>
        <v/>
      </c>
      <c r="AP175" s="68" t="str">
        <f>IF(main!BB178="","",ROUND(main!BB178*100,6))</f>
        <v/>
      </c>
      <c r="AQ175" s="68" t="str">
        <f>IF(main!BC178="","",ROUND(main!BC178*100,6))</f>
        <v/>
      </c>
      <c r="AR175" s="68" t="str">
        <f>IF(main!BD178="","",ROUND(main!BD178*100,6))</f>
        <v/>
      </c>
      <c r="AS175" s="68" t="str">
        <f>IF(main!BE178="","",ROUND(main!BE178*100,6))</f>
        <v/>
      </c>
      <c r="AT175" s="68" t="str">
        <f>IF(main!BF178="","",ROUND(main!BF178*100,6))</f>
        <v/>
      </c>
      <c r="AU175" s="68" t="str">
        <f>IF(main!BG178="","",ROUND(main!BG178*100,6))</f>
        <v/>
      </c>
      <c r="AV175" s="68" t="str">
        <f>IF(main!BH178="","",ROUND(main!BH178*100,6))</f>
        <v/>
      </c>
      <c r="AW175" s="68" t="str">
        <f>IF(main!BI178="","",ROUND(main!BI178*100,6))</f>
        <v/>
      </c>
      <c r="AX175" s="68" t="str">
        <f>IF(main!BJ178="","",ROUND(main!BJ178*100,6))</f>
        <v/>
      </c>
      <c r="AY175" s="68" t="str">
        <f>IF(main!BK178="","",ROUND(main!BK178*100,6))</f>
        <v/>
      </c>
      <c r="AZ175" s="68" t="str">
        <f>IF(main!BL178="","",ROUND(main!BL178*100,6))</f>
        <v/>
      </c>
      <c r="BA175" s="68" t="str">
        <f>IF(main!BM178="","",ROUND(main!BM178*100,6))</f>
        <v/>
      </c>
      <c r="BB175" s="68" t="str">
        <f>IF(main!BN178="","",ROUND(main!BN178*100,6))</f>
        <v/>
      </c>
      <c r="BC175" s="68" t="str">
        <f>IF(main!BO178="","",ROUND(main!BO178*100,6))</f>
        <v/>
      </c>
      <c r="BD175" s="68" t="str">
        <f>IF(main!BP178="","",ROUND(main!BP178*100,6))</f>
        <v/>
      </c>
      <c r="BE175" s="68" t="str">
        <f>IF(main!BQ178="","",ROUND(main!BQ178*100,6))</f>
        <v/>
      </c>
      <c r="BF175" s="68" t="str">
        <f>IF(main!BR178="","",ROUND(main!BR178*100,6))</f>
        <v/>
      </c>
      <c r="BG175" s="68" t="str">
        <f>IF(main!BS178="","",ROUND(main!BS178*100,6))</f>
        <v/>
      </c>
      <c r="BH175" s="68" t="str">
        <f>IF(main!BT178="","",ROUND(main!BT178*100,6))</f>
        <v/>
      </c>
      <c r="BI175" s="68" t="str">
        <f>IF(main!BU178="","",ROUND(main!BU178*100,6))</f>
        <v/>
      </c>
      <c r="BJ175" s="68" t="str">
        <f>IF(main!BV178="","",ROUND(main!BV178*100,6))</f>
        <v/>
      </c>
      <c r="BK175" s="68" t="str">
        <f>IF(main!BW178="","",ROUND(main!BW178*100,6))</f>
        <v/>
      </c>
      <c r="BL175" s="68" t="str">
        <f>IF(main!BX178="","",ROUND(main!BX178*100,6))</f>
        <v/>
      </c>
      <c r="BM175" s="68" t="str">
        <f>IF(main!BY178="","",ROUND(main!BY178*100,6))</f>
        <v/>
      </c>
      <c r="BN175" s="68" t="str">
        <f>IF(main!BZ178="","",ROUND(main!BZ178*100,6))</f>
        <v/>
      </c>
      <c r="BO175" s="68" t="str">
        <f>IF(main!CA178="","",ROUND(main!CA178*100,6))</f>
        <v/>
      </c>
      <c r="BP175" s="68" t="str">
        <f>IF(main!CB178="","",ROUND(main!CB178*100,6))</f>
        <v/>
      </c>
      <c r="BQ175" s="68" t="str">
        <f>IF(main!CC178="","",ROUND(main!CC178*100,6))</f>
        <v/>
      </c>
      <c r="BR175" s="68" t="str">
        <f>IF(main!CD178="","",ROUND(main!CD178*100,6))</f>
        <v/>
      </c>
      <c r="BS175" s="68" t="str">
        <f>IF(main!CE178="","",ROUND(main!CE178*100,6))</f>
        <v/>
      </c>
      <c r="BT175" s="68" t="str">
        <f>IF(main!CF178="","",ROUND(main!CF178*100,6))</f>
        <v/>
      </c>
      <c r="BU175" s="68" t="str">
        <f>IF(main!CG178="","",ROUND(main!CG178*100,6))</f>
        <v/>
      </c>
      <c r="BV175" s="68" t="str">
        <f>IF(main!CH178="","",ROUND(main!CH178*100,6))</f>
        <v/>
      </c>
      <c r="BW175" s="68" t="str">
        <f>IF(main!CI178="","",ROUND(main!CI178*100,6))</f>
        <v/>
      </c>
      <c r="BX175" s="68" t="str">
        <f>IF(main!CJ178="","",ROUND(main!CJ178*100,6))</f>
        <v/>
      </c>
      <c r="BY175" s="68" t="str">
        <f>IF(main!CK178="","",ROUND(main!CK178*100,6))</f>
        <v/>
      </c>
      <c r="BZ175" s="68" t="str">
        <f>IF(main!CL178="","",ROUND(main!CL178*100,6))</f>
        <v/>
      </c>
      <c r="CA175" s="68" t="str">
        <f>IF(main!CM178="","",ROUND(main!CM178*100,6))</f>
        <v/>
      </c>
      <c r="CB175" s="68" t="str">
        <f>IF(main!CN178="","",ROUND(main!CN178*100,6))</f>
        <v/>
      </c>
      <c r="CC175" s="68" t="str">
        <f>IF(main!CO178="","",ROUND(main!CO178*100,6))</f>
        <v/>
      </c>
    </row>
    <row r="176" spans="1:81" x14ac:dyDescent="0.25">
      <c r="A176" s="65" t="s">
        <v>333</v>
      </c>
      <c r="B176" s="66" t="str">
        <f>main!C179</f>
        <v>งานแต่งเรียบท้องพื้น ท้องคาน</v>
      </c>
      <c r="C176" s="67">
        <f>main!O179</f>
        <v>100000</v>
      </c>
      <c r="D176" s="65" t="s">
        <v>110</v>
      </c>
      <c r="E176" s="68">
        <f t="shared" si="2"/>
        <v>100</v>
      </c>
      <c r="F176" s="68" t="str">
        <f>IF(main!R179="","",ROUND(main!R179*100,6))</f>
        <v/>
      </c>
      <c r="G176" s="68" t="str">
        <f>IF(main!S179="","",ROUND(main!S179*100,6))</f>
        <v/>
      </c>
      <c r="H176" s="68" t="str">
        <f>IF(main!T179="","",ROUND(main!T179*100,6))</f>
        <v/>
      </c>
      <c r="I176" s="68" t="str">
        <f>IF(main!U179="","",ROUND(main!U179*100,6))</f>
        <v/>
      </c>
      <c r="J176" s="68" t="str">
        <f>IF(main!V179="","",ROUND(main!V179*100,6))</f>
        <v/>
      </c>
      <c r="K176" s="68" t="str">
        <f>IF(main!W179="","",ROUND(main!W179*100,6))</f>
        <v/>
      </c>
      <c r="L176" s="68" t="str">
        <f>IF(main!X179="","",ROUND(main!X179*100,6))</f>
        <v/>
      </c>
      <c r="M176" s="68" t="str">
        <f>IF(main!Y179="","",ROUND(main!Y179*100,6))</f>
        <v/>
      </c>
      <c r="N176" s="68" t="str">
        <f>IF(main!Z179="","",ROUND(main!Z179*100,6))</f>
        <v/>
      </c>
      <c r="O176" s="68" t="str">
        <f>IF(main!AA179="","",ROUND(main!AA179*100,6))</f>
        <v/>
      </c>
      <c r="P176" s="68" t="str">
        <f>IF(main!AB179="","",ROUND(main!AB179*100,6))</f>
        <v/>
      </c>
      <c r="Q176" s="68" t="str">
        <f>IF(main!AC179="","",ROUND(main!AC179*100,6))</f>
        <v/>
      </c>
      <c r="R176" s="68" t="str">
        <f>IF(main!AD179="","",ROUND(main!AD179*100,6))</f>
        <v/>
      </c>
      <c r="S176" s="68" t="str">
        <f>IF(main!AE179="","",ROUND(main!AE179*100,6))</f>
        <v/>
      </c>
      <c r="T176" s="68" t="str">
        <f>IF(main!AF179="","",ROUND(main!AF179*100,6))</f>
        <v/>
      </c>
      <c r="U176" s="68" t="str">
        <f>IF(main!AG179="","",ROUND(main!AG179*100,6))</f>
        <v/>
      </c>
      <c r="V176" s="68" t="str">
        <f>IF(main!AH179="","",ROUND(main!AH179*100,6))</f>
        <v/>
      </c>
      <c r="W176" s="68" t="str">
        <f>IF(main!AI179="","",ROUND(main!AI179*100,6))</f>
        <v/>
      </c>
      <c r="X176" s="68" t="str">
        <f>IF(main!AJ179="","",ROUND(main!AJ179*100,6))</f>
        <v/>
      </c>
      <c r="Y176" s="68" t="str">
        <f>IF(main!AK179="","",ROUND(main!AK179*100,6))</f>
        <v/>
      </c>
      <c r="Z176" s="68" t="str">
        <f>IF(main!AL179="","",ROUND(main!AL179*100,6))</f>
        <v/>
      </c>
      <c r="AA176" s="68" t="str">
        <f>IF(main!AM179="","",ROUND(main!AM179*100,6))</f>
        <v/>
      </c>
      <c r="AB176" s="68" t="str">
        <f>IF(main!AN179="","",ROUND(main!AN179*100,6))</f>
        <v/>
      </c>
      <c r="AC176" s="68" t="str">
        <f>IF(main!AO179="","",ROUND(main!AO179*100,6))</f>
        <v/>
      </c>
      <c r="AD176" s="68" t="str">
        <f>IF(main!AP179="","",ROUND(main!AP179*100,6))</f>
        <v/>
      </c>
      <c r="AE176" s="68" t="str">
        <f>IF(main!AQ179="","",ROUND(main!AQ179*100,6))</f>
        <v/>
      </c>
      <c r="AF176" s="68" t="str">
        <f>IF(main!AR179="","",ROUND(main!AR179*100,6))</f>
        <v/>
      </c>
      <c r="AG176" s="68" t="str">
        <f>IF(main!AS179="","",ROUND(main!AS179*100,6))</f>
        <v/>
      </c>
      <c r="AH176" s="68" t="str">
        <f>IF(main!AT179="","",ROUND(main!AT179*100,6))</f>
        <v/>
      </c>
      <c r="AI176" s="68" t="str">
        <f>IF(main!AU179="","",ROUND(main!AU179*100,6))</f>
        <v/>
      </c>
      <c r="AJ176" s="68" t="str">
        <f>IF(main!AV179="","",ROUND(main!AV179*100,6))</f>
        <v/>
      </c>
      <c r="AK176" s="68" t="str">
        <f>IF(main!AW179="","",ROUND(main!AW179*100,6))</f>
        <v/>
      </c>
      <c r="AL176" s="68" t="str">
        <f>IF(main!AX179="","",ROUND(main!AX179*100,6))</f>
        <v/>
      </c>
      <c r="AM176" s="68" t="str">
        <f>IF(main!AY179="","",ROUND(main!AY179*100,6))</f>
        <v/>
      </c>
      <c r="AN176" s="68" t="str">
        <f>IF(main!AZ179="","",ROUND(main!AZ179*100,6))</f>
        <v/>
      </c>
      <c r="AO176" s="68">
        <f>IF(main!BA179="","",ROUND(main!BA179*100,6))</f>
        <v>4.7619049999999996</v>
      </c>
      <c r="AP176" s="68">
        <f>IF(main!BB179="","",ROUND(main!BB179*100,6))</f>
        <v>33.333333000000003</v>
      </c>
      <c r="AQ176" s="68">
        <f>IF(main!BC179="","",ROUND(main!BC179*100,6))</f>
        <v>33.333333000000003</v>
      </c>
      <c r="AR176" s="68">
        <f>IF(main!BD179="","",ROUND(main!BD179*100,6))</f>
        <v>28.571428999999998</v>
      </c>
      <c r="AS176" s="68" t="str">
        <f>IF(main!BE179="","",ROUND(main!BE179*100,6))</f>
        <v/>
      </c>
      <c r="AT176" s="68" t="str">
        <f>IF(main!BF179="","",ROUND(main!BF179*100,6))</f>
        <v/>
      </c>
      <c r="AU176" s="68" t="str">
        <f>IF(main!BG179="","",ROUND(main!BG179*100,6))</f>
        <v/>
      </c>
      <c r="AV176" s="68" t="str">
        <f>IF(main!BH179="","",ROUND(main!BH179*100,6))</f>
        <v/>
      </c>
      <c r="AW176" s="68" t="str">
        <f>IF(main!BI179="","",ROUND(main!BI179*100,6))</f>
        <v/>
      </c>
      <c r="AX176" s="68" t="str">
        <f>IF(main!BJ179="","",ROUND(main!BJ179*100,6))</f>
        <v/>
      </c>
      <c r="AY176" s="68" t="str">
        <f>IF(main!BK179="","",ROUND(main!BK179*100,6))</f>
        <v/>
      </c>
      <c r="AZ176" s="68" t="str">
        <f>IF(main!BL179="","",ROUND(main!BL179*100,6))</f>
        <v/>
      </c>
      <c r="BA176" s="68" t="str">
        <f>IF(main!BM179="","",ROUND(main!BM179*100,6))</f>
        <v/>
      </c>
      <c r="BB176" s="68" t="str">
        <f>IF(main!BN179="","",ROUND(main!BN179*100,6))</f>
        <v/>
      </c>
      <c r="BC176" s="68" t="str">
        <f>IF(main!BO179="","",ROUND(main!BO179*100,6))</f>
        <v/>
      </c>
      <c r="BD176" s="68" t="str">
        <f>IF(main!BP179="","",ROUND(main!BP179*100,6))</f>
        <v/>
      </c>
      <c r="BE176" s="68" t="str">
        <f>IF(main!BQ179="","",ROUND(main!BQ179*100,6))</f>
        <v/>
      </c>
      <c r="BF176" s="68" t="str">
        <f>IF(main!BR179="","",ROUND(main!BR179*100,6))</f>
        <v/>
      </c>
      <c r="BG176" s="68" t="str">
        <f>IF(main!BS179="","",ROUND(main!BS179*100,6))</f>
        <v/>
      </c>
      <c r="BH176" s="68" t="str">
        <f>IF(main!BT179="","",ROUND(main!BT179*100,6))</f>
        <v/>
      </c>
      <c r="BI176" s="68" t="str">
        <f>IF(main!BU179="","",ROUND(main!BU179*100,6))</f>
        <v/>
      </c>
      <c r="BJ176" s="68" t="str">
        <f>IF(main!BV179="","",ROUND(main!BV179*100,6))</f>
        <v/>
      </c>
      <c r="BK176" s="68" t="str">
        <f>IF(main!BW179="","",ROUND(main!BW179*100,6))</f>
        <v/>
      </c>
      <c r="BL176" s="68" t="str">
        <f>IF(main!BX179="","",ROUND(main!BX179*100,6))</f>
        <v/>
      </c>
      <c r="BM176" s="68" t="str">
        <f>IF(main!BY179="","",ROUND(main!BY179*100,6))</f>
        <v/>
      </c>
      <c r="BN176" s="68" t="str">
        <f>IF(main!BZ179="","",ROUND(main!BZ179*100,6))</f>
        <v/>
      </c>
      <c r="BO176" s="68" t="str">
        <f>IF(main!CA179="","",ROUND(main!CA179*100,6))</f>
        <v/>
      </c>
      <c r="BP176" s="68" t="str">
        <f>IF(main!CB179="","",ROUND(main!CB179*100,6))</f>
        <v/>
      </c>
      <c r="BQ176" s="68" t="str">
        <f>IF(main!CC179="","",ROUND(main!CC179*100,6))</f>
        <v/>
      </c>
      <c r="BR176" s="68" t="str">
        <f>IF(main!CD179="","",ROUND(main!CD179*100,6))</f>
        <v/>
      </c>
      <c r="BS176" s="68" t="str">
        <f>IF(main!CE179="","",ROUND(main!CE179*100,6))</f>
        <v/>
      </c>
      <c r="BT176" s="68" t="str">
        <f>IF(main!CF179="","",ROUND(main!CF179*100,6))</f>
        <v/>
      </c>
      <c r="BU176" s="68" t="str">
        <f>IF(main!CG179="","",ROUND(main!CG179*100,6))</f>
        <v/>
      </c>
      <c r="BV176" s="68" t="str">
        <f>IF(main!CH179="","",ROUND(main!CH179*100,6))</f>
        <v/>
      </c>
      <c r="BW176" s="68" t="str">
        <f>IF(main!CI179="","",ROUND(main!CI179*100,6))</f>
        <v/>
      </c>
      <c r="BX176" s="68" t="str">
        <f>IF(main!CJ179="","",ROUND(main!CJ179*100,6))</f>
        <v/>
      </c>
      <c r="BY176" s="68" t="str">
        <f>IF(main!CK179="","",ROUND(main!CK179*100,6))</f>
        <v/>
      </c>
      <c r="BZ176" s="68" t="str">
        <f>IF(main!CL179="","",ROUND(main!CL179*100,6))</f>
        <v/>
      </c>
      <c r="CA176" s="68" t="str">
        <f>IF(main!CM179="","",ROUND(main!CM179*100,6))</f>
        <v/>
      </c>
      <c r="CB176" s="68" t="str">
        <f>IF(main!CN179="","",ROUND(main!CN179*100,6))</f>
        <v/>
      </c>
      <c r="CC176" s="68" t="str">
        <f>IF(main!CO179="","",ROUND(main!CO179*100,6))</f>
        <v/>
      </c>
    </row>
    <row r="177" spans="1:81" x14ac:dyDescent="0.25">
      <c r="A177" s="65" t="s">
        <v>333</v>
      </c>
      <c r="B177" s="66" t="str">
        <f>main!C179</f>
        <v>งานแต่งเรียบท้องพื้น ท้องคาน</v>
      </c>
      <c r="C177" s="67">
        <f>main!O179</f>
        <v>100000</v>
      </c>
      <c r="D177" s="65" t="s">
        <v>111</v>
      </c>
      <c r="E177" s="68" t="str">
        <f t="shared" si="2"/>
        <v/>
      </c>
      <c r="F177" s="68" t="str">
        <f>IF(main!R180="","",ROUND(main!R180*100,6))</f>
        <v/>
      </c>
      <c r="G177" s="68" t="str">
        <f>IF(main!S180="","",ROUND(main!S180*100,6))</f>
        <v/>
      </c>
      <c r="H177" s="68" t="str">
        <f>IF(main!T180="","",ROUND(main!T180*100,6))</f>
        <v/>
      </c>
      <c r="I177" s="68" t="str">
        <f>IF(main!U180="","",ROUND(main!U180*100,6))</f>
        <v/>
      </c>
      <c r="J177" s="68" t="str">
        <f>IF(main!V180="","",ROUND(main!V180*100,6))</f>
        <v/>
      </c>
      <c r="K177" s="68" t="str">
        <f>IF(main!W180="","",ROUND(main!W180*100,6))</f>
        <v/>
      </c>
      <c r="L177" s="68" t="str">
        <f>IF(main!X180="","",ROUND(main!X180*100,6))</f>
        <v/>
      </c>
      <c r="M177" s="68" t="str">
        <f>IF(main!Y180="","",ROUND(main!Y180*100,6))</f>
        <v/>
      </c>
      <c r="N177" s="68" t="str">
        <f>IF(main!Z180="","",ROUND(main!Z180*100,6))</f>
        <v/>
      </c>
      <c r="O177" s="68" t="str">
        <f>IF(main!AA180="","",ROUND(main!AA180*100,6))</f>
        <v/>
      </c>
      <c r="P177" s="68" t="str">
        <f>IF(main!AB180="","",ROUND(main!AB180*100,6))</f>
        <v/>
      </c>
      <c r="Q177" s="68" t="str">
        <f>IF(main!AC180="","",ROUND(main!AC180*100,6))</f>
        <v/>
      </c>
      <c r="R177" s="68" t="str">
        <f>IF(main!AD180="","",ROUND(main!AD180*100,6))</f>
        <v/>
      </c>
      <c r="S177" s="68" t="str">
        <f>IF(main!AE180="","",ROUND(main!AE180*100,6))</f>
        <v/>
      </c>
      <c r="T177" s="68" t="str">
        <f>IF(main!AF180="","",ROUND(main!AF180*100,6))</f>
        <v/>
      </c>
      <c r="U177" s="68" t="str">
        <f>IF(main!AG180="","",ROUND(main!AG180*100,6))</f>
        <v/>
      </c>
      <c r="V177" s="68" t="str">
        <f>IF(main!AH180="","",ROUND(main!AH180*100,6))</f>
        <v/>
      </c>
      <c r="W177" s="68" t="str">
        <f>IF(main!AI180="","",ROUND(main!AI180*100,6))</f>
        <v/>
      </c>
      <c r="X177" s="68" t="str">
        <f>IF(main!AJ180="","",ROUND(main!AJ180*100,6))</f>
        <v/>
      </c>
      <c r="Y177" s="68" t="str">
        <f>IF(main!AK180="","",ROUND(main!AK180*100,6))</f>
        <v/>
      </c>
      <c r="Z177" s="68" t="str">
        <f>IF(main!AL180="","",ROUND(main!AL180*100,6))</f>
        <v/>
      </c>
      <c r="AA177" s="68" t="str">
        <f>IF(main!AM180="","",ROUND(main!AM180*100,6))</f>
        <v/>
      </c>
      <c r="AB177" s="68" t="str">
        <f>IF(main!AN180="","",ROUND(main!AN180*100,6))</f>
        <v/>
      </c>
      <c r="AC177" s="68" t="str">
        <f>IF(main!AO180="","",ROUND(main!AO180*100,6))</f>
        <v/>
      </c>
      <c r="AD177" s="68" t="str">
        <f>IF(main!AP180="","",ROUND(main!AP180*100,6))</f>
        <v/>
      </c>
      <c r="AE177" s="68" t="str">
        <f>IF(main!AQ180="","",ROUND(main!AQ180*100,6))</f>
        <v/>
      </c>
      <c r="AF177" s="68" t="str">
        <f>IF(main!AR180="","",ROUND(main!AR180*100,6))</f>
        <v/>
      </c>
      <c r="AG177" s="68" t="str">
        <f>IF(main!AS180="","",ROUND(main!AS180*100,6))</f>
        <v/>
      </c>
      <c r="AH177" s="68" t="str">
        <f>IF(main!AT180="","",ROUND(main!AT180*100,6))</f>
        <v/>
      </c>
      <c r="AI177" s="68" t="str">
        <f>IF(main!AU180="","",ROUND(main!AU180*100,6))</f>
        <v/>
      </c>
      <c r="AJ177" s="68" t="str">
        <f>IF(main!AV180="","",ROUND(main!AV180*100,6))</f>
        <v/>
      </c>
      <c r="AK177" s="68" t="str">
        <f>IF(main!AW180="","",ROUND(main!AW180*100,6))</f>
        <v/>
      </c>
      <c r="AL177" s="68" t="str">
        <f>IF(main!AX180="","",ROUND(main!AX180*100,6))</f>
        <v/>
      </c>
      <c r="AM177" s="68" t="str">
        <f>IF(main!AY180="","",ROUND(main!AY180*100,6))</f>
        <v/>
      </c>
      <c r="AN177" s="68" t="str">
        <f>IF(main!AZ180="","",ROUND(main!AZ180*100,6))</f>
        <v/>
      </c>
      <c r="AO177" s="68" t="str">
        <f>IF(main!BA180="","",ROUND(main!BA180*100,6))</f>
        <v/>
      </c>
      <c r="AP177" s="68" t="str">
        <f>IF(main!BB180="","",ROUND(main!BB180*100,6))</f>
        <v/>
      </c>
      <c r="AQ177" s="68" t="str">
        <f>IF(main!BC180="","",ROUND(main!BC180*100,6))</f>
        <v/>
      </c>
      <c r="AR177" s="68" t="str">
        <f>IF(main!BD180="","",ROUND(main!BD180*100,6))</f>
        <v/>
      </c>
      <c r="AS177" s="68" t="str">
        <f>IF(main!BE180="","",ROUND(main!BE180*100,6))</f>
        <v/>
      </c>
      <c r="AT177" s="68" t="str">
        <f>IF(main!BF180="","",ROUND(main!BF180*100,6))</f>
        <v/>
      </c>
      <c r="AU177" s="68" t="str">
        <f>IF(main!BG180="","",ROUND(main!BG180*100,6))</f>
        <v/>
      </c>
      <c r="AV177" s="68" t="str">
        <f>IF(main!BH180="","",ROUND(main!BH180*100,6))</f>
        <v/>
      </c>
      <c r="AW177" s="68" t="str">
        <f>IF(main!BI180="","",ROUND(main!BI180*100,6))</f>
        <v/>
      </c>
      <c r="AX177" s="68" t="str">
        <f>IF(main!BJ180="","",ROUND(main!BJ180*100,6))</f>
        <v/>
      </c>
      <c r="AY177" s="68" t="str">
        <f>IF(main!BK180="","",ROUND(main!BK180*100,6))</f>
        <v/>
      </c>
      <c r="AZ177" s="68" t="str">
        <f>IF(main!BL180="","",ROUND(main!BL180*100,6))</f>
        <v/>
      </c>
      <c r="BA177" s="68" t="str">
        <f>IF(main!BM180="","",ROUND(main!BM180*100,6))</f>
        <v/>
      </c>
      <c r="BB177" s="68" t="str">
        <f>IF(main!BN180="","",ROUND(main!BN180*100,6))</f>
        <v/>
      </c>
      <c r="BC177" s="68" t="str">
        <f>IF(main!BO180="","",ROUND(main!BO180*100,6))</f>
        <v/>
      </c>
      <c r="BD177" s="68" t="str">
        <f>IF(main!BP180="","",ROUND(main!BP180*100,6))</f>
        <v/>
      </c>
      <c r="BE177" s="68" t="str">
        <f>IF(main!BQ180="","",ROUND(main!BQ180*100,6))</f>
        <v/>
      </c>
      <c r="BF177" s="68" t="str">
        <f>IF(main!BR180="","",ROUND(main!BR180*100,6))</f>
        <v/>
      </c>
      <c r="BG177" s="68" t="str">
        <f>IF(main!BS180="","",ROUND(main!BS180*100,6))</f>
        <v/>
      </c>
      <c r="BH177" s="68" t="str">
        <f>IF(main!BT180="","",ROUND(main!BT180*100,6))</f>
        <v/>
      </c>
      <c r="BI177" s="68" t="str">
        <f>IF(main!BU180="","",ROUND(main!BU180*100,6))</f>
        <v/>
      </c>
      <c r="BJ177" s="68" t="str">
        <f>IF(main!BV180="","",ROUND(main!BV180*100,6))</f>
        <v/>
      </c>
      <c r="BK177" s="68" t="str">
        <f>IF(main!BW180="","",ROUND(main!BW180*100,6))</f>
        <v/>
      </c>
      <c r="BL177" s="68" t="str">
        <f>IF(main!BX180="","",ROUND(main!BX180*100,6))</f>
        <v/>
      </c>
      <c r="BM177" s="68" t="str">
        <f>IF(main!BY180="","",ROUND(main!BY180*100,6))</f>
        <v/>
      </c>
      <c r="BN177" s="68" t="str">
        <f>IF(main!BZ180="","",ROUND(main!BZ180*100,6))</f>
        <v/>
      </c>
      <c r="BO177" s="68" t="str">
        <f>IF(main!CA180="","",ROUND(main!CA180*100,6))</f>
        <v/>
      </c>
      <c r="BP177" s="68" t="str">
        <f>IF(main!CB180="","",ROUND(main!CB180*100,6))</f>
        <v/>
      </c>
      <c r="BQ177" s="68" t="str">
        <f>IF(main!CC180="","",ROUND(main!CC180*100,6))</f>
        <v/>
      </c>
      <c r="BR177" s="68" t="str">
        <f>IF(main!CD180="","",ROUND(main!CD180*100,6))</f>
        <v/>
      </c>
      <c r="BS177" s="68" t="str">
        <f>IF(main!CE180="","",ROUND(main!CE180*100,6))</f>
        <v/>
      </c>
      <c r="BT177" s="68" t="str">
        <f>IF(main!CF180="","",ROUND(main!CF180*100,6))</f>
        <v/>
      </c>
      <c r="BU177" s="68" t="str">
        <f>IF(main!CG180="","",ROUND(main!CG180*100,6))</f>
        <v/>
      </c>
      <c r="BV177" s="68" t="str">
        <f>IF(main!CH180="","",ROUND(main!CH180*100,6))</f>
        <v/>
      </c>
      <c r="BW177" s="68" t="str">
        <f>IF(main!CI180="","",ROUND(main!CI180*100,6))</f>
        <v/>
      </c>
      <c r="BX177" s="68" t="str">
        <f>IF(main!CJ180="","",ROUND(main!CJ180*100,6))</f>
        <v/>
      </c>
      <c r="BY177" s="68" t="str">
        <f>IF(main!CK180="","",ROUND(main!CK180*100,6))</f>
        <v/>
      </c>
      <c r="BZ177" s="68" t="str">
        <f>IF(main!CL180="","",ROUND(main!CL180*100,6))</f>
        <v/>
      </c>
      <c r="CA177" s="68" t="str">
        <f>IF(main!CM180="","",ROUND(main!CM180*100,6))</f>
        <v/>
      </c>
      <c r="CB177" s="68" t="str">
        <f>IF(main!CN180="","",ROUND(main!CN180*100,6))</f>
        <v/>
      </c>
      <c r="CC177" s="68" t="str">
        <f>IF(main!CO180="","",ROUND(main!CO180*100,6))</f>
        <v/>
      </c>
    </row>
    <row r="178" spans="1:81" x14ac:dyDescent="0.25">
      <c r="A178" s="65" t="s">
        <v>336</v>
      </c>
      <c r="B178" s="66" t="str">
        <f>main!C181</f>
        <v>Floor &amp; Floor Fn.</v>
      </c>
      <c r="C178" s="67">
        <f>main!O181</f>
        <v>400000</v>
      </c>
      <c r="D178" s="65" t="s">
        <v>110</v>
      </c>
      <c r="E178" s="68">
        <f t="shared" si="2"/>
        <v>99.999998000000005</v>
      </c>
      <c r="F178" s="68" t="str">
        <f>IF(main!R181="","",ROUND(main!R181*100,6))</f>
        <v/>
      </c>
      <c r="G178" s="68" t="str">
        <f>IF(main!S181="","",ROUND(main!S181*100,6))</f>
        <v/>
      </c>
      <c r="H178" s="68" t="str">
        <f>IF(main!T181="","",ROUND(main!T181*100,6))</f>
        <v/>
      </c>
      <c r="I178" s="68" t="str">
        <f>IF(main!U181="","",ROUND(main!U181*100,6))</f>
        <v/>
      </c>
      <c r="J178" s="68" t="str">
        <f>IF(main!V181="","",ROUND(main!V181*100,6))</f>
        <v/>
      </c>
      <c r="K178" s="68" t="str">
        <f>IF(main!W181="","",ROUND(main!W181*100,6))</f>
        <v/>
      </c>
      <c r="L178" s="68" t="str">
        <f>IF(main!X181="","",ROUND(main!X181*100,6))</f>
        <v/>
      </c>
      <c r="M178" s="68" t="str">
        <f>IF(main!Y181="","",ROUND(main!Y181*100,6))</f>
        <v/>
      </c>
      <c r="N178" s="68" t="str">
        <f>IF(main!Z181="","",ROUND(main!Z181*100,6))</f>
        <v/>
      </c>
      <c r="O178" s="68" t="str">
        <f>IF(main!AA181="","",ROUND(main!AA181*100,6))</f>
        <v/>
      </c>
      <c r="P178" s="68" t="str">
        <f>IF(main!AB181="","",ROUND(main!AB181*100,6))</f>
        <v/>
      </c>
      <c r="Q178" s="68" t="str">
        <f>IF(main!AC181="","",ROUND(main!AC181*100,6))</f>
        <v/>
      </c>
      <c r="R178" s="68" t="str">
        <f>IF(main!AD181="","",ROUND(main!AD181*100,6))</f>
        <v/>
      </c>
      <c r="S178" s="68" t="str">
        <f>IF(main!AE181="","",ROUND(main!AE181*100,6))</f>
        <v/>
      </c>
      <c r="T178" s="68" t="str">
        <f>IF(main!AF181="","",ROUND(main!AF181*100,6))</f>
        <v/>
      </c>
      <c r="U178" s="68" t="str">
        <f>IF(main!AG181="","",ROUND(main!AG181*100,6))</f>
        <v/>
      </c>
      <c r="V178" s="68" t="str">
        <f>IF(main!AH181="","",ROUND(main!AH181*100,6))</f>
        <v/>
      </c>
      <c r="W178" s="68" t="str">
        <f>IF(main!AI181="","",ROUND(main!AI181*100,6))</f>
        <v/>
      </c>
      <c r="X178" s="68" t="str">
        <f>IF(main!AJ181="","",ROUND(main!AJ181*100,6))</f>
        <v/>
      </c>
      <c r="Y178" s="68" t="str">
        <f>IF(main!AK181="","",ROUND(main!AK181*100,6))</f>
        <v/>
      </c>
      <c r="Z178" s="68" t="str">
        <f>IF(main!AL181="","",ROUND(main!AL181*100,6))</f>
        <v/>
      </c>
      <c r="AA178" s="68" t="str">
        <f>IF(main!AM181="","",ROUND(main!AM181*100,6))</f>
        <v/>
      </c>
      <c r="AB178" s="68" t="str">
        <f>IF(main!AN181="","",ROUND(main!AN181*100,6))</f>
        <v/>
      </c>
      <c r="AC178" s="68" t="str">
        <f>IF(main!AO181="","",ROUND(main!AO181*100,6))</f>
        <v/>
      </c>
      <c r="AD178" s="68" t="str">
        <f>IF(main!AP181="","",ROUND(main!AP181*100,6))</f>
        <v/>
      </c>
      <c r="AE178" s="68" t="str">
        <f>IF(main!AQ181="","",ROUND(main!AQ181*100,6))</f>
        <v/>
      </c>
      <c r="AF178" s="68" t="str">
        <f>IF(main!AR181="","",ROUND(main!AR181*100,6))</f>
        <v/>
      </c>
      <c r="AG178" s="68" t="str">
        <f>IF(main!AS181="","",ROUND(main!AS181*100,6))</f>
        <v/>
      </c>
      <c r="AH178" s="68" t="str">
        <f>IF(main!AT181="","",ROUND(main!AT181*100,6))</f>
        <v/>
      </c>
      <c r="AI178" s="68" t="str">
        <f>IF(main!AU181="","",ROUND(main!AU181*100,6))</f>
        <v/>
      </c>
      <c r="AJ178" s="68" t="str">
        <f>IF(main!AV181="","",ROUND(main!AV181*100,6))</f>
        <v/>
      </c>
      <c r="AK178" s="68" t="str">
        <f>IF(main!AW181="","",ROUND(main!AW181*100,6))</f>
        <v/>
      </c>
      <c r="AL178" s="68" t="str">
        <f>IF(main!AX181="","",ROUND(main!AX181*100,6))</f>
        <v/>
      </c>
      <c r="AM178" s="68" t="str">
        <f>IF(main!AY181="","",ROUND(main!AY181*100,6))</f>
        <v/>
      </c>
      <c r="AN178" s="68" t="str">
        <f>IF(main!AZ181="","",ROUND(main!AZ181*100,6))</f>
        <v/>
      </c>
      <c r="AO178" s="68" t="str">
        <f>IF(main!BA181="","",ROUND(main!BA181*100,6))</f>
        <v/>
      </c>
      <c r="AP178" s="68" t="str">
        <f>IF(main!BB181="","",ROUND(main!BB181*100,6))</f>
        <v/>
      </c>
      <c r="AQ178" s="68" t="str">
        <f>IF(main!BC181="","",ROUND(main!BC181*100,6))</f>
        <v/>
      </c>
      <c r="AR178" s="68" t="str">
        <f>IF(main!BD181="","",ROUND(main!BD181*100,6))</f>
        <v/>
      </c>
      <c r="AS178" s="68" t="str">
        <f>IF(main!BE181="","",ROUND(main!BE181*100,6))</f>
        <v/>
      </c>
      <c r="AT178" s="68" t="str">
        <f>IF(main!BF181="","",ROUND(main!BF181*100,6))</f>
        <v/>
      </c>
      <c r="AU178" s="68" t="str">
        <f>IF(main!BG181="","",ROUND(main!BG181*100,6))</f>
        <v/>
      </c>
      <c r="AV178" s="68" t="str">
        <f>IF(main!BH181="","",ROUND(main!BH181*100,6))</f>
        <v/>
      </c>
      <c r="AW178" s="68" t="str">
        <f>IF(main!BI181="","",ROUND(main!BI181*100,6))</f>
        <v/>
      </c>
      <c r="AX178" s="68" t="str">
        <f>IF(main!BJ181="","",ROUND(main!BJ181*100,6))</f>
        <v/>
      </c>
      <c r="AY178" s="68" t="str">
        <f>IF(main!BK181="","",ROUND(main!BK181*100,6))</f>
        <v/>
      </c>
      <c r="AZ178" s="68" t="str">
        <f>IF(main!BL181="","",ROUND(main!BL181*100,6))</f>
        <v/>
      </c>
      <c r="BA178" s="68" t="str">
        <f>IF(main!BM181="","",ROUND(main!BM181*100,6))</f>
        <v/>
      </c>
      <c r="BB178" s="68" t="str">
        <f>IF(main!BN181="","",ROUND(main!BN181*100,6))</f>
        <v/>
      </c>
      <c r="BC178" s="68">
        <f>IF(main!BO181="","",ROUND(main!BO181*100,6))</f>
        <v>2.3809520000000002</v>
      </c>
      <c r="BD178" s="68">
        <f>IF(main!BP181="","",ROUND(main!BP181*100,6))</f>
        <v>8.3333329999999997</v>
      </c>
      <c r="BE178" s="68">
        <f>IF(main!BQ181="","",ROUND(main!BQ181*100,6))</f>
        <v>8.3333329999999997</v>
      </c>
      <c r="BF178" s="68">
        <f>IF(main!BR181="","",ROUND(main!BR181*100,6))</f>
        <v>12.531328</v>
      </c>
      <c r="BG178" s="68">
        <f>IF(main!BS181="","",ROUND(main!BS181*100,6))</f>
        <v>9.2105259999999998</v>
      </c>
      <c r="BH178" s="68">
        <f>IF(main!BT181="","",ROUND(main!BT181*100,6))</f>
        <v>9.2105259999999998</v>
      </c>
      <c r="BI178" s="68" t="str">
        <f>IF(main!BU181="","",ROUND(main!BU181*100,6))</f>
        <v/>
      </c>
      <c r="BJ178" s="68" t="str">
        <f>IF(main!BV181="","",ROUND(main!BV181*100,6))</f>
        <v/>
      </c>
      <c r="BK178" s="68" t="str">
        <f>IF(main!BW181="","",ROUND(main!BW181*100,6))</f>
        <v/>
      </c>
      <c r="BL178" s="68" t="str">
        <f>IF(main!BX181="","",ROUND(main!BX181*100,6))</f>
        <v/>
      </c>
      <c r="BM178" s="68" t="str">
        <f>IF(main!BY181="","",ROUND(main!BY181*100,6))</f>
        <v/>
      </c>
      <c r="BN178" s="68">
        <f>IF(main!BZ181="","",ROUND(main!BZ181*100,6))</f>
        <v>1.785714</v>
      </c>
      <c r="BO178" s="68">
        <f>IF(main!CA181="","",ROUND(main!CA181*100,6))</f>
        <v>6.25</v>
      </c>
      <c r="BP178" s="68">
        <f>IF(main!CB181="","",ROUND(main!CB181*100,6))</f>
        <v>6.25</v>
      </c>
      <c r="BQ178" s="68">
        <f>IF(main!CC181="","",ROUND(main!CC181*100,6))</f>
        <v>6.25</v>
      </c>
      <c r="BR178" s="68">
        <f>IF(main!CD181="","",ROUND(main!CD181*100,6))</f>
        <v>4.4642860000000004</v>
      </c>
      <c r="BS178" s="68" t="str">
        <f>IF(main!CE181="","",ROUND(main!CE181*100,6))</f>
        <v/>
      </c>
      <c r="BT178" s="68" t="str">
        <f>IF(main!CF181="","",ROUND(main!CF181*100,6))</f>
        <v/>
      </c>
      <c r="BU178" s="68">
        <f>IF(main!CG181="","",ROUND(main!CG181*100,6))</f>
        <v>5.3571429999999998</v>
      </c>
      <c r="BV178" s="68">
        <f>IF(main!CH181="","",ROUND(main!CH181*100,6))</f>
        <v>12.5</v>
      </c>
      <c r="BW178" s="68">
        <f>IF(main!CI181="","",ROUND(main!CI181*100,6))</f>
        <v>7.1428570000000002</v>
      </c>
      <c r="BX178" s="68" t="str">
        <f>IF(main!CJ181="","",ROUND(main!CJ181*100,6))</f>
        <v/>
      </c>
      <c r="BY178" s="68" t="str">
        <f>IF(main!CK181="","",ROUND(main!CK181*100,6))</f>
        <v/>
      </c>
      <c r="BZ178" s="68" t="str">
        <f>IF(main!CL181="","",ROUND(main!CL181*100,6))</f>
        <v/>
      </c>
      <c r="CA178" s="68" t="str">
        <f>IF(main!CM181="","",ROUND(main!CM181*100,6))</f>
        <v/>
      </c>
      <c r="CB178" s="68" t="str">
        <f>IF(main!CN181="","",ROUND(main!CN181*100,6))</f>
        <v/>
      </c>
      <c r="CC178" s="68" t="str">
        <f>IF(main!CO181="","",ROUND(main!CO181*100,6))</f>
        <v/>
      </c>
    </row>
    <row r="179" spans="1:81" x14ac:dyDescent="0.25">
      <c r="A179" s="65" t="s">
        <v>336</v>
      </c>
      <c r="B179" s="66" t="str">
        <f>main!C181</f>
        <v>Floor &amp; Floor Fn.</v>
      </c>
      <c r="C179" s="67">
        <f>main!O181</f>
        <v>400000</v>
      </c>
      <c r="D179" s="65" t="s">
        <v>111</v>
      </c>
      <c r="E179" s="68" t="str">
        <f t="shared" si="2"/>
        <v/>
      </c>
      <c r="F179" s="68" t="str">
        <f>IF(main!R182="","",ROUND(main!R182*100,6))</f>
        <v/>
      </c>
      <c r="G179" s="68" t="str">
        <f>IF(main!S182="","",ROUND(main!S182*100,6))</f>
        <v/>
      </c>
      <c r="H179" s="68" t="str">
        <f>IF(main!T182="","",ROUND(main!T182*100,6))</f>
        <v/>
      </c>
      <c r="I179" s="68" t="str">
        <f>IF(main!U182="","",ROUND(main!U182*100,6))</f>
        <v/>
      </c>
      <c r="J179" s="68" t="str">
        <f>IF(main!V182="","",ROUND(main!V182*100,6))</f>
        <v/>
      </c>
      <c r="K179" s="68" t="str">
        <f>IF(main!W182="","",ROUND(main!W182*100,6))</f>
        <v/>
      </c>
      <c r="L179" s="68" t="str">
        <f>IF(main!X182="","",ROUND(main!X182*100,6))</f>
        <v/>
      </c>
      <c r="M179" s="68" t="str">
        <f>IF(main!Y182="","",ROUND(main!Y182*100,6))</f>
        <v/>
      </c>
      <c r="N179" s="68" t="str">
        <f>IF(main!Z182="","",ROUND(main!Z182*100,6))</f>
        <v/>
      </c>
      <c r="O179" s="68" t="str">
        <f>IF(main!AA182="","",ROUND(main!AA182*100,6))</f>
        <v/>
      </c>
      <c r="P179" s="68" t="str">
        <f>IF(main!AB182="","",ROUND(main!AB182*100,6))</f>
        <v/>
      </c>
      <c r="Q179" s="68" t="str">
        <f>IF(main!AC182="","",ROUND(main!AC182*100,6))</f>
        <v/>
      </c>
      <c r="R179" s="68" t="str">
        <f>IF(main!AD182="","",ROUND(main!AD182*100,6))</f>
        <v/>
      </c>
      <c r="S179" s="68" t="str">
        <f>IF(main!AE182="","",ROUND(main!AE182*100,6))</f>
        <v/>
      </c>
      <c r="T179" s="68" t="str">
        <f>IF(main!AF182="","",ROUND(main!AF182*100,6))</f>
        <v/>
      </c>
      <c r="U179" s="68" t="str">
        <f>IF(main!AG182="","",ROUND(main!AG182*100,6))</f>
        <v/>
      </c>
      <c r="V179" s="68" t="str">
        <f>IF(main!AH182="","",ROUND(main!AH182*100,6))</f>
        <v/>
      </c>
      <c r="W179" s="68" t="str">
        <f>IF(main!AI182="","",ROUND(main!AI182*100,6))</f>
        <v/>
      </c>
      <c r="X179" s="68" t="str">
        <f>IF(main!AJ182="","",ROUND(main!AJ182*100,6))</f>
        <v/>
      </c>
      <c r="Y179" s="68" t="str">
        <f>IF(main!AK182="","",ROUND(main!AK182*100,6))</f>
        <v/>
      </c>
      <c r="Z179" s="68" t="str">
        <f>IF(main!AL182="","",ROUND(main!AL182*100,6))</f>
        <v/>
      </c>
      <c r="AA179" s="68" t="str">
        <f>IF(main!AM182="","",ROUND(main!AM182*100,6))</f>
        <v/>
      </c>
      <c r="AB179" s="68" t="str">
        <f>IF(main!AN182="","",ROUND(main!AN182*100,6))</f>
        <v/>
      </c>
      <c r="AC179" s="68" t="str">
        <f>IF(main!AO182="","",ROUND(main!AO182*100,6))</f>
        <v/>
      </c>
      <c r="AD179" s="68" t="str">
        <f>IF(main!AP182="","",ROUND(main!AP182*100,6))</f>
        <v/>
      </c>
      <c r="AE179" s="68" t="str">
        <f>IF(main!AQ182="","",ROUND(main!AQ182*100,6))</f>
        <v/>
      </c>
      <c r="AF179" s="68" t="str">
        <f>IF(main!AR182="","",ROUND(main!AR182*100,6))</f>
        <v/>
      </c>
      <c r="AG179" s="68" t="str">
        <f>IF(main!AS182="","",ROUND(main!AS182*100,6))</f>
        <v/>
      </c>
      <c r="AH179" s="68" t="str">
        <f>IF(main!AT182="","",ROUND(main!AT182*100,6))</f>
        <v/>
      </c>
      <c r="AI179" s="68" t="str">
        <f>IF(main!AU182="","",ROUND(main!AU182*100,6))</f>
        <v/>
      </c>
      <c r="AJ179" s="68" t="str">
        <f>IF(main!AV182="","",ROUND(main!AV182*100,6))</f>
        <v/>
      </c>
      <c r="AK179" s="68" t="str">
        <f>IF(main!AW182="","",ROUND(main!AW182*100,6))</f>
        <v/>
      </c>
      <c r="AL179" s="68" t="str">
        <f>IF(main!AX182="","",ROUND(main!AX182*100,6))</f>
        <v/>
      </c>
      <c r="AM179" s="68" t="str">
        <f>IF(main!AY182="","",ROUND(main!AY182*100,6))</f>
        <v/>
      </c>
      <c r="AN179" s="68" t="str">
        <f>IF(main!AZ182="","",ROUND(main!AZ182*100,6))</f>
        <v/>
      </c>
      <c r="AO179" s="68" t="str">
        <f>IF(main!BA182="","",ROUND(main!BA182*100,6))</f>
        <v/>
      </c>
      <c r="AP179" s="68" t="str">
        <f>IF(main!BB182="","",ROUND(main!BB182*100,6))</f>
        <v/>
      </c>
      <c r="AQ179" s="68" t="str">
        <f>IF(main!BC182="","",ROUND(main!BC182*100,6))</f>
        <v/>
      </c>
      <c r="AR179" s="68" t="str">
        <f>IF(main!BD182="","",ROUND(main!BD182*100,6))</f>
        <v/>
      </c>
      <c r="AS179" s="68" t="str">
        <f>IF(main!BE182="","",ROUND(main!BE182*100,6))</f>
        <v/>
      </c>
      <c r="AT179" s="68" t="str">
        <f>IF(main!BF182="","",ROUND(main!BF182*100,6))</f>
        <v/>
      </c>
      <c r="AU179" s="68" t="str">
        <f>IF(main!BG182="","",ROUND(main!BG182*100,6))</f>
        <v/>
      </c>
      <c r="AV179" s="68" t="str">
        <f>IF(main!BH182="","",ROUND(main!BH182*100,6))</f>
        <v/>
      </c>
      <c r="AW179" s="68" t="str">
        <f>IF(main!BI182="","",ROUND(main!BI182*100,6))</f>
        <v/>
      </c>
      <c r="AX179" s="68" t="str">
        <f>IF(main!BJ182="","",ROUND(main!BJ182*100,6))</f>
        <v/>
      </c>
      <c r="AY179" s="68" t="str">
        <f>IF(main!BK182="","",ROUND(main!BK182*100,6))</f>
        <v/>
      </c>
      <c r="AZ179" s="68" t="str">
        <f>IF(main!BL182="","",ROUND(main!BL182*100,6))</f>
        <v/>
      </c>
      <c r="BA179" s="68" t="str">
        <f>IF(main!BM182="","",ROUND(main!BM182*100,6))</f>
        <v/>
      </c>
      <c r="BB179" s="68" t="str">
        <f>IF(main!BN182="","",ROUND(main!BN182*100,6))</f>
        <v/>
      </c>
      <c r="BC179" s="68" t="str">
        <f>IF(main!BO182="","",ROUND(main!BO182*100,6))</f>
        <v/>
      </c>
      <c r="BD179" s="68" t="str">
        <f>IF(main!BP182="","",ROUND(main!BP182*100,6))</f>
        <v/>
      </c>
      <c r="BE179" s="68" t="str">
        <f>IF(main!BQ182="","",ROUND(main!BQ182*100,6))</f>
        <v/>
      </c>
      <c r="BF179" s="68" t="str">
        <f>IF(main!BR182="","",ROUND(main!BR182*100,6))</f>
        <v/>
      </c>
      <c r="BG179" s="68" t="str">
        <f>IF(main!BS182="","",ROUND(main!BS182*100,6))</f>
        <v/>
      </c>
      <c r="BH179" s="68" t="str">
        <f>IF(main!BT182="","",ROUND(main!BT182*100,6))</f>
        <v/>
      </c>
      <c r="BI179" s="68" t="str">
        <f>IF(main!BU182="","",ROUND(main!BU182*100,6))</f>
        <v/>
      </c>
      <c r="BJ179" s="68" t="str">
        <f>IF(main!BV182="","",ROUND(main!BV182*100,6))</f>
        <v/>
      </c>
      <c r="BK179" s="68" t="str">
        <f>IF(main!BW182="","",ROUND(main!BW182*100,6))</f>
        <v/>
      </c>
      <c r="BL179" s="68" t="str">
        <f>IF(main!BX182="","",ROUND(main!BX182*100,6))</f>
        <v/>
      </c>
      <c r="BM179" s="68" t="str">
        <f>IF(main!BY182="","",ROUND(main!BY182*100,6))</f>
        <v/>
      </c>
      <c r="BN179" s="68" t="str">
        <f>IF(main!BZ182="","",ROUND(main!BZ182*100,6))</f>
        <v/>
      </c>
      <c r="BO179" s="68" t="str">
        <f>IF(main!CA182="","",ROUND(main!CA182*100,6))</f>
        <v/>
      </c>
      <c r="BP179" s="68" t="str">
        <f>IF(main!CB182="","",ROUND(main!CB182*100,6))</f>
        <v/>
      </c>
      <c r="BQ179" s="68" t="str">
        <f>IF(main!CC182="","",ROUND(main!CC182*100,6))</f>
        <v/>
      </c>
      <c r="BR179" s="68" t="str">
        <f>IF(main!CD182="","",ROUND(main!CD182*100,6))</f>
        <v/>
      </c>
      <c r="BS179" s="68" t="str">
        <f>IF(main!CE182="","",ROUND(main!CE182*100,6))</f>
        <v/>
      </c>
      <c r="BT179" s="68" t="str">
        <f>IF(main!CF182="","",ROUND(main!CF182*100,6))</f>
        <v/>
      </c>
      <c r="BU179" s="68" t="str">
        <f>IF(main!CG182="","",ROUND(main!CG182*100,6))</f>
        <v/>
      </c>
      <c r="BV179" s="68" t="str">
        <f>IF(main!CH182="","",ROUND(main!CH182*100,6))</f>
        <v/>
      </c>
      <c r="BW179" s="68" t="str">
        <f>IF(main!CI182="","",ROUND(main!CI182*100,6))</f>
        <v/>
      </c>
      <c r="BX179" s="68" t="str">
        <f>IF(main!CJ182="","",ROUND(main!CJ182*100,6))</f>
        <v/>
      </c>
      <c r="BY179" s="68" t="str">
        <f>IF(main!CK182="","",ROUND(main!CK182*100,6))</f>
        <v/>
      </c>
      <c r="BZ179" s="68" t="str">
        <f>IF(main!CL182="","",ROUND(main!CL182*100,6))</f>
        <v/>
      </c>
      <c r="CA179" s="68" t="str">
        <f>IF(main!CM182="","",ROUND(main!CM182*100,6))</f>
        <v/>
      </c>
      <c r="CB179" s="68" t="str">
        <f>IF(main!CN182="","",ROUND(main!CN182*100,6))</f>
        <v/>
      </c>
      <c r="CC179" s="68" t="str">
        <f>IF(main!CO182="","",ROUND(main!CO182*100,6))</f>
        <v/>
      </c>
    </row>
    <row r="180" spans="1:81" x14ac:dyDescent="0.25">
      <c r="A180" s="65" t="s">
        <v>338</v>
      </c>
      <c r="B180" s="66" t="str">
        <f>main!C183</f>
        <v>งานพื้นขัดเรียบพื้นที่จัดหาผลประโยชน์</v>
      </c>
      <c r="C180" s="67">
        <f>main!O183</f>
        <v>100000</v>
      </c>
      <c r="D180" s="65" t="s">
        <v>110</v>
      </c>
      <c r="E180" s="68">
        <f t="shared" si="2"/>
        <v>100</v>
      </c>
      <c r="F180" s="68" t="str">
        <f>IF(main!R183="","",ROUND(main!R183*100,6))</f>
        <v/>
      </c>
      <c r="G180" s="68" t="str">
        <f>IF(main!S183="","",ROUND(main!S183*100,6))</f>
        <v/>
      </c>
      <c r="H180" s="68" t="str">
        <f>IF(main!T183="","",ROUND(main!T183*100,6))</f>
        <v/>
      </c>
      <c r="I180" s="68" t="str">
        <f>IF(main!U183="","",ROUND(main!U183*100,6))</f>
        <v/>
      </c>
      <c r="J180" s="68" t="str">
        <f>IF(main!V183="","",ROUND(main!V183*100,6))</f>
        <v/>
      </c>
      <c r="K180" s="68" t="str">
        <f>IF(main!W183="","",ROUND(main!W183*100,6))</f>
        <v/>
      </c>
      <c r="L180" s="68" t="str">
        <f>IF(main!X183="","",ROUND(main!X183*100,6))</f>
        <v/>
      </c>
      <c r="M180" s="68" t="str">
        <f>IF(main!Y183="","",ROUND(main!Y183*100,6))</f>
        <v/>
      </c>
      <c r="N180" s="68" t="str">
        <f>IF(main!Z183="","",ROUND(main!Z183*100,6))</f>
        <v/>
      </c>
      <c r="O180" s="68" t="str">
        <f>IF(main!AA183="","",ROUND(main!AA183*100,6))</f>
        <v/>
      </c>
      <c r="P180" s="68" t="str">
        <f>IF(main!AB183="","",ROUND(main!AB183*100,6))</f>
        <v/>
      </c>
      <c r="Q180" s="68" t="str">
        <f>IF(main!AC183="","",ROUND(main!AC183*100,6))</f>
        <v/>
      </c>
      <c r="R180" s="68" t="str">
        <f>IF(main!AD183="","",ROUND(main!AD183*100,6))</f>
        <v/>
      </c>
      <c r="S180" s="68" t="str">
        <f>IF(main!AE183="","",ROUND(main!AE183*100,6))</f>
        <v/>
      </c>
      <c r="T180" s="68" t="str">
        <f>IF(main!AF183="","",ROUND(main!AF183*100,6))</f>
        <v/>
      </c>
      <c r="U180" s="68" t="str">
        <f>IF(main!AG183="","",ROUND(main!AG183*100,6))</f>
        <v/>
      </c>
      <c r="V180" s="68" t="str">
        <f>IF(main!AH183="","",ROUND(main!AH183*100,6))</f>
        <v/>
      </c>
      <c r="W180" s="68" t="str">
        <f>IF(main!AI183="","",ROUND(main!AI183*100,6))</f>
        <v/>
      </c>
      <c r="X180" s="68" t="str">
        <f>IF(main!AJ183="","",ROUND(main!AJ183*100,6))</f>
        <v/>
      </c>
      <c r="Y180" s="68" t="str">
        <f>IF(main!AK183="","",ROUND(main!AK183*100,6))</f>
        <v/>
      </c>
      <c r="Z180" s="68" t="str">
        <f>IF(main!AL183="","",ROUND(main!AL183*100,6))</f>
        <v/>
      </c>
      <c r="AA180" s="68" t="str">
        <f>IF(main!AM183="","",ROUND(main!AM183*100,6))</f>
        <v/>
      </c>
      <c r="AB180" s="68" t="str">
        <f>IF(main!AN183="","",ROUND(main!AN183*100,6))</f>
        <v/>
      </c>
      <c r="AC180" s="68" t="str">
        <f>IF(main!AO183="","",ROUND(main!AO183*100,6))</f>
        <v/>
      </c>
      <c r="AD180" s="68" t="str">
        <f>IF(main!AP183="","",ROUND(main!AP183*100,6))</f>
        <v/>
      </c>
      <c r="AE180" s="68" t="str">
        <f>IF(main!AQ183="","",ROUND(main!AQ183*100,6))</f>
        <v/>
      </c>
      <c r="AF180" s="68" t="str">
        <f>IF(main!AR183="","",ROUND(main!AR183*100,6))</f>
        <v/>
      </c>
      <c r="AG180" s="68" t="str">
        <f>IF(main!AS183="","",ROUND(main!AS183*100,6))</f>
        <v/>
      </c>
      <c r="AH180" s="68" t="str">
        <f>IF(main!AT183="","",ROUND(main!AT183*100,6))</f>
        <v/>
      </c>
      <c r="AI180" s="68" t="str">
        <f>IF(main!AU183="","",ROUND(main!AU183*100,6))</f>
        <v/>
      </c>
      <c r="AJ180" s="68" t="str">
        <f>IF(main!AV183="","",ROUND(main!AV183*100,6))</f>
        <v/>
      </c>
      <c r="AK180" s="68" t="str">
        <f>IF(main!AW183="","",ROUND(main!AW183*100,6))</f>
        <v/>
      </c>
      <c r="AL180" s="68" t="str">
        <f>IF(main!AX183="","",ROUND(main!AX183*100,6))</f>
        <v/>
      </c>
      <c r="AM180" s="68" t="str">
        <f>IF(main!AY183="","",ROUND(main!AY183*100,6))</f>
        <v/>
      </c>
      <c r="AN180" s="68" t="str">
        <f>IF(main!AZ183="","",ROUND(main!AZ183*100,6))</f>
        <v/>
      </c>
      <c r="AO180" s="68" t="str">
        <f>IF(main!BA183="","",ROUND(main!BA183*100,6))</f>
        <v/>
      </c>
      <c r="AP180" s="68" t="str">
        <f>IF(main!BB183="","",ROUND(main!BB183*100,6))</f>
        <v/>
      </c>
      <c r="AQ180" s="68" t="str">
        <f>IF(main!BC183="","",ROUND(main!BC183*100,6))</f>
        <v/>
      </c>
      <c r="AR180" s="68" t="str">
        <f>IF(main!BD183="","",ROUND(main!BD183*100,6))</f>
        <v/>
      </c>
      <c r="AS180" s="68" t="str">
        <f>IF(main!BE183="","",ROUND(main!BE183*100,6))</f>
        <v/>
      </c>
      <c r="AT180" s="68" t="str">
        <f>IF(main!BF183="","",ROUND(main!BF183*100,6))</f>
        <v/>
      </c>
      <c r="AU180" s="68" t="str">
        <f>IF(main!BG183="","",ROUND(main!BG183*100,6))</f>
        <v/>
      </c>
      <c r="AV180" s="68" t="str">
        <f>IF(main!BH183="","",ROUND(main!BH183*100,6))</f>
        <v/>
      </c>
      <c r="AW180" s="68" t="str">
        <f>IF(main!BI183="","",ROUND(main!BI183*100,6))</f>
        <v/>
      </c>
      <c r="AX180" s="68" t="str">
        <f>IF(main!BJ183="","",ROUND(main!BJ183*100,6))</f>
        <v/>
      </c>
      <c r="AY180" s="68" t="str">
        <f>IF(main!BK183="","",ROUND(main!BK183*100,6))</f>
        <v/>
      </c>
      <c r="AZ180" s="68" t="str">
        <f>IF(main!BL183="","",ROUND(main!BL183*100,6))</f>
        <v/>
      </c>
      <c r="BA180" s="68" t="str">
        <f>IF(main!BM183="","",ROUND(main!BM183*100,6))</f>
        <v/>
      </c>
      <c r="BB180" s="68" t="str">
        <f>IF(main!BN183="","",ROUND(main!BN183*100,6))</f>
        <v/>
      </c>
      <c r="BC180" s="68">
        <f>IF(main!BO183="","",ROUND(main!BO183*100,6))</f>
        <v>9.5238099999999992</v>
      </c>
      <c r="BD180" s="68">
        <f>IF(main!BP183="","",ROUND(main!BP183*100,6))</f>
        <v>33.333333000000003</v>
      </c>
      <c r="BE180" s="68">
        <f>IF(main!BQ183="","",ROUND(main!BQ183*100,6))</f>
        <v>33.333333000000003</v>
      </c>
      <c r="BF180" s="68">
        <f>IF(main!BR183="","",ROUND(main!BR183*100,6))</f>
        <v>23.809524</v>
      </c>
      <c r="BG180" s="68" t="str">
        <f>IF(main!BS183="","",ROUND(main!BS183*100,6))</f>
        <v/>
      </c>
      <c r="BH180" s="68" t="str">
        <f>IF(main!BT183="","",ROUND(main!BT183*100,6))</f>
        <v/>
      </c>
      <c r="BI180" s="68" t="str">
        <f>IF(main!BU183="","",ROUND(main!BU183*100,6))</f>
        <v/>
      </c>
      <c r="BJ180" s="68" t="str">
        <f>IF(main!BV183="","",ROUND(main!BV183*100,6))</f>
        <v/>
      </c>
      <c r="BK180" s="68" t="str">
        <f>IF(main!BW183="","",ROUND(main!BW183*100,6))</f>
        <v/>
      </c>
      <c r="BL180" s="68" t="str">
        <f>IF(main!BX183="","",ROUND(main!BX183*100,6))</f>
        <v/>
      </c>
      <c r="BM180" s="68" t="str">
        <f>IF(main!BY183="","",ROUND(main!BY183*100,6))</f>
        <v/>
      </c>
      <c r="BN180" s="68" t="str">
        <f>IF(main!BZ183="","",ROUND(main!BZ183*100,6))</f>
        <v/>
      </c>
      <c r="BO180" s="68" t="str">
        <f>IF(main!CA183="","",ROUND(main!CA183*100,6))</f>
        <v/>
      </c>
      <c r="BP180" s="68" t="str">
        <f>IF(main!CB183="","",ROUND(main!CB183*100,6))</f>
        <v/>
      </c>
      <c r="BQ180" s="68" t="str">
        <f>IF(main!CC183="","",ROUND(main!CC183*100,6))</f>
        <v/>
      </c>
      <c r="BR180" s="68" t="str">
        <f>IF(main!CD183="","",ROUND(main!CD183*100,6))</f>
        <v/>
      </c>
      <c r="BS180" s="68" t="str">
        <f>IF(main!CE183="","",ROUND(main!CE183*100,6))</f>
        <v/>
      </c>
      <c r="BT180" s="68" t="str">
        <f>IF(main!CF183="","",ROUND(main!CF183*100,6))</f>
        <v/>
      </c>
      <c r="BU180" s="68" t="str">
        <f>IF(main!CG183="","",ROUND(main!CG183*100,6))</f>
        <v/>
      </c>
      <c r="BV180" s="68" t="str">
        <f>IF(main!CH183="","",ROUND(main!CH183*100,6))</f>
        <v/>
      </c>
      <c r="BW180" s="68" t="str">
        <f>IF(main!CI183="","",ROUND(main!CI183*100,6))</f>
        <v/>
      </c>
      <c r="BX180" s="68" t="str">
        <f>IF(main!CJ183="","",ROUND(main!CJ183*100,6))</f>
        <v/>
      </c>
      <c r="BY180" s="68" t="str">
        <f>IF(main!CK183="","",ROUND(main!CK183*100,6))</f>
        <v/>
      </c>
      <c r="BZ180" s="68" t="str">
        <f>IF(main!CL183="","",ROUND(main!CL183*100,6))</f>
        <v/>
      </c>
      <c r="CA180" s="68" t="str">
        <f>IF(main!CM183="","",ROUND(main!CM183*100,6))</f>
        <v/>
      </c>
      <c r="CB180" s="68" t="str">
        <f>IF(main!CN183="","",ROUND(main!CN183*100,6))</f>
        <v/>
      </c>
      <c r="CC180" s="68" t="str">
        <f>IF(main!CO183="","",ROUND(main!CO183*100,6))</f>
        <v/>
      </c>
    </row>
    <row r="181" spans="1:81" x14ac:dyDescent="0.25">
      <c r="A181" s="65" t="s">
        <v>338</v>
      </c>
      <c r="B181" s="66" t="str">
        <f>main!C183</f>
        <v>งานพื้นขัดเรียบพื้นที่จัดหาผลประโยชน์</v>
      </c>
      <c r="C181" s="67">
        <f>main!O183</f>
        <v>100000</v>
      </c>
      <c r="D181" s="65" t="s">
        <v>111</v>
      </c>
      <c r="E181" s="68" t="str">
        <f t="shared" si="2"/>
        <v/>
      </c>
      <c r="F181" s="68" t="str">
        <f>IF(main!R184="","",ROUND(main!R184*100,6))</f>
        <v/>
      </c>
      <c r="G181" s="68" t="str">
        <f>IF(main!S184="","",ROUND(main!S184*100,6))</f>
        <v/>
      </c>
      <c r="H181" s="68" t="str">
        <f>IF(main!T184="","",ROUND(main!T184*100,6))</f>
        <v/>
      </c>
      <c r="I181" s="68" t="str">
        <f>IF(main!U184="","",ROUND(main!U184*100,6))</f>
        <v/>
      </c>
      <c r="J181" s="68" t="str">
        <f>IF(main!V184="","",ROUND(main!V184*100,6))</f>
        <v/>
      </c>
      <c r="K181" s="68" t="str">
        <f>IF(main!W184="","",ROUND(main!W184*100,6))</f>
        <v/>
      </c>
      <c r="L181" s="68" t="str">
        <f>IF(main!X184="","",ROUND(main!X184*100,6))</f>
        <v/>
      </c>
      <c r="M181" s="68" t="str">
        <f>IF(main!Y184="","",ROUND(main!Y184*100,6))</f>
        <v/>
      </c>
      <c r="N181" s="68" t="str">
        <f>IF(main!Z184="","",ROUND(main!Z184*100,6))</f>
        <v/>
      </c>
      <c r="O181" s="68" t="str">
        <f>IF(main!AA184="","",ROUND(main!AA184*100,6))</f>
        <v/>
      </c>
      <c r="P181" s="68" t="str">
        <f>IF(main!AB184="","",ROUND(main!AB184*100,6))</f>
        <v/>
      </c>
      <c r="Q181" s="68" t="str">
        <f>IF(main!AC184="","",ROUND(main!AC184*100,6))</f>
        <v/>
      </c>
      <c r="R181" s="68" t="str">
        <f>IF(main!AD184="","",ROUND(main!AD184*100,6))</f>
        <v/>
      </c>
      <c r="S181" s="68" t="str">
        <f>IF(main!AE184="","",ROUND(main!AE184*100,6))</f>
        <v/>
      </c>
      <c r="T181" s="68" t="str">
        <f>IF(main!AF184="","",ROUND(main!AF184*100,6))</f>
        <v/>
      </c>
      <c r="U181" s="68" t="str">
        <f>IF(main!AG184="","",ROUND(main!AG184*100,6))</f>
        <v/>
      </c>
      <c r="V181" s="68" t="str">
        <f>IF(main!AH184="","",ROUND(main!AH184*100,6))</f>
        <v/>
      </c>
      <c r="W181" s="68" t="str">
        <f>IF(main!AI184="","",ROUND(main!AI184*100,6))</f>
        <v/>
      </c>
      <c r="X181" s="68" t="str">
        <f>IF(main!AJ184="","",ROUND(main!AJ184*100,6))</f>
        <v/>
      </c>
      <c r="Y181" s="68" t="str">
        <f>IF(main!AK184="","",ROUND(main!AK184*100,6))</f>
        <v/>
      </c>
      <c r="Z181" s="68" t="str">
        <f>IF(main!AL184="","",ROUND(main!AL184*100,6))</f>
        <v/>
      </c>
      <c r="AA181" s="68" t="str">
        <f>IF(main!AM184="","",ROUND(main!AM184*100,6))</f>
        <v/>
      </c>
      <c r="AB181" s="68" t="str">
        <f>IF(main!AN184="","",ROUND(main!AN184*100,6))</f>
        <v/>
      </c>
      <c r="AC181" s="68" t="str">
        <f>IF(main!AO184="","",ROUND(main!AO184*100,6))</f>
        <v/>
      </c>
      <c r="AD181" s="68" t="str">
        <f>IF(main!AP184="","",ROUND(main!AP184*100,6))</f>
        <v/>
      </c>
      <c r="AE181" s="68" t="str">
        <f>IF(main!AQ184="","",ROUND(main!AQ184*100,6))</f>
        <v/>
      </c>
      <c r="AF181" s="68" t="str">
        <f>IF(main!AR184="","",ROUND(main!AR184*100,6))</f>
        <v/>
      </c>
      <c r="AG181" s="68" t="str">
        <f>IF(main!AS184="","",ROUND(main!AS184*100,6))</f>
        <v/>
      </c>
      <c r="AH181" s="68" t="str">
        <f>IF(main!AT184="","",ROUND(main!AT184*100,6))</f>
        <v/>
      </c>
      <c r="AI181" s="68" t="str">
        <f>IF(main!AU184="","",ROUND(main!AU184*100,6))</f>
        <v/>
      </c>
      <c r="AJ181" s="68" t="str">
        <f>IF(main!AV184="","",ROUND(main!AV184*100,6))</f>
        <v/>
      </c>
      <c r="AK181" s="68" t="str">
        <f>IF(main!AW184="","",ROUND(main!AW184*100,6))</f>
        <v/>
      </c>
      <c r="AL181" s="68" t="str">
        <f>IF(main!AX184="","",ROUND(main!AX184*100,6))</f>
        <v/>
      </c>
      <c r="AM181" s="68" t="str">
        <f>IF(main!AY184="","",ROUND(main!AY184*100,6))</f>
        <v/>
      </c>
      <c r="AN181" s="68" t="str">
        <f>IF(main!AZ184="","",ROUND(main!AZ184*100,6))</f>
        <v/>
      </c>
      <c r="AO181" s="68" t="str">
        <f>IF(main!BA184="","",ROUND(main!BA184*100,6))</f>
        <v/>
      </c>
      <c r="AP181" s="68" t="str">
        <f>IF(main!BB184="","",ROUND(main!BB184*100,6))</f>
        <v/>
      </c>
      <c r="AQ181" s="68" t="str">
        <f>IF(main!BC184="","",ROUND(main!BC184*100,6))</f>
        <v/>
      </c>
      <c r="AR181" s="68" t="str">
        <f>IF(main!BD184="","",ROUND(main!BD184*100,6))</f>
        <v/>
      </c>
      <c r="AS181" s="68" t="str">
        <f>IF(main!BE184="","",ROUND(main!BE184*100,6))</f>
        <v/>
      </c>
      <c r="AT181" s="68" t="str">
        <f>IF(main!BF184="","",ROUND(main!BF184*100,6))</f>
        <v/>
      </c>
      <c r="AU181" s="68" t="str">
        <f>IF(main!BG184="","",ROUND(main!BG184*100,6))</f>
        <v/>
      </c>
      <c r="AV181" s="68" t="str">
        <f>IF(main!BH184="","",ROUND(main!BH184*100,6))</f>
        <v/>
      </c>
      <c r="AW181" s="68" t="str">
        <f>IF(main!BI184="","",ROUND(main!BI184*100,6))</f>
        <v/>
      </c>
      <c r="AX181" s="68" t="str">
        <f>IF(main!BJ184="","",ROUND(main!BJ184*100,6))</f>
        <v/>
      </c>
      <c r="AY181" s="68" t="str">
        <f>IF(main!BK184="","",ROUND(main!BK184*100,6))</f>
        <v/>
      </c>
      <c r="AZ181" s="68" t="str">
        <f>IF(main!BL184="","",ROUND(main!BL184*100,6))</f>
        <v/>
      </c>
      <c r="BA181" s="68" t="str">
        <f>IF(main!BM184="","",ROUND(main!BM184*100,6))</f>
        <v/>
      </c>
      <c r="BB181" s="68" t="str">
        <f>IF(main!BN184="","",ROUND(main!BN184*100,6))</f>
        <v/>
      </c>
      <c r="BC181" s="68" t="str">
        <f>IF(main!BO184="","",ROUND(main!BO184*100,6))</f>
        <v/>
      </c>
      <c r="BD181" s="68" t="str">
        <f>IF(main!BP184="","",ROUND(main!BP184*100,6))</f>
        <v/>
      </c>
      <c r="BE181" s="68" t="str">
        <f>IF(main!BQ184="","",ROUND(main!BQ184*100,6))</f>
        <v/>
      </c>
      <c r="BF181" s="68" t="str">
        <f>IF(main!BR184="","",ROUND(main!BR184*100,6))</f>
        <v/>
      </c>
      <c r="BG181" s="68" t="str">
        <f>IF(main!BS184="","",ROUND(main!BS184*100,6))</f>
        <v/>
      </c>
      <c r="BH181" s="68" t="str">
        <f>IF(main!BT184="","",ROUND(main!BT184*100,6))</f>
        <v/>
      </c>
      <c r="BI181" s="68" t="str">
        <f>IF(main!BU184="","",ROUND(main!BU184*100,6))</f>
        <v/>
      </c>
      <c r="BJ181" s="68" t="str">
        <f>IF(main!BV184="","",ROUND(main!BV184*100,6))</f>
        <v/>
      </c>
      <c r="BK181" s="68" t="str">
        <f>IF(main!BW184="","",ROUND(main!BW184*100,6))</f>
        <v/>
      </c>
      <c r="BL181" s="68" t="str">
        <f>IF(main!BX184="","",ROUND(main!BX184*100,6))</f>
        <v/>
      </c>
      <c r="BM181" s="68" t="str">
        <f>IF(main!BY184="","",ROUND(main!BY184*100,6))</f>
        <v/>
      </c>
      <c r="BN181" s="68" t="str">
        <f>IF(main!BZ184="","",ROUND(main!BZ184*100,6))</f>
        <v/>
      </c>
      <c r="BO181" s="68" t="str">
        <f>IF(main!CA184="","",ROUND(main!CA184*100,6))</f>
        <v/>
      </c>
      <c r="BP181" s="68" t="str">
        <f>IF(main!CB184="","",ROUND(main!CB184*100,6))</f>
        <v/>
      </c>
      <c r="BQ181" s="68" t="str">
        <f>IF(main!CC184="","",ROUND(main!CC184*100,6))</f>
        <v/>
      </c>
      <c r="BR181" s="68" t="str">
        <f>IF(main!CD184="","",ROUND(main!CD184*100,6))</f>
        <v/>
      </c>
      <c r="BS181" s="68" t="str">
        <f>IF(main!CE184="","",ROUND(main!CE184*100,6))</f>
        <v/>
      </c>
      <c r="BT181" s="68" t="str">
        <f>IF(main!CF184="","",ROUND(main!CF184*100,6))</f>
        <v/>
      </c>
      <c r="BU181" s="68" t="str">
        <f>IF(main!CG184="","",ROUND(main!CG184*100,6))</f>
        <v/>
      </c>
      <c r="BV181" s="68" t="str">
        <f>IF(main!CH184="","",ROUND(main!CH184*100,6))</f>
        <v/>
      </c>
      <c r="BW181" s="68" t="str">
        <f>IF(main!CI184="","",ROUND(main!CI184*100,6))</f>
        <v/>
      </c>
      <c r="BX181" s="68" t="str">
        <f>IF(main!CJ184="","",ROUND(main!CJ184*100,6))</f>
        <v/>
      </c>
      <c r="BY181" s="68" t="str">
        <f>IF(main!CK184="","",ROUND(main!CK184*100,6))</f>
        <v/>
      </c>
      <c r="BZ181" s="68" t="str">
        <f>IF(main!CL184="","",ROUND(main!CL184*100,6))</f>
        <v/>
      </c>
      <c r="CA181" s="68" t="str">
        <f>IF(main!CM184="","",ROUND(main!CM184*100,6))</f>
        <v/>
      </c>
      <c r="CB181" s="68" t="str">
        <f>IF(main!CN184="","",ROUND(main!CN184*100,6))</f>
        <v/>
      </c>
      <c r="CC181" s="68" t="str">
        <f>IF(main!CO184="","",ROUND(main!CO184*100,6))</f>
        <v/>
      </c>
    </row>
    <row r="182" spans="1:81" x14ac:dyDescent="0.25">
      <c r="A182" s="65" t="s">
        <v>341</v>
      </c>
      <c r="B182" s="66" t="str">
        <f>main!C185</f>
        <v>งานพื้นหินขัด Lobby, Workshop rm.</v>
      </c>
      <c r="C182" s="67">
        <f>main!O185</f>
        <v>100000</v>
      </c>
      <c r="D182" s="65" t="s">
        <v>110</v>
      </c>
      <c r="E182" s="68">
        <f t="shared" si="2"/>
        <v>100</v>
      </c>
      <c r="F182" s="68" t="str">
        <f>IF(main!R185="","",ROUND(main!R185*100,6))</f>
        <v/>
      </c>
      <c r="G182" s="68" t="str">
        <f>IF(main!S185="","",ROUND(main!S185*100,6))</f>
        <v/>
      </c>
      <c r="H182" s="68" t="str">
        <f>IF(main!T185="","",ROUND(main!T185*100,6))</f>
        <v/>
      </c>
      <c r="I182" s="68" t="str">
        <f>IF(main!U185="","",ROUND(main!U185*100,6))</f>
        <v/>
      </c>
      <c r="J182" s="68" t="str">
        <f>IF(main!V185="","",ROUND(main!V185*100,6))</f>
        <v/>
      </c>
      <c r="K182" s="68" t="str">
        <f>IF(main!W185="","",ROUND(main!W185*100,6))</f>
        <v/>
      </c>
      <c r="L182" s="68" t="str">
        <f>IF(main!X185="","",ROUND(main!X185*100,6))</f>
        <v/>
      </c>
      <c r="M182" s="68" t="str">
        <f>IF(main!Y185="","",ROUND(main!Y185*100,6))</f>
        <v/>
      </c>
      <c r="N182" s="68" t="str">
        <f>IF(main!Z185="","",ROUND(main!Z185*100,6))</f>
        <v/>
      </c>
      <c r="O182" s="68" t="str">
        <f>IF(main!AA185="","",ROUND(main!AA185*100,6))</f>
        <v/>
      </c>
      <c r="P182" s="68" t="str">
        <f>IF(main!AB185="","",ROUND(main!AB185*100,6))</f>
        <v/>
      </c>
      <c r="Q182" s="68" t="str">
        <f>IF(main!AC185="","",ROUND(main!AC185*100,6))</f>
        <v/>
      </c>
      <c r="R182" s="68" t="str">
        <f>IF(main!AD185="","",ROUND(main!AD185*100,6))</f>
        <v/>
      </c>
      <c r="S182" s="68" t="str">
        <f>IF(main!AE185="","",ROUND(main!AE185*100,6))</f>
        <v/>
      </c>
      <c r="T182" s="68" t="str">
        <f>IF(main!AF185="","",ROUND(main!AF185*100,6))</f>
        <v/>
      </c>
      <c r="U182" s="68" t="str">
        <f>IF(main!AG185="","",ROUND(main!AG185*100,6))</f>
        <v/>
      </c>
      <c r="V182" s="68" t="str">
        <f>IF(main!AH185="","",ROUND(main!AH185*100,6))</f>
        <v/>
      </c>
      <c r="W182" s="68" t="str">
        <f>IF(main!AI185="","",ROUND(main!AI185*100,6))</f>
        <v/>
      </c>
      <c r="X182" s="68" t="str">
        <f>IF(main!AJ185="","",ROUND(main!AJ185*100,6))</f>
        <v/>
      </c>
      <c r="Y182" s="68" t="str">
        <f>IF(main!AK185="","",ROUND(main!AK185*100,6))</f>
        <v/>
      </c>
      <c r="Z182" s="68" t="str">
        <f>IF(main!AL185="","",ROUND(main!AL185*100,6))</f>
        <v/>
      </c>
      <c r="AA182" s="68" t="str">
        <f>IF(main!AM185="","",ROUND(main!AM185*100,6))</f>
        <v/>
      </c>
      <c r="AB182" s="68" t="str">
        <f>IF(main!AN185="","",ROUND(main!AN185*100,6))</f>
        <v/>
      </c>
      <c r="AC182" s="68" t="str">
        <f>IF(main!AO185="","",ROUND(main!AO185*100,6))</f>
        <v/>
      </c>
      <c r="AD182" s="68" t="str">
        <f>IF(main!AP185="","",ROUND(main!AP185*100,6))</f>
        <v/>
      </c>
      <c r="AE182" s="68" t="str">
        <f>IF(main!AQ185="","",ROUND(main!AQ185*100,6))</f>
        <v/>
      </c>
      <c r="AF182" s="68" t="str">
        <f>IF(main!AR185="","",ROUND(main!AR185*100,6))</f>
        <v/>
      </c>
      <c r="AG182" s="68" t="str">
        <f>IF(main!AS185="","",ROUND(main!AS185*100,6))</f>
        <v/>
      </c>
      <c r="AH182" s="68" t="str">
        <f>IF(main!AT185="","",ROUND(main!AT185*100,6))</f>
        <v/>
      </c>
      <c r="AI182" s="68" t="str">
        <f>IF(main!AU185="","",ROUND(main!AU185*100,6))</f>
        <v/>
      </c>
      <c r="AJ182" s="68" t="str">
        <f>IF(main!AV185="","",ROUND(main!AV185*100,6))</f>
        <v/>
      </c>
      <c r="AK182" s="68" t="str">
        <f>IF(main!AW185="","",ROUND(main!AW185*100,6))</f>
        <v/>
      </c>
      <c r="AL182" s="68" t="str">
        <f>IF(main!AX185="","",ROUND(main!AX185*100,6))</f>
        <v/>
      </c>
      <c r="AM182" s="68" t="str">
        <f>IF(main!AY185="","",ROUND(main!AY185*100,6))</f>
        <v/>
      </c>
      <c r="AN182" s="68" t="str">
        <f>IF(main!AZ185="","",ROUND(main!AZ185*100,6))</f>
        <v/>
      </c>
      <c r="AO182" s="68" t="str">
        <f>IF(main!BA185="","",ROUND(main!BA185*100,6))</f>
        <v/>
      </c>
      <c r="AP182" s="68" t="str">
        <f>IF(main!BB185="","",ROUND(main!BB185*100,6))</f>
        <v/>
      </c>
      <c r="AQ182" s="68" t="str">
        <f>IF(main!BC185="","",ROUND(main!BC185*100,6))</f>
        <v/>
      </c>
      <c r="AR182" s="68" t="str">
        <f>IF(main!BD185="","",ROUND(main!BD185*100,6))</f>
        <v/>
      </c>
      <c r="AS182" s="68" t="str">
        <f>IF(main!BE185="","",ROUND(main!BE185*100,6))</f>
        <v/>
      </c>
      <c r="AT182" s="68" t="str">
        <f>IF(main!BF185="","",ROUND(main!BF185*100,6))</f>
        <v/>
      </c>
      <c r="AU182" s="68" t="str">
        <f>IF(main!BG185="","",ROUND(main!BG185*100,6))</f>
        <v/>
      </c>
      <c r="AV182" s="68" t="str">
        <f>IF(main!BH185="","",ROUND(main!BH185*100,6))</f>
        <v/>
      </c>
      <c r="AW182" s="68" t="str">
        <f>IF(main!BI185="","",ROUND(main!BI185*100,6))</f>
        <v/>
      </c>
      <c r="AX182" s="68" t="str">
        <f>IF(main!BJ185="","",ROUND(main!BJ185*100,6))</f>
        <v/>
      </c>
      <c r="AY182" s="68" t="str">
        <f>IF(main!BK185="","",ROUND(main!BK185*100,6))</f>
        <v/>
      </c>
      <c r="AZ182" s="68" t="str">
        <f>IF(main!BL185="","",ROUND(main!BL185*100,6))</f>
        <v/>
      </c>
      <c r="BA182" s="68" t="str">
        <f>IF(main!BM185="","",ROUND(main!BM185*100,6))</f>
        <v/>
      </c>
      <c r="BB182" s="68" t="str">
        <f>IF(main!BN185="","",ROUND(main!BN185*100,6))</f>
        <v/>
      </c>
      <c r="BC182" s="68" t="str">
        <f>IF(main!BO185="","",ROUND(main!BO185*100,6))</f>
        <v/>
      </c>
      <c r="BD182" s="68" t="str">
        <f>IF(main!BP185="","",ROUND(main!BP185*100,6))</f>
        <v/>
      </c>
      <c r="BE182" s="68" t="str">
        <f>IF(main!BQ185="","",ROUND(main!BQ185*100,6))</f>
        <v/>
      </c>
      <c r="BF182" s="68" t="str">
        <f>IF(main!BR185="","",ROUND(main!BR185*100,6))</f>
        <v/>
      </c>
      <c r="BG182" s="68" t="str">
        <f>IF(main!BS185="","",ROUND(main!BS185*100,6))</f>
        <v/>
      </c>
      <c r="BH182" s="68" t="str">
        <f>IF(main!BT185="","",ROUND(main!BT185*100,6))</f>
        <v/>
      </c>
      <c r="BI182" s="68" t="str">
        <f>IF(main!BU185="","",ROUND(main!BU185*100,6))</f>
        <v/>
      </c>
      <c r="BJ182" s="68" t="str">
        <f>IF(main!BV185="","",ROUND(main!BV185*100,6))</f>
        <v/>
      </c>
      <c r="BK182" s="68" t="str">
        <f>IF(main!BW185="","",ROUND(main!BW185*100,6))</f>
        <v/>
      </c>
      <c r="BL182" s="68" t="str">
        <f>IF(main!BX185="","",ROUND(main!BX185*100,6))</f>
        <v/>
      </c>
      <c r="BM182" s="68" t="str">
        <f>IF(main!BY185="","",ROUND(main!BY185*100,6))</f>
        <v/>
      </c>
      <c r="BN182" s="68">
        <f>IF(main!BZ185="","",ROUND(main!BZ185*100,6))</f>
        <v>7.1428570000000002</v>
      </c>
      <c r="BO182" s="68">
        <f>IF(main!CA185="","",ROUND(main!CA185*100,6))</f>
        <v>25</v>
      </c>
      <c r="BP182" s="68">
        <f>IF(main!CB185="","",ROUND(main!CB185*100,6))</f>
        <v>25</v>
      </c>
      <c r="BQ182" s="68">
        <f>IF(main!CC185="","",ROUND(main!CC185*100,6))</f>
        <v>25</v>
      </c>
      <c r="BR182" s="68">
        <f>IF(main!CD185="","",ROUND(main!CD185*100,6))</f>
        <v>17.857143000000001</v>
      </c>
      <c r="BS182" s="68" t="str">
        <f>IF(main!CE185="","",ROUND(main!CE185*100,6))</f>
        <v/>
      </c>
      <c r="BT182" s="68" t="str">
        <f>IF(main!CF185="","",ROUND(main!CF185*100,6))</f>
        <v/>
      </c>
      <c r="BU182" s="68" t="str">
        <f>IF(main!CG185="","",ROUND(main!CG185*100,6))</f>
        <v/>
      </c>
      <c r="BV182" s="68" t="str">
        <f>IF(main!CH185="","",ROUND(main!CH185*100,6))</f>
        <v/>
      </c>
      <c r="BW182" s="68" t="str">
        <f>IF(main!CI185="","",ROUND(main!CI185*100,6))</f>
        <v/>
      </c>
      <c r="BX182" s="68" t="str">
        <f>IF(main!CJ185="","",ROUND(main!CJ185*100,6))</f>
        <v/>
      </c>
      <c r="BY182" s="68" t="str">
        <f>IF(main!CK185="","",ROUND(main!CK185*100,6))</f>
        <v/>
      </c>
      <c r="BZ182" s="68" t="str">
        <f>IF(main!CL185="","",ROUND(main!CL185*100,6))</f>
        <v/>
      </c>
      <c r="CA182" s="68" t="str">
        <f>IF(main!CM185="","",ROUND(main!CM185*100,6))</f>
        <v/>
      </c>
      <c r="CB182" s="68" t="str">
        <f>IF(main!CN185="","",ROUND(main!CN185*100,6))</f>
        <v/>
      </c>
      <c r="CC182" s="68" t="str">
        <f>IF(main!CO185="","",ROUND(main!CO185*100,6))</f>
        <v/>
      </c>
    </row>
    <row r="183" spans="1:81" x14ac:dyDescent="0.25">
      <c r="A183" s="65" t="s">
        <v>341</v>
      </c>
      <c r="B183" s="66" t="str">
        <f>main!C185</f>
        <v>งานพื้นหินขัด Lobby, Workshop rm.</v>
      </c>
      <c r="C183" s="67">
        <f>main!O185</f>
        <v>100000</v>
      </c>
      <c r="D183" s="65" t="s">
        <v>111</v>
      </c>
      <c r="E183" s="68" t="str">
        <f t="shared" si="2"/>
        <v/>
      </c>
      <c r="F183" s="68" t="str">
        <f>IF(main!R186="","",ROUND(main!R186*100,6))</f>
        <v/>
      </c>
      <c r="G183" s="68" t="str">
        <f>IF(main!S186="","",ROUND(main!S186*100,6))</f>
        <v/>
      </c>
      <c r="H183" s="68" t="str">
        <f>IF(main!T186="","",ROUND(main!T186*100,6))</f>
        <v/>
      </c>
      <c r="I183" s="68" t="str">
        <f>IF(main!U186="","",ROUND(main!U186*100,6))</f>
        <v/>
      </c>
      <c r="J183" s="68" t="str">
        <f>IF(main!V186="","",ROUND(main!V186*100,6))</f>
        <v/>
      </c>
      <c r="K183" s="68" t="str">
        <f>IF(main!W186="","",ROUND(main!W186*100,6))</f>
        <v/>
      </c>
      <c r="L183" s="68" t="str">
        <f>IF(main!X186="","",ROUND(main!X186*100,6))</f>
        <v/>
      </c>
      <c r="M183" s="68" t="str">
        <f>IF(main!Y186="","",ROUND(main!Y186*100,6))</f>
        <v/>
      </c>
      <c r="N183" s="68" t="str">
        <f>IF(main!Z186="","",ROUND(main!Z186*100,6))</f>
        <v/>
      </c>
      <c r="O183" s="68" t="str">
        <f>IF(main!AA186="","",ROUND(main!AA186*100,6))</f>
        <v/>
      </c>
      <c r="P183" s="68" t="str">
        <f>IF(main!AB186="","",ROUND(main!AB186*100,6))</f>
        <v/>
      </c>
      <c r="Q183" s="68" t="str">
        <f>IF(main!AC186="","",ROUND(main!AC186*100,6))</f>
        <v/>
      </c>
      <c r="R183" s="68" t="str">
        <f>IF(main!AD186="","",ROUND(main!AD186*100,6))</f>
        <v/>
      </c>
      <c r="S183" s="68" t="str">
        <f>IF(main!AE186="","",ROUND(main!AE186*100,6))</f>
        <v/>
      </c>
      <c r="T183" s="68" t="str">
        <f>IF(main!AF186="","",ROUND(main!AF186*100,6))</f>
        <v/>
      </c>
      <c r="U183" s="68" t="str">
        <f>IF(main!AG186="","",ROUND(main!AG186*100,6))</f>
        <v/>
      </c>
      <c r="V183" s="68" t="str">
        <f>IF(main!AH186="","",ROUND(main!AH186*100,6))</f>
        <v/>
      </c>
      <c r="W183" s="68" t="str">
        <f>IF(main!AI186="","",ROUND(main!AI186*100,6))</f>
        <v/>
      </c>
      <c r="X183" s="68" t="str">
        <f>IF(main!AJ186="","",ROUND(main!AJ186*100,6))</f>
        <v/>
      </c>
      <c r="Y183" s="68" t="str">
        <f>IF(main!AK186="","",ROUND(main!AK186*100,6))</f>
        <v/>
      </c>
      <c r="Z183" s="68" t="str">
        <f>IF(main!AL186="","",ROUND(main!AL186*100,6))</f>
        <v/>
      </c>
      <c r="AA183" s="68" t="str">
        <f>IF(main!AM186="","",ROUND(main!AM186*100,6))</f>
        <v/>
      </c>
      <c r="AB183" s="68" t="str">
        <f>IF(main!AN186="","",ROUND(main!AN186*100,6))</f>
        <v/>
      </c>
      <c r="AC183" s="68" t="str">
        <f>IF(main!AO186="","",ROUND(main!AO186*100,6))</f>
        <v/>
      </c>
      <c r="AD183" s="68" t="str">
        <f>IF(main!AP186="","",ROUND(main!AP186*100,6))</f>
        <v/>
      </c>
      <c r="AE183" s="68" t="str">
        <f>IF(main!AQ186="","",ROUND(main!AQ186*100,6))</f>
        <v/>
      </c>
      <c r="AF183" s="68" t="str">
        <f>IF(main!AR186="","",ROUND(main!AR186*100,6))</f>
        <v/>
      </c>
      <c r="AG183" s="68" t="str">
        <f>IF(main!AS186="","",ROUND(main!AS186*100,6))</f>
        <v/>
      </c>
      <c r="AH183" s="68" t="str">
        <f>IF(main!AT186="","",ROUND(main!AT186*100,6))</f>
        <v/>
      </c>
      <c r="AI183" s="68" t="str">
        <f>IF(main!AU186="","",ROUND(main!AU186*100,6))</f>
        <v/>
      </c>
      <c r="AJ183" s="68" t="str">
        <f>IF(main!AV186="","",ROUND(main!AV186*100,6))</f>
        <v/>
      </c>
      <c r="AK183" s="68" t="str">
        <f>IF(main!AW186="","",ROUND(main!AW186*100,6))</f>
        <v/>
      </c>
      <c r="AL183" s="68" t="str">
        <f>IF(main!AX186="","",ROUND(main!AX186*100,6))</f>
        <v/>
      </c>
      <c r="AM183" s="68" t="str">
        <f>IF(main!AY186="","",ROUND(main!AY186*100,6))</f>
        <v/>
      </c>
      <c r="AN183" s="68" t="str">
        <f>IF(main!AZ186="","",ROUND(main!AZ186*100,6))</f>
        <v/>
      </c>
      <c r="AO183" s="68" t="str">
        <f>IF(main!BA186="","",ROUND(main!BA186*100,6))</f>
        <v/>
      </c>
      <c r="AP183" s="68" t="str">
        <f>IF(main!BB186="","",ROUND(main!BB186*100,6))</f>
        <v/>
      </c>
      <c r="AQ183" s="68" t="str">
        <f>IF(main!BC186="","",ROUND(main!BC186*100,6))</f>
        <v/>
      </c>
      <c r="AR183" s="68" t="str">
        <f>IF(main!BD186="","",ROUND(main!BD186*100,6))</f>
        <v/>
      </c>
      <c r="AS183" s="68" t="str">
        <f>IF(main!BE186="","",ROUND(main!BE186*100,6))</f>
        <v/>
      </c>
      <c r="AT183" s="68" t="str">
        <f>IF(main!BF186="","",ROUND(main!BF186*100,6))</f>
        <v/>
      </c>
      <c r="AU183" s="68" t="str">
        <f>IF(main!BG186="","",ROUND(main!BG186*100,6))</f>
        <v/>
      </c>
      <c r="AV183" s="68" t="str">
        <f>IF(main!BH186="","",ROUND(main!BH186*100,6))</f>
        <v/>
      </c>
      <c r="AW183" s="68" t="str">
        <f>IF(main!BI186="","",ROUND(main!BI186*100,6))</f>
        <v/>
      </c>
      <c r="AX183" s="68" t="str">
        <f>IF(main!BJ186="","",ROUND(main!BJ186*100,6))</f>
        <v/>
      </c>
      <c r="AY183" s="68" t="str">
        <f>IF(main!BK186="","",ROUND(main!BK186*100,6))</f>
        <v/>
      </c>
      <c r="AZ183" s="68" t="str">
        <f>IF(main!BL186="","",ROUND(main!BL186*100,6))</f>
        <v/>
      </c>
      <c r="BA183" s="68" t="str">
        <f>IF(main!BM186="","",ROUND(main!BM186*100,6))</f>
        <v/>
      </c>
      <c r="BB183" s="68" t="str">
        <f>IF(main!BN186="","",ROUND(main!BN186*100,6))</f>
        <v/>
      </c>
      <c r="BC183" s="68" t="str">
        <f>IF(main!BO186="","",ROUND(main!BO186*100,6))</f>
        <v/>
      </c>
      <c r="BD183" s="68" t="str">
        <f>IF(main!BP186="","",ROUND(main!BP186*100,6))</f>
        <v/>
      </c>
      <c r="BE183" s="68" t="str">
        <f>IF(main!BQ186="","",ROUND(main!BQ186*100,6))</f>
        <v/>
      </c>
      <c r="BF183" s="68" t="str">
        <f>IF(main!BR186="","",ROUND(main!BR186*100,6))</f>
        <v/>
      </c>
      <c r="BG183" s="68" t="str">
        <f>IF(main!BS186="","",ROUND(main!BS186*100,6))</f>
        <v/>
      </c>
      <c r="BH183" s="68" t="str">
        <f>IF(main!BT186="","",ROUND(main!BT186*100,6))</f>
        <v/>
      </c>
      <c r="BI183" s="68" t="str">
        <f>IF(main!BU186="","",ROUND(main!BU186*100,6))</f>
        <v/>
      </c>
      <c r="BJ183" s="68" t="str">
        <f>IF(main!BV186="","",ROUND(main!BV186*100,6))</f>
        <v/>
      </c>
      <c r="BK183" s="68" t="str">
        <f>IF(main!BW186="","",ROUND(main!BW186*100,6))</f>
        <v/>
      </c>
      <c r="BL183" s="68" t="str">
        <f>IF(main!BX186="","",ROUND(main!BX186*100,6))</f>
        <v/>
      </c>
      <c r="BM183" s="68" t="str">
        <f>IF(main!BY186="","",ROUND(main!BY186*100,6))</f>
        <v/>
      </c>
      <c r="BN183" s="68" t="str">
        <f>IF(main!BZ186="","",ROUND(main!BZ186*100,6))</f>
        <v/>
      </c>
      <c r="BO183" s="68" t="str">
        <f>IF(main!CA186="","",ROUND(main!CA186*100,6))</f>
        <v/>
      </c>
      <c r="BP183" s="68" t="str">
        <f>IF(main!CB186="","",ROUND(main!CB186*100,6))</f>
        <v/>
      </c>
      <c r="BQ183" s="68" t="str">
        <f>IF(main!CC186="","",ROUND(main!CC186*100,6))</f>
        <v/>
      </c>
      <c r="BR183" s="68" t="str">
        <f>IF(main!CD186="","",ROUND(main!CD186*100,6))</f>
        <v/>
      </c>
      <c r="BS183" s="68" t="str">
        <f>IF(main!CE186="","",ROUND(main!CE186*100,6))</f>
        <v/>
      </c>
      <c r="BT183" s="68" t="str">
        <f>IF(main!CF186="","",ROUND(main!CF186*100,6))</f>
        <v/>
      </c>
      <c r="BU183" s="68" t="str">
        <f>IF(main!CG186="","",ROUND(main!CG186*100,6))</f>
        <v/>
      </c>
      <c r="BV183" s="68" t="str">
        <f>IF(main!CH186="","",ROUND(main!CH186*100,6))</f>
        <v/>
      </c>
      <c r="BW183" s="68" t="str">
        <f>IF(main!CI186="","",ROUND(main!CI186*100,6))</f>
        <v/>
      </c>
      <c r="BX183" s="68" t="str">
        <f>IF(main!CJ186="","",ROUND(main!CJ186*100,6))</f>
        <v/>
      </c>
      <c r="BY183" s="68" t="str">
        <f>IF(main!CK186="","",ROUND(main!CK186*100,6))</f>
        <v/>
      </c>
      <c r="BZ183" s="68" t="str">
        <f>IF(main!CL186="","",ROUND(main!CL186*100,6))</f>
        <v/>
      </c>
      <c r="CA183" s="68" t="str">
        <f>IF(main!CM186="","",ROUND(main!CM186*100,6))</f>
        <v/>
      </c>
      <c r="CB183" s="68" t="str">
        <f>IF(main!CN186="","",ROUND(main!CN186*100,6))</f>
        <v/>
      </c>
      <c r="CC183" s="68" t="str">
        <f>IF(main!CO186="","",ROUND(main!CO186*100,6))</f>
        <v/>
      </c>
    </row>
    <row r="184" spans="1:81" x14ac:dyDescent="0.25">
      <c r="A184" s="65" t="s">
        <v>344</v>
      </c>
      <c r="B184" s="66" t="str">
        <f>main!C187</f>
        <v>งานพื้น Epoxy - Corridore, Lift Lobby, Office</v>
      </c>
      <c r="C184" s="67">
        <f>main!O187</f>
        <v>100000</v>
      </c>
      <c r="D184" s="65" t="s">
        <v>110</v>
      </c>
      <c r="E184" s="68">
        <f t="shared" si="2"/>
        <v>100</v>
      </c>
      <c r="F184" s="68" t="str">
        <f>IF(main!R187="","",ROUND(main!R187*100,6))</f>
        <v/>
      </c>
      <c r="G184" s="68" t="str">
        <f>IF(main!S187="","",ROUND(main!S187*100,6))</f>
        <v/>
      </c>
      <c r="H184" s="68" t="str">
        <f>IF(main!T187="","",ROUND(main!T187*100,6))</f>
        <v/>
      </c>
      <c r="I184" s="68" t="str">
        <f>IF(main!U187="","",ROUND(main!U187*100,6))</f>
        <v/>
      </c>
      <c r="J184" s="68" t="str">
        <f>IF(main!V187="","",ROUND(main!V187*100,6))</f>
        <v/>
      </c>
      <c r="K184" s="68" t="str">
        <f>IF(main!W187="","",ROUND(main!W187*100,6))</f>
        <v/>
      </c>
      <c r="L184" s="68" t="str">
        <f>IF(main!X187="","",ROUND(main!X187*100,6))</f>
        <v/>
      </c>
      <c r="M184" s="68" t="str">
        <f>IF(main!Y187="","",ROUND(main!Y187*100,6))</f>
        <v/>
      </c>
      <c r="N184" s="68" t="str">
        <f>IF(main!Z187="","",ROUND(main!Z187*100,6))</f>
        <v/>
      </c>
      <c r="O184" s="68" t="str">
        <f>IF(main!AA187="","",ROUND(main!AA187*100,6))</f>
        <v/>
      </c>
      <c r="P184" s="68" t="str">
        <f>IF(main!AB187="","",ROUND(main!AB187*100,6))</f>
        <v/>
      </c>
      <c r="Q184" s="68" t="str">
        <f>IF(main!AC187="","",ROUND(main!AC187*100,6))</f>
        <v/>
      </c>
      <c r="R184" s="68" t="str">
        <f>IF(main!AD187="","",ROUND(main!AD187*100,6))</f>
        <v/>
      </c>
      <c r="S184" s="68" t="str">
        <f>IF(main!AE187="","",ROUND(main!AE187*100,6))</f>
        <v/>
      </c>
      <c r="T184" s="68" t="str">
        <f>IF(main!AF187="","",ROUND(main!AF187*100,6))</f>
        <v/>
      </c>
      <c r="U184" s="68" t="str">
        <f>IF(main!AG187="","",ROUND(main!AG187*100,6))</f>
        <v/>
      </c>
      <c r="V184" s="68" t="str">
        <f>IF(main!AH187="","",ROUND(main!AH187*100,6))</f>
        <v/>
      </c>
      <c r="W184" s="68" t="str">
        <f>IF(main!AI187="","",ROUND(main!AI187*100,6))</f>
        <v/>
      </c>
      <c r="X184" s="68" t="str">
        <f>IF(main!AJ187="","",ROUND(main!AJ187*100,6))</f>
        <v/>
      </c>
      <c r="Y184" s="68" t="str">
        <f>IF(main!AK187="","",ROUND(main!AK187*100,6))</f>
        <v/>
      </c>
      <c r="Z184" s="68" t="str">
        <f>IF(main!AL187="","",ROUND(main!AL187*100,6))</f>
        <v/>
      </c>
      <c r="AA184" s="68" t="str">
        <f>IF(main!AM187="","",ROUND(main!AM187*100,6))</f>
        <v/>
      </c>
      <c r="AB184" s="68" t="str">
        <f>IF(main!AN187="","",ROUND(main!AN187*100,6))</f>
        <v/>
      </c>
      <c r="AC184" s="68" t="str">
        <f>IF(main!AO187="","",ROUND(main!AO187*100,6))</f>
        <v/>
      </c>
      <c r="AD184" s="68" t="str">
        <f>IF(main!AP187="","",ROUND(main!AP187*100,6))</f>
        <v/>
      </c>
      <c r="AE184" s="68" t="str">
        <f>IF(main!AQ187="","",ROUND(main!AQ187*100,6))</f>
        <v/>
      </c>
      <c r="AF184" s="68" t="str">
        <f>IF(main!AR187="","",ROUND(main!AR187*100,6))</f>
        <v/>
      </c>
      <c r="AG184" s="68" t="str">
        <f>IF(main!AS187="","",ROUND(main!AS187*100,6))</f>
        <v/>
      </c>
      <c r="AH184" s="68" t="str">
        <f>IF(main!AT187="","",ROUND(main!AT187*100,6))</f>
        <v/>
      </c>
      <c r="AI184" s="68" t="str">
        <f>IF(main!AU187="","",ROUND(main!AU187*100,6))</f>
        <v/>
      </c>
      <c r="AJ184" s="68" t="str">
        <f>IF(main!AV187="","",ROUND(main!AV187*100,6))</f>
        <v/>
      </c>
      <c r="AK184" s="68" t="str">
        <f>IF(main!AW187="","",ROUND(main!AW187*100,6))</f>
        <v/>
      </c>
      <c r="AL184" s="68" t="str">
        <f>IF(main!AX187="","",ROUND(main!AX187*100,6))</f>
        <v/>
      </c>
      <c r="AM184" s="68" t="str">
        <f>IF(main!AY187="","",ROUND(main!AY187*100,6))</f>
        <v/>
      </c>
      <c r="AN184" s="68" t="str">
        <f>IF(main!AZ187="","",ROUND(main!AZ187*100,6))</f>
        <v/>
      </c>
      <c r="AO184" s="68" t="str">
        <f>IF(main!BA187="","",ROUND(main!BA187*100,6))</f>
        <v/>
      </c>
      <c r="AP184" s="68" t="str">
        <f>IF(main!BB187="","",ROUND(main!BB187*100,6))</f>
        <v/>
      </c>
      <c r="AQ184" s="68" t="str">
        <f>IF(main!BC187="","",ROUND(main!BC187*100,6))</f>
        <v/>
      </c>
      <c r="AR184" s="68" t="str">
        <f>IF(main!BD187="","",ROUND(main!BD187*100,6))</f>
        <v/>
      </c>
      <c r="AS184" s="68" t="str">
        <f>IF(main!BE187="","",ROUND(main!BE187*100,6))</f>
        <v/>
      </c>
      <c r="AT184" s="68" t="str">
        <f>IF(main!BF187="","",ROUND(main!BF187*100,6))</f>
        <v/>
      </c>
      <c r="AU184" s="68" t="str">
        <f>IF(main!BG187="","",ROUND(main!BG187*100,6))</f>
        <v/>
      </c>
      <c r="AV184" s="68" t="str">
        <f>IF(main!BH187="","",ROUND(main!BH187*100,6))</f>
        <v/>
      </c>
      <c r="AW184" s="68" t="str">
        <f>IF(main!BI187="","",ROUND(main!BI187*100,6))</f>
        <v/>
      </c>
      <c r="AX184" s="68" t="str">
        <f>IF(main!BJ187="","",ROUND(main!BJ187*100,6))</f>
        <v/>
      </c>
      <c r="AY184" s="68" t="str">
        <f>IF(main!BK187="","",ROUND(main!BK187*100,6))</f>
        <v/>
      </c>
      <c r="AZ184" s="68" t="str">
        <f>IF(main!BL187="","",ROUND(main!BL187*100,6))</f>
        <v/>
      </c>
      <c r="BA184" s="68" t="str">
        <f>IF(main!BM187="","",ROUND(main!BM187*100,6))</f>
        <v/>
      </c>
      <c r="BB184" s="68" t="str">
        <f>IF(main!BN187="","",ROUND(main!BN187*100,6))</f>
        <v/>
      </c>
      <c r="BC184" s="68" t="str">
        <f>IF(main!BO187="","",ROUND(main!BO187*100,6))</f>
        <v/>
      </c>
      <c r="BD184" s="68" t="str">
        <f>IF(main!BP187="","",ROUND(main!BP187*100,6))</f>
        <v/>
      </c>
      <c r="BE184" s="68" t="str">
        <f>IF(main!BQ187="","",ROUND(main!BQ187*100,6))</f>
        <v/>
      </c>
      <c r="BF184" s="68" t="str">
        <f>IF(main!BR187="","",ROUND(main!BR187*100,6))</f>
        <v/>
      </c>
      <c r="BG184" s="68" t="str">
        <f>IF(main!BS187="","",ROUND(main!BS187*100,6))</f>
        <v/>
      </c>
      <c r="BH184" s="68" t="str">
        <f>IF(main!BT187="","",ROUND(main!BT187*100,6))</f>
        <v/>
      </c>
      <c r="BI184" s="68" t="str">
        <f>IF(main!BU187="","",ROUND(main!BU187*100,6))</f>
        <v/>
      </c>
      <c r="BJ184" s="68" t="str">
        <f>IF(main!BV187="","",ROUND(main!BV187*100,6))</f>
        <v/>
      </c>
      <c r="BK184" s="68" t="str">
        <f>IF(main!BW187="","",ROUND(main!BW187*100,6))</f>
        <v/>
      </c>
      <c r="BL184" s="68" t="str">
        <f>IF(main!BX187="","",ROUND(main!BX187*100,6))</f>
        <v/>
      </c>
      <c r="BM184" s="68" t="str">
        <f>IF(main!BY187="","",ROUND(main!BY187*100,6))</f>
        <v/>
      </c>
      <c r="BN184" s="68" t="str">
        <f>IF(main!BZ187="","",ROUND(main!BZ187*100,6))</f>
        <v/>
      </c>
      <c r="BO184" s="68" t="str">
        <f>IF(main!CA187="","",ROUND(main!CA187*100,6))</f>
        <v/>
      </c>
      <c r="BP184" s="68" t="str">
        <f>IF(main!CB187="","",ROUND(main!CB187*100,6))</f>
        <v/>
      </c>
      <c r="BQ184" s="68" t="str">
        <f>IF(main!CC187="","",ROUND(main!CC187*100,6))</f>
        <v/>
      </c>
      <c r="BR184" s="68" t="str">
        <f>IF(main!CD187="","",ROUND(main!CD187*100,6))</f>
        <v/>
      </c>
      <c r="BS184" s="68" t="str">
        <f>IF(main!CE187="","",ROUND(main!CE187*100,6))</f>
        <v/>
      </c>
      <c r="BT184" s="68" t="str">
        <f>IF(main!CF187="","",ROUND(main!CF187*100,6))</f>
        <v/>
      </c>
      <c r="BU184" s="68">
        <f>IF(main!CG187="","",ROUND(main!CG187*100,6))</f>
        <v>21.428571000000002</v>
      </c>
      <c r="BV184" s="68">
        <f>IF(main!CH187="","",ROUND(main!CH187*100,6))</f>
        <v>50</v>
      </c>
      <c r="BW184" s="68">
        <f>IF(main!CI187="","",ROUND(main!CI187*100,6))</f>
        <v>28.571428999999998</v>
      </c>
      <c r="BX184" s="68" t="str">
        <f>IF(main!CJ187="","",ROUND(main!CJ187*100,6))</f>
        <v/>
      </c>
      <c r="BY184" s="68" t="str">
        <f>IF(main!CK187="","",ROUND(main!CK187*100,6))</f>
        <v/>
      </c>
      <c r="BZ184" s="68" t="str">
        <f>IF(main!CL187="","",ROUND(main!CL187*100,6))</f>
        <v/>
      </c>
      <c r="CA184" s="68" t="str">
        <f>IF(main!CM187="","",ROUND(main!CM187*100,6))</f>
        <v/>
      </c>
      <c r="CB184" s="68" t="str">
        <f>IF(main!CN187="","",ROUND(main!CN187*100,6))</f>
        <v/>
      </c>
      <c r="CC184" s="68" t="str">
        <f>IF(main!CO187="","",ROUND(main!CO187*100,6))</f>
        <v/>
      </c>
    </row>
    <row r="185" spans="1:81" x14ac:dyDescent="0.25">
      <c r="A185" s="65" t="s">
        <v>344</v>
      </c>
      <c r="B185" s="66" t="str">
        <f>main!C187</f>
        <v>งานพื้น Epoxy - Corridore, Lift Lobby, Office</v>
      </c>
      <c r="C185" s="67">
        <f>main!O187</f>
        <v>100000</v>
      </c>
      <c r="D185" s="65" t="s">
        <v>111</v>
      </c>
      <c r="E185" s="68" t="str">
        <f t="shared" si="2"/>
        <v/>
      </c>
      <c r="F185" s="68" t="str">
        <f>IF(main!R188="","",ROUND(main!R188*100,6))</f>
        <v/>
      </c>
      <c r="G185" s="68" t="str">
        <f>IF(main!S188="","",ROUND(main!S188*100,6))</f>
        <v/>
      </c>
      <c r="H185" s="68" t="str">
        <f>IF(main!T188="","",ROUND(main!T188*100,6))</f>
        <v/>
      </c>
      <c r="I185" s="68" t="str">
        <f>IF(main!U188="","",ROUND(main!U188*100,6))</f>
        <v/>
      </c>
      <c r="J185" s="68" t="str">
        <f>IF(main!V188="","",ROUND(main!V188*100,6))</f>
        <v/>
      </c>
      <c r="K185" s="68" t="str">
        <f>IF(main!W188="","",ROUND(main!W188*100,6))</f>
        <v/>
      </c>
      <c r="L185" s="68" t="str">
        <f>IF(main!X188="","",ROUND(main!X188*100,6))</f>
        <v/>
      </c>
      <c r="M185" s="68" t="str">
        <f>IF(main!Y188="","",ROUND(main!Y188*100,6))</f>
        <v/>
      </c>
      <c r="N185" s="68" t="str">
        <f>IF(main!Z188="","",ROUND(main!Z188*100,6))</f>
        <v/>
      </c>
      <c r="O185" s="68" t="str">
        <f>IF(main!AA188="","",ROUND(main!AA188*100,6))</f>
        <v/>
      </c>
      <c r="P185" s="68" t="str">
        <f>IF(main!AB188="","",ROUND(main!AB188*100,6))</f>
        <v/>
      </c>
      <c r="Q185" s="68" t="str">
        <f>IF(main!AC188="","",ROUND(main!AC188*100,6))</f>
        <v/>
      </c>
      <c r="R185" s="68" t="str">
        <f>IF(main!AD188="","",ROUND(main!AD188*100,6))</f>
        <v/>
      </c>
      <c r="S185" s="68" t="str">
        <f>IF(main!AE188="","",ROUND(main!AE188*100,6))</f>
        <v/>
      </c>
      <c r="T185" s="68" t="str">
        <f>IF(main!AF188="","",ROUND(main!AF188*100,6))</f>
        <v/>
      </c>
      <c r="U185" s="68" t="str">
        <f>IF(main!AG188="","",ROUND(main!AG188*100,6))</f>
        <v/>
      </c>
      <c r="V185" s="68" t="str">
        <f>IF(main!AH188="","",ROUND(main!AH188*100,6))</f>
        <v/>
      </c>
      <c r="W185" s="68" t="str">
        <f>IF(main!AI188="","",ROUND(main!AI188*100,6))</f>
        <v/>
      </c>
      <c r="X185" s="68" t="str">
        <f>IF(main!AJ188="","",ROUND(main!AJ188*100,6))</f>
        <v/>
      </c>
      <c r="Y185" s="68" t="str">
        <f>IF(main!AK188="","",ROUND(main!AK188*100,6))</f>
        <v/>
      </c>
      <c r="Z185" s="68" t="str">
        <f>IF(main!AL188="","",ROUND(main!AL188*100,6))</f>
        <v/>
      </c>
      <c r="AA185" s="68" t="str">
        <f>IF(main!AM188="","",ROUND(main!AM188*100,6))</f>
        <v/>
      </c>
      <c r="AB185" s="68" t="str">
        <f>IF(main!AN188="","",ROUND(main!AN188*100,6))</f>
        <v/>
      </c>
      <c r="AC185" s="68" t="str">
        <f>IF(main!AO188="","",ROUND(main!AO188*100,6))</f>
        <v/>
      </c>
      <c r="AD185" s="68" t="str">
        <f>IF(main!AP188="","",ROUND(main!AP188*100,6))</f>
        <v/>
      </c>
      <c r="AE185" s="68" t="str">
        <f>IF(main!AQ188="","",ROUND(main!AQ188*100,6))</f>
        <v/>
      </c>
      <c r="AF185" s="68" t="str">
        <f>IF(main!AR188="","",ROUND(main!AR188*100,6))</f>
        <v/>
      </c>
      <c r="AG185" s="68" t="str">
        <f>IF(main!AS188="","",ROUND(main!AS188*100,6))</f>
        <v/>
      </c>
      <c r="AH185" s="68" t="str">
        <f>IF(main!AT188="","",ROUND(main!AT188*100,6))</f>
        <v/>
      </c>
      <c r="AI185" s="68" t="str">
        <f>IF(main!AU188="","",ROUND(main!AU188*100,6))</f>
        <v/>
      </c>
      <c r="AJ185" s="68" t="str">
        <f>IF(main!AV188="","",ROUND(main!AV188*100,6))</f>
        <v/>
      </c>
      <c r="AK185" s="68" t="str">
        <f>IF(main!AW188="","",ROUND(main!AW188*100,6))</f>
        <v/>
      </c>
      <c r="AL185" s="68" t="str">
        <f>IF(main!AX188="","",ROUND(main!AX188*100,6))</f>
        <v/>
      </c>
      <c r="AM185" s="68" t="str">
        <f>IF(main!AY188="","",ROUND(main!AY188*100,6))</f>
        <v/>
      </c>
      <c r="AN185" s="68" t="str">
        <f>IF(main!AZ188="","",ROUND(main!AZ188*100,6))</f>
        <v/>
      </c>
      <c r="AO185" s="68" t="str">
        <f>IF(main!BA188="","",ROUND(main!BA188*100,6))</f>
        <v/>
      </c>
      <c r="AP185" s="68" t="str">
        <f>IF(main!BB188="","",ROUND(main!BB188*100,6))</f>
        <v/>
      </c>
      <c r="AQ185" s="68" t="str">
        <f>IF(main!BC188="","",ROUND(main!BC188*100,6))</f>
        <v/>
      </c>
      <c r="AR185" s="68" t="str">
        <f>IF(main!BD188="","",ROUND(main!BD188*100,6))</f>
        <v/>
      </c>
      <c r="AS185" s="68" t="str">
        <f>IF(main!BE188="","",ROUND(main!BE188*100,6))</f>
        <v/>
      </c>
      <c r="AT185" s="68" t="str">
        <f>IF(main!BF188="","",ROUND(main!BF188*100,6))</f>
        <v/>
      </c>
      <c r="AU185" s="68" t="str">
        <f>IF(main!BG188="","",ROUND(main!BG188*100,6))</f>
        <v/>
      </c>
      <c r="AV185" s="68" t="str">
        <f>IF(main!BH188="","",ROUND(main!BH188*100,6))</f>
        <v/>
      </c>
      <c r="AW185" s="68" t="str">
        <f>IF(main!BI188="","",ROUND(main!BI188*100,6))</f>
        <v/>
      </c>
      <c r="AX185" s="68" t="str">
        <f>IF(main!BJ188="","",ROUND(main!BJ188*100,6))</f>
        <v/>
      </c>
      <c r="AY185" s="68" t="str">
        <f>IF(main!BK188="","",ROUND(main!BK188*100,6))</f>
        <v/>
      </c>
      <c r="AZ185" s="68" t="str">
        <f>IF(main!BL188="","",ROUND(main!BL188*100,6))</f>
        <v/>
      </c>
      <c r="BA185" s="68" t="str">
        <f>IF(main!BM188="","",ROUND(main!BM188*100,6))</f>
        <v/>
      </c>
      <c r="BB185" s="68" t="str">
        <f>IF(main!BN188="","",ROUND(main!BN188*100,6))</f>
        <v/>
      </c>
      <c r="BC185" s="68" t="str">
        <f>IF(main!BO188="","",ROUND(main!BO188*100,6))</f>
        <v/>
      </c>
      <c r="BD185" s="68" t="str">
        <f>IF(main!BP188="","",ROUND(main!BP188*100,6))</f>
        <v/>
      </c>
      <c r="BE185" s="68" t="str">
        <f>IF(main!BQ188="","",ROUND(main!BQ188*100,6))</f>
        <v/>
      </c>
      <c r="BF185" s="68" t="str">
        <f>IF(main!BR188="","",ROUND(main!BR188*100,6))</f>
        <v/>
      </c>
      <c r="BG185" s="68" t="str">
        <f>IF(main!BS188="","",ROUND(main!BS188*100,6))</f>
        <v/>
      </c>
      <c r="BH185" s="68" t="str">
        <f>IF(main!BT188="","",ROUND(main!BT188*100,6))</f>
        <v/>
      </c>
      <c r="BI185" s="68" t="str">
        <f>IF(main!BU188="","",ROUND(main!BU188*100,6))</f>
        <v/>
      </c>
      <c r="BJ185" s="68" t="str">
        <f>IF(main!BV188="","",ROUND(main!BV188*100,6))</f>
        <v/>
      </c>
      <c r="BK185" s="68" t="str">
        <f>IF(main!BW188="","",ROUND(main!BW188*100,6))</f>
        <v/>
      </c>
      <c r="BL185" s="68" t="str">
        <f>IF(main!BX188="","",ROUND(main!BX188*100,6))</f>
        <v/>
      </c>
      <c r="BM185" s="68" t="str">
        <f>IF(main!BY188="","",ROUND(main!BY188*100,6))</f>
        <v/>
      </c>
      <c r="BN185" s="68" t="str">
        <f>IF(main!BZ188="","",ROUND(main!BZ188*100,6))</f>
        <v/>
      </c>
      <c r="BO185" s="68" t="str">
        <f>IF(main!CA188="","",ROUND(main!CA188*100,6))</f>
        <v/>
      </c>
      <c r="BP185" s="68" t="str">
        <f>IF(main!CB188="","",ROUND(main!CB188*100,6))</f>
        <v/>
      </c>
      <c r="BQ185" s="68" t="str">
        <f>IF(main!CC188="","",ROUND(main!CC188*100,6))</f>
        <v/>
      </c>
      <c r="BR185" s="68" t="str">
        <f>IF(main!CD188="","",ROUND(main!CD188*100,6))</f>
        <v/>
      </c>
      <c r="BS185" s="68" t="str">
        <f>IF(main!CE188="","",ROUND(main!CE188*100,6))</f>
        <v/>
      </c>
      <c r="BT185" s="68" t="str">
        <f>IF(main!CF188="","",ROUND(main!CF188*100,6))</f>
        <v/>
      </c>
      <c r="BU185" s="68" t="str">
        <f>IF(main!CG188="","",ROUND(main!CG188*100,6))</f>
        <v/>
      </c>
      <c r="BV185" s="68" t="str">
        <f>IF(main!CH188="","",ROUND(main!CH188*100,6))</f>
        <v/>
      </c>
      <c r="BW185" s="68" t="str">
        <f>IF(main!CI188="","",ROUND(main!CI188*100,6))</f>
        <v/>
      </c>
      <c r="BX185" s="68" t="str">
        <f>IF(main!CJ188="","",ROUND(main!CJ188*100,6))</f>
        <v/>
      </c>
      <c r="BY185" s="68" t="str">
        <f>IF(main!CK188="","",ROUND(main!CK188*100,6))</f>
        <v/>
      </c>
      <c r="BZ185" s="68" t="str">
        <f>IF(main!CL188="","",ROUND(main!CL188*100,6))</f>
        <v/>
      </c>
      <c r="CA185" s="68" t="str">
        <f>IF(main!CM188="","",ROUND(main!CM188*100,6))</f>
        <v/>
      </c>
      <c r="CB185" s="68" t="str">
        <f>IF(main!CN188="","",ROUND(main!CN188*100,6))</f>
        <v/>
      </c>
      <c r="CC185" s="68" t="str">
        <f>IF(main!CO188="","",ROUND(main!CO188*100,6))</f>
        <v/>
      </c>
    </row>
    <row r="186" spans="1:81" x14ac:dyDescent="0.25">
      <c r="A186" s="65" t="s">
        <v>347</v>
      </c>
      <c r="B186" s="66" t="str">
        <f>main!C189</f>
        <v>งานปูหินแกรนิต ปูกระเบื้อง ห้องน้ำ</v>
      </c>
      <c r="C186" s="67">
        <f>main!O189</f>
        <v>100000</v>
      </c>
      <c r="D186" s="65" t="s">
        <v>110</v>
      </c>
      <c r="E186" s="68">
        <f t="shared" si="2"/>
        <v>99.999999000000003</v>
      </c>
      <c r="F186" s="68" t="str">
        <f>IF(main!R189="","",ROUND(main!R189*100,6))</f>
        <v/>
      </c>
      <c r="G186" s="68" t="str">
        <f>IF(main!S189="","",ROUND(main!S189*100,6))</f>
        <v/>
      </c>
      <c r="H186" s="68" t="str">
        <f>IF(main!T189="","",ROUND(main!T189*100,6))</f>
        <v/>
      </c>
      <c r="I186" s="68" t="str">
        <f>IF(main!U189="","",ROUND(main!U189*100,6))</f>
        <v/>
      </c>
      <c r="J186" s="68" t="str">
        <f>IF(main!V189="","",ROUND(main!V189*100,6))</f>
        <v/>
      </c>
      <c r="K186" s="68" t="str">
        <f>IF(main!W189="","",ROUND(main!W189*100,6))</f>
        <v/>
      </c>
      <c r="L186" s="68" t="str">
        <f>IF(main!X189="","",ROUND(main!X189*100,6))</f>
        <v/>
      </c>
      <c r="M186" s="68" t="str">
        <f>IF(main!Y189="","",ROUND(main!Y189*100,6))</f>
        <v/>
      </c>
      <c r="N186" s="68" t="str">
        <f>IF(main!Z189="","",ROUND(main!Z189*100,6))</f>
        <v/>
      </c>
      <c r="O186" s="68" t="str">
        <f>IF(main!AA189="","",ROUND(main!AA189*100,6))</f>
        <v/>
      </c>
      <c r="P186" s="68" t="str">
        <f>IF(main!AB189="","",ROUND(main!AB189*100,6))</f>
        <v/>
      </c>
      <c r="Q186" s="68" t="str">
        <f>IF(main!AC189="","",ROUND(main!AC189*100,6))</f>
        <v/>
      </c>
      <c r="R186" s="68" t="str">
        <f>IF(main!AD189="","",ROUND(main!AD189*100,6))</f>
        <v/>
      </c>
      <c r="S186" s="68" t="str">
        <f>IF(main!AE189="","",ROUND(main!AE189*100,6))</f>
        <v/>
      </c>
      <c r="T186" s="68" t="str">
        <f>IF(main!AF189="","",ROUND(main!AF189*100,6))</f>
        <v/>
      </c>
      <c r="U186" s="68" t="str">
        <f>IF(main!AG189="","",ROUND(main!AG189*100,6))</f>
        <v/>
      </c>
      <c r="V186" s="68" t="str">
        <f>IF(main!AH189="","",ROUND(main!AH189*100,6))</f>
        <v/>
      </c>
      <c r="W186" s="68" t="str">
        <f>IF(main!AI189="","",ROUND(main!AI189*100,6))</f>
        <v/>
      </c>
      <c r="X186" s="68" t="str">
        <f>IF(main!AJ189="","",ROUND(main!AJ189*100,6))</f>
        <v/>
      </c>
      <c r="Y186" s="68" t="str">
        <f>IF(main!AK189="","",ROUND(main!AK189*100,6))</f>
        <v/>
      </c>
      <c r="Z186" s="68" t="str">
        <f>IF(main!AL189="","",ROUND(main!AL189*100,6))</f>
        <v/>
      </c>
      <c r="AA186" s="68" t="str">
        <f>IF(main!AM189="","",ROUND(main!AM189*100,6))</f>
        <v/>
      </c>
      <c r="AB186" s="68" t="str">
        <f>IF(main!AN189="","",ROUND(main!AN189*100,6))</f>
        <v/>
      </c>
      <c r="AC186" s="68" t="str">
        <f>IF(main!AO189="","",ROUND(main!AO189*100,6))</f>
        <v/>
      </c>
      <c r="AD186" s="68" t="str">
        <f>IF(main!AP189="","",ROUND(main!AP189*100,6))</f>
        <v/>
      </c>
      <c r="AE186" s="68" t="str">
        <f>IF(main!AQ189="","",ROUND(main!AQ189*100,6))</f>
        <v/>
      </c>
      <c r="AF186" s="68" t="str">
        <f>IF(main!AR189="","",ROUND(main!AR189*100,6))</f>
        <v/>
      </c>
      <c r="AG186" s="68" t="str">
        <f>IF(main!AS189="","",ROUND(main!AS189*100,6))</f>
        <v/>
      </c>
      <c r="AH186" s="68" t="str">
        <f>IF(main!AT189="","",ROUND(main!AT189*100,6))</f>
        <v/>
      </c>
      <c r="AI186" s="68" t="str">
        <f>IF(main!AU189="","",ROUND(main!AU189*100,6))</f>
        <v/>
      </c>
      <c r="AJ186" s="68" t="str">
        <f>IF(main!AV189="","",ROUND(main!AV189*100,6))</f>
        <v/>
      </c>
      <c r="AK186" s="68" t="str">
        <f>IF(main!AW189="","",ROUND(main!AW189*100,6))</f>
        <v/>
      </c>
      <c r="AL186" s="68" t="str">
        <f>IF(main!AX189="","",ROUND(main!AX189*100,6))</f>
        <v/>
      </c>
      <c r="AM186" s="68" t="str">
        <f>IF(main!AY189="","",ROUND(main!AY189*100,6))</f>
        <v/>
      </c>
      <c r="AN186" s="68" t="str">
        <f>IF(main!AZ189="","",ROUND(main!AZ189*100,6))</f>
        <v/>
      </c>
      <c r="AO186" s="68" t="str">
        <f>IF(main!BA189="","",ROUND(main!BA189*100,6))</f>
        <v/>
      </c>
      <c r="AP186" s="68" t="str">
        <f>IF(main!BB189="","",ROUND(main!BB189*100,6))</f>
        <v/>
      </c>
      <c r="AQ186" s="68" t="str">
        <f>IF(main!BC189="","",ROUND(main!BC189*100,6))</f>
        <v/>
      </c>
      <c r="AR186" s="68" t="str">
        <f>IF(main!BD189="","",ROUND(main!BD189*100,6))</f>
        <v/>
      </c>
      <c r="AS186" s="68" t="str">
        <f>IF(main!BE189="","",ROUND(main!BE189*100,6))</f>
        <v/>
      </c>
      <c r="AT186" s="68" t="str">
        <f>IF(main!BF189="","",ROUND(main!BF189*100,6))</f>
        <v/>
      </c>
      <c r="AU186" s="68" t="str">
        <f>IF(main!BG189="","",ROUND(main!BG189*100,6))</f>
        <v/>
      </c>
      <c r="AV186" s="68" t="str">
        <f>IF(main!BH189="","",ROUND(main!BH189*100,6))</f>
        <v/>
      </c>
      <c r="AW186" s="68" t="str">
        <f>IF(main!BI189="","",ROUND(main!BI189*100,6))</f>
        <v/>
      </c>
      <c r="AX186" s="68" t="str">
        <f>IF(main!BJ189="","",ROUND(main!BJ189*100,6))</f>
        <v/>
      </c>
      <c r="AY186" s="68" t="str">
        <f>IF(main!BK189="","",ROUND(main!BK189*100,6))</f>
        <v/>
      </c>
      <c r="AZ186" s="68" t="str">
        <f>IF(main!BL189="","",ROUND(main!BL189*100,6))</f>
        <v/>
      </c>
      <c r="BA186" s="68" t="str">
        <f>IF(main!BM189="","",ROUND(main!BM189*100,6))</f>
        <v/>
      </c>
      <c r="BB186" s="68" t="str">
        <f>IF(main!BN189="","",ROUND(main!BN189*100,6))</f>
        <v/>
      </c>
      <c r="BC186" s="68" t="str">
        <f>IF(main!BO189="","",ROUND(main!BO189*100,6))</f>
        <v/>
      </c>
      <c r="BD186" s="68" t="str">
        <f>IF(main!BP189="","",ROUND(main!BP189*100,6))</f>
        <v/>
      </c>
      <c r="BE186" s="68" t="str">
        <f>IF(main!BQ189="","",ROUND(main!BQ189*100,6))</f>
        <v/>
      </c>
      <c r="BF186" s="68">
        <f>IF(main!BR189="","",ROUND(main!BR189*100,6))</f>
        <v>26.315788999999999</v>
      </c>
      <c r="BG186" s="68">
        <f>IF(main!BS189="","",ROUND(main!BS189*100,6))</f>
        <v>36.842104999999997</v>
      </c>
      <c r="BH186" s="68">
        <f>IF(main!BT189="","",ROUND(main!BT189*100,6))</f>
        <v>36.842104999999997</v>
      </c>
      <c r="BI186" s="68" t="str">
        <f>IF(main!BU189="","",ROUND(main!BU189*100,6))</f>
        <v/>
      </c>
      <c r="BJ186" s="68" t="str">
        <f>IF(main!BV189="","",ROUND(main!BV189*100,6))</f>
        <v/>
      </c>
      <c r="BK186" s="68" t="str">
        <f>IF(main!BW189="","",ROUND(main!BW189*100,6))</f>
        <v/>
      </c>
      <c r="BL186" s="68" t="str">
        <f>IF(main!BX189="","",ROUND(main!BX189*100,6))</f>
        <v/>
      </c>
      <c r="BM186" s="68" t="str">
        <f>IF(main!BY189="","",ROUND(main!BY189*100,6))</f>
        <v/>
      </c>
      <c r="BN186" s="68" t="str">
        <f>IF(main!BZ189="","",ROUND(main!BZ189*100,6))</f>
        <v/>
      </c>
      <c r="BO186" s="68" t="str">
        <f>IF(main!CA189="","",ROUND(main!CA189*100,6))</f>
        <v/>
      </c>
      <c r="BP186" s="68" t="str">
        <f>IF(main!CB189="","",ROUND(main!CB189*100,6))</f>
        <v/>
      </c>
      <c r="BQ186" s="68" t="str">
        <f>IF(main!CC189="","",ROUND(main!CC189*100,6))</f>
        <v/>
      </c>
      <c r="BR186" s="68" t="str">
        <f>IF(main!CD189="","",ROUND(main!CD189*100,6))</f>
        <v/>
      </c>
      <c r="BS186" s="68" t="str">
        <f>IF(main!CE189="","",ROUND(main!CE189*100,6))</f>
        <v/>
      </c>
      <c r="BT186" s="68" t="str">
        <f>IF(main!CF189="","",ROUND(main!CF189*100,6))</f>
        <v/>
      </c>
      <c r="BU186" s="68" t="str">
        <f>IF(main!CG189="","",ROUND(main!CG189*100,6))</f>
        <v/>
      </c>
      <c r="BV186" s="68" t="str">
        <f>IF(main!CH189="","",ROUND(main!CH189*100,6))</f>
        <v/>
      </c>
      <c r="BW186" s="68" t="str">
        <f>IF(main!CI189="","",ROUND(main!CI189*100,6))</f>
        <v/>
      </c>
      <c r="BX186" s="68" t="str">
        <f>IF(main!CJ189="","",ROUND(main!CJ189*100,6))</f>
        <v/>
      </c>
      <c r="BY186" s="68" t="str">
        <f>IF(main!CK189="","",ROUND(main!CK189*100,6))</f>
        <v/>
      </c>
      <c r="BZ186" s="68" t="str">
        <f>IF(main!CL189="","",ROUND(main!CL189*100,6))</f>
        <v/>
      </c>
      <c r="CA186" s="68" t="str">
        <f>IF(main!CM189="","",ROUND(main!CM189*100,6))</f>
        <v/>
      </c>
      <c r="CB186" s="68" t="str">
        <f>IF(main!CN189="","",ROUND(main!CN189*100,6))</f>
        <v/>
      </c>
      <c r="CC186" s="68" t="str">
        <f>IF(main!CO189="","",ROUND(main!CO189*100,6))</f>
        <v/>
      </c>
    </row>
    <row r="187" spans="1:81" x14ac:dyDescent="0.25">
      <c r="A187" s="65" t="s">
        <v>347</v>
      </c>
      <c r="B187" s="66" t="str">
        <f>main!C189</f>
        <v>งานปูหินแกรนิต ปูกระเบื้อง ห้องน้ำ</v>
      </c>
      <c r="C187" s="67">
        <f>main!O189</f>
        <v>100000</v>
      </c>
      <c r="D187" s="65" t="s">
        <v>111</v>
      </c>
      <c r="E187" s="68" t="str">
        <f t="shared" si="2"/>
        <v/>
      </c>
      <c r="F187" s="68" t="str">
        <f>IF(main!R190="","",ROUND(main!R190*100,6))</f>
        <v/>
      </c>
      <c r="G187" s="68" t="str">
        <f>IF(main!S190="","",ROUND(main!S190*100,6))</f>
        <v/>
      </c>
      <c r="H187" s="68" t="str">
        <f>IF(main!T190="","",ROUND(main!T190*100,6))</f>
        <v/>
      </c>
      <c r="I187" s="68" t="str">
        <f>IF(main!U190="","",ROUND(main!U190*100,6))</f>
        <v/>
      </c>
      <c r="J187" s="68" t="str">
        <f>IF(main!V190="","",ROUND(main!V190*100,6))</f>
        <v/>
      </c>
      <c r="K187" s="68" t="str">
        <f>IF(main!W190="","",ROUND(main!W190*100,6))</f>
        <v/>
      </c>
      <c r="L187" s="68" t="str">
        <f>IF(main!X190="","",ROUND(main!X190*100,6))</f>
        <v/>
      </c>
      <c r="M187" s="68" t="str">
        <f>IF(main!Y190="","",ROUND(main!Y190*100,6))</f>
        <v/>
      </c>
      <c r="N187" s="68" t="str">
        <f>IF(main!Z190="","",ROUND(main!Z190*100,6))</f>
        <v/>
      </c>
      <c r="O187" s="68" t="str">
        <f>IF(main!AA190="","",ROUND(main!AA190*100,6))</f>
        <v/>
      </c>
      <c r="P187" s="68" t="str">
        <f>IF(main!AB190="","",ROUND(main!AB190*100,6))</f>
        <v/>
      </c>
      <c r="Q187" s="68" t="str">
        <f>IF(main!AC190="","",ROUND(main!AC190*100,6))</f>
        <v/>
      </c>
      <c r="R187" s="68" t="str">
        <f>IF(main!AD190="","",ROUND(main!AD190*100,6))</f>
        <v/>
      </c>
      <c r="S187" s="68" t="str">
        <f>IF(main!AE190="","",ROUND(main!AE190*100,6))</f>
        <v/>
      </c>
      <c r="T187" s="68" t="str">
        <f>IF(main!AF190="","",ROUND(main!AF190*100,6))</f>
        <v/>
      </c>
      <c r="U187" s="68" t="str">
        <f>IF(main!AG190="","",ROUND(main!AG190*100,6))</f>
        <v/>
      </c>
      <c r="V187" s="68" t="str">
        <f>IF(main!AH190="","",ROUND(main!AH190*100,6))</f>
        <v/>
      </c>
      <c r="W187" s="68" t="str">
        <f>IF(main!AI190="","",ROUND(main!AI190*100,6))</f>
        <v/>
      </c>
      <c r="X187" s="68" t="str">
        <f>IF(main!AJ190="","",ROUND(main!AJ190*100,6))</f>
        <v/>
      </c>
      <c r="Y187" s="68" t="str">
        <f>IF(main!AK190="","",ROUND(main!AK190*100,6))</f>
        <v/>
      </c>
      <c r="Z187" s="68" t="str">
        <f>IF(main!AL190="","",ROUND(main!AL190*100,6))</f>
        <v/>
      </c>
      <c r="AA187" s="68" t="str">
        <f>IF(main!AM190="","",ROUND(main!AM190*100,6))</f>
        <v/>
      </c>
      <c r="AB187" s="68" t="str">
        <f>IF(main!AN190="","",ROUND(main!AN190*100,6))</f>
        <v/>
      </c>
      <c r="AC187" s="68" t="str">
        <f>IF(main!AO190="","",ROUND(main!AO190*100,6))</f>
        <v/>
      </c>
      <c r="AD187" s="68" t="str">
        <f>IF(main!AP190="","",ROUND(main!AP190*100,6))</f>
        <v/>
      </c>
      <c r="AE187" s="68" t="str">
        <f>IF(main!AQ190="","",ROUND(main!AQ190*100,6))</f>
        <v/>
      </c>
      <c r="AF187" s="68" t="str">
        <f>IF(main!AR190="","",ROUND(main!AR190*100,6))</f>
        <v/>
      </c>
      <c r="AG187" s="68" t="str">
        <f>IF(main!AS190="","",ROUND(main!AS190*100,6))</f>
        <v/>
      </c>
      <c r="AH187" s="68" t="str">
        <f>IF(main!AT190="","",ROUND(main!AT190*100,6))</f>
        <v/>
      </c>
      <c r="AI187" s="68" t="str">
        <f>IF(main!AU190="","",ROUND(main!AU190*100,6))</f>
        <v/>
      </c>
      <c r="AJ187" s="68" t="str">
        <f>IF(main!AV190="","",ROUND(main!AV190*100,6))</f>
        <v/>
      </c>
      <c r="AK187" s="68" t="str">
        <f>IF(main!AW190="","",ROUND(main!AW190*100,6))</f>
        <v/>
      </c>
      <c r="AL187" s="68" t="str">
        <f>IF(main!AX190="","",ROUND(main!AX190*100,6))</f>
        <v/>
      </c>
      <c r="AM187" s="68" t="str">
        <f>IF(main!AY190="","",ROUND(main!AY190*100,6))</f>
        <v/>
      </c>
      <c r="AN187" s="68" t="str">
        <f>IF(main!AZ190="","",ROUND(main!AZ190*100,6))</f>
        <v/>
      </c>
      <c r="AO187" s="68" t="str">
        <f>IF(main!BA190="","",ROUND(main!BA190*100,6))</f>
        <v/>
      </c>
      <c r="AP187" s="68" t="str">
        <f>IF(main!BB190="","",ROUND(main!BB190*100,6))</f>
        <v/>
      </c>
      <c r="AQ187" s="68" t="str">
        <f>IF(main!BC190="","",ROUND(main!BC190*100,6))</f>
        <v/>
      </c>
      <c r="AR187" s="68" t="str">
        <f>IF(main!BD190="","",ROUND(main!BD190*100,6))</f>
        <v/>
      </c>
      <c r="AS187" s="68" t="str">
        <f>IF(main!BE190="","",ROUND(main!BE190*100,6))</f>
        <v/>
      </c>
      <c r="AT187" s="68" t="str">
        <f>IF(main!BF190="","",ROUND(main!BF190*100,6))</f>
        <v/>
      </c>
      <c r="AU187" s="68" t="str">
        <f>IF(main!BG190="","",ROUND(main!BG190*100,6))</f>
        <v/>
      </c>
      <c r="AV187" s="68" t="str">
        <f>IF(main!BH190="","",ROUND(main!BH190*100,6))</f>
        <v/>
      </c>
      <c r="AW187" s="68" t="str">
        <f>IF(main!BI190="","",ROUND(main!BI190*100,6))</f>
        <v/>
      </c>
      <c r="AX187" s="68" t="str">
        <f>IF(main!BJ190="","",ROUND(main!BJ190*100,6))</f>
        <v/>
      </c>
      <c r="AY187" s="68" t="str">
        <f>IF(main!BK190="","",ROUND(main!BK190*100,6))</f>
        <v/>
      </c>
      <c r="AZ187" s="68" t="str">
        <f>IF(main!BL190="","",ROUND(main!BL190*100,6))</f>
        <v/>
      </c>
      <c r="BA187" s="68" t="str">
        <f>IF(main!BM190="","",ROUND(main!BM190*100,6))</f>
        <v/>
      </c>
      <c r="BB187" s="68" t="str">
        <f>IF(main!BN190="","",ROUND(main!BN190*100,6))</f>
        <v/>
      </c>
      <c r="BC187" s="68" t="str">
        <f>IF(main!BO190="","",ROUND(main!BO190*100,6))</f>
        <v/>
      </c>
      <c r="BD187" s="68" t="str">
        <f>IF(main!BP190="","",ROUND(main!BP190*100,6))</f>
        <v/>
      </c>
      <c r="BE187" s="68" t="str">
        <f>IF(main!BQ190="","",ROUND(main!BQ190*100,6))</f>
        <v/>
      </c>
      <c r="BF187" s="68" t="str">
        <f>IF(main!BR190="","",ROUND(main!BR190*100,6))</f>
        <v/>
      </c>
      <c r="BG187" s="68" t="str">
        <f>IF(main!BS190="","",ROUND(main!BS190*100,6))</f>
        <v/>
      </c>
      <c r="BH187" s="68" t="str">
        <f>IF(main!BT190="","",ROUND(main!BT190*100,6))</f>
        <v/>
      </c>
      <c r="BI187" s="68" t="str">
        <f>IF(main!BU190="","",ROUND(main!BU190*100,6))</f>
        <v/>
      </c>
      <c r="BJ187" s="68" t="str">
        <f>IF(main!BV190="","",ROUND(main!BV190*100,6))</f>
        <v/>
      </c>
      <c r="BK187" s="68" t="str">
        <f>IF(main!BW190="","",ROUND(main!BW190*100,6))</f>
        <v/>
      </c>
      <c r="BL187" s="68" t="str">
        <f>IF(main!BX190="","",ROUND(main!BX190*100,6))</f>
        <v/>
      </c>
      <c r="BM187" s="68" t="str">
        <f>IF(main!BY190="","",ROUND(main!BY190*100,6))</f>
        <v/>
      </c>
      <c r="BN187" s="68" t="str">
        <f>IF(main!BZ190="","",ROUND(main!BZ190*100,6))</f>
        <v/>
      </c>
      <c r="BO187" s="68" t="str">
        <f>IF(main!CA190="","",ROUND(main!CA190*100,6))</f>
        <v/>
      </c>
      <c r="BP187" s="68" t="str">
        <f>IF(main!CB190="","",ROUND(main!CB190*100,6))</f>
        <v/>
      </c>
      <c r="BQ187" s="68" t="str">
        <f>IF(main!CC190="","",ROUND(main!CC190*100,6))</f>
        <v/>
      </c>
      <c r="BR187" s="68" t="str">
        <f>IF(main!CD190="","",ROUND(main!CD190*100,6))</f>
        <v/>
      </c>
      <c r="BS187" s="68" t="str">
        <f>IF(main!CE190="","",ROUND(main!CE190*100,6))</f>
        <v/>
      </c>
      <c r="BT187" s="68" t="str">
        <f>IF(main!CF190="","",ROUND(main!CF190*100,6))</f>
        <v/>
      </c>
      <c r="BU187" s="68" t="str">
        <f>IF(main!CG190="","",ROUND(main!CG190*100,6))</f>
        <v/>
      </c>
      <c r="BV187" s="68" t="str">
        <f>IF(main!CH190="","",ROUND(main!CH190*100,6))</f>
        <v/>
      </c>
      <c r="BW187" s="68" t="str">
        <f>IF(main!CI190="","",ROUND(main!CI190*100,6))</f>
        <v/>
      </c>
      <c r="BX187" s="68" t="str">
        <f>IF(main!CJ190="","",ROUND(main!CJ190*100,6))</f>
        <v/>
      </c>
      <c r="BY187" s="68" t="str">
        <f>IF(main!CK190="","",ROUND(main!CK190*100,6))</f>
        <v/>
      </c>
      <c r="BZ187" s="68" t="str">
        <f>IF(main!CL190="","",ROUND(main!CL190*100,6))</f>
        <v/>
      </c>
      <c r="CA187" s="68" t="str">
        <f>IF(main!CM190="","",ROUND(main!CM190*100,6))</f>
        <v/>
      </c>
      <c r="CB187" s="68" t="str">
        <f>IF(main!CN190="","",ROUND(main!CN190*100,6))</f>
        <v/>
      </c>
      <c r="CC187" s="68" t="str">
        <f>IF(main!CO190="","",ROUND(main!CO190*100,6))</f>
        <v/>
      </c>
    </row>
    <row r="188" spans="1:81" x14ac:dyDescent="0.25">
      <c r="A188" s="65" t="s">
        <v>350</v>
      </c>
      <c r="B188" s="66" t="str">
        <f>main!C191</f>
        <v>Doors &amp; Windows</v>
      </c>
      <c r="C188" s="67">
        <f>main!O191</f>
        <v>100000</v>
      </c>
      <c r="D188" s="65" t="s">
        <v>110</v>
      </c>
      <c r="E188" s="68">
        <f t="shared" si="2"/>
        <v>100</v>
      </c>
      <c r="F188" s="68" t="str">
        <f>IF(main!R191="","",ROUND(main!R191*100,6))</f>
        <v/>
      </c>
      <c r="G188" s="68" t="str">
        <f>IF(main!S191="","",ROUND(main!S191*100,6))</f>
        <v/>
      </c>
      <c r="H188" s="68" t="str">
        <f>IF(main!T191="","",ROUND(main!T191*100,6))</f>
        <v/>
      </c>
      <c r="I188" s="68" t="str">
        <f>IF(main!U191="","",ROUND(main!U191*100,6))</f>
        <v/>
      </c>
      <c r="J188" s="68" t="str">
        <f>IF(main!V191="","",ROUND(main!V191*100,6))</f>
        <v/>
      </c>
      <c r="K188" s="68" t="str">
        <f>IF(main!W191="","",ROUND(main!W191*100,6))</f>
        <v/>
      </c>
      <c r="L188" s="68" t="str">
        <f>IF(main!X191="","",ROUND(main!X191*100,6))</f>
        <v/>
      </c>
      <c r="M188" s="68" t="str">
        <f>IF(main!Y191="","",ROUND(main!Y191*100,6))</f>
        <v/>
      </c>
      <c r="N188" s="68" t="str">
        <f>IF(main!Z191="","",ROUND(main!Z191*100,6))</f>
        <v/>
      </c>
      <c r="O188" s="68" t="str">
        <f>IF(main!AA191="","",ROUND(main!AA191*100,6))</f>
        <v/>
      </c>
      <c r="P188" s="68" t="str">
        <f>IF(main!AB191="","",ROUND(main!AB191*100,6))</f>
        <v/>
      </c>
      <c r="Q188" s="68" t="str">
        <f>IF(main!AC191="","",ROUND(main!AC191*100,6))</f>
        <v/>
      </c>
      <c r="R188" s="68" t="str">
        <f>IF(main!AD191="","",ROUND(main!AD191*100,6))</f>
        <v/>
      </c>
      <c r="S188" s="68" t="str">
        <f>IF(main!AE191="","",ROUND(main!AE191*100,6))</f>
        <v/>
      </c>
      <c r="T188" s="68" t="str">
        <f>IF(main!AF191="","",ROUND(main!AF191*100,6))</f>
        <v/>
      </c>
      <c r="U188" s="68" t="str">
        <f>IF(main!AG191="","",ROUND(main!AG191*100,6))</f>
        <v/>
      </c>
      <c r="V188" s="68" t="str">
        <f>IF(main!AH191="","",ROUND(main!AH191*100,6))</f>
        <v/>
      </c>
      <c r="W188" s="68" t="str">
        <f>IF(main!AI191="","",ROUND(main!AI191*100,6))</f>
        <v/>
      </c>
      <c r="X188" s="68" t="str">
        <f>IF(main!AJ191="","",ROUND(main!AJ191*100,6))</f>
        <v/>
      </c>
      <c r="Y188" s="68" t="str">
        <f>IF(main!AK191="","",ROUND(main!AK191*100,6))</f>
        <v/>
      </c>
      <c r="Z188" s="68" t="str">
        <f>IF(main!AL191="","",ROUND(main!AL191*100,6))</f>
        <v/>
      </c>
      <c r="AA188" s="68" t="str">
        <f>IF(main!AM191="","",ROUND(main!AM191*100,6))</f>
        <v/>
      </c>
      <c r="AB188" s="68" t="str">
        <f>IF(main!AN191="","",ROUND(main!AN191*100,6))</f>
        <v/>
      </c>
      <c r="AC188" s="68" t="str">
        <f>IF(main!AO191="","",ROUND(main!AO191*100,6))</f>
        <v/>
      </c>
      <c r="AD188" s="68" t="str">
        <f>IF(main!AP191="","",ROUND(main!AP191*100,6))</f>
        <v/>
      </c>
      <c r="AE188" s="68" t="str">
        <f>IF(main!AQ191="","",ROUND(main!AQ191*100,6))</f>
        <v/>
      </c>
      <c r="AF188" s="68" t="str">
        <f>IF(main!AR191="","",ROUND(main!AR191*100,6))</f>
        <v/>
      </c>
      <c r="AG188" s="68" t="str">
        <f>IF(main!AS191="","",ROUND(main!AS191*100,6))</f>
        <v/>
      </c>
      <c r="AH188" s="68" t="str">
        <f>IF(main!AT191="","",ROUND(main!AT191*100,6))</f>
        <v/>
      </c>
      <c r="AI188" s="68" t="str">
        <f>IF(main!AU191="","",ROUND(main!AU191*100,6))</f>
        <v/>
      </c>
      <c r="AJ188" s="68" t="str">
        <f>IF(main!AV191="","",ROUND(main!AV191*100,6))</f>
        <v/>
      </c>
      <c r="AK188" s="68" t="str">
        <f>IF(main!AW191="","",ROUND(main!AW191*100,6))</f>
        <v/>
      </c>
      <c r="AL188" s="68" t="str">
        <f>IF(main!AX191="","",ROUND(main!AX191*100,6))</f>
        <v/>
      </c>
      <c r="AM188" s="68" t="str">
        <f>IF(main!AY191="","",ROUND(main!AY191*100,6))</f>
        <v/>
      </c>
      <c r="AN188" s="68" t="str">
        <f>IF(main!AZ191="","",ROUND(main!AZ191*100,6))</f>
        <v/>
      </c>
      <c r="AO188" s="68" t="str">
        <f>IF(main!BA191="","",ROUND(main!BA191*100,6))</f>
        <v/>
      </c>
      <c r="AP188" s="68" t="str">
        <f>IF(main!BB191="","",ROUND(main!BB191*100,6))</f>
        <v/>
      </c>
      <c r="AQ188" s="68" t="str">
        <f>IF(main!BC191="","",ROUND(main!BC191*100,6))</f>
        <v/>
      </c>
      <c r="AR188" s="68" t="str">
        <f>IF(main!BD191="","",ROUND(main!BD191*100,6))</f>
        <v/>
      </c>
      <c r="AS188" s="68" t="str">
        <f>IF(main!BE191="","",ROUND(main!BE191*100,6))</f>
        <v/>
      </c>
      <c r="AT188" s="68" t="str">
        <f>IF(main!BF191="","",ROUND(main!BF191*100,6))</f>
        <v/>
      </c>
      <c r="AU188" s="68" t="str">
        <f>IF(main!BG191="","",ROUND(main!BG191*100,6))</f>
        <v/>
      </c>
      <c r="AV188" s="68" t="str">
        <f>IF(main!BH191="","",ROUND(main!BH191*100,6))</f>
        <v/>
      </c>
      <c r="AW188" s="68" t="str">
        <f>IF(main!BI191="","",ROUND(main!BI191*100,6))</f>
        <v/>
      </c>
      <c r="AX188" s="68" t="str">
        <f>IF(main!BJ191="","",ROUND(main!BJ191*100,6))</f>
        <v/>
      </c>
      <c r="AY188" s="68" t="str">
        <f>IF(main!BK191="","",ROUND(main!BK191*100,6))</f>
        <v/>
      </c>
      <c r="AZ188" s="68" t="str">
        <f>IF(main!BL191="","",ROUND(main!BL191*100,6))</f>
        <v/>
      </c>
      <c r="BA188" s="68" t="str">
        <f>IF(main!BM191="","",ROUND(main!BM191*100,6))</f>
        <v/>
      </c>
      <c r="BB188" s="68" t="str">
        <f>IF(main!BN191="","",ROUND(main!BN191*100,6))</f>
        <v/>
      </c>
      <c r="BC188" s="68" t="str">
        <f>IF(main!BO191="","",ROUND(main!BO191*100,6))</f>
        <v/>
      </c>
      <c r="BD188" s="68" t="str">
        <f>IF(main!BP191="","",ROUND(main!BP191*100,6))</f>
        <v/>
      </c>
      <c r="BE188" s="68" t="str">
        <f>IF(main!BQ191="","",ROUND(main!BQ191*100,6))</f>
        <v/>
      </c>
      <c r="BF188" s="68">
        <f>IF(main!BR191="","",ROUND(main!BR191*100,6))</f>
        <v>7.1428570000000002</v>
      </c>
      <c r="BG188" s="68">
        <f>IF(main!BS191="","",ROUND(main!BS191*100,6))</f>
        <v>25</v>
      </c>
      <c r="BH188" s="68">
        <f>IF(main!BT191="","",ROUND(main!BT191*100,6))</f>
        <v>25</v>
      </c>
      <c r="BI188" s="68">
        <f>IF(main!BU191="","",ROUND(main!BU191*100,6))</f>
        <v>25</v>
      </c>
      <c r="BJ188" s="68">
        <f>IF(main!BV191="","",ROUND(main!BV191*100,6))</f>
        <v>17.857143000000001</v>
      </c>
      <c r="BK188" s="68" t="str">
        <f>IF(main!BW191="","",ROUND(main!BW191*100,6))</f>
        <v/>
      </c>
      <c r="BL188" s="68" t="str">
        <f>IF(main!BX191="","",ROUND(main!BX191*100,6))</f>
        <v/>
      </c>
      <c r="BM188" s="68" t="str">
        <f>IF(main!BY191="","",ROUND(main!BY191*100,6))</f>
        <v/>
      </c>
      <c r="BN188" s="68" t="str">
        <f>IF(main!BZ191="","",ROUND(main!BZ191*100,6))</f>
        <v/>
      </c>
      <c r="BO188" s="68" t="str">
        <f>IF(main!CA191="","",ROUND(main!CA191*100,6))</f>
        <v/>
      </c>
      <c r="BP188" s="68" t="str">
        <f>IF(main!CB191="","",ROUND(main!CB191*100,6))</f>
        <v/>
      </c>
      <c r="BQ188" s="68" t="str">
        <f>IF(main!CC191="","",ROUND(main!CC191*100,6))</f>
        <v/>
      </c>
      <c r="BR188" s="68" t="str">
        <f>IF(main!CD191="","",ROUND(main!CD191*100,6))</f>
        <v/>
      </c>
      <c r="BS188" s="68" t="str">
        <f>IF(main!CE191="","",ROUND(main!CE191*100,6))</f>
        <v/>
      </c>
      <c r="BT188" s="68" t="str">
        <f>IF(main!CF191="","",ROUND(main!CF191*100,6))</f>
        <v/>
      </c>
      <c r="BU188" s="68" t="str">
        <f>IF(main!CG191="","",ROUND(main!CG191*100,6))</f>
        <v/>
      </c>
      <c r="BV188" s="68" t="str">
        <f>IF(main!CH191="","",ROUND(main!CH191*100,6))</f>
        <v/>
      </c>
      <c r="BW188" s="68" t="str">
        <f>IF(main!CI191="","",ROUND(main!CI191*100,6))</f>
        <v/>
      </c>
      <c r="BX188" s="68" t="str">
        <f>IF(main!CJ191="","",ROUND(main!CJ191*100,6))</f>
        <v/>
      </c>
      <c r="BY188" s="68" t="str">
        <f>IF(main!CK191="","",ROUND(main!CK191*100,6))</f>
        <v/>
      </c>
      <c r="BZ188" s="68" t="str">
        <f>IF(main!CL191="","",ROUND(main!CL191*100,6))</f>
        <v/>
      </c>
      <c r="CA188" s="68" t="str">
        <f>IF(main!CM191="","",ROUND(main!CM191*100,6))</f>
        <v/>
      </c>
      <c r="CB188" s="68" t="str">
        <f>IF(main!CN191="","",ROUND(main!CN191*100,6))</f>
        <v/>
      </c>
      <c r="CC188" s="68" t="str">
        <f>IF(main!CO191="","",ROUND(main!CO191*100,6))</f>
        <v/>
      </c>
    </row>
    <row r="189" spans="1:81" x14ac:dyDescent="0.25">
      <c r="A189" s="65" t="s">
        <v>350</v>
      </c>
      <c r="B189" s="66" t="str">
        <f>main!C191</f>
        <v>Doors &amp; Windows</v>
      </c>
      <c r="C189" s="67">
        <f>main!O191</f>
        <v>100000</v>
      </c>
      <c r="D189" s="65" t="s">
        <v>111</v>
      </c>
      <c r="E189" s="68" t="str">
        <f t="shared" si="2"/>
        <v/>
      </c>
      <c r="F189" s="68" t="str">
        <f>IF(main!R192="","",ROUND(main!R192*100,6))</f>
        <v/>
      </c>
      <c r="G189" s="68" t="str">
        <f>IF(main!S192="","",ROUND(main!S192*100,6))</f>
        <v/>
      </c>
      <c r="H189" s="68" t="str">
        <f>IF(main!T192="","",ROUND(main!T192*100,6))</f>
        <v/>
      </c>
      <c r="I189" s="68" t="str">
        <f>IF(main!U192="","",ROUND(main!U192*100,6))</f>
        <v/>
      </c>
      <c r="J189" s="68" t="str">
        <f>IF(main!V192="","",ROUND(main!V192*100,6))</f>
        <v/>
      </c>
      <c r="K189" s="68" t="str">
        <f>IF(main!W192="","",ROUND(main!W192*100,6))</f>
        <v/>
      </c>
      <c r="L189" s="68" t="str">
        <f>IF(main!X192="","",ROUND(main!X192*100,6))</f>
        <v/>
      </c>
      <c r="M189" s="68" t="str">
        <f>IF(main!Y192="","",ROUND(main!Y192*100,6))</f>
        <v/>
      </c>
      <c r="N189" s="68" t="str">
        <f>IF(main!Z192="","",ROUND(main!Z192*100,6))</f>
        <v/>
      </c>
      <c r="O189" s="68" t="str">
        <f>IF(main!AA192="","",ROUND(main!AA192*100,6))</f>
        <v/>
      </c>
      <c r="P189" s="68" t="str">
        <f>IF(main!AB192="","",ROUND(main!AB192*100,6))</f>
        <v/>
      </c>
      <c r="Q189" s="68" t="str">
        <f>IF(main!AC192="","",ROUND(main!AC192*100,6))</f>
        <v/>
      </c>
      <c r="R189" s="68" t="str">
        <f>IF(main!AD192="","",ROUND(main!AD192*100,6))</f>
        <v/>
      </c>
      <c r="S189" s="68" t="str">
        <f>IF(main!AE192="","",ROUND(main!AE192*100,6))</f>
        <v/>
      </c>
      <c r="T189" s="68" t="str">
        <f>IF(main!AF192="","",ROUND(main!AF192*100,6))</f>
        <v/>
      </c>
      <c r="U189" s="68" t="str">
        <f>IF(main!AG192="","",ROUND(main!AG192*100,6))</f>
        <v/>
      </c>
      <c r="V189" s="68" t="str">
        <f>IF(main!AH192="","",ROUND(main!AH192*100,6))</f>
        <v/>
      </c>
      <c r="W189" s="68" t="str">
        <f>IF(main!AI192="","",ROUND(main!AI192*100,6))</f>
        <v/>
      </c>
      <c r="X189" s="68" t="str">
        <f>IF(main!AJ192="","",ROUND(main!AJ192*100,6))</f>
        <v/>
      </c>
      <c r="Y189" s="68" t="str">
        <f>IF(main!AK192="","",ROUND(main!AK192*100,6))</f>
        <v/>
      </c>
      <c r="Z189" s="68" t="str">
        <f>IF(main!AL192="","",ROUND(main!AL192*100,6))</f>
        <v/>
      </c>
      <c r="AA189" s="68" t="str">
        <f>IF(main!AM192="","",ROUND(main!AM192*100,6))</f>
        <v/>
      </c>
      <c r="AB189" s="68" t="str">
        <f>IF(main!AN192="","",ROUND(main!AN192*100,6))</f>
        <v/>
      </c>
      <c r="AC189" s="68" t="str">
        <f>IF(main!AO192="","",ROUND(main!AO192*100,6))</f>
        <v/>
      </c>
      <c r="AD189" s="68" t="str">
        <f>IF(main!AP192="","",ROUND(main!AP192*100,6))</f>
        <v/>
      </c>
      <c r="AE189" s="68" t="str">
        <f>IF(main!AQ192="","",ROUND(main!AQ192*100,6))</f>
        <v/>
      </c>
      <c r="AF189" s="68" t="str">
        <f>IF(main!AR192="","",ROUND(main!AR192*100,6))</f>
        <v/>
      </c>
      <c r="AG189" s="68" t="str">
        <f>IF(main!AS192="","",ROUND(main!AS192*100,6))</f>
        <v/>
      </c>
      <c r="AH189" s="68" t="str">
        <f>IF(main!AT192="","",ROUND(main!AT192*100,6))</f>
        <v/>
      </c>
      <c r="AI189" s="68" t="str">
        <f>IF(main!AU192="","",ROUND(main!AU192*100,6))</f>
        <v/>
      </c>
      <c r="AJ189" s="68" t="str">
        <f>IF(main!AV192="","",ROUND(main!AV192*100,6))</f>
        <v/>
      </c>
      <c r="AK189" s="68" t="str">
        <f>IF(main!AW192="","",ROUND(main!AW192*100,6))</f>
        <v/>
      </c>
      <c r="AL189" s="68" t="str">
        <f>IF(main!AX192="","",ROUND(main!AX192*100,6))</f>
        <v/>
      </c>
      <c r="AM189" s="68" t="str">
        <f>IF(main!AY192="","",ROUND(main!AY192*100,6))</f>
        <v/>
      </c>
      <c r="AN189" s="68" t="str">
        <f>IF(main!AZ192="","",ROUND(main!AZ192*100,6))</f>
        <v/>
      </c>
      <c r="AO189" s="68" t="str">
        <f>IF(main!BA192="","",ROUND(main!BA192*100,6))</f>
        <v/>
      </c>
      <c r="AP189" s="68" t="str">
        <f>IF(main!BB192="","",ROUND(main!BB192*100,6))</f>
        <v/>
      </c>
      <c r="AQ189" s="68" t="str">
        <f>IF(main!BC192="","",ROUND(main!BC192*100,6))</f>
        <v/>
      </c>
      <c r="AR189" s="68" t="str">
        <f>IF(main!BD192="","",ROUND(main!BD192*100,6))</f>
        <v/>
      </c>
      <c r="AS189" s="68" t="str">
        <f>IF(main!BE192="","",ROUND(main!BE192*100,6))</f>
        <v/>
      </c>
      <c r="AT189" s="68" t="str">
        <f>IF(main!BF192="","",ROUND(main!BF192*100,6))</f>
        <v/>
      </c>
      <c r="AU189" s="68" t="str">
        <f>IF(main!BG192="","",ROUND(main!BG192*100,6))</f>
        <v/>
      </c>
      <c r="AV189" s="68" t="str">
        <f>IF(main!BH192="","",ROUND(main!BH192*100,6))</f>
        <v/>
      </c>
      <c r="AW189" s="68" t="str">
        <f>IF(main!BI192="","",ROUND(main!BI192*100,6))</f>
        <v/>
      </c>
      <c r="AX189" s="68" t="str">
        <f>IF(main!BJ192="","",ROUND(main!BJ192*100,6))</f>
        <v/>
      </c>
      <c r="AY189" s="68" t="str">
        <f>IF(main!BK192="","",ROUND(main!BK192*100,6))</f>
        <v/>
      </c>
      <c r="AZ189" s="68" t="str">
        <f>IF(main!BL192="","",ROUND(main!BL192*100,6))</f>
        <v/>
      </c>
      <c r="BA189" s="68" t="str">
        <f>IF(main!BM192="","",ROUND(main!BM192*100,6))</f>
        <v/>
      </c>
      <c r="BB189" s="68" t="str">
        <f>IF(main!BN192="","",ROUND(main!BN192*100,6))</f>
        <v/>
      </c>
      <c r="BC189" s="68" t="str">
        <f>IF(main!BO192="","",ROUND(main!BO192*100,6))</f>
        <v/>
      </c>
      <c r="BD189" s="68" t="str">
        <f>IF(main!BP192="","",ROUND(main!BP192*100,6))</f>
        <v/>
      </c>
      <c r="BE189" s="68" t="str">
        <f>IF(main!BQ192="","",ROUND(main!BQ192*100,6))</f>
        <v/>
      </c>
      <c r="BF189" s="68" t="str">
        <f>IF(main!BR192="","",ROUND(main!BR192*100,6))</f>
        <v/>
      </c>
      <c r="BG189" s="68" t="str">
        <f>IF(main!BS192="","",ROUND(main!BS192*100,6))</f>
        <v/>
      </c>
      <c r="BH189" s="68" t="str">
        <f>IF(main!BT192="","",ROUND(main!BT192*100,6))</f>
        <v/>
      </c>
      <c r="BI189" s="68" t="str">
        <f>IF(main!BU192="","",ROUND(main!BU192*100,6))</f>
        <v/>
      </c>
      <c r="BJ189" s="68" t="str">
        <f>IF(main!BV192="","",ROUND(main!BV192*100,6))</f>
        <v/>
      </c>
      <c r="BK189" s="68" t="str">
        <f>IF(main!BW192="","",ROUND(main!BW192*100,6))</f>
        <v/>
      </c>
      <c r="BL189" s="68" t="str">
        <f>IF(main!BX192="","",ROUND(main!BX192*100,6))</f>
        <v/>
      </c>
      <c r="BM189" s="68" t="str">
        <f>IF(main!BY192="","",ROUND(main!BY192*100,6))</f>
        <v/>
      </c>
      <c r="BN189" s="68" t="str">
        <f>IF(main!BZ192="","",ROUND(main!BZ192*100,6))</f>
        <v/>
      </c>
      <c r="BO189" s="68" t="str">
        <f>IF(main!CA192="","",ROUND(main!CA192*100,6))</f>
        <v/>
      </c>
      <c r="BP189" s="68" t="str">
        <f>IF(main!CB192="","",ROUND(main!CB192*100,6))</f>
        <v/>
      </c>
      <c r="BQ189" s="68" t="str">
        <f>IF(main!CC192="","",ROUND(main!CC192*100,6))</f>
        <v/>
      </c>
      <c r="BR189" s="68" t="str">
        <f>IF(main!CD192="","",ROUND(main!CD192*100,6))</f>
        <v/>
      </c>
      <c r="BS189" s="68" t="str">
        <f>IF(main!CE192="","",ROUND(main!CE192*100,6))</f>
        <v/>
      </c>
      <c r="BT189" s="68" t="str">
        <f>IF(main!CF192="","",ROUND(main!CF192*100,6))</f>
        <v/>
      </c>
      <c r="BU189" s="68" t="str">
        <f>IF(main!CG192="","",ROUND(main!CG192*100,6))</f>
        <v/>
      </c>
      <c r="BV189" s="68" t="str">
        <f>IF(main!CH192="","",ROUND(main!CH192*100,6))</f>
        <v/>
      </c>
      <c r="BW189" s="68" t="str">
        <f>IF(main!CI192="","",ROUND(main!CI192*100,6))</f>
        <v/>
      </c>
      <c r="BX189" s="68" t="str">
        <f>IF(main!CJ192="","",ROUND(main!CJ192*100,6))</f>
        <v/>
      </c>
      <c r="BY189" s="68" t="str">
        <f>IF(main!CK192="","",ROUND(main!CK192*100,6))</f>
        <v/>
      </c>
      <c r="BZ189" s="68" t="str">
        <f>IF(main!CL192="","",ROUND(main!CL192*100,6))</f>
        <v/>
      </c>
      <c r="CA189" s="68" t="str">
        <f>IF(main!CM192="","",ROUND(main!CM192*100,6))</f>
        <v/>
      </c>
      <c r="CB189" s="68" t="str">
        <f>IF(main!CN192="","",ROUND(main!CN192*100,6))</f>
        <v/>
      </c>
      <c r="CC189" s="68" t="str">
        <f>IF(main!CO192="","",ROUND(main!CO192*100,6))</f>
        <v/>
      </c>
    </row>
    <row r="190" spans="1:81" x14ac:dyDescent="0.25">
      <c r="A190" s="65" t="s">
        <v>352</v>
      </c>
      <c r="B190" s="66" t="str">
        <f>main!C193</f>
        <v>งานติดตั้งผนังกระจก และประตูกระจกอลูมิเนียม</v>
      </c>
      <c r="C190" s="67">
        <f>main!O193</f>
        <v>100000</v>
      </c>
      <c r="D190" s="65" t="s">
        <v>110</v>
      </c>
      <c r="E190" s="68">
        <f t="shared" si="2"/>
        <v>100</v>
      </c>
      <c r="F190" s="68" t="str">
        <f>IF(main!R193="","",ROUND(main!R193*100,6))</f>
        <v/>
      </c>
      <c r="G190" s="68" t="str">
        <f>IF(main!S193="","",ROUND(main!S193*100,6))</f>
        <v/>
      </c>
      <c r="H190" s="68" t="str">
        <f>IF(main!T193="","",ROUND(main!T193*100,6))</f>
        <v/>
      </c>
      <c r="I190" s="68" t="str">
        <f>IF(main!U193="","",ROUND(main!U193*100,6))</f>
        <v/>
      </c>
      <c r="J190" s="68" t="str">
        <f>IF(main!V193="","",ROUND(main!V193*100,6))</f>
        <v/>
      </c>
      <c r="K190" s="68" t="str">
        <f>IF(main!W193="","",ROUND(main!W193*100,6))</f>
        <v/>
      </c>
      <c r="L190" s="68" t="str">
        <f>IF(main!X193="","",ROUND(main!X193*100,6))</f>
        <v/>
      </c>
      <c r="M190" s="68" t="str">
        <f>IF(main!Y193="","",ROUND(main!Y193*100,6))</f>
        <v/>
      </c>
      <c r="N190" s="68" t="str">
        <f>IF(main!Z193="","",ROUND(main!Z193*100,6))</f>
        <v/>
      </c>
      <c r="O190" s="68" t="str">
        <f>IF(main!AA193="","",ROUND(main!AA193*100,6))</f>
        <v/>
      </c>
      <c r="P190" s="68" t="str">
        <f>IF(main!AB193="","",ROUND(main!AB193*100,6))</f>
        <v/>
      </c>
      <c r="Q190" s="68" t="str">
        <f>IF(main!AC193="","",ROUND(main!AC193*100,6))</f>
        <v/>
      </c>
      <c r="R190" s="68" t="str">
        <f>IF(main!AD193="","",ROUND(main!AD193*100,6))</f>
        <v/>
      </c>
      <c r="S190" s="68" t="str">
        <f>IF(main!AE193="","",ROUND(main!AE193*100,6))</f>
        <v/>
      </c>
      <c r="T190" s="68" t="str">
        <f>IF(main!AF193="","",ROUND(main!AF193*100,6))</f>
        <v/>
      </c>
      <c r="U190" s="68" t="str">
        <f>IF(main!AG193="","",ROUND(main!AG193*100,6))</f>
        <v/>
      </c>
      <c r="V190" s="68" t="str">
        <f>IF(main!AH193="","",ROUND(main!AH193*100,6))</f>
        <v/>
      </c>
      <c r="W190" s="68" t="str">
        <f>IF(main!AI193="","",ROUND(main!AI193*100,6))</f>
        <v/>
      </c>
      <c r="X190" s="68" t="str">
        <f>IF(main!AJ193="","",ROUND(main!AJ193*100,6))</f>
        <v/>
      </c>
      <c r="Y190" s="68" t="str">
        <f>IF(main!AK193="","",ROUND(main!AK193*100,6))</f>
        <v/>
      </c>
      <c r="Z190" s="68" t="str">
        <f>IF(main!AL193="","",ROUND(main!AL193*100,6))</f>
        <v/>
      </c>
      <c r="AA190" s="68" t="str">
        <f>IF(main!AM193="","",ROUND(main!AM193*100,6))</f>
        <v/>
      </c>
      <c r="AB190" s="68" t="str">
        <f>IF(main!AN193="","",ROUND(main!AN193*100,6))</f>
        <v/>
      </c>
      <c r="AC190" s="68" t="str">
        <f>IF(main!AO193="","",ROUND(main!AO193*100,6))</f>
        <v/>
      </c>
      <c r="AD190" s="68" t="str">
        <f>IF(main!AP193="","",ROUND(main!AP193*100,6))</f>
        <v/>
      </c>
      <c r="AE190" s="68" t="str">
        <f>IF(main!AQ193="","",ROUND(main!AQ193*100,6))</f>
        <v/>
      </c>
      <c r="AF190" s="68" t="str">
        <f>IF(main!AR193="","",ROUND(main!AR193*100,6))</f>
        <v/>
      </c>
      <c r="AG190" s="68" t="str">
        <f>IF(main!AS193="","",ROUND(main!AS193*100,6))</f>
        <v/>
      </c>
      <c r="AH190" s="68" t="str">
        <f>IF(main!AT193="","",ROUND(main!AT193*100,6))</f>
        <v/>
      </c>
      <c r="AI190" s="68" t="str">
        <f>IF(main!AU193="","",ROUND(main!AU193*100,6))</f>
        <v/>
      </c>
      <c r="AJ190" s="68" t="str">
        <f>IF(main!AV193="","",ROUND(main!AV193*100,6))</f>
        <v/>
      </c>
      <c r="AK190" s="68" t="str">
        <f>IF(main!AW193="","",ROUND(main!AW193*100,6))</f>
        <v/>
      </c>
      <c r="AL190" s="68" t="str">
        <f>IF(main!AX193="","",ROUND(main!AX193*100,6))</f>
        <v/>
      </c>
      <c r="AM190" s="68" t="str">
        <f>IF(main!AY193="","",ROUND(main!AY193*100,6))</f>
        <v/>
      </c>
      <c r="AN190" s="68" t="str">
        <f>IF(main!AZ193="","",ROUND(main!AZ193*100,6))</f>
        <v/>
      </c>
      <c r="AO190" s="68" t="str">
        <f>IF(main!BA193="","",ROUND(main!BA193*100,6))</f>
        <v/>
      </c>
      <c r="AP190" s="68" t="str">
        <f>IF(main!BB193="","",ROUND(main!BB193*100,6))</f>
        <v/>
      </c>
      <c r="AQ190" s="68" t="str">
        <f>IF(main!BC193="","",ROUND(main!BC193*100,6))</f>
        <v/>
      </c>
      <c r="AR190" s="68" t="str">
        <f>IF(main!BD193="","",ROUND(main!BD193*100,6))</f>
        <v/>
      </c>
      <c r="AS190" s="68" t="str">
        <f>IF(main!BE193="","",ROUND(main!BE193*100,6))</f>
        <v/>
      </c>
      <c r="AT190" s="68" t="str">
        <f>IF(main!BF193="","",ROUND(main!BF193*100,6))</f>
        <v/>
      </c>
      <c r="AU190" s="68" t="str">
        <f>IF(main!BG193="","",ROUND(main!BG193*100,6))</f>
        <v/>
      </c>
      <c r="AV190" s="68" t="str">
        <f>IF(main!BH193="","",ROUND(main!BH193*100,6))</f>
        <v/>
      </c>
      <c r="AW190" s="68" t="str">
        <f>IF(main!BI193="","",ROUND(main!BI193*100,6))</f>
        <v/>
      </c>
      <c r="AX190" s="68" t="str">
        <f>IF(main!BJ193="","",ROUND(main!BJ193*100,6))</f>
        <v/>
      </c>
      <c r="AY190" s="68" t="str">
        <f>IF(main!BK193="","",ROUND(main!BK193*100,6))</f>
        <v/>
      </c>
      <c r="AZ190" s="68" t="str">
        <f>IF(main!BL193="","",ROUND(main!BL193*100,6))</f>
        <v/>
      </c>
      <c r="BA190" s="68" t="str">
        <f>IF(main!BM193="","",ROUND(main!BM193*100,6))</f>
        <v/>
      </c>
      <c r="BB190" s="68" t="str">
        <f>IF(main!BN193="","",ROUND(main!BN193*100,6))</f>
        <v/>
      </c>
      <c r="BC190" s="68" t="str">
        <f>IF(main!BO193="","",ROUND(main!BO193*100,6))</f>
        <v/>
      </c>
      <c r="BD190" s="68" t="str">
        <f>IF(main!BP193="","",ROUND(main!BP193*100,6))</f>
        <v/>
      </c>
      <c r="BE190" s="68" t="str">
        <f>IF(main!BQ193="","",ROUND(main!BQ193*100,6))</f>
        <v/>
      </c>
      <c r="BF190" s="68">
        <f>IF(main!BR193="","",ROUND(main!BR193*100,6))</f>
        <v>7.1428570000000002</v>
      </c>
      <c r="BG190" s="68">
        <f>IF(main!BS193="","",ROUND(main!BS193*100,6))</f>
        <v>25</v>
      </c>
      <c r="BH190" s="68">
        <f>IF(main!BT193="","",ROUND(main!BT193*100,6))</f>
        <v>25</v>
      </c>
      <c r="BI190" s="68">
        <f>IF(main!BU193="","",ROUND(main!BU193*100,6))</f>
        <v>25</v>
      </c>
      <c r="BJ190" s="68">
        <f>IF(main!BV193="","",ROUND(main!BV193*100,6))</f>
        <v>17.857143000000001</v>
      </c>
      <c r="BK190" s="68" t="str">
        <f>IF(main!BW193="","",ROUND(main!BW193*100,6))</f>
        <v/>
      </c>
      <c r="BL190" s="68" t="str">
        <f>IF(main!BX193="","",ROUND(main!BX193*100,6))</f>
        <v/>
      </c>
      <c r="BM190" s="68" t="str">
        <f>IF(main!BY193="","",ROUND(main!BY193*100,6))</f>
        <v/>
      </c>
      <c r="BN190" s="68" t="str">
        <f>IF(main!BZ193="","",ROUND(main!BZ193*100,6))</f>
        <v/>
      </c>
      <c r="BO190" s="68" t="str">
        <f>IF(main!CA193="","",ROUND(main!CA193*100,6))</f>
        <v/>
      </c>
      <c r="BP190" s="68" t="str">
        <f>IF(main!CB193="","",ROUND(main!CB193*100,6))</f>
        <v/>
      </c>
      <c r="BQ190" s="68" t="str">
        <f>IF(main!CC193="","",ROUND(main!CC193*100,6))</f>
        <v/>
      </c>
      <c r="BR190" s="68" t="str">
        <f>IF(main!CD193="","",ROUND(main!CD193*100,6))</f>
        <v/>
      </c>
      <c r="BS190" s="68" t="str">
        <f>IF(main!CE193="","",ROUND(main!CE193*100,6))</f>
        <v/>
      </c>
      <c r="BT190" s="68" t="str">
        <f>IF(main!CF193="","",ROUND(main!CF193*100,6))</f>
        <v/>
      </c>
      <c r="BU190" s="68" t="str">
        <f>IF(main!CG193="","",ROUND(main!CG193*100,6))</f>
        <v/>
      </c>
      <c r="BV190" s="68" t="str">
        <f>IF(main!CH193="","",ROUND(main!CH193*100,6))</f>
        <v/>
      </c>
      <c r="BW190" s="68" t="str">
        <f>IF(main!CI193="","",ROUND(main!CI193*100,6))</f>
        <v/>
      </c>
      <c r="BX190" s="68" t="str">
        <f>IF(main!CJ193="","",ROUND(main!CJ193*100,6))</f>
        <v/>
      </c>
      <c r="BY190" s="68" t="str">
        <f>IF(main!CK193="","",ROUND(main!CK193*100,6))</f>
        <v/>
      </c>
      <c r="BZ190" s="68" t="str">
        <f>IF(main!CL193="","",ROUND(main!CL193*100,6))</f>
        <v/>
      </c>
      <c r="CA190" s="68" t="str">
        <f>IF(main!CM193="","",ROUND(main!CM193*100,6))</f>
        <v/>
      </c>
      <c r="CB190" s="68" t="str">
        <f>IF(main!CN193="","",ROUND(main!CN193*100,6))</f>
        <v/>
      </c>
      <c r="CC190" s="68" t="str">
        <f>IF(main!CO193="","",ROUND(main!CO193*100,6))</f>
        <v/>
      </c>
    </row>
    <row r="191" spans="1:81" x14ac:dyDescent="0.25">
      <c r="A191" s="65" t="s">
        <v>352</v>
      </c>
      <c r="B191" s="66" t="str">
        <f>main!C193</f>
        <v>งานติดตั้งผนังกระจก และประตูกระจกอลูมิเนียม</v>
      </c>
      <c r="C191" s="67">
        <f>main!O193</f>
        <v>100000</v>
      </c>
      <c r="D191" s="65" t="s">
        <v>111</v>
      </c>
      <c r="E191" s="68" t="str">
        <f t="shared" si="2"/>
        <v/>
      </c>
      <c r="F191" s="68" t="str">
        <f>IF(main!R194="","",ROUND(main!R194*100,6))</f>
        <v/>
      </c>
      <c r="G191" s="68" t="str">
        <f>IF(main!S194="","",ROUND(main!S194*100,6))</f>
        <v/>
      </c>
      <c r="H191" s="68" t="str">
        <f>IF(main!T194="","",ROUND(main!T194*100,6))</f>
        <v/>
      </c>
      <c r="I191" s="68" t="str">
        <f>IF(main!U194="","",ROUND(main!U194*100,6))</f>
        <v/>
      </c>
      <c r="J191" s="68" t="str">
        <f>IF(main!V194="","",ROUND(main!V194*100,6))</f>
        <v/>
      </c>
      <c r="K191" s="68" t="str">
        <f>IF(main!W194="","",ROUND(main!W194*100,6))</f>
        <v/>
      </c>
      <c r="L191" s="68" t="str">
        <f>IF(main!X194="","",ROUND(main!X194*100,6))</f>
        <v/>
      </c>
      <c r="M191" s="68" t="str">
        <f>IF(main!Y194="","",ROUND(main!Y194*100,6))</f>
        <v/>
      </c>
      <c r="N191" s="68" t="str">
        <f>IF(main!Z194="","",ROUND(main!Z194*100,6))</f>
        <v/>
      </c>
      <c r="O191" s="68" t="str">
        <f>IF(main!AA194="","",ROUND(main!AA194*100,6))</f>
        <v/>
      </c>
      <c r="P191" s="68" t="str">
        <f>IF(main!AB194="","",ROUND(main!AB194*100,6))</f>
        <v/>
      </c>
      <c r="Q191" s="68" t="str">
        <f>IF(main!AC194="","",ROUND(main!AC194*100,6))</f>
        <v/>
      </c>
      <c r="R191" s="68" t="str">
        <f>IF(main!AD194="","",ROUND(main!AD194*100,6))</f>
        <v/>
      </c>
      <c r="S191" s="68" t="str">
        <f>IF(main!AE194="","",ROUND(main!AE194*100,6))</f>
        <v/>
      </c>
      <c r="T191" s="68" t="str">
        <f>IF(main!AF194="","",ROUND(main!AF194*100,6))</f>
        <v/>
      </c>
      <c r="U191" s="68" t="str">
        <f>IF(main!AG194="","",ROUND(main!AG194*100,6))</f>
        <v/>
      </c>
      <c r="V191" s="68" t="str">
        <f>IF(main!AH194="","",ROUND(main!AH194*100,6))</f>
        <v/>
      </c>
      <c r="W191" s="68" t="str">
        <f>IF(main!AI194="","",ROUND(main!AI194*100,6))</f>
        <v/>
      </c>
      <c r="X191" s="68" t="str">
        <f>IF(main!AJ194="","",ROUND(main!AJ194*100,6))</f>
        <v/>
      </c>
      <c r="Y191" s="68" t="str">
        <f>IF(main!AK194="","",ROUND(main!AK194*100,6))</f>
        <v/>
      </c>
      <c r="Z191" s="68" t="str">
        <f>IF(main!AL194="","",ROUND(main!AL194*100,6))</f>
        <v/>
      </c>
      <c r="AA191" s="68" t="str">
        <f>IF(main!AM194="","",ROUND(main!AM194*100,6))</f>
        <v/>
      </c>
      <c r="AB191" s="68" t="str">
        <f>IF(main!AN194="","",ROUND(main!AN194*100,6))</f>
        <v/>
      </c>
      <c r="AC191" s="68" t="str">
        <f>IF(main!AO194="","",ROUND(main!AO194*100,6))</f>
        <v/>
      </c>
      <c r="AD191" s="68" t="str">
        <f>IF(main!AP194="","",ROUND(main!AP194*100,6))</f>
        <v/>
      </c>
      <c r="AE191" s="68" t="str">
        <f>IF(main!AQ194="","",ROUND(main!AQ194*100,6))</f>
        <v/>
      </c>
      <c r="AF191" s="68" t="str">
        <f>IF(main!AR194="","",ROUND(main!AR194*100,6))</f>
        <v/>
      </c>
      <c r="AG191" s="68" t="str">
        <f>IF(main!AS194="","",ROUND(main!AS194*100,6))</f>
        <v/>
      </c>
      <c r="AH191" s="68" t="str">
        <f>IF(main!AT194="","",ROUND(main!AT194*100,6))</f>
        <v/>
      </c>
      <c r="AI191" s="68" t="str">
        <f>IF(main!AU194="","",ROUND(main!AU194*100,6))</f>
        <v/>
      </c>
      <c r="AJ191" s="68" t="str">
        <f>IF(main!AV194="","",ROUND(main!AV194*100,6))</f>
        <v/>
      </c>
      <c r="AK191" s="68" t="str">
        <f>IF(main!AW194="","",ROUND(main!AW194*100,6))</f>
        <v/>
      </c>
      <c r="AL191" s="68" t="str">
        <f>IF(main!AX194="","",ROUND(main!AX194*100,6))</f>
        <v/>
      </c>
      <c r="AM191" s="68" t="str">
        <f>IF(main!AY194="","",ROUND(main!AY194*100,6))</f>
        <v/>
      </c>
      <c r="AN191" s="68" t="str">
        <f>IF(main!AZ194="","",ROUND(main!AZ194*100,6))</f>
        <v/>
      </c>
      <c r="AO191" s="68" t="str">
        <f>IF(main!BA194="","",ROUND(main!BA194*100,6))</f>
        <v/>
      </c>
      <c r="AP191" s="68" t="str">
        <f>IF(main!BB194="","",ROUND(main!BB194*100,6))</f>
        <v/>
      </c>
      <c r="AQ191" s="68" t="str">
        <f>IF(main!BC194="","",ROUND(main!BC194*100,6))</f>
        <v/>
      </c>
      <c r="AR191" s="68" t="str">
        <f>IF(main!BD194="","",ROUND(main!BD194*100,6))</f>
        <v/>
      </c>
      <c r="AS191" s="68" t="str">
        <f>IF(main!BE194="","",ROUND(main!BE194*100,6))</f>
        <v/>
      </c>
      <c r="AT191" s="68" t="str">
        <f>IF(main!BF194="","",ROUND(main!BF194*100,6))</f>
        <v/>
      </c>
      <c r="AU191" s="68" t="str">
        <f>IF(main!BG194="","",ROUND(main!BG194*100,6))</f>
        <v/>
      </c>
      <c r="AV191" s="68" t="str">
        <f>IF(main!BH194="","",ROUND(main!BH194*100,6))</f>
        <v/>
      </c>
      <c r="AW191" s="68" t="str">
        <f>IF(main!BI194="","",ROUND(main!BI194*100,6))</f>
        <v/>
      </c>
      <c r="AX191" s="68" t="str">
        <f>IF(main!BJ194="","",ROUND(main!BJ194*100,6))</f>
        <v/>
      </c>
      <c r="AY191" s="68" t="str">
        <f>IF(main!BK194="","",ROUND(main!BK194*100,6))</f>
        <v/>
      </c>
      <c r="AZ191" s="68" t="str">
        <f>IF(main!BL194="","",ROUND(main!BL194*100,6))</f>
        <v/>
      </c>
      <c r="BA191" s="68" t="str">
        <f>IF(main!BM194="","",ROUND(main!BM194*100,6))</f>
        <v/>
      </c>
      <c r="BB191" s="68" t="str">
        <f>IF(main!BN194="","",ROUND(main!BN194*100,6))</f>
        <v/>
      </c>
      <c r="BC191" s="68" t="str">
        <f>IF(main!BO194="","",ROUND(main!BO194*100,6))</f>
        <v/>
      </c>
      <c r="BD191" s="68" t="str">
        <f>IF(main!BP194="","",ROUND(main!BP194*100,6))</f>
        <v/>
      </c>
      <c r="BE191" s="68" t="str">
        <f>IF(main!BQ194="","",ROUND(main!BQ194*100,6))</f>
        <v/>
      </c>
      <c r="BF191" s="68" t="str">
        <f>IF(main!BR194="","",ROUND(main!BR194*100,6))</f>
        <v/>
      </c>
      <c r="BG191" s="68" t="str">
        <f>IF(main!BS194="","",ROUND(main!BS194*100,6))</f>
        <v/>
      </c>
      <c r="BH191" s="68" t="str">
        <f>IF(main!BT194="","",ROUND(main!BT194*100,6))</f>
        <v/>
      </c>
      <c r="BI191" s="68" t="str">
        <f>IF(main!BU194="","",ROUND(main!BU194*100,6))</f>
        <v/>
      </c>
      <c r="BJ191" s="68" t="str">
        <f>IF(main!BV194="","",ROUND(main!BV194*100,6))</f>
        <v/>
      </c>
      <c r="BK191" s="68" t="str">
        <f>IF(main!BW194="","",ROUND(main!BW194*100,6))</f>
        <v/>
      </c>
      <c r="BL191" s="68" t="str">
        <f>IF(main!BX194="","",ROUND(main!BX194*100,6))</f>
        <v/>
      </c>
      <c r="BM191" s="68" t="str">
        <f>IF(main!BY194="","",ROUND(main!BY194*100,6))</f>
        <v/>
      </c>
      <c r="BN191" s="68" t="str">
        <f>IF(main!BZ194="","",ROUND(main!BZ194*100,6))</f>
        <v/>
      </c>
      <c r="BO191" s="68" t="str">
        <f>IF(main!CA194="","",ROUND(main!CA194*100,6))</f>
        <v/>
      </c>
      <c r="BP191" s="68" t="str">
        <f>IF(main!CB194="","",ROUND(main!CB194*100,6))</f>
        <v/>
      </c>
      <c r="BQ191" s="68" t="str">
        <f>IF(main!CC194="","",ROUND(main!CC194*100,6))</f>
        <v/>
      </c>
      <c r="BR191" s="68" t="str">
        <f>IF(main!CD194="","",ROUND(main!CD194*100,6))</f>
        <v/>
      </c>
      <c r="BS191" s="68" t="str">
        <f>IF(main!CE194="","",ROUND(main!CE194*100,6))</f>
        <v/>
      </c>
      <c r="BT191" s="68" t="str">
        <f>IF(main!CF194="","",ROUND(main!CF194*100,6))</f>
        <v/>
      </c>
      <c r="BU191" s="68" t="str">
        <f>IF(main!CG194="","",ROUND(main!CG194*100,6))</f>
        <v/>
      </c>
      <c r="BV191" s="68" t="str">
        <f>IF(main!CH194="","",ROUND(main!CH194*100,6))</f>
        <v/>
      </c>
      <c r="BW191" s="68" t="str">
        <f>IF(main!CI194="","",ROUND(main!CI194*100,6))</f>
        <v/>
      </c>
      <c r="BX191" s="68" t="str">
        <f>IF(main!CJ194="","",ROUND(main!CJ194*100,6))</f>
        <v/>
      </c>
      <c r="BY191" s="68" t="str">
        <f>IF(main!CK194="","",ROUND(main!CK194*100,6))</f>
        <v/>
      </c>
      <c r="BZ191" s="68" t="str">
        <f>IF(main!CL194="","",ROUND(main!CL194*100,6))</f>
        <v/>
      </c>
      <c r="CA191" s="68" t="str">
        <f>IF(main!CM194="","",ROUND(main!CM194*100,6))</f>
        <v/>
      </c>
      <c r="CB191" s="68" t="str">
        <f>IF(main!CN194="","",ROUND(main!CN194*100,6))</f>
        <v/>
      </c>
      <c r="CC191" s="68" t="str">
        <f>IF(main!CO194="","",ROUND(main!CO194*100,6))</f>
        <v/>
      </c>
    </row>
    <row r="192" spans="1:81" x14ac:dyDescent="0.25">
      <c r="A192" s="65" t="s">
        <v>355</v>
      </c>
      <c r="B192" s="66" t="str">
        <f>main!C195</f>
        <v>MEP</v>
      </c>
      <c r="C192" s="67">
        <f>main!O195</f>
        <v>400000</v>
      </c>
      <c r="D192" s="65" t="s">
        <v>110</v>
      </c>
      <c r="E192" s="68">
        <f t="shared" si="2"/>
        <v>100.00000199999999</v>
      </c>
      <c r="F192" s="68" t="str">
        <f>IF(main!R195="","",ROUND(main!R195*100,6))</f>
        <v/>
      </c>
      <c r="G192" s="68" t="str">
        <f>IF(main!S195="","",ROUND(main!S195*100,6))</f>
        <v/>
      </c>
      <c r="H192" s="68" t="str">
        <f>IF(main!T195="","",ROUND(main!T195*100,6))</f>
        <v/>
      </c>
      <c r="I192" s="68" t="str">
        <f>IF(main!U195="","",ROUND(main!U195*100,6))</f>
        <v/>
      </c>
      <c r="J192" s="68" t="str">
        <f>IF(main!V195="","",ROUND(main!V195*100,6))</f>
        <v/>
      </c>
      <c r="K192" s="68" t="str">
        <f>IF(main!W195="","",ROUND(main!W195*100,6))</f>
        <v/>
      </c>
      <c r="L192" s="68" t="str">
        <f>IF(main!X195="","",ROUND(main!X195*100,6))</f>
        <v/>
      </c>
      <c r="M192" s="68" t="str">
        <f>IF(main!Y195="","",ROUND(main!Y195*100,6))</f>
        <v/>
      </c>
      <c r="N192" s="68" t="str">
        <f>IF(main!Z195="","",ROUND(main!Z195*100,6))</f>
        <v/>
      </c>
      <c r="O192" s="68" t="str">
        <f>IF(main!AA195="","",ROUND(main!AA195*100,6))</f>
        <v/>
      </c>
      <c r="P192" s="68" t="str">
        <f>IF(main!AB195="","",ROUND(main!AB195*100,6))</f>
        <v/>
      </c>
      <c r="Q192" s="68" t="str">
        <f>IF(main!AC195="","",ROUND(main!AC195*100,6))</f>
        <v/>
      </c>
      <c r="R192" s="68" t="str">
        <f>IF(main!AD195="","",ROUND(main!AD195*100,6))</f>
        <v/>
      </c>
      <c r="S192" s="68" t="str">
        <f>IF(main!AE195="","",ROUND(main!AE195*100,6))</f>
        <v/>
      </c>
      <c r="T192" s="68" t="str">
        <f>IF(main!AF195="","",ROUND(main!AF195*100,6))</f>
        <v/>
      </c>
      <c r="U192" s="68" t="str">
        <f>IF(main!AG195="","",ROUND(main!AG195*100,6))</f>
        <v/>
      </c>
      <c r="V192" s="68" t="str">
        <f>IF(main!AH195="","",ROUND(main!AH195*100,6))</f>
        <v/>
      </c>
      <c r="W192" s="68" t="str">
        <f>IF(main!AI195="","",ROUND(main!AI195*100,6))</f>
        <v/>
      </c>
      <c r="X192" s="68" t="str">
        <f>IF(main!AJ195="","",ROUND(main!AJ195*100,6))</f>
        <v/>
      </c>
      <c r="Y192" s="68" t="str">
        <f>IF(main!AK195="","",ROUND(main!AK195*100,6))</f>
        <v/>
      </c>
      <c r="Z192" s="68" t="str">
        <f>IF(main!AL195="","",ROUND(main!AL195*100,6))</f>
        <v/>
      </c>
      <c r="AA192" s="68" t="str">
        <f>IF(main!AM195="","",ROUND(main!AM195*100,6))</f>
        <v/>
      </c>
      <c r="AB192" s="68" t="str">
        <f>IF(main!AN195="","",ROUND(main!AN195*100,6))</f>
        <v/>
      </c>
      <c r="AC192" s="68" t="str">
        <f>IF(main!AO195="","",ROUND(main!AO195*100,6))</f>
        <v/>
      </c>
      <c r="AD192" s="68" t="str">
        <f>IF(main!AP195="","",ROUND(main!AP195*100,6))</f>
        <v/>
      </c>
      <c r="AE192" s="68" t="str">
        <f>IF(main!AQ195="","",ROUND(main!AQ195*100,6))</f>
        <v/>
      </c>
      <c r="AF192" s="68" t="str">
        <f>IF(main!AR195="","",ROUND(main!AR195*100,6))</f>
        <v/>
      </c>
      <c r="AG192" s="68" t="str">
        <f>IF(main!AS195="","",ROUND(main!AS195*100,6))</f>
        <v/>
      </c>
      <c r="AH192" s="68" t="str">
        <f>IF(main!AT195="","",ROUND(main!AT195*100,6))</f>
        <v/>
      </c>
      <c r="AI192" s="68" t="str">
        <f>IF(main!AU195="","",ROUND(main!AU195*100,6))</f>
        <v/>
      </c>
      <c r="AJ192" s="68" t="str">
        <f>IF(main!AV195="","",ROUND(main!AV195*100,6))</f>
        <v/>
      </c>
      <c r="AK192" s="68" t="str">
        <f>IF(main!AW195="","",ROUND(main!AW195*100,6))</f>
        <v/>
      </c>
      <c r="AL192" s="68" t="str">
        <f>IF(main!AX195="","",ROUND(main!AX195*100,6))</f>
        <v/>
      </c>
      <c r="AM192" s="68" t="str">
        <f>IF(main!AY195="","",ROUND(main!AY195*100,6))</f>
        <v/>
      </c>
      <c r="AN192" s="68" t="str">
        <f>IF(main!AZ195="","",ROUND(main!AZ195*100,6))</f>
        <v/>
      </c>
      <c r="AO192" s="68" t="str">
        <f>IF(main!BA195="","",ROUND(main!BA195*100,6))</f>
        <v/>
      </c>
      <c r="AP192" s="68" t="str">
        <f>IF(main!BB195="","",ROUND(main!BB195*100,6))</f>
        <v/>
      </c>
      <c r="AQ192" s="68" t="str">
        <f>IF(main!BC195="","",ROUND(main!BC195*100,6))</f>
        <v/>
      </c>
      <c r="AR192" s="68" t="str">
        <f>IF(main!BD195="","",ROUND(main!BD195*100,6))</f>
        <v/>
      </c>
      <c r="AS192" s="68" t="str">
        <f>IF(main!BE195="","",ROUND(main!BE195*100,6))</f>
        <v/>
      </c>
      <c r="AT192" s="68" t="str">
        <f>IF(main!BF195="","",ROUND(main!BF195*100,6))</f>
        <v/>
      </c>
      <c r="AU192" s="68" t="str">
        <f>IF(main!BG195="","",ROUND(main!BG195*100,6))</f>
        <v/>
      </c>
      <c r="AV192" s="68" t="str">
        <f>IF(main!BH195="","",ROUND(main!BH195*100,6))</f>
        <v/>
      </c>
      <c r="AW192" s="68">
        <f>IF(main!BI195="","",ROUND(main!BI195*100,6))</f>
        <v>0.116549</v>
      </c>
      <c r="AX192" s="68">
        <f>IF(main!BJ195="","",ROUND(main!BJ195*100,6))</f>
        <v>1.1088469999999999</v>
      </c>
      <c r="AY192" s="68">
        <f>IF(main!BK195="","",ROUND(main!BK195*100,6))</f>
        <v>2.347429</v>
      </c>
      <c r="AZ192" s="68">
        <f>IF(main!BL195="","",ROUND(main!BL195*100,6))</f>
        <v>3.8702559999999999</v>
      </c>
      <c r="BA192" s="68">
        <f>IF(main!BM195="","",ROUND(main!BM195*100,6))</f>
        <v>4.9695070000000001</v>
      </c>
      <c r="BB192" s="68">
        <f>IF(main!BN195="","",ROUND(main!BN195*100,6))</f>
        <v>4.9695070000000001</v>
      </c>
      <c r="BC192" s="68">
        <f>IF(main!BO195="","",ROUND(main!BO195*100,6))</f>
        <v>3.8702559999999999</v>
      </c>
      <c r="BD192" s="68">
        <f>IF(main!BP195="","",ROUND(main!BP195*100,6))</f>
        <v>2.347429</v>
      </c>
      <c r="BE192" s="68">
        <f>IF(main!BQ195="","",ROUND(main!BQ195*100,6))</f>
        <v>1.1088469999999999</v>
      </c>
      <c r="BF192" s="68">
        <f>IF(main!BR195="","",ROUND(main!BR195*100,6))</f>
        <v>2.9104199999999998</v>
      </c>
      <c r="BG192" s="68">
        <f>IF(main!BS195="","",ROUND(main!BS195*100,6))</f>
        <v>9.1666670000000003</v>
      </c>
      <c r="BH192" s="68">
        <f>IF(main!BT195="","",ROUND(main!BT195*100,6))</f>
        <v>9.1666670000000003</v>
      </c>
      <c r="BI192" s="68">
        <f>IF(main!BU195="","",ROUND(main!BU195*100,6))</f>
        <v>9.1666670000000003</v>
      </c>
      <c r="BJ192" s="68">
        <f>IF(main!BV195="","",ROUND(main!BV195*100,6))</f>
        <v>9.1666670000000003</v>
      </c>
      <c r="BK192" s="68">
        <f>IF(main!BW195="","",ROUND(main!BW195*100,6))</f>
        <v>7.7380950000000004</v>
      </c>
      <c r="BL192" s="68">
        <f>IF(main!BX195="","",ROUND(main!BX195*100,6))</f>
        <v>3.769841</v>
      </c>
      <c r="BM192" s="68">
        <f>IF(main!BY195="","",ROUND(main!BY195*100,6))</f>
        <v>2.7777780000000001</v>
      </c>
      <c r="BN192" s="68">
        <f>IF(main!BZ195="","",ROUND(main!BZ195*100,6))</f>
        <v>2.7777780000000001</v>
      </c>
      <c r="BO192" s="68">
        <f>IF(main!CA195="","",ROUND(main!CA195*100,6))</f>
        <v>2.7777780000000001</v>
      </c>
      <c r="BP192" s="68">
        <f>IF(main!CB195="","",ROUND(main!CB195*100,6))</f>
        <v>2.7777780000000001</v>
      </c>
      <c r="BQ192" s="68">
        <f>IF(main!CC195="","",ROUND(main!CC195*100,6))</f>
        <v>2.7777780000000001</v>
      </c>
      <c r="BR192" s="68">
        <f>IF(main!CD195="","",ROUND(main!CD195*100,6))</f>
        <v>2.7777780000000001</v>
      </c>
      <c r="BS192" s="68">
        <f>IF(main!CE195="","",ROUND(main!CE195*100,6))</f>
        <v>2.7777780000000001</v>
      </c>
      <c r="BT192" s="68">
        <f>IF(main!CF195="","",ROUND(main!CF195*100,6))</f>
        <v>2.7777780000000001</v>
      </c>
      <c r="BU192" s="68">
        <f>IF(main!CG195="","",ROUND(main!CG195*100,6))</f>
        <v>1.984127</v>
      </c>
      <c r="BV192" s="68" t="str">
        <f>IF(main!CH195="","",ROUND(main!CH195*100,6))</f>
        <v/>
      </c>
      <c r="BW192" s="68" t="str">
        <f>IF(main!CI195="","",ROUND(main!CI195*100,6))</f>
        <v/>
      </c>
      <c r="BX192" s="68" t="str">
        <f>IF(main!CJ195="","",ROUND(main!CJ195*100,6))</f>
        <v/>
      </c>
      <c r="BY192" s="68" t="str">
        <f>IF(main!CK195="","",ROUND(main!CK195*100,6))</f>
        <v/>
      </c>
      <c r="BZ192" s="68" t="str">
        <f>IF(main!CL195="","",ROUND(main!CL195*100,6))</f>
        <v/>
      </c>
      <c r="CA192" s="68" t="str">
        <f>IF(main!CM195="","",ROUND(main!CM195*100,6))</f>
        <v/>
      </c>
      <c r="CB192" s="68" t="str">
        <f>IF(main!CN195="","",ROUND(main!CN195*100,6))</f>
        <v/>
      </c>
      <c r="CC192" s="68" t="str">
        <f>IF(main!CO195="","",ROUND(main!CO195*100,6))</f>
        <v/>
      </c>
    </row>
    <row r="193" spans="1:81" x14ac:dyDescent="0.25">
      <c r="A193" s="65" t="s">
        <v>355</v>
      </c>
      <c r="B193" s="66" t="str">
        <f>main!C195</f>
        <v>MEP</v>
      </c>
      <c r="C193" s="67">
        <f>main!O195</f>
        <v>400000</v>
      </c>
      <c r="D193" s="65" t="s">
        <v>111</v>
      </c>
      <c r="E193" s="68" t="str">
        <f t="shared" si="2"/>
        <v/>
      </c>
      <c r="F193" s="68" t="str">
        <f>IF(main!R196="","",ROUND(main!R196*100,6))</f>
        <v/>
      </c>
      <c r="G193" s="68" t="str">
        <f>IF(main!S196="","",ROUND(main!S196*100,6))</f>
        <v/>
      </c>
      <c r="H193" s="68" t="str">
        <f>IF(main!T196="","",ROUND(main!T196*100,6))</f>
        <v/>
      </c>
      <c r="I193" s="68" t="str">
        <f>IF(main!U196="","",ROUND(main!U196*100,6))</f>
        <v/>
      </c>
      <c r="J193" s="68" t="str">
        <f>IF(main!V196="","",ROUND(main!V196*100,6))</f>
        <v/>
      </c>
      <c r="K193" s="68" t="str">
        <f>IF(main!W196="","",ROUND(main!W196*100,6))</f>
        <v/>
      </c>
      <c r="L193" s="68" t="str">
        <f>IF(main!X196="","",ROUND(main!X196*100,6))</f>
        <v/>
      </c>
      <c r="M193" s="68" t="str">
        <f>IF(main!Y196="","",ROUND(main!Y196*100,6))</f>
        <v/>
      </c>
      <c r="N193" s="68" t="str">
        <f>IF(main!Z196="","",ROUND(main!Z196*100,6))</f>
        <v/>
      </c>
      <c r="O193" s="68" t="str">
        <f>IF(main!AA196="","",ROUND(main!AA196*100,6))</f>
        <v/>
      </c>
      <c r="P193" s="68" t="str">
        <f>IF(main!AB196="","",ROUND(main!AB196*100,6))</f>
        <v/>
      </c>
      <c r="Q193" s="68" t="str">
        <f>IF(main!AC196="","",ROUND(main!AC196*100,6))</f>
        <v/>
      </c>
      <c r="R193" s="68" t="str">
        <f>IF(main!AD196="","",ROUND(main!AD196*100,6))</f>
        <v/>
      </c>
      <c r="S193" s="68" t="str">
        <f>IF(main!AE196="","",ROUND(main!AE196*100,6))</f>
        <v/>
      </c>
      <c r="T193" s="68" t="str">
        <f>IF(main!AF196="","",ROUND(main!AF196*100,6))</f>
        <v/>
      </c>
      <c r="U193" s="68" t="str">
        <f>IF(main!AG196="","",ROUND(main!AG196*100,6))</f>
        <v/>
      </c>
      <c r="V193" s="68" t="str">
        <f>IF(main!AH196="","",ROUND(main!AH196*100,6))</f>
        <v/>
      </c>
      <c r="W193" s="68" t="str">
        <f>IF(main!AI196="","",ROUND(main!AI196*100,6))</f>
        <v/>
      </c>
      <c r="X193" s="68" t="str">
        <f>IF(main!AJ196="","",ROUND(main!AJ196*100,6))</f>
        <v/>
      </c>
      <c r="Y193" s="68" t="str">
        <f>IF(main!AK196="","",ROUND(main!AK196*100,6))</f>
        <v/>
      </c>
      <c r="Z193" s="68" t="str">
        <f>IF(main!AL196="","",ROUND(main!AL196*100,6))</f>
        <v/>
      </c>
      <c r="AA193" s="68" t="str">
        <f>IF(main!AM196="","",ROUND(main!AM196*100,6))</f>
        <v/>
      </c>
      <c r="AB193" s="68" t="str">
        <f>IF(main!AN196="","",ROUND(main!AN196*100,6))</f>
        <v/>
      </c>
      <c r="AC193" s="68" t="str">
        <f>IF(main!AO196="","",ROUND(main!AO196*100,6))</f>
        <v/>
      </c>
      <c r="AD193" s="68" t="str">
        <f>IF(main!AP196="","",ROUND(main!AP196*100,6))</f>
        <v/>
      </c>
      <c r="AE193" s="68" t="str">
        <f>IF(main!AQ196="","",ROUND(main!AQ196*100,6))</f>
        <v/>
      </c>
      <c r="AF193" s="68" t="str">
        <f>IF(main!AR196="","",ROUND(main!AR196*100,6))</f>
        <v/>
      </c>
      <c r="AG193" s="68" t="str">
        <f>IF(main!AS196="","",ROUND(main!AS196*100,6))</f>
        <v/>
      </c>
      <c r="AH193" s="68" t="str">
        <f>IF(main!AT196="","",ROUND(main!AT196*100,6))</f>
        <v/>
      </c>
      <c r="AI193" s="68" t="str">
        <f>IF(main!AU196="","",ROUND(main!AU196*100,6))</f>
        <v/>
      </c>
      <c r="AJ193" s="68" t="str">
        <f>IF(main!AV196="","",ROUND(main!AV196*100,6))</f>
        <v/>
      </c>
      <c r="AK193" s="68" t="str">
        <f>IF(main!AW196="","",ROUND(main!AW196*100,6))</f>
        <v/>
      </c>
      <c r="AL193" s="68" t="str">
        <f>IF(main!AX196="","",ROUND(main!AX196*100,6))</f>
        <v/>
      </c>
      <c r="AM193" s="68" t="str">
        <f>IF(main!AY196="","",ROUND(main!AY196*100,6))</f>
        <v/>
      </c>
      <c r="AN193" s="68" t="str">
        <f>IF(main!AZ196="","",ROUND(main!AZ196*100,6))</f>
        <v/>
      </c>
      <c r="AO193" s="68" t="str">
        <f>IF(main!BA196="","",ROUND(main!BA196*100,6))</f>
        <v/>
      </c>
      <c r="AP193" s="68" t="str">
        <f>IF(main!BB196="","",ROUND(main!BB196*100,6))</f>
        <v/>
      </c>
      <c r="AQ193" s="68" t="str">
        <f>IF(main!BC196="","",ROUND(main!BC196*100,6))</f>
        <v/>
      </c>
      <c r="AR193" s="68" t="str">
        <f>IF(main!BD196="","",ROUND(main!BD196*100,6))</f>
        <v/>
      </c>
      <c r="AS193" s="68" t="str">
        <f>IF(main!BE196="","",ROUND(main!BE196*100,6))</f>
        <v/>
      </c>
      <c r="AT193" s="68" t="str">
        <f>IF(main!BF196="","",ROUND(main!BF196*100,6))</f>
        <v/>
      </c>
      <c r="AU193" s="68" t="str">
        <f>IF(main!BG196="","",ROUND(main!BG196*100,6))</f>
        <v/>
      </c>
      <c r="AV193" s="68" t="str">
        <f>IF(main!BH196="","",ROUND(main!BH196*100,6))</f>
        <v/>
      </c>
      <c r="AW193" s="68" t="str">
        <f>IF(main!BI196="","",ROUND(main!BI196*100,6))</f>
        <v/>
      </c>
      <c r="AX193" s="68" t="str">
        <f>IF(main!BJ196="","",ROUND(main!BJ196*100,6))</f>
        <v/>
      </c>
      <c r="AY193" s="68" t="str">
        <f>IF(main!BK196="","",ROUND(main!BK196*100,6))</f>
        <v/>
      </c>
      <c r="AZ193" s="68" t="str">
        <f>IF(main!BL196="","",ROUND(main!BL196*100,6))</f>
        <v/>
      </c>
      <c r="BA193" s="68" t="str">
        <f>IF(main!BM196="","",ROUND(main!BM196*100,6))</f>
        <v/>
      </c>
      <c r="BB193" s="68" t="str">
        <f>IF(main!BN196="","",ROUND(main!BN196*100,6))</f>
        <v/>
      </c>
      <c r="BC193" s="68" t="str">
        <f>IF(main!BO196="","",ROUND(main!BO196*100,6))</f>
        <v/>
      </c>
      <c r="BD193" s="68" t="str">
        <f>IF(main!BP196="","",ROUND(main!BP196*100,6))</f>
        <v/>
      </c>
      <c r="BE193" s="68" t="str">
        <f>IF(main!BQ196="","",ROUND(main!BQ196*100,6))</f>
        <v/>
      </c>
      <c r="BF193" s="68" t="str">
        <f>IF(main!BR196="","",ROUND(main!BR196*100,6))</f>
        <v/>
      </c>
      <c r="BG193" s="68" t="str">
        <f>IF(main!BS196="","",ROUND(main!BS196*100,6))</f>
        <v/>
      </c>
      <c r="BH193" s="68" t="str">
        <f>IF(main!BT196="","",ROUND(main!BT196*100,6))</f>
        <v/>
      </c>
      <c r="BI193" s="68" t="str">
        <f>IF(main!BU196="","",ROUND(main!BU196*100,6))</f>
        <v/>
      </c>
      <c r="BJ193" s="68" t="str">
        <f>IF(main!BV196="","",ROUND(main!BV196*100,6))</f>
        <v/>
      </c>
      <c r="BK193" s="68" t="str">
        <f>IF(main!BW196="","",ROUND(main!BW196*100,6))</f>
        <v/>
      </c>
      <c r="BL193" s="68" t="str">
        <f>IF(main!BX196="","",ROUND(main!BX196*100,6))</f>
        <v/>
      </c>
      <c r="BM193" s="68" t="str">
        <f>IF(main!BY196="","",ROUND(main!BY196*100,6))</f>
        <v/>
      </c>
      <c r="BN193" s="68" t="str">
        <f>IF(main!BZ196="","",ROUND(main!BZ196*100,6))</f>
        <v/>
      </c>
      <c r="BO193" s="68" t="str">
        <f>IF(main!CA196="","",ROUND(main!CA196*100,6))</f>
        <v/>
      </c>
      <c r="BP193" s="68" t="str">
        <f>IF(main!CB196="","",ROUND(main!CB196*100,6))</f>
        <v/>
      </c>
      <c r="BQ193" s="68" t="str">
        <f>IF(main!CC196="","",ROUND(main!CC196*100,6))</f>
        <v/>
      </c>
      <c r="BR193" s="68" t="str">
        <f>IF(main!CD196="","",ROUND(main!CD196*100,6))</f>
        <v/>
      </c>
      <c r="BS193" s="68" t="str">
        <f>IF(main!CE196="","",ROUND(main!CE196*100,6))</f>
        <v/>
      </c>
      <c r="BT193" s="68" t="str">
        <f>IF(main!CF196="","",ROUND(main!CF196*100,6))</f>
        <v/>
      </c>
      <c r="BU193" s="68" t="str">
        <f>IF(main!CG196="","",ROUND(main!CG196*100,6))</f>
        <v/>
      </c>
      <c r="BV193" s="68" t="str">
        <f>IF(main!CH196="","",ROUND(main!CH196*100,6))</f>
        <v/>
      </c>
      <c r="BW193" s="68" t="str">
        <f>IF(main!CI196="","",ROUND(main!CI196*100,6))</f>
        <v/>
      </c>
      <c r="BX193" s="68" t="str">
        <f>IF(main!CJ196="","",ROUND(main!CJ196*100,6))</f>
        <v/>
      </c>
      <c r="BY193" s="68" t="str">
        <f>IF(main!CK196="","",ROUND(main!CK196*100,6))</f>
        <v/>
      </c>
      <c r="BZ193" s="68" t="str">
        <f>IF(main!CL196="","",ROUND(main!CL196*100,6))</f>
        <v/>
      </c>
      <c r="CA193" s="68" t="str">
        <f>IF(main!CM196="","",ROUND(main!CM196*100,6))</f>
        <v/>
      </c>
      <c r="CB193" s="68" t="str">
        <f>IF(main!CN196="","",ROUND(main!CN196*100,6))</f>
        <v/>
      </c>
      <c r="CC193" s="68" t="str">
        <f>IF(main!CO196="","",ROUND(main!CO196*100,6))</f>
        <v/>
      </c>
    </row>
    <row r="194" spans="1:81" x14ac:dyDescent="0.25">
      <c r="A194" s="65" t="s">
        <v>357</v>
      </c>
      <c r="B194" s="66" t="str">
        <f>main!C197</f>
        <v>First Fix Wall and Ceiling</v>
      </c>
      <c r="C194" s="67">
        <f>main!O197</f>
        <v>100000</v>
      </c>
      <c r="D194" s="65" t="s">
        <v>110</v>
      </c>
      <c r="E194" s="68">
        <f t="shared" ref="E194:E257" si="3">IF(COUNT(F194:CC194)=0,"",ROUND(SUM(F194:CC194),6))</f>
        <v>100</v>
      </c>
      <c r="F194" s="68" t="str">
        <f>IF(main!R197="","",ROUND(main!R197*100,6))</f>
        <v/>
      </c>
      <c r="G194" s="68" t="str">
        <f>IF(main!S197="","",ROUND(main!S197*100,6))</f>
        <v/>
      </c>
      <c r="H194" s="68" t="str">
        <f>IF(main!T197="","",ROUND(main!T197*100,6))</f>
        <v/>
      </c>
      <c r="I194" s="68" t="str">
        <f>IF(main!U197="","",ROUND(main!U197*100,6))</f>
        <v/>
      </c>
      <c r="J194" s="68" t="str">
        <f>IF(main!V197="","",ROUND(main!V197*100,6))</f>
        <v/>
      </c>
      <c r="K194" s="68" t="str">
        <f>IF(main!W197="","",ROUND(main!W197*100,6))</f>
        <v/>
      </c>
      <c r="L194" s="68" t="str">
        <f>IF(main!X197="","",ROUND(main!X197*100,6))</f>
        <v/>
      </c>
      <c r="M194" s="68" t="str">
        <f>IF(main!Y197="","",ROUND(main!Y197*100,6))</f>
        <v/>
      </c>
      <c r="N194" s="68" t="str">
        <f>IF(main!Z197="","",ROUND(main!Z197*100,6))</f>
        <v/>
      </c>
      <c r="O194" s="68" t="str">
        <f>IF(main!AA197="","",ROUND(main!AA197*100,6))</f>
        <v/>
      </c>
      <c r="P194" s="68" t="str">
        <f>IF(main!AB197="","",ROUND(main!AB197*100,6))</f>
        <v/>
      </c>
      <c r="Q194" s="68" t="str">
        <f>IF(main!AC197="","",ROUND(main!AC197*100,6))</f>
        <v/>
      </c>
      <c r="R194" s="68" t="str">
        <f>IF(main!AD197="","",ROUND(main!AD197*100,6))</f>
        <v/>
      </c>
      <c r="S194" s="68" t="str">
        <f>IF(main!AE197="","",ROUND(main!AE197*100,6))</f>
        <v/>
      </c>
      <c r="T194" s="68" t="str">
        <f>IF(main!AF197="","",ROUND(main!AF197*100,6))</f>
        <v/>
      </c>
      <c r="U194" s="68" t="str">
        <f>IF(main!AG197="","",ROUND(main!AG197*100,6))</f>
        <v/>
      </c>
      <c r="V194" s="68" t="str">
        <f>IF(main!AH197="","",ROUND(main!AH197*100,6))</f>
        <v/>
      </c>
      <c r="W194" s="68" t="str">
        <f>IF(main!AI197="","",ROUND(main!AI197*100,6))</f>
        <v/>
      </c>
      <c r="X194" s="68" t="str">
        <f>IF(main!AJ197="","",ROUND(main!AJ197*100,6))</f>
        <v/>
      </c>
      <c r="Y194" s="68" t="str">
        <f>IF(main!AK197="","",ROUND(main!AK197*100,6))</f>
        <v/>
      </c>
      <c r="Z194" s="68" t="str">
        <f>IF(main!AL197="","",ROUND(main!AL197*100,6))</f>
        <v/>
      </c>
      <c r="AA194" s="68" t="str">
        <f>IF(main!AM197="","",ROUND(main!AM197*100,6))</f>
        <v/>
      </c>
      <c r="AB194" s="68" t="str">
        <f>IF(main!AN197="","",ROUND(main!AN197*100,6))</f>
        <v/>
      </c>
      <c r="AC194" s="68" t="str">
        <f>IF(main!AO197="","",ROUND(main!AO197*100,6))</f>
        <v/>
      </c>
      <c r="AD194" s="68" t="str">
        <f>IF(main!AP197="","",ROUND(main!AP197*100,6))</f>
        <v/>
      </c>
      <c r="AE194" s="68" t="str">
        <f>IF(main!AQ197="","",ROUND(main!AQ197*100,6))</f>
        <v/>
      </c>
      <c r="AF194" s="68" t="str">
        <f>IF(main!AR197="","",ROUND(main!AR197*100,6))</f>
        <v/>
      </c>
      <c r="AG194" s="68" t="str">
        <f>IF(main!AS197="","",ROUND(main!AS197*100,6))</f>
        <v/>
      </c>
      <c r="AH194" s="68" t="str">
        <f>IF(main!AT197="","",ROUND(main!AT197*100,6))</f>
        <v/>
      </c>
      <c r="AI194" s="68" t="str">
        <f>IF(main!AU197="","",ROUND(main!AU197*100,6))</f>
        <v/>
      </c>
      <c r="AJ194" s="68" t="str">
        <f>IF(main!AV197="","",ROUND(main!AV197*100,6))</f>
        <v/>
      </c>
      <c r="AK194" s="68" t="str">
        <f>IF(main!AW197="","",ROUND(main!AW197*100,6))</f>
        <v/>
      </c>
      <c r="AL194" s="68" t="str">
        <f>IF(main!AX197="","",ROUND(main!AX197*100,6))</f>
        <v/>
      </c>
      <c r="AM194" s="68" t="str">
        <f>IF(main!AY197="","",ROUND(main!AY197*100,6))</f>
        <v/>
      </c>
      <c r="AN194" s="68" t="str">
        <f>IF(main!AZ197="","",ROUND(main!AZ197*100,6))</f>
        <v/>
      </c>
      <c r="AO194" s="68" t="str">
        <f>IF(main!BA197="","",ROUND(main!BA197*100,6))</f>
        <v/>
      </c>
      <c r="AP194" s="68" t="str">
        <f>IF(main!BB197="","",ROUND(main!BB197*100,6))</f>
        <v/>
      </c>
      <c r="AQ194" s="68" t="str">
        <f>IF(main!BC197="","",ROUND(main!BC197*100,6))</f>
        <v/>
      </c>
      <c r="AR194" s="68" t="str">
        <f>IF(main!BD197="","",ROUND(main!BD197*100,6))</f>
        <v/>
      </c>
      <c r="AS194" s="68" t="str">
        <f>IF(main!BE197="","",ROUND(main!BE197*100,6))</f>
        <v/>
      </c>
      <c r="AT194" s="68" t="str">
        <f>IF(main!BF197="","",ROUND(main!BF197*100,6))</f>
        <v/>
      </c>
      <c r="AU194" s="68" t="str">
        <f>IF(main!BG197="","",ROUND(main!BG197*100,6))</f>
        <v/>
      </c>
      <c r="AV194" s="68" t="str">
        <f>IF(main!BH197="","",ROUND(main!BH197*100,6))</f>
        <v/>
      </c>
      <c r="AW194" s="68">
        <f>IF(main!BI197="","",ROUND(main!BI197*100,6))</f>
        <v>0.46619699999999997</v>
      </c>
      <c r="AX194" s="68">
        <f>IF(main!BJ197="","",ROUND(main!BJ197*100,6))</f>
        <v>4.4353879999999997</v>
      </c>
      <c r="AY194" s="68">
        <f>IF(main!BK197="","",ROUND(main!BK197*100,6))</f>
        <v>9.389716</v>
      </c>
      <c r="AZ194" s="68">
        <f>IF(main!BL197="","",ROUND(main!BL197*100,6))</f>
        <v>15.481024</v>
      </c>
      <c r="BA194" s="68">
        <f>IF(main!BM197="","",ROUND(main!BM197*100,6))</f>
        <v>19.878028</v>
      </c>
      <c r="BB194" s="68">
        <f>IF(main!BN197="","",ROUND(main!BN197*100,6))</f>
        <v>19.878028</v>
      </c>
      <c r="BC194" s="68">
        <f>IF(main!BO197="","",ROUND(main!BO197*100,6))</f>
        <v>15.481024</v>
      </c>
      <c r="BD194" s="68">
        <f>IF(main!BP197="","",ROUND(main!BP197*100,6))</f>
        <v>9.389716</v>
      </c>
      <c r="BE194" s="68">
        <f>IF(main!BQ197="","",ROUND(main!BQ197*100,6))</f>
        <v>4.4353879999999997</v>
      </c>
      <c r="BF194" s="68">
        <f>IF(main!BR197="","",ROUND(main!BR197*100,6))</f>
        <v>1.1654910000000001</v>
      </c>
      <c r="BG194" s="68" t="str">
        <f>IF(main!BS197="","",ROUND(main!BS197*100,6))</f>
        <v/>
      </c>
      <c r="BH194" s="68" t="str">
        <f>IF(main!BT197="","",ROUND(main!BT197*100,6))</f>
        <v/>
      </c>
      <c r="BI194" s="68" t="str">
        <f>IF(main!BU197="","",ROUND(main!BU197*100,6))</f>
        <v/>
      </c>
      <c r="BJ194" s="68" t="str">
        <f>IF(main!BV197="","",ROUND(main!BV197*100,6))</f>
        <v/>
      </c>
      <c r="BK194" s="68" t="str">
        <f>IF(main!BW197="","",ROUND(main!BW197*100,6))</f>
        <v/>
      </c>
      <c r="BL194" s="68" t="str">
        <f>IF(main!BX197="","",ROUND(main!BX197*100,6))</f>
        <v/>
      </c>
      <c r="BM194" s="68" t="str">
        <f>IF(main!BY197="","",ROUND(main!BY197*100,6))</f>
        <v/>
      </c>
      <c r="BN194" s="68" t="str">
        <f>IF(main!BZ197="","",ROUND(main!BZ197*100,6))</f>
        <v/>
      </c>
      <c r="BO194" s="68" t="str">
        <f>IF(main!CA197="","",ROUND(main!CA197*100,6))</f>
        <v/>
      </c>
      <c r="BP194" s="68" t="str">
        <f>IF(main!CB197="","",ROUND(main!CB197*100,6))</f>
        <v/>
      </c>
      <c r="BQ194" s="68" t="str">
        <f>IF(main!CC197="","",ROUND(main!CC197*100,6))</f>
        <v/>
      </c>
      <c r="BR194" s="68" t="str">
        <f>IF(main!CD197="","",ROUND(main!CD197*100,6))</f>
        <v/>
      </c>
      <c r="BS194" s="68" t="str">
        <f>IF(main!CE197="","",ROUND(main!CE197*100,6))</f>
        <v/>
      </c>
      <c r="BT194" s="68" t="str">
        <f>IF(main!CF197="","",ROUND(main!CF197*100,6))</f>
        <v/>
      </c>
      <c r="BU194" s="68" t="str">
        <f>IF(main!CG197="","",ROUND(main!CG197*100,6))</f>
        <v/>
      </c>
      <c r="BV194" s="68" t="str">
        <f>IF(main!CH197="","",ROUND(main!CH197*100,6))</f>
        <v/>
      </c>
      <c r="BW194" s="68" t="str">
        <f>IF(main!CI197="","",ROUND(main!CI197*100,6))</f>
        <v/>
      </c>
      <c r="BX194" s="68" t="str">
        <f>IF(main!CJ197="","",ROUND(main!CJ197*100,6))</f>
        <v/>
      </c>
      <c r="BY194" s="68" t="str">
        <f>IF(main!CK197="","",ROUND(main!CK197*100,6))</f>
        <v/>
      </c>
      <c r="BZ194" s="68" t="str">
        <f>IF(main!CL197="","",ROUND(main!CL197*100,6))</f>
        <v/>
      </c>
      <c r="CA194" s="68" t="str">
        <f>IF(main!CM197="","",ROUND(main!CM197*100,6))</f>
        <v/>
      </c>
      <c r="CB194" s="68" t="str">
        <f>IF(main!CN197="","",ROUND(main!CN197*100,6))</f>
        <v/>
      </c>
      <c r="CC194" s="68" t="str">
        <f>IF(main!CO197="","",ROUND(main!CO197*100,6))</f>
        <v/>
      </c>
    </row>
    <row r="195" spans="1:81" x14ac:dyDescent="0.25">
      <c r="A195" s="65" t="s">
        <v>357</v>
      </c>
      <c r="B195" s="66" t="str">
        <f>main!C197</f>
        <v>First Fix Wall and Ceiling</v>
      </c>
      <c r="C195" s="67">
        <f>main!O197</f>
        <v>100000</v>
      </c>
      <c r="D195" s="65" t="s">
        <v>111</v>
      </c>
      <c r="E195" s="68" t="str">
        <f t="shared" si="3"/>
        <v/>
      </c>
      <c r="F195" s="68" t="str">
        <f>IF(main!R198="","",ROUND(main!R198*100,6))</f>
        <v/>
      </c>
      <c r="G195" s="68" t="str">
        <f>IF(main!S198="","",ROUND(main!S198*100,6))</f>
        <v/>
      </c>
      <c r="H195" s="68" t="str">
        <f>IF(main!T198="","",ROUND(main!T198*100,6))</f>
        <v/>
      </c>
      <c r="I195" s="68" t="str">
        <f>IF(main!U198="","",ROUND(main!U198*100,6))</f>
        <v/>
      </c>
      <c r="J195" s="68" t="str">
        <f>IF(main!V198="","",ROUND(main!V198*100,6))</f>
        <v/>
      </c>
      <c r="K195" s="68" t="str">
        <f>IF(main!W198="","",ROUND(main!W198*100,6))</f>
        <v/>
      </c>
      <c r="L195" s="68" t="str">
        <f>IF(main!X198="","",ROUND(main!X198*100,6))</f>
        <v/>
      </c>
      <c r="M195" s="68" t="str">
        <f>IF(main!Y198="","",ROUND(main!Y198*100,6))</f>
        <v/>
      </c>
      <c r="N195" s="68" t="str">
        <f>IF(main!Z198="","",ROUND(main!Z198*100,6))</f>
        <v/>
      </c>
      <c r="O195" s="68" t="str">
        <f>IF(main!AA198="","",ROUND(main!AA198*100,6))</f>
        <v/>
      </c>
      <c r="P195" s="68" t="str">
        <f>IF(main!AB198="","",ROUND(main!AB198*100,6))</f>
        <v/>
      </c>
      <c r="Q195" s="68" t="str">
        <f>IF(main!AC198="","",ROUND(main!AC198*100,6))</f>
        <v/>
      </c>
      <c r="R195" s="68" t="str">
        <f>IF(main!AD198="","",ROUND(main!AD198*100,6))</f>
        <v/>
      </c>
      <c r="S195" s="68" t="str">
        <f>IF(main!AE198="","",ROUND(main!AE198*100,6))</f>
        <v/>
      </c>
      <c r="T195" s="68" t="str">
        <f>IF(main!AF198="","",ROUND(main!AF198*100,6))</f>
        <v/>
      </c>
      <c r="U195" s="68" t="str">
        <f>IF(main!AG198="","",ROUND(main!AG198*100,6))</f>
        <v/>
      </c>
      <c r="V195" s="68" t="str">
        <f>IF(main!AH198="","",ROUND(main!AH198*100,6))</f>
        <v/>
      </c>
      <c r="W195" s="68" t="str">
        <f>IF(main!AI198="","",ROUND(main!AI198*100,6))</f>
        <v/>
      </c>
      <c r="X195" s="68" t="str">
        <f>IF(main!AJ198="","",ROUND(main!AJ198*100,6))</f>
        <v/>
      </c>
      <c r="Y195" s="68" t="str">
        <f>IF(main!AK198="","",ROUND(main!AK198*100,6))</f>
        <v/>
      </c>
      <c r="Z195" s="68" t="str">
        <f>IF(main!AL198="","",ROUND(main!AL198*100,6))</f>
        <v/>
      </c>
      <c r="AA195" s="68" t="str">
        <f>IF(main!AM198="","",ROUND(main!AM198*100,6))</f>
        <v/>
      </c>
      <c r="AB195" s="68" t="str">
        <f>IF(main!AN198="","",ROUND(main!AN198*100,6))</f>
        <v/>
      </c>
      <c r="AC195" s="68" t="str">
        <f>IF(main!AO198="","",ROUND(main!AO198*100,6))</f>
        <v/>
      </c>
      <c r="AD195" s="68" t="str">
        <f>IF(main!AP198="","",ROUND(main!AP198*100,6))</f>
        <v/>
      </c>
      <c r="AE195" s="68" t="str">
        <f>IF(main!AQ198="","",ROUND(main!AQ198*100,6))</f>
        <v/>
      </c>
      <c r="AF195" s="68" t="str">
        <f>IF(main!AR198="","",ROUND(main!AR198*100,6))</f>
        <v/>
      </c>
      <c r="AG195" s="68" t="str">
        <f>IF(main!AS198="","",ROUND(main!AS198*100,6))</f>
        <v/>
      </c>
      <c r="AH195" s="68" t="str">
        <f>IF(main!AT198="","",ROUND(main!AT198*100,6))</f>
        <v/>
      </c>
      <c r="AI195" s="68" t="str">
        <f>IF(main!AU198="","",ROUND(main!AU198*100,6))</f>
        <v/>
      </c>
      <c r="AJ195" s="68" t="str">
        <f>IF(main!AV198="","",ROUND(main!AV198*100,6))</f>
        <v/>
      </c>
      <c r="AK195" s="68" t="str">
        <f>IF(main!AW198="","",ROUND(main!AW198*100,6))</f>
        <v/>
      </c>
      <c r="AL195" s="68" t="str">
        <f>IF(main!AX198="","",ROUND(main!AX198*100,6))</f>
        <v/>
      </c>
      <c r="AM195" s="68" t="str">
        <f>IF(main!AY198="","",ROUND(main!AY198*100,6))</f>
        <v/>
      </c>
      <c r="AN195" s="68" t="str">
        <f>IF(main!AZ198="","",ROUND(main!AZ198*100,6))</f>
        <v/>
      </c>
      <c r="AO195" s="68" t="str">
        <f>IF(main!BA198="","",ROUND(main!BA198*100,6))</f>
        <v/>
      </c>
      <c r="AP195" s="68" t="str">
        <f>IF(main!BB198="","",ROUND(main!BB198*100,6))</f>
        <v/>
      </c>
      <c r="AQ195" s="68" t="str">
        <f>IF(main!BC198="","",ROUND(main!BC198*100,6))</f>
        <v/>
      </c>
      <c r="AR195" s="68" t="str">
        <f>IF(main!BD198="","",ROUND(main!BD198*100,6))</f>
        <v/>
      </c>
      <c r="AS195" s="68" t="str">
        <f>IF(main!BE198="","",ROUND(main!BE198*100,6))</f>
        <v/>
      </c>
      <c r="AT195" s="68" t="str">
        <f>IF(main!BF198="","",ROUND(main!BF198*100,6))</f>
        <v/>
      </c>
      <c r="AU195" s="68" t="str">
        <f>IF(main!BG198="","",ROUND(main!BG198*100,6))</f>
        <v/>
      </c>
      <c r="AV195" s="68" t="str">
        <f>IF(main!BH198="","",ROUND(main!BH198*100,6))</f>
        <v/>
      </c>
      <c r="AW195" s="68" t="str">
        <f>IF(main!BI198="","",ROUND(main!BI198*100,6))</f>
        <v/>
      </c>
      <c r="AX195" s="68" t="str">
        <f>IF(main!BJ198="","",ROUND(main!BJ198*100,6))</f>
        <v/>
      </c>
      <c r="AY195" s="68" t="str">
        <f>IF(main!BK198="","",ROUND(main!BK198*100,6))</f>
        <v/>
      </c>
      <c r="AZ195" s="68" t="str">
        <f>IF(main!BL198="","",ROUND(main!BL198*100,6))</f>
        <v/>
      </c>
      <c r="BA195" s="68" t="str">
        <f>IF(main!BM198="","",ROUND(main!BM198*100,6))</f>
        <v/>
      </c>
      <c r="BB195" s="68" t="str">
        <f>IF(main!BN198="","",ROUND(main!BN198*100,6))</f>
        <v/>
      </c>
      <c r="BC195" s="68" t="str">
        <f>IF(main!BO198="","",ROUND(main!BO198*100,6))</f>
        <v/>
      </c>
      <c r="BD195" s="68" t="str">
        <f>IF(main!BP198="","",ROUND(main!BP198*100,6))</f>
        <v/>
      </c>
      <c r="BE195" s="68" t="str">
        <f>IF(main!BQ198="","",ROUND(main!BQ198*100,6))</f>
        <v/>
      </c>
      <c r="BF195" s="68" t="str">
        <f>IF(main!BR198="","",ROUND(main!BR198*100,6))</f>
        <v/>
      </c>
      <c r="BG195" s="68" t="str">
        <f>IF(main!BS198="","",ROUND(main!BS198*100,6))</f>
        <v/>
      </c>
      <c r="BH195" s="68" t="str">
        <f>IF(main!BT198="","",ROUND(main!BT198*100,6))</f>
        <v/>
      </c>
      <c r="BI195" s="68" t="str">
        <f>IF(main!BU198="","",ROUND(main!BU198*100,6))</f>
        <v/>
      </c>
      <c r="BJ195" s="68" t="str">
        <f>IF(main!BV198="","",ROUND(main!BV198*100,6))</f>
        <v/>
      </c>
      <c r="BK195" s="68" t="str">
        <f>IF(main!BW198="","",ROUND(main!BW198*100,6))</f>
        <v/>
      </c>
      <c r="BL195" s="68" t="str">
        <f>IF(main!BX198="","",ROUND(main!BX198*100,6))</f>
        <v/>
      </c>
      <c r="BM195" s="68" t="str">
        <f>IF(main!BY198="","",ROUND(main!BY198*100,6))</f>
        <v/>
      </c>
      <c r="BN195" s="68" t="str">
        <f>IF(main!BZ198="","",ROUND(main!BZ198*100,6))</f>
        <v/>
      </c>
      <c r="BO195" s="68" t="str">
        <f>IF(main!CA198="","",ROUND(main!CA198*100,6))</f>
        <v/>
      </c>
      <c r="BP195" s="68" t="str">
        <f>IF(main!CB198="","",ROUND(main!CB198*100,6))</f>
        <v/>
      </c>
      <c r="BQ195" s="68" t="str">
        <f>IF(main!CC198="","",ROUND(main!CC198*100,6))</f>
        <v/>
      </c>
      <c r="BR195" s="68" t="str">
        <f>IF(main!CD198="","",ROUND(main!CD198*100,6))</f>
        <v/>
      </c>
      <c r="BS195" s="68" t="str">
        <f>IF(main!CE198="","",ROUND(main!CE198*100,6))</f>
        <v/>
      </c>
      <c r="BT195" s="68" t="str">
        <f>IF(main!CF198="","",ROUND(main!CF198*100,6))</f>
        <v/>
      </c>
      <c r="BU195" s="68" t="str">
        <f>IF(main!CG198="","",ROUND(main!CG198*100,6))</f>
        <v/>
      </c>
      <c r="BV195" s="68" t="str">
        <f>IF(main!CH198="","",ROUND(main!CH198*100,6))</f>
        <v/>
      </c>
      <c r="BW195" s="68" t="str">
        <f>IF(main!CI198="","",ROUND(main!CI198*100,6))</f>
        <v/>
      </c>
      <c r="BX195" s="68" t="str">
        <f>IF(main!CJ198="","",ROUND(main!CJ198*100,6))</f>
        <v/>
      </c>
      <c r="BY195" s="68" t="str">
        <f>IF(main!CK198="","",ROUND(main!CK198*100,6))</f>
        <v/>
      </c>
      <c r="BZ195" s="68" t="str">
        <f>IF(main!CL198="","",ROUND(main!CL198*100,6))</f>
        <v/>
      </c>
      <c r="CA195" s="68" t="str">
        <f>IF(main!CM198="","",ROUND(main!CM198*100,6))</f>
        <v/>
      </c>
      <c r="CB195" s="68" t="str">
        <f>IF(main!CN198="","",ROUND(main!CN198*100,6))</f>
        <v/>
      </c>
      <c r="CC195" s="68" t="str">
        <f>IF(main!CO198="","",ROUND(main!CO198*100,6))</f>
        <v/>
      </c>
    </row>
    <row r="196" spans="1:81" x14ac:dyDescent="0.25">
      <c r="A196" s="65" t="s">
        <v>360</v>
      </c>
      <c r="B196" s="66" t="str">
        <f>main!C199</f>
        <v>งานติดอุปกรณ์ Second Fix</v>
      </c>
      <c r="C196" s="67">
        <f>main!O199</f>
        <v>100000</v>
      </c>
      <c r="D196" s="65" t="s">
        <v>110</v>
      </c>
      <c r="E196" s="68">
        <f t="shared" si="3"/>
        <v>100</v>
      </c>
      <c r="F196" s="68" t="str">
        <f>IF(main!R199="","",ROUND(main!R199*100,6))</f>
        <v/>
      </c>
      <c r="G196" s="68" t="str">
        <f>IF(main!S199="","",ROUND(main!S199*100,6))</f>
        <v/>
      </c>
      <c r="H196" s="68" t="str">
        <f>IF(main!T199="","",ROUND(main!T199*100,6))</f>
        <v/>
      </c>
      <c r="I196" s="68" t="str">
        <f>IF(main!U199="","",ROUND(main!U199*100,6))</f>
        <v/>
      </c>
      <c r="J196" s="68" t="str">
        <f>IF(main!V199="","",ROUND(main!V199*100,6))</f>
        <v/>
      </c>
      <c r="K196" s="68" t="str">
        <f>IF(main!W199="","",ROUND(main!W199*100,6))</f>
        <v/>
      </c>
      <c r="L196" s="68" t="str">
        <f>IF(main!X199="","",ROUND(main!X199*100,6))</f>
        <v/>
      </c>
      <c r="M196" s="68" t="str">
        <f>IF(main!Y199="","",ROUND(main!Y199*100,6))</f>
        <v/>
      </c>
      <c r="N196" s="68" t="str">
        <f>IF(main!Z199="","",ROUND(main!Z199*100,6))</f>
        <v/>
      </c>
      <c r="O196" s="68" t="str">
        <f>IF(main!AA199="","",ROUND(main!AA199*100,6))</f>
        <v/>
      </c>
      <c r="P196" s="68" t="str">
        <f>IF(main!AB199="","",ROUND(main!AB199*100,6))</f>
        <v/>
      </c>
      <c r="Q196" s="68" t="str">
        <f>IF(main!AC199="","",ROUND(main!AC199*100,6))</f>
        <v/>
      </c>
      <c r="R196" s="68" t="str">
        <f>IF(main!AD199="","",ROUND(main!AD199*100,6))</f>
        <v/>
      </c>
      <c r="S196" s="68" t="str">
        <f>IF(main!AE199="","",ROUND(main!AE199*100,6))</f>
        <v/>
      </c>
      <c r="T196" s="68" t="str">
        <f>IF(main!AF199="","",ROUND(main!AF199*100,6))</f>
        <v/>
      </c>
      <c r="U196" s="68" t="str">
        <f>IF(main!AG199="","",ROUND(main!AG199*100,6))</f>
        <v/>
      </c>
      <c r="V196" s="68" t="str">
        <f>IF(main!AH199="","",ROUND(main!AH199*100,6))</f>
        <v/>
      </c>
      <c r="W196" s="68" t="str">
        <f>IF(main!AI199="","",ROUND(main!AI199*100,6))</f>
        <v/>
      </c>
      <c r="X196" s="68" t="str">
        <f>IF(main!AJ199="","",ROUND(main!AJ199*100,6))</f>
        <v/>
      </c>
      <c r="Y196" s="68" t="str">
        <f>IF(main!AK199="","",ROUND(main!AK199*100,6))</f>
        <v/>
      </c>
      <c r="Z196" s="68" t="str">
        <f>IF(main!AL199="","",ROUND(main!AL199*100,6))</f>
        <v/>
      </c>
      <c r="AA196" s="68" t="str">
        <f>IF(main!AM199="","",ROUND(main!AM199*100,6))</f>
        <v/>
      </c>
      <c r="AB196" s="68" t="str">
        <f>IF(main!AN199="","",ROUND(main!AN199*100,6))</f>
        <v/>
      </c>
      <c r="AC196" s="68" t="str">
        <f>IF(main!AO199="","",ROUND(main!AO199*100,6))</f>
        <v/>
      </c>
      <c r="AD196" s="68" t="str">
        <f>IF(main!AP199="","",ROUND(main!AP199*100,6))</f>
        <v/>
      </c>
      <c r="AE196" s="68" t="str">
        <f>IF(main!AQ199="","",ROUND(main!AQ199*100,6))</f>
        <v/>
      </c>
      <c r="AF196" s="68" t="str">
        <f>IF(main!AR199="","",ROUND(main!AR199*100,6))</f>
        <v/>
      </c>
      <c r="AG196" s="68" t="str">
        <f>IF(main!AS199="","",ROUND(main!AS199*100,6))</f>
        <v/>
      </c>
      <c r="AH196" s="68" t="str">
        <f>IF(main!AT199="","",ROUND(main!AT199*100,6))</f>
        <v/>
      </c>
      <c r="AI196" s="68" t="str">
        <f>IF(main!AU199="","",ROUND(main!AU199*100,6))</f>
        <v/>
      </c>
      <c r="AJ196" s="68" t="str">
        <f>IF(main!AV199="","",ROUND(main!AV199*100,6))</f>
        <v/>
      </c>
      <c r="AK196" s="68" t="str">
        <f>IF(main!AW199="","",ROUND(main!AW199*100,6))</f>
        <v/>
      </c>
      <c r="AL196" s="68" t="str">
        <f>IF(main!AX199="","",ROUND(main!AX199*100,6))</f>
        <v/>
      </c>
      <c r="AM196" s="68" t="str">
        <f>IF(main!AY199="","",ROUND(main!AY199*100,6))</f>
        <v/>
      </c>
      <c r="AN196" s="68" t="str">
        <f>IF(main!AZ199="","",ROUND(main!AZ199*100,6))</f>
        <v/>
      </c>
      <c r="AO196" s="68" t="str">
        <f>IF(main!BA199="","",ROUND(main!BA199*100,6))</f>
        <v/>
      </c>
      <c r="AP196" s="68" t="str">
        <f>IF(main!BB199="","",ROUND(main!BB199*100,6))</f>
        <v/>
      </c>
      <c r="AQ196" s="68" t="str">
        <f>IF(main!BC199="","",ROUND(main!BC199*100,6))</f>
        <v/>
      </c>
      <c r="AR196" s="68" t="str">
        <f>IF(main!BD199="","",ROUND(main!BD199*100,6))</f>
        <v/>
      </c>
      <c r="AS196" s="68" t="str">
        <f>IF(main!BE199="","",ROUND(main!BE199*100,6))</f>
        <v/>
      </c>
      <c r="AT196" s="68" t="str">
        <f>IF(main!BF199="","",ROUND(main!BF199*100,6))</f>
        <v/>
      </c>
      <c r="AU196" s="68" t="str">
        <f>IF(main!BG199="","",ROUND(main!BG199*100,6))</f>
        <v/>
      </c>
      <c r="AV196" s="68" t="str">
        <f>IF(main!BH199="","",ROUND(main!BH199*100,6))</f>
        <v/>
      </c>
      <c r="AW196" s="68" t="str">
        <f>IF(main!BI199="","",ROUND(main!BI199*100,6))</f>
        <v/>
      </c>
      <c r="AX196" s="68" t="str">
        <f>IF(main!BJ199="","",ROUND(main!BJ199*100,6))</f>
        <v/>
      </c>
      <c r="AY196" s="68" t="str">
        <f>IF(main!BK199="","",ROUND(main!BK199*100,6))</f>
        <v/>
      </c>
      <c r="AZ196" s="68" t="str">
        <f>IF(main!BL199="","",ROUND(main!BL199*100,6))</f>
        <v/>
      </c>
      <c r="BA196" s="68" t="str">
        <f>IF(main!BM199="","",ROUND(main!BM199*100,6))</f>
        <v/>
      </c>
      <c r="BB196" s="68" t="str">
        <f>IF(main!BN199="","",ROUND(main!BN199*100,6))</f>
        <v/>
      </c>
      <c r="BC196" s="68" t="str">
        <f>IF(main!BO199="","",ROUND(main!BO199*100,6))</f>
        <v/>
      </c>
      <c r="BD196" s="68" t="str">
        <f>IF(main!BP199="","",ROUND(main!BP199*100,6))</f>
        <v/>
      </c>
      <c r="BE196" s="68" t="str">
        <f>IF(main!BQ199="","",ROUND(main!BQ199*100,6))</f>
        <v/>
      </c>
      <c r="BF196" s="68">
        <f>IF(main!BR199="","",ROUND(main!BR199*100,6))</f>
        <v>5.7142860000000004</v>
      </c>
      <c r="BG196" s="68">
        <f>IF(main!BS199="","",ROUND(main!BS199*100,6))</f>
        <v>20</v>
      </c>
      <c r="BH196" s="68">
        <f>IF(main!BT199="","",ROUND(main!BT199*100,6))</f>
        <v>20</v>
      </c>
      <c r="BI196" s="68">
        <f>IF(main!BU199="","",ROUND(main!BU199*100,6))</f>
        <v>20</v>
      </c>
      <c r="BJ196" s="68">
        <f>IF(main!BV199="","",ROUND(main!BV199*100,6))</f>
        <v>20</v>
      </c>
      <c r="BK196" s="68">
        <f>IF(main!BW199="","",ROUND(main!BW199*100,6))</f>
        <v>14.285714</v>
      </c>
      <c r="BL196" s="68" t="str">
        <f>IF(main!BX199="","",ROUND(main!BX199*100,6))</f>
        <v/>
      </c>
      <c r="BM196" s="68" t="str">
        <f>IF(main!BY199="","",ROUND(main!BY199*100,6))</f>
        <v/>
      </c>
      <c r="BN196" s="68" t="str">
        <f>IF(main!BZ199="","",ROUND(main!BZ199*100,6))</f>
        <v/>
      </c>
      <c r="BO196" s="68" t="str">
        <f>IF(main!CA199="","",ROUND(main!CA199*100,6))</f>
        <v/>
      </c>
      <c r="BP196" s="68" t="str">
        <f>IF(main!CB199="","",ROUND(main!CB199*100,6))</f>
        <v/>
      </c>
      <c r="BQ196" s="68" t="str">
        <f>IF(main!CC199="","",ROUND(main!CC199*100,6))</f>
        <v/>
      </c>
      <c r="BR196" s="68" t="str">
        <f>IF(main!CD199="","",ROUND(main!CD199*100,6))</f>
        <v/>
      </c>
      <c r="BS196" s="68" t="str">
        <f>IF(main!CE199="","",ROUND(main!CE199*100,6))</f>
        <v/>
      </c>
      <c r="BT196" s="68" t="str">
        <f>IF(main!CF199="","",ROUND(main!CF199*100,6))</f>
        <v/>
      </c>
      <c r="BU196" s="68" t="str">
        <f>IF(main!CG199="","",ROUND(main!CG199*100,6))</f>
        <v/>
      </c>
      <c r="BV196" s="68" t="str">
        <f>IF(main!CH199="","",ROUND(main!CH199*100,6))</f>
        <v/>
      </c>
      <c r="BW196" s="68" t="str">
        <f>IF(main!CI199="","",ROUND(main!CI199*100,6))</f>
        <v/>
      </c>
      <c r="BX196" s="68" t="str">
        <f>IF(main!CJ199="","",ROUND(main!CJ199*100,6))</f>
        <v/>
      </c>
      <c r="BY196" s="68" t="str">
        <f>IF(main!CK199="","",ROUND(main!CK199*100,6))</f>
        <v/>
      </c>
      <c r="BZ196" s="68" t="str">
        <f>IF(main!CL199="","",ROUND(main!CL199*100,6))</f>
        <v/>
      </c>
      <c r="CA196" s="68" t="str">
        <f>IF(main!CM199="","",ROUND(main!CM199*100,6))</f>
        <v/>
      </c>
      <c r="CB196" s="68" t="str">
        <f>IF(main!CN199="","",ROUND(main!CN199*100,6))</f>
        <v/>
      </c>
      <c r="CC196" s="68" t="str">
        <f>IF(main!CO199="","",ROUND(main!CO199*100,6))</f>
        <v/>
      </c>
    </row>
    <row r="197" spans="1:81" x14ac:dyDescent="0.25">
      <c r="A197" s="65" t="s">
        <v>360</v>
      </c>
      <c r="B197" s="66" t="str">
        <f>main!C199</f>
        <v>งานติดอุปกรณ์ Second Fix</v>
      </c>
      <c r="C197" s="67">
        <f>main!O199</f>
        <v>100000</v>
      </c>
      <c r="D197" s="65" t="s">
        <v>111</v>
      </c>
      <c r="E197" s="68" t="str">
        <f t="shared" si="3"/>
        <v/>
      </c>
      <c r="F197" s="68" t="str">
        <f>IF(main!R200="","",ROUND(main!R200*100,6))</f>
        <v/>
      </c>
      <c r="G197" s="68" t="str">
        <f>IF(main!S200="","",ROUND(main!S200*100,6))</f>
        <v/>
      </c>
      <c r="H197" s="68" t="str">
        <f>IF(main!T200="","",ROUND(main!T200*100,6))</f>
        <v/>
      </c>
      <c r="I197" s="68" t="str">
        <f>IF(main!U200="","",ROUND(main!U200*100,6))</f>
        <v/>
      </c>
      <c r="J197" s="68" t="str">
        <f>IF(main!V200="","",ROUND(main!V200*100,6))</f>
        <v/>
      </c>
      <c r="K197" s="68" t="str">
        <f>IF(main!W200="","",ROUND(main!W200*100,6))</f>
        <v/>
      </c>
      <c r="L197" s="68" t="str">
        <f>IF(main!X200="","",ROUND(main!X200*100,6))</f>
        <v/>
      </c>
      <c r="M197" s="68" t="str">
        <f>IF(main!Y200="","",ROUND(main!Y200*100,6))</f>
        <v/>
      </c>
      <c r="N197" s="68" t="str">
        <f>IF(main!Z200="","",ROUND(main!Z200*100,6))</f>
        <v/>
      </c>
      <c r="O197" s="68" t="str">
        <f>IF(main!AA200="","",ROUND(main!AA200*100,6))</f>
        <v/>
      </c>
      <c r="P197" s="68" t="str">
        <f>IF(main!AB200="","",ROUND(main!AB200*100,6))</f>
        <v/>
      </c>
      <c r="Q197" s="68" t="str">
        <f>IF(main!AC200="","",ROUND(main!AC200*100,6))</f>
        <v/>
      </c>
      <c r="R197" s="68" t="str">
        <f>IF(main!AD200="","",ROUND(main!AD200*100,6))</f>
        <v/>
      </c>
      <c r="S197" s="68" t="str">
        <f>IF(main!AE200="","",ROUND(main!AE200*100,6))</f>
        <v/>
      </c>
      <c r="T197" s="68" t="str">
        <f>IF(main!AF200="","",ROUND(main!AF200*100,6))</f>
        <v/>
      </c>
      <c r="U197" s="68" t="str">
        <f>IF(main!AG200="","",ROUND(main!AG200*100,6))</f>
        <v/>
      </c>
      <c r="V197" s="68" t="str">
        <f>IF(main!AH200="","",ROUND(main!AH200*100,6))</f>
        <v/>
      </c>
      <c r="W197" s="68" t="str">
        <f>IF(main!AI200="","",ROUND(main!AI200*100,6))</f>
        <v/>
      </c>
      <c r="X197" s="68" t="str">
        <f>IF(main!AJ200="","",ROUND(main!AJ200*100,6))</f>
        <v/>
      </c>
      <c r="Y197" s="68" t="str">
        <f>IF(main!AK200="","",ROUND(main!AK200*100,6))</f>
        <v/>
      </c>
      <c r="Z197" s="68" t="str">
        <f>IF(main!AL200="","",ROUND(main!AL200*100,6))</f>
        <v/>
      </c>
      <c r="AA197" s="68" t="str">
        <f>IF(main!AM200="","",ROUND(main!AM200*100,6))</f>
        <v/>
      </c>
      <c r="AB197" s="68" t="str">
        <f>IF(main!AN200="","",ROUND(main!AN200*100,6))</f>
        <v/>
      </c>
      <c r="AC197" s="68" t="str">
        <f>IF(main!AO200="","",ROUND(main!AO200*100,6))</f>
        <v/>
      </c>
      <c r="AD197" s="68" t="str">
        <f>IF(main!AP200="","",ROUND(main!AP200*100,6))</f>
        <v/>
      </c>
      <c r="AE197" s="68" t="str">
        <f>IF(main!AQ200="","",ROUND(main!AQ200*100,6))</f>
        <v/>
      </c>
      <c r="AF197" s="68" t="str">
        <f>IF(main!AR200="","",ROUND(main!AR200*100,6))</f>
        <v/>
      </c>
      <c r="AG197" s="68" t="str">
        <f>IF(main!AS200="","",ROUND(main!AS200*100,6))</f>
        <v/>
      </c>
      <c r="AH197" s="68" t="str">
        <f>IF(main!AT200="","",ROUND(main!AT200*100,6))</f>
        <v/>
      </c>
      <c r="AI197" s="68" t="str">
        <f>IF(main!AU200="","",ROUND(main!AU200*100,6))</f>
        <v/>
      </c>
      <c r="AJ197" s="68" t="str">
        <f>IF(main!AV200="","",ROUND(main!AV200*100,6))</f>
        <v/>
      </c>
      <c r="AK197" s="68" t="str">
        <f>IF(main!AW200="","",ROUND(main!AW200*100,6))</f>
        <v/>
      </c>
      <c r="AL197" s="68" t="str">
        <f>IF(main!AX200="","",ROUND(main!AX200*100,6))</f>
        <v/>
      </c>
      <c r="AM197" s="68" t="str">
        <f>IF(main!AY200="","",ROUND(main!AY200*100,6))</f>
        <v/>
      </c>
      <c r="AN197" s="68" t="str">
        <f>IF(main!AZ200="","",ROUND(main!AZ200*100,6))</f>
        <v/>
      </c>
      <c r="AO197" s="68" t="str">
        <f>IF(main!BA200="","",ROUND(main!BA200*100,6))</f>
        <v/>
      </c>
      <c r="AP197" s="68" t="str">
        <f>IF(main!BB200="","",ROUND(main!BB200*100,6))</f>
        <v/>
      </c>
      <c r="AQ197" s="68" t="str">
        <f>IF(main!BC200="","",ROUND(main!BC200*100,6))</f>
        <v/>
      </c>
      <c r="AR197" s="68" t="str">
        <f>IF(main!BD200="","",ROUND(main!BD200*100,6))</f>
        <v/>
      </c>
      <c r="AS197" s="68" t="str">
        <f>IF(main!BE200="","",ROUND(main!BE200*100,6))</f>
        <v/>
      </c>
      <c r="AT197" s="68" t="str">
        <f>IF(main!BF200="","",ROUND(main!BF200*100,6))</f>
        <v/>
      </c>
      <c r="AU197" s="68" t="str">
        <f>IF(main!BG200="","",ROUND(main!BG200*100,6))</f>
        <v/>
      </c>
      <c r="AV197" s="68" t="str">
        <f>IF(main!BH200="","",ROUND(main!BH200*100,6))</f>
        <v/>
      </c>
      <c r="AW197" s="68" t="str">
        <f>IF(main!BI200="","",ROUND(main!BI200*100,6))</f>
        <v/>
      </c>
      <c r="AX197" s="68" t="str">
        <f>IF(main!BJ200="","",ROUND(main!BJ200*100,6))</f>
        <v/>
      </c>
      <c r="AY197" s="68" t="str">
        <f>IF(main!BK200="","",ROUND(main!BK200*100,6))</f>
        <v/>
      </c>
      <c r="AZ197" s="68" t="str">
        <f>IF(main!BL200="","",ROUND(main!BL200*100,6))</f>
        <v/>
      </c>
      <c r="BA197" s="68" t="str">
        <f>IF(main!BM200="","",ROUND(main!BM200*100,6))</f>
        <v/>
      </c>
      <c r="BB197" s="68" t="str">
        <f>IF(main!BN200="","",ROUND(main!BN200*100,6))</f>
        <v/>
      </c>
      <c r="BC197" s="68" t="str">
        <f>IF(main!BO200="","",ROUND(main!BO200*100,6))</f>
        <v/>
      </c>
      <c r="BD197" s="68" t="str">
        <f>IF(main!BP200="","",ROUND(main!BP200*100,6))</f>
        <v/>
      </c>
      <c r="BE197" s="68" t="str">
        <f>IF(main!BQ200="","",ROUND(main!BQ200*100,6))</f>
        <v/>
      </c>
      <c r="BF197" s="68" t="str">
        <f>IF(main!BR200="","",ROUND(main!BR200*100,6))</f>
        <v/>
      </c>
      <c r="BG197" s="68" t="str">
        <f>IF(main!BS200="","",ROUND(main!BS200*100,6))</f>
        <v/>
      </c>
      <c r="BH197" s="68" t="str">
        <f>IF(main!BT200="","",ROUND(main!BT200*100,6))</f>
        <v/>
      </c>
      <c r="BI197" s="68" t="str">
        <f>IF(main!BU200="","",ROUND(main!BU200*100,6))</f>
        <v/>
      </c>
      <c r="BJ197" s="68" t="str">
        <f>IF(main!BV200="","",ROUND(main!BV200*100,6))</f>
        <v/>
      </c>
      <c r="BK197" s="68" t="str">
        <f>IF(main!BW200="","",ROUND(main!BW200*100,6))</f>
        <v/>
      </c>
      <c r="BL197" s="68" t="str">
        <f>IF(main!BX200="","",ROUND(main!BX200*100,6))</f>
        <v/>
      </c>
      <c r="BM197" s="68" t="str">
        <f>IF(main!BY200="","",ROUND(main!BY200*100,6))</f>
        <v/>
      </c>
      <c r="BN197" s="68" t="str">
        <f>IF(main!BZ200="","",ROUND(main!BZ200*100,6))</f>
        <v/>
      </c>
      <c r="BO197" s="68" t="str">
        <f>IF(main!CA200="","",ROUND(main!CA200*100,6))</f>
        <v/>
      </c>
      <c r="BP197" s="68" t="str">
        <f>IF(main!CB200="","",ROUND(main!CB200*100,6))</f>
        <v/>
      </c>
      <c r="BQ197" s="68" t="str">
        <f>IF(main!CC200="","",ROUND(main!CC200*100,6))</f>
        <v/>
      </c>
      <c r="BR197" s="68" t="str">
        <f>IF(main!CD200="","",ROUND(main!CD200*100,6))</f>
        <v/>
      </c>
      <c r="BS197" s="68" t="str">
        <f>IF(main!CE200="","",ROUND(main!CE200*100,6))</f>
        <v/>
      </c>
      <c r="BT197" s="68" t="str">
        <f>IF(main!CF200="","",ROUND(main!CF200*100,6))</f>
        <v/>
      </c>
      <c r="BU197" s="68" t="str">
        <f>IF(main!CG200="","",ROUND(main!CG200*100,6))</f>
        <v/>
      </c>
      <c r="BV197" s="68" t="str">
        <f>IF(main!CH200="","",ROUND(main!CH200*100,6))</f>
        <v/>
      </c>
      <c r="BW197" s="68" t="str">
        <f>IF(main!CI200="","",ROUND(main!CI200*100,6))</f>
        <v/>
      </c>
      <c r="BX197" s="68" t="str">
        <f>IF(main!CJ200="","",ROUND(main!CJ200*100,6))</f>
        <v/>
      </c>
      <c r="BY197" s="68" t="str">
        <f>IF(main!CK200="","",ROUND(main!CK200*100,6))</f>
        <v/>
      </c>
      <c r="BZ197" s="68" t="str">
        <f>IF(main!CL200="","",ROUND(main!CL200*100,6))</f>
        <v/>
      </c>
      <c r="CA197" s="68" t="str">
        <f>IF(main!CM200="","",ROUND(main!CM200*100,6))</f>
        <v/>
      </c>
      <c r="CB197" s="68" t="str">
        <f>IF(main!CN200="","",ROUND(main!CN200*100,6))</f>
        <v/>
      </c>
      <c r="CC197" s="68" t="str">
        <f>IF(main!CO200="","",ROUND(main!CO200*100,6))</f>
        <v/>
      </c>
    </row>
    <row r="198" spans="1:81" x14ac:dyDescent="0.25">
      <c r="A198" s="65" t="s">
        <v>363</v>
      </c>
      <c r="B198" s="66" t="str">
        <f>main!C201</f>
        <v>งานติดตั้ง MDB&amp;EMDB</v>
      </c>
      <c r="C198" s="67">
        <f>main!O201</f>
        <v>100000</v>
      </c>
      <c r="D198" s="65" t="s">
        <v>110</v>
      </c>
      <c r="E198" s="68">
        <f t="shared" si="3"/>
        <v>100.00000199999999</v>
      </c>
      <c r="F198" s="68" t="str">
        <f>IF(main!R201="","",ROUND(main!R201*100,6))</f>
        <v/>
      </c>
      <c r="G198" s="68" t="str">
        <f>IF(main!S201="","",ROUND(main!S201*100,6))</f>
        <v/>
      </c>
      <c r="H198" s="68" t="str">
        <f>IF(main!T201="","",ROUND(main!T201*100,6))</f>
        <v/>
      </c>
      <c r="I198" s="68" t="str">
        <f>IF(main!U201="","",ROUND(main!U201*100,6))</f>
        <v/>
      </c>
      <c r="J198" s="68" t="str">
        <f>IF(main!V201="","",ROUND(main!V201*100,6))</f>
        <v/>
      </c>
      <c r="K198" s="68" t="str">
        <f>IF(main!W201="","",ROUND(main!W201*100,6))</f>
        <v/>
      </c>
      <c r="L198" s="68" t="str">
        <f>IF(main!X201="","",ROUND(main!X201*100,6))</f>
        <v/>
      </c>
      <c r="M198" s="68" t="str">
        <f>IF(main!Y201="","",ROUND(main!Y201*100,6))</f>
        <v/>
      </c>
      <c r="N198" s="68" t="str">
        <f>IF(main!Z201="","",ROUND(main!Z201*100,6))</f>
        <v/>
      </c>
      <c r="O198" s="68" t="str">
        <f>IF(main!AA201="","",ROUND(main!AA201*100,6))</f>
        <v/>
      </c>
      <c r="P198" s="68" t="str">
        <f>IF(main!AB201="","",ROUND(main!AB201*100,6))</f>
        <v/>
      </c>
      <c r="Q198" s="68" t="str">
        <f>IF(main!AC201="","",ROUND(main!AC201*100,6))</f>
        <v/>
      </c>
      <c r="R198" s="68" t="str">
        <f>IF(main!AD201="","",ROUND(main!AD201*100,6))</f>
        <v/>
      </c>
      <c r="S198" s="68" t="str">
        <f>IF(main!AE201="","",ROUND(main!AE201*100,6))</f>
        <v/>
      </c>
      <c r="T198" s="68" t="str">
        <f>IF(main!AF201="","",ROUND(main!AF201*100,6))</f>
        <v/>
      </c>
      <c r="U198" s="68" t="str">
        <f>IF(main!AG201="","",ROUND(main!AG201*100,6))</f>
        <v/>
      </c>
      <c r="V198" s="68" t="str">
        <f>IF(main!AH201="","",ROUND(main!AH201*100,6))</f>
        <v/>
      </c>
      <c r="W198" s="68" t="str">
        <f>IF(main!AI201="","",ROUND(main!AI201*100,6))</f>
        <v/>
      </c>
      <c r="X198" s="68" t="str">
        <f>IF(main!AJ201="","",ROUND(main!AJ201*100,6))</f>
        <v/>
      </c>
      <c r="Y198" s="68" t="str">
        <f>IF(main!AK201="","",ROUND(main!AK201*100,6))</f>
        <v/>
      </c>
      <c r="Z198" s="68" t="str">
        <f>IF(main!AL201="","",ROUND(main!AL201*100,6))</f>
        <v/>
      </c>
      <c r="AA198" s="68" t="str">
        <f>IF(main!AM201="","",ROUND(main!AM201*100,6))</f>
        <v/>
      </c>
      <c r="AB198" s="68" t="str">
        <f>IF(main!AN201="","",ROUND(main!AN201*100,6))</f>
        <v/>
      </c>
      <c r="AC198" s="68" t="str">
        <f>IF(main!AO201="","",ROUND(main!AO201*100,6))</f>
        <v/>
      </c>
      <c r="AD198" s="68" t="str">
        <f>IF(main!AP201="","",ROUND(main!AP201*100,6))</f>
        <v/>
      </c>
      <c r="AE198" s="68" t="str">
        <f>IF(main!AQ201="","",ROUND(main!AQ201*100,6))</f>
        <v/>
      </c>
      <c r="AF198" s="68" t="str">
        <f>IF(main!AR201="","",ROUND(main!AR201*100,6))</f>
        <v/>
      </c>
      <c r="AG198" s="68" t="str">
        <f>IF(main!AS201="","",ROUND(main!AS201*100,6))</f>
        <v/>
      </c>
      <c r="AH198" s="68" t="str">
        <f>IF(main!AT201="","",ROUND(main!AT201*100,6))</f>
        <v/>
      </c>
      <c r="AI198" s="68" t="str">
        <f>IF(main!AU201="","",ROUND(main!AU201*100,6))</f>
        <v/>
      </c>
      <c r="AJ198" s="68" t="str">
        <f>IF(main!AV201="","",ROUND(main!AV201*100,6))</f>
        <v/>
      </c>
      <c r="AK198" s="68" t="str">
        <f>IF(main!AW201="","",ROUND(main!AW201*100,6))</f>
        <v/>
      </c>
      <c r="AL198" s="68" t="str">
        <f>IF(main!AX201="","",ROUND(main!AX201*100,6))</f>
        <v/>
      </c>
      <c r="AM198" s="68" t="str">
        <f>IF(main!AY201="","",ROUND(main!AY201*100,6))</f>
        <v/>
      </c>
      <c r="AN198" s="68" t="str">
        <f>IF(main!AZ201="","",ROUND(main!AZ201*100,6))</f>
        <v/>
      </c>
      <c r="AO198" s="68" t="str">
        <f>IF(main!BA201="","",ROUND(main!BA201*100,6))</f>
        <v/>
      </c>
      <c r="AP198" s="68" t="str">
        <f>IF(main!BB201="","",ROUND(main!BB201*100,6))</f>
        <v/>
      </c>
      <c r="AQ198" s="68" t="str">
        <f>IF(main!BC201="","",ROUND(main!BC201*100,6))</f>
        <v/>
      </c>
      <c r="AR198" s="68" t="str">
        <f>IF(main!BD201="","",ROUND(main!BD201*100,6))</f>
        <v/>
      </c>
      <c r="AS198" s="68" t="str">
        <f>IF(main!BE201="","",ROUND(main!BE201*100,6))</f>
        <v/>
      </c>
      <c r="AT198" s="68" t="str">
        <f>IF(main!BF201="","",ROUND(main!BF201*100,6))</f>
        <v/>
      </c>
      <c r="AU198" s="68" t="str">
        <f>IF(main!BG201="","",ROUND(main!BG201*100,6))</f>
        <v/>
      </c>
      <c r="AV198" s="68" t="str">
        <f>IF(main!BH201="","",ROUND(main!BH201*100,6))</f>
        <v/>
      </c>
      <c r="AW198" s="68" t="str">
        <f>IF(main!BI201="","",ROUND(main!BI201*100,6))</f>
        <v/>
      </c>
      <c r="AX198" s="68" t="str">
        <f>IF(main!BJ201="","",ROUND(main!BJ201*100,6))</f>
        <v/>
      </c>
      <c r="AY198" s="68" t="str">
        <f>IF(main!BK201="","",ROUND(main!BK201*100,6))</f>
        <v/>
      </c>
      <c r="AZ198" s="68" t="str">
        <f>IF(main!BL201="","",ROUND(main!BL201*100,6))</f>
        <v/>
      </c>
      <c r="BA198" s="68" t="str">
        <f>IF(main!BM201="","",ROUND(main!BM201*100,6))</f>
        <v/>
      </c>
      <c r="BB198" s="68" t="str">
        <f>IF(main!BN201="","",ROUND(main!BN201*100,6))</f>
        <v/>
      </c>
      <c r="BC198" s="68" t="str">
        <f>IF(main!BO201="","",ROUND(main!BO201*100,6))</f>
        <v/>
      </c>
      <c r="BD198" s="68" t="str">
        <f>IF(main!BP201="","",ROUND(main!BP201*100,6))</f>
        <v/>
      </c>
      <c r="BE198" s="68" t="str">
        <f>IF(main!BQ201="","",ROUND(main!BQ201*100,6))</f>
        <v/>
      </c>
      <c r="BF198" s="68">
        <f>IF(main!BR201="","",ROUND(main!BR201*100,6))</f>
        <v>4.7619049999999996</v>
      </c>
      <c r="BG198" s="68">
        <f>IF(main!BS201="","",ROUND(main!BS201*100,6))</f>
        <v>16.666667</v>
      </c>
      <c r="BH198" s="68">
        <f>IF(main!BT201="","",ROUND(main!BT201*100,6))</f>
        <v>16.666667</v>
      </c>
      <c r="BI198" s="68">
        <f>IF(main!BU201="","",ROUND(main!BU201*100,6))</f>
        <v>16.666667</v>
      </c>
      <c r="BJ198" s="68">
        <f>IF(main!BV201="","",ROUND(main!BV201*100,6))</f>
        <v>16.666667</v>
      </c>
      <c r="BK198" s="68">
        <f>IF(main!BW201="","",ROUND(main!BW201*100,6))</f>
        <v>16.666667</v>
      </c>
      <c r="BL198" s="68">
        <f>IF(main!BX201="","",ROUND(main!BX201*100,6))</f>
        <v>11.904762</v>
      </c>
      <c r="BM198" s="68" t="str">
        <f>IF(main!BY201="","",ROUND(main!BY201*100,6))</f>
        <v/>
      </c>
      <c r="BN198" s="68" t="str">
        <f>IF(main!BZ201="","",ROUND(main!BZ201*100,6))</f>
        <v/>
      </c>
      <c r="BO198" s="68" t="str">
        <f>IF(main!CA201="","",ROUND(main!CA201*100,6))</f>
        <v/>
      </c>
      <c r="BP198" s="68" t="str">
        <f>IF(main!CB201="","",ROUND(main!CB201*100,6))</f>
        <v/>
      </c>
      <c r="BQ198" s="68" t="str">
        <f>IF(main!CC201="","",ROUND(main!CC201*100,6))</f>
        <v/>
      </c>
      <c r="BR198" s="68" t="str">
        <f>IF(main!CD201="","",ROUND(main!CD201*100,6))</f>
        <v/>
      </c>
      <c r="BS198" s="68" t="str">
        <f>IF(main!CE201="","",ROUND(main!CE201*100,6))</f>
        <v/>
      </c>
      <c r="BT198" s="68" t="str">
        <f>IF(main!CF201="","",ROUND(main!CF201*100,6))</f>
        <v/>
      </c>
      <c r="BU198" s="68" t="str">
        <f>IF(main!CG201="","",ROUND(main!CG201*100,6))</f>
        <v/>
      </c>
      <c r="BV198" s="68" t="str">
        <f>IF(main!CH201="","",ROUND(main!CH201*100,6))</f>
        <v/>
      </c>
      <c r="BW198" s="68" t="str">
        <f>IF(main!CI201="","",ROUND(main!CI201*100,6))</f>
        <v/>
      </c>
      <c r="BX198" s="68" t="str">
        <f>IF(main!CJ201="","",ROUND(main!CJ201*100,6))</f>
        <v/>
      </c>
      <c r="BY198" s="68" t="str">
        <f>IF(main!CK201="","",ROUND(main!CK201*100,6))</f>
        <v/>
      </c>
      <c r="BZ198" s="68" t="str">
        <f>IF(main!CL201="","",ROUND(main!CL201*100,6))</f>
        <v/>
      </c>
      <c r="CA198" s="68" t="str">
        <f>IF(main!CM201="","",ROUND(main!CM201*100,6))</f>
        <v/>
      </c>
      <c r="CB198" s="68" t="str">
        <f>IF(main!CN201="","",ROUND(main!CN201*100,6))</f>
        <v/>
      </c>
      <c r="CC198" s="68" t="str">
        <f>IF(main!CO201="","",ROUND(main!CO201*100,6))</f>
        <v/>
      </c>
    </row>
    <row r="199" spans="1:81" x14ac:dyDescent="0.25">
      <c r="A199" s="65" t="s">
        <v>363</v>
      </c>
      <c r="B199" s="66" t="str">
        <f>main!C201</f>
        <v>งานติดตั้ง MDB&amp;EMDB</v>
      </c>
      <c r="C199" s="67">
        <f>main!O201</f>
        <v>100000</v>
      </c>
      <c r="D199" s="65" t="s">
        <v>111</v>
      </c>
      <c r="E199" s="68" t="str">
        <f t="shared" si="3"/>
        <v/>
      </c>
      <c r="F199" s="68" t="str">
        <f>IF(main!R202="","",ROUND(main!R202*100,6))</f>
        <v/>
      </c>
      <c r="G199" s="68" t="str">
        <f>IF(main!S202="","",ROUND(main!S202*100,6))</f>
        <v/>
      </c>
      <c r="H199" s="68" t="str">
        <f>IF(main!T202="","",ROUND(main!T202*100,6))</f>
        <v/>
      </c>
      <c r="I199" s="68" t="str">
        <f>IF(main!U202="","",ROUND(main!U202*100,6))</f>
        <v/>
      </c>
      <c r="J199" s="68" t="str">
        <f>IF(main!V202="","",ROUND(main!V202*100,6))</f>
        <v/>
      </c>
      <c r="K199" s="68" t="str">
        <f>IF(main!W202="","",ROUND(main!W202*100,6))</f>
        <v/>
      </c>
      <c r="L199" s="68" t="str">
        <f>IF(main!X202="","",ROUND(main!X202*100,6))</f>
        <v/>
      </c>
      <c r="M199" s="68" t="str">
        <f>IF(main!Y202="","",ROUND(main!Y202*100,6))</f>
        <v/>
      </c>
      <c r="N199" s="68" t="str">
        <f>IF(main!Z202="","",ROUND(main!Z202*100,6))</f>
        <v/>
      </c>
      <c r="O199" s="68" t="str">
        <f>IF(main!AA202="","",ROUND(main!AA202*100,6))</f>
        <v/>
      </c>
      <c r="P199" s="68" t="str">
        <f>IF(main!AB202="","",ROUND(main!AB202*100,6))</f>
        <v/>
      </c>
      <c r="Q199" s="68" t="str">
        <f>IF(main!AC202="","",ROUND(main!AC202*100,6))</f>
        <v/>
      </c>
      <c r="R199" s="68" t="str">
        <f>IF(main!AD202="","",ROUND(main!AD202*100,6))</f>
        <v/>
      </c>
      <c r="S199" s="68" t="str">
        <f>IF(main!AE202="","",ROUND(main!AE202*100,6))</f>
        <v/>
      </c>
      <c r="T199" s="68" t="str">
        <f>IF(main!AF202="","",ROUND(main!AF202*100,6))</f>
        <v/>
      </c>
      <c r="U199" s="68" t="str">
        <f>IF(main!AG202="","",ROUND(main!AG202*100,6))</f>
        <v/>
      </c>
      <c r="V199" s="68" t="str">
        <f>IF(main!AH202="","",ROUND(main!AH202*100,6))</f>
        <v/>
      </c>
      <c r="W199" s="68" t="str">
        <f>IF(main!AI202="","",ROUND(main!AI202*100,6))</f>
        <v/>
      </c>
      <c r="X199" s="68" t="str">
        <f>IF(main!AJ202="","",ROUND(main!AJ202*100,6))</f>
        <v/>
      </c>
      <c r="Y199" s="68" t="str">
        <f>IF(main!AK202="","",ROUND(main!AK202*100,6))</f>
        <v/>
      </c>
      <c r="Z199" s="68" t="str">
        <f>IF(main!AL202="","",ROUND(main!AL202*100,6))</f>
        <v/>
      </c>
      <c r="AA199" s="68" t="str">
        <f>IF(main!AM202="","",ROUND(main!AM202*100,6))</f>
        <v/>
      </c>
      <c r="AB199" s="68" t="str">
        <f>IF(main!AN202="","",ROUND(main!AN202*100,6))</f>
        <v/>
      </c>
      <c r="AC199" s="68" t="str">
        <f>IF(main!AO202="","",ROUND(main!AO202*100,6))</f>
        <v/>
      </c>
      <c r="AD199" s="68" t="str">
        <f>IF(main!AP202="","",ROUND(main!AP202*100,6))</f>
        <v/>
      </c>
      <c r="AE199" s="68" t="str">
        <f>IF(main!AQ202="","",ROUND(main!AQ202*100,6))</f>
        <v/>
      </c>
      <c r="AF199" s="68" t="str">
        <f>IF(main!AR202="","",ROUND(main!AR202*100,6))</f>
        <v/>
      </c>
      <c r="AG199" s="68" t="str">
        <f>IF(main!AS202="","",ROUND(main!AS202*100,6))</f>
        <v/>
      </c>
      <c r="AH199" s="68" t="str">
        <f>IF(main!AT202="","",ROUND(main!AT202*100,6))</f>
        <v/>
      </c>
      <c r="AI199" s="68" t="str">
        <f>IF(main!AU202="","",ROUND(main!AU202*100,6))</f>
        <v/>
      </c>
      <c r="AJ199" s="68" t="str">
        <f>IF(main!AV202="","",ROUND(main!AV202*100,6))</f>
        <v/>
      </c>
      <c r="AK199" s="68" t="str">
        <f>IF(main!AW202="","",ROUND(main!AW202*100,6))</f>
        <v/>
      </c>
      <c r="AL199" s="68" t="str">
        <f>IF(main!AX202="","",ROUND(main!AX202*100,6))</f>
        <v/>
      </c>
      <c r="AM199" s="68" t="str">
        <f>IF(main!AY202="","",ROUND(main!AY202*100,6))</f>
        <v/>
      </c>
      <c r="AN199" s="68" t="str">
        <f>IF(main!AZ202="","",ROUND(main!AZ202*100,6))</f>
        <v/>
      </c>
      <c r="AO199" s="68" t="str">
        <f>IF(main!BA202="","",ROUND(main!BA202*100,6))</f>
        <v/>
      </c>
      <c r="AP199" s="68" t="str">
        <f>IF(main!BB202="","",ROUND(main!BB202*100,6))</f>
        <v/>
      </c>
      <c r="AQ199" s="68" t="str">
        <f>IF(main!BC202="","",ROUND(main!BC202*100,6))</f>
        <v/>
      </c>
      <c r="AR199" s="68" t="str">
        <f>IF(main!BD202="","",ROUND(main!BD202*100,6))</f>
        <v/>
      </c>
      <c r="AS199" s="68" t="str">
        <f>IF(main!BE202="","",ROUND(main!BE202*100,6))</f>
        <v/>
      </c>
      <c r="AT199" s="68" t="str">
        <f>IF(main!BF202="","",ROUND(main!BF202*100,6))</f>
        <v/>
      </c>
      <c r="AU199" s="68" t="str">
        <f>IF(main!BG202="","",ROUND(main!BG202*100,6))</f>
        <v/>
      </c>
      <c r="AV199" s="68" t="str">
        <f>IF(main!BH202="","",ROUND(main!BH202*100,6))</f>
        <v/>
      </c>
      <c r="AW199" s="68" t="str">
        <f>IF(main!BI202="","",ROUND(main!BI202*100,6))</f>
        <v/>
      </c>
      <c r="AX199" s="68" t="str">
        <f>IF(main!BJ202="","",ROUND(main!BJ202*100,6))</f>
        <v/>
      </c>
      <c r="AY199" s="68" t="str">
        <f>IF(main!BK202="","",ROUND(main!BK202*100,6))</f>
        <v/>
      </c>
      <c r="AZ199" s="68" t="str">
        <f>IF(main!BL202="","",ROUND(main!BL202*100,6))</f>
        <v/>
      </c>
      <c r="BA199" s="68" t="str">
        <f>IF(main!BM202="","",ROUND(main!BM202*100,6))</f>
        <v/>
      </c>
      <c r="BB199" s="68" t="str">
        <f>IF(main!BN202="","",ROUND(main!BN202*100,6))</f>
        <v/>
      </c>
      <c r="BC199" s="68" t="str">
        <f>IF(main!BO202="","",ROUND(main!BO202*100,6))</f>
        <v/>
      </c>
      <c r="BD199" s="68" t="str">
        <f>IF(main!BP202="","",ROUND(main!BP202*100,6))</f>
        <v/>
      </c>
      <c r="BE199" s="68" t="str">
        <f>IF(main!BQ202="","",ROUND(main!BQ202*100,6))</f>
        <v/>
      </c>
      <c r="BF199" s="68" t="str">
        <f>IF(main!BR202="","",ROUND(main!BR202*100,6))</f>
        <v/>
      </c>
      <c r="BG199" s="68" t="str">
        <f>IF(main!BS202="","",ROUND(main!BS202*100,6))</f>
        <v/>
      </c>
      <c r="BH199" s="68" t="str">
        <f>IF(main!BT202="","",ROUND(main!BT202*100,6))</f>
        <v/>
      </c>
      <c r="BI199" s="68" t="str">
        <f>IF(main!BU202="","",ROUND(main!BU202*100,6))</f>
        <v/>
      </c>
      <c r="BJ199" s="68" t="str">
        <f>IF(main!BV202="","",ROUND(main!BV202*100,6))</f>
        <v/>
      </c>
      <c r="BK199" s="68" t="str">
        <f>IF(main!BW202="","",ROUND(main!BW202*100,6))</f>
        <v/>
      </c>
      <c r="BL199" s="68" t="str">
        <f>IF(main!BX202="","",ROUND(main!BX202*100,6))</f>
        <v/>
      </c>
      <c r="BM199" s="68" t="str">
        <f>IF(main!BY202="","",ROUND(main!BY202*100,6))</f>
        <v/>
      </c>
      <c r="BN199" s="68" t="str">
        <f>IF(main!BZ202="","",ROUND(main!BZ202*100,6))</f>
        <v/>
      </c>
      <c r="BO199" s="68" t="str">
        <f>IF(main!CA202="","",ROUND(main!CA202*100,6))</f>
        <v/>
      </c>
      <c r="BP199" s="68" t="str">
        <f>IF(main!CB202="","",ROUND(main!CB202*100,6))</f>
        <v/>
      </c>
      <c r="BQ199" s="68" t="str">
        <f>IF(main!CC202="","",ROUND(main!CC202*100,6))</f>
        <v/>
      </c>
      <c r="BR199" s="68" t="str">
        <f>IF(main!CD202="","",ROUND(main!CD202*100,6))</f>
        <v/>
      </c>
      <c r="BS199" s="68" t="str">
        <f>IF(main!CE202="","",ROUND(main!CE202*100,6))</f>
        <v/>
      </c>
      <c r="BT199" s="68" t="str">
        <f>IF(main!CF202="","",ROUND(main!CF202*100,6))</f>
        <v/>
      </c>
      <c r="BU199" s="68" t="str">
        <f>IF(main!CG202="","",ROUND(main!CG202*100,6))</f>
        <v/>
      </c>
      <c r="BV199" s="68" t="str">
        <f>IF(main!CH202="","",ROUND(main!CH202*100,6))</f>
        <v/>
      </c>
      <c r="BW199" s="68" t="str">
        <f>IF(main!CI202="","",ROUND(main!CI202*100,6))</f>
        <v/>
      </c>
      <c r="BX199" s="68" t="str">
        <f>IF(main!CJ202="","",ROUND(main!CJ202*100,6))</f>
        <v/>
      </c>
      <c r="BY199" s="68" t="str">
        <f>IF(main!CK202="","",ROUND(main!CK202*100,6))</f>
        <v/>
      </c>
      <c r="BZ199" s="68" t="str">
        <f>IF(main!CL202="","",ROUND(main!CL202*100,6))</f>
        <v/>
      </c>
      <c r="CA199" s="68" t="str">
        <f>IF(main!CM202="","",ROUND(main!CM202*100,6))</f>
        <v/>
      </c>
      <c r="CB199" s="68" t="str">
        <f>IF(main!CN202="","",ROUND(main!CN202*100,6))</f>
        <v/>
      </c>
      <c r="CC199" s="68" t="str">
        <f>IF(main!CO202="","",ROUND(main!CO202*100,6))</f>
        <v/>
      </c>
    </row>
    <row r="200" spans="1:81" x14ac:dyDescent="0.25">
      <c r="A200" s="65" t="s">
        <v>366</v>
      </c>
      <c r="B200" s="66" t="str">
        <f>main!C203</f>
        <v>งานติดตั้ง Main Communication</v>
      </c>
      <c r="C200" s="67">
        <f>main!O203</f>
        <v>100000</v>
      </c>
      <c r="D200" s="65" t="s">
        <v>110</v>
      </c>
      <c r="E200" s="68">
        <f t="shared" si="3"/>
        <v>99.999999000000003</v>
      </c>
      <c r="F200" s="68" t="str">
        <f>IF(main!R203="","",ROUND(main!R203*100,6))</f>
        <v/>
      </c>
      <c r="G200" s="68" t="str">
        <f>IF(main!S203="","",ROUND(main!S203*100,6))</f>
        <v/>
      </c>
      <c r="H200" s="68" t="str">
        <f>IF(main!T203="","",ROUND(main!T203*100,6))</f>
        <v/>
      </c>
      <c r="I200" s="68" t="str">
        <f>IF(main!U203="","",ROUND(main!U203*100,6))</f>
        <v/>
      </c>
      <c r="J200" s="68" t="str">
        <f>IF(main!V203="","",ROUND(main!V203*100,6))</f>
        <v/>
      </c>
      <c r="K200" s="68" t="str">
        <f>IF(main!W203="","",ROUND(main!W203*100,6))</f>
        <v/>
      </c>
      <c r="L200" s="68" t="str">
        <f>IF(main!X203="","",ROUND(main!X203*100,6))</f>
        <v/>
      </c>
      <c r="M200" s="68" t="str">
        <f>IF(main!Y203="","",ROUND(main!Y203*100,6))</f>
        <v/>
      </c>
      <c r="N200" s="68" t="str">
        <f>IF(main!Z203="","",ROUND(main!Z203*100,6))</f>
        <v/>
      </c>
      <c r="O200" s="68" t="str">
        <f>IF(main!AA203="","",ROUND(main!AA203*100,6))</f>
        <v/>
      </c>
      <c r="P200" s="68" t="str">
        <f>IF(main!AB203="","",ROUND(main!AB203*100,6))</f>
        <v/>
      </c>
      <c r="Q200" s="68" t="str">
        <f>IF(main!AC203="","",ROUND(main!AC203*100,6))</f>
        <v/>
      </c>
      <c r="R200" s="68" t="str">
        <f>IF(main!AD203="","",ROUND(main!AD203*100,6))</f>
        <v/>
      </c>
      <c r="S200" s="68" t="str">
        <f>IF(main!AE203="","",ROUND(main!AE203*100,6))</f>
        <v/>
      </c>
      <c r="T200" s="68" t="str">
        <f>IF(main!AF203="","",ROUND(main!AF203*100,6))</f>
        <v/>
      </c>
      <c r="U200" s="68" t="str">
        <f>IF(main!AG203="","",ROUND(main!AG203*100,6))</f>
        <v/>
      </c>
      <c r="V200" s="68" t="str">
        <f>IF(main!AH203="","",ROUND(main!AH203*100,6))</f>
        <v/>
      </c>
      <c r="W200" s="68" t="str">
        <f>IF(main!AI203="","",ROUND(main!AI203*100,6))</f>
        <v/>
      </c>
      <c r="X200" s="68" t="str">
        <f>IF(main!AJ203="","",ROUND(main!AJ203*100,6))</f>
        <v/>
      </c>
      <c r="Y200" s="68" t="str">
        <f>IF(main!AK203="","",ROUND(main!AK203*100,6))</f>
        <v/>
      </c>
      <c r="Z200" s="68" t="str">
        <f>IF(main!AL203="","",ROUND(main!AL203*100,6))</f>
        <v/>
      </c>
      <c r="AA200" s="68" t="str">
        <f>IF(main!AM203="","",ROUND(main!AM203*100,6))</f>
        <v/>
      </c>
      <c r="AB200" s="68" t="str">
        <f>IF(main!AN203="","",ROUND(main!AN203*100,6))</f>
        <v/>
      </c>
      <c r="AC200" s="68" t="str">
        <f>IF(main!AO203="","",ROUND(main!AO203*100,6))</f>
        <v/>
      </c>
      <c r="AD200" s="68" t="str">
        <f>IF(main!AP203="","",ROUND(main!AP203*100,6))</f>
        <v/>
      </c>
      <c r="AE200" s="68" t="str">
        <f>IF(main!AQ203="","",ROUND(main!AQ203*100,6))</f>
        <v/>
      </c>
      <c r="AF200" s="68" t="str">
        <f>IF(main!AR203="","",ROUND(main!AR203*100,6))</f>
        <v/>
      </c>
      <c r="AG200" s="68" t="str">
        <f>IF(main!AS203="","",ROUND(main!AS203*100,6))</f>
        <v/>
      </c>
      <c r="AH200" s="68" t="str">
        <f>IF(main!AT203="","",ROUND(main!AT203*100,6))</f>
        <v/>
      </c>
      <c r="AI200" s="68" t="str">
        <f>IF(main!AU203="","",ROUND(main!AU203*100,6))</f>
        <v/>
      </c>
      <c r="AJ200" s="68" t="str">
        <f>IF(main!AV203="","",ROUND(main!AV203*100,6))</f>
        <v/>
      </c>
      <c r="AK200" s="68" t="str">
        <f>IF(main!AW203="","",ROUND(main!AW203*100,6))</f>
        <v/>
      </c>
      <c r="AL200" s="68" t="str">
        <f>IF(main!AX203="","",ROUND(main!AX203*100,6))</f>
        <v/>
      </c>
      <c r="AM200" s="68" t="str">
        <f>IF(main!AY203="","",ROUND(main!AY203*100,6))</f>
        <v/>
      </c>
      <c r="AN200" s="68" t="str">
        <f>IF(main!AZ203="","",ROUND(main!AZ203*100,6))</f>
        <v/>
      </c>
      <c r="AO200" s="68" t="str">
        <f>IF(main!BA203="","",ROUND(main!BA203*100,6))</f>
        <v/>
      </c>
      <c r="AP200" s="68" t="str">
        <f>IF(main!BB203="","",ROUND(main!BB203*100,6))</f>
        <v/>
      </c>
      <c r="AQ200" s="68" t="str">
        <f>IF(main!BC203="","",ROUND(main!BC203*100,6))</f>
        <v/>
      </c>
      <c r="AR200" s="68" t="str">
        <f>IF(main!BD203="","",ROUND(main!BD203*100,6))</f>
        <v/>
      </c>
      <c r="AS200" s="68" t="str">
        <f>IF(main!BE203="","",ROUND(main!BE203*100,6))</f>
        <v/>
      </c>
      <c r="AT200" s="68" t="str">
        <f>IF(main!BF203="","",ROUND(main!BF203*100,6))</f>
        <v/>
      </c>
      <c r="AU200" s="68" t="str">
        <f>IF(main!BG203="","",ROUND(main!BG203*100,6))</f>
        <v/>
      </c>
      <c r="AV200" s="68" t="str">
        <f>IF(main!BH203="","",ROUND(main!BH203*100,6))</f>
        <v/>
      </c>
      <c r="AW200" s="68" t="str">
        <f>IF(main!BI203="","",ROUND(main!BI203*100,6))</f>
        <v/>
      </c>
      <c r="AX200" s="68" t="str">
        <f>IF(main!BJ203="","",ROUND(main!BJ203*100,6))</f>
        <v/>
      </c>
      <c r="AY200" s="68" t="str">
        <f>IF(main!BK203="","",ROUND(main!BK203*100,6))</f>
        <v/>
      </c>
      <c r="AZ200" s="68" t="str">
        <f>IF(main!BL203="","",ROUND(main!BL203*100,6))</f>
        <v/>
      </c>
      <c r="BA200" s="68" t="str">
        <f>IF(main!BM203="","",ROUND(main!BM203*100,6))</f>
        <v/>
      </c>
      <c r="BB200" s="68" t="str">
        <f>IF(main!BN203="","",ROUND(main!BN203*100,6))</f>
        <v/>
      </c>
      <c r="BC200" s="68" t="str">
        <f>IF(main!BO203="","",ROUND(main!BO203*100,6))</f>
        <v/>
      </c>
      <c r="BD200" s="68" t="str">
        <f>IF(main!BP203="","",ROUND(main!BP203*100,6))</f>
        <v/>
      </c>
      <c r="BE200" s="68" t="str">
        <f>IF(main!BQ203="","",ROUND(main!BQ203*100,6))</f>
        <v/>
      </c>
      <c r="BF200" s="68" t="str">
        <f>IF(main!BR203="","",ROUND(main!BR203*100,6))</f>
        <v/>
      </c>
      <c r="BG200" s="68" t="str">
        <f>IF(main!BS203="","",ROUND(main!BS203*100,6))</f>
        <v/>
      </c>
      <c r="BH200" s="68" t="str">
        <f>IF(main!BT203="","",ROUND(main!BT203*100,6))</f>
        <v/>
      </c>
      <c r="BI200" s="68" t="str">
        <f>IF(main!BU203="","",ROUND(main!BU203*100,6))</f>
        <v/>
      </c>
      <c r="BJ200" s="68" t="str">
        <f>IF(main!BV203="","",ROUND(main!BV203*100,6))</f>
        <v/>
      </c>
      <c r="BK200" s="68" t="str">
        <f>IF(main!BW203="","",ROUND(main!BW203*100,6))</f>
        <v/>
      </c>
      <c r="BL200" s="68">
        <f>IF(main!BX203="","",ROUND(main!BX203*100,6))</f>
        <v>3.1746029999999998</v>
      </c>
      <c r="BM200" s="68">
        <f>IF(main!BY203="","",ROUND(main!BY203*100,6))</f>
        <v>11.111110999999999</v>
      </c>
      <c r="BN200" s="68">
        <f>IF(main!BZ203="","",ROUND(main!BZ203*100,6))</f>
        <v>11.111110999999999</v>
      </c>
      <c r="BO200" s="68">
        <f>IF(main!CA203="","",ROUND(main!CA203*100,6))</f>
        <v>11.111110999999999</v>
      </c>
      <c r="BP200" s="68">
        <f>IF(main!CB203="","",ROUND(main!CB203*100,6))</f>
        <v>11.111110999999999</v>
      </c>
      <c r="BQ200" s="68">
        <f>IF(main!CC203="","",ROUND(main!CC203*100,6))</f>
        <v>11.111110999999999</v>
      </c>
      <c r="BR200" s="68">
        <f>IF(main!CD203="","",ROUND(main!CD203*100,6))</f>
        <v>11.111110999999999</v>
      </c>
      <c r="BS200" s="68">
        <f>IF(main!CE203="","",ROUND(main!CE203*100,6))</f>
        <v>11.111110999999999</v>
      </c>
      <c r="BT200" s="68">
        <f>IF(main!CF203="","",ROUND(main!CF203*100,6))</f>
        <v>11.111110999999999</v>
      </c>
      <c r="BU200" s="68">
        <f>IF(main!CG203="","",ROUND(main!CG203*100,6))</f>
        <v>7.9365079999999999</v>
      </c>
      <c r="BV200" s="68" t="str">
        <f>IF(main!CH203="","",ROUND(main!CH203*100,6))</f>
        <v/>
      </c>
      <c r="BW200" s="68" t="str">
        <f>IF(main!CI203="","",ROUND(main!CI203*100,6))</f>
        <v/>
      </c>
      <c r="BX200" s="68" t="str">
        <f>IF(main!CJ203="","",ROUND(main!CJ203*100,6))</f>
        <v/>
      </c>
      <c r="BY200" s="68" t="str">
        <f>IF(main!CK203="","",ROUND(main!CK203*100,6))</f>
        <v/>
      </c>
      <c r="BZ200" s="68" t="str">
        <f>IF(main!CL203="","",ROUND(main!CL203*100,6))</f>
        <v/>
      </c>
      <c r="CA200" s="68" t="str">
        <f>IF(main!CM203="","",ROUND(main!CM203*100,6))</f>
        <v/>
      </c>
      <c r="CB200" s="68" t="str">
        <f>IF(main!CN203="","",ROUND(main!CN203*100,6))</f>
        <v/>
      </c>
      <c r="CC200" s="68" t="str">
        <f>IF(main!CO203="","",ROUND(main!CO203*100,6))</f>
        <v/>
      </c>
    </row>
    <row r="201" spans="1:81" x14ac:dyDescent="0.25">
      <c r="A201" s="65" t="s">
        <v>366</v>
      </c>
      <c r="B201" s="66" t="str">
        <f>main!C203</f>
        <v>งานติดตั้ง Main Communication</v>
      </c>
      <c r="C201" s="67">
        <f>main!O203</f>
        <v>100000</v>
      </c>
      <c r="D201" s="65" t="s">
        <v>111</v>
      </c>
      <c r="E201" s="68" t="str">
        <f t="shared" si="3"/>
        <v/>
      </c>
      <c r="F201" s="68" t="str">
        <f>IF(main!R204="","",ROUND(main!R204*100,6))</f>
        <v/>
      </c>
      <c r="G201" s="68" t="str">
        <f>IF(main!S204="","",ROUND(main!S204*100,6))</f>
        <v/>
      </c>
      <c r="H201" s="68" t="str">
        <f>IF(main!T204="","",ROUND(main!T204*100,6))</f>
        <v/>
      </c>
      <c r="I201" s="68" t="str">
        <f>IF(main!U204="","",ROUND(main!U204*100,6))</f>
        <v/>
      </c>
      <c r="J201" s="68" t="str">
        <f>IF(main!V204="","",ROUND(main!V204*100,6))</f>
        <v/>
      </c>
      <c r="K201" s="68" t="str">
        <f>IF(main!W204="","",ROUND(main!W204*100,6))</f>
        <v/>
      </c>
      <c r="L201" s="68" t="str">
        <f>IF(main!X204="","",ROUND(main!X204*100,6))</f>
        <v/>
      </c>
      <c r="M201" s="68" t="str">
        <f>IF(main!Y204="","",ROUND(main!Y204*100,6))</f>
        <v/>
      </c>
      <c r="N201" s="68" t="str">
        <f>IF(main!Z204="","",ROUND(main!Z204*100,6))</f>
        <v/>
      </c>
      <c r="O201" s="68" t="str">
        <f>IF(main!AA204="","",ROUND(main!AA204*100,6))</f>
        <v/>
      </c>
      <c r="P201" s="68" t="str">
        <f>IF(main!AB204="","",ROUND(main!AB204*100,6))</f>
        <v/>
      </c>
      <c r="Q201" s="68" t="str">
        <f>IF(main!AC204="","",ROUND(main!AC204*100,6))</f>
        <v/>
      </c>
      <c r="R201" s="68" t="str">
        <f>IF(main!AD204="","",ROUND(main!AD204*100,6))</f>
        <v/>
      </c>
      <c r="S201" s="68" t="str">
        <f>IF(main!AE204="","",ROUND(main!AE204*100,6))</f>
        <v/>
      </c>
      <c r="T201" s="68" t="str">
        <f>IF(main!AF204="","",ROUND(main!AF204*100,6))</f>
        <v/>
      </c>
      <c r="U201" s="68" t="str">
        <f>IF(main!AG204="","",ROUND(main!AG204*100,6))</f>
        <v/>
      </c>
      <c r="V201" s="68" t="str">
        <f>IF(main!AH204="","",ROUND(main!AH204*100,6))</f>
        <v/>
      </c>
      <c r="W201" s="68" t="str">
        <f>IF(main!AI204="","",ROUND(main!AI204*100,6))</f>
        <v/>
      </c>
      <c r="X201" s="68" t="str">
        <f>IF(main!AJ204="","",ROUND(main!AJ204*100,6))</f>
        <v/>
      </c>
      <c r="Y201" s="68" t="str">
        <f>IF(main!AK204="","",ROUND(main!AK204*100,6))</f>
        <v/>
      </c>
      <c r="Z201" s="68" t="str">
        <f>IF(main!AL204="","",ROUND(main!AL204*100,6))</f>
        <v/>
      </c>
      <c r="AA201" s="68" t="str">
        <f>IF(main!AM204="","",ROUND(main!AM204*100,6))</f>
        <v/>
      </c>
      <c r="AB201" s="68" t="str">
        <f>IF(main!AN204="","",ROUND(main!AN204*100,6))</f>
        <v/>
      </c>
      <c r="AC201" s="68" t="str">
        <f>IF(main!AO204="","",ROUND(main!AO204*100,6))</f>
        <v/>
      </c>
      <c r="AD201" s="68" t="str">
        <f>IF(main!AP204="","",ROUND(main!AP204*100,6))</f>
        <v/>
      </c>
      <c r="AE201" s="68" t="str">
        <f>IF(main!AQ204="","",ROUND(main!AQ204*100,6))</f>
        <v/>
      </c>
      <c r="AF201" s="68" t="str">
        <f>IF(main!AR204="","",ROUND(main!AR204*100,6))</f>
        <v/>
      </c>
      <c r="AG201" s="68" t="str">
        <f>IF(main!AS204="","",ROUND(main!AS204*100,6))</f>
        <v/>
      </c>
      <c r="AH201" s="68" t="str">
        <f>IF(main!AT204="","",ROUND(main!AT204*100,6))</f>
        <v/>
      </c>
      <c r="AI201" s="68" t="str">
        <f>IF(main!AU204="","",ROUND(main!AU204*100,6))</f>
        <v/>
      </c>
      <c r="AJ201" s="68" t="str">
        <f>IF(main!AV204="","",ROUND(main!AV204*100,6))</f>
        <v/>
      </c>
      <c r="AK201" s="68" t="str">
        <f>IF(main!AW204="","",ROUND(main!AW204*100,6))</f>
        <v/>
      </c>
      <c r="AL201" s="68" t="str">
        <f>IF(main!AX204="","",ROUND(main!AX204*100,6))</f>
        <v/>
      </c>
      <c r="AM201" s="68" t="str">
        <f>IF(main!AY204="","",ROUND(main!AY204*100,6))</f>
        <v/>
      </c>
      <c r="AN201" s="68" t="str">
        <f>IF(main!AZ204="","",ROUND(main!AZ204*100,6))</f>
        <v/>
      </c>
      <c r="AO201" s="68" t="str">
        <f>IF(main!BA204="","",ROUND(main!BA204*100,6))</f>
        <v/>
      </c>
      <c r="AP201" s="68" t="str">
        <f>IF(main!BB204="","",ROUND(main!BB204*100,6))</f>
        <v/>
      </c>
      <c r="AQ201" s="68" t="str">
        <f>IF(main!BC204="","",ROUND(main!BC204*100,6))</f>
        <v/>
      </c>
      <c r="AR201" s="68" t="str">
        <f>IF(main!BD204="","",ROUND(main!BD204*100,6))</f>
        <v/>
      </c>
      <c r="AS201" s="68" t="str">
        <f>IF(main!BE204="","",ROUND(main!BE204*100,6))</f>
        <v/>
      </c>
      <c r="AT201" s="68" t="str">
        <f>IF(main!BF204="","",ROUND(main!BF204*100,6))</f>
        <v/>
      </c>
      <c r="AU201" s="68" t="str">
        <f>IF(main!BG204="","",ROUND(main!BG204*100,6))</f>
        <v/>
      </c>
      <c r="AV201" s="68" t="str">
        <f>IF(main!BH204="","",ROUND(main!BH204*100,6))</f>
        <v/>
      </c>
      <c r="AW201" s="68" t="str">
        <f>IF(main!BI204="","",ROUND(main!BI204*100,6))</f>
        <v/>
      </c>
      <c r="AX201" s="68" t="str">
        <f>IF(main!BJ204="","",ROUND(main!BJ204*100,6))</f>
        <v/>
      </c>
      <c r="AY201" s="68" t="str">
        <f>IF(main!BK204="","",ROUND(main!BK204*100,6))</f>
        <v/>
      </c>
      <c r="AZ201" s="68" t="str">
        <f>IF(main!BL204="","",ROUND(main!BL204*100,6))</f>
        <v/>
      </c>
      <c r="BA201" s="68" t="str">
        <f>IF(main!BM204="","",ROUND(main!BM204*100,6))</f>
        <v/>
      </c>
      <c r="BB201" s="68" t="str">
        <f>IF(main!BN204="","",ROUND(main!BN204*100,6))</f>
        <v/>
      </c>
      <c r="BC201" s="68" t="str">
        <f>IF(main!BO204="","",ROUND(main!BO204*100,6))</f>
        <v/>
      </c>
      <c r="BD201" s="68" t="str">
        <f>IF(main!BP204="","",ROUND(main!BP204*100,6))</f>
        <v/>
      </c>
      <c r="BE201" s="68" t="str">
        <f>IF(main!BQ204="","",ROUND(main!BQ204*100,6))</f>
        <v/>
      </c>
      <c r="BF201" s="68" t="str">
        <f>IF(main!BR204="","",ROUND(main!BR204*100,6))</f>
        <v/>
      </c>
      <c r="BG201" s="68" t="str">
        <f>IF(main!BS204="","",ROUND(main!BS204*100,6))</f>
        <v/>
      </c>
      <c r="BH201" s="68" t="str">
        <f>IF(main!BT204="","",ROUND(main!BT204*100,6))</f>
        <v/>
      </c>
      <c r="BI201" s="68" t="str">
        <f>IF(main!BU204="","",ROUND(main!BU204*100,6))</f>
        <v/>
      </c>
      <c r="BJ201" s="68" t="str">
        <f>IF(main!BV204="","",ROUND(main!BV204*100,6))</f>
        <v/>
      </c>
      <c r="BK201" s="68" t="str">
        <f>IF(main!BW204="","",ROUND(main!BW204*100,6))</f>
        <v/>
      </c>
      <c r="BL201" s="68" t="str">
        <f>IF(main!BX204="","",ROUND(main!BX204*100,6))</f>
        <v/>
      </c>
      <c r="BM201" s="68" t="str">
        <f>IF(main!BY204="","",ROUND(main!BY204*100,6))</f>
        <v/>
      </c>
      <c r="BN201" s="68" t="str">
        <f>IF(main!BZ204="","",ROUND(main!BZ204*100,6))</f>
        <v/>
      </c>
      <c r="BO201" s="68" t="str">
        <f>IF(main!CA204="","",ROUND(main!CA204*100,6))</f>
        <v/>
      </c>
      <c r="BP201" s="68" t="str">
        <f>IF(main!CB204="","",ROUND(main!CB204*100,6))</f>
        <v/>
      </c>
      <c r="BQ201" s="68" t="str">
        <f>IF(main!CC204="","",ROUND(main!CC204*100,6))</f>
        <v/>
      </c>
      <c r="BR201" s="68" t="str">
        <f>IF(main!CD204="","",ROUND(main!CD204*100,6))</f>
        <v/>
      </c>
      <c r="BS201" s="68" t="str">
        <f>IF(main!CE204="","",ROUND(main!CE204*100,6))</f>
        <v/>
      </c>
      <c r="BT201" s="68" t="str">
        <f>IF(main!CF204="","",ROUND(main!CF204*100,6))</f>
        <v/>
      </c>
      <c r="BU201" s="68" t="str">
        <f>IF(main!CG204="","",ROUND(main!CG204*100,6))</f>
        <v/>
      </c>
      <c r="BV201" s="68" t="str">
        <f>IF(main!CH204="","",ROUND(main!CH204*100,6))</f>
        <v/>
      </c>
      <c r="BW201" s="68" t="str">
        <f>IF(main!CI204="","",ROUND(main!CI204*100,6))</f>
        <v/>
      </c>
      <c r="BX201" s="68" t="str">
        <f>IF(main!CJ204="","",ROUND(main!CJ204*100,6))</f>
        <v/>
      </c>
      <c r="BY201" s="68" t="str">
        <f>IF(main!CK204="","",ROUND(main!CK204*100,6))</f>
        <v/>
      </c>
      <c r="BZ201" s="68" t="str">
        <f>IF(main!CL204="","",ROUND(main!CL204*100,6))</f>
        <v/>
      </c>
      <c r="CA201" s="68" t="str">
        <f>IF(main!CM204="","",ROUND(main!CM204*100,6))</f>
        <v/>
      </c>
      <c r="CB201" s="68" t="str">
        <f>IF(main!CN204="","",ROUND(main!CN204*100,6))</f>
        <v/>
      </c>
      <c r="CC201" s="68" t="str">
        <f>IF(main!CO204="","",ROUND(main!CO204*100,6))</f>
        <v/>
      </c>
    </row>
    <row r="202" spans="1:81" x14ac:dyDescent="0.25">
      <c r="A202" s="65" t="s">
        <v>369</v>
      </c>
      <c r="B202" s="66" t="str">
        <f>main!C205</f>
        <v>Mezzanine</v>
      </c>
      <c r="C202" s="67">
        <f>main!O205</f>
        <v>1100000</v>
      </c>
      <c r="D202" s="65" t="s">
        <v>110</v>
      </c>
      <c r="E202" s="68">
        <f t="shared" si="3"/>
        <v>99.999999000000003</v>
      </c>
      <c r="F202" s="68" t="str">
        <f>IF(main!R205="","",ROUND(main!R205*100,6))</f>
        <v/>
      </c>
      <c r="G202" s="68" t="str">
        <f>IF(main!S205="","",ROUND(main!S205*100,6))</f>
        <v/>
      </c>
      <c r="H202" s="68" t="str">
        <f>IF(main!T205="","",ROUND(main!T205*100,6))</f>
        <v/>
      </c>
      <c r="I202" s="68" t="str">
        <f>IF(main!U205="","",ROUND(main!U205*100,6))</f>
        <v/>
      </c>
      <c r="J202" s="68" t="str">
        <f>IF(main!V205="","",ROUND(main!V205*100,6))</f>
        <v/>
      </c>
      <c r="K202" s="68" t="str">
        <f>IF(main!W205="","",ROUND(main!W205*100,6))</f>
        <v/>
      </c>
      <c r="L202" s="68" t="str">
        <f>IF(main!X205="","",ROUND(main!X205*100,6))</f>
        <v/>
      </c>
      <c r="M202" s="68" t="str">
        <f>IF(main!Y205="","",ROUND(main!Y205*100,6))</f>
        <v/>
      </c>
      <c r="N202" s="68" t="str">
        <f>IF(main!Z205="","",ROUND(main!Z205*100,6))</f>
        <v/>
      </c>
      <c r="O202" s="68" t="str">
        <f>IF(main!AA205="","",ROUND(main!AA205*100,6))</f>
        <v/>
      </c>
      <c r="P202" s="68" t="str">
        <f>IF(main!AB205="","",ROUND(main!AB205*100,6))</f>
        <v/>
      </c>
      <c r="Q202" s="68" t="str">
        <f>IF(main!AC205="","",ROUND(main!AC205*100,6))</f>
        <v/>
      </c>
      <c r="R202" s="68" t="str">
        <f>IF(main!AD205="","",ROUND(main!AD205*100,6))</f>
        <v/>
      </c>
      <c r="S202" s="68" t="str">
        <f>IF(main!AE205="","",ROUND(main!AE205*100,6))</f>
        <v/>
      </c>
      <c r="T202" s="68" t="str">
        <f>IF(main!AF205="","",ROUND(main!AF205*100,6))</f>
        <v/>
      </c>
      <c r="U202" s="68" t="str">
        <f>IF(main!AG205="","",ROUND(main!AG205*100,6))</f>
        <v/>
      </c>
      <c r="V202" s="68" t="str">
        <f>IF(main!AH205="","",ROUND(main!AH205*100,6))</f>
        <v/>
      </c>
      <c r="W202" s="68" t="str">
        <f>IF(main!AI205="","",ROUND(main!AI205*100,6))</f>
        <v/>
      </c>
      <c r="X202" s="68" t="str">
        <f>IF(main!AJ205="","",ROUND(main!AJ205*100,6))</f>
        <v/>
      </c>
      <c r="Y202" s="68" t="str">
        <f>IF(main!AK205="","",ROUND(main!AK205*100,6))</f>
        <v/>
      </c>
      <c r="Z202" s="68" t="str">
        <f>IF(main!AL205="","",ROUND(main!AL205*100,6))</f>
        <v/>
      </c>
      <c r="AA202" s="68" t="str">
        <f>IF(main!AM205="","",ROUND(main!AM205*100,6))</f>
        <v/>
      </c>
      <c r="AB202" s="68" t="str">
        <f>IF(main!AN205="","",ROUND(main!AN205*100,6))</f>
        <v/>
      </c>
      <c r="AC202" s="68" t="str">
        <f>IF(main!AO205="","",ROUND(main!AO205*100,6))</f>
        <v/>
      </c>
      <c r="AD202" s="68" t="str">
        <f>IF(main!AP205="","",ROUND(main!AP205*100,6))</f>
        <v/>
      </c>
      <c r="AE202" s="68" t="str">
        <f>IF(main!AQ205="","",ROUND(main!AQ205*100,6))</f>
        <v/>
      </c>
      <c r="AF202" s="68" t="str">
        <f>IF(main!AR205="","",ROUND(main!AR205*100,6))</f>
        <v/>
      </c>
      <c r="AG202" s="68" t="str">
        <f>IF(main!AS205="","",ROUND(main!AS205*100,6))</f>
        <v/>
      </c>
      <c r="AH202" s="68" t="str">
        <f>IF(main!AT205="","",ROUND(main!AT205*100,6))</f>
        <v/>
      </c>
      <c r="AI202" s="68" t="str">
        <f>IF(main!AU205="","",ROUND(main!AU205*100,6))</f>
        <v/>
      </c>
      <c r="AJ202" s="68" t="str">
        <f>IF(main!AV205="","",ROUND(main!AV205*100,6))</f>
        <v/>
      </c>
      <c r="AK202" s="68" t="str">
        <f>IF(main!AW205="","",ROUND(main!AW205*100,6))</f>
        <v/>
      </c>
      <c r="AL202" s="68" t="str">
        <f>IF(main!AX205="","",ROUND(main!AX205*100,6))</f>
        <v/>
      </c>
      <c r="AM202" s="68" t="str">
        <f>IF(main!AY205="","",ROUND(main!AY205*100,6))</f>
        <v/>
      </c>
      <c r="AN202" s="68" t="str">
        <f>IF(main!AZ205="","",ROUND(main!AZ205*100,6))</f>
        <v/>
      </c>
      <c r="AO202" s="68" t="str">
        <f>IF(main!BA205="","",ROUND(main!BA205*100,6))</f>
        <v/>
      </c>
      <c r="AP202" s="68" t="str">
        <f>IF(main!BB205="","",ROUND(main!BB205*100,6))</f>
        <v/>
      </c>
      <c r="AQ202" s="68" t="str">
        <f>IF(main!BC205="","",ROUND(main!BC205*100,6))</f>
        <v/>
      </c>
      <c r="AR202" s="68">
        <f>IF(main!BD205="","",ROUND(main!BD205*100,6))</f>
        <v>0.43290000000000001</v>
      </c>
      <c r="AS202" s="68">
        <f>IF(main!BE205="","",ROUND(main!BE205*100,6))</f>
        <v>3.030303</v>
      </c>
      <c r="AT202" s="68">
        <f>IF(main!BF205="","",ROUND(main!BF205*100,6))</f>
        <v>3.030303</v>
      </c>
      <c r="AU202" s="68">
        <f>IF(main!BG205="","",ROUND(main!BG205*100,6))</f>
        <v>3.030303</v>
      </c>
      <c r="AV202" s="68">
        <f>IF(main!BH205="","",ROUND(main!BH205*100,6))</f>
        <v>3.030303</v>
      </c>
      <c r="AW202" s="68">
        <f>IF(main!BI205="","",ROUND(main!BI205*100,6))</f>
        <v>3.030303</v>
      </c>
      <c r="AX202" s="68">
        <f>IF(main!BJ205="","",ROUND(main!BJ205*100,6))</f>
        <v>2.6156640000000002</v>
      </c>
      <c r="AY202" s="68">
        <f>IF(main!BK205="","",ROUND(main!BK205*100,6))</f>
        <v>0.32390600000000003</v>
      </c>
      <c r="AZ202" s="68">
        <f>IF(main!BL205="","",ROUND(main!BL205*100,6))</f>
        <v>2.415788</v>
      </c>
      <c r="BA202" s="68">
        <f>IF(main!BM205="","",ROUND(main!BM205*100,6))</f>
        <v>3.5664769999999999</v>
      </c>
      <c r="BB202" s="68">
        <f>IF(main!BN205="","",ROUND(main!BN205*100,6))</f>
        <v>3.9729960000000002</v>
      </c>
      <c r="BC202" s="68">
        <f>IF(main!BO205="","",ROUND(main!BO205*100,6))</f>
        <v>4.139011</v>
      </c>
      <c r="BD202" s="68">
        <f>IF(main!BP205="","",ROUND(main!BP205*100,6))</f>
        <v>3.273695</v>
      </c>
      <c r="BE202" s="68">
        <f>IF(main!BQ205="","",ROUND(main!BQ205*100,6))</f>
        <v>3.5664769999999999</v>
      </c>
      <c r="BF202" s="68">
        <f>IF(main!BR205="","",ROUND(main!BR205*100,6))</f>
        <v>3.1150890000000002</v>
      </c>
      <c r="BG202" s="68">
        <f>IF(main!BS205="","",ROUND(main!BS205*100,6))</f>
        <v>2.7714590000000001</v>
      </c>
      <c r="BH202" s="68">
        <f>IF(main!BT205="","",ROUND(main!BT205*100,6))</f>
        <v>4.1138979999999998</v>
      </c>
      <c r="BI202" s="68">
        <f>IF(main!BU205="","",ROUND(main!BU205*100,6))</f>
        <v>7.4675320000000003</v>
      </c>
      <c r="BJ202" s="68">
        <f>IF(main!BV205="","",ROUND(main!BV205*100,6))</f>
        <v>6.1802229999999998</v>
      </c>
      <c r="BK202" s="68">
        <f>IF(main!BW205="","",ROUND(main!BW205*100,6))</f>
        <v>7.1371609999999999</v>
      </c>
      <c r="BL202" s="68">
        <f>IF(main!BX205="","",ROUND(main!BX205*100,6))</f>
        <v>7.1371609999999999</v>
      </c>
      <c r="BM202" s="68">
        <f>IF(main!BY205="","",ROUND(main!BY205*100,6))</f>
        <v>4.0043290000000002</v>
      </c>
      <c r="BN202" s="68">
        <f>IF(main!BZ205="","",ROUND(main!BZ205*100,6))</f>
        <v>4.3290040000000003</v>
      </c>
      <c r="BO202" s="68">
        <f>IF(main!CA205="","",ROUND(main!CA205*100,6))</f>
        <v>3.030303</v>
      </c>
      <c r="BP202" s="68">
        <f>IF(main!CB205="","",ROUND(main!CB205*100,6))</f>
        <v>2.1645020000000001</v>
      </c>
      <c r="BQ202" s="68" t="str">
        <f>IF(main!CC205="","",ROUND(main!CC205*100,6))</f>
        <v/>
      </c>
      <c r="BR202" s="68" t="str">
        <f>IF(main!CD205="","",ROUND(main!CD205*100,6))</f>
        <v/>
      </c>
      <c r="BS202" s="68" t="str">
        <f>IF(main!CE205="","",ROUND(main!CE205*100,6))</f>
        <v/>
      </c>
      <c r="BT202" s="68">
        <f>IF(main!CF205="","",ROUND(main!CF205*100,6))</f>
        <v>1.2987010000000001</v>
      </c>
      <c r="BU202" s="68">
        <f>IF(main!CG205="","",ROUND(main!CG205*100,6))</f>
        <v>4.5454549999999996</v>
      </c>
      <c r="BV202" s="68">
        <f>IF(main!CH205="","",ROUND(main!CH205*100,6))</f>
        <v>3.246753</v>
      </c>
      <c r="BW202" s="68" t="str">
        <f>IF(main!CI205="","",ROUND(main!CI205*100,6))</f>
        <v/>
      </c>
      <c r="BX202" s="68" t="str">
        <f>IF(main!CJ205="","",ROUND(main!CJ205*100,6))</f>
        <v/>
      </c>
      <c r="BY202" s="68" t="str">
        <f>IF(main!CK205="","",ROUND(main!CK205*100,6))</f>
        <v/>
      </c>
      <c r="BZ202" s="68" t="str">
        <f>IF(main!CL205="","",ROUND(main!CL205*100,6))</f>
        <v/>
      </c>
      <c r="CA202" s="68" t="str">
        <f>IF(main!CM205="","",ROUND(main!CM205*100,6))</f>
        <v/>
      </c>
      <c r="CB202" s="68" t="str">
        <f>IF(main!CN205="","",ROUND(main!CN205*100,6))</f>
        <v/>
      </c>
      <c r="CC202" s="68" t="str">
        <f>IF(main!CO205="","",ROUND(main!CO205*100,6))</f>
        <v/>
      </c>
    </row>
    <row r="203" spans="1:81" x14ac:dyDescent="0.25">
      <c r="A203" s="65" t="s">
        <v>369</v>
      </c>
      <c r="B203" s="66" t="str">
        <f>main!C205</f>
        <v>Mezzanine</v>
      </c>
      <c r="C203" s="67">
        <f>main!O205</f>
        <v>1100000</v>
      </c>
      <c r="D203" s="65" t="s">
        <v>111</v>
      </c>
      <c r="E203" s="68" t="str">
        <f t="shared" si="3"/>
        <v/>
      </c>
      <c r="F203" s="68" t="str">
        <f>IF(main!R206="","",ROUND(main!R206*100,6))</f>
        <v/>
      </c>
      <c r="G203" s="68" t="str">
        <f>IF(main!S206="","",ROUND(main!S206*100,6))</f>
        <v/>
      </c>
      <c r="H203" s="68" t="str">
        <f>IF(main!T206="","",ROUND(main!T206*100,6))</f>
        <v/>
      </c>
      <c r="I203" s="68" t="str">
        <f>IF(main!U206="","",ROUND(main!U206*100,6))</f>
        <v/>
      </c>
      <c r="J203" s="68" t="str">
        <f>IF(main!V206="","",ROUND(main!V206*100,6))</f>
        <v/>
      </c>
      <c r="K203" s="68" t="str">
        <f>IF(main!W206="","",ROUND(main!W206*100,6))</f>
        <v/>
      </c>
      <c r="L203" s="68" t="str">
        <f>IF(main!X206="","",ROUND(main!X206*100,6))</f>
        <v/>
      </c>
      <c r="M203" s="68" t="str">
        <f>IF(main!Y206="","",ROUND(main!Y206*100,6))</f>
        <v/>
      </c>
      <c r="N203" s="68" t="str">
        <f>IF(main!Z206="","",ROUND(main!Z206*100,6))</f>
        <v/>
      </c>
      <c r="O203" s="68" t="str">
        <f>IF(main!AA206="","",ROUND(main!AA206*100,6))</f>
        <v/>
      </c>
      <c r="P203" s="68" t="str">
        <f>IF(main!AB206="","",ROUND(main!AB206*100,6))</f>
        <v/>
      </c>
      <c r="Q203" s="68" t="str">
        <f>IF(main!AC206="","",ROUND(main!AC206*100,6))</f>
        <v/>
      </c>
      <c r="R203" s="68" t="str">
        <f>IF(main!AD206="","",ROUND(main!AD206*100,6))</f>
        <v/>
      </c>
      <c r="S203" s="68" t="str">
        <f>IF(main!AE206="","",ROUND(main!AE206*100,6))</f>
        <v/>
      </c>
      <c r="T203" s="68" t="str">
        <f>IF(main!AF206="","",ROUND(main!AF206*100,6))</f>
        <v/>
      </c>
      <c r="U203" s="68" t="str">
        <f>IF(main!AG206="","",ROUND(main!AG206*100,6))</f>
        <v/>
      </c>
      <c r="V203" s="68" t="str">
        <f>IF(main!AH206="","",ROUND(main!AH206*100,6))</f>
        <v/>
      </c>
      <c r="W203" s="68" t="str">
        <f>IF(main!AI206="","",ROUND(main!AI206*100,6))</f>
        <v/>
      </c>
      <c r="X203" s="68" t="str">
        <f>IF(main!AJ206="","",ROUND(main!AJ206*100,6))</f>
        <v/>
      </c>
      <c r="Y203" s="68" t="str">
        <f>IF(main!AK206="","",ROUND(main!AK206*100,6))</f>
        <v/>
      </c>
      <c r="Z203" s="68" t="str">
        <f>IF(main!AL206="","",ROUND(main!AL206*100,6))</f>
        <v/>
      </c>
      <c r="AA203" s="68" t="str">
        <f>IF(main!AM206="","",ROUND(main!AM206*100,6))</f>
        <v/>
      </c>
      <c r="AB203" s="68" t="str">
        <f>IF(main!AN206="","",ROUND(main!AN206*100,6))</f>
        <v/>
      </c>
      <c r="AC203" s="68" t="str">
        <f>IF(main!AO206="","",ROUND(main!AO206*100,6))</f>
        <v/>
      </c>
      <c r="AD203" s="68" t="str">
        <f>IF(main!AP206="","",ROUND(main!AP206*100,6))</f>
        <v/>
      </c>
      <c r="AE203" s="68" t="str">
        <f>IF(main!AQ206="","",ROUND(main!AQ206*100,6))</f>
        <v/>
      </c>
      <c r="AF203" s="68" t="str">
        <f>IF(main!AR206="","",ROUND(main!AR206*100,6))</f>
        <v/>
      </c>
      <c r="AG203" s="68" t="str">
        <f>IF(main!AS206="","",ROUND(main!AS206*100,6))</f>
        <v/>
      </c>
      <c r="AH203" s="68" t="str">
        <f>IF(main!AT206="","",ROUND(main!AT206*100,6))</f>
        <v/>
      </c>
      <c r="AI203" s="68" t="str">
        <f>IF(main!AU206="","",ROUND(main!AU206*100,6))</f>
        <v/>
      </c>
      <c r="AJ203" s="68" t="str">
        <f>IF(main!AV206="","",ROUND(main!AV206*100,6))</f>
        <v/>
      </c>
      <c r="AK203" s="68" t="str">
        <f>IF(main!AW206="","",ROUND(main!AW206*100,6))</f>
        <v/>
      </c>
      <c r="AL203" s="68" t="str">
        <f>IF(main!AX206="","",ROUND(main!AX206*100,6))</f>
        <v/>
      </c>
      <c r="AM203" s="68" t="str">
        <f>IF(main!AY206="","",ROUND(main!AY206*100,6))</f>
        <v/>
      </c>
      <c r="AN203" s="68" t="str">
        <f>IF(main!AZ206="","",ROUND(main!AZ206*100,6))</f>
        <v/>
      </c>
      <c r="AO203" s="68" t="str">
        <f>IF(main!BA206="","",ROUND(main!BA206*100,6))</f>
        <v/>
      </c>
      <c r="AP203" s="68" t="str">
        <f>IF(main!BB206="","",ROUND(main!BB206*100,6))</f>
        <v/>
      </c>
      <c r="AQ203" s="68" t="str">
        <f>IF(main!BC206="","",ROUND(main!BC206*100,6))</f>
        <v/>
      </c>
      <c r="AR203" s="68" t="str">
        <f>IF(main!BD206="","",ROUND(main!BD206*100,6))</f>
        <v/>
      </c>
      <c r="AS203" s="68" t="str">
        <f>IF(main!BE206="","",ROUND(main!BE206*100,6))</f>
        <v/>
      </c>
      <c r="AT203" s="68" t="str">
        <f>IF(main!BF206="","",ROUND(main!BF206*100,6))</f>
        <v/>
      </c>
      <c r="AU203" s="68" t="str">
        <f>IF(main!BG206="","",ROUND(main!BG206*100,6))</f>
        <v/>
      </c>
      <c r="AV203" s="68" t="str">
        <f>IF(main!BH206="","",ROUND(main!BH206*100,6))</f>
        <v/>
      </c>
      <c r="AW203" s="68" t="str">
        <f>IF(main!BI206="","",ROUND(main!BI206*100,6))</f>
        <v/>
      </c>
      <c r="AX203" s="68" t="str">
        <f>IF(main!BJ206="","",ROUND(main!BJ206*100,6))</f>
        <v/>
      </c>
      <c r="AY203" s="68" t="str">
        <f>IF(main!BK206="","",ROUND(main!BK206*100,6))</f>
        <v/>
      </c>
      <c r="AZ203" s="68" t="str">
        <f>IF(main!BL206="","",ROUND(main!BL206*100,6))</f>
        <v/>
      </c>
      <c r="BA203" s="68" t="str">
        <f>IF(main!BM206="","",ROUND(main!BM206*100,6))</f>
        <v/>
      </c>
      <c r="BB203" s="68" t="str">
        <f>IF(main!BN206="","",ROUND(main!BN206*100,6))</f>
        <v/>
      </c>
      <c r="BC203" s="68" t="str">
        <f>IF(main!BO206="","",ROUND(main!BO206*100,6))</f>
        <v/>
      </c>
      <c r="BD203" s="68" t="str">
        <f>IF(main!BP206="","",ROUND(main!BP206*100,6))</f>
        <v/>
      </c>
      <c r="BE203" s="68" t="str">
        <f>IF(main!BQ206="","",ROUND(main!BQ206*100,6))</f>
        <v/>
      </c>
      <c r="BF203" s="68" t="str">
        <f>IF(main!BR206="","",ROUND(main!BR206*100,6))</f>
        <v/>
      </c>
      <c r="BG203" s="68" t="str">
        <f>IF(main!BS206="","",ROUND(main!BS206*100,6))</f>
        <v/>
      </c>
      <c r="BH203" s="68" t="str">
        <f>IF(main!BT206="","",ROUND(main!BT206*100,6))</f>
        <v/>
      </c>
      <c r="BI203" s="68" t="str">
        <f>IF(main!BU206="","",ROUND(main!BU206*100,6))</f>
        <v/>
      </c>
      <c r="BJ203" s="68" t="str">
        <f>IF(main!BV206="","",ROUND(main!BV206*100,6))</f>
        <v/>
      </c>
      <c r="BK203" s="68" t="str">
        <f>IF(main!BW206="","",ROUND(main!BW206*100,6))</f>
        <v/>
      </c>
      <c r="BL203" s="68" t="str">
        <f>IF(main!BX206="","",ROUND(main!BX206*100,6))</f>
        <v/>
      </c>
      <c r="BM203" s="68" t="str">
        <f>IF(main!BY206="","",ROUND(main!BY206*100,6))</f>
        <v/>
      </c>
      <c r="BN203" s="68" t="str">
        <f>IF(main!BZ206="","",ROUND(main!BZ206*100,6))</f>
        <v/>
      </c>
      <c r="BO203" s="68" t="str">
        <f>IF(main!CA206="","",ROUND(main!CA206*100,6))</f>
        <v/>
      </c>
      <c r="BP203" s="68" t="str">
        <f>IF(main!CB206="","",ROUND(main!CB206*100,6))</f>
        <v/>
      </c>
      <c r="BQ203" s="68" t="str">
        <f>IF(main!CC206="","",ROUND(main!CC206*100,6))</f>
        <v/>
      </c>
      <c r="BR203" s="68" t="str">
        <f>IF(main!CD206="","",ROUND(main!CD206*100,6))</f>
        <v/>
      </c>
      <c r="BS203" s="68" t="str">
        <f>IF(main!CE206="","",ROUND(main!CE206*100,6))</f>
        <v/>
      </c>
      <c r="BT203" s="68" t="str">
        <f>IF(main!CF206="","",ROUND(main!CF206*100,6))</f>
        <v/>
      </c>
      <c r="BU203" s="68" t="str">
        <f>IF(main!CG206="","",ROUND(main!CG206*100,6))</f>
        <v/>
      </c>
      <c r="BV203" s="68" t="str">
        <f>IF(main!CH206="","",ROUND(main!CH206*100,6))</f>
        <v/>
      </c>
      <c r="BW203" s="68" t="str">
        <f>IF(main!CI206="","",ROUND(main!CI206*100,6))</f>
        <v/>
      </c>
      <c r="BX203" s="68" t="str">
        <f>IF(main!CJ206="","",ROUND(main!CJ206*100,6))</f>
        <v/>
      </c>
      <c r="BY203" s="68" t="str">
        <f>IF(main!CK206="","",ROUND(main!CK206*100,6))</f>
        <v/>
      </c>
      <c r="BZ203" s="68" t="str">
        <f>IF(main!CL206="","",ROUND(main!CL206*100,6))</f>
        <v/>
      </c>
      <c r="CA203" s="68" t="str">
        <f>IF(main!CM206="","",ROUND(main!CM206*100,6))</f>
        <v/>
      </c>
      <c r="CB203" s="68" t="str">
        <f>IF(main!CN206="","",ROUND(main!CN206*100,6))</f>
        <v/>
      </c>
      <c r="CC203" s="68" t="str">
        <f>IF(main!CO206="","",ROUND(main!CO206*100,6))</f>
        <v/>
      </c>
    </row>
    <row r="204" spans="1:81" x14ac:dyDescent="0.25">
      <c r="A204" s="65" t="s">
        <v>370</v>
      </c>
      <c r="B204" s="66" t="str">
        <f>main!C207</f>
        <v>Wall | Wall Fn.</v>
      </c>
      <c r="C204" s="67">
        <f>main!O207</f>
        <v>300000</v>
      </c>
      <c r="D204" s="65" t="s">
        <v>110</v>
      </c>
      <c r="E204" s="68">
        <f t="shared" si="3"/>
        <v>100</v>
      </c>
      <c r="F204" s="68" t="str">
        <f>IF(main!R207="","",ROUND(main!R207*100,6))</f>
        <v/>
      </c>
      <c r="G204" s="68" t="str">
        <f>IF(main!S207="","",ROUND(main!S207*100,6))</f>
        <v/>
      </c>
      <c r="H204" s="68" t="str">
        <f>IF(main!T207="","",ROUND(main!T207*100,6))</f>
        <v/>
      </c>
      <c r="I204" s="68" t="str">
        <f>IF(main!U207="","",ROUND(main!U207*100,6))</f>
        <v/>
      </c>
      <c r="J204" s="68" t="str">
        <f>IF(main!V207="","",ROUND(main!V207*100,6))</f>
        <v/>
      </c>
      <c r="K204" s="68" t="str">
        <f>IF(main!W207="","",ROUND(main!W207*100,6))</f>
        <v/>
      </c>
      <c r="L204" s="68" t="str">
        <f>IF(main!X207="","",ROUND(main!X207*100,6))</f>
        <v/>
      </c>
      <c r="M204" s="68" t="str">
        <f>IF(main!Y207="","",ROUND(main!Y207*100,6))</f>
        <v/>
      </c>
      <c r="N204" s="68" t="str">
        <f>IF(main!Z207="","",ROUND(main!Z207*100,6))</f>
        <v/>
      </c>
      <c r="O204" s="68" t="str">
        <f>IF(main!AA207="","",ROUND(main!AA207*100,6))</f>
        <v/>
      </c>
      <c r="P204" s="68" t="str">
        <f>IF(main!AB207="","",ROUND(main!AB207*100,6))</f>
        <v/>
      </c>
      <c r="Q204" s="68" t="str">
        <f>IF(main!AC207="","",ROUND(main!AC207*100,6))</f>
        <v/>
      </c>
      <c r="R204" s="68" t="str">
        <f>IF(main!AD207="","",ROUND(main!AD207*100,6))</f>
        <v/>
      </c>
      <c r="S204" s="68" t="str">
        <f>IF(main!AE207="","",ROUND(main!AE207*100,6))</f>
        <v/>
      </c>
      <c r="T204" s="68" t="str">
        <f>IF(main!AF207="","",ROUND(main!AF207*100,6))</f>
        <v/>
      </c>
      <c r="U204" s="68" t="str">
        <f>IF(main!AG207="","",ROUND(main!AG207*100,6))</f>
        <v/>
      </c>
      <c r="V204" s="68" t="str">
        <f>IF(main!AH207="","",ROUND(main!AH207*100,6))</f>
        <v/>
      </c>
      <c r="W204" s="68" t="str">
        <f>IF(main!AI207="","",ROUND(main!AI207*100,6))</f>
        <v/>
      </c>
      <c r="X204" s="68" t="str">
        <f>IF(main!AJ207="","",ROUND(main!AJ207*100,6))</f>
        <v/>
      </c>
      <c r="Y204" s="68" t="str">
        <f>IF(main!AK207="","",ROUND(main!AK207*100,6))</f>
        <v/>
      </c>
      <c r="Z204" s="68" t="str">
        <f>IF(main!AL207="","",ROUND(main!AL207*100,6))</f>
        <v/>
      </c>
      <c r="AA204" s="68" t="str">
        <f>IF(main!AM207="","",ROUND(main!AM207*100,6))</f>
        <v/>
      </c>
      <c r="AB204" s="68" t="str">
        <f>IF(main!AN207="","",ROUND(main!AN207*100,6))</f>
        <v/>
      </c>
      <c r="AC204" s="68" t="str">
        <f>IF(main!AO207="","",ROUND(main!AO207*100,6))</f>
        <v/>
      </c>
      <c r="AD204" s="68" t="str">
        <f>IF(main!AP207="","",ROUND(main!AP207*100,6))</f>
        <v/>
      </c>
      <c r="AE204" s="68" t="str">
        <f>IF(main!AQ207="","",ROUND(main!AQ207*100,6))</f>
        <v/>
      </c>
      <c r="AF204" s="68" t="str">
        <f>IF(main!AR207="","",ROUND(main!AR207*100,6))</f>
        <v/>
      </c>
      <c r="AG204" s="68" t="str">
        <f>IF(main!AS207="","",ROUND(main!AS207*100,6))</f>
        <v/>
      </c>
      <c r="AH204" s="68" t="str">
        <f>IF(main!AT207="","",ROUND(main!AT207*100,6))</f>
        <v/>
      </c>
      <c r="AI204" s="68" t="str">
        <f>IF(main!AU207="","",ROUND(main!AU207*100,6))</f>
        <v/>
      </c>
      <c r="AJ204" s="68" t="str">
        <f>IF(main!AV207="","",ROUND(main!AV207*100,6))</f>
        <v/>
      </c>
      <c r="AK204" s="68" t="str">
        <f>IF(main!AW207="","",ROUND(main!AW207*100,6))</f>
        <v/>
      </c>
      <c r="AL204" s="68" t="str">
        <f>IF(main!AX207="","",ROUND(main!AX207*100,6))</f>
        <v/>
      </c>
      <c r="AM204" s="68" t="str">
        <f>IF(main!AY207="","",ROUND(main!AY207*100,6))</f>
        <v/>
      </c>
      <c r="AN204" s="68" t="str">
        <f>IF(main!AZ207="","",ROUND(main!AZ207*100,6))</f>
        <v/>
      </c>
      <c r="AO204" s="68" t="str">
        <f>IF(main!BA207="","",ROUND(main!BA207*100,6))</f>
        <v/>
      </c>
      <c r="AP204" s="68" t="str">
        <f>IF(main!BB207="","",ROUND(main!BB207*100,6))</f>
        <v/>
      </c>
      <c r="AQ204" s="68" t="str">
        <f>IF(main!BC207="","",ROUND(main!BC207*100,6))</f>
        <v/>
      </c>
      <c r="AR204" s="68">
        <f>IF(main!BD207="","",ROUND(main!BD207*100,6))</f>
        <v>1.587302</v>
      </c>
      <c r="AS204" s="68">
        <f>IF(main!BE207="","",ROUND(main!BE207*100,6))</f>
        <v>11.111110999999999</v>
      </c>
      <c r="AT204" s="68">
        <f>IF(main!BF207="","",ROUND(main!BF207*100,6))</f>
        <v>11.111110999999999</v>
      </c>
      <c r="AU204" s="68">
        <f>IF(main!BG207="","",ROUND(main!BG207*100,6))</f>
        <v>9.5238099999999992</v>
      </c>
      <c r="AV204" s="68" t="str">
        <f>IF(main!BH207="","",ROUND(main!BH207*100,6))</f>
        <v/>
      </c>
      <c r="AW204" s="68" t="str">
        <f>IF(main!BI207="","",ROUND(main!BI207*100,6))</f>
        <v/>
      </c>
      <c r="AX204" s="68" t="str">
        <f>IF(main!BJ207="","",ROUND(main!BJ207*100,6))</f>
        <v/>
      </c>
      <c r="AY204" s="68" t="str">
        <f>IF(main!BK207="","",ROUND(main!BK207*100,6))</f>
        <v/>
      </c>
      <c r="AZ204" s="68">
        <f>IF(main!BL207="","",ROUND(main!BL207*100,6))</f>
        <v>6.4102560000000004</v>
      </c>
      <c r="BA204" s="68">
        <f>IF(main!BM207="","",ROUND(main!BM207*100,6))</f>
        <v>8.9743589999999998</v>
      </c>
      <c r="BB204" s="68">
        <f>IF(main!BN207="","",ROUND(main!BN207*100,6))</f>
        <v>8.9743589999999998</v>
      </c>
      <c r="BC204" s="68">
        <f>IF(main!BO207="","",ROUND(main!BO207*100,6))</f>
        <v>8.9743589999999998</v>
      </c>
      <c r="BD204" s="68">
        <f>IF(main!BP207="","",ROUND(main!BP207*100,6))</f>
        <v>6.4102560000000004</v>
      </c>
      <c r="BE204" s="68">
        <f>IF(main!BQ207="","",ROUND(main!BQ207*100,6))</f>
        <v>8.9743589999999998</v>
      </c>
      <c r="BF204" s="68">
        <f>IF(main!BR207="","",ROUND(main!BR207*100,6))</f>
        <v>8.9743589999999998</v>
      </c>
      <c r="BG204" s="68">
        <f>IF(main!BS207="","",ROUND(main!BS207*100,6))</f>
        <v>8.9743589999999998</v>
      </c>
      <c r="BH204" s="68" t="str">
        <f>IF(main!BT207="","",ROUND(main!BT207*100,6))</f>
        <v/>
      </c>
      <c r="BI204" s="68" t="str">
        <f>IF(main!BU207="","",ROUND(main!BU207*100,6))</f>
        <v/>
      </c>
      <c r="BJ204" s="68" t="str">
        <f>IF(main!BV207="","",ROUND(main!BV207*100,6))</f>
        <v/>
      </c>
      <c r="BK204" s="68" t="str">
        <f>IF(main!BW207="","",ROUND(main!BW207*100,6))</f>
        <v/>
      </c>
      <c r="BL204" s="68" t="str">
        <f>IF(main!BX207="","",ROUND(main!BX207*100,6))</f>
        <v/>
      </c>
      <c r="BM204" s="68" t="str">
        <f>IF(main!BY207="","",ROUND(main!BY207*100,6))</f>
        <v/>
      </c>
      <c r="BN204" s="68" t="str">
        <f>IF(main!BZ207="","",ROUND(main!BZ207*100,6))</f>
        <v/>
      </c>
      <c r="BO204" s="68" t="str">
        <f>IF(main!CA207="","",ROUND(main!CA207*100,6))</f>
        <v/>
      </c>
      <c r="BP204" s="68" t="str">
        <f>IF(main!CB207="","",ROUND(main!CB207*100,6))</f>
        <v/>
      </c>
      <c r="BQ204" s="68" t="str">
        <f>IF(main!CC207="","",ROUND(main!CC207*100,6))</f>
        <v/>
      </c>
      <c r="BR204" s="68" t="str">
        <f>IF(main!CD207="","",ROUND(main!CD207*100,6))</f>
        <v/>
      </c>
      <c r="BS204" s="68" t="str">
        <f>IF(main!CE207="","",ROUND(main!CE207*100,6))</f>
        <v/>
      </c>
      <c r="BT204" s="68" t="str">
        <f>IF(main!CF207="","",ROUND(main!CF207*100,6))</f>
        <v/>
      </c>
      <c r="BU204" s="68" t="str">
        <f>IF(main!CG207="","",ROUND(main!CG207*100,6))</f>
        <v/>
      </c>
      <c r="BV204" s="68" t="str">
        <f>IF(main!CH207="","",ROUND(main!CH207*100,6))</f>
        <v/>
      </c>
      <c r="BW204" s="68" t="str">
        <f>IF(main!CI207="","",ROUND(main!CI207*100,6))</f>
        <v/>
      </c>
      <c r="BX204" s="68" t="str">
        <f>IF(main!CJ207="","",ROUND(main!CJ207*100,6))</f>
        <v/>
      </c>
      <c r="BY204" s="68" t="str">
        <f>IF(main!CK207="","",ROUND(main!CK207*100,6))</f>
        <v/>
      </c>
      <c r="BZ204" s="68" t="str">
        <f>IF(main!CL207="","",ROUND(main!CL207*100,6))</f>
        <v/>
      </c>
      <c r="CA204" s="68" t="str">
        <f>IF(main!CM207="","",ROUND(main!CM207*100,6))</f>
        <v/>
      </c>
      <c r="CB204" s="68" t="str">
        <f>IF(main!CN207="","",ROUND(main!CN207*100,6))</f>
        <v/>
      </c>
      <c r="CC204" s="68" t="str">
        <f>IF(main!CO207="","",ROUND(main!CO207*100,6))</f>
        <v/>
      </c>
    </row>
    <row r="205" spans="1:81" x14ac:dyDescent="0.25">
      <c r="A205" s="65" t="s">
        <v>370</v>
      </c>
      <c r="B205" s="66" t="str">
        <f>main!C207</f>
        <v>Wall | Wall Fn.</v>
      </c>
      <c r="C205" s="67">
        <f>main!O207</f>
        <v>300000</v>
      </c>
      <c r="D205" s="65" t="s">
        <v>111</v>
      </c>
      <c r="E205" s="68" t="str">
        <f t="shared" si="3"/>
        <v/>
      </c>
      <c r="F205" s="68" t="str">
        <f>IF(main!R208="","",ROUND(main!R208*100,6))</f>
        <v/>
      </c>
      <c r="G205" s="68" t="str">
        <f>IF(main!S208="","",ROUND(main!S208*100,6))</f>
        <v/>
      </c>
      <c r="H205" s="68" t="str">
        <f>IF(main!T208="","",ROUND(main!T208*100,6))</f>
        <v/>
      </c>
      <c r="I205" s="68" t="str">
        <f>IF(main!U208="","",ROUND(main!U208*100,6))</f>
        <v/>
      </c>
      <c r="J205" s="68" t="str">
        <f>IF(main!V208="","",ROUND(main!V208*100,6))</f>
        <v/>
      </c>
      <c r="K205" s="68" t="str">
        <f>IF(main!W208="","",ROUND(main!W208*100,6))</f>
        <v/>
      </c>
      <c r="L205" s="68" t="str">
        <f>IF(main!X208="","",ROUND(main!X208*100,6))</f>
        <v/>
      </c>
      <c r="M205" s="68" t="str">
        <f>IF(main!Y208="","",ROUND(main!Y208*100,6))</f>
        <v/>
      </c>
      <c r="N205" s="68" t="str">
        <f>IF(main!Z208="","",ROUND(main!Z208*100,6))</f>
        <v/>
      </c>
      <c r="O205" s="68" t="str">
        <f>IF(main!AA208="","",ROUND(main!AA208*100,6))</f>
        <v/>
      </c>
      <c r="P205" s="68" t="str">
        <f>IF(main!AB208="","",ROUND(main!AB208*100,6))</f>
        <v/>
      </c>
      <c r="Q205" s="68" t="str">
        <f>IF(main!AC208="","",ROUND(main!AC208*100,6))</f>
        <v/>
      </c>
      <c r="R205" s="68" t="str">
        <f>IF(main!AD208="","",ROUND(main!AD208*100,6))</f>
        <v/>
      </c>
      <c r="S205" s="68" t="str">
        <f>IF(main!AE208="","",ROUND(main!AE208*100,6))</f>
        <v/>
      </c>
      <c r="T205" s="68" t="str">
        <f>IF(main!AF208="","",ROUND(main!AF208*100,6))</f>
        <v/>
      </c>
      <c r="U205" s="68" t="str">
        <f>IF(main!AG208="","",ROUND(main!AG208*100,6))</f>
        <v/>
      </c>
      <c r="V205" s="68" t="str">
        <f>IF(main!AH208="","",ROUND(main!AH208*100,6))</f>
        <v/>
      </c>
      <c r="W205" s="68" t="str">
        <f>IF(main!AI208="","",ROUND(main!AI208*100,6))</f>
        <v/>
      </c>
      <c r="X205" s="68" t="str">
        <f>IF(main!AJ208="","",ROUND(main!AJ208*100,6))</f>
        <v/>
      </c>
      <c r="Y205" s="68" t="str">
        <f>IF(main!AK208="","",ROUND(main!AK208*100,6))</f>
        <v/>
      </c>
      <c r="Z205" s="68" t="str">
        <f>IF(main!AL208="","",ROUND(main!AL208*100,6))</f>
        <v/>
      </c>
      <c r="AA205" s="68" t="str">
        <f>IF(main!AM208="","",ROUND(main!AM208*100,6))</f>
        <v/>
      </c>
      <c r="AB205" s="68" t="str">
        <f>IF(main!AN208="","",ROUND(main!AN208*100,6))</f>
        <v/>
      </c>
      <c r="AC205" s="68" t="str">
        <f>IF(main!AO208="","",ROUND(main!AO208*100,6))</f>
        <v/>
      </c>
      <c r="AD205" s="68" t="str">
        <f>IF(main!AP208="","",ROUND(main!AP208*100,6))</f>
        <v/>
      </c>
      <c r="AE205" s="68" t="str">
        <f>IF(main!AQ208="","",ROUND(main!AQ208*100,6))</f>
        <v/>
      </c>
      <c r="AF205" s="68" t="str">
        <f>IF(main!AR208="","",ROUND(main!AR208*100,6))</f>
        <v/>
      </c>
      <c r="AG205" s="68" t="str">
        <f>IF(main!AS208="","",ROUND(main!AS208*100,6))</f>
        <v/>
      </c>
      <c r="AH205" s="68" t="str">
        <f>IF(main!AT208="","",ROUND(main!AT208*100,6))</f>
        <v/>
      </c>
      <c r="AI205" s="68" t="str">
        <f>IF(main!AU208="","",ROUND(main!AU208*100,6))</f>
        <v/>
      </c>
      <c r="AJ205" s="68" t="str">
        <f>IF(main!AV208="","",ROUND(main!AV208*100,6))</f>
        <v/>
      </c>
      <c r="AK205" s="68" t="str">
        <f>IF(main!AW208="","",ROUND(main!AW208*100,6))</f>
        <v/>
      </c>
      <c r="AL205" s="68" t="str">
        <f>IF(main!AX208="","",ROUND(main!AX208*100,6))</f>
        <v/>
      </c>
      <c r="AM205" s="68" t="str">
        <f>IF(main!AY208="","",ROUND(main!AY208*100,6))</f>
        <v/>
      </c>
      <c r="AN205" s="68" t="str">
        <f>IF(main!AZ208="","",ROUND(main!AZ208*100,6))</f>
        <v/>
      </c>
      <c r="AO205" s="68" t="str">
        <f>IF(main!BA208="","",ROUND(main!BA208*100,6))</f>
        <v/>
      </c>
      <c r="AP205" s="68" t="str">
        <f>IF(main!BB208="","",ROUND(main!BB208*100,6))</f>
        <v/>
      </c>
      <c r="AQ205" s="68" t="str">
        <f>IF(main!BC208="","",ROUND(main!BC208*100,6))</f>
        <v/>
      </c>
      <c r="AR205" s="68" t="str">
        <f>IF(main!BD208="","",ROUND(main!BD208*100,6))</f>
        <v/>
      </c>
      <c r="AS205" s="68" t="str">
        <f>IF(main!BE208="","",ROUND(main!BE208*100,6))</f>
        <v/>
      </c>
      <c r="AT205" s="68" t="str">
        <f>IF(main!BF208="","",ROUND(main!BF208*100,6))</f>
        <v/>
      </c>
      <c r="AU205" s="68" t="str">
        <f>IF(main!BG208="","",ROUND(main!BG208*100,6))</f>
        <v/>
      </c>
      <c r="AV205" s="68" t="str">
        <f>IF(main!BH208="","",ROUND(main!BH208*100,6))</f>
        <v/>
      </c>
      <c r="AW205" s="68" t="str">
        <f>IF(main!BI208="","",ROUND(main!BI208*100,6))</f>
        <v/>
      </c>
      <c r="AX205" s="68" t="str">
        <f>IF(main!BJ208="","",ROUND(main!BJ208*100,6))</f>
        <v/>
      </c>
      <c r="AY205" s="68" t="str">
        <f>IF(main!BK208="","",ROUND(main!BK208*100,6))</f>
        <v/>
      </c>
      <c r="AZ205" s="68" t="str">
        <f>IF(main!BL208="","",ROUND(main!BL208*100,6))</f>
        <v/>
      </c>
      <c r="BA205" s="68" t="str">
        <f>IF(main!BM208="","",ROUND(main!BM208*100,6))</f>
        <v/>
      </c>
      <c r="BB205" s="68" t="str">
        <f>IF(main!BN208="","",ROUND(main!BN208*100,6))</f>
        <v/>
      </c>
      <c r="BC205" s="68" t="str">
        <f>IF(main!BO208="","",ROUND(main!BO208*100,6))</f>
        <v/>
      </c>
      <c r="BD205" s="68" t="str">
        <f>IF(main!BP208="","",ROUND(main!BP208*100,6))</f>
        <v/>
      </c>
      <c r="BE205" s="68" t="str">
        <f>IF(main!BQ208="","",ROUND(main!BQ208*100,6))</f>
        <v/>
      </c>
      <c r="BF205" s="68" t="str">
        <f>IF(main!BR208="","",ROUND(main!BR208*100,6))</f>
        <v/>
      </c>
      <c r="BG205" s="68" t="str">
        <f>IF(main!BS208="","",ROUND(main!BS208*100,6))</f>
        <v/>
      </c>
      <c r="BH205" s="68" t="str">
        <f>IF(main!BT208="","",ROUND(main!BT208*100,6))</f>
        <v/>
      </c>
      <c r="BI205" s="68" t="str">
        <f>IF(main!BU208="","",ROUND(main!BU208*100,6))</f>
        <v/>
      </c>
      <c r="BJ205" s="68" t="str">
        <f>IF(main!BV208="","",ROUND(main!BV208*100,6))</f>
        <v/>
      </c>
      <c r="BK205" s="68" t="str">
        <f>IF(main!BW208="","",ROUND(main!BW208*100,6))</f>
        <v/>
      </c>
      <c r="BL205" s="68" t="str">
        <f>IF(main!BX208="","",ROUND(main!BX208*100,6))</f>
        <v/>
      </c>
      <c r="BM205" s="68" t="str">
        <f>IF(main!BY208="","",ROUND(main!BY208*100,6))</f>
        <v/>
      </c>
      <c r="BN205" s="68" t="str">
        <f>IF(main!BZ208="","",ROUND(main!BZ208*100,6))</f>
        <v/>
      </c>
      <c r="BO205" s="68" t="str">
        <f>IF(main!CA208="","",ROUND(main!CA208*100,6))</f>
        <v/>
      </c>
      <c r="BP205" s="68" t="str">
        <f>IF(main!CB208="","",ROUND(main!CB208*100,6))</f>
        <v/>
      </c>
      <c r="BQ205" s="68" t="str">
        <f>IF(main!CC208="","",ROUND(main!CC208*100,6))</f>
        <v/>
      </c>
      <c r="BR205" s="68" t="str">
        <f>IF(main!CD208="","",ROUND(main!CD208*100,6))</f>
        <v/>
      </c>
      <c r="BS205" s="68" t="str">
        <f>IF(main!CE208="","",ROUND(main!CE208*100,6))</f>
        <v/>
      </c>
      <c r="BT205" s="68" t="str">
        <f>IF(main!CF208="","",ROUND(main!CF208*100,6))</f>
        <v/>
      </c>
      <c r="BU205" s="68" t="str">
        <f>IF(main!CG208="","",ROUND(main!CG208*100,6))</f>
        <v/>
      </c>
      <c r="BV205" s="68" t="str">
        <f>IF(main!CH208="","",ROUND(main!CH208*100,6))</f>
        <v/>
      </c>
      <c r="BW205" s="68" t="str">
        <f>IF(main!CI208="","",ROUND(main!CI208*100,6))</f>
        <v/>
      </c>
      <c r="BX205" s="68" t="str">
        <f>IF(main!CJ208="","",ROUND(main!CJ208*100,6))</f>
        <v/>
      </c>
      <c r="BY205" s="68" t="str">
        <f>IF(main!CK208="","",ROUND(main!CK208*100,6))</f>
        <v/>
      </c>
      <c r="BZ205" s="68" t="str">
        <f>IF(main!CL208="","",ROUND(main!CL208*100,6))</f>
        <v/>
      </c>
      <c r="CA205" s="68" t="str">
        <f>IF(main!CM208="","",ROUND(main!CM208*100,6))</f>
        <v/>
      </c>
      <c r="CB205" s="68" t="str">
        <f>IF(main!CN208="","",ROUND(main!CN208*100,6))</f>
        <v/>
      </c>
      <c r="CC205" s="68" t="str">
        <f>IF(main!CO208="","",ROUND(main!CO208*100,6))</f>
        <v/>
      </c>
    </row>
    <row r="206" spans="1:81" x14ac:dyDescent="0.25">
      <c r="A206" s="65" t="s">
        <v>371</v>
      </c>
      <c r="B206" s="66" t="str">
        <f>main!C209</f>
        <v>งานก่ออิฐมวลเบา ฉาบเรียบ</v>
      </c>
      <c r="C206" s="67">
        <f>main!O209</f>
        <v>100000</v>
      </c>
      <c r="D206" s="65" t="s">
        <v>110</v>
      </c>
      <c r="E206" s="68">
        <f t="shared" si="3"/>
        <v>100</v>
      </c>
      <c r="F206" s="68" t="str">
        <f>IF(main!R209="","",ROUND(main!R209*100,6))</f>
        <v/>
      </c>
      <c r="G206" s="68" t="str">
        <f>IF(main!S209="","",ROUND(main!S209*100,6))</f>
        <v/>
      </c>
      <c r="H206" s="68" t="str">
        <f>IF(main!T209="","",ROUND(main!T209*100,6))</f>
        <v/>
      </c>
      <c r="I206" s="68" t="str">
        <f>IF(main!U209="","",ROUND(main!U209*100,6))</f>
        <v/>
      </c>
      <c r="J206" s="68" t="str">
        <f>IF(main!V209="","",ROUND(main!V209*100,6))</f>
        <v/>
      </c>
      <c r="K206" s="68" t="str">
        <f>IF(main!W209="","",ROUND(main!W209*100,6))</f>
        <v/>
      </c>
      <c r="L206" s="68" t="str">
        <f>IF(main!X209="","",ROUND(main!X209*100,6))</f>
        <v/>
      </c>
      <c r="M206" s="68" t="str">
        <f>IF(main!Y209="","",ROUND(main!Y209*100,6))</f>
        <v/>
      </c>
      <c r="N206" s="68" t="str">
        <f>IF(main!Z209="","",ROUND(main!Z209*100,6))</f>
        <v/>
      </c>
      <c r="O206" s="68" t="str">
        <f>IF(main!AA209="","",ROUND(main!AA209*100,6))</f>
        <v/>
      </c>
      <c r="P206" s="68" t="str">
        <f>IF(main!AB209="","",ROUND(main!AB209*100,6))</f>
        <v/>
      </c>
      <c r="Q206" s="68" t="str">
        <f>IF(main!AC209="","",ROUND(main!AC209*100,6))</f>
        <v/>
      </c>
      <c r="R206" s="68" t="str">
        <f>IF(main!AD209="","",ROUND(main!AD209*100,6))</f>
        <v/>
      </c>
      <c r="S206" s="68" t="str">
        <f>IF(main!AE209="","",ROUND(main!AE209*100,6))</f>
        <v/>
      </c>
      <c r="T206" s="68" t="str">
        <f>IF(main!AF209="","",ROUND(main!AF209*100,6))</f>
        <v/>
      </c>
      <c r="U206" s="68" t="str">
        <f>IF(main!AG209="","",ROUND(main!AG209*100,6))</f>
        <v/>
      </c>
      <c r="V206" s="68" t="str">
        <f>IF(main!AH209="","",ROUND(main!AH209*100,6))</f>
        <v/>
      </c>
      <c r="W206" s="68" t="str">
        <f>IF(main!AI209="","",ROUND(main!AI209*100,6))</f>
        <v/>
      </c>
      <c r="X206" s="68" t="str">
        <f>IF(main!AJ209="","",ROUND(main!AJ209*100,6))</f>
        <v/>
      </c>
      <c r="Y206" s="68" t="str">
        <f>IF(main!AK209="","",ROUND(main!AK209*100,6))</f>
        <v/>
      </c>
      <c r="Z206" s="68" t="str">
        <f>IF(main!AL209="","",ROUND(main!AL209*100,6))</f>
        <v/>
      </c>
      <c r="AA206" s="68" t="str">
        <f>IF(main!AM209="","",ROUND(main!AM209*100,6))</f>
        <v/>
      </c>
      <c r="AB206" s="68" t="str">
        <f>IF(main!AN209="","",ROUND(main!AN209*100,6))</f>
        <v/>
      </c>
      <c r="AC206" s="68" t="str">
        <f>IF(main!AO209="","",ROUND(main!AO209*100,6))</f>
        <v/>
      </c>
      <c r="AD206" s="68" t="str">
        <f>IF(main!AP209="","",ROUND(main!AP209*100,6))</f>
        <v/>
      </c>
      <c r="AE206" s="68" t="str">
        <f>IF(main!AQ209="","",ROUND(main!AQ209*100,6))</f>
        <v/>
      </c>
      <c r="AF206" s="68" t="str">
        <f>IF(main!AR209="","",ROUND(main!AR209*100,6))</f>
        <v/>
      </c>
      <c r="AG206" s="68" t="str">
        <f>IF(main!AS209="","",ROUND(main!AS209*100,6))</f>
        <v/>
      </c>
      <c r="AH206" s="68" t="str">
        <f>IF(main!AT209="","",ROUND(main!AT209*100,6))</f>
        <v/>
      </c>
      <c r="AI206" s="68" t="str">
        <f>IF(main!AU209="","",ROUND(main!AU209*100,6))</f>
        <v/>
      </c>
      <c r="AJ206" s="68" t="str">
        <f>IF(main!AV209="","",ROUND(main!AV209*100,6))</f>
        <v/>
      </c>
      <c r="AK206" s="68" t="str">
        <f>IF(main!AW209="","",ROUND(main!AW209*100,6))</f>
        <v/>
      </c>
      <c r="AL206" s="68" t="str">
        <f>IF(main!AX209="","",ROUND(main!AX209*100,6))</f>
        <v/>
      </c>
      <c r="AM206" s="68" t="str">
        <f>IF(main!AY209="","",ROUND(main!AY209*100,6))</f>
        <v/>
      </c>
      <c r="AN206" s="68" t="str">
        <f>IF(main!AZ209="","",ROUND(main!AZ209*100,6))</f>
        <v/>
      </c>
      <c r="AO206" s="68" t="str">
        <f>IF(main!BA209="","",ROUND(main!BA209*100,6))</f>
        <v/>
      </c>
      <c r="AP206" s="68" t="str">
        <f>IF(main!BB209="","",ROUND(main!BB209*100,6))</f>
        <v/>
      </c>
      <c r="AQ206" s="68" t="str">
        <f>IF(main!BC209="","",ROUND(main!BC209*100,6))</f>
        <v/>
      </c>
      <c r="AR206" s="68" t="str">
        <f>IF(main!BD209="","",ROUND(main!BD209*100,6))</f>
        <v/>
      </c>
      <c r="AS206" s="68" t="str">
        <f>IF(main!BE209="","",ROUND(main!BE209*100,6))</f>
        <v/>
      </c>
      <c r="AT206" s="68" t="str">
        <f>IF(main!BF209="","",ROUND(main!BF209*100,6))</f>
        <v/>
      </c>
      <c r="AU206" s="68" t="str">
        <f>IF(main!BG209="","",ROUND(main!BG209*100,6))</f>
        <v/>
      </c>
      <c r="AV206" s="68" t="str">
        <f>IF(main!BH209="","",ROUND(main!BH209*100,6))</f>
        <v/>
      </c>
      <c r="AW206" s="68" t="str">
        <f>IF(main!BI209="","",ROUND(main!BI209*100,6))</f>
        <v/>
      </c>
      <c r="AX206" s="68" t="str">
        <f>IF(main!BJ209="","",ROUND(main!BJ209*100,6))</f>
        <v/>
      </c>
      <c r="AY206" s="68" t="str">
        <f>IF(main!BK209="","",ROUND(main!BK209*100,6))</f>
        <v/>
      </c>
      <c r="AZ206" s="68">
        <f>IF(main!BL209="","",ROUND(main!BL209*100,6))</f>
        <v>19.230768999999999</v>
      </c>
      <c r="BA206" s="68">
        <f>IF(main!BM209="","",ROUND(main!BM209*100,6))</f>
        <v>26.923076999999999</v>
      </c>
      <c r="BB206" s="68">
        <f>IF(main!BN209="","",ROUND(main!BN209*100,6))</f>
        <v>26.923076999999999</v>
      </c>
      <c r="BC206" s="68">
        <f>IF(main!BO209="","",ROUND(main!BO209*100,6))</f>
        <v>26.923076999999999</v>
      </c>
      <c r="BD206" s="68" t="str">
        <f>IF(main!BP209="","",ROUND(main!BP209*100,6))</f>
        <v/>
      </c>
      <c r="BE206" s="68" t="str">
        <f>IF(main!BQ209="","",ROUND(main!BQ209*100,6))</f>
        <v/>
      </c>
      <c r="BF206" s="68" t="str">
        <f>IF(main!BR209="","",ROUND(main!BR209*100,6))</f>
        <v/>
      </c>
      <c r="BG206" s="68" t="str">
        <f>IF(main!BS209="","",ROUND(main!BS209*100,6))</f>
        <v/>
      </c>
      <c r="BH206" s="68" t="str">
        <f>IF(main!BT209="","",ROUND(main!BT209*100,6))</f>
        <v/>
      </c>
      <c r="BI206" s="68" t="str">
        <f>IF(main!BU209="","",ROUND(main!BU209*100,6))</f>
        <v/>
      </c>
      <c r="BJ206" s="68" t="str">
        <f>IF(main!BV209="","",ROUND(main!BV209*100,6))</f>
        <v/>
      </c>
      <c r="BK206" s="68" t="str">
        <f>IF(main!BW209="","",ROUND(main!BW209*100,6))</f>
        <v/>
      </c>
      <c r="BL206" s="68" t="str">
        <f>IF(main!BX209="","",ROUND(main!BX209*100,6))</f>
        <v/>
      </c>
      <c r="BM206" s="68" t="str">
        <f>IF(main!BY209="","",ROUND(main!BY209*100,6))</f>
        <v/>
      </c>
      <c r="BN206" s="68" t="str">
        <f>IF(main!BZ209="","",ROUND(main!BZ209*100,6))</f>
        <v/>
      </c>
      <c r="BO206" s="68" t="str">
        <f>IF(main!CA209="","",ROUND(main!CA209*100,6))</f>
        <v/>
      </c>
      <c r="BP206" s="68" t="str">
        <f>IF(main!CB209="","",ROUND(main!CB209*100,6))</f>
        <v/>
      </c>
      <c r="BQ206" s="68" t="str">
        <f>IF(main!CC209="","",ROUND(main!CC209*100,6))</f>
        <v/>
      </c>
      <c r="BR206" s="68" t="str">
        <f>IF(main!CD209="","",ROUND(main!CD209*100,6))</f>
        <v/>
      </c>
      <c r="BS206" s="68" t="str">
        <f>IF(main!CE209="","",ROUND(main!CE209*100,6))</f>
        <v/>
      </c>
      <c r="BT206" s="68" t="str">
        <f>IF(main!CF209="","",ROUND(main!CF209*100,6))</f>
        <v/>
      </c>
      <c r="BU206" s="68" t="str">
        <f>IF(main!CG209="","",ROUND(main!CG209*100,6))</f>
        <v/>
      </c>
      <c r="BV206" s="68" t="str">
        <f>IF(main!CH209="","",ROUND(main!CH209*100,6))</f>
        <v/>
      </c>
      <c r="BW206" s="68" t="str">
        <f>IF(main!CI209="","",ROUND(main!CI209*100,6))</f>
        <v/>
      </c>
      <c r="BX206" s="68" t="str">
        <f>IF(main!CJ209="","",ROUND(main!CJ209*100,6))</f>
        <v/>
      </c>
      <c r="BY206" s="68" t="str">
        <f>IF(main!CK209="","",ROUND(main!CK209*100,6))</f>
        <v/>
      </c>
      <c r="BZ206" s="68" t="str">
        <f>IF(main!CL209="","",ROUND(main!CL209*100,6))</f>
        <v/>
      </c>
      <c r="CA206" s="68" t="str">
        <f>IF(main!CM209="","",ROUND(main!CM209*100,6))</f>
        <v/>
      </c>
      <c r="CB206" s="68" t="str">
        <f>IF(main!CN209="","",ROUND(main!CN209*100,6))</f>
        <v/>
      </c>
      <c r="CC206" s="68" t="str">
        <f>IF(main!CO209="","",ROUND(main!CO209*100,6))</f>
        <v/>
      </c>
    </row>
    <row r="207" spans="1:81" x14ac:dyDescent="0.25">
      <c r="A207" s="65" t="s">
        <v>371</v>
      </c>
      <c r="B207" s="66" t="str">
        <f>main!C209</f>
        <v>งานก่ออิฐมวลเบา ฉาบเรียบ</v>
      </c>
      <c r="C207" s="67">
        <f>main!O209</f>
        <v>100000</v>
      </c>
      <c r="D207" s="65" t="s">
        <v>111</v>
      </c>
      <c r="E207" s="68" t="str">
        <f t="shared" si="3"/>
        <v/>
      </c>
      <c r="F207" s="68" t="str">
        <f>IF(main!R210="","",ROUND(main!R210*100,6))</f>
        <v/>
      </c>
      <c r="G207" s="68" t="str">
        <f>IF(main!S210="","",ROUND(main!S210*100,6))</f>
        <v/>
      </c>
      <c r="H207" s="68" t="str">
        <f>IF(main!T210="","",ROUND(main!T210*100,6))</f>
        <v/>
      </c>
      <c r="I207" s="68" t="str">
        <f>IF(main!U210="","",ROUND(main!U210*100,6))</f>
        <v/>
      </c>
      <c r="J207" s="68" t="str">
        <f>IF(main!V210="","",ROUND(main!V210*100,6))</f>
        <v/>
      </c>
      <c r="K207" s="68" t="str">
        <f>IF(main!W210="","",ROUND(main!W210*100,6))</f>
        <v/>
      </c>
      <c r="L207" s="68" t="str">
        <f>IF(main!X210="","",ROUND(main!X210*100,6))</f>
        <v/>
      </c>
      <c r="M207" s="68" t="str">
        <f>IF(main!Y210="","",ROUND(main!Y210*100,6))</f>
        <v/>
      </c>
      <c r="N207" s="68" t="str">
        <f>IF(main!Z210="","",ROUND(main!Z210*100,6))</f>
        <v/>
      </c>
      <c r="O207" s="68" t="str">
        <f>IF(main!AA210="","",ROUND(main!AA210*100,6))</f>
        <v/>
      </c>
      <c r="P207" s="68" t="str">
        <f>IF(main!AB210="","",ROUND(main!AB210*100,6))</f>
        <v/>
      </c>
      <c r="Q207" s="68" t="str">
        <f>IF(main!AC210="","",ROUND(main!AC210*100,6))</f>
        <v/>
      </c>
      <c r="R207" s="68" t="str">
        <f>IF(main!AD210="","",ROUND(main!AD210*100,6))</f>
        <v/>
      </c>
      <c r="S207" s="68" t="str">
        <f>IF(main!AE210="","",ROUND(main!AE210*100,6))</f>
        <v/>
      </c>
      <c r="T207" s="68" t="str">
        <f>IF(main!AF210="","",ROUND(main!AF210*100,6))</f>
        <v/>
      </c>
      <c r="U207" s="68" t="str">
        <f>IF(main!AG210="","",ROUND(main!AG210*100,6))</f>
        <v/>
      </c>
      <c r="V207" s="68" t="str">
        <f>IF(main!AH210="","",ROUND(main!AH210*100,6))</f>
        <v/>
      </c>
      <c r="W207" s="68" t="str">
        <f>IF(main!AI210="","",ROUND(main!AI210*100,6))</f>
        <v/>
      </c>
      <c r="X207" s="68" t="str">
        <f>IF(main!AJ210="","",ROUND(main!AJ210*100,6))</f>
        <v/>
      </c>
      <c r="Y207" s="68" t="str">
        <f>IF(main!AK210="","",ROUND(main!AK210*100,6))</f>
        <v/>
      </c>
      <c r="Z207" s="68" t="str">
        <f>IF(main!AL210="","",ROUND(main!AL210*100,6))</f>
        <v/>
      </c>
      <c r="AA207" s="68" t="str">
        <f>IF(main!AM210="","",ROUND(main!AM210*100,6))</f>
        <v/>
      </c>
      <c r="AB207" s="68" t="str">
        <f>IF(main!AN210="","",ROUND(main!AN210*100,6))</f>
        <v/>
      </c>
      <c r="AC207" s="68" t="str">
        <f>IF(main!AO210="","",ROUND(main!AO210*100,6))</f>
        <v/>
      </c>
      <c r="AD207" s="68" t="str">
        <f>IF(main!AP210="","",ROUND(main!AP210*100,6))</f>
        <v/>
      </c>
      <c r="AE207" s="68" t="str">
        <f>IF(main!AQ210="","",ROUND(main!AQ210*100,6))</f>
        <v/>
      </c>
      <c r="AF207" s="68" t="str">
        <f>IF(main!AR210="","",ROUND(main!AR210*100,6))</f>
        <v/>
      </c>
      <c r="AG207" s="68" t="str">
        <f>IF(main!AS210="","",ROUND(main!AS210*100,6))</f>
        <v/>
      </c>
      <c r="AH207" s="68" t="str">
        <f>IF(main!AT210="","",ROUND(main!AT210*100,6))</f>
        <v/>
      </c>
      <c r="AI207" s="68" t="str">
        <f>IF(main!AU210="","",ROUND(main!AU210*100,6))</f>
        <v/>
      </c>
      <c r="AJ207" s="68" t="str">
        <f>IF(main!AV210="","",ROUND(main!AV210*100,6))</f>
        <v/>
      </c>
      <c r="AK207" s="68" t="str">
        <f>IF(main!AW210="","",ROUND(main!AW210*100,6))</f>
        <v/>
      </c>
      <c r="AL207" s="68" t="str">
        <f>IF(main!AX210="","",ROUND(main!AX210*100,6))</f>
        <v/>
      </c>
      <c r="AM207" s="68" t="str">
        <f>IF(main!AY210="","",ROUND(main!AY210*100,6))</f>
        <v/>
      </c>
      <c r="AN207" s="68" t="str">
        <f>IF(main!AZ210="","",ROUND(main!AZ210*100,6))</f>
        <v/>
      </c>
      <c r="AO207" s="68" t="str">
        <f>IF(main!BA210="","",ROUND(main!BA210*100,6))</f>
        <v/>
      </c>
      <c r="AP207" s="68" t="str">
        <f>IF(main!BB210="","",ROUND(main!BB210*100,6))</f>
        <v/>
      </c>
      <c r="AQ207" s="68" t="str">
        <f>IF(main!BC210="","",ROUND(main!BC210*100,6))</f>
        <v/>
      </c>
      <c r="AR207" s="68" t="str">
        <f>IF(main!BD210="","",ROUND(main!BD210*100,6))</f>
        <v/>
      </c>
      <c r="AS207" s="68" t="str">
        <f>IF(main!BE210="","",ROUND(main!BE210*100,6))</f>
        <v/>
      </c>
      <c r="AT207" s="68" t="str">
        <f>IF(main!BF210="","",ROUND(main!BF210*100,6))</f>
        <v/>
      </c>
      <c r="AU207" s="68" t="str">
        <f>IF(main!BG210="","",ROUND(main!BG210*100,6))</f>
        <v/>
      </c>
      <c r="AV207" s="68" t="str">
        <f>IF(main!BH210="","",ROUND(main!BH210*100,6))</f>
        <v/>
      </c>
      <c r="AW207" s="68" t="str">
        <f>IF(main!BI210="","",ROUND(main!BI210*100,6))</f>
        <v/>
      </c>
      <c r="AX207" s="68" t="str">
        <f>IF(main!BJ210="","",ROUND(main!BJ210*100,6))</f>
        <v/>
      </c>
      <c r="AY207" s="68" t="str">
        <f>IF(main!BK210="","",ROUND(main!BK210*100,6))</f>
        <v/>
      </c>
      <c r="AZ207" s="68" t="str">
        <f>IF(main!BL210="","",ROUND(main!BL210*100,6))</f>
        <v/>
      </c>
      <c r="BA207" s="68" t="str">
        <f>IF(main!BM210="","",ROUND(main!BM210*100,6))</f>
        <v/>
      </c>
      <c r="BB207" s="68" t="str">
        <f>IF(main!BN210="","",ROUND(main!BN210*100,6))</f>
        <v/>
      </c>
      <c r="BC207" s="68" t="str">
        <f>IF(main!BO210="","",ROUND(main!BO210*100,6))</f>
        <v/>
      </c>
      <c r="BD207" s="68" t="str">
        <f>IF(main!BP210="","",ROUND(main!BP210*100,6))</f>
        <v/>
      </c>
      <c r="BE207" s="68" t="str">
        <f>IF(main!BQ210="","",ROUND(main!BQ210*100,6))</f>
        <v/>
      </c>
      <c r="BF207" s="68" t="str">
        <f>IF(main!BR210="","",ROUND(main!BR210*100,6))</f>
        <v/>
      </c>
      <c r="BG207" s="68" t="str">
        <f>IF(main!BS210="","",ROUND(main!BS210*100,6))</f>
        <v/>
      </c>
      <c r="BH207" s="68" t="str">
        <f>IF(main!BT210="","",ROUND(main!BT210*100,6))</f>
        <v/>
      </c>
      <c r="BI207" s="68" t="str">
        <f>IF(main!BU210="","",ROUND(main!BU210*100,6))</f>
        <v/>
      </c>
      <c r="BJ207" s="68" t="str">
        <f>IF(main!BV210="","",ROUND(main!BV210*100,6))</f>
        <v/>
      </c>
      <c r="BK207" s="68" t="str">
        <f>IF(main!BW210="","",ROUND(main!BW210*100,6))</f>
        <v/>
      </c>
      <c r="BL207" s="68" t="str">
        <f>IF(main!BX210="","",ROUND(main!BX210*100,6))</f>
        <v/>
      </c>
      <c r="BM207" s="68" t="str">
        <f>IF(main!BY210="","",ROUND(main!BY210*100,6))</f>
        <v/>
      </c>
      <c r="BN207" s="68" t="str">
        <f>IF(main!BZ210="","",ROUND(main!BZ210*100,6))</f>
        <v/>
      </c>
      <c r="BO207" s="68" t="str">
        <f>IF(main!CA210="","",ROUND(main!CA210*100,6))</f>
        <v/>
      </c>
      <c r="BP207" s="68" t="str">
        <f>IF(main!CB210="","",ROUND(main!CB210*100,6))</f>
        <v/>
      </c>
      <c r="BQ207" s="68" t="str">
        <f>IF(main!CC210="","",ROUND(main!CC210*100,6))</f>
        <v/>
      </c>
      <c r="BR207" s="68" t="str">
        <f>IF(main!CD210="","",ROUND(main!CD210*100,6))</f>
        <v/>
      </c>
      <c r="BS207" s="68" t="str">
        <f>IF(main!CE210="","",ROUND(main!CE210*100,6))</f>
        <v/>
      </c>
      <c r="BT207" s="68" t="str">
        <f>IF(main!CF210="","",ROUND(main!CF210*100,6))</f>
        <v/>
      </c>
      <c r="BU207" s="68" t="str">
        <f>IF(main!CG210="","",ROUND(main!CG210*100,6))</f>
        <v/>
      </c>
      <c r="BV207" s="68" t="str">
        <f>IF(main!CH210="","",ROUND(main!CH210*100,6))</f>
        <v/>
      </c>
      <c r="BW207" s="68" t="str">
        <f>IF(main!CI210="","",ROUND(main!CI210*100,6))</f>
        <v/>
      </c>
      <c r="BX207" s="68" t="str">
        <f>IF(main!CJ210="","",ROUND(main!CJ210*100,6))</f>
        <v/>
      </c>
      <c r="BY207" s="68" t="str">
        <f>IF(main!CK210="","",ROUND(main!CK210*100,6))</f>
        <v/>
      </c>
      <c r="BZ207" s="68" t="str">
        <f>IF(main!CL210="","",ROUND(main!CL210*100,6))</f>
        <v/>
      </c>
      <c r="CA207" s="68" t="str">
        <f>IF(main!CM210="","",ROUND(main!CM210*100,6))</f>
        <v/>
      </c>
      <c r="CB207" s="68" t="str">
        <f>IF(main!CN210="","",ROUND(main!CN210*100,6))</f>
        <v/>
      </c>
      <c r="CC207" s="68" t="str">
        <f>IF(main!CO210="","",ROUND(main!CO210*100,6))</f>
        <v/>
      </c>
    </row>
    <row r="208" spans="1:81" x14ac:dyDescent="0.25">
      <c r="A208" s="65" t="s">
        <v>373</v>
      </c>
      <c r="B208" s="66" t="str">
        <f>main!C211</f>
        <v>งานกรุกระเบื้องโมเสค ผนังห้องน้ำ</v>
      </c>
      <c r="C208" s="67">
        <f>main!O211</f>
        <v>100000</v>
      </c>
      <c r="D208" s="65" t="s">
        <v>110</v>
      </c>
      <c r="E208" s="68">
        <f t="shared" si="3"/>
        <v>100</v>
      </c>
      <c r="F208" s="68" t="str">
        <f>IF(main!R211="","",ROUND(main!R211*100,6))</f>
        <v/>
      </c>
      <c r="G208" s="68" t="str">
        <f>IF(main!S211="","",ROUND(main!S211*100,6))</f>
        <v/>
      </c>
      <c r="H208" s="68" t="str">
        <f>IF(main!T211="","",ROUND(main!T211*100,6))</f>
        <v/>
      </c>
      <c r="I208" s="68" t="str">
        <f>IF(main!U211="","",ROUND(main!U211*100,6))</f>
        <v/>
      </c>
      <c r="J208" s="68" t="str">
        <f>IF(main!V211="","",ROUND(main!V211*100,6))</f>
        <v/>
      </c>
      <c r="K208" s="68" t="str">
        <f>IF(main!W211="","",ROUND(main!W211*100,6))</f>
        <v/>
      </c>
      <c r="L208" s="68" t="str">
        <f>IF(main!X211="","",ROUND(main!X211*100,6))</f>
        <v/>
      </c>
      <c r="M208" s="68" t="str">
        <f>IF(main!Y211="","",ROUND(main!Y211*100,6))</f>
        <v/>
      </c>
      <c r="N208" s="68" t="str">
        <f>IF(main!Z211="","",ROUND(main!Z211*100,6))</f>
        <v/>
      </c>
      <c r="O208" s="68" t="str">
        <f>IF(main!AA211="","",ROUND(main!AA211*100,6))</f>
        <v/>
      </c>
      <c r="P208" s="68" t="str">
        <f>IF(main!AB211="","",ROUND(main!AB211*100,6))</f>
        <v/>
      </c>
      <c r="Q208" s="68" t="str">
        <f>IF(main!AC211="","",ROUND(main!AC211*100,6))</f>
        <v/>
      </c>
      <c r="R208" s="68" t="str">
        <f>IF(main!AD211="","",ROUND(main!AD211*100,6))</f>
        <v/>
      </c>
      <c r="S208" s="68" t="str">
        <f>IF(main!AE211="","",ROUND(main!AE211*100,6))</f>
        <v/>
      </c>
      <c r="T208" s="68" t="str">
        <f>IF(main!AF211="","",ROUND(main!AF211*100,6))</f>
        <v/>
      </c>
      <c r="U208" s="68" t="str">
        <f>IF(main!AG211="","",ROUND(main!AG211*100,6))</f>
        <v/>
      </c>
      <c r="V208" s="68" t="str">
        <f>IF(main!AH211="","",ROUND(main!AH211*100,6))</f>
        <v/>
      </c>
      <c r="W208" s="68" t="str">
        <f>IF(main!AI211="","",ROUND(main!AI211*100,6))</f>
        <v/>
      </c>
      <c r="X208" s="68" t="str">
        <f>IF(main!AJ211="","",ROUND(main!AJ211*100,6))</f>
        <v/>
      </c>
      <c r="Y208" s="68" t="str">
        <f>IF(main!AK211="","",ROUND(main!AK211*100,6))</f>
        <v/>
      </c>
      <c r="Z208" s="68" t="str">
        <f>IF(main!AL211="","",ROUND(main!AL211*100,6))</f>
        <v/>
      </c>
      <c r="AA208" s="68" t="str">
        <f>IF(main!AM211="","",ROUND(main!AM211*100,6))</f>
        <v/>
      </c>
      <c r="AB208" s="68" t="str">
        <f>IF(main!AN211="","",ROUND(main!AN211*100,6))</f>
        <v/>
      </c>
      <c r="AC208" s="68" t="str">
        <f>IF(main!AO211="","",ROUND(main!AO211*100,6))</f>
        <v/>
      </c>
      <c r="AD208" s="68" t="str">
        <f>IF(main!AP211="","",ROUND(main!AP211*100,6))</f>
        <v/>
      </c>
      <c r="AE208" s="68" t="str">
        <f>IF(main!AQ211="","",ROUND(main!AQ211*100,6))</f>
        <v/>
      </c>
      <c r="AF208" s="68" t="str">
        <f>IF(main!AR211="","",ROUND(main!AR211*100,6))</f>
        <v/>
      </c>
      <c r="AG208" s="68" t="str">
        <f>IF(main!AS211="","",ROUND(main!AS211*100,6))</f>
        <v/>
      </c>
      <c r="AH208" s="68" t="str">
        <f>IF(main!AT211="","",ROUND(main!AT211*100,6))</f>
        <v/>
      </c>
      <c r="AI208" s="68" t="str">
        <f>IF(main!AU211="","",ROUND(main!AU211*100,6))</f>
        <v/>
      </c>
      <c r="AJ208" s="68" t="str">
        <f>IF(main!AV211="","",ROUND(main!AV211*100,6))</f>
        <v/>
      </c>
      <c r="AK208" s="68" t="str">
        <f>IF(main!AW211="","",ROUND(main!AW211*100,6))</f>
        <v/>
      </c>
      <c r="AL208" s="68" t="str">
        <f>IF(main!AX211="","",ROUND(main!AX211*100,6))</f>
        <v/>
      </c>
      <c r="AM208" s="68" t="str">
        <f>IF(main!AY211="","",ROUND(main!AY211*100,6))</f>
        <v/>
      </c>
      <c r="AN208" s="68" t="str">
        <f>IF(main!AZ211="","",ROUND(main!AZ211*100,6))</f>
        <v/>
      </c>
      <c r="AO208" s="68" t="str">
        <f>IF(main!BA211="","",ROUND(main!BA211*100,6))</f>
        <v/>
      </c>
      <c r="AP208" s="68" t="str">
        <f>IF(main!BB211="","",ROUND(main!BB211*100,6))</f>
        <v/>
      </c>
      <c r="AQ208" s="68" t="str">
        <f>IF(main!BC211="","",ROUND(main!BC211*100,6))</f>
        <v/>
      </c>
      <c r="AR208" s="68" t="str">
        <f>IF(main!BD211="","",ROUND(main!BD211*100,6))</f>
        <v/>
      </c>
      <c r="AS208" s="68" t="str">
        <f>IF(main!BE211="","",ROUND(main!BE211*100,6))</f>
        <v/>
      </c>
      <c r="AT208" s="68" t="str">
        <f>IF(main!BF211="","",ROUND(main!BF211*100,6))</f>
        <v/>
      </c>
      <c r="AU208" s="68" t="str">
        <f>IF(main!BG211="","",ROUND(main!BG211*100,6))</f>
        <v/>
      </c>
      <c r="AV208" s="68" t="str">
        <f>IF(main!BH211="","",ROUND(main!BH211*100,6))</f>
        <v/>
      </c>
      <c r="AW208" s="68" t="str">
        <f>IF(main!BI211="","",ROUND(main!BI211*100,6))</f>
        <v/>
      </c>
      <c r="AX208" s="68" t="str">
        <f>IF(main!BJ211="","",ROUND(main!BJ211*100,6))</f>
        <v/>
      </c>
      <c r="AY208" s="68" t="str">
        <f>IF(main!BK211="","",ROUND(main!BK211*100,6))</f>
        <v/>
      </c>
      <c r="AZ208" s="68" t="str">
        <f>IF(main!BL211="","",ROUND(main!BL211*100,6))</f>
        <v/>
      </c>
      <c r="BA208" s="68" t="str">
        <f>IF(main!BM211="","",ROUND(main!BM211*100,6))</f>
        <v/>
      </c>
      <c r="BB208" s="68" t="str">
        <f>IF(main!BN211="","",ROUND(main!BN211*100,6))</f>
        <v/>
      </c>
      <c r="BC208" s="68" t="str">
        <f>IF(main!BO211="","",ROUND(main!BO211*100,6))</f>
        <v/>
      </c>
      <c r="BD208" s="68">
        <f>IF(main!BP211="","",ROUND(main!BP211*100,6))</f>
        <v>19.230768999999999</v>
      </c>
      <c r="BE208" s="68">
        <f>IF(main!BQ211="","",ROUND(main!BQ211*100,6))</f>
        <v>26.923076999999999</v>
      </c>
      <c r="BF208" s="68">
        <f>IF(main!BR211="","",ROUND(main!BR211*100,6))</f>
        <v>26.923076999999999</v>
      </c>
      <c r="BG208" s="68">
        <f>IF(main!BS211="","",ROUND(main!BS211*100,6))</f>
        <v>26.923076999999999</v>
      </c>
      <c r="BH208" s="68" t="str">
        <f>IF(main!BT211="","",ROUND(main!BT211*100,6))</f>
        <v/>
      </c>
      <c r="BI208" s="68" t="str">
        <f>IF(main!BU211="","",ROUND(main!BU211*100,6))</f>
        <v/>
      </c>
      <c r="BJ208" s="68" t="str">
        <f>IF(main!BV211="","",ROUND(main!BV211*100,6))</f>
        <v/>
      </c>
      <c r="BK208" s="68" t="str">
        <f>IF(main!BW211="","",ROUND(main!BW211*100,6))</f>
        <v/>
      </c>
      <c r="BL208" s="68" t="str">
        <f>IF(main!BX211="","",ROUND(main!BX211*100,6))</f>
        <v/>
      </c>
      <c r="BM208" s="68" t="str">
        <f>IF(main!BY211="","",ROUND(main!BY211*100,6))</f>
        <v/>
      </c>
      <c r="BN208" s="68" t="str">
        <f>IF(main!BZ211="","",ROUND(main!BZ211*100,6))</f>
        <v/>
      </c>
      <c r="BO208" s="68" t="str">
        <f>IF(main!CA211="","",ROUND(main!CA211*100,6))</f>
        <v/>
      </c>
      <c r="BP208" s="68" t="str">
        <f>IF(main!CB211="","",ROUND(main!CB211*100,6))</f>
        <v/>
      </c>
      <c r="BQ208" s="68" t="str">
        <f>IF(main!CC211="","",ROUND(main!CC211*100,6))</f>
        <v/>
      </c>
      <c r="BR208" s="68" t="str">
        <f>IF(main!CD211="","",ROUND(main!CD211*100,6))</f>
        <v/>
      </c>
      <c r="BS208" s="68" t="str">
        <f>IF(main!CE211="","",ROUND(main!CE211*100,6))</f>
        <v/>
      </c>
      <c r="BT208" s="68" t="str">
        <f>IF(main!CF211="","",ROUND(main!CF211*100,6))</f>
        <v/>
      </c>
      <c r="BU208" s="68" t="str">
        <f>IF(main!CG211="","",ROUND(main!CG211*100,6))</f>
        <v/>
      </c>
      <c r="BV208" s="68" t="str">
        <f>IF(main!CH211="","",ROUND(main!CH211*100,6))</f>
        <v/>
      </c>
      <c r="BW208" s="68" t="str">
        <f>IF(main!CI211="","",ROUND(main!CI211*100,6))</f>
        <v/>
      </c>
      <c r="BX208" s="68" t="str">
        <f>IF(main!CJ211="","",ROUND(main!CJ211*100,6))</f>
        <v/>
      </c>
      <c r="BY208" s="68" t="str">
        <f>IF(main!CK211="","",ROUND(main!CK211*100,6))</f>
        <v/>
      </c>
      <c r="BZ208" s="68" t="str">
        <f>IF(main!CL211="","",ROUND(main!CL211*100,6))</f>
        <v/>
      </c>
      <c r="CA208" s="68" t="str">
        <f>IF(main!CM211="","",ROUND(main!CM211*100,6))</f>
        <v/>
      </c>
      <c r="CB208" s="68" t="str">
        <f>IF(main!CN211="","",ROUND(main!CN211*100,6))</f>
        <v/>
      </c>
      <c r="CC208" s="68" t="str">
        <f>IF(main!CO211="","",ROUND(main!CO211*100,6))</f>
        <v/>
      </c>
    </row>
    <row r="209" spans="1:81" x14ac:dyDescent="0.25">
      <c r="A209" s="65" t="s">
        <v>373</v>
      </c>
      <c r="B209" s="66" t="str">
        <f>main!C211</f>
        <v>งานกรุกระเบื้องโมเสค ผนังห้องน้ำ</v>
      </c>
      <c r="C209" s="67">
        <f>main!O211</f>
        <v>100000</v>
      </c>
      <c r="D209" s="65" t="s">
        <v>111</v>
      </c>
      <c r="E209" s="68" t="str">
        <f t="shared" si="3"/>
        <v/>
      </c>
      <c r="F209" s="68" t="str">
        <f>IF(main!R212="","",ROUND(main!R212*100,6))</f>
        <v/>
      </c>
      <c r="G209" s="68" t="str">
        <f>IF(main!S212="","",ROUND(main!S212*100,6))</f>
        <v/>
      </c>
      <c r="H209" s="68" t="str">
        <f>IF(main!T212="","",ROUND(main!T212*100,6))</f>
        <v/>
      </c>
      <c r="I209" s="68" t="str">
        <f>IF(main!U212="","",ROUND(main!U212*100,6))</f>
        <v/>
      </c>
      <c r="J209" s="68" t="str">
        <f>IF(main!V212="","",ROUND(main!V212*100,6))</f>
        <v/>
      </c>
      <c r="K209" s="68" t="str">
        <f>IF(main!W212="","",ROUND(main!W212*100,6))</f>
        <v/>
      </c>
      <c r="L209" s="68" t="str">
        <f>IF(main!X212="","",ROUND(main!X212*100,6))</f>
        <v/>
      </c>
      <c r="M209" s="68" t="str">
        <f>IF(main!Y212="","",ROUND(main!Y212*100,6))</f>
        <v/>
      </c>
      <c r="N209" s="68" t="str">
        <f>IF(main!Z212="","",ROUND(main!Z212*100,6))</f>
        <v/>
      </c>
      <c r="O209" s="68" t="str">
        <f>IF(main!AA212="","",ROUND(main!AA212*100,6))</f>
        <v/>
      </c>
      <c r="P209" s="68" t="str">
        <f>IF(main!AB212="","",ROUND(main!AB212*100,6))</f>
        <v/>
      </c>
      <c r="Q209" s="68" t="str">
        <f>IF(main!AC212="","",ROUND(main!AC212*100,6))</f>
        <v/>
      </c>
      <c r="R209" s="68" t="str">
        <f>IF(main!AD212="","",ROUND(main!AD212*100,6))</f>
        <v/>
      </c>
      <c r="S209" s="68" t="str">
        <f>IF(main!AE212="","",ROUND(main!AE212*100,6))</f>
        <v/>
      </c>
      <c r="T209" s="68" t="str">
        <f>IF(main!AF212="","",ROUND(main!AF212*100,6))</f>
        <v/>
      </c>
      <c r="U209" s="68" t="str">
        <f>IF(main!AG212="","",ROUND(main!AG212*100,6))</f>
        <v/>
      </c>
      <c r="V209" s="68" t="str">
        <f>IF(main!AH212="","",ROUND(main!AH212*100,6))</f>
        <v/>
      </c>
      <c r="W209" s="68" t="str">
        <f>IF(main!AI212="","",ROUND(main!AI212*100,6))</f>
        <v/>
      </c>
      <c r="X209" s="68" t="str">
        <f>IF(main!AJ212="","",ROUND(main!AJ212*100,6))</f>
        <v/>
      </c>
      <c r="Y209" s="68" t="str">
        <f>IF(main!AK212="","",ROUND(main!AK212*100,6))</f>
        <v/>
      </c>
      <c r="Z209" s="68" t="str">
        <f>IF(main!AL212="","",ROUND(main!AL212*100,6))</f>
        <v/>
      </c>
      <c r="AA209" s="68" t="str">
        <f>IF(main!AM212="","",ROUND(main!AM212*100,6))</f>
        <v/>
      </c>
      <c r="AB209" s="68" t="str">
        <f>IF(main!AN212="","",ROUND(main!AN212*100,6))</f>
        <v/>
      </c>
      <c r="AC209" s="68" t="str">
        <f>IF(main!AO212="","",ROUND(main!AO212*100,6))</f>
        <v/>
      </c>
      <c r="AD209" s="68" t="str">
        <f>IF(main!AP212="","",ROUND(main!AP212*100,6))</f>
        <v/>
      </c>
      <c r="AE209" s="68" t="str">
        <f>IF(main!AQ212="","",ROUND(main!AQ212*100,6))</f>
        <v/>
      </c>
      <c r="AF209" s="68" t="str">
        <f>IF(main!AR212="","",ROUND(main!AR212*100,6))</f>
        <v/>
      </c>
      <c r="AG209" s="68" t="str">
        <f>IF(main!AS212="","",ROUND(main!AS212*100,6))</f>
        <v/>
      </c>
      <c r="AH209" s="68" t="str">
        <f>IF(main!AT212="","",ROUND(main!AT212*100,6))</f>
        <v/>
      </c>
      <c r="AI209" s="68" t="str">
        <f>IF(main!AU212="","",ROUND(main!AU212*100,6))</f>
        <v/>
      </c>
      <c r="AJ209" s="68" t="str">
        <f>IF(main!AV212="","",ROUND(main!AV212*100,6))</f>
        <v/>
      </c>
      <c r="AK209" s="68" t="str">
        <f>IF(main!AW212="","",ROUND(main!AW212*100,6))</f>
        <v/>
      </c>
      <c r="AL209" s="68" t="str">
        <f>IF(main!AX212="","",ROUND(main!AX212*100,6))</f>
        <v/>
      </c>
      <c r="AM209" s="68" t="str">
        <f>IF(main!AY212="","",ROUND(main!AY212*100,6))</f>
        <v/>
      </c>
      <c r="AN209" s="68" t="str">
        <f>IF(main!AZ212="","",ROUND(main!AZ212*100,6))</f>
        <v/>
      </c>
      <c r="AO209" s="68" t="str">
        <f>IF(main!BA212="","",ROUND(main!BA212*100,6))</f>
        <v/>
      </c>
      <c r="AP209" s="68" t="str">
        <f>IF(main!BB212="","",ROUND(main!BB212*100,6))</f>
        <v/>
      </c>
      <c r="AQ209" s="68" t="str">
        <f>IF(main!BC212="","",ROUND(main!BC212*100,6))</f>
        <v/>
      </c>
      <c r="AR209" s="68" t="str">
        <f>IF(main!BD212="","",ROUND(main!BD212*100,6))</f>
        <v/>
      </c>
      <c r="AS209" s="68" t="str">
        <f>IF(main!BE212="","",ROUND(main!BE212*100,6))</f>
        <v/>
      </c>
      <c r="AT209" s="68" t="str">
        <f>IF(main!BF212="","",ROUND(main!BF212*100,6))</f>
        <v/>
      </c>
      <c r="AU209" s="68" t="str">
        <f>IF(main!BG212="","",ROUND(main!BG212*100,6))</f>
        <v/>
      </c>
      <c r="AV209" s="68" t="str">
        <f>IF(main!BH212="","",ROUND(main!BH212*100,6))</f>
        <v/>
      </c>
      <c r="AW209" s="68" t="str">
        <f>IF(main!BI212="","",ROUND(main!BI212*100,6))</f>
        <v/>
      </c>
      <c r="AX209" s="68" t="str">
        <f>IF(main!BJ212="","",ROUND(main!BJ212*100,6))</f>
        <v/>
      </c>
      <c r="AY209" s="68" t="str">
        <f>IF(main!BK212="","",ROUND(main!BK212*100,6))</f>
        <v/>
      </c>
      <c r="AZ209" s="68" t="str">
        <f>IF(main!BL212="","",ROUND(main!BL212*100,6))</f>
        <v/>
      </c>
      <c r="BA209" s="68" t="str">
        <f>IF(main!BM212="","",ROUND(main!BM212*100,6))</f>
        <v/>
      </c>
      <c r="BB209" s="68" t="str">
        <f>IF(main!BN212="","",ROUND(main!BN212*100,6))</f>
        <v/>
      </c>
      <c r="BC209" s="68" t="str">
        <f>IF(main!BO212="","",ROUND(main!BO212*100,6))</f>
        <v/>
      </c>
      <c r="BD209" s="68" t="str">
        <f>IF(main!BP212="","",ROUND(main!BP212*100,6))</f>
        <v/>
      </c>
      <c r="BE209" s="68" t="str">
        <f>IF(main!BQ212="","",ROUND(main!BQ212*100,6))</f>
        <v/>
      </c>
      <c r="BF209" s="68" t="str">
        <f>IF(main!BR212="","",ROUND(main!BR212*100,6))</f>
        <v/>
      </c>
      <c r="BG209" s="68" t="str">
        <f>IF(main!BS212="","",ROUND(main!BS212*100,6))</f>
        <v/>
      </c>
      <c r="BH209" s="68" t="str">
        <f>IF(main!BT212="","",ROUND(main!BT212*100,6))</f>
        <v/>
      </c>
      <c r="BI209" s="68" t="str">
        <f>IF(main!BU212="","",ROUND(main!BU212*100,6))</f>
        <v/>
      </c>
      <c r="BJ209" s="68" t="str">
        <f>IF(main!BV212="","",ROUND(main!BV212*100,6))</f>
        <v/>
      </c>
      <c r="BK209" s="68" t="str">
        <f>IF(main!BW212="","",ROUND(main!BW212*100,6))</f>
        <v/>
      </c>
      <c r="BL209" s="68" t="str">
        <f>IF(main!BX212="","",ROUND(main!BX212*100,6))</f>
        <v/>
      </c>
      <c r="BM209" s="68" t="str">
        <f>IF(main!BY212="","",ROUND(main!BY212*100,6))</f>
        <v/>
      </c>
      <c r="BN209" s="68" t="str">
        <f>IF(main!BZ212="","",ROUND(main!BZ212*100,6))</f>
        <v/>
      </c>
      <c r="BO209" s="68" t="str">
        <f>IF(main!CA212="","",ROUND(main!CA212*100,6))</f>
        <v/>
      </c>
      <c r="BP209" s="68" t="str">
        <f>IF(main!CB212="","",ROUND(main!CB212*100,6))</f>
        <v/>
      </c>
      <c r="BQ209" s="68" t="str">
        <f>IF(main!CC212="","",ROUND(main!CC212*100,6))</f>
        <v/>
      </c>
      <c r="BR209" s="68" t="str">
        <f>IF(main!CD212="","",ROUND(main!CD212*100,6))</f>
        <v/>
      </c>
      <c r="BS209" s="68" t="str">
        <f>IF(main!CE212="","",ROUND(main!CE212*100,6))</f>
        <v/>
      </c>
      <c r="BT209" s="68" t="str">
        <f>IF(main!CF212="","",ROUND(main!CF212*100,6))</f>
        <v/>
      </c>
      <c r="BU209" s="68" t="str">
        <f>IF(main!CG212="","",ROUND(main!CG212*100,6))</f>
        <v/>
      </c>
      <c r="BV209" s="68" t="str">
        <f>IF(main!CH212="","",ROUND(main!CH212*100,6))</f>
        <v/>
      </c>
      <c r="BW209" s="68" t="str">
        <f>IF(main!CI212="","",ROUND(main!CI212*100,6))</f>
        <v/>
      </c>
      <c r="BX209" s="68" t="str">
        <f>IF(main!CJ212="","",ROUND(main!CJ212*100,6))</f>
        <v/>
      </c>
      <c r="BY209" s="68" t="str">
        <f>IF(main!CK212="","",ROUND(main!CK212*100,6))</f>
        <v/>
      </c>
      <c r="BZ209" s="68" t="str">
        <f>IF(main!CL212="","",ROUND(main!CL212*100,6))</f>
        <v/>
      </c>
      <c r="CA209" s="68" t="str">
        <f>IF(main!CM212="","",ROUND(main!CM212*100,6))</f>
        <v/>
      </c>
      <c r="CB209" s="68" t="str">
        <f>IF(main!CN212="","",ROUND(main!CN212*100,6))</f>
        <v/>
      </c>
      <c r="CC209" s="68" t="str">
        <f>IF(main!CO212="","",ROUND(main!CO212*100,6))</f>
        <v/>
      </c>
    </row>
    <row r="210" spans="1:81" x14ac:dyDescent="0.25">
      <c r="A210" s="65" t="s">
        <v>375</v>
      </c>
      <c r="B210" s="66" t="str">
        <f>main!C213</f>
        <v>งานแต่งเรียบผนังภายในเดิม</v>
      </c>
      <c r="C210" s="67">
        <f>main!O213</f>
        <v>100000</v>
      </c>
      <c r="D210" s="65" t="s">
        <v>110</v>
      </c>
      <c r="E210" s="68">
        <f t="shared" si="3"/>
        <v>100</v>
      </c>
      <c r="F210" s="68" t="str">
        <f>IF(main!R213="","",ROUND(main!R213*100,6))</f>
        <v/>
      </c>
      <c r="G210" s="68" t="str">
        <f>IF(main!S213="","",ROUND(main!S213*100,6))</f>
        <v/>
      </c>
      <c r="H210" s="68" t="str">
        <f>IF(main!T213="","",ROUND(main!T213*100,6))</f>
        <v/>
      </c>
      <c r="I210" s="68" t="str">
        <f>IF(main!U213="","",ROUND(main!U213*100,6))</f>
        <v/>
      </c>
      <c r="J210" s="68" t="str">
        <f>IF(main!V213="","",ROUND(main!V213*100,6))</f>
        <v/>
      </c>
      <c r="K210" s="68" t="str">
        <f>IF(main!W213="","",ROUND(main!W213*100,6))</f>
        <v/>
      </c>
      <c r="L210" s="68" t="str">
        <f>IF(main!X213="","",ROUND(main!X213*100,6))</f>
        <v/>
      </c>
      <c r="M210" s="68" t="str">
        <f>IF(main!Y213="","",ROUND(main!Y213*100,6))</f>
        <v/>
      </c>
      <c r="N210" s="68" t="str">
        <f>IF(main!Z213="","",ROUND(main!Z213*100,6))</f>
        <v/>
      </c>
      <c r="O210" s="68" t="str">
        <f>IF(main!AA213="","",ROUND(main!AA213*100,6))</f>
        <v/>
      </c>
      <c r="P210" s="68" t="str">
        <f>IF(main!AB213="","",ROUND(main!AB213*100,6))</f>
        <v/>
      </c>
      <c r="Q210" s="68" t="str">
        <f>IF(main!AC213="","",ROUND(main!AC213*100,6))</f>
        <v/>
      </c>
      <c r="R210" s="68" t="str">
        <f>IF(main!AD213="","",ROUND(main!AD213*100,6))</f>
        <v/>
      </c>
      <c r="S210" s="68" t="str">
        <f>IF(main!AE213="","",ROUND(main!AE213*100,6))</f>
        <v/>
      </c>
      <c r="T210" s="68" t="str">
        <f>IF(main!AF213="","",ROUND(main!AF213*100,6))</f>
        <v/>
      </c>
      <c r="U210" s="68" t="str">
        <f>IF(main!AG213="","",ROUND(main!AG213*100,6))</f>
        <v/>
      </c>
      <c r="V210" s="68" t="str">
        <f>IF(main!AH213="","",ROUND(main!AH213*100,6))</f>
        <v/>
      </c>
      <c r="W210" s="68" t="str">
        <f>IF(main!AI213="","",ROUND(main!AI213*100,6))</f>
        <v/>
      </c>
      <c r="X210" s="68" t="str">
        <f>IF(main!AJ213="","",ROUND(main!AJ213*100,6))</f>
        <v/>
      </c>
      <c r="Y210" s="68" t="str">
        <f>IF(main!AK213="","",ROUND(main!AK213*100,6))</f>
        <v/>
      </c>
      <c r="Z210" s="68" t="str">
        <f>IF(main!AL213="","",ROUND(main!AL213*100,6))</f>
        <v/>
      </c>
      <c r="AA210" s="68" t="str">
        <f>IF(main!AM213="","",ROUND(main!AM213*100,6))</f>
        <v/>
      </c>
      <c r="AB210" s="68" t="str">
        <f>IF(main!AN213="","",ROUND(main!AN213*100,6))</f>
        <v/>
      </c>
      <c r="AC210" s="68" t="str">
        <f>IF(main!AO213="","",ROUND(main!AO213*100,6))</f>
        <v/>
      </c>
      <c r="AD210" s="68" t="str">
        <f>IF(main!AP213="","",ROUND(main!AP213*100,6))</f>
        <v/>
      </c>
      <c r="AE210" s="68" t="str">
        <f>IF(main!AQ213="","",ROUND(main!AQ213*100,6))</f>
        <v/>
      </c>
      <c r="AF210" s="68" t="str">
        <f>IF(main!AR213="","",ROUND(main!AR213*100,6))</f>
        <v/>
      </c>
      <c r="AG210" s="68" t="str">
        <f>IF(main!AS213="","",ROUND(main!AS213*100,6))</f>
        <v/>
      </c>
      <c r="AH210" s="68" t="str">
        <f>IF(main!AT213="","",ROUND(main!AT213*100,6))</f>
        <v/>
      </c>
      <c r="AI210" s="68" t="str">
        <f>IF(main!AU213="","",ROUND(main!AU213*100,6))</f>
        <v/>
      </c>
      <c r="AJ210" s="68" t="str">
        <f>IF(main!AV213="","",ROUND(main!AV213*100,6))</f>
        <v/>
      </c>
      <c r="AK210" s="68" t="str">
        <f>IF(main!AW213="","",ROUND(main!AW213*100,6))</f>
        <v/>
      </c>
      <c r="AL210" s="68" t="str">
        <f>IF(main!AX213="","",ROUND(main!AX213*100,6))</f>
        <v/>
      </c>
      <c r="AM210" s="68" t="str">
        <f>IF(main!AY213="","",ROUND(main!AY213*100,6))</f>
        <v/>
      </c>
      <c r="AN210" s="68" t="str">
        <f>IF(main!AZ213="","",ROUND(main!AZ213*100,6))</f>
        <v/>
      </c>
      <c r="AO210" s="68" t="str">
        <f>IF(main!BA213="","",ROUND(main!BA213*100,6))</f>
        <v/>
      </c>
      <c r="AP210" s="68" t="str">
        <f>IF(main!BB213="","",ROUND(main!BB213*100,6))</f>
        <v/>
      </c>
      <c r="AQ210" s="68" t="str">
        <f>IF(main!BC213="","",ROUND(main!BC213*100,6))</f>
        <v/>
      </c>
      <c r="AR210" s="68">
        <f>IF(main!BD213="","",ROUND(main!BD213*100,6))</f>
        <v>4.7619049999999996</v>
      </c>
      <c r="AS210" s="68">
        <f>IF(main!BE213="","",ROUND(main!BE213*100,6))</f>
        <v>33.333333000000003</v>
      </c>
      <c r="AT210" s="68">
        <f>IF(main!BF213="","",ROUND(main!BF213*100,6))</f>
        <v>33.333333000000003</v>
      </c>
      <c r="AU210" s="68">
        <f>IF(main!BG213="","",ROUND(main!BG213*100,6))</f>
        <v>28.571428999999998</v>
      </c>
      <c r="AV210" s="68" t="str">
        <f>IF(main!BH213="","",ROUND(main!BH213*100,6))</f>
        <v/>
      </c>
      <c r="AW210" s="68" t="str">
        <f>IF(main!BI213="","",ROUND(main!BI213*100,6))</f>
        <v/>
      </c>
      <c r="AX210" s="68" t="str">
        <f>IF(main!BJ213="","",ROUND(main!BJ213*100,6))</f>
        <v/>
      </c>
      <c r="AY210" s="68" t="str">
        <f>IF(main!BK213="","",ROUND(main!BK213*100,6))</f>
        <v/>
      </c>
      <c r="AZ210" s="68" t="str">
        <f>IF(main!BL213="","",ROUND(main!BL213*100,6))</f>
        <v/>
      </c>
      <c r="BA210" s="68" t="str">
        <f>IF(main!BM213="","",ROUND(main!BM213*100,6))</f>
        <v/>
      </c>
      <c r="BB210" s="68" t="str">
        <f>IF(main!BN213="","",ROUND(main!BN213*100,6))</f>
        <v/>
      </c>
      <c r="BC210" s="68" t="str">
        <f>IF(main!BO213="","",ROUND(main!BO213*100,6))</f>
        <v/>
      </c>
      <c r="BD210" s="68" t="str">
        <f>IF(main!BP213="","",ROUND(main!BP213*100,6))</f>
        <v/>
      </c>
      <c r="BE210" s="68" t="str">
        <f>IF(main!BQ213="","",ROUND(main!BQ213*100,6))</f>
        <v/>
      </c>
      <c r="BF210" s="68" t="str">
        <f>IF(main!BR213="","",ROUND(main!BR213*100,6))</f>
        <v/>
      </c>
      <c r="BG210" s="68" t="str">
        <f>IF(main!BS213="","",ROUND(main!BS213*100,6))</f>
        <v/>
      </c>
      <c r="BH210" s="68" t="str">
        <f>IF(main!BT213="","",ROUND(main!BT213*100,6))</f>
        <v/>
      </c>
      <c r="BI210" s="68" t="str">
        <f>IF(main!BU213="","",ROUND(main!BU213*100,6))</f>
        <v/>
      </c>
      <c r="BJ210" s="68" t="str">
        <f>IF(main!BV213="","",ROUND(main!BV213*100,6))</f>
        <v/>
      </c>
      <c r="BK210" s="68" t="str">
        <f>IF(main!BW213="","",ROUND(main!BW213*100,6))</f>
        <v/>
      </c>
      <c r="BL210" s="68" t="str">
        <f>IF(main!BX213="","",ROUND(main!BX213*100,6))</f>
        <v/>
      </c>
      <c r="BM210" s="68" t="str">
        <f>IF(main!BY213="","",ROUND(main!BY213*100,6))</f>
        <v/>
      </c>
      <c r="BN210" s="68" t="str">
        <f>IF(main!BZ213="","",ROUND(main!BZ213*100,6))</f>
        <v/>
      </c>
      <c r="BO210" s="68" t="str">
        <f>IF(main!CA213="","",ROUND(main!CA213*100,6))</f>
        <v/>
      </c>
      <c r="BP210" s="68" t="str">
        <f>IF(main!CB213="","",ROUND(main!CB213*100,6))</f>
        <v/>
      </c>
      <c r="BQ210" s="68" t="str">
        <f>IF(main!CC213="","",ROUND(main!CC213*100,6))</f>
        <v/>
      </c>
      <c r="BR210" s="68" t="str">
        <f>IF(main!CD213="","",ROUND(main!CD213*100,6))</f>
        <v/>
      </c>
      <c r="BS210" s="68" t="str">
        <f>IF(main!CE213="","",ROUND(main!CE213*100,6))</f>
        <v/>
      </c>
      <c r="BT210" s="68" t="str">
        <f>IF(main!CF213="","",ROUND(main!CF213*100,6))</f>
        <v/>
      </c>
      <c r="BU210" s="68" t="str">
        <f>IF(main!CG213="","",ROUND(main!CG213*100,6))</f>
        <v/>
      </c>
      <c r="BV210" s="68" t="str">
        <f>IF(main!CH213="","",ROUND(main!CH213*100,6))</f>
        <v/>
      </c>
      <c r="BW210" s="68" t="str">
        <f>IF(main!CI213="","",ROUND(main!CI213*100,6))</f>
        <v/>
      </c>
      <c r="BX210" s="68" t="str">
        <f>IF(main!CJ213="","",ROUND(main!CJ213*100,6))</f>
        <v/>
      </c>
      <c r="BY210" s="68" t="str">
        <f>IF(main!CK213="","",ROUND(main!CK213*100,6))</f>
        <v/>
      </c>
      <c r="BZ210" s="68" t="str">
        <f>IF(main!CL213="","",ROUND(main!CL213*100,6))</f>
        <v/>
      </c>
      <c r="CA210" s="68" t="str">
        <f>IF(main!CM213="","",ROUND(main!CM213*100,6))</f>
        <v/>
      </c>
      <c r="CB210" s="68" t="str">
        <f>IF(main!CN213="","",ROUND(main!CN213*100,6))</f>
        <v/>
      </c>
      <c r="CC210" s="68" t="str">
        <f>IF(main!CO213="","",ROUND(main!CO213*100,6))</f>
        <v/>
      </c>
    </row>
    <row r="211" spans="1:81" x14ac:dyDescent="0.25">
      <c r="A211" s="65" t="s">
        <v>375</v>
      </c>
      <c r="B211" s="66" t="str">
        <f>main!C213</f>
        <v>งานแต่งเรียบผนังภายในเดิม</v>
      </c>
      <c r="C211" s="67">
        <f>main!O213</f>
        <v>100000</v>
      </c>
      <c r="D211" s="65" t="s">
        <v>111</v>
      </c>
      <c r="E211" s="68" t="str">
        <f t="shared" si="3"/>
        <v/>
      </c>
      <c r="F211" s="68" t="str">
        <f>IF(main!R214="","",ROUND(main!R214*100,6))</f>
        <v/>
      </c>
      <c r="G211" s="68" t="str">
        <f>IF(main!S214="","",ROUND(main!S214*100,6))</f>
        <v/>
      </c>
      <c r="H211" s="68" t="str">
        <f>IF(main!T214="","",ROUND(main!T214*100,6))</f>
        <v/>
      </c>
      <c r="I211" s="68" t="str">
        <f>IF(main!U214="","",ROUND(main!U214*100,6))</f>
        <v/>
      </c>
      <c r="J211" s="68" t="str">
        <f>IF(main!V214="","",ROUND(main!V214*100,6))</f>
        <v/>
      </c>
      <c r="K211" s="68" t="str">
        <f>IF(main!W214="","",ROUND(main!W214*100,6))</f>
        <v/>
      </c>
      <c r="L211" s="68" t="str">
        <f>IF(main!X214="","",ROUND(main!X214*100,6))</f>
        <v/>
      </c>
      <c r="M211" s="68" t="str">
        <f>IF(main!Y214="","",ROUND(main!Y214*100,6))</f>
        <v/>
      </c>
      <c r="N211" s="68" t="str">
        <f>IF(main!Z214="","",ROUND(main!Z214*100,6))</f>
        <v/>
      </c>
      <c r="O211" s="68" t="str">
        <f>IF(main!AA214="","",ROUND(main!AA214*100,6))</f>
        <v/>
      </c>
      <c r="P211" s="68" t="str">
        <f>IF(main!AB214="","",ROUND(main!AB214*100,6))</f>
        <v/>
      </c>
      <c r="Q211" s="68" t="str">
        <f>IF(main!AC214="","",ROUND(main!AC214*100,6))</f>
        <v/>
      </c>
      <c r="R211" s="68" t="str">
        <f>IF(main!AD214="","",ROUND(main!AD214*100,6))</f>
        <v/>
      </c>
      <c r="S211" s="68" t="str">
        <f>IF(main!AE214="","",ROUND(main!AE214*100,6))</f>
        <v/>
      </c>
      <c r="T211" s="68" t="str">
        <f>IF(main!AF214="","",ROUND(main!AF214*100,6))</f>
        <v/>
      </c>
      <c r="U211" s="68" t="str">
        <f>IF(main!AG214="","",ROUND(main!AG214*100,6))</f>
        <v/>
      </c>
      <c r="V211" s="68" t="str">
        <f>IF(main!AH214="","",ROUND(main!AH214*100,6))</f>
        <v/>
      </c>
      <c r="W211" s="68" t="str">
        <f>IF(main!AI214="","",ROUND(main!AI214*100,6))</f>
        <v/>
      </c>
      <c r="X211" s="68" t="str">
        <f>IF(main!AJ214="","",ROUND(main!AJ214*100,6))</f>
        <v/>
      </c>
      <c r="Y211" s="68" t="str">
        <f>IF(main!AK214="","",ROUND(main!AK214*100,6))</f>
        <v/>
      </c>
      <c r="Z211" s="68" t="str">
        <f>IF(main!AL214="","",ROUND(main!AL214*100,6))</f>
        <v/>
      </c>
      <c r="AA211" s="68" t="str">
        <f>IF(main!AM214="","",ROUND(main!AM214*100,6))</f>
        <v/>
      </c>
      <c r="AB211" s="68" t="str">
        <f>IF(main!AN214="","",ROUND(main!AN214*100,6))</f>
        <v/>
      </c>
      <c r="AC211" s="68" t="str">
        <f>IF(main!AO214="","",ROUND(main!AO214*100,6))</f>
        <v/>
      </c>
      <c r="AD211" s="68" t="str">
        <f>IF(main!AP214="","",ROUND(main!AP214*100,6))</f>
        <v/>
      </c>
      <c r="AE211" s="68" t="str">
        <f>IF(main!AQ214="","",ROUND(main!AQ214*100,6))</f>
        <v/>
      </c>
      <c r="AF211" s="68" t="str">
        <f>IF(main!AR214="","",ROUND(main!AR214*100,6))</f>
        <v/>
      </c>
      <c r="AG211" s="68" t="str">
        <f>IF(main!AS214="","",ROUND(main!AS214*100,6))</f>
        <v/>
      </c>
      <c r="AH211" s="68" t="str">
        <f>IF(main!AT214="","",ROUND(main!AT214*100,6))</f>
        <v/>
      </c>
      <c r="AI211" s="68" t="str">
        <f>IF(main!AU214="","",ROUND(main!AU214*100,6))</f>
        <v/>
      </c>
      <c r="AJ211" s="68" t="str">
        <f>IF(main!AV214="","",ROUND(main!AV214*100,6))</f>
        <v/>
      </c>
      <c r="AK211" s="68" t="str">
        <f>IF(main!AW214="","",ROUND(main!AW214*100,6))</f>
        <v/>
      </c>
      <c r="AL211" s="68" t="str">
        <f>IF(main!AX214="","",ROUND(main!AX214*100,6))</f>
        <v/>
      </c>
      <c r="AM211" s="68" t="str">
        <f>IF(main!AY214="","",ROUND(main!AY214*100,6))</f>
        <v/>
      </c>
      <c r="AN211" s="68" t="str">
        <f>IF(main!AZ214="","",ROUND(main!AZ214*100,6))</f>
        <v/>
      </c>
      <c r="AO211" s="68" t="str">
        <f>IF(main!BA214="","",ROUND(main!BA214*100,6))</f>
        <v/>
      </c>
      <c r="AP211" s="68" t="str">
        <f>IF(main!BB214="","",ROUND(main!BB214*100,6))</f>
        <v/>
      </c>
      <c r="AQ211" s="68" t="str">
        <f>IF(main!BC214="","",ROUND(main!BC214*100,6))</f>
        <v/>
      </c>
      <c r="AR211" s="68" t="str">
        <f>IF(main!BD214="","",ROUND(main!BD214*100,6))</f>
        <v/>
      </c>
      <c r="AS211" s="68" t="str">
        <f>IF(main!BE214="","",ROUND(main!BE214*100,6))</f>
        <v/>
      </c>
      <c r="AT211" s="68" t="str">
        <f>IF(main!BF214="","",ROUND(main!BF214*100,6))</f>
        <v/>
      </c>
      <c r="AU211" s="68" t="str">
        <f>IF(main!BG214="","",ROUND(main!BG214*100,6))</f>
        <v/>
      </c>
      <c r="AV211" s="68" t="str">
        <f>IF(main!BH214="","",ROUND(main!BH214*100,6))</f>
        <v/>
      </c>
      <c r="AW211" s="68" t="str">
        <f>IF(main!BI214="","",ROUND(main!BI214*100,6))</f>
        <v/>
      </c>
      <c r="AX211" s="68" t="str">
        <f>IF(main!BJ214="","",ROUND(main!BJ214*100,6))</f>
        <v/>
      </c>
      <c r="AY211" s="68" t="str">
        <f>IF(main!BK214="","",ROUND(main!BK214*100,6))</f>
        <v/>
      </c>
      <c r="AZ211" s="68" t="str">
        <f>IF(main!BL214="","",ROUND(main!BL214*100,6))</f>
        <v/>
      </c>
      <c r="BA211" s="68" t="str">
        <f>IF(main!BM214="","",ROUND(main!BM214*100,6))</f>
        <v/>
      </c>
      <c r="BB211" s="68" t="str">
        <f>IF(main!BN214="","",ROUND(main!BN214*100,6))</f>
        <v/>
      </c>
      <c r="BC211" s="68" t="str">
        <f>IF(main!BO214="","",ROUND(main!BO214*100,6))</f>
        <v/>
      </c>
      <c r="BD211" s="68" t="str">
        <f>IF(main!BP214="","",ROUND(main!BP214*100,6))</f>
        <v/>
      </c>
      <c r="BE211" s="68" t="str">
        <f>IF(main!BQ214="","",ROUND(main!BQ214*100,6))</f>
        <v/>
      </c>
      <c r="BF211" s="68" t="str">
        <f>IF(main!BR214="","",ROUND(main!BR214*100,6))</f>
        <v/>
      </c>
      <c r="BG211" s="68" t="str">
        <f>IF(main!BS214="","",ROUND(main!BS214*100,6))</f>
        <v/>
      </c>
      <c r="BH211" s="68" t="str">
        <f>IF(main!BT214="","",ROUND(main!BT214*100,6))</f>
        <v/>
      </c>
      <c r="BI211" s="68" t="str">
        <f>IF(main!BU214="","",ROUND(main!BU214*100,6))</f>
        <v/>
      </c>
      <c r="BJ211" s="68" t="str">
        <f>IF(main!BV214="","",ROUND(main!BV214*100,6))</f>
        <v/>
      </c>
      <c r="BK211" s="68" t="str">
        <f>IF(main!BW214="","",ROUND(main!BW214*100,6))</f>
        <v/>
      </c>
      <c r="BL211" s="68" t="str">
        <f>IF(main!BX214="","",ROUND(main!BX214*100,6))</f>
        <v/>
      </c>
      <c r="BM211" s="68" t="str">
        <f>IF(main!BY214="","",ROUND(main!BY214*100,6))</f>
        <v/>
      </c>
      <c r="BN211" s="68" t="str">
        <f>IF(main!BZ214="","",ROUND(main!BZ214*100,6))</f>
        <v/>
      </c>
      <c r="BO211" s="68" t="str">
        <f>IF(main!CA214="","",ROUND(main!CA214*100,6))</f>
        <v/>
      </c>
      <c r="BP211" s="68" t="str">
        <f>IF(main!CB214="","",ROUND(main!CB214*100,6))</f>
        <v/>
      </c>
      <c r="BQ211" s="68" t="str">
        <f>IF(main!CC214="","",ROUND(main!CC214*100,6))</f>
        <v/>
      </c>
      <c r="BR211" s="68" t="str">
        <f>IF(main!CD214="","",ROUND(main!CD214*100,6))</f>
        <v/>
      </c>
      <c r="BS211" s="68" t="str">
        <f>IF(main!CE214="","",ROUND(main!CE214*100,6))</f>
        <v/>
      </c>
      <c r="BT211" s="68" t="str">
        <f>IF(main!CF214="","",ROUND(main!CF214*100,6))</f>
        <v/>
      </c>
      <c r="BU211" s="68" t="str">
        <f>IF(main!CG214="","",ROUND(main!CG214*100,6))</f>
        <v/>
      </c>
      <c r="BV211" s="68" t="str">
        <f>IF(main!CH214="","",ROUND(main!CH214*100,6))</f>
        <v/>
      </c>
      <c r="BW211" s="68" t="str">
        <f>IF(main!CI214="","",ROUND(main!CI214*100,6))</f>
        <v/>
      </c>
      <c r="BX211" s="68" t="str">
        <f>IF(main!CJ214="","",ROUND(main!CJ214*100,6))</f>
        <v/>
      </c>
      <c r="BY211" s="68" t="str">
        <f>IF(main!CK214="","",ROUND(main!CK214*100,6))</f>
        <v/>
      </c>
      <c r="BZ211" s="68" t="str">
        <f>IF(main!CL214="","",ROUND(main!CL214*100,6))</f>
        <v/>
      </c>
      <c r="CA211" s="68" t="str">
        <f>IF(main!CM214="","",ROUND(main!CM214*100,6))</f>
        <v/>
      </c>
      <c r="CB211" s="68" t="str">
        <f>IF(main!CN214="","",ROUND(main!CN214*100,6))</f>
        <v/>
      </c>
      <c r="CC211" s="68" t="str">
        <f>IF(main!CO214="","",ROUND(main!CO214*100,6))</f>
        <v/>
      </c>
    </row>
    <row r="212" spans="1:81" x14ac:dyDescent="0.25">
      <c r="A212" s="65" t="s">
        <v>377</v>
      </c>
      <c r="B212" s="66" t="str">
        <f>main!C215</f>
        <v>Ceiling</v>
      </c>
      <c r="C212" s="67">
        <f>main!O215</f>
        <v>300000</v>
      </c>
      <c r="D212" s="65" t="s">
        <v>110</v>
      </c>
      <c r="E212" s="68">
        <f t="shared" si="3"/>
        <v>100</v>
      </c>
      <c r="F212" s="68" t="str">
        <f>IF(main!R215="","",ROUND(main!R215*100,6))</f>
        <v/>
      </c>
      <c r="G212" s="68" t="str">
        <f>IF(main!S215="","",ROUND(main!S215*100,6))</f>
        <v/>
      </c>
      <c r="H212" s="68" t="str">
        <f>IF(main!T215="","",ROUND(main!T215*100,6))</f>
        <v/>
      </c>
      <c r="I212" s="68" t="str">
        <f>IF(main!U215="","",ROUND(main!U215*100,6))</f>
        <v/>
      </c>
      <c r="J212" s="68" t="str">
        <f>IF(main!V215="","",ROUND(main!V215*100,6))</f>
        <v/>
      </c>
      <c r="K212" s="68" t="str">
        <f>IF(main!W215="","",ROUND(main!W215*100,6))</f>
        <v/>
      </c>
      <c r="L212" s="68" t="str">
        <f>IF(main!X215="","",ROUND(main!X215*100,6))</f>
        <v/>
      </c>
      <c r="M212" s="68" t="str">
        <f>IF(main!Y215="","",ROUND(main!Y215*100,6))</f>
        <v/>
      </c>
      <c r="N212" s="68" t="str">
        <f>IF(main!Z215="","",ROUND(main!Z215*100,6))</f>
        <v/>
      </c>
      <c r="O212" s="68" t="str">
        <f>IF(main!AA215="","",ROUND(main!AA215*100,6))</f>
        <v/>
      </c>
      <c r="P212" s="68" t="str">
        <f>IF(main!AB215="","",ROUND(main!AB215*100,6))</f>
        <v/>
      </c>
      <c r="Q212" s="68" t="str">
        <f>IF(main!AC215="","",ROUND(main!AC215*100,6))</f>
        <v/>
      </c>
      <c r="R212" s="68" t="str">
        <f>IF(main!AD215="","",ROUND(main!AD215*100,6))</f>
        <v/>
      </c>
      <c r="S212" s="68" t="str">
        <f>IF(main!AE215="","",ROUND(main!AE215*100,6))</f>
        <v/>
      </c>
      <c r="T212" s="68" t="str">
        <f>IF(main!AF215="","",ROUND(main!AF215*100,6))</f>
        <v/>
      </c>
      <c r="U212" s="68" t="str">
        <f>IF(main!AG215="","",ROUND(main!AG215*100,6))</f>
        <v/>
      </c>
      <c r="V212" s="68" t="str">
        <f>IF(main!AH215="","",ROUND(main!AH215*100,6))</f>
        <v/>
      </c>
      <c r="W212" s="68" t="str">
        <f>IF(main!AI215="","",ROUND(main!AI215*100,6))</f>
        <v/>
      </c>
      <c r="X212" s="68" t="str">
        <f>IF(main!AJ215="","",ROUND(main!AJ215*100,6))</f>
        <v/>
      </c>
      <c r="Y212" s="68" t="str">
        <f>IF(main!AK215="","",ROUND(main!AK215*100,6))</f>
        <v/>
      </c>
      <c r="Z212" s="68" t="str">
        <f>IF(main!AL215="","",ROUND(main!AL215*100,6))</f>
        <v/>
      </c>
      <c r="AA212" s="68" t="str">
        <f>IF(main!AM215="","",ROUND(main!AM215*100,6))</f>
        <v/>
      </c>
      <c r="AB212" s="68" t="str">
        <f>IF(main!AN215="","",ROUND(main!AN215*100,6))</f>
        <v/>
      </c>
      <c r="AC212" s="68" t="str">
        <f>IF(main!AO215="","",ROUND(main!AO215*100,6))</f>
        <v/>
      </c>
      <c r="AD212" s="68" t="str">
        <f>IF(main!AP215="","",ROUND(main!AP215*100,6))</f>
        <v/>
      </c>
      <c r="AE212" s="68" t="str">
        <f>IF(main!AQ215="","",ROUND(main!AQ215*100,6))</f>
        <v/>
      </c>
      <c r="AF212" s="68" t="str">
        <f>IF(main!AR215="","",ROUND(main!AR215*100,6))</f>
        <v/>
      </c>
      <c r="AG212" s="68" t="str">
        <f>IF(main!AS215="","",ROUND(main!AS215*100,6))</f>
        <v/>
      </c>
      <c r="AH212" s="68" t="str">
        <f>IF(main!AT215="","",ROUND(main!AT215*100,6))</f>
        <v/>
      </c>
      <c r="AI212" s="68" t="str">
        <f>IF(main!AU215="","",ROUND(main!AU215*100,6))</f>
        <v/>
      </c>
      <c r="AJ212" s="68" t="str">
        <f>IF(main!AV215="","",ROUND(main!AV215*100,6))</f>
        <v/>
      </c>
      <c r="AK212" s="68" t="str">
        <f>IF(main!AW215="","",ROUND(main!AW215*100,6))</f>
        <v/>
      </c>
      <c r="AL212" s="68" t="str">
        <f>IF(main!AX215="","",ROUND(main!AX215*100,6))</f>
        <v/>
      </c>
      <c r="AM212" s="68" t="str">
        <f>IF(main!AY215="","",ROUND(main!AY215*100,6))</f>
        <v/>
      </c>
      <c r="AN212" s="68" t="str">
        <f>IF(main!AZ215="","",ROUND(main!AZ215*100,6))</f>
        <v/>
      </c>
      <c r="AO212" s="68" t="str">
        <f>IF(main!BA215="","",ROUND(main!BA215*100,6))</f>
        <v/>
      </c>
      <c r="AP212" s="68" t="str">
        <f>IF(main!BB215="","",ROUND(main!BB215*100,6))</f>
        <v/>
      </c>
      <c r="AQ212" s="68" t="str">
        <f>IF(main!BC215="","",ROUND(main!BC215*100,6))</f>
        <v/>
      </c>
      <c r="AR212" s="68" t="str">
        <f>IF(main!BD215="","",ROUND(main!BD215*100,6))</f>
        <v/>
      </c>
      <c r="AS212" s="68" t="str">
        <f>IF(main!BE215="","",ROUND(main!BE215*100,6))</f>
        <v/>
      </c>
      <c r="AT212" s="68" t="str">
        <f>IF(main!BF215="","",ROUND(main!BF215*100,6))</f>
        <v/>
      </c>
      <c r="AU212" s="68">
        <f>IF(main!BG215="","",ROUND(main!BG215*100,6))</f>
        <v>1.587302</v>
      </c>
      <c r="AV212" s="68">
        <f>IF(main!BH215="","",ROUND(main!BH215*100,6))</f>
        <v>11.111110999999999</v>
      </c>
      <c r="AW212" s="68">
        <f>IF(main!BI215="","",ROUND(main!BI215*100,6))</f>
        <v>11.111110999999999</v>
      </c>
      <c r="AX212" s="68">
        <f>IF(main!BJ215="","",ROUND(main!BJ215*100,6))</f>
        <v>9.5238099999999992</v>
      </c>
      <c r="AY212" s="68" t="str">
        <f>IF(main!BK215="","",ROUND(main!BK215*100,6))</f>
        <v/>
      </c>
      <c r="AZ212" s="68" t="str">
        <f>IF(main!BL215="","",ROUND(main!BL215*100,6))</f>
        <v/>
      </c>
      <c r="BA212" s="68" t="str">
        <f>IF(main!BM215="","",ROUND(main!BM215*100,6))</f>
        <v/>
      </c>
      <c r="BB212" s="68" t="str">
        <f>IF(main!BN215="","",ROUND(main!BN215*100,6))</f>
        <v/>
      </c>
      <c r="BC212" s="68" t="str">
        <f>IF(main!BO215="","",ROUND(main!BO215*100,6))</f>
        <v/>
      </c>
      <c r="BD212" s="68" t="str">
        <f>IF(main!BP215="","",ROUND(main!BP215*100,6))</f>
        <v/>
      </c>
      <c r="BE212" s="68" t="str">
        <f>IF(main!BQ215="","",ROUND(main!BQ215*100,6))</f>
        <v/>
      </c>
      <c r="BF212" s="68" t="str">
        <f>IF(main!BR215="","",ROUND(main!BR215*100,6))</f>
        <v/>
      </c>
      <c r="BG212" s="68" t="str">
        <f>IF(main!BS215="","",ROUND(main!BS215*100,6))</f>
        <v/>
      </c>
      <c r="BH212" s="68">
        <f>IF(main!BT215="","",ROUND(main!BT215*100,6))</f>
        <v>13.888889000000001</v>
      </c>
      <c r="BI212" s="68">
        <f>IF(main!BU215="","",ROUND(main!BU215*100,6))</f>
        <v>19.444444000000001</v>
      </c>
      <c r="BJ212" s="68" t="str">
        <f>IF(main!BV215="","",ROUND(main!BV215*100,6))</f>
        <v/>
      </c>
      <c r="BK212" s="68" t="str">
        <f>IF(main!BW215="","",ROUND(main!BW215*100,6))</f>
        <v/>
      </c>
      <c r="BL212" s="68" t="str">
        <f>IF(main!BX215="","",ROUND(main!BX215*100,6))</f>
        <v/>
      </c>
      <c r="BM212" s="68">
        <f>IF(main!BY215="","",ROUND(main!BY215*100,6))</f>
        <v>3.1746029999999998</v>
      </c>
      <c r="BN212" s="68">
        <f>IF(main!BZ215="","",ROUND(main!BZ215*100,6))</f>
        <v>11.111110999999999</v>
      </c>
      <c r="BO212" s="68">
        <f>IF(main!CA215="","",ROUND(main!CA215*100,6))</f>
        <v>11.111110999999999</v>
      </c>
      <c r="BP212" s="68">
        <f>IF(main!CB215="","",ROUND(main!CB215*100,6))</f>
        <v>7.9365079999999999</v>
      </c>
      <c r="BQ212" s="68" t="str">
        <f>IF(main!CC215="","",ROUND(main!CC215*100,6))</f>
        <v/>
      </c>
      <c r="BR212" s="68" t="str">
        <f>IF(main!CD215="","",ROUND(main!CD215*100,6))</f>
        <v/>
      </c>
      <c r="BS212" s="68" t="str">
        <f>IF(main!CE215="","",ROUND(main!CE215*100,6))</f>
        <v/>
      </c>
      <c r="BT212" s="68" t="str">
        <f>IF(main!CF215="","",ROUND(main!CF215*100,6))</f>
        <v/>
      </c>
      <c r="BU212" s="68" t="str">
        <f>IF(main!CG215="","",ROUND(main!CG215*100,6))</f>
        <v/>
      </c>
      <c r="BV212" s="68" t="str">
        <f>IF(main!CH215="","",ROUND(main!CH215*100,6))</f>
        <v/>
      </c>
      <c r="BW212" s="68" t="str">
        <f>IF(main!CI215="","",ROUND(main!CI215*100,6))</f>
        <v/>
      </c>
      <c r="BX212" s="68" t="str">
        <f>IF(main!CJ215="","",ROUND(main!CJ215*100,6))</f>
        <v/>
      </c>
      <c r="BY212" s="68" t="str">
        <f>IF(main!CK215="","",ROUND(main!CK215*100,6))</f>
        <v/>
      </c>
      <c r="BZ212" s="68" t="str">
        <f>IF(main!CL215="","",ROUND(main!CL215*100,6))</f>
        <v/>
      </c>
      <c r="CA212" s="68" t="str">
        <f>IF(main!CM215="","",ROUND(main!CM215*100,6))</f>
        <v/>
      </c>
      <c r="CB212" s="68" t="str">
        <f>IF(main!CN215="","",ROUND(main!CN215*100,6))</f>
        <v/>
      </c>
      <c r="CC212" s="68" t="str">
        <f>IF(main!CO215="","",ROUND(main!CO215*100,6))</f>
        <v/>
      </c>
    </row>
    <row r="213" spans="1:81" x14ac:dyDescent="0.25">
      <c r="A213" s="65" t="s">
        <v>377</v>
      </c>
      <c r="B213" s="66" t="str">
        <f>main!C215</f>
        <v>Ceiling</v>
      </c>
      <c r="C213" s="67">
        <f>main!O215</f>
        <v>300000</v>
      </c>
      <c r="D213" s="65" t="s">
        <v>111</v>
      </c>
      <c r="E213" s="68" t="str">
        <f t="shared" si="3"/>
        <v/>
      </c>
      <c r="F213" s="68" t="str">
        <f>IF(main!R216="","",ROUND(main!R216*100,6))</f>
        <v/>
      </c>
      <c r="G213" s="68" t="str">
        <f>IF(main!S216="","",ROUND(main!S216*100,6))</f>
        <v/>
      </c>
      <c r="H213" s="68" t="str">
        <f>IF(main!T216="","",ROUND(main!T216*100,6))</f>
        <v/>
      </c>
      <c r="I213" s="68" t="str">
        <f>IF(main!U216="","",ROUND(main!U216*100,6))</f>
        <v/>
      </c>
      <c r="J213" s="68" t="str">
        <f>IF(main!V216="","",ROUND(main!V216*100,6))</f>
        <v/>
      </c>
      <c r="K213" s="68" t="str">
        <f>IF(main!W216="","",ROUND(main!W216*100,6))</f>
        <v/>
      </c>
      <c r="L213" s="68" t="str">
        <f>IF(main!X216="","",ROUND(main!X216*100,6))</f>
        <v/>
      </c>
      <c r="M213" s="68" t="str">
        <f>IF(main!Y216="","",ROUND(main!Y216*100,6))</f>
        <v/>
      </c>
      <c r="N213" s="68" t="str">
        <f>IF(main!Z216="","",ROUND(main!Z216*100,6))</f>
        <v/>
      </c>
      <c r="O213" s="68" t="str">
        <f>IF(main!AA216="","",ROUND(main!AA216*100,6))</f>
        <v/>
      </c>
      <c r="P213" s="68" t="str">
        <f>IF(main!AB216="","",ROUND(main!AB216*100,6))</f>
        <v/>
      </c>
      <c r="Q213" s="68" t="str">
        <f>IF(main!AC216="","",ROUND(main!AC216*100,6))</f>
        <v/>
      </c>
      <c r="R213" s="68" t="str">
        <f>IF(main!AD216="","",ROUND(main!AD216*100,6))</f>
        <v/>
      </c>
      <c r="S213" s="68" t="str">
        <f>IF(main!AE216="","",ROUND(main!AE216*100,6))</f>
        <v/>
      </c>
      <c r="T213" s="68" t="str">
        <f>IF(main!AF216="","",ROUND(main!AF216*100,6))</f>
        <v/>
      </c>
      <c r="U213" s="68" t="str">
        <f>IF(main!AG216="","",ROUND(main!AG216*100,6))</f>
        <v/>
      </c>
      <c r="V213" s="68" t="str">
        <f>IF(main!AH216="","",ROUND(main!AH216*100,6))</f>
        <v/>
      </c>
      <c r="W213" s="68" t="str">
        <f>IF(main!AI216="","",ROUND(main!AI216*100,6))</f>
        <v/>
      </c>
      <c r="X213" s="68" t="str">
        <f>IF(main!AJ216="","",ROUND(main!AJ216*100,6))</f>
        <v/>
      </c>
      <c r="Y213" s="68" t="str">
        <f>IF(main!AK216="","",ROUND(main!AK216*100,6))</f>
        <v/>
      </c>
      <c r="Z213" s="68" t="str">
        <f>IF(main!AL216="","",ROUND(main!AL216*100,6))</f>
        <v/>
      </c>
      <c r="AA213" s="68" t="str">
        <f>IF(main!AM216="","",ROUND(main!AM216*100,6))</f>
        <v/>
      </c>
      <c r="AB213" s="68" t="str">
        <f>IF(main!AN216="","",ROUND(main!AN216*100,6))</f>
        <v/>
      </c>
      <c r="AC213" s="68" t="str">
        <f>IF(main!AO216="","",ROUND(main!AO216*100,6))</f>
        <v/>
      </c>
      <c r="AD213" s="68" t="str">
        <f>IF(main!AP216="","",ROUND(main!AP216*100,6))</f>
        <v/>
      </c>
      <c r="AE213" s="68" t="str">
        <f>IF(main!AQ216="","",ROUND(main!AQ216*100,6))</f>
        <v/>
      </c>
      <c r="AF213" s="68" t="str">
        <f>IF(main!AR216="","",ROUND(main!AR216*100,6))</f>
        <v/>
      </c>
      <c r="AG213" s="68" t="str">
        <f>IF(main!AS216="","",ROUND(main!AS216*100,6))</f>
        <v/>
      </c>
      <c r="AH213" s="68" t="str">
        <f>IF(main!AT216="","",ROUND(main!AT216*100,6))</f>
        <v/>
      </c>
      <c r="AI213" s="68" t="str">
        <f>IF(main!AU216="","",ROUND(main!AU216*100,6))</f>
        <v/>
      </c>
      <c r="AJ213" s="68" t="str">
        <f>IF(main!AV216="","",ROUND(main!AV216*100,6))</f>
        <v/>
      </c>
      <c r="AK213" s="68" t="str">
        <f>IF(main!AW216="","",ROUND(main!AW216*100,6))</f>
        <v/>
      </c>
      <c r="AL213" s="68" t="str">
        <f>IF(main!AX216="","",ROUND(main!AX216*100,6))</f>
        <v/>
      </c>
      <c r="AM213" s="68" t="str">
        <f>IF(main!AY216="","",ROUND(main!AY216*100,6))</f>
        <v/>
      </c>
      <c r="AN213" s="68" t="str">
        <f>IF(main!AZ216="","",ROUND(main!AZ216*100,6))</f>
        <v/>
      </c>
      <c r="AO213" s="68" t="str">
        <f>IF(main!BA216="","",ROUND(main!BA216*100,6))</f>
        <v/>
      </c>
      <c r="AP213" s="68" t="str">
        <f>IF(main!BB216="","",ROUND(main!BB216*100,6))</f>
        <v/>
      </c>
      <c r="AQ213" s="68" t="str">
        <f>IF(main!BC216="","",ROUND(main!BC216*100,6))</f>
        <v/>
      </c>
      <c r="AR213" s="68" t="str">
        <f>IF(main!BD216="","",ROUND(main!BD216*100,6))</f>
        <v/>
      </c>
      <c r="AS213" s="68" t="str">
        <f>IF(main!BE216="","",ROUND(main!BE216*100,6))</f>
        <v/>
      </c>
      <c r="AT213" s="68" t="str">
        <f>IF(main!BF216="","",ROUND(main!BF216*100,6))</f>
        <v/>
      </c>
      <c r="AU213" s="68" t="str">
        <f>IF(main!BG216="","",ROUND(main!BG216*100,6))</f>
        <v/>
      </c>
      <c r="AV213" s="68" t="str">
        <f>IF(main!BH216="","",ROUND(main!BH216*100,6))</f>
        <v/>
      </c>
      <c r="AW213" s="68" t="str">
        <f>IF(main!BI216="","",ROUND(main!BI216*100,6))</f>
        <v/>
      </c>
      <c r="AX213" s="68" t="str">
        <f>IF(main!BJ216="","",ROUND(main!BJ216*100,6))</f>
        <v/>
      </c>
      <c r="AY213" s="68" t="str">
        <f>IF(main!BK216="","",ROUND(main!BK216*100,6))</f>
        <v/>
      </c>
      <c r="AZ213" s="68" t="str">
        <f>IF(main!BL216="","",ROUND(main!BL216*100,6))</f>
        <v/>
      </c>
      <c r="BA213" s="68" t="str">
        <f>IF(main!BM216="","",ROUND(main!BM216*100,6))</f>
        <v/>
      </c>
      <c r="BB213" s="68" t="str">
        <f>IF(main!BN216="","",ROUND(main!BN216*100,6))</f>
        <v/>
      </c>
      <c r="BC213" s="68" t="str">
        <f>IF(main!BO216="","",ROUND(main!BO216*100,6))</f>
        <v/>
      </c>
      <c r="BD213" s="68" t="str">
        <f>IF(main!BP216="","",ROUND(main!BP216*100,6))</f>
        <v/>
      </c>
      <c r="BE213" s="68" t="str">
        <f>IF(main!BQ216="","",ROUND(main!BQ216*100,6))</f>
        <v/>
      </c>
      <c r="BF213" s="68" t="str">
        <f>IF(main!BR216="","",ROUND(main!BR216*100,6))</f>
        <v/>
      </c>
      <c r="BG213" s="68" t="str">
        <f>IF(main!BS216="","",ROUND(main!BS216*100,6))</f>
        <v/>
      </c>
      <c r="BH213" s="68" t="str">
        <f>IF(main!BT216="","",ROUND(main!BT216*100,6))</f>
        <v/>
      </c>
      <c r="BI213" s="68" t="str">
        <f>IF(main!BU216="","",ROUND(main!BU216*100,6))</f>
        <v/>
      </c>
      <c r="BJ213" s="68" t="str">
        <f>IF(main!BV216="","",ROUND(main!BV216*100,6))</f>
        <v/>
      </c>
      <c r="BK213" s="68" t="str">
        <f>IF(main!BW216="","",ROUND(main!BW216*100,6))</f>
        <v/>
      </c>
      <c r="BL213" s="68" t="str">
        <f>IF(main!BX216="","",ROUND(main!BX216*100,6))</f>
        <v/>
      </c>
      <c r="BM213" s="68" t="str">
        <f>IF(main!BY216="","",ROUND(main!BY216*100,6))</f>
        <v/>
      </c>
      <c r="BN213" s="68" t="str">
        <f>IF(main!BZ216="","",ROUND(main!BZ216*100,6))</f>
        <v/>
      </c>
      <c r="BO213" s="68" t="str">
        <f>IF(main!CA216="","",ROUND(main!CA216*100,6))</f>
        <v/>
      </c>
      <c r="BP213" s="68" t="str">
        <f>IF(main!CB216="","",ROUND(main!CB216*100,6))</f>
        <v/>
      </c>
      <c r="BQ213" s="68" t="str">
        <f>IF(main!CC216="","",ROUND(main!CC216*100,6))</f>
        <v/>
      </c>
      <c r="BR213" s="68" t="str">
        <f>IF(main!CD216="","",ROUND(main!CD216*100,6))</f>
        <v/>
      </c>
      <c r="BS213" s="68" t="str">
        <f>IF(main!CE216="","",ROUND(main!CE216*100,6))</f>
        <v/>
      </c>
      <c r="BT213" s="68" t="str">
        <f>IF(main!CF216="","",ROUND(main!CF216*100,6))</f>
        <v/>
      </c>
      <c r="BU213" s="68" t="str">
        <f>IF(main!CG216="","",ROUND(main!CG216*100,6))</f>
        <v/>
      </c>
      <c r="BV213" s="68" t="str">
        <f>IF(main!CH216="","",ROUND(main!CH216*100,6))</f>
        <v/>
      </c>
      <c r="BW213" s="68" t="str">
        <f>IF(main!CI216="","",ROUND(main!CI216*100,6))</f>
        <v/>
      </c>
      <c r="BX213" s="68" t="str">
        <f>IF(main!CJ216="","",ROUND(main!CJ216*100,6))</f>
        <v/>
      </c>
      <c r="BY213" s="68" t="str">
        <f>IF(main!CK216="","",ROUND(main!CK216*100,6))</f>
        <v/>
      </c>
      <c r="BZ213" s="68" t="str">
        <f>IF(main!CL216="","",ROUND(main!CL216*100,6))</f>
        <v/>
      </c>
      <c r="CA213" s="68" t="str">
        <f>IF(main!CM216="","",ROUND(main!CM216*100,6))</f>
        <v/>
      </c>
      <c r="CB213" s="68" t="str">
        <f>IF(main!CN216="","",ROUND(main!CN216*100,6))</f>
        <v/>
      </c>
      <c r="CC213" s="68" t="str">
        <f>IF(main!CO216="","",ROUND(main!CO216*100,6))</f>
        <v/>
      </c>
    </row>
    <row r="214" spans="1:81" x14ac:dyDescent="0.25">
      <c r="A214" s="65" t="s">
        <v>378</v>
      </c>
      <c r="B214" s="66" t="str">
        <f>main!C217</f>
        <v>งานฝ้าห้องน้ำ</v>
      </c>
      <c r="C214" s="67">
        <f>main!O217</f>
        <v>100000</v>
      </c>
      <c r="D214" s="65" t="s">
        <v>110</v>
      </c>
      <c r="E214" s="68">
        <f t="shared" si="3"/>
        <v>100</v>
      </c>
      <c r="F214" s="68" t="str">
        <f>IF(main!R217="","",ROUND(main!R217*100,6))</f>
        <v/>
      </c>
      <c r="G214" s="68" t="str">
        <f>IF(main!S217="","",ROUND(main!S217*100,6))</f>
        <v/>
      </c>
      <c r="H214" s="68" t="str">
        <f>IF(main!T217="","",ROUND(main!T217*100,6))</f>
        <v/>
      </c>
      <c r="I214" s="68" t="str">
        <f>IF(main!U217="","",ROUND(main!U217*100,6))</f>
        <v/>
      </c>
      <c r="J214" s="68" t="str">
        <f>IF(main!V217="","",ROUND(main!V217*100,6))</f>
        <v/>
      </c>
      <c r="K214" s="68" t="str">
        <f>IF(main!W217="","",ROUND(main!W217*100,6))</f>
        <v/>
      </c>
      <c r="L214" s="68" t="str">
        <f>IF(main!X217="","",ROUND(main!X217*100,6))</f>
        <v/>
      </c>
      <c r="M214" s="68" t="str">
        <f>IF(main!Y217="","",ROUND(main!Y217*100,6))</f>
        <v/>
      </c>
      <c r="N214" s="68" t="str">
        <f>IF(main!Z217="","",ROUND(main!Z217*100,6))</f>
        <v/>
      </c>
      <c r="O214" s="68" t="str">
        <f>IF(main!AA217="","",ROUND(main!AA217*100,6))</f>
        <v/>
      </c>
      <c r="P214" s="68" t="str">
        <f>IF(main!AB217="","",ROUND(main!AB217*100,6))</f>
        <v/>
      </c>
      <c r="Q214" s="68" t="str">
        <f>IF(main!AC217="","",ROUND(main!AC217*100,6))</f>
        <v/>
      </c>
      <c r="R214" s="68" t="str">
        <f>IF(main!AD217="","",ROUND(main!AD217*100,6))</f>
        <v/>
      </c>
      <c r="S214" s="68" t="str">
        <f>IF(main!AE217="","",ROUND(main!AE217*100,6))</f>
        <v/>
      </c>
      <c r="T214" s="68" t="str">
        <f>IF(main!AF217="","",ROUND(main!AF217*100,6))</f>
        <v/>
      </c>
      <c r="U214" s="68" t="str">
        <f>IF(main!AG217="","",ROUND(main!AG217*100,6))</f>
        <v/>
      </c>
      <c r="V214" s="68" t="str">
        <f>IF(main!AH217="","",ROUND(main!AH217*100,6))</f>
        <v/>
      </c>
      <c r="W214" s="68" t="str">
        <f>IF(main!AI217="","",ROUND(main!AI217*100,6))</f>
        <v/>
      </c>
      <c r="X214" s="68" t="str">
        <f>IF(main!AJ217="","",ROUND(main!AJ217*100,6))</f>
        <v/>
      </c>
      <c r="Y214" s="68" t="str">
        <f>IF(main!AK217="","",ROUND(main!AK217*100,6))</f>
        <v/>
      </c>
      <c r="Z214" s="68" t="str">
        <f>IF(main!AL217="","",ROUND(main!AL217*100,6))</f>
        <v/>
      </c>
      <c r="AA214" s="68" t="str">
        <f>IF(main!AM217="","",ROUND(main!AM217*100,6))</f>
        <v/>
      </c>
      <c r="AB214" s="68" t="str">
        <f>IF(main!AN217="","",ROUND(main!AN217*100,6))</f>
        <v/>
      </c>
      <c r="AC214" s="68" t="str">
        <f>IF(main!AO217="","",ROUND(main!AO217*100,6))</f>
        <v/>
      </c>
      <c r="AD214" s="68" t="str">
        <f>IF(main!AP217="","",ROUND(main!AP217*100,6))</f>
        <v/>
      </c>
      <c r="AE214" s="68" t="str">
        <f>IF(main!AQ217="","",ROUND(main!AQ217*100,6))</f>
        <v/>
      </c>
      <c r="AF214" s="68" t="str">
        <f>IF(main!AR217="","",ROUND(main!AR217*100,6))</f>
        <v/>
      </c>
      <c r="AG214" s="68" t="str">
        <f>IF(main!AS217="","",ROUND(main!AS217*100,6))</f>
        <v/>
      </c>
      <c r="AH214" s="68" t="str">
        <f>IF(main!AT217="","",ROUND(main!AT217*100,6))</f>
        <v/>
      </c>
      <c r="AI214" s="68" t="str">
        <f>IF(main!AU217="","",ROUND(main!AU217*100,6))</f>
        <v/>
      </c>
      <c r="AJ214" s="68" t="str">
        <f>IF(main!AV217="","",ROUND(main!AV217*100,6))</f>
        <v/>
      </c>
      <c r="AK214" s="68" t="str">
        <f>IF(main!AW217="","",ROUND(main!AW217*100,6))</f>
        <v/>
      </c>
      <c r="AL214" s="68" t="str">
        <f>IF(main!AX217="","",ROUND(main!AX217*100,6))</f>
        <v/>
      </c>
      <c r="AM214" s="68" t="str">
        <f>IF(main!AY217="","",ROUND(main!AY217*100,6))</f>
        <v/>
      </c>
      <c r="AN214" s="68" t="str">
        <f>IF(main!AZ217="","",ROUND(main!AZ217*100,6))</f>
        <v/>
      </c>
      <c r="AO214" s="68" t="str">
        <f>IF(main!BA217="","",ROUND(main!BA217*100,6))</f>
        <v/>
      </c>
      <c r="AP214" s="68" t="str">
        <f>IF(main!BB217="","",ROUND(main!BB217*100,6))</f>
        <v/>
      </c>
      <c r="AQ214" s="68" t="str">
        <f>IF(main!BC217="","",ROUND(main!BC217*100,6))</f>
        <v/>
      </c>
      <c r="AR214" s="68" t="str">
        <f>IF(main!BD217="","",ROUND(main!BD217*100,6))</f>
        <v/>
      </c>
      <c r="AS214" s="68" t="str">
        <f>IF(main!BE217="","",ROUND(main!BE217*100,6))</f>
        <v/>
      </c>
      <c r="AT214" s="68" t="str">
        <f>IF(main!BF217="","",ROUND(main!BF217*100,6))</f>
        <v/>
      </c>
      <c r="AU214" s="68" t="str">
        <f>IF(main!BG217="","",ROUND(main!BG217*100,6))</f>
        <v/>
      </c>
      <c r="AV214" s="68" t="str">
        <f>IF(main!BH217="","",ROUND(main!BH217*100,6))</f>
        <v/>
      </c>
      <c r="AW214" s="68" t="str">
        <f>IF(main!BI217="","",ROUND(main!BI217*100,6))</f>
        <v/>
      </c>
      <c r="AX214" s="68" t="str">
        <f>IF(main!BJ217="","",ROUND(main!BJ217*100,6))</f>
        <v/>
      </c>
      <c r="AY214" s="68" t="str">
        <f>IF(main!BK217="","",ROUND(main!BK217*100,6))</f>
        <v/>
      </c>
      <c r="AZ214" s="68" t="str">
        <f>IF(main!BL217="","",ROUND(main!BL217*100,6))</f>
        <v/>
      </c>
      <c r="BA214" s="68" t="str">
        <f>IF(main!BM217="","",ROUND(main!BM217*100,6))</f>
        <v/>
      </c>
      <c r="BB214" s="68" t="str">
        <f>IF(main!BN217="","",ROUND(main!BN217*100,6))</f>
        <v/>
      </c>
      <c r="BC214" s="68" t="str">
        <f>IF(main!BO217="","",ROUND(main!BO217*100,6))</f>
        <v/>
      </c>
      <c r="BD214" s="68" t="str">
        <f>IF(main!BP217="","",ROUND(main!BP217*100,6))</f>
        <v/>
      </c>
      <c r="BE214" s="68" t="str">
        <f>IF(main!BQ217="","",ROUND(main!BQ217*100,6))</f>
        <v/>
      </c>
      <c r="BF214" s="68" t="str">
        <f>IF(main!BR217="","",ROUND(main!BR217*100,6))</f>
        <v/>
      </c>
      <c r="BG214" s="68" t="str">
        <f>IF(main!BS217="","",ROUND(main!BS217*100,6))</f>
        <v/>
      </c>
      <c r="BH214" s="68">
        <f>IF(main!BT217="","",ROUND(main!BT217*100,6))</f>
        <v>41.666666999999997</v>
      </c>
      <c r="BI214" s="68">
        <f>IF(main!BU217="","",ROUND(main!BU217*100,6))</f>
        <v>58.333333000000003</v>
      </c>
      <c r="BJ214" s="68" t="str">
        <f>IF(main!BV217="","",ROUND(main!BV217*100,6))</f>
        <v/>
      </c>
      <c r="BK214" s="68" t="str">
        <f>IF(main!BW217="","",ROUND(main!BW217*100,6))</f>
        <v/>
      </c>
      <c r="BL214" s="68" t="str">
        <f>IF(main!BX217="","",ROUND(main!BX217*100,6))</f>
        <v/>
      </c>
      <c r="BM214" s="68" t="str">
        <f>IF(main!BY217="","",ROUND(main!BY217*100,6))</f>
        <v/>
      </c>
      <c r="BN214" s="68" t="str">
        <f>IF(main!BZ217="","",ROUND(main!BZ217*100,6))</f>
        <v/>
      </c>
      <c r="BO214" s="68" t="str">
        <f>IF(main!CA217="","",ROUND(main!CA217*100,6))</f>
        <v/>
      </c>
      <c r="BP214" s="68" t="str">
        <f>IF(main!CB217="","",ROUND(main!CB217*100,6))</f>
        <v/>
      </c>
      <c r="BQ214" s="68" t="str">
        <f>IF(main!CC217="","",ROUND(main!CC217*100,6))</f>
        <v/>
      </c>
      <c r="BR214" s="68" t="str">
        <f>IF(main!CD217="","",ROUND(main!CD217*100,6))</f>
        <v/>
      </c>
      <c r="BS214" s="68" t="str">
        <f>IF(main!CE217="","",ROUND(main!CE217*100,6))</f>
        <v/>
      </c>
      <c r="BT214" s="68" t="str">
        <f>IF(main!CF217="","",ROUND(main!CF217*100,6))</f>
        <v/>
      </c>
      <c r="BU214" s="68" t="str">
        <f>IF(main!CG217="","",ROUND(main!CG217*100,6))</f>
        <v/>
      </c>
      <c r="BV214" s="68" t="str">
        <f>IF(main!CH217="","",ROUND(main!CH217*100,6))</f>
        <v/>
      </c>
      <c r="BW214" s="68" t="str">
        <f>IF(main!CI217="","",ROUND(main!CI217*100,6))</f>
        <v/>
      </c>
      <c r="BX214" s="68" t="str">
        <f>IF(main!CJ217="","",ROUND(main!CJ217*100,6))</f>
        <v/>
      </c>
      <c r="BY214" s="68" t="str">
        <f>IF(main!CK217="","",ROUND(main!CK217*100,6))</f>
        <v/>
      </c>
      <c r="BZ214" s="68" t="str">
        <f>IF(main!CL217="","",ROUND(main!CL217*100,6))</f>
        <v/>
      </c>
      <c r="CA214" s="68" t="str">
        <f>IF(main!CM217="","",ROUND(main!CM217*100,6))</f>
        <v/>
      </c>
      <c r="CB214" s="68" t="str">
        <f>IF(main!CN217="","",ROUND(main!CN217*100,6))</f>
        <v/>
      </c>
      <c r="CC214" s="68" t="str">
        <f>IF(main!CO217="","",ROUND(main!CO217*100,6))</f>
        <v/>
      </c>
    </row>
    <row r="215" spans="1:81" x14ac:dyDescent="0.25">
      <c r="A215" s="65" t="s">
        <v>378</v>
      </c>
      <c r="B215" s="66" t="str">
        <f>main!C217</f>
        <v>งานฝ้าห้องน้ำ</v>
      </c>
      <c r="C215" s="67">
        <f>main!O217</f>
        <v>100000</v>
      </c>
      <c r="D215" s="65" t="s">
        <v>111</v>
      </c>
      <c r="E215" s="68" t="str">
        <f t="shared" si="3"/>
        <v/>
      </c>
      <c r="F215" s="68" t="str">
        <f>IF(main!R218="","",ROUND(main!R218*100,6))</f>
        <v/>
      </c>
      <c r="G215" s="68" t="str">
        <f>IF(main!S218="","",ROUND(main!S218*100,6))</f>
        <v/>
      </c>
      <c r="H215" s="68" t="str">
        <f>IF(main!T218="","",ROUND(main!T218*100,6))</f>
        <v/>
      </c>
      <c r="I215" s="68" t="str">
        <f>IF(main!U218="","",ROUND(main!U218*100,6))</f>
        <v/>
      </c>
      <c r="J215" s="68" t="str">
        <f>IF(main!V218="","",ROUND(main!V218*100,6))</f>
        <v/>
      </c>
      <c r="K215" s="68" t="str">
        <f>IF(main!W218="","",ROUND(main!W218*100,6))</f>
        <v/>
      </c>
      <c r="L215" s="68" t="str">
        <f>IF(main!X218="","",ROUND(main!X218*100,6))</f>
        <v/>
      </c>
      <c r="M215" s="68" t="str">
        <f>IF(main!Y218="","",ROUND(main!Y218*100,6))</f>
        <v/>
      </c>
      <c r="N215" s="68" t="str">
        <f>IF(main!Z218="","",ROUND(main!Z218*100,6))</f>
        <v/>
      </c>
      <c r="O215" s="68" t="str">
        <f>IF(main!AA218="","",ROUND(main!AA218*100,6))</f>
        <v/>
      </c>
      <c r="P215" s="68" t="str">
        <f>IF(main!AB218="","",ROUND(main!AB218*100,6))</f>
        <v/>
      </c>
      <c r="Q215" s="68" t="str">
        <f>IF(main!AC218="","",ROUND(main!AC218*100,6))</f>
        <v/>
      </c>
      <c r="R215" s="68" t="str">
        <f>IF(main!AD218="","",ROUND(main!AD218*100,6))</f>
        <v/>
      </c>
      <c r="S215" s="68" t="str">
        <f>IF(main!AE218="","",ROUND(main!AE218*100,6))</f>
        <v/>
      </c>
      <c r="T215" s="68" t="str">
        <f>IF(main!AF218="","",ROUND(main!AF218*100,6))</f>
        <v/>
      </c>
      <c r="U215" s="68" t="str">
        <f>IF(main!AG218="","",ROUND(main!AG218*100,6))</f>
        <v/>
      </c>
      <c r="V215" s="68" t="str">
        <f>IF(main!AH218="","",ROUND(main!AH218*100,6))</f>
        <v/>
      </c>
      <c r="W215" s="68" t="str">
        <f>IF(main!AI218="","",ROUND(main!AI218*100,6))</f>
        <v/>
      </c>
      <c r="X215" s="68" t="str">
        <f>IF(main!AJ218="","",ROUND(main!AJ218*100,6))</f>
        <v/>
      </c>
      <c r="Y215" s="68" t="str">
        <f>IF(main!AK218="","",ROUND(main!AK218*100,6))</f>
        <v/>
      </c>
      <c r="Z215" s="68" t="str">
        <f>IF(main!AL218="","",ROUND(main!AL218*100,6))</f>
        <v/>
      </c>
      <c r="AA215" s="68" t="str">
        <f>IF(main!AM218="","",ROUND(main!AM218*100,6))</f>
        <v/>
      </c>
      <c r="AB215" s="68" t="str">
        <f>IF(main!AN218="","",ROUND(main!AN218*100,6))</f>
        <v/>
      </c>
      <c r="AC215" s="68" t="str">
        <f>IF(main!AO218="","",ROUND(main!AO218*100,6))</f>
        <v/>
      </c>
      <c r="AD215" s="68" t="str">
        <f>IF(main!AP218="","",ROUND(main!AP218*100,6))</f>
        <v/>
      </c>
      <c r="AE215" s="68" t="str">
        <f>IF(main!AQ218="","",ROUND(main!AQ218*100,6))</f>
        <v/>
      </c>
      <c r="AF215" s="68" t="str">
        <f>IF(main!AR218="","",ROUND(main!AR218*100,6))</f>
        <v/>
      </c>
      <c r="AG215" s="68" t="str">
        <f>IF(main!AS218="","",ROUND(main!AS218*100,6))</f>
        <v/>
      </c>
      <c r="AH215" s="68" t="str">
        <f>IF(main!AT218="","",ROUND(main!AT218*100,6))</f>
        <v/>
      </c>
      <c r="AI215" s="68" t="str">
        <f>IF(main!AU218="","",ROUND(main!AU218*100,6))</f>
        <v/>
      </c>
      <c r="AJ215" s="68" t="str">
        <f>IF(main!AV218="","",ROUND(main!AV218*100,6))</f>
        <v/>
      </c>
      <c r="AK215" s="68" t="str">
        <f>IF(main!AW218="","",ROUND(main!AW218*100,6))</f>
        <v/>
      </c>
      <c r="AL215" s="68" t="str">
        <f>IF(main!AX218="","",ROUND(main!AX218*100,6))</f>
        <v/>
      </c>
      <c r="AM215" s="68" t="str">
        <f>IF(main!AY218="","",ROUND(main!AY218*100,6))</f>
        <v/>
      </c>
      <c r="AN215" s="68" t="str">
        <f>IF(main!AZ218="","",ROUND(main!AZ218*100,6))</f>
        <v/>
      </c>
      <c r="AO215" s="68" t="str">
        <f>IF(main!BA218="","",ROUND(main!BA218*100,6))</f>
        <v/>
      </c>
      <c r="AP215" s="68" t="str">
        <f>IF(main!BB218="","",ROUND(main!BB218*100,6))</f>
        <v/>
      </c>
      <c r="AQ215" s="68" t="str">
        <f>IF(main!BC218="","",ROUND(main!BC218*100,6))</f>
        <v/>
      </c>
      <c r="AR215" s="68" t="str">
        <f>IF(main!BD218="","",ROUND(main!BD218*100,6))</f>
        <v/>
      </c>
      <c r="AS215" s="68" t="str">
        <f>IF(main!BE218="","",ROUND(main!BE218*100,6))</f>
        <v/>
      </c>
      <c r="AT215" s="68" t="str">
        <f>IF(main!BF218="","",ROUND(main!BF218*100,6))</f>
        <v/>
      </c>
      <c r="AU215" s="68" t="str">
        <f>IF(main!BG218="","",ROUND(main!BG218*100,6))</f>
        <v/>
      </c>
      <c r="AV215" s="68" t="str">
        <f>IF(main!BH218="","",ROUND(main!BH218*100,6))</f>
        <v/>
      </c>
      <c r="AW215" s="68" t="str">
        <f>IF(main!BI218="","",ROUND(main!BI218*100,6))</f>
        <v/>
      </c>
      <c r="AX215" s="68" t="str">
        <f>IF(main!BJ218="","",ROUND(main!BJ218*100,6))</f>
        <v/>
      </c>
      <c r="AY215" s="68" t="str">
        <f>IF(main!BK218="","",ROUND(main!BK218*100,6))</f>
        <v/>
      </c>
      <c r="AZ215" s="68" t="str">
        <f>IF(main!BL218="","",ROUND(main!BL218*100,6))</f>
        <v/>
      </c>
      <c r="BA215" s="68" t="str">
        <f>IF(main!BM218="","",ROUND(main!BM218*100,6))</f>
        <v/>
      </c>
      <c r="BB215" s="68" t="str">
        <f>IF(main!BN218="","",ROUND(main!BN218*100,6))</f>
        <v/>
      </c>
      <c r="BC215" s="68" t="str">
        <f>IF(main!BO218="","",ROUND(main!BO218*100,6))</f>
        <v/>
      </c>
      <c r="BD215" s="68" t="str">
        <f>IF(main!BP218="","",ROUND(main!BP218*100,6))</f>
        <v/>
      </c>
      <c r="BE215" s="68" t="str">
        <f>IF(main!BQ218="","",ROUND(main!BQ218*100,6))</f>
        <v/>
      </c>
      <c r="BF215" s="68" t="str">
        <f>IF(main!BR218="","",ROUND(main!BR218*100,6))</f>
        <v/>
      </c>
      <c r="BG215" s="68" t="str">
        <f>IF(main!BS218="","",ROUND(main!BS218*100,6))</f>
        <v/>
      </c>
      <c r="BH215" s="68" t="str">
        <f>IF(main!BT218="","",ROUND(main!BT218*100,6))</f>
        <v/>
      </c>
      <c r="BI215" s="68" t="str">
        <f>IF(main!BU218="","",ROUND(main!BU218*100,6))</f>
        <v/>
      </c>
      <c r="BJ215" s="68" t="str">
        <f>IF(main!BV218="","",ROUND(main!BV218*100,6))</f>
        <v/>
      </c>
      <c r="BK215" s="68" t="str">
        <f>IF(main!BW218="","",ROUND(main!BW218*100,6))</f>
        <v/>
      </c>
      <c r="BL215" s="68" t="str">
        <f>IF(main!BX218="","",ROUND(main!BX218*100,6))</f>
        <v/>
      </c>
      <c r="BM215" s="68" t="str">
        <f>IF(main!BY218="","",ROUND(main!BY218*100,6))</f>
        <v/>
      </c>
      <c r="BN215" s="68" t="str">
        <f>IF(main!BZ218="","",ROUND(main!BZ218*100,6))</f>
        <v/>
      </c>
      <c r="BO215" s="68" t="str">
        <f>IF(main!CA218="","",ROUND(main!CA218*100,6))</f>
        <v/>
      </c>
      <c r="BP215" s="68" t="str">
        <f>IF(main!CB218="","",ROUND(main!CB218*100,6))</f>
        <v/>
      </c>
      <c r="BQ215" s="68" t="str">
        <f>IF(main!CC218="","",ROUND(main!CC218*100,6))</f>
        <v/>
      </c>
      <c r="BR215" s="68" t="str">
        <f>IF(main!CD218="","",ROUND(main!CD218*100,6))</f>
        <v/>
      </c>
      <c r="BS215" s="68" t="str">
        <f>IF(main!CE218="","",ROUND(main!CE218*100,6))</f>
        <v/>
      </c>
      <c r="BT215" s="68" t="str">
        <f>IF(main!CF218="","",ROUND(main!CF218*100,6))</f>
        <v/>
      </c>
      <c r="BU215" s="68" t="str">
        <f>IF(main!CG218="","",ROUND(main!CG218*100,6))</f>
        <v/>
      </c>
      <c r="BV215" s="68" t="str">
        <f>IF(main!CH218="","",ROUND(main!CH218*100,6))</f>
        <v/>
      </c>
      <c r="BW215" s="68" t="str">
        <f>IF(main!CI218="","",ROUND(main!CI218*100,6))</f>
        <v/>
      </c>
      <c r="BX215" s="68" t="str">
        <f>IF(main!CJ218="","",ROUND(main!CJ218*100,6))</f>
        <v/>
      </c>
      <c r="BY215" s="68" t="str">
        <f>IF(main!CK218="","",ROUND(main!CK218*100,6))</f>
        <v/>
      </c>
      <c r="BZ215" s="68" t="str">
        <f>IF(main!CL218="","",ROUND(main!CL218*100,6))</f>
        <v/>
      </c>
      <c r="CA215" s="68" t="str">
        <f>IF(main!CM218="","",ROUND(main!CM218*100,6))</f>
        <v/>
      </c>
      <c r="CB215" s="68" t="str">
        <f>IF(main!CN218="","",ROUND(main!CN218*100,6))</f>
        <v/>
      </c>
      <c r="CC215" s="68" t="str">
        <f>IF(main!CO218="","",ROUND(main!CO218*100,6))</f>
        <v/>
      </c>
    </row>
    <row r="216" spans="1:81" x14ac:dyDescent="0.25">
      <c r="A216" s="65" t="s">
        <v>380</v>
      </c>
      <c r="B216" s="66" t="str">
        <f>main!C219</f>
        <v>งานแต่งเรียบท้องพื้น ท้องคาน</v>
      </c>
      <c r="C216" s="67">
        <f>main!O219</f>
        <v>100000</v>
      </c>
      <c r="D216" s="65" t="s">
        <v>110</v>
      </c>
      <c r="E216" s="68">
        <f t="shared" si="3"/>
        <v>100</v>
      </c>
      <c r="F216" s="68" t="str">
        <f>IF(main!R219="","",ROUND(main!R219*100,6))</f>
        <v/>
      </c>
      <c r="G216" s="68" t="str">
        <f>IF(main!S219="","",ROUND(main!S219*100,6))</f>
        <v/>
      </c>
      <c r="H216" s="68" t="str">
        <f>IF(main!T219="","",ROUND(main!T219*100,6))</f>
        <v/>
      </c>
      <c r="I216" s="68" t="str">
        <f>IF(main!U219="","",ROUND(main!U219*100,6))</f>
        <v/>
      </c>
      <c r="J216" s="68" t="str">
        <f>IF(main!V219="","",ROUND(main!V219*100,6))</f>
        <v/>
      </c>
      <c r="K216" s="68" t="str">
        <f>IF(main!W219="","",ROUND(main!W219*100,6))</f>
        <v/>
      </c>
      <c r="L216" s="68" t="str">
        <f>IF(main!X219="","",ROUND(main!X219*100,6))</f>
        <v/>
      </c>
      <c r="M216" s="68" t="str">
        <f>IF(main!Y219="","",ROUND(main!Y219*100,6))</f>
        <v/>
      </c>
      <c r="N216" s="68" t="str">
        <f>IF(main!Z219="","",ROUND(main!Z219*100,6))</f>
        <v/>
      </c>
      <c r="O216" s="68" t="str">
        <f>IF(main!AA219="","",ROUND(main!AA219*100,6))</f>
        <v/>
      </c>
      <c r="P216" s="68" t="str">
        <f>IF(main!AB219="","",ROUND(main!AB219*100,6))</f>
        <v/>
      </c>
      <c r="Q216" s="68" t="str">
        <f>IF(main!AC219="","",ROUND(main!AC219*100,6))</f>
        <v/>
      </c>
      <c r="R216" s="68" t="str">
        <f>IF(main!AD219="","",ROUND(main!AD219*100,6))</f>
        <v/>
      </c>
      <c r="S216" s="68" t="str">
        <f>IF(main!AE219="","",ROUND(main!AE219*100,6))</f>
        <v/>
      </c>
      <c r="T216" s="68" t="str">
        <f>IF(main!AF219="","",ROUND(main!AF219*100,6))</f>
        <v/>
      </c>
      <c r="U216" s="68" t="str">
        <f>IF(main!AG219="","",ROUND(main!AG219*100,6))</f>
        <v/>
      </c>
      <c r="V216" s="68" t="str">
        <f>IF(main!AH219="","",ROUND(main!AH219*100,6))</f>
        <v/>
      </c>
      <c r="W216" s="68" t="str">
        <f>IF(main!AI219="","",ROUND(main!AI219*100,6))</f>
        <v/>
      </c>
      <c r="X216" s="68" t="str">
        <f>IF(main!AJ219="","",ROUND(main!AJ219*100,6))</f>
        <v/>
      </c>
      <c r="Y216" s="68" t="str">
        <f>IF(main!AK219="","",ROUND(main!AK219*100,6))</f>
        <v/>
      </c>
      <c r="Z216" s="68" t="str">
        <f>IF(main!AL219="","",ROUND(main!AL219*100,6))</f>
        <v/>
      </c>
      <c r="AA216" s="68" t="str">
        <f>IF(main!AM219="","",ROUND(main!AM219*100,6))</f>
        <v/>
      </c>
      <c r="AB216" s="68" t="str">
        <f>IF(main!AN219="","",ROUND(main!AN219*100,6))</f>
        <v/>
      </c>
      <c r="AC216" s="68" t="str">
        <f>IF(main!AO219="","",ROUND(main!AO219*100,6))</f>
        <v/>
      </c>
      <c r="AD216" s="68" t="str">
        <f>IF(main!AP219="","",ROUND(main!AP219*100,6))</f>
        <v/>
      </c>
      <c r="AE216" s="68" t="str">
        <f>IF(main!AQ219="","",ROUND(main!AQ219*100,6))</f>
        <v/>
      </c>
      <c r="AF216" s="68" t="str">
        <f>IF(main!AR219="","",ROUND(main!AR219*100,6))</f>
        <v/>
      </c>
      <c r="AG216" s="68" t="str">
        <f>IF(main!AS219="","",ROUND(main!AS219*100,6))</f>
        <v/>
      </c>
      <c r="AH216" s="68" t="str">
        <f>IF(main!AT219="","",ROUND(main!AT219*100,6))</f>
        <v/>
      </c>
      <c r="AI216" s="68" t="str">
        <f>IF(main!AU219="","",ROUND(main!AU219*100,6))</f>
        <v/>
      </c>
      <c r="AJ216" s="68" t="str">
        <f>IF(main!AV219="","",ROUND(main!AV219*100,6))</f>
        <v/>
      </c>
      <c r="AK216" s="68" t="str">
        <f>IF(main!AW219="","",ROUND(main!AW219*100,6))</f>
        <v/>
      </c>
      <c r="AL216" s="68" t="str">
        <f>IF(main!AX219="","",ROUND(main!AX219*100,6))</f>
        <v/>
      </c>
      <c r="AM216" s="68" t="str">
        <f>IF(main!AY219="","",ROUND(main!AY219*100,6))</f>
        <v/>
      </c>
      <c r="AN216" s="68" t="str">
        <f>IF(main!AZ219="","",ROUND(main!AZ219*100,6))</f>
        <v/>
      </c>
      <c r="AO216" s="68" t="str">
        <f>IF(main!BA219="","",ROUND(main!BA219*100,6))</f>
        <v/>
      </c>
      <c r="AP216" s="68" t="str">
        <f>IF(main!BB219="","",ROUND(main!BB219*100,6))</f>
        <v/>
      </c>
      <c r="AQ216" s="68" t="str">
        <f>IF(main!BC219="","",ROUND(main!BC219*100,6))</f>
        <v/>
      </c>
      <c r="AR216" s="68" t="str">
        <f>IF(main!BD219="","",ROUND(main!BD219*100,6))</f>
        <v/>
      </c>
      <c r="AS216" s="68" t="str">
        <f>IF(main!BE219="","",ROUND(main!BE219*100,6))</f>
        <v/>
      </c>
      <c r="AT216" s="68" t="str">
        <f>IF(main!BF219="","",ROUND(main!BF219*100,6))</f>
        <v/>
      </c>
      <c r="AU216" s="68">
        <f>IF(main!BG219="","",ROUND(main!BG219*100,6))</f>
        <v>4.7619049999999996</v>
      </c>
      <c r="AV216" s="68">
        <f>IF(main!BH219="","",ROUND(main!BH219*100,6))</f>
        <v>33.333333000000003</v>
      </c>
      <c r="AW216" s="68">
        <f>IF(main!BI219="","",ROUND(main!BI219*100,6))</f>
        <v>33.333333000000003</v>
      </c>
      <c r="AX216" s="68">
        <f>IF(main!BJ219="","",ROUND(main!BJ219*100,6))</f>
        <v>28.571428999999998</v>
      </c>
      <c r="AY216" s="68" t="str">
        <f>IF(main!BK219="","",ROUND(main!BK219*100,6))</f>
        <v/>
      </c>
      <c r="AZ216" s="68" t="str">
        <f>IF(main!BL219="","",ROUND(main!BL219*100,6))</f>
        <v/>
      </c>
      <c r="BA216" s="68" t="str">
        <f>IF(main!BM219="","",ROUND(main!BM219*100,6))</f>
        <v/>
      </c>
      <c r="BB216" s="68" t="str">
        <f>IF(main!BN219="","",ROUND(main!BN219*100,6))</f>
        <v/>
      </c>
      <c r="BC216" s="68" t="str">
        <f>IF(main!BO219="","",ROUND(main!BO219*100,6))</f>
        <v/>
      </c>
      <c r="BD216" s="68" t="str">
        <f>IF(main!BP219="","",ROUND(main!BP219*100,6))</f>
        <v/>
      </c>
      <c r="BE216" s="68" t="str">
        <f>IF(main!BQ219="","",ROUND(main!BQ219*100,6))</f>
        <v/>
      </c>
      <c r="BF216" s="68" t="str">
        <f>IF(main!BR219="","",ROUND(main!BR219*100,6))</f>
        <v/>
      </c>
      <c r="BG216" s="68" t="str">
        <f>IF(main!BS219="","",ROUND(main!BS219*100,6))</f>
        <v/>
      </c>
      <c r="BH216" s="68" t="str">
        <f>IF(main!BT219="","",ROUND(main!BT219*100,6))</f>
        <v/>
      </c>
      <c r="BI216" s="68" t="str">
        <f>IF(main!BU219="","",ROUND(main!BU219*100,6))</f>
        <v/>
      </c>
      <c r="BJ216" s="68" t="str">
        <f>IF(main!BV219="","",ROUND(main!BV219*100,6))</f>
        <v/>
      </c>
      <c r="BK216" s="68" t="str">
        <f>IF(main!BW219="","",ROUND(main!BW219*100,6))</f>
        <v/>
      </c>
      <c r="BL216" s="68" t="str">
        <f>IF(main!BX219="","",ROUND(main!BX219*100,6))</f>
        <v/>
      </c>
      <c r="BM216" s="68" t="str">
        <f>IF(main!BY219="","",ROUND(main!BY219*100,6))</f>
        <v/>
      </c>
      <c r="BN216" s="68" t="str">
        <f>IF(main!BZ219="","",ROUND(main!BZ219*100,6))</f>
        <v/>
      </c>
      <c r="BO216" s="68" t="str">
        <f>IF(main!CA219="","",ROUND(main!CA219*100,6))</f>
        <v/>
      </c>
      <c r="BP216" s="68" t="str">
        <f>IF(main!CB219="","",ROUND(main!CB219*100,6))</f>
        <v/>
      </c>
      <c r="BQ216" s="68" t="str">
        <f>IF(main!CC219="","",ROUND(main!CC219*100,6))</f>
        <v/>
      </c>
      <c r="BR216" s="68" t="str">
        <f>IF(main!CD219="","",ROUND(main!CD219*100,6))</f>
        <v/>
      </c>
      <c r="BS216" s="68" t="str">
        <f>IF(main!CE219="","",ROUND(main!CE219*100,6))</f>
        <v/>
      </c>
      <c r="BT216" s="68" t="str">
        <f>IF(main!CF219="","",ROUND(main!CF219*100,6))</f>
        <v/>
      </c>
      <c r="BU216" s="68" t="str">
        <f>IF(main!CG219="","",ROUND(main!CG219*100,6))</f>
        <v/>
      </c>
      <c r="BV216" s="68" t="str">
        <f>IF(main!CH219="","",ROUND(main!CH219*100,6))</f>
        <v/>
      </c>
      <c r="BW216" s="68" t="str">
        <f>IF(main!CI219="","",ROUND(main!CI219*100,6))</f>
        <v/>
      </c>
      <c r="BX216" s="68" t="str">
        <f>IF(main!CJ219="","",ROUND(main!CJ219*100,6))</f>
        <v/>
      </c>
      <c r="BY216" s="68" t="str">
        <f>IF(main!CK219="","",ROUND(main!CK219*100,6))</f>
        <v/>
      </c>
      <c r="BZ216" s="68" t="str">
        <f>IF(main!CL219="","",ROUND(main!CL219*100,6))</f>
        <v/>
      </c>
      <c r="CA216" s="68" t="str">
        <f>IF(main!CM219="","",ROUND(main!CM219*100,6))</f>
        <v/>
      </c>
      <c r="CB216" s="68" t="str">
        <f>IF(main!CN219="","",ROUND(main!CN219*100,6))</f>
        <v/>
      </c>
      <c r="CC216" s="68" t="str">
        <f>IF(main!CO219="","",ROUND(main!CO219*100,6))</f>
        <v/>
      </c>
    </row>
    <row r="217" spans="1:81" x14ac:dyDescent="0.25">
      <c r="A217" s="65" t="s">
        <v>380</v>
      </c>
      <c r="B217" s="66" t="str">
        <f>main!C219</f>
        <v>งานแต่งเรียบท้องพื้น ท้องคาน</v>
      </c>
      <c r="C217" s="67">
        <f>main!O219</f>
        <v>100000</v>
      </c>
      <c r="D217" s="65" t="s">
        <v>111</v>
      </c>
      <c r="E217" s="68" t="str">
        <f t="shared" si="3"/>
        <v/>
      </c>
      <c r="F217" s="68" t="str">
        <f>IF(main!R220="","",ROUND(main!R220*100,6))</f>
        <v/>
      </c>
      <c r="G217" s="68" t="str">
        <f>IF(main!S220="","",ROUND(main!S220*100,6))</f>
        <v/>
      </c>
      <c r="H217" s="68" t="str">
        <f>IF(main!T220="","",ROUND(main!T220*100,6))</f>
        <v/>
      </c>
      <c r="I217" s="68" t="str">
        <f>IF(main!U220="","",ROUND(main!U220*100,6))</f>
        <v/>
      </c>
      <c r="J217" s="68" t="str">
        <f>IF(main!V220="","",ROUND(main!V220*100,6))</f>
        <v/>
      </c>
      <c r="K217" s="68" t="str">
        <f>IF(main!W220="","",ROUND(main!W220*100,6))</f>
        <v/>
      </c>
      <c r="L217" s="68" t="str">
        <f>IF(main!X220="","",ROUND(main!X220*100,6))</f>
        <v/>
      </c>
      <c r="M217" s="68" t="str">
        <f>IF(main!Y220="","",ROUND(main!Y220*100,6))</f>
        <v/>
      </c>
      <c r="N217" s="68" t="str">
        <f>IF(main!Z220="","",ROUND(main!Z220*100,6))</f>
        <v/>
      </c>
      <c r="O217" s="68" t="str">
        <f>IF(main!AA220="","",ROUND(main!AA220*100,6))</f>
        <v/>
      </c>
      <c r="P217" s="68" t="str">
        <f>IF(main!AB220="","",ROUND(main!AB220*100,6))</f>
        <v/>
      </c>
      <c r="Q217" s="68" t="str">
        <f>IF(main!AC220="","",ROUND(main!AC220*100,6))</f>
        <v/>
      </c>
      <c r="R217" s="68" t="str">
        <f>IF(main!AD220="","",ROUND(main!AD220*100,6))</f>
        <v/>
      </c>
      <c r="S217" s="68" t="str">
        <f>IF(main!AE220="","",ROUND(main!AE220*100,6))</f>
        <v/>
      </c>
      <c r="T217" s="68" t="str">
        <f>IF(main!AF220="","",ROUND(main!AF220*100,6))</f>
        <v/>
      </c>
      <c r="U217" s="68" t="str">
        <f>IF(main!AG220="","",ROUND(main!AG220*100,6))</f>
        <v/>
      </c>
      <c r="V217" s="68" t="str">
        <f>IF(main!AH220="","",ROUND(main!AH220*100,6))</f>
        <v/>
      </c>
      <c r="W217" s="68" t="str">
        <f>IF(main!AI220="","",ROUND(main!AI220*100,6))</f>
        <v/>
      </c>
      <c r="X217" s="68" t="str">
        <f>IF(main!AJ220="","",ROUND(main!AJ220*100,6))</f>
        <v/>
      </c>
      <c r="Y217" s="68" t="str">
        <f>IF(main!AK220="","",ROUND(main!AK220*100,6))</f>
        <v/>
      </c>
      <c r="Z217" s="68" t="str">
        <f>IF(main!AL220="","",ROUND(main!AL220*100,6))</f>
        <v/>
      </c>
      <c r="AA217" s="68" t="str">
        <f>IF(main!AM220="","",ROUND(main!AM220*100,6))</f>
        <v/>
      </c>
      <c r="AB217" s="68" t="str">
        <f>IF(main!AN220="","",ROUND(main!AN220*100,6))</f>
        <v/>
      </c>
      <c r="AC217" s="68" t="str">
        <f>IF(main!AO220="","",ROUND(main!AO220*100,6))</f>
        <v/>
      </c>
      <c r="AD217" s="68" t="str">
        <f>IF(main!AP220="","",ROUND(main!AP220*100,6))</f>
        <v/>
      </c>
      <c r="AE217" s="68" t="str">
        <f>IF(main!AQ220="","",ROUND(main!AQ220*100,6))</f>
        <v/>
      </c>
      <c r="AF217" s="68" t="str">
        <f>IF(main!AR220="","",ROUND(main!AR220*100,6))</f>
        <v/>
      </c>
      <c r="AG217" s="68" t="str">
        <f>IF(main!AS220="","",ROUND(main!AS220*100,6))</f>
        <v/>
      </c>
      <c r="AH217" s="68" t="str">
        <f>IF(main!AT220="","",ROUND(main!AT220*100,6))</f>
        <v/>
      </c>
      <c r="AI217" s="68" t="str">
        <f>IF(main!AU220="","",ROUND(main!AU220*100,6))</f>
        <v/>
      </c>
      <c r="AJ217" s="68" t="str">
        <f>IF(main!AV220="","",ROUND(main!AV220*100,6))</f>
        <v/>
      </c>
      <c r="AK217" s="68" t="str">
        <f>IF(main!AW220="","",ROUND(main!AW220*100,6))</f>
        <v/>
      </c>
      <c r="AL217" s="68" t="str">
        <f>IF(main!AX220="","",ROUND(main!AX220*100,6))</f>
        <v/>
      </c>
      <c r="AM217" s="68" t="str">
        <f>IF(main!AY220="","",ROUND(main!AY220*100,6))</f>
        <v/>
      </c>
      <c r="AN217" s="68" t="str">
        <f>IF(main!AZ220="","",ROUND(main!AZ220*100,6))</f>
        <v/>
      </c>
      <c r="AO217" s="68" t="str">
        <f>IF(main!BA220="","",ROUND(main!BA220*100,6))</f>
        <v/>
      </c>
      <c r="AP217" s="68" t="str">
        <f>IF(main!BB220="","",ROUND(main!BB220*100,6))</f>
        <v/>
      </c>
      <c r="AQ217" s="68" t="str">
        <f>IF(main!BC220="","",ROUND(main!BC220*100,6))</f>
        <v/>
      </c>
      <c r="AR217" s="68" t="str">
        <f>IF(main!BD220="","",ROUND(main!BD220*100,6))</f>
        <v/>
      </c>
      <c r="AS217" s="68" t="str">
        <f>IF(main!BE220="","",ROUND(main!BE220*100,6))</f>
        <v/>
      </c>
      <c r="AT217" s="68" t="str">
        <f>IF(main!BF220="","",ROUND(main!BF220*100,6))</f>
        <v/>
      </c>
      <c r="AU217" s="68" t="str">
        <f>IF(main!BG220="","",ROUND(main!BG220*100,6))</f>
        <v/>
      </c>
      <c r="AV217" s="68" t="str">
        <f>IF(main!BH220="","",ROUND(main!BH220*100,6))</f>
        <v/>
      </c>
      <c r="AW217" s="68" t="str">
        <f>IF(main!BI220="","",ROUND(main!BI220*100,6))</f>
        <v/>
      </c>
      <c r="AX217" s="68" t="str">
        <f>IF(main!BJ220="","",ROUND(main!BJ220*100,6))</f>
        <v/>
      </c>
      <c r="AY217" s="68" t="str">
        <f>IF(main!BK220="","",ROUND(main!BK220*100,6))</f>
        <v/>
      </c>
      <c r="AZ217" s="68" t="str">
        <f>IF(main!BL220="","",ROUND(main!BL220*100,6))</f>
        <v/>
      </c>
      <c r="BA217" s="68" t="str">
        <f>IF(main!BM220="","",ROUND(main!BM220*100,6))</f>
        <v/>
      </c>
      <c r="BB217" s="68" t="str">
        <f>IF(main!BN220="","",ROUND(main!BN220*100,6))</f>
        <v/>
      </c>
      <c r="BC217" s="68" t="str">
        <f>IF(main!BO220="","",ROUND(main!BO220*100,6))</f>
        <v/>
      </c>
      <c r="BD217" s="68" t="str">
        <f>IF(main!BP220="","",ROUND(main!BP220*100,6))</f>
        <v/>
      </c>
      <c r="BE217" s="68" t="str">
        <f>IF(main!BQ220="","",ROUND(main!BQ220*100,6))</f>
        <v/>
      </c>
      <c r="BF217" s="68" t="str">
        <f>IF(main!BR220="","",ROUND(main!BR220*100,6))</f>
        <v/>
      </c>
      <c r="BG217" s="68" t="str">
        <f>IF(main!BS220="","",ROUND(main!BS220*100,6))</f>
        <v/>
      </c>
      <c r="BH217" s="68" t="str">
        <f>IF(main!BT220="","",ROUND(main!BT220*100,6))</f>
        <v/>
      </c>
      <c r="BI217" s="68" t="str">
        <f>IF(main!BU220="","",ROUND(main!BU220*100,6))</f>
        <v/>
      </c>
      <c r="BJ217" s="68" t="str">
        <f>IF(main!BV220="","",ROUND(main!BV220*100,6))</f>
        <v/>
      </c>
      <c r="BK217" s="68" t="str">
        <f>IF(main!BW220="","",ROUND(main!BW220*100,6))</f>
        <v/>
      </c>
      <c r="BL217" s="68" t="str">
        <f>IF(main!BX220="","",ROUND(main!BX220*100,6))</f>
        <v/>
      </c>
      <c r="BM217" s="68" t="str">
        <f>IF(main!BY220="","",ROUND(main!BY220*100,6))</f>
        <v/>
      </c>
      <c r="BN217" s="68" t="str">
        <f>IF(main!BZ220="","",ROUND(main!BZ220*100,6))</f>
        <v/>
      </c>
      <c r="BO217" s="68" t="str">
        <f>IF(main!CA220="","",ROUND(main!CA220*100,6))</f>
        <v/>
      </c>
      <c r="BP217" s="68" t="str">
        <f>IF(main!CB220="","",ROUND(main!CB220*100,6))</f>
        <v/>
      </c>
      <c r="BQ217" s="68" t="str">
        <f>IF(main!CC220="","",ROUND(main!CC220*100,6))</f>
        <v/>
      </c>
      <c r="BR217" s="68" t="str">
        <f>IF(main!CD220="","",ROUND(main!CD220*100,6))</f>
        <v/>
      </c>
      <c r="BS217" s="68" t="str">
        <f>IF(main!CE220="","",ROUND(main!CE220*100,6))</f>
        <v/>
      </c>
      <c r="BT217" s="68" t="str">
        <f>IF(main!CF220="","",ROUND(main!CF220*100,6))</f>
        <v/>
      </c>
      <c r="BU217" s="68" t="str">
        <f>IF(main!CG220="","",ROUND(main!CG220*100,6))</f>
        <v/>
      </c>
      <c r="BV217" s="68" t="str">
        <f>IF(main!CH220="","",ROUND(main!CH220*100,6))</f>
        <v/>
      </c>
      <c r="BW217" s="68" t="str">
        <f>IF(main!CI220="","",ROUND(main!CI220*100,6))</f>
        <v/>
      </c>
      <c r="BX217" s="68" t="str">
        <f>IF(main!CJ220="","",ROUND(main!CJ220*100,6))</f>
        <v/>
      </c>
      <c r="BY217" s="68" t="str">
        <f>IF(main!CK220="","",ROUND(main!CK220*100,6))</f>
        <v/>
      </c>
      <c r="BZ217" s="68" t="str">
        <f>IF(main!CL220="","",ROUND(main!CL220*100,6))</f>
        <v/>
      </c>
      <c r="CA217" s="68" t="str">
        <f>IF(main!CM220="","",ROUND(main!CM220*100,6))</f>
        <v/>
      </c>
      <c r="CB217" s="68" t="str">
        <f>IF(main!CN220="","",ROUND(main!CN220*100,6))</f>
        <v/>
      </c>
      <c r="CC217" s="68" t="str">
        <f>IF(main!CO220="","",ROUND(main!CO220*100,6))</f>
        <v/>
      </c>
    </row>
    <row r="218" spans="1:81" x14ac:dyDescent="0.25">
      <c r="A218" s="65" t="s">
        <v>382</v>
      </c>
      <c r="B218" s="66" t="str">
        <f>main!C221</f>
        <v>งานฝ้ากันเสียง ฝ้าอลูมิเนียมห้องประชุม</v>
      </c>
      <c r="C218" s="67">
        <f>main!O221</f>
        <v>100000</v>
      </c>
      <c r="D218" s="65" t="s">
        <v>110</v>
      </c>
      <c r="E218" s="68">
        <f t="shared" si="3"/>
        <v>100</v>
      </c>
      <c r="F218" s="68" t="str">
        <f>IF(main!R221="","",ROUND(main!R221*100,6))</f>
        <v/>
      </c>
      <c r="G218" s="68" t="str">
        <f>IF(main!S221="","",ROUND(main!S221*100,6))</f>
        <v/>
      </c>
      <c r="H218" s="68" t="str">
        <f>IF(main!T221="","",ROUND(main!T221*100,6))</f>
        <v/>
      </c>
      <c r="I218" s="68" t="str">
        <f>IF(main!U221="","",ROUND(main!U221*100,6))</f>
        <v/>
      </c>
      <c r="J218" s="68" t="str">
        <f>IF(main!V221="","",ROUND(main!V221*100,6))</f>
        <v/>
      </c>
      <c r="K218" s="68" t="str">
        <f>IF(main!W221="","",ROUND(main!W221*100,6))</f>
        <v/>
      </c>
      <c r="L218" s="68" t="str">
        <f>IF(main!X221="","",ROUND(main!X221*100,6))</f>
        <v/>
      </c>
      <c r="M218" s="68" t="str">
        <f>IF(main!Y221="","",ROUND(main!Y221*100,6))</f>
        <v/>
      </c>
      <c r="N218" s="68" t="str">
        <f>IF(main!Z221="","",ROUND(main!Z221*100,6))</f>
        <v/>
      </c>
      <c r="O218" s="68" t="str">
        <f>IF(main!AA221="","",ROUND(main!AA221*100,6))</f>
        <v/>
      </c>
      <c r="P218" s="68" t="str">
        <f>IF(main!AB221="","",ROUND(main!AB221*100,6))</f>
        <v/>
      </c>
      <c r="Q218" s="68" t="str">
        <f>IF(main!AC221="","",ROUND(main!AC221*100,6))</f>
        <v/>
      </c>
      <c r="R218" s="68" t="str">
        <f>IF(main!AD221="","",ROUND(main!AD221*100,6))</f>
        <v/>
      </c>
      <c r="S218" s="68" t="str">
        <f>IF(main!AE221="","",ROUND(main!AE221*100,6))</f>
        <v/>
      </c>
      <c r="T218" s="68" t="str">
        <f>IF(main!AF221="","",ROUND(main!AF221*100,6))</f>
        <v/>
      </c>
      <c r="U218" s="68" t="str">
        <f>IF(main!AG221="","",ROUND(main!AG221*100,6))</f>
        <v/>
      </c>
      <c r="V218" s="68" t="str">
        <f>IF(main!AH221="","",ROUND(main!AH221*100,6))</f>
        <v/>
      </c>
      <c r="W218" s="68" t="str">
        <f>IF(main!AI221="","",ROUND(main!AI221*100,6))</f>
        <v/>
      </c>
      <c r="X218" s="68" t="str">
        <f>IF(main!AJ221="","",ROUND(main!AJ221*100,6))</f>
        <v/>
      </c>
      <c r="Y218" s="68" t="str">
        <f>IF(main!AK221="","",ROUND(main!AK221*100,6))</f>
        <v/>
      </c>
      <c r="Z218" s="68" t="str">
        <f>IF(main!AL221="","",ROUND(main!AL221*100,6))</f>
        <v/>
      </c>
      <c r="AA218" s="68" t="str">
        <f>IF(main!AM221="","",ROUND(main!AM221*100,6))</f>
        <v/>
      </c>
      <c r="AB218" s="68" t="str">
        <f>IF(main!AN221="","",ROUND(main!AN221*100,6))</f>
        <v/>
      </c>
      <c r="AC218" s="68" t="str">
        <f>IF(main!AO221="","",ROUND(main!AO221*100,6))</f>
        <v/>
      </c>
      <c r="AD218" s="68" t="str">
        <f>IF(main!AP221="","",ROUND(main!AP221*100,6))</f>
        <v/>
      </c>
      <c r="AE218" s="68" t="str">
        <f>IF(main!AQ221="","",ROUND(main!AQ221*100,6))</f>
        <v/>
      </c>
      <c r="AF218" s="68" t="str">
        <f>IF(main!AR221="","",ROUND(main!AR221*100,6))</f>
        <v/>
      </c>
      <c r="AG218" s="68" t="str">
        <f>IF(main!AS221="","",ROUND(main!AS221*100,6))</f>
        <v/>
      </c>
      <c r="AH218" s="68" t="str">
        <f>IF(main!AT221="","",ROUND(main!AT221*100,6))</f>
        <v/>
      </c>
      <c r="AI218" s="68" t="str">
        <f>IF(main!AU221="","",ROUND(main!AU221*100,6))</f>
        <v/>
      </c>
      <c r="AJ218" s="68" t="str">
        <f>IF(main!AV221="","",ROUND(main!AV221*100,6))</f>
        <v/>
      </c>
      <c r="AK218" s="68" t="str">
        <f>IF(main!AW221="","",ROUND(main!AW221*100,6))</f>
        <v/>
      </c>
      <c r="AL218" s="68" t="str">
        <f>IF(main!AX221="","",ROUND(main!AX221*100,6))</f>
        <v/>
      </c>
      <c r="AM218" s="68" t="str">
        <f>IF(main!AY221="","",ROUND(main!AY221*100,6))</f>
        <v/>
      </c>
      <c r="AN218" s="68" t="str">
        <f>IF(main!AZ221="","",ROUND(main!AZ221*100,6))</f>
        <v/>
      </c>
      <c r="AO218" s="68" t="str">
        <f>IF(main!BA221="","",ROUND(main!BA221*100,6))</f>
        <v/>
      </c>
      <c r="AP218" s="68" t="str">
        <f>IF(main!BB221="","",ROUND(main!BB221*100,6))</f>
        <v/>
      </c>
      <c r="AQ218" s="68" t="str">
        <f>IF(main!BC221="","",ROUND(main!BC221*100,6))</f>
        <v/>
      </c>
      <c r="AR218" s="68" t="str">
        <f>IF(main!BD221="","",ROUND(main!BD221*100,6))</f>
        <v/>
      </c>
      <c r="AS218" s="68" t="str">
        <f>IF(main!BE221="","",ROUND(main!BE221*100,6))</f>
        <v/>
      </c>
      <c r="AT218" s="68" t="str">
        <f>IF(main!BF221="","",ROUND(main!BF221*100,6))</f>
        <v/>
      </c>
      <c r="AU218" s="68" t="str">
        <f>IF(main!BG221="","",ROUND(main!BG221*100,6))</f>
        <v/>
      </c>
      <c r="AV218" s="68" t="str">
        <f>IF(main!BH221="","",ROUND(main!BH221*100,6))</f>
        <v/>
      </c>
      <c r="AW218" s="68" t="str">
        <f>IF(main!BI221="","",ROUND(main!BI221*100,6))</f>
        <v/>
      </c>
      <c r="AX218" s="68" t="str">
        <f>IF(main!BJ221="","",ROUND(main!BJ221*100,6))</f>
        <v/>
      </c>
      <c r="AY218" s="68" t="str">
        <f>IF(main!BK221="","",ROUND(main!BK221*100,6))</f>
        <v/>
      </c>
      <c r="AZ218" s="68" t="str">
        <f>IF(main!BL221="","",ROUND(main!BL221*100,6))</f>
        <v/>
      </c>
      <c r="BA218" s="68" t="str">
        <f>IF(main!BM221="","",ROUND(main!BM221*100,6))</f>
        <v/>
      </c>
      <c r="BB218" s="68" t="str">
        <f>IF(main!BN221="","",ROUND(main!BN221*100,6))</f>
        <v/>
      </c>
      <c r="BC218" s="68" t="str">
        <f>IF(main!BO221="","",ROUND(main!BO221*100,6))</f>
        <v/>
      </c>
      <c r="BD218" s="68" t="str">
        <f>IF(main!BP221="","",ROUND(main!BP221*100,6))</f>
        <v/>
      </c>
      <c r="BE218" s="68" t="str">
        <f>IF(main!BQ221="","",ROUND(main!BQ221*100,6))</f>
        <v/>
      </c>
      <c r="BF218" s="68" t="str">
        <f>IF(main!BR221="","",ROUND(main!BR221*100,6))</f>
        <v/>
      </c>
      <c r="BG218" s="68" t="str">
        <f>IF(main!BS221="","",ROUND(main!BS221*100,6))</f>
        <v/>
      </c>
      <c r="BH218" s="68" t="str">
        <f>IF(main!BT221="","",ROUND(main!BT221*100,6))</f>
        <v/>
      </c>
      <c r="BI218" s="68" t="str">
        <f>IF(main!BU221="","",ROUND(main!BU221*100,6))</f>
        <v/>
      </c>
      <c r="BJ218" s="68" t="str">
        <f>IF(main!BV221="","",ROUND(main!BV221*100,6))</f>
        <v/>
      </c>
      <c r="BK218" s="68" t="str">
        <f>IF(main!BW221="","",ROUND(main!BW221*100,6))</f>
        <v/>
      </c>
      <c r="BL218" s="68" t="str">
        <f>IF(main!BX221="","",ROUND(main!BX221*100,6))</f>
        <v/>
      </c>
      <c r="BM218" s="68">
        <f>IF(main!BY221="","",ROUND(main!BY221*100,6))</f>
        <v>9.5238099999999992</v>
      </c>
      <c r="BN218" s="68">
        <f>IF(main!BZ221="","",ROUND(main!BZ221*100,6))</f>
        <v>33.333333000000003</v>
      </c>
      <c r="BO218" s="68">
        <f>IF(main!CA221="","",ROUND(main!CA221*100,6))</f>
        <v>33.333333000000003</v>
      </c>
      <c r="BP218" s="68">
        <f>IF(main!CB221="","",ROUND(main!CB221*100,6))</f>
        <v>23.809524</v>
      </c>
      <c r="BQ218" s="68" t="str">
        <f>IF(main!CC221="","",ROUND(main!CC221*100,6))</f>
        <v/>
      </c>
      <c r="BR218" s="68" t="str">
        <f>IF(main!CD221="","",ROUND(main!CD221*100,6))</f>
        <v/>
      </c>
      <c r="BS218" s="68" t="str">
        <f>IF(main!CE221="","",ROUND(main!CE221*100,6))</f>
        <v/>
      </c>
      <c r="BT218" s="68" t="str">
        <f>IF(main!CF221="","",ROUND(main!CF221*100,6))</f>
        <v/>
      </c>
      <c r="BU218" s="68" t="str">
        <f>IF(main!CG221="","",ROUND(main!CG221*100,6))</f>
        <v/>
      </c>
      <c r="BV218" s="68" t="str">
        <f>IF(main!CH221="","",ROUND(main!CH221*100,6))</f>
        <v/>
      </c>
      <c r="BW218" s="68" t="str">
        <f>IF(main!CI221="","",ROUND(main!CI221*100,6))</f>
        <v/>
      </c>
      <c r="BX218" s="68" t="str">
        <f>IF(main!CJ221="","",ROUND(main!CJ221*100,6))</f>
        <v/>
      </c>
      <c r="BY218" s="68" t="str">
        <f>IF(main!CK221="","",ROUND(main!CK221*100,6))</f>
        <v/>
      </c>
      <c r="BZ218" s="68" t="str">
        <f>IF(main!CL221="","",ROUND(main!CL221*100,6))</f>
        <v/>
      </c>
      <c r="CA218" s="68" t="str">
        <f>IF(main!CM221="","",ROUND(main!CM221*100,6))</f>
        <v/>
      </c>
      <c r="CB218" s="68" t="str">
        <f>IF(main!CN221="","",ROUND(main!CN221*100,6))</f>
        <v/>
      </c>
      <c r="CC218" s="68" t="str">
        <f>IF(main!CO221="","",ROUND(main!CO221*100,6))</f>
        <v/>
      </c>
    </row>
    <row r="219" spans="1:81" x14ac:dyDescent="0.25">
      <c r="A219" s="65" t="s">
        <v>382</v>
      </c>
      <c r="B219" s="66" t="str">
        <f>main!C221</f>
        <v>งานฝ้ากันเสียง ฝ้าอลูมิเนียมห้องประชุม</v>
      </c>
      <c r="C219" s="67">
        <f>main!O221</f>
        <v>100000</v>
      </c>
      <c r="D219" s="65" t="s">
        <v>111</v>
      </c>
      <c r="E219" s="68" t="str">
        <f t="shared" si="3"/>
        <v/>
      </c>
      <c r="F219" s="68" t="str">
        <f>IF(main!R222="","",ROUND(main!R222*100,6))</f>
        <v/>
      </c>
      <c r="G219" s="68" t="str">
        <f>IF(main!S222="","",ROUND(main!S222*100,6))</f>
        <v/>
      </c>
      <c r="H219" s="68" t="str">
        <f>IF(main!T222="","",ROUND(main!T222*100,6))</f>
        <v/>
      </c>
      <c r="I219" s="68" t="str">
        <f>IF(main!U222="","",ROUND(main!U222*100,6))</f>
        <v/>
      </c>
      <c r="J219" s="68" t="str">
        <f>IF(main!V222="","",ROUND(main!V222*100,6))</f>
        <v/>
      </c>
      <c r="K219" s="68" t="str">
        <f>IF(main!W222="","",ROUND(main!W222*100,6))</f>
        <v/>
      </c>
      <c r="L219" s="68" t="str">
        <f>IF(main!X222="","",ROUND(main!X222*100,6))</f>
        <v/>
      </c>
      <c r="M219" s="68" t="str">
        <f>IF(main!Y222="","",ROUND(main!Y222*100,6))</f>
        <v/>
      </c>
      <c r="N219" s="68" t="str">
        <f>IF(main!Z222="","",ROUND(main!Z222*100,6))</f>
        <v/>
      </c>
      <c r="O219" s="68" t="str">
        <f>IF(main!AA222="","",ROUND(main!AA222*100,6))</f>
        <v/>
      </c>
      <c r="P219" s="68" t="str">
        <f>IF(main!AB222="","",ROUND(main!AB222*100,6))</f>
        <v/>
      </c>
      <c r="Q219" s="68" t="str">
        <f>IF(main!AC222="","",ROUND(main!AC222*100,6))</f>
        <v/>
      </c>
      <c r="R219" s="68" t="str">
        <f>IF(main!AD222="","",ROUND(main!AD222*100,6))</f>
        <v/>
      </c>
      <c r="S219" s="68" t="str">
        <f>IF(main!AE222="","",ROUND(main!AE222*100,6))</f>
        <v/>
      </c>
      <c r="T219" s="68" t="str">
        <f>IF(main!AF222="","",ROUND(main!AF222*100,6))</f>
        <v/>
      </c>
      <c r="U219" s="68" t="str">
        <f>IF(main!AG222="","",ROUND(main!AG222*100,6))</f>
        <v/>
      </c>
      <c r="V219" s="68" t="str">
        <f>IF(main!AH222="","",ROUND(main!AH222*100,6))</f>
        <v/>
      </c>
      <c r="W219" s="68" t="str">
        <f>IF(main!AI222="","",ROUND(main!AI222*100,6))</f>
        <v/>
      </c>
      <c r="X219" s="68" t="str">
        <f>IF(main!AJ222="","",ROUND(main!AJ222*100,6))</f>
        <v/>
      </c>
      <c r="Y219" s="68" t="str">
        <f>IF(main!AK222="","",ROUND(main!AK222*100,6))</f>
        <v/>
      </c>
      <c r="Z219" s="68" t="str">
        <f>IF(main!AL222="","",ROUND(main!AL222*100,6))</f>
        <v/>
      </c>
      <c r="AA219" s="68" t="str">
        <f>IF(main!AM222="","",ROUND(main!AM222*100,6))</f>
        <v/>
      </c>
      <c r="AB219" s="68" t="str">
        <f>IF(main!AN222="","",ROUND(main!AN222*100,6))</f>
        <v/>
      </c>
      <c r="AC219" s="68" t="str">
        <f>IF(main!AO222="","",ROUND(main!AO222*100,6))</f>
        <v/>
      </c>
      <c r="AD219" s="68" t="str">
        <f>IF(main!AP222="","",ROUND(main!AP222*100,6))</f>
        <v/>
      </c>
      <c r="AE219" s="68" t="str">
        <f>IF(main!AQ222="","",ROUND(main!AQ222*100,6))</f>
        <v/>
      </c>
      <c r="AF219" s="68" t="str">
        <f>IF(main!AR222="","",ROUND(main!AR222*100,6))</f>
        <v/>
      </c>
      <c r="AG219" s="68" t="str">
        <f>IF(main!AS222="","",ROUND(main!AS222*100,6))</f>
        <v/>
      </c>
      <c r="AH219" s="68" t="str">
        <f>IF(main!AT222="","",ROUND(main!AT222*100,6))</f>
        <v/>
      </c>
      <c r="AI219" s="68" t="str">
        <f>IF(main!AU222="","",ROUND(main!AU222*100,6))</f>
        <v/>
      </c>
      <c r="AJ219" s="68" t="str">
        <f>IF(main!AV222="","",ROUND(main!AV222*100,6))</f>
        <v/>
      </c>
      <c r="AK219" s="68" t="str">
        <f>IF(main!AW222="","",ROUND(main!AW222*100,6))</f>
        <v/>
      </c>
      <c r="AL219" s="68" t="str">
        <f>IF(main!AX222="","",ROUND(main!AX222*100,6))</f>
        <v/>
      </c>
      <c r="AM219" s="68" t="str">
        <f>IF(main!AY222="","",ROUND(main!AY222*100,6))</f>
        <v/>
      </c>
      <c r="AN219" s="68" t="str">
        <f>IF(main!AZ222="","",ROUND(main!AZ222*100,6))</f>
        <v/>
      </c>
      <c r="AO219" s="68" t="str">
        <f>IF(main!BA222="","",ROUND(main!BA222*100,6))</f>
        <v/>
      </c>
      <c r="AP219" s="68" t="str">
        <f>IF(main!BB222="","",ROUND(main!BB222*100,6))</f>
        <v/>
      </c>
      <c r="AQ219" s="68" t="str">
        <f>IF(main!BC222="","",ROUND(main!BC222*100,6))</f>
        <v/>
      </c>
      <c r="AR219" s="68" t="str">
        <f>IF(main!BD222="","",ROUND(main!BD222*100,6))</f>
        <v/>
      </c>
      <c r="AS219" s="68" t="str">
        <f>IF(main!BE222="","",ROUND(main!BE222*100,6))</f>
        <v/>
      </c>
      <c r="AT219" s="68" t="str">
        <f>IF(main!BF222="","",ROUND(main!BF222*100,6))</f>
        <v/>
      </c>
      <c r="AU219" s="68" t="str">
        <f>IF(main!BG222="","",ROUND(main!BG222*100,6))</f>
        <v/>
      </c>
      <c r="AV219" s="68" t="str">
        <f>IF(main!BH222="","",ROUND(main!BH222*100,6))</f>
        <v/>
      </c>
      <c r="AW219" s="68" t="str">
        <f>IF(main!BI222="","",ROUND(main!BI222*100,6))</f>
        <v/>
      </c>
      <c r="AX219" s="68" t="str">
        <f>IF(main!BJ222="","",ROUND(main!BJ222*100,6))</f>
        <v/>
      </c>
      <c r="AY219" s="68" t="str">
        <f>IF(main!BK222="","",ROUND(main!BK222*100,6))</f>
        <v/>
      </c>
      <c r="AZ219" s="68" t="str">
        <f>IF(main!BL222="","",ROUND(main!BL222*100,6))</f>
        <v/>
      </c>
      <c r="BA219" s="68" t="str">
        <f>IF(main!BM222="","",ROUND(main!BM222*100,6))</f>
        <v/>
      </c>
      <c r="BB219" s="68" t="str">
        <f>IF(main!BN222="","",ROUND(main!BN222*100,6))</f>
        <v/>
      </c>
      <c r="BC219" s="68" t="str">
        <f>IF(main!BO222="","",ROUND(main!BO222*100,6))</f>
        <v/>
      </c>
      <c r="BD219" s="68" t="str">
        <f>IF(main!BP222="","",ROUND(main!BP222*100,6))</f>
        <v/>
      </c>
      <c r="BE219" s="68" t="str">
        <f>IF(main!BQ222="","",ROUND(main!BQ222*100,6))</f>
        <v/>
      </c>
      <c r="BF219" s="68" t="str">
        <f>IF(main!BR222="","",ROUND(main!BR222*100,6))</f>
        <v/>
      </c>
      <c r="BG219" s="68" t="str">
        <f>IF(main!BS222="","",ROUND(main!BS222*100,6))</f>
        <v/>
      </c>
      <c r="BH219" s="68" t="str">
        <f>IF(main!BT222="","",ROUND(main!BT222*100,6))</f>
        <v/>
      </c>
      <c r="BI219" s="68" t="str">
        <f>IF(main!BU222="","",ROUND(main!BU222*100,6))</f>
        <v/>
      </c>
      <c r="BJ219" s="68" t="str">
        <f>IF(main!BV222="","",ROUND(main!BV222*100,6))</f>
        <v/>
      </c>
      <c r="BK219" s="68" t="str">
        <f>IF(main!BW222="","",ROUND(main!BW222*100,6))</f>
        <v/>
      </c>
      <c r="BL219" s="68" t="str">
        <f>IF(main!BX222="","",ROUND(main!BX222*100,6))</f>
        <v/>
      </c>
      <c r="BM219" s="68" t="str">
        <f>IF(main!BY222="","",ROUND(main!BY222*100,6))</f>
        <v/>
      </c>
      <c r="BN219" s="68" t="str">
        <f>IF(main!BZ222="","",ROUND(main!BZ222*100,6))</f>
        <v/>
      </c>
      <c r="BO219" s="68" t="str">
        <f>IF(main!CA222="","",ROUND(main!CA222*100,6))</f>
        <v/>
      </c>
      <c r="BP219" s="68" t="str">
        <f>IF(main!CB222="","",ROUND(main!CB222*100,6))</f>
        <v/>
      </c>
      <c r="BQ219" s="68" t="str">
        <f>IF(main!CC222="","",ROUND(main!CC222*100,6))</f>
        <v/>
      </c>
      <c r="BR219" s="68" t="str">
        <f>IF(main!CD222="","",ROUND(main!CD222*100,6))</f>
        <v/>
      </c>
      <c r="BS219" s="68" t="str">
        <f>IF(main!CE222="","",ROUND(main!CE222*100,6))</f>
        <v/>
      </c>
      <c r="BT219" s="68" t="str">
        <f>IF(main!CF222="","",ROUND(main!CF222*100,6))</f>
        <v/>
      </c>
      <c r="BU219" s="68" t="str">
        <f>IF(main!CG222="","",ROUND(main!CG222*100,6))</f>
        <v/>
      </c>
      <c r="BV219" s="68" t="str">
        <f>IF(main!CH222="","",ROUND(main!CH222*100,6))</f>
        <v/>
      </c>
      <c r="BW219" s="68" t="str">
        <f>IF(main!CI222="","",ROUND(main!CI222*100,6))</f>
        <v/>
      </c>
      <c r="BX219" s="68" t="str">
        <f>IF(main!CJ222="","",ROUND(main!CJ222*100,6))</f>
        <v/>
      </c>
      <c r="BY219" s="68" t="str">
        <f>IF(main!CK222="","",ROUND(main!CK222*100,6))</f>
        <v/>
      </c>
      <c r="BZ219" s="68" t="str">
        <f>IF(main!CL222="","",ROUND(main!CL222*100,6))</f>
        <v/>
      </c>
      <c r="CA219" s="68" t="str">
        <f>IF(main!CM222="","",ROUND(main!CM222*100,6))</f>
        <v/>
      </c>
      <c r="CB219" s="68" t="str">
        <f>IF(main!CN222="","",ROUND(main!CN222*100,6))</f>
        <v/>
      </c>
      <c r="CC219" s="68" t="str">
        <f>IF(main!CO222="","",ROUND(main!CO222*100,6))</f>
        <v/>
      </c>
    </row>
    <row r="220" spans="1:81" x14ac:dyDescent="0.25">
      <c r="A220" s="65" t="s">
        <v>385</v>
      </c>
      <c r="B220" s="66" t="str">
        <f>main!C223</f>
        <v>Floor&amp; Floor Fn.</v>
      </c>
      <c r="C220" s="67">
        <f>main!O223</f>
        <v>200000</v>
      </c>
      <c r="D220" s="65" t="s">
        <v>110</v>
      </c>
      <c r="E220" s="68">
        <f t="shared" si="3"/>
        <v>100.000001</v>
      </c>
      <c r="F220" s="68" t="str">
        <f>IF(main!R223="","",ROUND(main!R223*100,6))</f>
        <v/>
      </c>
      <c r="G220" s="68" t="str">
        <f>IF(main!S223="","",ROUND(main!S223*100,6))</f>
        <v/>
      </c>
      <c r="H220" s="68" t="str">
        <f>IF(main!T223="","",ROUND(main!T223*100,6))</f>
        <v/>
      </c>
      <c r="I220" s="68" t="str">
        <f>IF(main!U223="","",ROUND(main!U223*100,6))</f>
        <v/>
      </c>
      <c r="J220" s="68" t="str">
        <f>IF(main!V223="","",ROUND(main!V223*100,6))</f>
        <v/>
      </c>
      <c r="K220" s="68" t="str">
        <f>IF(main!W223="","",ROUND(main!W223*100,6))</f>
        <v/>
      </c>
      <c r="L220" s="68" t="str">
        <f>IF(main!X223="","",ROUND(main!X223*100,6))</f>
        <v/>
      </c>
      <c r="M220" s="68" t="str">
        <f>IF(main!Y223="","",ROUND(main!Y223*100,6))</f>
        <v/>
      </c>
      <c r="N220" s="68" t="str">
        <f>IF(main!Z223="","",ROUND(main!Z223*100,6))</f>
        <v/>
      </c>
      <c r="O220" s="68" t="str">
        <f>IF(main!AA223="","",ROUND(main!AA223*100,6))</f>
        <v/>
      </c>
      <c r="P220" s="68" t="str">
        <f>IF(main!AB223="","",ROUND(main!AB223*100,6))</f>
        <v/>
      </c>
      <c r="Q220" s="68" t="str">
        <f>IF(main!AC223="","",ROUND(main!AC223*100,6))</f>
        <v/>
      </c>
      <c r="R220" s="68" t="str">
        <f>IF(main!AD223="","",ROUND(main!AD223*100,6))</f>
        <v/>
      </c>
      <c r="S220" s="68" t="str">
        <f>IF(main!AE223="","",ROUND(main!AE223*100,6))</f>
        <v/>
      </c>
      <c r="T220" s="68" t="str">
        <f>IF(main!AF223="","",ROUND(main!AF223*100,6))</f>
        <v/>
      </c>
      <c r="U220" s="68" t="str">
        <f>IF(main!AG223="","",ROUND(main!AG223*100,6))</f>
        <v/>
      </c>
      <c r="V220" s="68" t="str">
        <f>IF(main!AH223="","",ROUND(main!AH223*100,6))</f>
        <v/>
      </c>
      <c r="W220" s="68" t="str">
        <f>IF(main!AI223="","",ROUND(main!AI223*100,6))</f>
        <v/>
      </c>
      <c r="X220" s="68" t="str">
        <f>IF(main!AJ223="","",ROUND(main!AJ223*100,6))</f>
        <v/>
      </c>
      <c r="Y220" s="68" t="str">
        <f>IF(main!AK223="","",ROUND(main!AK223*100,6))</f>
        <v/>
      </c>
      <c r="Z220" s="68" t="str">
        <f>IF(main!AL223="","",ROUND(main!AL223*100,6))</f>
        <v/>
      </c>
      <c r="AA220" s="68" t="str">
        <f>IF(main!AM223="","",ROUND(main!AM223*100,6))</f>
        <v/>
      </c>
      <c r="AB220" s="68" t="str">
        <f>IF(main!AN223="","",ROUND(main!AN223*100,6))</f>
        <v/>
      </c>
      <c r="AC220" s="68" t="str">
        <f>IF(main!AO223="","",ROUND(main!AO223*100,6))</f>
        <v/>
      </c>
      <c r="AD220" s="68" t="str">
        <f>IF(main!AP223="","",ROUND(main!AP223*100,6))</f>
        <v/>
      </c>
      <c r="AE220" s="68" t="str">
        <f>IF(main!AQ223="","",ROUND(main!AQ223*100,6))</f>
        <v/>
      </c>
      <c r="AF220" s="68" t="str">
        <f>IF(main!AR223="","",ROUND(main!AR223*100,6))</f>
        <v/>
      </c>
      <c r="AG220" s="68" t="str">
        <f>IF(main!AS223="","",ROUND(main!AS223*100,6))</f>
        <v/>
      </c>
      <c r="AH220" s="68" t="str">
        <f>IF(main!AT223="","",ROUND(main!AT223*100,6))</f>
        <v/>
      </c>
      <c r="AI220" s="68" t="str">
        <f>IF(main!AU223="","",ROUND(main!AU223*100,6))</f>
        <v/>
      </c>
      <c r="AJ220" s="68" t="str">
        <f>IF(main!AV223="","",ROUND(main!AV223*100,6))</f>
        <v/>
      </c>
      <c r="AK220" s="68" t="str">
        <f>IF(main!AW223="","",ROUND(main!AW223*100,6))</f>
        <v/>
      </c>
      <c r="AL220" s="68" t="str">
        <f>IF(main!AX223="","",ROUND(main!AX223*100,6))</f>
        <v/>
      </c>
      <c r="AM220" s="68" t="str">
        <f>IF(main!AY223="","",ROUND(main!AY223*100,6))</f>
        <v/>
      </c>
      <c r="AN220" s="68" t="str">
        <f>IF(main!AZ223="","",ROUND(main!AZ223*100,6))</f>
        <v/>
      </c>
      <c r="AO220" s="68" t="str">
        <f>IF(main!BA223="","",ROUND(main!BA223*100,6))</f>
        <v/>
      </c>
      <c r="AP220" s="68" t="str">
        <f>IF(main!BB223="","",ROUND(main!BB223*100,6))</f>
        <v/>
      </c>
      <c r="AQ220" s="68" t="str">
        <f>IF(main!BC223="","",ROUND(main!BC223*100,6))</f>
        <v/>
      </c>
      <c r="AR220" s="68" t="str">
        <f>IF(main!BD223="","",ROUND(main!BD223*100,6))</f>
        <v/>
      </c>
      <c r="AS220" s="68" t="str">
        <f>IF(main!BE223="","",ROUND(main!BE223*100,6))</f>
        <v/>
      </c>
      <c r="AT220" s="68" t="str">
        <f>IF(main!BF223="","",ROUND(main!BF223*100,6))</f>
        <v/>
      </c>
      <c r="AU220" s="68" t="str">
        <f>IF(main!BG223="","",ROUND(main!BG223*100,6))</f>
        <v/>
      </c>
      <c r="AV220" s="68" t="str">
        <f>IF(main!BH223="","",ROUND(main!BH223*100,6))</f>
        <v/>
      </c>
      <c r="AW220" s="68" t="str">
        <f>IF(main!BI223="","",ROUND(main!BI223*100,6))</f>
        <v/>
      </c>
      <c r="AX220" s="68" t="str">
        <f>IF(main!BJ223="","",ROUND(main!BJ223*100,6))</f>
        <v/>
      </c>
      <c r="AY220" s="68" t="str">
        <f>IF(main!BK223="","",ROUND(main!BK223*100,6))</f>
        <v/>
      </c>
      <c r="AZ220" s="68" t="str">
        <f>IF(main!BL223="","",ROUND(main!BL223*100,6))</f>
        <v/>
      </c>
      <c r="BA220" s="68" t="str">
        <f>IF(main!BM223="","",ROUND(main!BM223*100,6))</f>
        <v/>
      </c>
      <c r="BB220" s="68" t="str">
        <f>IF(main!BN223="","",ROUND(main!BN223*100,6))</f>
        <v/>
      </c>
      <c r="BC220" s="68" t="str">
        <f>IF(main!BO223="","",ROUND(main!BO223*100,6))</f>
        <v/>
      </c>
      <c r="BD220" s="68" t="str">
        <f>IF(main!BP223="","",ROUND(main!BP223*100,6))</f>
        <v/>
      </c>
      <c r="BE220" s="68" t="str">
        <f>IF(main!BQ223="","",ROUND(main!BQ223*100,6))</f>
        <v/>
      </c>
      <c r="BF220" s="68" t="str">
        <f>IF(main!BR223="","",ROUND(main!BR223*100,6))</f>
        <v/>
      </c>
      <c r="BG220" s="68" t="str">
        <f>IF(main!BS223="","",ROUND(main!BS223*100,6))</f>
        <v/>
      </c>
      <c r="BH220" s="68" t="str">
        <f>IF(main!BT223="","",ROUND(main!BT223*100,6))</f>
        <v/>
      </c>
      <c r="BI220" s="68" t="str">
        <f>IF(main!BU223="","",ROUND(main!BU223*100,6))</f>
        <v/>
      </c>
      <c r="BJ220" s="68">
        <f>IF(main!BV223="","",ROUND(main!BV223*100,6))</f>
        <v>13.157895</v>
      </c>
      <c r="BK220" s="68">
        <f>IF(main!BW223="","",ROUND(main!BW223*100,6))</f>
        <v>18.421053000000001</v>
      </c>
      <c r="BL220" s="68">
        <f>IF(main!BX223="","",ROUND(main!BX223*100,6))</f>
        <v>18.421053000000001</v>
      </c>
      <c r="BM220" s="68" t="str">
        <f>IF(main!BY223="","",ROUND(main!BY223*100,6))</f>
        <v/>
      </c>
      <c r="BN220" s="68" t="str">
        <f>IF(main!BZ223="","",ROUND(main!BZ223*100,6))</f>
        <v/>
      </c>
      <c r="BO220" s="68" t="str">
        <f>IF(main!CA223="","",ROUND(main!CA223*100,6))</f>
        <v/>
      </c>
      <c r="BP220" s="68" t="str">
        <f>IF(main!CB223="","",ROUND(main!CB223*100,6))</f>
        <v/>
      </c>
      <c r="BQ220" s="68" t="str">
        <f>IF(main!CC223="","",ROUND(main!CC223*100,6))</f>
        <v/>
      </c>
      <c r="BR220" s="68" t="str">
        <f>IF(main!CD223="","",ROUND(main!CD223*100,6))</f>
        <v/>
      </c>
      <c r="BS220" s="68" t="str">
        <f>IF(main!CE223="","",ROUND(main!CE223*100,6))</f>
        <v/>
      </c>
      <c r="BT220" s="68">
        <f>IF(main!CF223="","",ROUND(main!CF223*100,6))</f>
        <v>7.1428570000000002</v>
      </c>
      <c r="BU220" s="68">
        <f>IF(main!CG223="","",ROUND(main!CG223*100,6))</f>
        <v>25</v>
      </c>
      <c r="BV220" s="68">
        <f>IF(main!CH223="","",ROUND(main!CH223*100,6))</f>
        <v>17.857143000000001</v>
      </c>
      <c r="BW220" s="68" t="str">
        <f>IF(main!CI223="","",ROUND(main!CI223*100,6))</f>
        <v/>
      </c>
      <c r="BX220" s="68" t="str">
        <f>IF(main!CJ223="","",ROUND(main!CJ223*100,6))</f>
        <v/>
      </c>
      <c r="BY220" s="68" t="str">
        <f>IF(main!CK223="","",ROUND(main!CK223*100,6))</f>
        <v/>
      </c>
      <c r="BZ220" s="68" t="str">
        <f>IF(main!CL223="","",ROUND(main!CL223*100,6))</f>
        <v/>
      </c>
      <c r="CA220" s="68" t="str">
        <f>IF(main!CM223="","",ROUND(main!CM223*100,6))</f>
        <v/>
      </c>
      <c r="CB220" s="68" t="str">
        <f>IF(main!CN223="","",ROUND(main!CN223*100,6))</f>
        <v/>
      </c>
      <c r="CC220" s="68" t="str">
        <f>IF(main!CO223="","",ROUND(main!CO223*100,6))</f>
        <v/>
      </c>
    </row>
    <row r="221" spans="1:81" x14ac:dyDescent="0.25">
      <c r="A221" s="65" t="s">
        <v>385</v>
      </c>
      <c r="B221" s="66" t="str">
        <f>main!C223</f>
        <v>Floor&amp; Floor Fn.</v>
      </c>
      <c r="C221" s="67">
        <f>main!O223</f>
        <v>200000</v>
      </c>
      <c r="D221" s="65" t="s">
        <v>111</v>
      </c>
      <c r="E221" s="68" t="str">
        <f t="shared" si="3"/>
        <v/>
      </c>
      <c r="F221" s="68" t="str">
        <f>IF(main!R224="","",ROUND(main!R224*100,6))</f>
        <v/>
      </c>
      <c r="G221" s="68" t="str">
        <f>IF(main!S224="","",ROUND(main!S224*100,6))</f>
        <v/>
      </c>
      <c r="H221" s="68" t="str">
        <f>IF(main!T224="","",ROUND(main!T224*100,6))</f>
        <v/>
      </c>
      <c r="I221" s="68" t="str">
        <f>IF(main!U224="","",ROUND(main!U224*100,6))</f>
        <v/>
      </c>
      <c r="J221" s="68" t="str">
        <f>IF(main!V224="","",ROUND(main!V224*100,6))</f>
        <v/>
      </c>
      <c r="K221" s="68" t="str">
        <f>IF(main!W224="","",ROUND(main!W224*100,6))</f>
        <v/>
      </c>
      <c r="L221" s="68" t="str">
        <f>IF(main!X224="","",ROUND(main!X224*100,6))</f>
        <v/>
      </c>
      <c r="M221" s="68" t="str">
        <f>IF(main!Y224="","",ROUND(main!Y224*100,6))</f>
        <v/>
      </c>
      <c r="N221" s="68" t="str">
        <f>IF(main!Z224="","",ROUND(main!Z224*100,6))</f>
        <v/>
      </c>
      <c r="O221" s="68" t="str">
        <f>IF(main!AA224="","",ROUND(main!AA224*100,6))</f>
        <v/>
      </c>
      <c r="P221" s="68" t="str">
        <f>IF(main!AB224="","",ROUND(main!AB224*100,6))</f>
        <v/>
      </c>
      <c r="Q221" s="68" t="str">
        <f>IF(main!AC224="","",ROUND(main!AC224*100,6))</f>
        <v/>
      </c>
      <c r="R221" s="68" t="str">
        <f>IF(main!AD224="","",ROUND(main!AD224*100,6))</f>
        <v/>
      </c>
      <c r="S221" s="68" t="str">
        <f>IF(main!AE224="","",ROUND(main!AE224*100,6))</f>
        <v/>
      </c>
      <c r="T221" s="68" t="str">
        <f>IF(main!AF224="","",ROUND(main!AF224*100,6))</f>
        <v/>
      </c>
      <c r="U221" s="68" t="str">
        <f>IF(main!AG224="","",ROUND(main!AG224*100,6))</f>
        <v/>
      </c>
      <c r="V221" s="68" t="str">
        <f>IF(main!AH224="","",ROUND(main!AH224*100,6))</f>
        <v/>
      </c>
      <c r="W221" s="68" t="str">
        <f>IF(main!AI224="","",ROUND(main!AI224*100,6))</f>
        <v/>
      </c>
      <c r="X221" s="68" t="str">
        <f>IF(main!AJ224="","",ROUND(main!AJ224*100,6))</f>
        <v/>
      </c>
      <c r="Y221" s="68" t="str">
        <f>IF(main!AK224="","",ROUND(main!AK224*100,6))</f>
        <v/>
      </c>
      <c r="Z221" s="68" t="str">
        <f>IF(main!AL224="","",ROUND(main!AL224*100,6))</f>
        <v/>
      </c>
      <c r="AA221" s="68" t="str">
        <f>IF(main!AM224="","",ROUND(main!AM224*100,6))</f>
        <v/>
      </c>
      <c r="AB221" s="68" t="str">
        <f>IF(main!AN224="","",ROUND(main!AN224*100,6))</f>
        <v/>
      </c>
      <c r="AC221" s="68" t="str">
        <f>IF(main!AO224="","",ROUND(main!AO224*100,6))</f>
        <v/>
      </c>
      <c r="AD221" s="68" t="str">
        <f>IF(main!AP224="","",ROUND(main!AP224*100,6))</f>
        <v/>
      </c>
      <c r="AE221" s="68" t="str">
        <f>IF(main!AQ224="","",ROUND(main!AQ224*100,6))</f>
        <v/>
      </c>
      <c r="AF221" s="68" t="str">
        <f>IF(main!AR224="","",ROUND(main!AR224*100,6))</f>
        <v/>
      </c>
      <c r="AG221" s="68" t="str">
        <f>IF(main!AS224="","",ROUND(main!AS224*100,6))</f>
        <v/>
      </c>
      <c r="AH221" s="68" t="str">
        <f>IF(main!AT224="","",ROUND(main!AT224*100,6))</f>
        <v/>
      </c>
      <c r="AI221" s="68" t="str">
        <f>IF(main!AU224="","",ROUND(main!AU224*100,6))</f>
        <v/>
      </c>
      <c r="AJ221" s="68" t="str">
        <f>IF(main!AV224="","",ROUND(main!AV224*100,6))</f>
        <v/>
      </c>
      <c r="AK221" s="68" t="str">
        <f>IF(main!AW224="","",ROUND(main!AW224*100,6))</f>
        <v/>
      </c>
      <c r="AL221" s="68" t="str">
        <f>IF(main!AX224="","",ROUND(main!AX224*100,6))</f>
        <v/>
      </c>
      <c r="AM221" s="68" t="str">
        <f>IF(main!AY224="","",ROUND(main!AY224*100,6))</f>
        <v/>
      </c>
      <c r="AN221" s="68" t="str">
        <f>IF(main!AZ224="","",ROUND(main!AZ224*100,6))</f>
        <v/>
      </c>
      <c r="AO221" s="68" t="str">
        <f>IF(main!BA224="","",ROUND(main!BA224*100,6))</f>
        <v/>
      </c>
      <c r="AP221" s="68" t="str">
        <f>IF(main!BB224="","",ROUND(main!BB224*100,6))</f>
        <v/>
      </c>
      <c r="AQ221" s="68" t="str">
        <f>IF(main!BC224="","",ROUND(main!BC224*100,6))</f>
        <v/>
      </c>
      <c r="AR221" s="68" t="str">
        <f>IF(main!BD224="","",ROUND(main!BD224*100,6))</f>
        <v/>
      </c>
      <c r="AS221" s="68" t="str">
        <f>IF(main!BE224="","",ROUND(main!BE224*100,6))</f>
        <v/>
      </c>
      <c r="AT221" s="68" t="str">
        <f>IF(main!BF224="","",ROUND(main!BF224*100,6))</f>
        <v/>
      </c>
      <c r="AU221" s="68" t="str">
        <f>IF(main!BG224="","",ROUND(main!BG224*100,6))</f>
        <v/>
      </c>
      <c r="AV221" s="68" t="str">
        <f>IF(main!BH224="","",ROUND(main!BH224*100,6))</f>
        <v/>
      </c>
      <c r="AW221" s="68" t="str">
        <f>IF(main!BI224="","",ROUND(main!BI224*100,6))</f>
        <v/>
      </c>
      <c r="AX221" s="68" t="str">
        <f>IF(main!BJ224="","",ROUND(main!BJ224*100,6))</f>
        <v/>
      </c>
      <c r="AY221" s="68" t="str">
        <f>IF(main!BK224="","",ROUND(main!BK224*100,6))</f>
        <v/>
      </c>
      <c r="AZ221" s="68" t="str">
        <f>IF(main!BL224="","",ROUND(main!BL224*100,6))</f>
        <v/>
      </c>
      <c r="BA221" s="68" t="str">
        <f>IF(main!BM224="","",ROUND(main!BM224*100,6))</f>
        <v/>
      </c>
      <c r="BB221" s="68" t="str">
        <f>IF(main!BN224="","",ROUND(main!BN224*100,6))</f>
        <v/>
      </c>
      <c r="BC221" s="68" t="str">
        <f>IF(main!BO224="","",ROUND(main!BO224*100,6))</f>
        <v/>
      </c>
      <c r="BD221" s="68" t="str">
        <f>IF(main!BP224="","",ROUND(main!BP224*100,6))</f>
        <v/>
      </c>
      <c r="BE221" s="68" t="str">
        <f>IF(main!BQ224="","",ROUND(main!BQ224*100,6))</f>
        <v/>
      </c>
      <c r="BF221" s="68" t="str">
        <f>IF(main!BR224="","",ROUND(main!BR224*100,6))</f>
        <v/>
      </c>
      <c r="BG221" s="68" t="str">
        <f>IF(main!BS224="","",ROUND(main!BS224*100,6))</f>
        <v/>
      </c>
      <c r="BH221" s="68" t="str">
        <f>IF(main!BT224="","",ROUND(main!BT224*100,6))</f>
        <v/>
      </c>
      <c r="BI221" s="68" t="str">
        <f>IF(main!BU224="","",ROUND(main!BU224*100,6))</f>
        <v/>
      </c>
      <c r="BJ221" s="68" t="str">
        <f>IF(main!BV224="","",ROUND(main!BV224*100,6))</f>
        <v/>
      </c>
      <c r="BK221" s="68" t="str">
        <f>IF(main!BW224="","",ROUND(main!BW224*100,6))</f>
        <v/>
      </c>
      <c r="BL221" s="68" t="str">
        <f>IF(main!BX224="","",ROUND(main!BX224*100,6))</f>
        <v/>
      </c>
      <c r="BM221" s="68" t="str">
        <f>IF(main!BY224="","",ROUND(main!BY224*100,6))</f>
        <v/>
      </c>
      <c r="BN221" s="68" t="str">
        <f>IF(main!BZ224="","",ROUND(main!BZ224*100,6))</f>
        <v/>
      </c>
      <c r="BO221" s="68" t="str">
        <f>IF(main!CA224="","",ROUND(main!CA224*100,6))</f>
        <v/>
      </c>
      <c r="BP221" s="68" t="str">
        <f>IF(main!CB224="","",ROUND(main!CB224*100,6))</f>
        <v/>
      </c>
      <c r="BQ221" s="68" t="str">
        <f>IF(main!CC224="","",ROUND(main!CC224*100,6))</f>
        <v/>
      </c>
      <c r="BR221" s="68" t="str">
        <f>IF(main!CD224="","",ROUND(main!CD224*100,6))</f>
        <v/>
      </c>
      <c r="BS221" s="68" t="str">
        <f>IF(main!CE224="","",ROUND(main!CE224*100,6))</f>
        <v/>
      </c>
      <c r="BT221" s="68" t="str">
        <f>IF(main!CF224="","",ROUND(main!CF224*100,6))</f>
        <v/>
      </c>
      <c r="BU221" s="68" t="str">
        <f>IF(main!CG224="","",ROUND(main!CG224*100,6))</f>
        <v/>
      </c>
      <c r="BV221" s="68" t="str">
        <f>IF(main!CH224="","",ROUND(main!CH224*100,6))</f>
        <v/>
      </c>
      <c r="BW221" s="68" t="str">
        <f>IF(main!CI224="","",ROUND(main!CI224*100,6))</f>
        <v/>
      </c>
      <c r="BX221" s="68" t="str">
        <f>IF(main!CJ224="","",ROUND(main!CJ224*100,6))</f>
        <v/>
      </c>
      <c r="BY221" s="68" t="str">
        <f>IF(main!CK224="","",ROUND(main!CK224*100,6))</f>
        <v/>
      </c>
      <c r="BZ221" s="68" t="str">
        <f>IF(main!CL224="","",ROUND(main!CL224*100,6))</f>
        <v/>
      </c>
      <c r="CA221" s="68" t="str">
        <f>IF(main!CM224="","",ROUND(main!CM224*100,6))</f>
        <v/>
      </c>
      <c r="CB221" s="68" t="str">
        <f>IF(main!CN224="","",ROUND(main!CN224*100,6))</f>
        <v/>
      </c>
      <c r="CC221" s="68" t="str">
        <f>IF(main!CO224="","",ROUND(main!CO224*100,6))</f>
        <v/>
      </c>
    </row>
    <row r="222" spans="1:81" x14ac:dyDescent="0.25">
      <c r="A222" s="65" t="s">
        <v>387</v>
      </c>
      <c r="B222" s="66" t="str">
        <f>main!C225</f>
        <v>งานปูกระเบื้องยาง</v>
      </c>
      <c r="C222" s="67">
        <f>main!O225</f>
        <v>100000</v>
      </c>
      <c r="D222" s="65" t="s">
        <v>110</v>
      </c>
      <c r="E222" s="68">
        <f t="shared" si="3"/>
        <v>100</v>
      </c>
      <c r="F222" s="68" t="str">
        <f>IF(main!R225="","",ROUND(main!R225*100,6))</f>
        <v/>
      </c>
      <c r="G222" s="68" t="str">
        <f>IF(main!S225="","",ROUND(main!S225*100,6))</f>
        <v/>
      </c>
      <c r="H222" s="68" t="str">
        <f>IF(main!T225="","",ROUND(main!T225*100,6))</f>
        <v/>
      </c>
      <c r="I222" s="68" t="str">
        <f>IF(main!U225="","",ROUND(main!U225*100,6))</f>
        <v/>
      </c>
      <c r="J222" s="68" t="str">
        <f>IF(main!V225="","",ROUND(main!V225*100,6))</f>
        <v/>
      </c>
      <c r="K222" s="68" t="str">
        <f>IF(main!W225="","",ROUND(main!W225*100,6))</f>
        <v/>
      </c>
      <c r="L222" s="68" t="str">
        <f>IF(main!X225="","",ROUND(main!X225*100,6))</f>
        <v/>
      </c>
      <c r="M222" s="68" t="str">
        <f>IF(main!Y225="","",ROUND(main!Y225*100,6))</f>
        <v/>
      </c>
      <c r="N222" s="68" t="str">
        <f>IF(main!Z225="","",ROUND(main!Z225*100,6))</f>
        <v/>
      </c>
      <c r="O222" s="68" t="str">
        <f>IF(main!AA225="","",ROUND(main!AA225*100,6))</f>
        <v/>
      </c>
      <c r="P222" s="68" t="str">
        <f>IF(main!AB225="","",ROUND(main!AB225*100,6))</f>
        <v/>
      </c>
      <c r="Q222" s="68" t="str">
        <f>IF(main!AC225="","",ROUND(main!AC225*100,6))</f>
        <v/>
      </c>
      <c r="R222" s="68" t="str">
        <f>IF(main!AD225="","",ROUND(main!AD225*100,6))</f>
        <v/>
      </c>
      <c r="S222" s="68" t="str">
        <f>IF(main!AE225="","",ROUND(main!AE225*100,6))</f>
        <v/>
      </c>
      <c r="T222" s="68" t="str">
        <f>IF(main!AF225="","",ROUND(main!AF225*100,6))</f>
        <v/>
      </c>
      <c r="U222" s="68" t="str">
        <f>IF(main!AG225="","",ROUND(main!AG225*100,6))</f>
        <v/>
      </c>
      <c r="V222" s="68" t="str">
        <f>IF(main!AH225="","",ROUND(main!AH225*100,6))</f>
        <v/>
      </c>
      <c r="W222" s="68" t="str">
        <f>IF(main!AI225="","",ROUND(main!AI225*100,6))</f>
        <v/>
      </c>
      <c r="X222" s="68" t="str">
        <f>IF(main!AJ225="","",ROUND(main!AJ225*100,6))</f>
        <v/>
      </c>
      <c r="Y222" s="68" t="str">
        <f>IF(main!AK225="","",ROUND(main!AK225*100,6))</f>
        <v/>
      </c>
      <c r="Z222" s="68" t="str">
        <f>IF(main!AL225="","",ROUND(main!AL225*100,6))</f>
        <v/>
      </c>
      <c r="AA222" s="68" t="str">
        <f>IF(main!AM225="","",ROUND(main!AM225*100,6))</f>
        <v/>
      </c>
      <c r="AB222" s="68" t="str">
        <f>IF(main!AN225="","",ROUND(main!AN225*100,6))</f>
        <v/>
      </c>
      <c r="AC222" s="68" t="str">
        <f>IF(main!AO225="","",ROUND(main!AO225*100,6))</f>
        <v/>
      </c>
      <c r="AD222" s="68" t="str">
        <f>IF(main!AP225="","",ROUND(main!AP225*100,6))</f>
        <v/>
      </c>
      <c r="AE222" s="68" t="str">
        <f>IF(main!AQ225="","",ROUND(main!AQ225*100,6))</f>
        <v/>
      </c>
      <c r="AF222" s="68" t="str">
        <f>IF(main!AR225="","",ROUND(main!AR225*100,6))</f>
        <v/>
      </c>
      <c r="AG222" s="68" t="str">
        <f>IF(main!AS225="","",ROUND(main!AS225*100,6))</f>
        <v/>
      </c>
      <c r="AH222" s="68" t="str">
        <f>IF(main!AT225="","",ROUND(main!AT225*100,6))</f>
        <v/>
      </c>
      <c r="AI222" s="68" t="str">
        <f>IF(main!AU225="","",ROUND(main!AU225*100,6))</f>
        <v/>
      </c>
      <c r="AJ222" s="68" t="str">
        <f>IF(main!AV225="","",ROUND(main!AV225*100,6))</f>
        <v/>
      </c>
      <c r="AK222" s="68" t="str">
        <f>IF(main!AW225="","",ROUND(main!AW225*100,6))</f>
        <v/>
      </c>
      <c r="AL222" s="68" t="str">
        <f>IF(main!AX225="","",ROUND(main!AX225*100,6))</f>
        <v/>
      </c>
      <c r="AM222" s="68" t="str">
        <f>IF(main!AY225="","",ROUND(main!AY225*100,6))</f>
        <v/>
      </c>
      <c r="AN222" s="68" t="str">
        <f>IF(main!AZ225="","",ROUND(main!AZ225*100,6))</f>
        <v/>
      </c>
      <c r="AO222" s="68" t="str">
        <f>IF(main!BA225="","",ROUND(main!BA225*100,6))</f>
        <v/>
      </c>
      <c r="AP222" s="68" t="str">
        <f>IF(main!BB225="","",ROUND(main!BB225*100,6))</f>
        <v/>
      </c>
      <c r="AQ222" s="68" t="str">
        <f>IF(main!BC225="","",ROUND(main!BC225*100,6))</f>
        <v/>
      </c>
      <c r="AR222" s="68" t="str">
        <f>IF(main!BD225="","",ROUND(main!BD225*100,6))</f>
        <v/>
      </c>
      <c r="AS222" s="68" t="str">
        <f>IF(main!BE225="","",ROUND(main!BE225*100,6))</f>
        <v/>
      </c>
      <c r="AT222" s="68" t="str">
        <f>IF(main!BF225="","",ROUND(main!BF225*100,6))</f>
        <v/>
      </c>
      <c r="AU222" s="68" t="str">
        <f>IF(main!BG225="","",ROUND(main!BG225*100,6))</f>
        <v/>
      </c>
      <c r="AV222" s="68" t="str">
        <f>IF(main!BH225="","",ROUND(main!BH225*100,6))</f>
        <v/>
      </c>
      <c r="AW222" s="68" t="str">
        <f>IF(main!BI225="","",ROUND(main!BI225*100,6))</f>
        <v/>
      </c>
      <c r="AX222" s="68" t="str">
        <f>IF(main!BJ225="","",ROUND(main!BJ225*100,6))</f>
        <v/>
      </c>
      <c r="AY222" s="68" t="str">
        <f>IF(main!BK225="","",ROUND(main!BK225*100,6))</f>
        <v/>
      </c>
      <c r="AZ222" s="68" t="str">
        <f>IF(main!BL225="","",ROUND(main!BL225*100,6))</f>
        <v/>
      </c>
      <c r="BA222" s="68" t="str">
        <f>IF(main!BM225="","",ROUND(main!BM225*100,6))</f>
        <v/>
      </c>
      <c r="BB222" s="68" t="str">
        <f>IF(main!BN225="","",ROUND(main!BN225*100,6))</f>
        <v/>
      </c>
      <c r="BC222" s="68" t="str">
        <f>IF(main!BO225="","",ROUND(main!BO225*100,6))</f>
        <v/>
      </c>
      <c r="BD222" s="68" t="str">
        <f>IF(main!BP225="","",ROUND(main!BP225*100,6))</f>
        <v/>
      </c>
      <c r="BE222" s="68" t="str">
        <f>IF(main!BQ225="","",ROUND(main!BQ225*100,6))</f>
        <v/>
      </c>
      <c r="BF222" s="68" t="str">
        <f>IF(main!BR225="","",ROUND(main!BR225*100,6))</f>
        <v/>
      </c>
      <c r="BG222" s="68" t="str">
        <f>IF(main!BS225="","",ROUND(main!BS225*100,6))</f>
        <v/>
      </c>
      <c r="BH222" s="68" t="str">
        <f>IF(main!BT225="","",ROUND(main!BT225*100,6))</f>
        <v/>
      </c>
      <c r="BI222" s="68" t="str">
        <f>IF(main!BU225="","",ROUND(main!BU225*100,6))</f>
        <v/>
      </c>
      <c r="BJ222" s="68" t="str">
        <f>IF(main!BV225="","",ROUND(main!BV225*100,6))</f>
        <v/>
      </c>
      <c r="BK222" s="68" t="str">
        <f>IF(main!BW225="","",ROUND(main!BW225*100,6))</f>
        <v/>
      </c>
      <c r="BL222" s="68" t="str">
        <f>IF(main!BX225="","",ROUND(main!BX225*100,6))</f>
        <v/>
      </c>
      <c r="BM222" s="68" t="str">
        <f>IF(main!BY225="","",ROUND(main!BY225*100,6))</f>
        <v/>
      </c>
      <c r="BN222" s="68" t="str">
        <f>IF(main!BZ225="","",ROUND(main!BZ225*100,6))</f>
        <v/>
      </c>
      <c r="BO222" s="68" t="str">
        <f>IF(main!CA225="","",ROUND(main!CA225*100,6))</f>
        <v/>
      </c>
      <c r="BP222" s="68" t="str">
        <f>IF(main!CB225="","",ROUND(main!CB225*100,6))</f>
        <v/>
      </c>
      <c r="BQ222" s="68" t="str">
        <f>IF(main!CC225="","",ROUND(main!CC225*100,6))</f>
        <v/>
      </c>
      <c r="BR222" s="68" t="str">
        <f>IF(main!CD225="","",ROUND(main!CD225*100,6))</f>
        <v/>
      </c>
      <c r="BS222" s="68" t="str">
        <f>IF(main!CE225="","",ROUND(main!CE225*100,6))</f>
        <v/>
      </c>
      <c r="BT222" s="68">
        <f>IF(main!CF225="","",ROUND(main!CF225*100,6))</f>
        <v>14.285714</v>
      </c>
      <c r="BU222" s="68">
        <f>IF(main!CG225="","",ROUND(main!CG225*100,6))</f>
        <v>50</v>
      </c>
      <c r="BV222" s="68">
        <f>IF(main!CH225="","",ROUND(main!CH225*100,6))</f>
        <v>35.714286000000001</v>
      </c>
      <c r="BW222" s="68" t="str">
        <f>IF(main!CI225="","",ROUND(main!CI225*100,6))</f>
        <v/>
      </c>
      <c r="BX222" s="68" t="str">
        <f>IF(main!CJ225="","",ROUND(main!CJ225*100,6))</f>
        <v/>
      </c>
      <c r="BY222" s="68" t="str">
        <f>IF(main!CK225="","",ROUND(main!CK225*100,6))</f>
        <v/>
      </c>
      <c r="BZ222" s="68" t="str">
        <f>IF(main!CL225="","",ROUND(main!CL225*100,6))</f>
        <v/>
      </c>
      <c r="CA222" s="68" t="str">
        <f>IF(main!CM225="","",ROUND(main!CM225*100,6))</f>
        <v/>
      </c>
      <c r="CB222" s="68" t="str">
        <f>IF(main!CN225="","",ROUND(main!CN225*100,6))</f>
        <v/>
      </c>
      <c r="CC222" s="68" t="str">
        <f>IF(main!CO225="","",ROUND(main!CO225*100,6))</f>
        <v/>
      </c>
    </row>
    <row r="223" spans="1:81" x14ac:dyDescent="0.25">
      <c r="A223" s="65" t="s">
        <v>387</v>
      </c>
      <c r="B223" s="66" t="str">
        <f>main!C225</f>
        <v>งานปูกระเบื้องยาง</v>
      </c>
      <c r="C223" s="67">
        <f>main!O225</f>
        <v>100000</v>
      </c>
      <c r="D223" s="65" t="s">
        <v>111</v>
      </c>
      <c r="E223" s="68" t="str">
        <f t="shared" si="3"/>
        <v/>
      </c>
      <c r="F223" s="68" t="str">
        <f>IF(main!R226="","",ROUND(main!R226*100,6))</f>
        <v/>
      </c>
      <c r="G223" s="68" t="str">
        <f>IF(main!S226="","",ROUND(main!S226*100,6))</f>
        <v/>
      </c>
      <c r="H223" s="68" t="str">
        <f>IF(main!T226="","",ROUND(main!T226*100,6))</f>
        <v/>
      </c>
      <c r="I223" s="68" t="str">
        <f>IF(main!U226="","",ROUND(main!U226*100,6))</f>
        <v/>
      </c>
      <c r="J223" s="68" t="str">
        <f>IF(main!V226="","",ROUND(main!V226*100,6))</f>
        <v/>
      </c>
      <c r="K223" s="68" t="str">
        <f>IF(main!W226="","",ROUND(main!W226*100,6))</f>
        <v/>
      </c>
      <c r="L223" s="68" t="str">
        <f>IF(main!X226="","",ROUND(main!X226*100,6))</f>
        <v/>
      </c>
      <c r="M223" s="68" t="str">
        <f>IF(main!Y226="","",ROUND(main!Y226*100,6))</f>
        <v/>
      </c>
      <c r="N223" s="68" t="str">
        <f>IF(main!Z226="","",ROUND(main!Z226*100,6))</f>
        <v/>
      </c>
      <c r="O223" s="68" t="str">
        <f>IF(main!AA226="","",ROUND(main!AA226*100,6))</f>
        <v/>
      </c>
      <c r="P223" s="68" t="str">
        <f>IF(main!AB226="","",ROUND(main!AB226*100,6))</f>
        <v/>
      </c>
      <c r="Q223" s="68" t="str">
        <f>IF(main!AC226="","",ROUND(main!AC226*100,6))</f>
        <v/>
      </c>
      <c r="R223" s="68" t="str">
        <f>IF(main!AD226="","",ROUND(main!AD226*100,6))</f>
        <v/>
      </c>
      <c r="S223" s="68" t="str">
        <f>IF(main!AE226="","",ROUND(main!AE226*100,6))</f>
        <v/>
      </c>
      <c r="T223" s="68" t="str">
        <f>IF(main!AF226="","",ROUND(main!AF226*100,6))</f>
        <v/>
      </c>
      <c r="U223" s="68" t="str">
        <f>IF(main!AG226="","",ROUND(main!AG226*100,6))</f>
        <v/>
      </c>
      <c r="V223" s="68" t="str">
        <f>IF(main!AH226="","",ROUND(main!AH226*100,6))</f>
        <v/>
      </c>
      <c r="W223" s="68" t="str">
        <f>IF(main!AI226="","",ROUND(main!AI226*100,6))</f>
        <v/>
      </c>
      <c r="X223" s="68" t="str">
        <f>IF(main!AJ226="","",ROUND(main!AJ226*100,6))</f>
        <v/>
      </c>
      <c r="Y223" s="68" t="str">
        <f>IF(main!AK226="","",ROUND(main!AK226*100,6))</f>
        <v/>
      </c>
      <c r="Z223" s="68" t="str">
        <f>IF(main!AL226="","",ROUND(main!AL226*100,6))</f>
        <v/>
      </c>
      <c r="AA223" s="68" t="str">
        <f>IF(main!AM226="","",ROUND(main!AM226*100,6))</f>
        <v/>
      </c>
      <c r="AB223" s="68" t="str">
        <f>IF(main!AN226="","",ROUND(main!AN226*100,6))</f>
        <v/>
      </c>
      <c r="AC223" s="68" t="str">
        <f>IF(main!AO226="","",ROUND(main!AO226*100,6))</f>
        <v/>
      </c>
      <c r="AD223" s="68" t="str">
        <f>IF(main!AP226="","",ROUND(main!AP226*100,6))</f>
        <v/>
      </c>
      <c r="AE223" s="68" t="str">
        <f>IF(main!AQ226="","",ROUND(main!AQ226*100,6))</f>
        <v/>
      </c>
      <c r="AF223" s="68" t="str">
        <f>IF(main!AR226="","",ROUND(main!AR226*100,6))</f>
        <v/>
      </c>
      <c r="AG223" s="68" t="str">
        <f>IF(main!AS226="","",ROUND(main!AS226*100,6))</f>
        <v/>
      </c>
      <c r="AH223" s="68" t="str">
        <f>IF(main!AT226="","",ROUND(main!AT226*100,6))</f>
        <v/>
      </c>
      <c r="AI223" s="68" t="str">
        <f>IF(main!AU226="","",ROUND(main!AU226*100,6))</f>
        <v/>
      </c>
      <c r="AJ223" s="68" t="str">
        <f>IF(main!AV226="","",ROUND(main!AV226*100,6))</f>
        <v/>
      </c>
      <c r="AK223" s="68" t="str">
        <f>IF(main!AW226="","",ROUND(main!AW226*100,6))</f>
        <v/>
      </c>
      <c r="AL223" s="68" t="str">
        <f>IF(main!AX226="","",ROUND(main!AX226*100,6))</f>
        <v/>
      </c>
      <c r="AM223" s="68" t="str">
        <f>IF(main!AY226="","",ROUND(main!AY226*100,6))</f>
        <v/>
      </c>
      <c r="AN223" s="68" t="str">
        <f>IF(main!AZ226="","",ROUND(main!AZ226*100,6))</f>
        <v/>
      </c>
      <c r="AO223" s="68" t="str">
        <f>IF(main!BA226="","",ROUND(main!BA226*100,6))</f>
        <v/>
      </c>
      <c r="AP223" s="68" t="str">
        <f>IF(main!BB226="","",ROUND(main!BB226*100,6))</f>
        <v/>
      </c>
      <c r="AQ223" s="68" t="str">
        <f>IF(main!BC226="","",ROUND(main!BC226*100,6))</f>
        <v/>
      </c>
      <c r="AR223" s="68" t="str">
        <f>IF(main!BD226="","",ROUND(main!BD226*100,6))</f>
        <v/>
      </c>
      <c r="AS223" s="68" t="str">
        <f>IF(main!BE226="","",ROUND(main!BE226*100,6))</f>
        <v/>
      </c>
      <c r="AT223" s="68" t="str">
        <f>IF(main!BF226="","",ROUND(main!BF226*100,6))</f>
        <v/>
      </c>
      <c r="AU223" s="68" t="str">
        <f>IF(main!BG226="","",ROUND(main!BG226*100,6))</f>
        <v/>
      </c>
      <c r="AV223" s="68" t="str">
        <f>IF(main!BH226="","",ROUND(main!BH226*100,6))</f>
        <v/>
      </c>
      <c r="AW223" s="68" t="str">
        <f>IF(main!BI226="","",ROUND(main!BI226*100,6))</f>
        <v/>
      </c>
      <c r="AX223" s="68" t="str">
        <f>IF(main!BJ226="","",ROUND(main!BJ226*100,6))</f>
        <v/>
      </c>
      <c r="AY223" s="68" t="str">
        <f>IF(main!BK226="","",ROUND(main!BK226*100,6))</f>
        <v/>
      </c>
      <c r="AZ223" s="68" t="str">
        <f>IF(main!BL226="","",ROUND(main!BL226*100,6))</f>
        <v/>
      </c>
      <c r="BA223" s="68" t="str">
        <f>IF(main!BM226="","",ROUND(main!BM226*100,6))</f>
        <v/>
      </c>
      <c r="BB223" s="68" t="str">
        <f>IF(main!BN226="","",ROUND(main!BN226*100,6))</f>
        <v/>
      </c>
      <c r="BC223" s="68" t="str">
        <f>IF(main!BO226="","",ROUND(main!BO226*100,6))</f>
        <v/>
      </c>
      <c r="BD223" s="68" t="str">
        <f>IF(main!BP226="","",ROUND(main!BP226*100,6))</f>
        <v/>
      </c>
      <c r="BE223" s="68" t="str">
        <f>IF(main!BQ226="","",ROUND(main!BQ226*100,6))</f>
        <v/>
      </c>
      <c r="BF223" s="68" t="str">
        <f>IF(main!BR226="","",ROUND(main!BR226*100,6))</f>
        <v/>
      </c>
      <c r="BG223" s="68" t="str">
        <f>IF(main!BS226="","",ROUND(main!BS226*100,6))</f>
        <v/>
      </c>
      <c r="BH223" s="68" t="str">
        <f>IF(main!BT226="","",ROUND(main!BT226*100,6))</f>
        <v/>
      </c>
      <c r="BI223" s="68" t="str">
        <f>IF(main!BU226="","",ROUND(main!BU226*100,6))</f>
        <v/>
      </c>
      <c r="BJ223" s="68" t="str">
        <f>IF(main!BV226="","",ROUND(main!BV226*100,6))</f>
        <v/>
      </c>
      <c r="BK223" s="68" t="str">
        <f>IF(main!BW226="","",ROUND(main!BW226*100,6))</f>
        <v/>
      </c>
      <c r="BL223" s="68" t="str">
        <f>IF(main!BX226="","",ROUND(main!BX226*100,6))</f>
        <v/>
      </c>
      <c r="BM223" s="68" t="str">
        <f>IF(main!BY226="","",ROUND(main!BY226*100,6))</f>
        <v/>
      </c>
      <c r="BN223" s="68" t="str">
        <f>IF(main!BZ226="","",ROUND(main!BZ226*100,6))</f>
        <v/>
      </c>
      <c r="BO223" s="68" t="str">
        <f>IF(main!CA226="","",ROUND(main!CA226*100,6))</f>
        <v/>
      </c>
      <c r="BP223" s="68" t="str">
        <f>IF(main!CB226="","",ROUND(main!CB226*100,6))</f>
        <v/>
      </c>
      <c r="BQ223" s="68" t="str">
        <f>IF(main!CC226="","",ROUND(main!CC226*100,6))</f>
        <v/>
      </c>
      <c r="BR223" s="68" t="str">
        <f>IF(main!CD226="","",ROUND(main!CD226*100,6))</f>
        <v/>
      </c>
      <c r="BS223" s="68" t="str">
        <f>IF(main!CE226="","",ROUND(main!CE226*100,6))</f>
        <v/>
      </c>
      <c r="BT223" s="68" t="str">
        <f>IF(main!CF226="","",ROUND(main!CF226*100,6))</f>
        <v/>
      </c>
      <c r="BU223" s="68" t="str">
        <f>IF(main!CG226="","",ROUND(main!CG226*100,6))</f>
        <v/>
      </c>
      <c r="BV223" s="68" t="str">
        <f>IF(main!CH226="","",ROUND(main!CH226*100,6))</f>
        <v/>
      </c>
      <c r="BW223" s="68" t="str">
        <f>IF(main!CI226="","",ROUND(main!CI226*100,6))</f>
        <v/>
      </c>
      <c r="BX223" s="68" t="str">
        <f>IF(main!CJ226="","",ROUND(main!CJ226*100,6))</f>
        <v/>
      </c>
      <c r="BY223" s="68" t="str">
        <f>IF(main!CK226="","",ROUND(main!CK226*100,6))</f>
        <v/>
      </c>
      <c r="BZ223" s="68" t="str">
        <f>IF(main!CL226="","",ROUND(main!CL226*100,6))</f>
        <v/>
      </c>
      <c r="CA223" s="68" t="str">
        <f>IF(main!CM226="","",ROUND(main!CM226*100,6))</f>
        <v/>
      </c>
      <c r="CB223" s="68" t="str">
        <f>IF(main!CN226="","",ROUND(main!CN226*100,6))</f>
        <v/>
      </c>
      <c r="CC223" s="68" t="str">
        <f>IF(main!CO226="","",ROUND(main!CO226*100,6))</f>
        <v/>
      </c>
    </row>
    <row r="224" spans="1:81" x14ac:dyDescent="0.25">
      <c r="A224" s="65" t="s">
        <v>390</v>
      </c>
      <c r="B224" s="66" t="str">
        <f>main!C227</f>
        <v>งานปูหินแกรนิต ปูกระเบื้อง ห้องน้ำ</v>
      </c>
      <c r="C224" s="67">
        <f>main!O227</f>
        <v>100000</v>
      </c>
      <c r="D224" s="65" t="s">
        <v>110</v>
      </c>
      <c r="E224" s="68">
        <f t="shared" si="3"/>
        <v>99.999999000000003</v>
      </c>
      <c r="F224" s="68" t="str">
        <f>IF(main!R227="","",ROUND(main!R227*100,6))</f>
        <v/>
      </c>
      <c r="G224" s="68" t="str">
        <f>IF(main!S227="","",ROUND(main!S227*100,6))</f>
        <v/>
      </c>
      <c r="H224" s="68" t="str">
        <f>IF(main!T227="","",ROUND(main!T227*100,6))</f>
        <v/>
      </c>
      <c r="I224" s="68" t="str">
        <f>IF(main!U227="","",ROUND(main!U227*100,6))</f>
        <v/>
      </c>
      <c r="J224" s="68" t="str">
        <f>IF(main!V227="","",ROUND(main!V227*100,6))</f>
        <v/>
      </c>
      <c r="K224" s="68" t="str">
        <f>IF(main!W227="","",ROUND(main!W227*100,6))</f>
        <v/>
      </c>
      <c r="L224" s="68" t="str">
        <f>IF(main!X227="","",ROUND(main!X227*100,6))</f>
        <v/>
      </c>
      <c r="M224" s="68" t="str">
        <f>IF(main!Y227="","",ROUND(main!Y227*100,6))</f>
        <v/>
      </c>
      <c r="N224" s="68" t="str">
        <f>IF(main!Z227="","",ROUND(main!Z227*100,6))</f>
        <v/>
      </c>
      <c r="O224" s="68" t="str">
        <f>IF(main!AA227="","",ROUND(main!AA227*100,6))</f>
        <v/>
      </c>
      <c r="P224" s="68" t="str">
        <f>IF(main!AB227="","",ROUND(main!AB227*100,6))</f>
        <v/>
      </c>
      <c r="Q224" s="68" t="str">
        <f>IF(main!AC227="","",ROUND(main!AC227*100,6))</f>
        <v/>
      </c>
      <c r="R224" s="68" t="str">
        <f>IF(main!AD227="","",ROUND(main!AD227*100,6))</f>
        <v/>
      </c>
      <c r="S224" s="68" t="str">
        <f>IF(main!AE227="","",ROUND(main!AE227*100,6))</f>
        <v/>
      </c>
      <c r="T224" s="68" t="str">
        <f>IF(main!AF227="","",ROUND(main!AF227*100,6))</f>
        <v/>
      </c>
      <c r="U224" s="68" t="str">
        <f>IF(main!AG227="","",ROUND(main!AG227*100,6))</f>
        <v/>
      </c>
      <c r="V224" s="68" t="str">
        <f>IF(main!AH227="","",ROUND(main!AH227*100,6))</f>
        <v/>
      </c>
      <c r="W224" s="68" t="str">
        <f>IF(main!AI227="","",ROUND(main!AI227*100,6))</f>
        <v/>
      </c>
      <c r="X224" s="68" t="str">
        <f>IF(main!AJ227="","",ROUND(main!AJ227*100,6))</f>
        <v/>
      </c>
      <c r="Y224" s="68" t="str">
        <f>IF(main!AK227="","",ROUND(main!AK227*100,6))</f>
        <v/>
      </c>
      <c r="Z224" s="68" t="str">
        <f>IF(main!AL227="","",ROUND(main!AL227*100,6))</f>
        <v/>
      </c>
      <c r="AA224" s="68" t="str">
        <f>IF(main!AM227="","",ROUND(main!AM227*100,6))</f>
        <v/>
      </c>
      <c r="AB224" s="68" t="str">
        <f>IF(main!AN227="","",ROUND(main!AN227*100,6))</f>
        <v/>
      </c>
      <c r="AC224" s="68" t="str">
        <f>IF(main!AO227="","",ROUND(main!AO227*100,6))</f>
        <v/>
      </c>
      <c r="AD224" s="68" t="str">
        <f>IF(main!AP227="","",ROUND(main!AP227*100,6))</f>
        <v/>
      </c>
      <c r="AE224" s="68" t="str">
        <f>IF(main!AQ227="","",ROUND(main!AQ227*100,6))</f>
        <v/>
      </c>
      <c r="AF224" s="68" t="str">
        <f>IF(main!AR227="","",ROUND(main!AR227*100,6))</f>
        <v/>
      </c>
      <c r="AG224" s="68" t="str">
        <f>IF(main!AS227="","",ROUND(main!AS227*100,6))</f>
        <v/>
      </c>
      <c r="AH224" s="68" t="str">
        <f>IF(main!AT227="","",ROUND(main!AT227*100,6))</f>
        <v/>
      </c>
      <c r="AI224" s="68" t="str">
        <f>IF(main!AU227="","",ROUND(main!AU227*100,6))</f>
        <v/>
      </c>
      <c r="AJ224" s="68" t="str">
        <f>IF(main!AV227="","",ROUND(main!AV227*100,6))</f>
        <v/>
      </c>
      <c r="AK224" s="68" t="str">
        <f>IF(main!AW227="","",ROUND(main!AW227*100,6))</f>
        <v/>
      </c>
      <c r="AL224" s="68" t="str">
        <f>IF(main!AX227="","",ROUND(main!AX227*100,6))</f>
        <v/>
      </c>
      <c r="AM224" s="68" t="str">
        <f>IF(main!AY227="","",ROUND(main!AY227*100,6))</f>
        <v/>
      </c>
      <c r="AN224" s="68" t="str">
        <f>IF(main!AZ227="","",ROUND(main!AZ227*100,6))</f>
        <v/>
      </c>
      <c r="AO224" s="68" t="str">
        <f>IF(main!BA227="","",ROUND(main!BA227*100,6))</f>
        <v/>
      </c>
      <c r="AP224" s="68" t="str">
        <f>IF(main!BB227="","",ROUND(main!BB227*100,6))</f>
        <v/>
      </c>
      <c r="AQ224" s="68" t="str">
        <f>IF(main!BC227="","",ROUND(main!BC227*100,6))</f>
        <v/>
      </c>
      <c r="AR224" s="68" t="str">
        <f>IF(main!BD227="","",ROUND(main!BD227*100,6))</f>
        <v/>
      </c>
      <c r="AS224" s="68" t="str">
        <f>IF(main!BE227="","",ROUND(main!BE227*100,6))</f>
        <v/>
      </c>
      <c r="AT224" s="68" t="str">
        <f>IF(main!BF227="","",ROUND(main!BF227*100,6))</f>
        <v/>
      </c>
      <c r="AU224" s="68" t="str">
        <f>IF(main!BG227="","",ROUND(main!BG227*100,6))</f>
        <v/>
      </c>
      <c r="AV224" s="68" t="str">
        <f>IF(main!BH227="","",ROUND(main!BH227*100,6))</f>
        <v/>
      </c>
      <c r="AW224" s="68" t="str">
        <f>IF(main!BI227="","",ROUND(main!BI227*100,6))</f>
        <v/>
      </c>
      <c r="AX224" s="68" t="str">
        <f>IF(main!BJ227="","",ROUND(main!BJ227*100,6))</f>
        <v/>
      </c>
      <c r="AY224" s="68" t="str">
        <f>IF(main!BK227="","",ROUND(main!BK227*100,6))</f>
        <v/>
      </c>
      <c r="AZ224" s="68" t="str">
        <f>IF(main!BL227="","",ROUND(main!BL227*100,6))</f>
        <v/>
      </c>
      <c r="BA224" s="68" t="str">
        <f>IF(main!BM227="","",ROUND(main!BM227*100,6))</f>
        <v/>
      </c>
      <c r="BB224" s="68" t="str">
        <f>IF(main!BN227="","",ROUND(main!BN227*100,6))</f>
        <v/>
      </c>
      <c r="BC224" s="68" t="str">
        <f>IF(main!BO227="","",ROUND(main!BO227*100,6))</f>
        <v/>
      </c>
      <c r="BD224" s="68" t="str">
        <f>IF(main!BP227="","",ROUND(main!BP227*100,6))</f>
        <v/>
      </c>
      <c r="BE224" s="68" t="str">
        <f>IF(main!BQ227="","",ROUND(main!BQ227*100,6))</f>
        <v/>
      </c>
      <c r="BF224" s="68" t="str">
        <f>IF(main!BR227="","",ROUND(main!BR227*100,6))</f>
        <v/>
      </c>
      <c r="BG224" s="68" t="str">
        <f>IF(main!BS227="","",ROUND(main!BS227*100,6))</f>
        <v/>
      </c>
      <c r="BH224" s="68" t="str">
        <f>IF(main!BT227="","",ROUND(main!BT227*100,6))</f>
        <v/>
      </c>
      <c r="BI224" s="68" t="str">
        <f>IF(main!BU227="","",ROUND(main!BU227*100,6))</f>
        <v/>
      </c>
      <c r="BJ224" s="68">
        <f>IF(main!BV227="","",ROUND(main!BV227*100,6))</f>
        <v>26.315788999999999</v>
      </c>
      <c r="BK224" s="68">
        <f>IF(main!BW227="","",ROUND(main!BW227*100,6))</f>
        <v>36.842104999999997</v>
      </c>
      <c r="BL224" s="68">
        <f>IF(main!BX227="","",ROUND(main!BX227*100,6))</f>
        <v>36.842104999999997</v>
      </c>
      <c r="BM224" s="68" t="str">
        <f>IF(main!BY227="","",ROUND(main!BY227*100,6))</f>
        <v/>
      </c>
      <c r="BN224" s="68" t="str">
        <f>IF(main!BZ227="","",ROUND(main!BZ227*100,6))</f>
        <v/>
      </c>
      <c r="BO224" s="68" t="str">
        <f>IF(main!CA227="","",ROUND(main!CA227*100,6))</f>
        <v/>
      </c>
      <c r="BP224" s="68" t="str">
        <f>IF(main!CB227="","",ROUND(main!CB227*100,6))</f>
        <v/>
      </c>
      <c r="BQ224" s="68" t="str">
        <f>IF(main!CC227="","",ROUND(main!CC227*100,6))</f>
        <v/>
      </c>
      <c r="BR224" s="68" t="str">
        <f>IF(main!CD227="","",ROUND(main!CD227*100,6))</f>
        <v/>
      </c>
      <c r="BS224" s="68" t="str">
        <f>IF(main!CE227="","",ROUND(main!CE227*100,6))</f>
        <v/>
      </c>
      <c r="BT224" s="68" t="str">
        <f>IF(main!CF227="","",ROUND(main!CF227*100,6))</f>
        <v/>
      </c>
      <c r="BU224" s="68" t="str">
        <f>IF(main!CG227="","",ROUND(main!CG227*100,6))</f>
        <v/>
      </c>
      <c r="BV224" s="68" t="str">
        <f>IF(main!CH227="","",ROUND(main!CH227*100,6))</f>
        <v/>
      </c>
      <c r="BW224" s="68" t="str">
        <f>IF(main!CI227="","",ROUND(main!CI227*100,6))</f>
        <v/>
      </c>
      <c r="BX224" s="68" t="str">
        <f>IF(main!CJ227="","",ROUND(main!CJ227*100,6))</f>
        <v/>
      </c>
      <c r="BY224" s="68" t="str">
        <f>IF(main!CK227="","",ROUND(main!CK227*100,6))</f>
        <v/>
      </c>
      <c r="BZ224" s="68" t="str">
        <f>IF(main!CL227="","",ROUND(main!CL227*100,6))</f>
        <v/>
      </c>
      <c r="CA224" s="68" t="str">
        <f>IF(main!CM227="","",ROUND(main!CM227*100,6))</f>
        <v/>
      </c>
      <c r="CB224" s="68" t="str">
        <f>IF(main!CN227="","",ROUND(main!CN227*100,6))</f>
        <v/>
      </c>
      <c r="CC224" s="68" t="str">
        <f>IF(main!CO227="","",ROUND(main!CO227*100,6))</f>
        <v/>
      </c>
    </row>
    <row r="225" spans="1:81" x14ac:dyDescent="0.25">
      <c r="A225" s="65" t="s">
        <v>390</v>
      </c>
      <c r="B225" s="66" t="str">
        <f>main!C227</f>
        <v>งานปูหินแกรนิต ปูกระเบื้อง ห้องน้ำ</v>
      </c>
      <c r="C225" s="67">
        <f>main!O227</f>
        <v>100000</v>
      </c>
      <c r="D225" s="65" t="s">
        <v>111</v>
      </c>
      <c r="E225" s="68" t="str">
        <f t="shared" si="3"/>
        <v/>
      </c>
      <c r="F225" s="68" t="str">
        <f>IF(main!R228="","",ROUND(main!R228*100,6))</f>
        <v/>
      </c>
      <c r="G225" s="68" t="str">
        <f>IF(main!S228="","",ROUND(main!S228*100,6))</f>
        <v/>
      </c>
      <c r="H225" s="68" t="str">
        <f>IF(main!T228="","",ROUND(main!T228*100,6))</f>
        <v/>
      </c>
      <c r="I225" s="68" t="str">
        <f>IF(main!U228="","",ROUND(main!U228*100,6))</f>
        <v/>
      </c>
      <c r="J225" s="68" t="str">
        <f>IF(main!V228="","",ROUND(main!V228*100,6))</f>
        <v/>
      </c>
      <c r="K225" s="68" t="str">
        <f>IF(main!W228="","",ROUND(main!W228*100,6))</f>
        <v/>
      </c>
      <c r="L225" s="68" t="str">
        <f>IF(main!X228="","",ROUND(main!X228*100,6))</f>
        <v/>
      </c>
      <c r="M225" s="68" t="str">
        <f>IF(main!Y228="","",ROUND(main!Y228*100,6))</f>
        <v/>
      </c>
      <c r="N225" s="68" t="str">
        <f>IF(main!Z228="","",ROUND(main!Z228*100,6))</f>
        <v/>
      </c>
      <c r="O225" s="68" t="str">
        <f>IF(main!AA228="","",ROUND(main!AA228*100,6))</f>
        <v/>
      </c>
      <c r="P225" s="68" t="str">
        <f>IF(main!AB228="","",ROUND(main!AB228*100,6))</f>
        <v/>
      </c>
      <c r="Q225" s="68" t="str">
        <f>IF(main!AC228="","",ROUND(main!AC228*100,6))</f>
        <v/>
      </c>
      <c r="R225" s="68" t="str">
        <f>IF(main!AD228="","",ROUND(main!AD228*100,6))</f>
        <v/>
      </c>
      <c r="S225" s="68" t="str">
        <f>IF(main!AE228="","",ROUND(main!AE228*100,6))</f>
        <v/>
      </c>
      <c r="T225" s="68" t="str">
        <f>IF(main!AF228="","",ROUND(main!AF228*100,6))</f>
        <v/>
      </c>
      <c r="U225" s="68" t="str">
        <f>IF(main!AG228="","",ROUND(main!AG228*100,6))</f>
        <v/>
      </c>
      <c r="V225" s="68" t="str">
        <f>IF(main!AH228="","",ROUND(main!AH228*100,6))</f>
        <v/>
      </c>
      <c r="W225" s="68" t="str">
        <f>IF(main!AI228="","",ROUND(main!AI228*100,6))</f>
        <v/>
      </c>
      <c r="X225" s="68" t="str">
        <f>IF(main!AJ228="","",ROUND(main!AJ228*100,6))</f>
        <v/>
      </c>
      <c r="Y225" s="68" t="str">
        <f>IF(main!AK228="","",ROUND(main!AK228*100,6))</f>
        <v/>
      </c>
      <c r="Z225" s="68" t="str">
        <f>IF(main!AL228="","",ROUND(main!AL228*100,6))</f>
        <v/>
      </c>
      <c r="AA225" s="68" t="str">
        <f>IF(main!AM228="","",ROUND(main!AM228*100,6))</f>
        <v/>
      </c>
      <c r="AB225" s="68" t="str">
        <f>IF(main!AN228="","",ROUND(main!AN228*100,6))</f>
        <v/>
      </c>
      <c r="AC225" s="68" t="str">
        <f>IF(main!AO228="","",ROUND(main!AO228*100,6))</f>
        <v/>
      </c>
      <c r="AD225" s="68" t="str">
        <f>IF(main!AP228="","",ROUND(main!AP228*100,6))</f>
        <v/>
      </c>
      <c r="AE225" s="68" t="str">
        <f>IF(main!AQ228="","",ROUND(main!AQ228*100,6))</f>
        <v/>
      </c>
      <c r="AF225" s="68" t="str">
        <f>IF(main!AR228="","",ROUND(main!AR228*100,6))</f>
        <v/>
      </c>
      <c r="AG225" s="68" t="str">
        <f>IF(main!AS228="","",ROUND(main!AS228*100,6))</f>
        <v/>
      </c>
      <c r="AH225" s="68" t="str">
        <f>IF(main!AT228="","",ROUND(main!AT228*100,6))</f>
        <v/>
      </c>
      <c r="AI225" s="68" t="str">
        <f>IF(main!AU228="","",ROUND(main!AU228*100,6))</f>
        <v/>
      </c>
      <c r="AJ225" s="68" t="str">
        <f>IF(main!AV228="","",ROUND(main!AV228*100,6))</f>
        <v/>
      </c>
      <c r="AK225" s="68" t="str">
        <f>IF(main!AW228="","",ROUND(main!AW228*100,6))</f>
        <v/>
      </c>
      <c r="AL225" s="68" t="str">
        <f>IF(main!AX228="","",ROUND(main!AX228*100,6))</f>
        <v/>
      </c>
      <c r="AM225" s="68" t="str">
        <f>IF(main!AY228="","",ROUND(main!AY228*100,6))</f>
        <v/>
      </c>
      <c r="AN225" s="68" t="str">
        <f>IF(main!AZ228="","",ROUND(main!AZ228*100,6))</f>
        <v/>
      </c>
      <c r="AO225" s="68" t="str">
        <f>IF(main!BA228="","",ROUND(main!BA228*100,6))</f>
        <v/>
      </c>
      <c r="AP225" s="68" t="str">
        <f>IF(main!BB228="","",ROUND(main!BB228*100,6))</f>
        <v/>
      </c>
      <c r="AQ225" s="68" t="str">
        <f>IF(main!BC228="","",ROUND(main!BC228*100,6))</f>
        <v/>
      </c>
      <c r="AR225" s="68" t="str">
        <f>IF(main!BD228="","",ROUND(main!BD228*100,6))</f>
        <v/>
      </c>
      <c r="AS225" s="68" t="str">
        <f>IF(main!BE228="","",ROUND(main!BE228*100,6))</f>
        <v/>
      </c>
      <c r="AT225" s="68" t="str">
        <f>IF(main!BF228="","",ROUND(main!BF228*100,6))</f>
        <v/>
      </c>
      <c r="AU225" s="68" t="str">
        <f>IF(main!BG228="","",ROUND(main!BG228*100,6))</f>
        <v/>
      </c>
      <c r="AV225" s="68" t="str">
        <f>IF(main!BH228="","",ROUND(main!BH228*100,6))</f>
        <v/>
      </c>
      <c r="AW225" s="68" t="str">
        <f>IF(main!BI228="","",ROUND(main!BI228*100,6))</f>
        <v/>
      </c>
      <c r="AX225" s="68" t="str">
        <f>IF(main!BJ228="","",ROUND(main!BJ228*100,6))</f>
        <v/>
      </c>
      <c r="AY225" s="68" t="str">
        <f>IF(main!BK228="","",ROUND(main!BK228*100,6))</f>
        <v/>
      </c>
      <c r="AZ225" s="68" t="str">
        <f>IF(main!BL228="","",ROUND(main!BL228*100,6))</f>
        <v/>
      </c>
      <c r="BA225" s="68" t="str">
        <f>IF(main!BM228="","",ROUND(main!BM228*100,6))</f>
        <v/>
      </c>
      <c r="BB225" s="68" t="str">
        <f>IF(main!BN228="","",ROUND(main!BN228*100,6))</f>
        <v/>
      </c>
      <c r="BC225" s="68" t="str">
        <f>IF(main!BO228="","",ROUND(main!BO228*100,6))</f>
        <v/>
      </c>
      <c r="BD225" s="68" t="str">
        <f>IF(main!BP228="","",ROUND(main!BP228*100,6))</f>
        <v/>
      </c>
      <c r="BE225" s="68" t="str">
        <f>IF(main!BQ228="","",ROUND(main!BQ228*100,6))</f>
        <v/>
      </c>
      <c r="BF225" s="68" t="str">
        <f>IF(main!BR228="","",ROUND(main!BR228*100,6))</f>
        <v/>
      </c>
      <c r="BG225" s="68" t="str">
        <f>IF(main!BS228="","",ROUND(main!BS228*100,6))</f>
        <v/>
      </c>
      <c r="BH225" s="68" t="str">
        <f>IF(main!BT228="","",ROUND(main!BT228*100,6))</f>
        <v/>
      </c>
      <c r="BI225" s="68" t="str">
        <f>IF(main!BU228="","",ROUND(main!BU228*100,6))</f>
        <v/>
      </c>
      <c r="BJ225" s="68" t="str">
        <f>IF(main!BV228="","",ROUND(main!BV228*100,6))</f>
        <v/>
      </c>
      <c r="BK225" s="68" t="str">
        <f>IF(main!BW228="","",ROUND(main!BW228*100,6))</f>
        <v/>
      </c>
      <c r="BL225" s="68" t="str">
        <f>IF(main!BX228="","",ROUND(main!BX228*100,6))</f>
        <v/>
      </c>
      <c r="BM225" s="68" t="str">
        <f>IF(main!BY228="","",ROUND(main!BY228*100,6))</f>
        <v/>
      </c>
      <c r="BN225" s="68" t="str">
        <f>IF(main!BZ228="","",ROUND(main!BZ228*100,6))</f>
        <v/>
      </c>
      <c r="BO225" s="68" t="str">
        <f>IF(main!CA228="","",ROUND(main!CA228*100,6))</f>
        <v/>
      </c>
      <c r="BP225" s="68" t="str">
        <f>IF(main!CB228="","",ROUND(main!CB228*100,6))</f>
        <v/>
      </c>
      <c r="BQ225" s="68" t="str">
        <f>IF(main!CC228="","",ROUND(main!CC228*100,6))</f>
        <v/>
      </c>
      <c r="BR225" s="68" t="str">
        <f>IF(main!CD228="","",ROUND(main!CD228*100,6))</f>
        <v/>
      </c>
      <c r="BS225" s="68" t="str">
        <f>IF(main!CE228="","",ROUND(main!CE228*100,6))</f>
        <v/>
      </c>
      <c r="BT225" s="68" t="str">
        <f>IF(main!CF228="","",ROUND(main!CF228*100,6))</f>
        <v/>
      </c>
      <c r="BU225" s="68" t="str">
        <f>IF(main!CG228="","",ROUND(main!CG228*100,6))</f>
        <v/>
      </c>
      <c r="BV225" s="68" t="str">
        <f>IF(main!CH228="","",ROUND(main!CH228*100,6))</f>
        <v/>
      </c>
      <c r="BW225" s="68" t="str">
        <f>IF(main!CI228="","",ROUND(main!CI228*100,6))</f>
        <v/>
      </c>
      <c r="BX225" s="68" t="str">
        <f>IF(main!CJ228="","",ROUND(main!CJ228*100,6))</f>
        <v/>
      </c>
      <c r="BY225" s="68" t="str">
        <f>IF(main!CK228="","",ROUND(main!CK228*100,6))</f>
        <v/>
      </c>
      <c r="BZ225" s="68" t="str">
        <f>IF(main!CL228="","",ROUND(main!CL228*100,6))</f>
        <v/>
      </c>
      <c r="CA225" s="68" t="str">
        <f>IF(main!CM228="","",ROUND(main!CM228*100,6))</f>
        <v/>
      </c>
      <c r="CB225" s="68" t="str">
        <f>IF(main!CN228="","",ROUND(main!CN228*100,6))</f>
        <v/>
      </c>
      <c r="CC225" s="68" t="str">
        <f>IF(main!CO228="","",ROUND(main!CO228*100,6))</f>
        <v/>
      </c>
    </row>
    <row r="226" spans="1:81" x14ac:dyDescent="0.25">
      <c r="A226" s="65" t="s">
        <v>392</v>
      </c>
      <c r="B226" s="66" t="str">
        <f>main!C229</f>
        <v>Doors &amp; Windows</v>
      </c>
      <c r="C226" s="67">
        <f>main!O229</f>
        <v>100000</v>
      </c>
      <c r="D226" s="65" t="s">
        <v>110</v>
      </c>
      <c r="E226" s="68">
        <f t="shared" si="3"/>
        <v>100</v>
      </c>
      <c r="F226" s="68" t="str">
        <f>IF(main!R229="","",ROUND(main!R229*100,6))</f>
        <v/>
      </c>
      <c r="G226" s="68" t="str">
        <f>IF(main!S229="","",ROUND(main!S229*100,6))</f>
        <v/>
      </c>
      <c r="H226" s="68" t="str">
        <f>IF(main!T229="","",ROUND(main!T229*100,6))</f>
        <v/>
      </c>
      <c r="I226" s="68" t="str">
        <f>IF(main!U229="","",ROUND(main!U229*100,6))</f>
        <v/>
      </c>
      <c r="J226" s="68" t="str">
        <f>IF(main!V229="","",ROUND(main!V229*100,6))</f>
        <v/>
      </c>
      <c r="K226" s="68" t="str">
        <f>IF(main!W229="","",ROUND(main!W229*100,6))</f>
        <v/>
      </c>
      <c r="L226" s="68" t="str">
        <f>IF(main!X229="","",ROUND(main!X229*100,6))</f>
        <v/>
      </c>
      <c r="M226" s="68" t="str">
        <f>IF(main!Y229="","",ROUND(main!Y229*100,6))</f>
        <v/>
      </c>
      <c r="N226" s="68" t="str">
        <f>IF(main!Z229="","",ROUND(main!Z229*100,6))</f>
        <v/>
      </c>
      <c r="O226" s="68" t="str">
        <f>IF(main!AA229="","",ROUND(main!AA229*100,6))</f>
        <v/>
      </c>
      <c r="P226" s="68" t="str">
        <f>IF(main!AB229="","",ROUND(main!AB229*100,6))</f>
        <v/>
      </c>
      <c r="Q226" s="68" t="str">
        <f>IF(main!AC229="","",ROUND(main!AC229*100,6))</f>
        <v/>
      </c>
      <c r="R226" s="68" t="str">
        <f>IF(main!AD229="","",ROUND(main!AD229*100,6))</f>
        <v/>
      </c>
      <c r="S226" s="68" t="str">
        <f>IF(main!AE229="","",ROUND(main!AE229*100,6))</f>
        <v/>
      </c>
      <c r="T226" s="68" t="str">
        <f>IF(main!AF229="","",ROUND(main!AF229*100,6))</f>
        <v/>
      </c>
      <c r="U226" s="68" t="str">
        <f>IF(main!AG229="","",ROUND(main!AG229*100,6))</f>
        <v/>
      </c>
      <c r="V226" s="68" t="str">
        <f>IF(main!AH229="","",ROUND(main!AH229*100,6))</f>
        <v/>
      </c>
      <c r="W226" s="68" t="str">
        <f>IF(main!AI229="","",ROUND(main!AI229*100,6))</f>
        <v/>
      </c>
      <c r="X226" s="68" t="str">
        <f>IF(main!AJ229="","",ROUND(main!AJ229*100,6))</f>
        <v/>
      </c>
      <c r="Y226" s="68" t="str">
        <f>IF(main!AK229="","",ROUND(main!AK229*100,6))</f>
        <v/>
      </c>
      <c r="Z226" s="68" t="str">
        <f>IF(main!AL229="","",ROUND(main!AL229*100,6))</f>
        <v/>
      </c>
      <c r="AA226" s="68" t="str">
        <f>IF(main!AM229="","",ROUND(main!AM229*100,6))</f>
        <v/>
      </c>
      <c r="AB226" s="68" t="str">
        <f>IF(main!AN229="","",ROUND(main!AN229*100,6))</f>
        <v/>
      </c>
      <c r="AC226" s="68" t="str">
        <f>IF(main!AO229="","",ROUND(main!AO229*100,6))</f>
        <v/>
      </c>
      <c r="AD226" s="68" t="str">
        <f>IF(main!AP229="","",ROUND(main!AP229*100,6))</f>
        <v/>
      </c>
      <c r="AE226" s="68" t="str">
        <f>IF(main!AQ229="","",ROUND(main!AQ229*100,6))</f>
        <v/>
      </c>
      <c r="AF226" s="68" t="str">
        <f>IF(main!AR229="","",ROUND(main!AR229*100,6))</f>
        <v/>
      </c>
      <c r="AG226" s="68" t="str">
        <f>IF(main!AS229="","",ROUND(main!AS229*100,6))</f>
        <v/>
      </c>
      <c r="AH226" s="68" t="str">
        <f>IF(main!AT229="","",ROUND(main!AT229*100,6))</f>
        <v/>
      </c>
      <c r="AI226" s="68" t="str">
        <f>IF(main!AU229="","",ROUND(main!AU229*100,6))</f>
        <v/>
      </c>
      <c r="AJ226" s="68" t="str">
        <f>IF(main!AV229="","",ROUND(main!AV229*100,6))</f>
        <v/>
      </c>
      <c r="AK226" s="68" t="str">
        <f>IF(main!AW229="","",ROUND(main!AW229*100,6))</f>
        <v/>
      </c>
      <c r="AL226" s="68" t="str">
        <f>IF(main!AX229="","",ROUND(main!AX229*100,6))</f>
        <v/>
      </c>
      <c r="AM226" s="68" t="str">
        <f>IF(main!AY229="","",ROUND(main!AY229*100,6))</f>
        <v/>
      </c>
      <c r="AN226" s="68" t="str">
        <f>IF(main!AZ229="","",ROUND(main!AZ229*100,6))</f>
        <v/>
      </c>
      <c r="AO226" s="68" t="str">
        <f>IF(main!BA229="","",ROUND(main!BA229*100,6))</f>
        <v/>
      </c>
      <c r="AP226" s="68" t="str">
        <f>IF(main!BB229="","",ROUND(main!BB229*100,6))</f>
        <v/>
      </c>
      <c r="AQ226" s="68" t="str">
        <f>IF(main!BC229="","",ROUND(main!BC229*100,6))</f>
        <v/>
      </c>
      <c r="AR226" s="68" t="str">
        <f>IF(main!BD229="","",ROUND(main!BD229*100,6))</f>
        <v/>
      </c>
      <c r="AS226" s="68" t="str">
        <f>IF(main!BE229="","",ROUND(main!BE229*100,6))</f>
        <v/>
      </c>
      <c r="AT226" s="68" t="str">
        <f>IF(main!BF229="","",ROUND(main!BF229*100,6))</f>
        <v/>
      </c>
      <c r="AU226" s="68" t="str">
        <f>IF(main!BG229="","",ROUND(main!BG229*100,6))</f>
        <v/>
      </c>
      <c r="AV226" s="68" t="str">
        <f>IF(main!BH229="","",ROUND(main!BH229*100,6))</f>
        <v/>
      </c>
      <c r="AW226" s="68" t="str">
        <f>IF(main!BI229="","",ROUND(main!BI229*100,6))</f>
        <v/>
      </c>
      <c r="AX226" s="68" t="str">
        <f>IF(main!BJ229="","",ROUND(main!BJ229*100,6))</f>
        <v/>
      </c>
      <c r="AY226" s="68" t="str">
        <f>IF(main!BK229="","",ROUND(main!BK229*100,6))</f>
        <v/>
      </c>
      <c r="AZ226" s="68" t="str">
        <f>IF(main!BL229="","",ROUND(main!BL229*100,6))</f>
        <v/>
      </c>
      <c r="BA226" s="68" t="str">
        <f>IF(main!BM229="","",ROUND(main!BM229*100,6))</f>
        <v/>
      </c>
      <c r="BB226" s="68" t="str">
        <f>IF(main!BN229="","",ROUND(main!BN229*100,6))</f>
        <v/>
      </c>
      <c r="BC226" s="68" t="str">
        <f>IF(main!BO229="","",ROUND(main!BO229*100,6))</f>
        <v/>
      </c>
      <c r="BD226" s="68" t="str">
        <f>IF(main!BP229="","",ROUND(main!BP229*100,6))</f>
        <v/>
      </c>
      <c r="BE226" s="68" t="str">
        <f>IF(main!BQ229="","",ROUND(main!BQ229*100,6))</f>
        <v/>
      </c>
      <c r="BF226" s="68" t="str">
        <f>IF(main!BR229="","",ROUND(main!BR229*100,6))</f>
        <v/>
      </c>
      <c r="BG226" s="68" t="str">
        <f>IF(main!BS229="","",ROUND(main!BS229*100,6))</f>
        <v/>
      </c>
      <c r="BH226" s="68" t="str">
        <f>IF(main!BT229="","",ROUND(main!BT229*100,6))</f>
        <v/>
      </c>
      <c r="BI226" s="68">
        <f>IF(main!BU229="","",ROUND(main!BU229*100,6))</f>
        <v>7.1428570000000002</v>
      </c>
      <c r="BJ226" s="68">
        <f>IF(main!BV229="","",ROUND(main!BV229*100,6))</f>
        <v>25</v>
      </c>
      <c r="BK226" s="68">
        <f>IF(main!BW229="","",ROUND(main!BW229*100,6))</f>
        <v>25</v>
      </c>
      <c r="BL226" s="68">
        <f>IF(main!BX229="","",ROUND(main!BX229*100,6))</f>
        <v>25</v>
      </c>
      <c r="BM226" s="68">
        <f>IF(main!BY229="","",ROUND(main!BY229*100,6))</f>
        <v>17.857143000000001</v>
      </c>
      <c r="BN226" s="68" t="str">
        <f>IF(main!BZ229="","",ROUND(main!BZ229*100,6))</f>
        <v/>
      </c>
      <c r="BO226" s="68" t="str">
        <f>IF(main!CA229="","",ROUND(main!CA229*100,6))</f>
        <v/>
      </c>
      <c r="BP226" s="68" t="str">
        <f>IF(main!CB229="","",ROUND(main!CB229*100,6))</f>
        <v/>
      </c>
      <c r="BQ226" s="68" t="str">
        <f>IF(main!CC229="","",ROUND(main!CC229*100,6))</f>
        <v/>
      </c>
      <c r="BR226" s="68" t="str">
        <f>IF(main!CD229="","",ROUND(main!CD229*100,6))</f>
        <v/>
      </c>
      <c r="BS226" s="68" t="str">
        <f>IF(main!CE229="","",ROUND(main!CE229*100,6))</f>
        <v/>
      </c>
      <c r="BT226" s="68" t="str">
        <f>IF(main!CF229="","",ROUND(main!CF229*100,6))</f>
        <v/>
      </c>
      <c r="BU226" s="68" t="str">
        <f>IF(main!CG229="","",ROUND(main!CG229*100,6))</f>
        <v/>
      </c>
      <c r="BV226" s="68" t="str">
        <f>IF(main!CH229="","",ROUND(main!CH229*100,6))</f>
        <v/>
      </c>
      <c r="BW226" s="68" t="str">
        <f>IF(main!CI229="","",ROUND(main!CI229*100,6))</f>
        <v/>
      </c>
      <c r="BX226" s="68" t="str">
        <f>IF(main!CJ229="","",ROUND(main!CJ229*100,6))</f>
        <v/>
      </c>
      <c r="BY226" s="68" t="str">
        <f>IF(main!CK229="","",ROUND(main!CK229*100,6))</f>
        <v/>
      </c>
      <c r="BZ226" s="68" t="str">
        <f>IF(main!CL229="","",ROUND(main!CL229*100,6))</f>
        <v/>
      </c>
      <c r="CA226" s="68" t="str">
        <f>IF(main!CM229="","",ROUND(main!CM229*100,6))</f>
        <v/>
      </c>
      <c r="CB226" s="68" t="str">
        <f>IF(main!CN229="","",ROUND(main!CN229*100,6))</f>
        <v/>
      </c>
      <c r="CC226" s="68" t="str">
        <f>IF(main!CO229="","",ROUND(main!CO229*100,6))</f>
        <v/>
      </c>
    </row>
    <row r="227" spans="1:81" x14ac:dyDescent="0.25">
      <c r="A227" s="65" t="s">
        <v>392</v>
      </c>
      <c r="B227" s="66" t="str">
        <f>main!C229</f>
        <v>Doors &amp; Windows</v>
      </c>
      <c r="C227" s="67">
        <f>main!O229</f>
        <v>100000</v>
      </c>
      <c r="D227" s="65" t="s">
        <v>111</v>
      </c>
      <c r="E227" s="68" t="str">
        <f t="shared" si="3"/>
        <v/>
      </c>
      <c r="F227" s="68" t="str">
        <f>IF(main!R230="","",ROUND(main!R230*100,6))</f>
        <v/>
      </c>
      <c r="G227" s="68" t="str">
        <f>IF(main!S230="","",ROUND(main!S230*100,6))</f>
        <v/>
      </c>
      <c r="H227" s="68" t="str">
        <f>IF(main!T230="","",ROUND(main!T230*100,6))</f>
        <v/>
      </c>
      <c r="I227" s="68" t="str">
        <f>IF(main!U230="","",ROUND(main!U230*100,6))</f>
        <v/>
      </c>
      <c r="J227" s="68" t="str">
        <f>IF(main!V230="","",ROUND(main!V230*100,6))</f>
        <v/>
      </c>
      <c r="K227" s="68" t="str">
        <f>IF(main!W230="","",ROUND(main!W230*100,6))</f>
        <v/>
      </c>
      <c r="L227" s="68" t="str">
        <f>IF(main!X230="","",ROUND(main!X230*100,6))</f>
        <v/>
      </c>
      <c r="M227" s="68" t="str">
        <f>IF(main!Y230="","",ROUND(main!Y230*100,6))</f>
        <v/>
      </c>
      <c r="N227" s="68" t="str">
        <f>IF(main!Z230="","",ROUND(main!Z230*100,6))</f>
        <v/>
      </c>
      <c r="O227" s="68" t="str">
        <f>IF(main!AA230="","",ROUND(main!AA230*100,6))</f>
        <v/>
      </c>
      <c r="P227" s="68" t="str">
        <f>IF(main!AB230="","",ROUND(main!AB230*100,6))</f>
        <v/>
      </c>
      <c r="Q227" s="68" t="str">
        <f>IF(main!AC230="","",ROUND(main!AC230*100,6))</f>
        <v/>
      </c>
      <c r="R227" s="68" t="str">
        <f>IF(main!AD230="","",ROUND(main!AD230*100,6))</f>
        <v/>
      </c>
      <c r="S227" s="68" t="str">
        <f>IF(main!AE230="","",ROUND(main!AE230*100,6))</f>
        <v/>
      </c>
      <c r="T227" s="68" t="str">
        <f>IF(main!AF230="","",ROUND(main!AF230*100,6))</f>
        <v/>
      </c>
      <c r="U227" s="68" t="str">
        <f>IF(main!AG230="","",ROUND(main!AG230*100,6))</f>
        <v/>
      </c>
      <c r="V227" s="68" t="str">
        <f>IF(main!AH230="","",ROUND(main!AH230*100,6))</f>
        <v/>
      </c>
      <c r="W227" s="68" t="str">
        <f>IF(main!AI230="","",ROUND(main!AI230*100,6))</f>
        <v/>
      </c>
      <c r="X227" s="68" t="str">
        <f>IF(main!AJ230="","",ROUND(main!AJ230*100,6))</f>
        <v/>
      </c>
      <c r="Y227" s="68" t="str">
        <f>IF(main!AK230="","",ROUND(main!AK230*100,6))</f>
        <v/>
      </c>
      <c r="Z227" s="68" t="str">
        <f>IF(main!AL230="","",ROUND(main!AL230*100,6))</f>
        <v/>
      </c>
      <c r="AA227" s="68" t="str">
        <f>IF(main!AM230="","",ROUND(main!AM230*100,6))</f>
        <v/>
      </c>
      <c r="AB227" s="68" t="str">
        <f>IF(main!AN230="","",ROUND(main!AN230*100,6))</f>
        <v/>
      </c>
      <c r="AC227" s="68" t="str">
        <f>IF(main!AO230="","",ROUND(main!AO230*100,6))</f>
        <v/>
      </c>
      <c r="AD227" s="68" t="str">
        <f>IF(main!AP230="","",ROUND(main!AP230*100,6))</f>
        <v/>
      </c>
      <c r="AE227" s="68" t="str">
        <f>IF(main!AQ230="","",ROUND(main!AQ230*100,6))</f>
        <v/>
      </c>
      <c r="AF227" s="68" t="str">
        <f>IF(main!AR230="","",ROUND(main!AR230*100,6))</f>
        <v/>
      </c>
      <c r="AG227" s="68" t="str">
        <f>IF(main!AS230="","",ROUND(main!AS230*100,6))</f>
        <v/>
      </c>
      <c r="AH227" s="68" t="str">
        <f>IF(main!AT230="","",ROUND(main!AT230*100,6))</f>
        <v/>
      </c>
      <c r="AI227" s="68" t="str">
        <f>IF(main!AU230="","",ROUND(main!AU230*100,6))</f>
        <v/>
      </c>
      <c r="AJ227" s="68" t="str">
        <f>IF(main!AV230="","",ROUND(main!AV230*100,6))</f>
        <v/>
      </c>
      <c r="AK227" s="68" t="str">
        <f>IF(main!AW230="","",ROUND(main!AW230*100,6))</f>
        <v/>
      </c>
      <c r="AL227" s="68" t="str">
        <f>IF(main!AX230="","",ROUND(main!AX230*100,6))</f>
        <v/>
      </c>
      <c r="AM227" s="68" t="str">
        <f>IF(main!AY230="","",ROUND(main!AY230*100,6))</f>
        <v/>
      </c>
      <c r="AN227" s="68" t="str">
        <f>IF(main!AZ230="","",ROUND(main!AZ230*100,6))</f>
        <v/>
      </c>
      <c r="AO227" s="68" t="str">
        <f>IF(main!BA230="","",ROUND(main!BA230*100,6))</f>
        <v/>
      </c>
      <c r="AP227" s="68" t="str">
        <f>IF(main!BB230="","",ROUND(main!BB230*100,6))</f>
        <v/>
      </c>
      <c r="AQ227" s="68" t="str">
        <f>IF(main!BC230="","",ROUND(main!BC230*100,6))</f>
        <v/>
      </c>
      <c r="AR227" s="68" t="str">
        <f>IF(main!BD230="","",ROUND(main!BD230*100,6))</f>
        <v/>
      </c>
      <c r="AS227" s="68" t="str">
        <f>IF(main!BE230="","",ROUND(main!BE230*100,6))</f>
        <v/>
      </c>
      <c r="AT227" s="68" t="str">
        <f>IF(main!BF230="","",ROUND(main!BF230*100,6))</f>
        <v/>
      </c>
      <c r="AU227" s="68" t="str">
        <f>IF(main!BG230="","",ROUND(main!BG230*100,6))</f>
        <v/>
      </c>
      <c r="AV227" s="68" t="str">
        <f>IF(main!BH230="","",ROUND(main!BH230*100,6))</f>
        <v/>
      </c>
      <c r="AW227" s="68" t="str">
        <f>IF(main!BI230="","",ROUND(main!BI230*100,6))</f>
        <v/>
      </c>
      <c r="AX227" s="68" t="str">
        <f>IF(main!BJ230="","",ROUND(main!BJ230*100,6))</f>
        <v/>
      </c>
      <c r="AY227" s="68" t="str">
        <f>IF(main!BK230="","",ROUND(main!BK230*100,6))</f>
        <v/>
      </c>
      <c r="AZ227" s="68" t="str">
        <f>IF(main!BL230="","",ROUND(main!BL230*100,6))</f>
        <v/>
      </c>
      <c r="BA227" s="68" t="str">
        <f>IF(main!BM230="","",ROUND(main!BM230*100,6))</f>
        <v/>
      </c>
      <c r="BB227" s="68" t="str">
        <f>IF(main!BN230="","",ROUND(main!BN230*100,6))</f>
        <v/>
      </c>
      <c r="BC227" s="68" t="str">
        <f>IF(main!BO230="","",ROUND(main!BO230*100,6))</f>
        <v/>
      </c>
      <c r="BD227" s="68" t="str">
        <f>IF(main!BP230="","",ROUND(main!BP230*100,6))</f>
        <v/>
      </c>
      <c r="BE227" s="68" t="str">
        <f>IF(main!BQ230="","",ROUND(main!BQ230*100,6))</f>
        <v/>
      </c>
      <c r="BF227" s="68" t="str">
        <f>IF(main!BR230="","",ROUND(main!BR230*100,6))</f>
        <v/>
      </c>
      <c r="BG227" s="68" t="str">
        <f>IF(main!BS230="","",ROUND(main!BS230*100,6))</f>
        <v/>
      </c>
      <c r="BH227" s="68" t="str">
        <f>IF(main!BT230="","",ROUND(main!BT230*100,6))</f>
        <v/>
      </c>
      <c r="BI227" s="68" t="str">
        <f>IF(main!BU230="","",ROUND(main!BU230*100,6))</f>
        <v/>
      </c>
      <c r="BJ227" s="68" t="str">
        <f>IF(main!BV230="","",ROUND(main!BV230*100,6))</f>
        <v/>
      </c>
      <c r="BK227" s="68" t="str">
        <f>IF(main!BW230="","",ROUND(main!BW230*100,6))</f>
        <v/>
      </c>
      <c r="BL227" s="68" t="str">
        <f>IF(main!BX230="","",ROUND(main!BX230*100,6))</f>
        <v/>
      </c>
      <c r="BM227" s="68" t="str">
        <f>IF(main!BY230="","",ROUND(main!BY230*100,6))</f>
        <v/>
      </c>
      <c r="BN227" s="68" t="str">
        <f>IF(main!BZ230="","",ROUND(main!BZ230*100,6))</f>
        <v/>
      </c>
      <c r="BO227" s="68" t="str">
        <f>IF(main!CA230="","",ROUND(main!CA230*100,6))</f>
        <v/>
      </c>
      <c r="BP227" s="68" t="str">
        <f>IF(main!CB230="","",ROUND(main!CB230*100,6))</f>
        <v/>
      </c>
      <c r="BQ227" s="68" t="str">
        <f>IF(main!CC230="","",ROUND(main!CC230*100,6))</f>
        <v/>
      </c>
      <c r="BR227" s="68" t="str">
        <f>IF(main!CD230="","",ROUND(main!CD230*100,6))</f>
        <v/>
      </c>
      <c r="BS227" s="68" t="str">
        <f>IF(main!CE230="","",ROUND(main!CE230*100,6))</f>
        <v/>
      </c>
      <c r="BT227" s="68" t="str">
        <f>IF(main!CF230="","",ROUND(main!CF230*100,6))</f>
        <v/>
      </c>
      <c r="BU227" s="68" t="str">
        <f>IF(main!CG230="","",ROUND(main!CG230*100,6))</f>
        <v/>
      </c>
      <c r="BV227" s="68" t="str">
        <f>IF(main!CH230="","",ROUND(main!CH230*100,6))</f>
        <v/>
      </c>
      <c r="BW227" s="68" t="str">
        <f>IF(main!CI230="","",ROUND(main!CI230*100,6))</f>
        <v/>
      </c>
      <c r="BX227" s="68" t="str">
        <f>IF(main!CJ230="","",ROUND(main!CJ230*100,6))</f>
        <v/>
      </c>
      <c r="BY227" s="68" t="str">
        <f>IF(main!CK230="","",ROUND(main!CK230*100,6))</f>
        <v/>
      </c>
      <c r="BZ227" s="68" t="str">
        <f>IF(main!CL230="","",ROUND(main!CL230*100,6))</f>
        <v/>
      </c>
      <c r="CA227" s="68" t="str">
        <f>IF(main!CM230="","",ROUND(main!CM230*100,6))</f>
        <v/>
      </c>
      <c r="CB227" s="68" t="str">
        <f>IF(main!CN230="","",ROUND(main!CN230*100,6))</f>
        <v/>
      </c>
      <c r="CC227" s="68" t="str">
        <f>IF(main!CO230="","",ROUND(main!CO230*100,6))</f>
        <v/>
      </c>
    </row>
    <row r="228" spans="1:81" x14ac:dyDescent="0.25">
      <c r="A228" s="65" t="s">
        <v>393</v>
      </c>
      <c r="B228" s="66" t="str">
        <f>main!C231</f>
        <v>งานติดตั้งผนังกระจก และประตูกระจกอลูมิเนียม</v>
      </c>
      <c r="C228" s="67">
        <f>main!O231</f>
        <v>100000</v>
      </c>
      <c r="D228" s="65" t="s">
        <v>110</v>
      </c>
      <c r="E228" s="68">
        <f t="shared" si="3"/>
        <v>100</v>
      </c>
      <c r="F228" s="68" t="str">
        <f>IF(main!R231="","",ROUND(main!R231*100,6))</f>
        <v/>
      </c>
      <c r="G228" s="68" t="str">
        <f>IF(main!S231="","",ROUND(main!S231*100,6))</f>
        <v/>
      </c>
      <c r="H228" s="68" t="str">
        <f>IF(main!T231="","",ROUND(main!T231*100,6))</f>
        <v/>
      </c>
      <c r="I228" s="68" t="str">
        <f>IF(main!U231="","",ROUND(main!U231*100,6))</f>
        <v/>
      </c>
      <c r="J228" s="68" t="str">
        <f>IF(main!V231="","",ROUND(main!V231*100,6))</f>
        <v/>
      </c>
      <c r="K228" s="68" t="str">
        <f>IF(main!W231="","",ROUND(main!W231*100,6))</f>
        <v/>
      </c>
      <c r="L228" s="68" t="str">
        <f>IF(main!X231="","",ROUND(main!X231*100,6))</f>
        <v/>
      </c>
      <c r="M228" s="68" t="str">
        <f>IF(main!Y231="","",ROUND(main!Y231*100,6))</f>
        <v/>
      </c>
      <c r="N228" s="68" t="str">
        <f>IF(main!Z231="","",ROUND(main!Z231*100,6))</f>
        <v/>
      </c>
      <c r="O228" s="68" t="str">
        <f>IF(main!AA231="","",ROUND(main!AA231*100,6))</f>
        <v/>
      </c>
      <c r="P228" s="68" t="str">
        <f>IF(main!AB231="","",ROUND(main!AB231*100,6))</f>
        <v/>
      </c>
      <c r="Q228" s="68" t="str">
        <f>IF(main!AC231="","",ROUND(main!AC231*100,6))</f>
        <v/>
      </c>
      <c r="R228" s="68" t="str">
        <f>IF(main!AD231="","",ROUND(main!AD231*100,6))</f>
        <v/>
      </c>
      <c r="S228" s="68" t="str">
        <f>IF(main!AE231="","",ROUND(main!AE231*100,6))</f>
        <v/>
      </c>
      <c r="T228" s="68" t="str">
        <f>IF(main!AF231="","",ROUND(main!AF231*100,6))</f>
        <v/>
      </c>
      <c r="U228" s="68" t="str">
        <f>IF(main!AG231="","",ROUND(main!AG231*100,6))</f>
        <v/>
      </c>
      <c r="V228" s="68" t="str">
        <f>IF(main!AH231="","",ROUND(main!AH231*100,6))</f>
        <v/>
      </c>
      <c r="W228" s="68" t="str">
        <f>IF(main!AI231="","",ROUND(main!AI231*100,6))</f>
        <v/>
      </c>
      <c r="X228" s="68" t="str">
        <f>IF(main!AJ231="","",ROUND(main!AJ231*100,6))</f>
        <v/>
      </c>
      <c r="Y228" s="68" t="str">
        <f>IF(main!AK231="","",ROUND(main!AK231*100,6))</f>
        <v/>
      </c>
      <c r="Z228" s="68" t="str">
        <f>IF(main!AL231="","",ROUND(main!AL231*100,6))</f>
        <v/>
      </c>
      <c r="AA228" s="68" t="str">
        <f>IF(main!AM231="","",ROUND(main!AM231*100,6))</f>
        <v/>
      </c>
      <c r="AB228" s="68" t="str">
        <f>IF(main!AN231="","",ROUND(main!AN231*100,6))</f>
        <v/>
      </c>
      <c r="AC228" s="68" t="str">
        <f>IF(main!AO231="","",ROUND(main!AO231*100,6))</f>
        <v/>
      </c>
      <c r="AD228" s="68" t="str">
        <f>IF(main!AP231="","",ROUND(main!AP231*100,6))</f>
        <v/>
      </c>
      <c r="AE228" s="68" t="str">
        <f>IF(main!AQ231="","",ROUND(main!AQ231*100,6))</f>
        <v/>
      </c>
      <c r="AF228" s="68" t="str">
        <f>IF(main!AR231="","",ROUND(main!AR231*100,6))</f>
        <v/>
      </c>
      <c r="AG228" s="68" t="str">
        <f>IF(main!AS231="","",ROUND(main!AS231*100,6))</f>
        <v/>
      </c>
      <c r="AH228" s="68" t="str">
        <f>IF(main!AT231="","",ROUND(main!AT231*100,6))</f>
        <v/>
      </c>
      <c r="AI228" s="68" t="str">
        <f>IF(main!AU231="","",ROUND(main!AU231*100,6))</f>
        <v/>
      </c>
      <c r="AJ228" s="68" t="str">
        <f>IF(main!AV231="","",ROUND(main!AV231*100,6))</f>
        <v/>
      </c>
      <c r="AK228" s="68" t="str">
        <f>IF(main!AW231="","",ROUND(main!AW231*100,6))</f>
        <v/>
      </c>
      <c r="AL228" s="68" t="str">
        <f>IF(main!AX231="","",ROUND(main!AX231*100,6))</f>
        <v/>
      </c>
      <c r="AM228" s="68" t="str">
        <f>IF(main!AY231="","",ROUND(main!AY231*100,6))</f>
        <v/>
      </c>
      <c r="AN228" s="68" t="str">
        <f>IF(main!AZ231="","",ROUND(main!AZ231*100,6))</f>
        <v/>
      </c>
      <c r="AO228" s="68" t="str">
        <f>IF(main!BA231="","",ROUND(main!BA231*100,6))</f>
        <v/>
      </c>
      <c r="AP228" s="68" t="str">
        <f>IF(main!BB231="","",ROUND(main!BB231*100,6))</f>
        <v/>
      </c>
      <c r="AQ228" s="68" t="str">
        <f>IF(main!BC231="","",ROUND(main!BC231*100,6))</f>
        <v/>
      </c>
      <c r="AR228" s="68" t="str">
        <f>IF(main!BD231="","",ROUND(main!BD231*100,6))</f>
        <v/>
      </c>
      <c r="AS228" s="68" t="str">
        <f>IF(main!BE231="","",ROUND(main!BE231*100,6))</f>
        <v/>
      </c>
      <c r="AT228" s="68" t="str">
        <f>IF(main!BF231="","",ROUND(main!BF231*100,6))</f>
        <v/>
      </c>
      <c r="AU228" s="68" t="str">
        <f>IF(main!BG231="","",ROUND(main!BG231*100,6))</f>
        <v/>
      </c>
      <c r="AV228" s="68" t="str">
        <f>IF(main!BH231="","",ROUND(main!BH231*100,6))</f>
        <v/>
      </c>
      <c r="AW228" s="68" t="str">
        <f>IF(main!BI231="","",ROUND(main!BI231*100,6))</f>
        <v/>
      </c>
      <c r="AX228" s="68" t="str">
        <f>IF(main!BJ231="","",ROUND(main!BJ231*100,6))</f>
        <v/>
      </c>
      <c r="AY228" s="68" t="str">
        <f>IF(main!BK231="","",ROUND(main!BK231*100,6))</f>
        <v/>
      </c>
      <c r="AZ228" s="68" t="str">
        <f>IF(main!BL231="","",ROUND(main!BL231*100,6))</f>
        <v/>
      </c>
      <c r="BA228" s="68" t="str">
        <f>IF(main!BM231="","",ROUND(main!BM231*100,6))</f>
        <v/>
      </c>
      <c r="BB228" s="68" t="str">
        <f>IF(main!BN231="","",ROUND(main!BN231*100,6))</f>
        <v/>
      </c>
      <c r="BC228" s="68" t="str">
        <f>IF(main!BO231="","",ROUND(main!BO231*100,6))</f>
        <v/>
      </c>
      <c r="BD228" s="68" t="str">
        <f>IF(main!BP231="","",ROUND(main!BP231*100,6))</f>
        <v/>
      </c>
      <c r="BE228" s="68" t="str">
        <f>IF(main!BQ231="","",ROUND(main!BQ231*100,6))</f>
        <v/>
      </c>
      <c r="BF228" s="68" t="str">
        <f>IF(main!BR231="","",ROUND(main!BR231*100,6))</f>
        <v/>
      </c>
      <c r="BG228" s="68" t="str">
        <f>IF(main!BS231="","",ROUND(main!BS231*100,6))</f>
        <v/>
      </c>
      <c r="BH228" s="68" t="str">
        <f>IF(main!BT231="","",ROUND(main!BT231*100,6))</f>
        <v/>
      </c>
      <c r="BI228" s="68">
        <f>IF(main!BU231="","",ROUND(main!BU231*100,6))</f>
        <v>7.1428570000000002</v>
      </c>
      <c r="BJ228" s="68">
        <f>IF(main!BV231="","",ROUND(main!BV231*100,6))</f>
        <v>25</v>
      </c>
      <c r="BK228" s="68">
        <f>IF(main!BW231="","",ROUND(main!BW231*100,6))</f>
        <v>25</v>
      </c>
      <c r="BL228" s="68">
        <f>IF(main!BX231="","",ROUND(main!BX231*100,6))</f>
        <v>25</v>
      </c>
      <c r="BM228" s="68">
        <f>IF(main!BY231="","",ROUND(main!BY231*100,6))</f>
        <v>17.857143000000001</v>
      </c>
      <c r="BN228" s="68" t="str">
        <f>IF(main!BZ231="","",ROUND(main!BZ231*100,6))</f>
        <v/>
      </c>
      <c r="BO228" s="68" t="str">
        <f>IF(main!CA231="","",ROUND(main!CA231*100,6))</f>
        <v/>
      </c>
      <c r="BP228" s="68" t="str">
        <f>IF(main!CB231="","",ROUND(main!CB231*100,6))</f>
        <v/>
      </c>
      <c r="BQ228" s="68" t="str">
        <f>IF(main!CC231="","",ROUND(main!CC231*100,6))</f>
        <v/>
      </c>
      <c r="BR228" s="68" t="str">
        <f>IF(main!CD231="","",ROUND(main!CD231*100,6))</f>
        <v/>
      </c>
      <c r="BS228" s="68" t="str">
        <f>IF(main!CE231="","",ROUND(main!CE231*100,6))</f>
        <v/>
      </c>
      <c r="BT228" s="68" t="str">
        <f>IF(main!CF231="","",ROUND(main!CF231*100,6))</f>
        <v/>
      </c>
      <c r="BU228" s="68" t="str">
        <f>IF(main!CG231="","",ROUND(main!CG231*100,6))</f>
        <v/>
      </c>
      <c r="BV228" s="68" t="str">
        <f>IF(main!CH231="","",ROUND(main!CH231*100,6))</f>
        <v/>
      </c>
      <c r="BW228" s="68" t="str">
        <f>IF(main!CI231="","",ROUND(main!CI231*100,6))</f>
        <v/>
      </c>
      <c r="BX228" s="68" t="str">
        <f>IF(main!CJ231="","",ROUND(main!CJ231*100,6))</f>
        <v/>
      </c>
      <c r="BY228" s="68" t="str">
        <f>IF(main!CK231="","",ROUND(main!CK231*100,6))</f>
        <v/>
      </c>
      <c r="BZ228" s="68" t="str">
        <f>IF(main!CL231="","",ROUND(main!CL231*100,6))</f>
        <v/>
      </c>
      <c r="CA228" s="68" t="str">
        <f>IF(main!CM231="","",ROUND(main!CM231*100,6))</f>
        <v/>
      </c>
      <c r="CB228" s="68" t="str">
        <f>IF(main!CN231="","",ROUND(main!CN231*100,6))</f>
        <v/>
      </c>
      <c r="CC228" s="68" t="str">
        <f>IF(main!CO231="","",ROUND(main!CO231*100,6))</f>
        <v/>
      </c>
    </row>
    <row r="229" spans="1:81" x14ac:dyDescent="0.25">
      <c r="A229" s="65" t="s">
        <v>393</v>
      </c>
      <c r="B229" s="66" t="str">
        <f>main!C231</f>
        <v>งานติดตั้งผนังกระจก และประตูกระจกอลูมิเนียม</v>
      </c>
      <c r="C229" s="67">
        <f>main!O231</f>
        <v>100000</v>
      </c>
      <c r="D229" s="65" t="s">
        <v>111</v>
      </c>
      <c r="E229" s="68" t="str">
        <f t="shared" si="3"/>
        <v/>
      </c>
      <c r="F229" s="68" t="str">
        <f>IF(main!R232="","",ROUND(main!R232*100,6))</f>
        <v/>
      </c>
      <c r="G229" s="68" t="str">
        <f>IF(main!S232="","",ROUND(main!S232*100,6))</f>
        <v/>
      </c>
      <c r="H229" s="68" t="str">
        <f>IF(main!T232="","",ROUND(main!T232*100,6))</f>
        <v/>
      </c>
      <c r="I229" s="68" t="str">
        <f>IF(main!U232="","",ROUND(main!U232*100,6))</f>
        <v/>
      </c>
      <c r="J229" s="68" t="str">
        <f>IF(main!V232="","",ROUND(main!V232*100,6))</f>
        <v/>
      </c>
      <c r="K229" s="68" t="str">
        <f>IF(main!W232="","",ROUND(main!W232*100,6))</f>
        <v/>
      </c>
      <c r="L229" s="68" t="str">
        <f>IF(main!X232="","",ROUND(main!X232*100,6))</f>
        <v/>
      </c>
      <c r="M229" s="68" t="str">
        <f>IF(main!Y232="","",ROUND(main!Y232*100,6))</f>
        <v/>
      </c>
      <c r="N229" s="68" t="str">
        <f>IF(main!Z232="","",ROUND(main!Z232*100,6))</f>
        <v/>
      </c>
      <c r="O229" s="68" t="str">
        <f>IF(main!AA232="","",ROUND(main!AA232*100,6))</f>
        <v/>
      </c>
      <c r="P229" s="68" t="str">
        <f>IF(main!AB232="","",ROUND(main!AB232*100,6))</f>
        <v/>
      </c>
      <c r="Q229" s="68" t="str">
        <f>IF(main!AC232="","",ROUND(main!AC232*100,6))</f>
        <v/>
      </c>
      <c r="R229" s="68" t="str">
        <f>IF(main!AD232="","",ROUND(main!AD232*100,6))</f>
        <v/>
      </c>
      <c r="S229" s="68" t="str">
        <f>IF(main!AE232="","",ROUND(main!AE232*100,6))</f>
        <v/>
      </c>
      <c r="T229" s="68" t="str">
        <f>IF(main!AF232="","",ROUND(main!AF232*100,6))</f>
        <v/>
      </c>
      <c r="U229" s="68" t="str">
        <f>IF(main!AG232="","",ROUND(main!AG232*100,6))</f>
        <v/>
      </c>
      <c r="V229" s="68" t="str">
        <f>IF(main!AH232="","",ROUND(main!AH232*100,6))</f>
        <v/>
      </c>
      <c r="W229" s="68" t="str">
        <f>IF(main!AI232="","",ROUND(main!AI232*100,6))</f>
        <v/>
      </c>
      <c r="X229" s="68" t="str">
        <f>IF(main!AJ232="","",ROUND(main!AJ232*100,6))</f>
        <v/>
      </c>
      <c r="Y229" s="68" t="str">
        <f>IF(main!AK232="","",ROUND(main!AK232*100,6))</f>
        <v/>
      </c>
      <c r="Z229" s="68" t="str">
        <f>IF(main!AL232="","",ROUND(main!AL232*100,6))</f>
        <v/>
      </c>
      <c r="AA229" s="68" t="str">
        <f>IF(main!AM232="","",ROUND(main!AM232*100,6))</f>
        <v/>
      </c>
      <c r="AB229" s="68" t="str">
        <f>IF(main!AN232="","",ROUND(main!AN232*100,6))</f>
        <v/>
      </c>
      <c r="AC229" s="68" t="str">
        <f>IF(main!AO232="","",ROUND(main!AO232*100,6))</f>
        <v/>
      </c>
      <c r="AD229" s="68" t="str">
        <f>IF(main!AP232="","",ROUND(main!AP232*100,6))</f>
        <v/>
      </c>
      <c r="AE229" s="68" t="str">
        <f>IF(main!AQ232="","",ROUND(main!AQ232*100,6))</f>
        <v/>
      </c>
      <c r="AF229" s="68" t="str">
        <f>IF(main!AR232="","",ROUND(main!AR232*100,6))</f>
        <v/>
      </c>
      <c r="AG229" s="68" t="str">
        <f>IF(main!AS232="","",ROUND(main!AS232*100,6))</f>
        <v/>
      </c>
      <c r="AH229" s="68" t="str">
        <f>IF(main!AT232="","",ROUND(main!AT232*100,6))</f>
        <v/>
      </c>
      <c r="AI229" s="68" t="str">
        <f>IF(main!AU232="","",ROUND(main!AU232*100,6))</f>
        <v/>
      </c>
      <c r="AJ229" s="68" t="str">
        <f>IF(main!AV232="","",ROUND(main!AV232*100,6))</f>
        <v/>
      </c>
      <c r="AK229" s="68" t="str">
        <f>IF(main!AW232="","",ROUND(main!AW232*100,6))</f>
        <v/>
      </c>
      <c r="AL229" s="68" t="str">
        <f>IF(main!AX232="","",ROUND(main!AX232*100,6))</f>
        <v/>
      </c>
      <c r="AM229" s="68" t="str">
        <f>IF(main!AY232="","",ROUND(main!AY232*100,6))</f>
        <v/>
      </c>
      <c r="AN229" s="68" t="str">
        <f>IF(main!AZ232="","",ROUND(main!AZ232*100,6))</f>
        <v/>
      </c>
      <c r="AO229" s="68" t="str">
        <f>IF(main!BA232="","",ROUND(main!BA232*100,6))</f>
        <v/>
      </c>
      <c r="AP229" s="68" t="str">
        <f>IF(main!BB232="","",ROUND(main!BB232*100,6))</f>
        <v/>
      </c>
      <c r="AQ229" s="68" t="str">
        <f>IF(main!BC232="","",ROUND(main!BC232*100,6))</f>
        <v/>
      </c>
      <c r="AR229" s="68" t="str">
        <f>IF(main!BD232="","",ROUND(main!BD232*100,6))</f>
        <v/>
      </c>
      <c r="AS229" s="68" t="str">
        <f>IF(main!BE232="","",ROUND(main!BE232*100,6))</f>
        <v/>
      </c>
      <c r="AT229" s="68" t="str">
        <f>IF(main!BF232="","",ROUND(main!BF232*100,6))</f>
        <v/>
      </c>
      <c r="AU229" s="68" t="str">
        <f>IF(main!BG232="","",ROUND(main!BG232*100,6))</f>
        <v/>
      </c>
      <c r="AV229" s="68" t="str">
        <f>IF(main!BH232="","",ROUND(main!BH232*100,6))</f>
        <v/>
      </c>
      <c r="AW229" s="68" t="str">
        <f>IF(main!BI232="","",ROUND(main!BI232*100,6))</f>
        <v/>
      </c>
      <c r="AX229" s="68" t="str">
        <f>IF(main!BJ232="","",ROUND(main!BJ232*100,6))</f>
        <v/>
      </c>
      <c r="AY229" s="68" t="str">
        <f>IF(main!BK232="","",ROUND(main!BK232*100,6))</f>
        <v/>
      </c>
      <c r="AZ229" s="68" t="str">
        <f>IF(main!BL232="","",ROUND(main!BL232*100,6))</f>
        <v/>
      </c>
      <c r="BA229" s="68" t="str">
        <f>IF(main!BM232="","",ROUND(main!BM232*100,6))</f>
        <v/>
      </c>
      <c r="BB229" s="68" t="str">
        <f>IF(main!BN232="","",ROUND(main!BN232*100,6))</f>
        <v/>
      </c>
      <c r="BC229" s="68" t="str">
        <f>IF(main!BO232="","",ROUND(main!BO232*100,6))</f>
        <v/>
      </c>
      <c r="BD229" s="68" t="str">
        <f>IF(main!BP232="","",ROUND(main!BP232*100,6))</f>
        <v/>
      </c>
      <c r="BE229" s="68" t="str">
        <f>IF(main!BQ232="","",ROUND(main!BQ232*100,6))</f>
        <v/>
      </c>
      <c r="BF229" s="68" t="str">
        <f>IF(main!BR232="","",ROUND(main!BR232*100,6))</f>
        <v/>
      </c>
      <c r="BG229" s="68" t="str">
        <f>IF(main!BS232="","",ROUND(main!BS232*100,6))</f>
        <v/>
      </c>
      <c r="BH229" s="68" t="str">
        <f>IF(main!BT232="","",ROUND(main!BT232*100,6))</f>
        <v/>
      </c>
      <c r="BI229" s="68" t="str">
        <f>IF(main!BU232="","",ROUND(main!BU232*100,6))</f>
        <v/>
      </c>
      <c r="BJ229" s="68" t="str">
        <f>IF(main!BV232="","",ROUND(main!BV232*100,6))</f>
        <v/>
      </c>
      <c r="BK229" s="68" t="str">
        <f>IF(main!BW232="","",ROUND(main!BW232*100,6))</f>
        <v/>
      </c>
      <c r="BL229" s="68" t="str">
        <f>IF(main!BX232="","",ROUND(main!BX232*100,6))</f>
        <v/>
      </c>
      <c r="BM229" s="68" t="str">
        <f>IF(main!BY232="","",ROUND(main!BY232*100,6))</f>
        <v/>
      </c>
      <c r="BN229" s="68" t="str">
        <f>IF(main!BZ232="","",ROUND(main!BZ232*100,6))</f>
        <v/>
      </c>
      <c r="BO229" s="68" t="str">
        <f>IF(main!CA232="","",ROUND(main!CA232*100,6))</f>
        <v/>
      </c>
      <c r="BP229" s="68" t="str">
        <f>IF(main!CB232="","",ROUND(main!CB232*100,6))</f>
        <v/>
      </c>
      <c r="BQ229" s="68" t="str">
        <f>IF(main!CC232="","",ROUND(main!CC232*100,6))</f>
        <v/>
      </c>
      <c r="BR229" s="68" t="str">
        <f>IF(main!CD232="","",ROUND(main!CD232*100,6))</f>
        <v/>
      </c>
      <c r="BS229" s="68" t="str">
        <f>IF(main!CE232="","",ROUND(main!CE232*100,6))</f>
        <v/>
      </c>
      <c r="BT229" s="68" t="str">
        <f>IF(main!CF232="","",ROUND(main!CF232*100,6))</f>
        <v/>
      </c>
      <c r="BU229" s="68" t="str">
        <f>IF(main!CG232="","",ROUND(main!CG232*100,6))</f>
        <v/>
      </c>
      <c r="BV229" s="68" t="str">
        <f>IF(main!CH232="","",ROUND(main!CH232*100,6))</f>
        <v/>
      </c>
      <c r="BW229" s="68" t="str">
        <f>IF(main!CI232="","",ROUND(main!CI232*100,6))</f>
        <v/>
      </c>
      <c r="BX229" s="68" t="str">
        <f>IF(main!CJ232="","",ROUND(main!CJ232*100,6))</f>
        <v/>
      </c>
      <c r="BY229" s="68" t="str">
        <f>IF(main!CK232="","",ROUND(main!CK232*100,6))</f>
        <v/>
      </c>
      <c r="BZ229" s="68" t="str">
        <f>IF(main!CL232="","",ROUND(main!CL232*100,6))</f>
        <v/>
      </c>
      <c r="CA229" s="68" t="str">
        <f>IF(main!CM232="","",ROUND(main!CM232*100,6))</f>
        <v/>
      </c>
      <c r="CB229" s="68" t="str">
        <f>IF(main!CN232="","",ROUND(main!CN232*100,6))</f>
        <v/>
      </c>
      <c r="CC229" s="68" t="str">
        <f>IF(main!CO232="","",ROUND(main!CO232*100,6))</f>
        <v/>
      </c>
    </row>
    <row r="230" spans="1:81" x14ac:dyDescent="0.25">
      <c r="A230" s="65" t="s">
        <v>395</v>
      </c>
      <c r="B230" s="66" t="str">
        <f>main!C233</f>
        <v>MEP</v>
      </c>
      <c r="C230" s="67">
        <f>main!O233</f>
        <v>200000</v>
      </c>
      <c r="D230" s="65" t="s">
        <v>110</v>
      </c>
      <c r="E230" s="68">
        <f t="shared" si="3"/>
        <v>100</v>
      </c>
      <c r="F230" s="68" t="str">
        <f>IF(main!R233="","",ROUND(main!R233*100,6))</f>
        <v/>
      </c>
      <c r="G230" s="68" t="str">
        <f>IF(main!S233="","",ROUND(main!S233*100,6))</f>
        <v/>
      </c>
      <c r="H230" s="68" t="str">
        <f>IF(main!T233="","",ROUND(main!T233*100,6))</f>
        <v/>
      </c>
      <c r="I230" s="68" t="str">
        <f>IF(main!U233="","",ROUND(main!U233*100,6))</f>
        <v/>
      </c>
      <c r="J230" s="68" t="str">
        <f>IF(main!V233="","",ROUND(main!V233*100,6))</f>
        <v/>
      </c>
      <c r="K230" s="68" t="str">
        <f>IF(main!W233="","",ROUND(main!W233*100,6))</f>
        <v/>
      </c>
      <c r="L230" s="68" t="str">
        <f>IF(main!X233="","",ROUND(main!X233*100,6))</f>
        <v/>
      </c>
      <c r="M230" s="68" t="str">
        <f>IF(main!Y233="","",ROUND(main!Y233*100,6))</f>
        <v/>
      </c>
      <c r="N230" s="68" t="str">
        <f>IF(main!Z233="","",ROUND(main!Z233*100,6))</f>
        <v/>
      </c>
      <c r="O230" s="68" t="str">
        <f>IF(main!AA233="","",ROUND(main!AA233*100,6))</f>
        <v/>
      </c>
      <c r="P230" s="68" t="str">
        <f>IF(main!AB233="","",ROUND(main!AB233*100,6))</f>
        <v/>
      </c>
      <c r="Q230" s="68" t="str">
        <f>IF(main!AC233="","",ROUND(main!AC233*100,6))</f>
        <v/>
      </c>
      <c r="R230" s="68" t="str">
        <f>IF(main!AD233="","",ROUND(main!AD233*100,6))</f>
        <v/>
      </c>
      <c r="S230" s="68" t="str">
        <f>IF(main!AE233="","",ROUND(main!AE233*100,6))</f>
        <v/>
      </c>
      <c r="T230" s="68" t="str">
        <f>IF(main!AF233="","",ROUND(main!AF233*100,6))</f>
        <v/>
      </c>
      <c r="U230" s="68" t="str">
        <f>IF(main!AG233="","",ROUND(main!AG233*100,6))</f>
        <v/>
      </c>
      <c r="V230" s="68" t="str">
        <f>IF(main!AH233="","",ROUND(main!AH233*100,6))</f>
        <v/>
      </c>
      <c r="W230" s="68" t="str">
        <f>IF(main!AI233="","",ROUND(main!AI233*100,6))</f>
        <v/>
      </c>
      <c r="X230" s="68" t="str">
        <f>IF(main!AJ233="","",ROUND(main!AJ233*100,6))</f>
        <v/>
      </c>
      <c r="Y230" s="68" t="str">
        <f>IF(main!AK233="","",ROUND(main!AK233*100,6))</f>
        <v/>
      </c>
      <c r="Z230" s="68" t="str">
        <f>IF(main!AL233="","",ROUND(main!AL233*100,6))</f>
        <v/>
      </c>
      <c r="AA230" s="68" t="str">
        <f>IF(main!AM233="","",ROUND(main!AM233*100,6))</f>
        <v/>
      </c>
      <c r="AB230" s="68" t="str">
        <f>IF(main!AN233="","",ROUND(main!AN233*100,6))</f>
        <v/>
      </c>
      <c r="AC230" s="68" t="str">
        <f>IF(main!AO233="","",ROUND(main!AO233*100,6))</f>
        <v/>
      </c>
      <c r="AD230" s="68" t="str">
        <f>IF(main!AP233="","",ROUND(main!AP233*100,6))</f>
        <v/>
      </c>
      <c r="AE230" s="68" t="str">
        <f>IF(main!AQ233="","",ROUND(main!AQ233*100,6))</f>
        <v/>
      </c>
      <c r="AF230" s="68" t="str">
        <f>IF(main!AR233="","",ROUND(main!AR233*100,6))</f>
        <v/>
      </c>
      <c r="AG230" s="68" t="str">
        <f>IF(main!AS233="","",ROUND(main!AS233*100,6))</f>
        <v/>
      </c>
      <c r="AH230" s="68" t="str">
        <f>IF(main!AT233="","",ROUND(main!AT233*100,6))</f>
        <v/>
      </c>
      <c r="AI230" s="68" t="str">
        <f>IF(main!AU233="","",ROUND(main!AU233*100,6))</f>
        <v/>
      </c>
      <c r="AJ230" s="68" t="str">
        <f>IF(main!AV233="","",ROUND(main!AV233*100,6))</f>
        <v/>
      </c>
      <c r="AK230" s="68" t="str">
        <f>IF(main!AW233="","",ROUND(main!AW233*100,6))</f>
        <v/>
      </c>
      <c r="AL230" s="68" t="str">
        <f>IF(main!AX233="","",ROUND(main!AX233*100,6))</f>
        <v/>
      </c>
      <c r="AM230" s="68" t="str">
        <f>IF(main!AY233="","",ROUND(main!AY233*100,6))</f>
        <v/>
      </c>
      <c r="AN230" s="68" t="str">
        <f>IF(main!AZ233="","",ROUND(main!AZ233*100,6))</f>
        <v/>
      </c>
      <c r="AO230" s="68" t="str">
        <f>IF(main!BA233="","",ROUND(main!BA233*100,6))</f>
        <v/>
      </c>
      <c r="AP230" s="68" t="str">
        <f>IF(main!BB233="","",ROUND(main!BB233*100,6))</f>
        <v/>
      </c>
      <c r="AQ230" s="68" t="str">
        <f>IF(main!BC233="","",ROUND(main!BC233*100,6))</f>
        <v/>
      </c>
      <c r="AR230" s="68" t="str">
        <f>IF(main!BD233="","",ROUND(main!BD233*100,6))</f>
        <v/>
      </c>
      <c r="AS230" s="68" t="str">
        <f>IF(main!BE233="","",ROUND(main!BE233*100,6))</f>
        <v/>
      </c>
      <c r="AT230" s="68" t="str">
        <f>IF(main!BF233="","",ROUND(main!BF233*100,6))</f>
        <v/>
      </c>
      <c r="AU230" s="68" t="str">
        <f>IF(main!BG233="","",ROUND(main!BG233*100,6))</f>
        <v/>
      </c>
      <c r="AV230" s="68" t="str">
        <f>IF(main!BH233="","",ROUND(main!BH233*100,6))</f>
        <v/>
      </c>
      <c r="AW230" s="68" t="str">
        <f>IF(main!BI233="","",ROUND(main!BI233*100,6))</f>
        <v/>
      </c>
      <c r="AX230" s="68">
        <f>IF(main!BJ233="","",ROUND(main!BJ233*100,6))</f>
        <v>0.100438</v>
      </c>
      <c r="AY230" s="68">
        <f>IF(main!BK233="","",ROUND(main!BK233*100,6))</f>
        <v>1.7814840000000001</v>
      </c>
      <c r="AZ230" s="68">
        <f>IF(main!BL233="","",ROUND(main!BL233*100,6))</f>
        <v>3.6714509999999998</v>
      </c>
      <c r="BA230" s="68">
        <f>IF(main!BM233="","",ROUND(main!BM233*100,6))</f>
        <v>6.1540840000000001</v>
      </c>
      <c r="BB230" s="68">
        <f>IF(main!BN233="","",ROUND(main!BN233*100,6))</f>
        <v>8.389939</v>
      </c>
      <c r="BC230" s="68">
        <f>IF(main!BO233="","",ROUND(main!BO233*100,6))</f>
        <v>9.3030200000000001</v>
      </c>
      <c r="BD230" s="68">
        <f>IF(main!BP233="","",ROUND(main!BP233*100,6))</f>
        <v>8.389939</v>
      </c>
      <c r="BE230" s="68">
        <f>IF(main!BQ233="","",ROUND(main!BQ233*100,6))</f>
        <v>6.1540840000000001</v>
      </c>
      <c r="BF230" s="68">
        <f>IF(main!BR233="","",ROUND(main!BR233*100,6))</f>
        <v>3.6714509999999998</v>
      </c>
      <c r="BG230" s="68">
        <f>IF(main!BS233="","",ROUND(main!BS233*100,6))</f>
        <v>1.7814840000000001</v>
      </c>
      <c r="BH230" s="68">
        <f>IF(main!BT233="","",ROUND(main!BT233*100,6))</f>
        <v>1.793104</v>
      </c>
      <c r="BI230" s="68">
        <f>IF(main!BU233="","",ROUND(main!BU233*100,6))</f>
        <v>8.3333329999999997</v>
      </c>
      <c r="BJ230" s="68">
        <f>IF(main!BV233="","",ROUND(main!BV233*100,6))</f>
        <v>8.3333329999999997</v>
      </c>
      <c r="BK230" s="68">
        <f>IF(main!BW233="","",ROUND(main!BW233*100,6))</f>
        <v>8.3333329999999997</v>
      </c>
      <c r="BL230" s="68">
        <f>IF(main!BX233="","",ROUND(main!BX233*100,6))</f>
        <v>8.3333329999999997</v>
      </c>
      <c r="BM230" s="68">
        <f>IF(main!BY233="","",ROUND(main!BY233*100,6))</f>
        <v>8.3333329999999997</v>
      </c>
      <c r="BN230" s="68">
        <f>IF(main!BZ233="","",ROUND(main!BZ233*100,6))</f>
        <v>7.1428570000000002</v>
      </c>
      <c r="BO230" s="68" t="str">
        <f>IF(main!CA233="","",ROUND(main!CA233*100,6))</f>
        <v/>
      </c>
      <c r="BP230" s="68" t="str">
        <f>IF(main!CB233="","",ROUND(main!CB233*100,6))</f>
        <v/>
      </c>
      <c r="BQ230" s="68" t="str">
        <f>IF(main!CC233="","",ROUND(main!CC233*100,6))</f>
        <v/>
      </c>
      <c r="BR230" s="68" t="str">
        <f>IF(main!CD233="","",ROUND(main!CD233*100,6))</f>
        <v/>
      </c>
      <c r="BS230" s="68" t="str">
        <f>IF(main!CE233="","",ROUND(main!CE233*100,6))</f>
        <v/>
      </c>
      <c r="BT230" s="68" t="str">
        <f>IF(main!CF233="","",ROUND(main!CF233*100,6))</f>
        <v/>
      </c>
      <c r="BU230" s="68" t="str">
        <f>IF(main!CG233="","",ROUND(main!CG233*100,6))</f>
        <v/>
      </c>
      <c r="BV230" s="68" t="str">
        <f>IF(main!CH233="","",ROUND(main!CH233*100,6))</f>
        <v/>
      </c>
      <c r="BW230" s="68" t="str">
        <f>IF(main!CI233="","",ROUND(main!CI233*100,6))</f>
        <v/>
      </c>
      <c r="BX230" s="68" t="str">
        <f>IF(main!CJ233="","",ROUND(main!CJ233*100,6))</f>
        <v/>
      </c>
      <c r="BY230" s="68" t="str">
        <f>IF(main!CK233="","",ROUND(main!CK233*100,6))</f>
        <v/>
      </c>
      <c r="BZ230" s="68" t="str">
        <f>IF(main!CL233="","",ROUND(main!CL233*100,6))</f>
        <v/>
      </c>
      <c r="CA230" s="68" t="str">
        <f>IF(main!CM233="","",ROUND(main!CM233*100,6))</f>
        <v/>
      </c>
      <c r="CB230" s="68" t="str">
        <f>IF(main!CN233="","",ROUND(main!CN233*100,6))</f>
        <v/>
      </c>
      <c r="CC230" s="68" t="str">
        <f>IF(main!CO233="","",ROUND(main!CO233*100,6))</f>
        <v/>
      </c>
    </row>
    <row r="231" spans="1:81" x14ac:dyDescent="0.25">
      <c r="A231" s="65" t="s">
        <v>395</v>
      </c>
      <c r="B231" s="66" t="str">
        <f>main!C233</f>
        <v>MEP</v>
      </c>
      <c r="C231" s="67">
        <f>main!O233</f>
        <v>200000</v>
      </c>
      <c r="D231" s="65" t="s">
        <v>111</v>
      </c>
      <c r="E231" s="68" t="str">
        <f t="shared" si="3"/>
        <v/>
      </c>
      <c r="F231" s="68" t="str">
        <f>IF(main!R234="","",ROUND(main!R234*100,6))</f>
        <v/>
      </c>
      <c r="G231" s="68" t="str">
        <f>IF(main!S234="","",ROUND(main!S234*100,6))</f>
        <v/>
      </c>
      <c r="H231" s="68" t="str">
        <f>IF(main!T234="","",ROUND(main!T234*100,6))</f>
        <v/>
      </c>
      <c r="I231" s="68" t="str">
        <f>IF(main!U234="","",ROUND(main!U234*100,6))</f>
        <v/>
      </c>
      <c r="J231" s="68" t="str">
        <f>IF(main!V234="","",ROUND(main!V234*100,6))</f>
        <v/>
      </c>
      <c r="K231" s="68" t="str">
        <f>IF(main!W234="","",ROUND(main!W234*100,6))</f>
        <v/>
      </c>
      <c r="L231" s="68" t="str">
        <f>IF(main!X234="","",ROUND(main!X234*100,6))</f>
        <v/>
      </c>
      <c r="M231" s="68" t="str">
        <f>IF(main!Y234="","",ROUND(main!Y234*100,6))</f>
        <v/>
      </c>
      <c r="N231" s="68" t="str">
        <f>IF(main!Z234="","",ROUND(main!Z234*100,6))</f>
        <v/>
      </c>
      <c r="O231" s="68" t="str">
        <f>IF(main!AA234="","",ROUND(main!AA234*100,6))</f>
        <v/>
      </c>
      <c r="P231" s="68" t="str">
        <f>IF(main!AB234="","",ROUND(main!AB234*100,6))</f>
        <v/>
      </c>
      <c r="Q231" s="68" t="str">
        <f>IF(main!AC234="","",ROUND(main!AC234*100,6))</f>
        <v/>
      </c>
      <c r="R231" s="68" t="str">
        <f>IF(main!AD234="","",ROUND(main!AD234*100,6))</f>
        <v/>
      </c>
      <c r="S231" s="68" t="str">
        <f>IF(main!AE234="","",ROUND(main!AE234*100,6))</f>
        <v/>
      </c>
      <c r="T231" s="68" t="str">
        <f>IF(main!AF234="","",ROUND(main!AF234*100,6))</f>
        <v/>
      </c>
      <c r="U231" s="68" t="str">
        <f>IF(main!AG234="","",ROUND(main!AG234*100,6))</f>
        <v/>
      </c>
      <c r="V231" s="68" t="str">
        <f>IF(main!AH234="","",ROUND(main!AH234*100,6))</f>
        <v/>
      </c>
      <c r="W231" s="68" t="str">
        <f>IF(main!AI234="","",ROUND(main!AI234*100,6))</f>
        <v/>
      </c>
      <c r="X231" s="68" t="str">
        <f>IF(main!AJ234="","",ROUND(main!AJ234*100,6))</f>
        <v/>
      </c>
      <c r="Y231" s="68" t="str">
        <f>IF(main!AK234="","",ROUND(main!AK234*100,6))</f>
        <v/>
      </c>
      <c r="Z231" s="68" t="str">
        <f>IF(main!AL234="","",ROUND(main!AL234*100,6))</f>
        <v/>
      </c>
      <c r="AA231" s="68" t="str">
        <f>IF(main!AM234="","",ROUND(main!AM234*100,6))</f>
        <v/>
      </c>
      <c r="AB231" s="68" t="str">
        <f>IF(main!AN234="","",ROUND(main!AN234*100,6))</f>
        <v/>
      </c>
      <c r="AC231" s="68" t="str">
        <f>IF(main!AO234="","",ROUND(main!AO234*100,6))</f>
        <v/>
      </c>
      <c r="AD231" s="68" t="str">
        <f>IF(main!AP234="","",ROUND(main!AP234*100,6))</f>
        <v/>
      </c>
      <c r="AE231" s="68" t="str">
        <f>IF(main!AQ234="","",ROUND(main!AQ234*100,6))</f>
        <v/>
      </c>
      <c r="AF231" s="68" t="str">
        <f>IF(main!AR234="","",ROUND(main!AR234*100,6))</f>
        <v/>
      </c>
      <c r="AG231" s="68" t="str">
        <f>IF(main!AS234="","",ROUND(main!AS234*100,6))</f>
        <v/>
      </c>
      <c r="AH231" s="68" t="str">
        <f>IF(main!AT234="","",ROUND(main!AT234*100,6))</f>
        <v/>
      </c>
      <c r="AI231" s="68" t="str">
        <f>IF(main!AU234="","",ROUND(main!AU234*100,6))</f>
        <v/>
      </c>
      <c r="AJ231" s="68" t="str">
        <f>IF(main!AV234="","",ROUND(main!AV234*100,6))</f>
        <v/>
      </c>
      <c r="AK231" s="68" t="str">
        <f>IF(main!AW234="","",ROUND(main!AW234*100,6))</f>
        <v/>
      </c>
      <c r="AL231" s="68" t="str">
        <f>IF(main!AX234="","",ROUND(main!AX234*100,6))</f>
        <v/>
      </c>
      <c r="AM231" s="68" t="str">
        <f>IF(main!AY234="","",ROUND(main!AY234*100,6))</f>
        <v/>
      </c>
      <c r="AN231" s="68" t="str">
        <f>IF(main!AZ234="","",ROUND(main!AZ234*100,6))</f>
        <v/>
      </c>
      <c r="AO231" s="68" t="str">
        <f>IF(main!BA234="","",ROUND(main!BA234*100,6))</f>
        <v/>
      </c>
      <c r="AP231" s="68" t="str">
        <f>IF(main!BB234="","",ROUND(main!BB234*100,6))</f>
        <v/>
      </c>
      <c r="AQ231" s="68" t="str">
        <f>IF(main!BC234="","",ROUND(main!BC234*100,6))</f>
        <v/>
      </c>
      <c r="AR231" s="68" t="str">
        <f>IF(main!BD234="","",ROUND(main!BD234*100,6))</f>
        <v/>
      </c>
      <c r="AS231" s="68" t="str">
        <f>IF(main!BE234="","",ROUND(main!BE234*100,6))</f>
        <v/>
      </c>
      <c r="AT231" s="68" t="str">
        <f>IF(main!BF234="","",ROUND(main!BF234*100,6))</f>
        <v/>
      </c>
      <c r="AU231" s="68" t="str">
        <f>IF(main!BG234="","",ROUND(main!BG234*100,6))</f>
        <v/>
      </c>
      <c r="AV231" s="68" t="str">
        <f>IF(main!BH234="","",ROUND(main!BH234*100,6))</f>
        <v/>
      </c>
      <c r="AW231" s="68" t="str">
        <f>IF(main!BI234="","",ROUND(main!BI234*100,6))</f>
        <v/>
      </c>
      <c r="AX231" s="68" t="str">
        <f>IF(main!BJ234="","",ROUND(main!BJ234*100,6))</f>
        <v/>
      </c>
      <c r="AY231" s="68" t="str">
        <f>IF(main!BK234="","",ROUND(main!BK234*100,6))</f>
        <v/>
      </c>
      <c r="AZ231" s="68" t="str">
        <f>IF(main!BL234="","",ROUND(main!BL234*100,6))</f>
        <v/>
      </c>
      <c r="BA231" s="68" t="str">
        <f>IF(main!BM234="","",ROUND(main!BM234*100,6))</f>
        <v/>
      </c>
      <c r="BB231" s="68" t="str">
        <f>IF(main!BN234="","",ROUND(main!BN234*100,6))</f>
        <v/>
      </c>
      <c r="BC231" s="68" t="str">
        <f>IF(main!BO234="","",ROUND(main!BO234*100,6))</f>
        <v/>
      </c>
      <c r="BD231" s="68" t="str">
        <f>IF(main!BP234="","",ROUND(main!BP234*100,6))</f>
        <v/>
      </c>
      <c r="BE231" s="68" t="str">
        <f>IF(main!BQ234="","",ROUND(main!BQ234*100,6))</f>
        <v/>
      </c>
      <c r="BF231" s="68" t="str">
        <f>IF(main!BR234="","",ROUND(main!BR234*100,6))</f>
        <v/>
      </c>
      <c r="BG231" s="68" t="str">
        <f>IF(main!BS234="","",ROUND(main!BS234*100,6))</f>
        <v/>
      </c>
      <c r="BH231" s="68" t="str">
        <f>IF(main!BT234="","",ROUND(main!BT234*100,6))</f>
        <v/>
      </c>
      <c r="BI231" s="68" t="str">
        <f>IF(main!BU234="","",ROUND(main!BU234*100,6))</f>
        <v/>
      </c>
      <c r="BJ231" s="68" t="str">
        <f>IF(main!BV234="","",ROUND(main!BV234*100,6))</f>
        <v/>
      </c>
      <c r="BK231" s="68" t="str">
        <f>IF(main!BW234="","",ROUND(main!BW234*100,6))</f>
        <v/>
      </c>
      <c r="BL231" s="68" t="str">
        <f>IF(main!BX234="","",ROUND(main!BX234*100,6))</f>
        <v/>
      </c>
      <c r="BM231" s="68" t="str">
        <f>IF(main!BY234="","",ROUND(main!BY234*100,6))</f>
        <v/>
      </c>
      <c r="BN231" s="68" t="str">
        <f>IF(main!BZ234="","",ROUND(main!BZ234*100,6))</f>
        <v/>
      </c>
      <c r="BO231" s="68" t="str">
        <f>IF(main!CA234="","",ROUND(main!CA234*100,6))</f>
        <v/>
      </c>
      <c r="BP231" s="68" t="str">
        <f>IF(main!CB234="","",ROUND(main!CB234*100,6))</f>
        <v/>
      </c>
      <c r="BQ231" s="68" t="str">
        <f>IF(main!CC234="","",ROUND(main!CC234*100,6))</f>
        <v/>
      </c>
      <c r="BR231" s="68" t="str">
        <f>IF(main!CD234="","",ROUND(main!CD234*100,6))</f>
        <v/>
      </c>
      <c r="BS231" s="68" t="str">
        <f>IF(main!CE234="","",ROUND(main!CE234*100,6))</f>
        <v/>
      </c>
      <c r="BT231" s="68" t="str">
        <f>IF(main!CF234="","",ROUND(main!CF234*100,6))</f>
        <v/>
      </c>
      <c r="BU231" s="68" t="str">
        <f>IF(main!CG234="","",ROUND(main!CG234*100,6))</f>
        <v/>
      </c>
      <c r="BV231" s="68" t="str">
        <f>IF(main!CH234="","",ROUND(main!CH234*100,6))</f>
        <v/>
      </c>
      <c r="BW231" s="68" t="str">
        <f>IF(main!CI234="","",ROUND(main!CI234*100,6))</f>
        <v/>
      </c>
      <c r="BX231" s="68" t="str">
        <f>IF(main!CJ234="","",ROUND(main!CJ234*100,6))</f>
        <v/>
      </c>
      <c r="BY231" s="68" t="str">
        <f>IF(main!CK234="","",ROUND(main!CK234*100,6))</f>
        <v/>
      </c>
      <c r="BZ231" s="68" t="str">
        <f>IF(main!CL234="","",ROUND(main!CL234*100,6))</f>
        <v/>
      </c>
      <c r="CA231" s="68" t="str">
        <f>IF(main!CM234="","",ROUND(main!CM234*100,6))</f>
        <v/>
      </c>
      <c r="CB231" s="68" t="str">
        <f>IF(main!CN234="","",ROUND(main!CN234*100,6))</f>
        <v/>
      </c>
      <c r="CC231" s="68" t="str">
        <f>IF(main!CO234="","",ROUND(main!CO234*100,6))</f>
        <v/>
      </c>
    </row>
    <row r="232" spans="1:81" x14ac:dyDescent="0.25">
      <c r="A232" s="65" t="s">
        <v>396</v>
      </c>
      <c r="B232" s="66" t="str">
        <f>main!C235</f>
        <v>First Fix Wall and Ceiling</v>
      </c>
      <c r="C232" s="67">
        <f>main!O235</f>
        <v>100000</v>
      </c>
      <c r="D232" s="65" t="s">
        <v>110</v>
      </c>
      <c r="E232" s="68">
        <f t="shared" si="3"/>
        <v>100</v>
      </c>
      <c r="F232" s="68" t="str">
        <f>IF(main!R235="","",ROUND(main!R235*100,6))</f>
        <v/>
      </c>
      <c r="G232" s="68" t="str">
        <f>IF(main!S235="","",ROUND(main!S235*100,6))</f>
        <v/>
      </c>
      <c r="H232" s="68" t="str">
        <f>IF(main!T235="","",ROUND(main!T235*100,6))</f>
        <v/>
      </c>
      <c r="I232" s="68" t="str">
        <f>IF(main!U235="","",ROUND(main!U235*100,6))</f>
        <v/>
      </c>
      <c r="J232" s="68" t="str">
        <f>IF(main!V235="","",ROUND(main!V235*100,6))</f>
        <v/>
      </c>
      <c r="K232" s="68" t="str">
        <f>IF(main!W235="","",ROUND(main!W235*100,6))</f>
        <v/>
      </c>
      <c r="L232" s="68" t="str">
        <f>IF(main!X235="","",ROUND(main!X235*100,6))</f>
        <v/>
      </c>
      <c r="M232" s="68" t="str">
        <f>IF(main!Y235="","",ROUND(main!Y235*100,6))</f>
        <v/>
      </c>
      <c r="N232" s="68" t="str">
        <f>IF(main!Z235="","",ROUND(main!Z235*100,6))</f>
        <v/>
      </c>
      <c r="O232" s="68" t="str">
        <f>IF(main!AA235="","",ROUND(main!AA235*100,6))</f>
        <v/>
      </c>
      <c r="P232" s="68" t="str">
        <f>IF(main!AB235="","",ROUND(main!AB235*100,6))</f>
        <v/>
      </c>
      <c r="Q232" s="68" t="str">
        <f>IF(main!AC235="","",ROUND(main!AC235*100,6))</f>
        <v/>
      </c>
      <c r="R232" s="68" t="str">
        <f>IF(main!AD235="","",ROUND(main!AD235*100,6))</f>
        <v/>
      </c>
      <c r="S232" s="68" t="str">
        <f>IF(main!AE235="","",ROUND(main!AE235*100,6))</f>
        <v/>
      </c>
      <c r="T232" s="68" t="str">
        <f>IF(main!AF235="","",ROUND(main!AF235*100,6))</f>
        <v/>
      </c>
      <c r="U232" s="68" t="str">
        <f>IF(main!AG235="","",ROUND(main!AG235*100,6))</f>
        <v/>
      </c>
      <c r="V232" s="68" t="str">
        <f>IF(main!AH235="","",ROUND(main!AH235*100,6))</f>
        <v/>
      </c>
      <c r="W232" s="68" t="str">
        <f>IF(main!AI235="","",ROUND(main!AI235*100,6))</f>
        <v/>
      </c>
      <c r="X232" s="68" t="str">
        <f>IF(main!AJ235="","",ROUND(main!AJ235*100,6))</f>
        <v/>
      </c>
      <c r="Y232" s="68" t="str">
        <f>IF(main!AK235="","",ROUND(main!AK235*100,6))</f>
        <v/>
      </c>
      <c r="Z232" s="68" t="str">
        <f>IF(main!AL235="","",ROUND(main!AL235*100,6))</f>
        <v/>
      </c>
      <c r="AA232" s="68" t="str">
        <f>IF(main!AM235="","",ROUND(main!AM235*100,6))</f>
        <v/>
      </c>
      <c r="AB232" s="68" t="str">
        <f>IF(main!AN235="","",ROUND(main!AN235*100,6))</f>
        <v/>
      </c>
      <c r="AC232" s="68" t="str">
        <f>IF(main!AO235="","",ROUND(main!AO235*100,6))</f>
        <v/>
      </c>
      <c r="AD232" s="68" t="str">
        <f>IF(main!AP235="","",ROUND(main!AP235*100,6))</f>
        <v/>
      </c>
      <c r="AE232" s="68" t="str">
        <f>IF(main!AQ235="","",ROUND(main!AQ235*100,6))</f>
        <v/>
      </c>
      <c r="AF232" s="68" t="str">
        <f>IF(main!AR235="","",ROUND(main!AR235*100,6))</f>
        <v/>
      </c>
      <c r="AG232" s="68" t="str">
        <f>IF(main!AS235="","",ROUND(main!AS235*100,6))</f>
        <v/>
      </c>
      <c r="AH232" s="68" t="str">
        <f>IF(main!AT235="","",ROUND(main!AT235*100,6))</f>
        <v/>
      </c>
      <c r="AI232" s="68" t="str">
        <f>IF(main!AU235="","",ROUND(main!AU235*100,6))</f>
        <v/>
      </c>
      <c r="AJ232" s="68" t="str">
        <f>IF(main!AV235="","",ROUND(main!AV235*100,6))</f>
        <v/>
      </c>
      <c r="AK232" s="68" t="str">
        <f>IF(main!AW235="","",ROUND(main!AW235*100,6))</f>
        <v/>
      </c>
      <c r="AL232" s="68" t="str">
        <f>IF(main!AX235="","",ROUND(main!AX235*100,6))</f>
        <v/>
      </c>
      <c r="AM232" s="68" t="str">
        <f>IF(main!AY235="","",ROUND(main!AY235*100,6))</f>
        <v/>
      </c>
      <c r="AN232" s="68" t="str">
        <f>IF(main!AZ235="","",ROUND(main!AZ235*100,6))</f>
        <v/>
      </c>
      <c r="AO232" s="68" t="str">
        <f>IF(main!BA235="","",ROUND(main!BA235*100,6))</f>
        <v/>
      </c>
      <c r="AP232" s="68" t="str">
        <f>IF(main!BB235="","",ROUND(main!BB235*100,6))</f>
        <v/>
      </c>
      <c r="AQ232" s="68" t="str">
        <f>IF(main!BC235="","",ROUND(main!BC235*100,6))</f>
        <v/>
      </c>
      <c r="AR232" s="68" t="str">
        <f>IF(main!BD235="","",ROUND(main!BD235*100,6))</f>
        <v/>
      </c>
      <c r="AS232" s="68" t="str">
        <f>IF(main!BE235="","",ROUND(main!BE235*100,6))</f>
        <v/>
      </c>
      <c r="AT232" s="68" t="str">
        <f>IF(main!BF235="","",ROUND(main!BF235*100,6))</f>
        <v/>
      </c>
      <c r="AU232" s="68" t="str">
        <f>IF(main!BG235="","",ROUND(main!BG235*100,6))</f>
        <v/>
      </c>
      <c r="AV232" s="68" t="str">
        <f>IF(main!BH235="","",ROUND(main!BH235*100,6))</f>
        <v/>
      </c>
      <c r="AW232" s="68" t="str">
        <f>IF(main!BI235="","",ROUND(main!BI235*100,6))</f>
        <v/>
      </c>
      <c r="AX232" s="68">
        <f>IF(main!BJ235="","",ROUND(main!BJ235*100,6))</f>
        <v>0.200876</v>
      </c>
      <c r="AY232" s="68">
        <f>IF(main!BK235="","",ROUND(main!BK235*100,6))</f>
        <v>3.562967</v>
      </c>
      <c r="AZ232" s="68">
        <f>IF(main!BL235="","",ROUND(main!BL235*100,6))</f>
        <v>7.3429019999999996</v>
      </c>
      <c r="BA232" s="68">
        <f>IF(main!BM235="","",ROUND(main!BM235*100,6))</f>
        <v>12.308168</v>
      </c>
      <c r="BB232" s="68">
        <f>IF(main!BN235="","",ROUND(main!BN235*100,6))</f>
        <v>16.779878</v>
      </c>
      <c r="BC232" s="68">
        <f>IF(main!BO235="","",ROUND(main!BO235*100,6))</f>
        <v>18.606038999999999</v>
      </c>
      <c r="BD232" s="68">
        <f>IF(main!BP235="","",ROUND(main!BP235*100,6))</f>
        <v>16.779878</v>
      </c>
      <c r="BE232" s="68">
        <f>IF(main!BQ235="","",ROUND(main!BQ235*100,6))</f>
        <v>12.308168</v>
      </c>
      <c r="BF232" s="68">
        <f>IF(main!BR235="","",ROUND(main!BR235*100,6))</f>
        <v>7.3429019999999996</v>
      </c>
      <c r="BG232" s="68">
        <f>IF(main!BS235="","",ROUND(main!BS235*100,6))</f>
        <v>3.562967</v>
      </c>
      <c r="BH232" s="68">
        <f>IF(main!BT235="","",ROUND(main!BT235*100,6))</f>
        <v>1.205255</v>
      </c>
      <c r="BI232" s="68" t="str">
        <f>IF(main!BU235="","",ROUND(main!BU235*100,6))</f>
        <v/>
      </c>
      <c r="BJ232" s="68" t="str">
        <f>IF(main!BV235="","",ROUND(main!BV235*100,6))</f>
        <v/>
      </c>
      <c r="BK232" s="68" t="str">
        <f>IF(main!BW235="","",ROUND(main!BW235*100,6))</f>
        <v/>
      </c>
      <c r="BL232" s="68" t="str">
        <f>IF(main!BX235="","",ROUND(main!BX235*100,6))</f>
        <v/>
      </c>
      <c r="BM232" s="68" t="str">
        <f>IF(main!BY235="","",ROUND(main!BY235*100,6))</f>
        <v/>
      </c>
      <c r="BN232" s="68" t="str">
        <f>IF(main!BZ235="","",ROUND(main!BZ235*100,6))</f>
        <v/>
      </c>
      <c r="BO232" s="68" t="str">
        <f>IF(main!CA235="","",ROUND(main!CA235*100,6))</f>
        <v/>
      </c>
      <c r="BP232" s="68" t="str">
        <f>IF(main!CB235="","",ROUND(main!CB235*100,6))</f>
        <v/>
      </c>
      <c r="BQ232" s="68" t="str">
        <f>IF(main!CC235="","",ROUND(main!CC235*100,6))</f>
        <v/>
      </c>
      <c r="BR232" s="68" t="str">
        <f>IF(main!CD235="","",ROUND(main!CD235*100,6))</f>
        <v/>
      </c>
      <c r="BS232" s="68" t="str">
        <f>IF(main!CE235="","",ROUND(main!CE235*100,6))</f>
        <v/>
      </c>
      <c r="BT232" s="68" t="str">
        <f>IF(main!CF235="","",ROUND(main!CF235*100,6))</f>
        <v/>
      </c>
      <c r="BU232" s="68" t="str">
        <f>IF(main!CG235="","",ROUND(main!CG235*100,6))</f>
        <v/>
      </c>
      <c r="BV232" s="68" t="str">
        <f>IF(main!CH235="","",ROUND(main!CH235*100,6))</f>
        <v/>
      </c>
      <c r="BW232" s="68" t="str">
        <f>IF(main!CI235="","",ROUND(main!CI235*100,6))</f>
        <v/>
      </c>
      <c r="BX232" s="68" t="str">
        <f>IF(main!CJ235="","",ROUND(main!CJ235*100,6))</f>
        <v/>
      </c>
      <c r="BY232" s="68" t="str">
        <f>IF(main!CK235="","",ROUND(main!CK235*100,6))</f>
        <v/>
      </c>
      <c r="BZ232" s="68" t="str">
        <f>IF(main!CL235="","",ROUND(main!CL235*100,6))</f>
        <v/>
      </c>
      <c r="CA232" s="68" t="str">
        <f>IF(main!CM235="","",ROUND(main!CM235*100,6))</f>
        <v/>
      </c>
      <c r="CB232" s="68" t="str">
        <f>IF(main!CN235="","",ROUND(main!CN235*100,6))</f>
        <v/>
      </c>
      <c r="CC232" s="68" t="str">
        <f>IF(main!CO235="","",ROUND(main!CO235*100,6))</f>
        <v/>
      </c>
    </row>
    <row r="233" spans="1:81" x14ac:dyDescent="0.25">
      <c r="A233" s="65" t="s">
        <v>396</v>
      </c>
      <c r="B233" s="66" t="str">
        <f>main!C235</f>
        <v>First Fix Wall and Ceiling</v>
      </c>
      <c r="C233" s="67">
        <f>main!O235</f>
        <v>100000</v>
      </c>
      <c r="D233" s="65" t="s">
        <v>111</v>
      </c>
      <c r="E233" s="68" t="str">
        <f t="shared" si="3"/>
        <v/>
      </c>
      <c r="F233" s="68" t="str">
        <f>IF(main!R236="","",ROUND(main!R236*100,6))</f>
        <v/>
      </c>
      <c r="G233" s="68" t="str">
        <f>IF(main!S236="","",ROUND(main!S236*100,6))</f>
        <v/>
      </c>
      <c r="H233" s="68" t="str">
        <f>IF(main!T236="","",ROUND(main!T236*100,6))</f>
        <v/>
      </c>
      <c r="I233" s="68" t="str">
        <f>IF(main!U236="","",ROUND(main!U236*100,6))</f>
        <v/>
      </c>
      <c r="J233" s="68" t="str">
        <f>IF(main!V236="","",ROUND(main!V236*100,6))</f>
        <v/>
      </c>
      <c r="K233" s="68" t="str">
        <f>IF(main!W236="","",ROUND(main!W236*100,6))</f>
        <v/>
      </c>
      <c r="L233" s="68" t="str">
        <f>IF(main!X236="","",ROUND(main!X236*100,6))</f>
        <v/>
      </c>
      <c r="M233" s="68" t="str">
        <f>IF(main!Y236="","",ROUND(main!Y236*100,6))</f>
        <v/>
      </c>
      <c r="N233" s="68" t="str">
        <f>IF(main!Z236="","",ROUND(main!Z236*100,6))</f>
        <v/>
      </c>
      <c r="O233" s="68" t="str">
        <f>IF(main!AA236="","",ROUND(main!AA236*100,6))</f>
        <v/>
      </c>
      <c r="P233" s="68" t="str">
        <f>IF(main!AB236="","",ROUND(main!AB236*100,6))</f>
        <v/>
      </c>
      <c r="Q233" s="68" t="str">
        <f>IF(main!AC236="","",ROUND(main!AC236*100,6))</f>
        <v/>
      </c>
      <c r="R233" s="68" t="str">
        <f>IF(main!AD236="","",ROUND(main!AD236*100,6))</f>
        <v/>
      </c>
      <c r="S233" s="68" t="str">
        <f>IF(main!AE236="","",ROUND(main!AE236*100,6))</f>
        <v/>
      </c>
      <c r="T233" s="68" t="str">
        <f>IF(main!AF236="","",ROUND(main!AF236*100,6))</f>
        <v/>
      </c>
      <c r="U233" s="68" t="str">
        <f>IF(main!AG236="","",ROUND(main!AG236*100,6))</f>
        <v/>
      </c>
      <c r="V233" s="68" t="str">
        <f>IF(main!AH236="","",ROUND(main!AH236*100,6))</f>
        <v/>
      </c>
      <c r="W233" s="68" t="str">
        <f>IF(main!AI236="","",ROUND(main!AI236*100,6))</f>
        <v/>
      </c>
      <c r="X233" s="68" t="str">
        <f>IF(main!AJ236="","",ROUND(main!AJ236*100,6))</f>
        <v/>
      </c>
      <c r="Y233" s="68" t="str">
        <f>IF(main!AK236="","",ROUND(main!AK236*100,6))</f>
        <v/>
      </c>
      <c r="Z233" s="68" t="str">
        <f>IF(main!AL236="","",ROUND(main!AL236*100,6))</f>
        <v/>
      </c>
      <c r="AA233" s="68" t="str">
        <f>IF(main!AM236="","",ROUND(main!AM236*100,6))</f>
        <v/>
      </c>
      <c r="AB233" s="68" t="str">
        <f>IF(main!AN236="","",ROUND(main!AN236*100,6))</f>
        <v/>
      </c>
      <c r="AC233" s="68" t="str">
        <f>IF(main!AO236="","",ROUND(main!AO236*100,6))</f>
        <v/>
      </c>
      <c r="AD233" s="68" t="str">
        <f>IF(main!AP236="","",ROUND(main!AP236*100,6))</f>
        <v/>
      </c>
      <c r="AE233" s="68" t="str">
        <f>IF(main!AQ236="","",ROUND(main!AQ236*100,6))</f>
        <v/>
      </c>
      <c r="AF233" s="68" t="str">
        <f>IF(main!AR236="","",ROUND(main!AR236*100,6))</f>
        <v/>
      </c>
      <c r="AG233" s="68" t="str">
        <f>IF(main!AS236="","",ROUND(main!AS236*100,6))</f>
        <v/>
      </c>
      <c r="AH233" s="68" t="str">
        <f>IF(main!AT236="","",ROUND(main!AT236*100,6))</f>
        <v/>
      </c>
      <c r="AI233" s="68" t="str">
        <f>IF(main!AU236="","",ROUND(main!AU236*100,6))</f>
        <v/>
      </c>
      <c r="AJ233" s="68" t="str">
        <f>IF(main!AV236="","",ROUND(main!AV236*100,6))</f>
        <v/>
      </c>
      <c r="AK233" s="68" t="str">
        <f>IF(main!AW236="","",ROUND(main!AW236*100,6))</f>
        <v/>
      </c>
      <c r="AL233" s="68" t="str">
        <f>IF(main!AX236="","",ROUND(main!AX236*100,6))</f>
        <v/>
      </c>
      <c r="AM233" s="68" t="str">
        <f>IF(main!AY236="","",ROUND(main!AY236*100,6))</f>
        <v/>
      </c>
      <c r="AN233" s="68" t="str">
        <f>IF(main!AZ236="","",ROUND(main!AZ236*100,6))</f>
        <v/>
      </c>
      <c r="AO233" s="68" t="str">
        <f>IF(main!BA236="","",ROUND(main!BA236*100,6))</f>
        <v/>
      </c>
      <c r="AP233" s="68" t="str">
        <f>IF(main!BB236="","",ROUND(main!BB236*100,6))</f>
        <v/>
      </c>
      <c r="AQ233" s="68" t="str">
        <f>IF(main!BC236="","",ROUND(main!BC236*100,6))</f>
        <v/>
      </c>
      <c r="AR233" s="68" t="str">
        <f>IF(main!BD236="","",ROUND(main!BD236*100,6))</f>
        <v/>
      </c>
      <c r="AS233" s="68" t="str">
        <f>IF(main!BE236="","",ROUND(main!BE236*100,6))</f>
        <v/>
      </c>
      <c r="AT233" s="68" t="str">
        <f>IF(main!BF236="","",ROUND(main!BF236*100,6))</f>
        <v/>
      </c>
      <c r="AU233" s="68" t="str">
        <f>IF(main!BG236="","",ROUND(main!BG236*100,6))</f>
        <v/>
      </c>
      <c r="AV233" s="68" t="str">
        <f>IF(main!BH236="","",ROUND(main!BH236*100,6))</f>
        <v/>
      </c>
      <c r="AW233" s="68" t="str">
        <f>IF(main!BI236="","",ROUND(main!BI236*100,6))</f>
        <v/>
      </c>
      <c r="AX233" s="68" t="str">
        <f>IF(main!BJ236="","",ROUND(main!BJ236*100,6))</f>
        <v/>
      </c>
      <c r="AY233" s="68" t="str">
        <f>IF(main!BK236="","",ROUND(main!BK236*100,6))</f>
        <v/>
      </c>
      <c r="AZ233" s="68" t="str">
        <f>IF(main!BL236="","",ROUND(main!BL236*100,6))</f>
        <v/>
      </c>
      <c r="BA233" s="68" t="str">
        <f>IF(main!BM236="","",ROUND(main!BM236*100,6))</f>
        <v/>
      </c>
      <c r="BB233" s="68" t="str">
        <f>IF(main!BN236="","",ROUND(main!BN236*100,6))</f>
        <v/>
      </c>
      <c r="BC233" s="68" t="str">
        <f>IF(main!BO236="","",ROUND(main!BO236*100,6))</f>
        <v/>
      </c>
      <c r="BD233" s="68" t="str">
        <f>IF(main!BP236="","",ROUND(main!BP236*100,6))</f>
        <v/>
      </c>
      <c r="BE233" s="68" t="str">
        <f>IF(main!BQ236="","",ROUND(main!BQ236*100,6))</f>
        <v/>
      </c>
      <c r="BF233" s="68" t="str">
        <f>IF(main!BR236="","",ROUND(main!BR236*100,6))</f>
        <v/>
      </c>
      <c r="BG233" s="68" t="str">
        <f>IF(main!BS236="","",ROUND(main!BS236*100,6))</f>
        <v/>
      </c>
      <c r="BH233" s="68" t="str">
        <f>IF(main!BT236="","",ROUND(main!BT236*100,6))</f>
        <v/>
      </c>
      <c r="BI233" s="68" t="str">
        <f>IF(main!BU236="","",ROUND(main!BU236*100,6))</f>
        <v/>
      </c>
      <c r="BJ233" s="68" t="str">
        <f>IF(main!BV236="","",ROUND(main!BV236*100,6))</f>
        <v/>
      </c>
      <c r="BK233" s="68" t="str">
        <f>IF(main!BW236="","",ROUND(main!BW236*100,6))</f>
        <v/>
      </c>
      <c r="BL233" s="68" t="str">
        <f>IF(main!BX236="","",ROUND(main!BX236*100,6))</f>
        <v/>
      </c>
      <c r="BM233" s="68" t="str">
        <f>IF(main!BY236="","",ROUND(main!BY236*100,6))</f>
        <v/>
      </c>
      <c r="BN233" s="68" t="str">
        <f>IF(main!BZ236="","",ROUND(main!BZ236*100,6))</f>
        <v/>
      </c>
      <c r="BO233" s="68" t="str">
        <f>IF(main!CA236="","",ROUND(main!CA236*100,6))</f>
        <v/>
      </c>
      <c r="BP233" s="68" t="str">
        <f>IF(main!CB236="","",ROUND(main!CB236*100,6))</f>
        <v/>
      </c>
      <c r="BQ233" s="68" t="str">
        <f>IF(main!CC236="","",ROUND(main!CC236*100,6))</f>
        <v/>
      </c>
      <c r="BR233" s="68" t="str">
        <f>IF(main!CD236="","",ROUND(main!CD236*100,6))</f>
        <v/>
      </c>
      <c r="BS233" s="68" t="str">
        <f>IF(main!CE236="","",ROUND(main!CE236*100,6))</f>
        <v/>
      </c>
      <c r="BT233" s="68" t="str">
        <f>IF(main!CF236="","",ROUND(main!CF236*100,6))</f>
        <v/>
      </c>
      <c r="BU233" s="68" t="str">
        <f>IF(main!CG236="","",ROUND(main!CG236*100,6))</f>
        <v/>
      </c>
      <c r="BV233" s="68" t="str">
        <f>IF(main!CH236="","",ROUND(main!CH236*100,6))</f>
        <v/>
      </c>
      <c r="BW233" s="68" t="str">
        <f>IF(main!CI236="","",ROUND(main!CI236*100,6))</f>
        <v/>
      </c>
      <c r="BX233" s="68" t="str">
        <f>IF(main!CJ236="","",ROUND(main!CJ236*100,6))</f>
        <v/>
      </c>
      <c r="BY233" s="68" t="str">
        <f>IF(main!CK236="","",ROUND(main!CK236*100,6))</f>
        <v/>
      </c>
      <c r="BZ233" s="68" t="str">
        <f>IF(main!CL236="","",ROUND(main!CL236*100,6))</f>
        <v/>
      </c>
      <c r="CA233" s="68" t="str">
        <f>IF(main!CM236="","",ROUND(main!CM236*100,6))</f>
        <v/>
      </c>
      <c r="CB233" s="68" t="str">
        <f>IF(main!CN236="","",ROUND(main!CN236*100,6))</f>
        <v/>
      </c>
      <c r="CC233" s="68" t="str">
        <f>IF(main!CO236="","",ROUND(main!CO236*100,6))</f>
        <v/>
      </c>
    </row>
    <row r="234" spans="1:81" x14ac:dyDescent="0.25">
      <c r="A234" s="65" t="s">
        <v>398</v>
      </c>
      <c r="B234" s="66" t="str">
        <f>main!C237</f>
        <v>งานติดอุปกรณ์ Second Fix</v>
      </c>
      <c r="C234" s="67">
        <f>main!O237</f>
        <v>100000</v>
      </c>
      <c r="D234" s="65" t="s">
        <v>110</v>
      </c>
      <c r="E234" s="68">
        <f t="shared" si="3"/>
        <v>100.000001</v>
      </c>
      <c r="F234" s="68" t="str">
        <f>IF(main!R237="","",ROUND(main!R237*100,6))</f>
        <v/>
      </c>
      <c r="G234" s="68" t="str">
        <f>IF(main!S237="","",ROUND(main!S237*100,6))</f>
        <v/>
      </c>
      <c r="H234" s="68" t="str">
        <f>IF(main!T237="","",ROUND(main!T237*100,6))</f>
        <v/>
      </c>
      <c r="I234" s="68" t="str">
        <f>IF(main!U237="","",ROUND(main!U237*100,6))</f>
        <v/>
      </c>
      <c r="J234" s="68" t="str">
        <f>IF(main!V237="","",ROUND(main!V237*100,6))</f>
        <v/>
      </c>
      <c r="K234" s="68" t="str">
        <f>IF(main!W237="","",ROUND(main!W237*100,6))</f>
        <v/>
      </c>
      <c r="L234" s="68" t="str">
        <f>IF(main!X237="","",ROUND(main!X237*100,6))</f>
        <v/>
      </c>
      <c r="M234" s="68" t="str">
        <f>IF(main!Y237="","",ROUND(main!Y237*100,6))</f>
        <v/>
      </c>
      <c r="N234" s="68" t="str">
        <f>IF(main!Z237="","",ROUND(main!Z237*100,6))</f>
        <v/>
      </c>
      <c r="O234" s="68" t="str">
        <f>IF(main!AA237="","",ROUND(main!AA237*100,6))</f>
        <v/>
      </c>
      <c r="P234" s="68" t="str">
        <f>IF(main!AB237="","",ROUND(main!AB237*100,6))</f>
        <v/>
      </c>
      <c r="Q234" s="68" t="str">
        <f>IF(main!AC237="","",ROUND(main!AC237*100,6))</f>
        <v/>
      </c>
      <c r="R234" s="68" t="str">
        <f>IF(main!AD237="","",ROUND(main!AD237*100,6))</f>
        <v/>
      </c>
      <c r="S234" s="68" t="str">
        <f>IF(main!AE237="","",ROUND(main!AE237*100,6))</f>
        <v/>
      </c>
      <c r="T234" s="68" t="str">
        <f>IF(main!AF237="","",ROUND(main!AF237*100,6))</f>
        <v/>
      </c>
      <c r="U234" s="68" t="str">
        <f>IF(main!AG237="","",ROUND(main!AG237*100,6))</f>
        <v/>
      </c>
      <c r="V234" s="68" t="str">
        <f>IF(main!AH237="","",ROUND(main!AH237*100,6))</f>
        <v/>
      </c>
      <c r="W234" s="68" t="str">
        <f>IF(main!AI237="","",ROUND(main!AI237*100,6))</f>
        <v/>
      </c>
      <c r="X234" s="68" t="str">
        <f>IF(main!AJ237="","",ROUND(main!AJ237*100,6))</f>
        <v/>
      </c>
      <c r="Y234" s="68" t="str">
        <f>IF(main!AK237="","",ROUND(main!AK237*100,6))</f>
        <v/>
      </c>
      <c r="Z234" s="68" t="str">
        <f>IF(main!AL237="","",ROUND(main!AL237*100,6))</f>
        <v/>
      </c>
      <c r="AA234" s="68" t="str">
        <f>IF(main!AM237="","",ROUND(main!AM237*100,6))</f>
        <v/>
      </c>
      <c r="AB234" s="68" t="str">
        <f>IF(main!AN237="","",ROUND(main!AN237*100,6))</f>
        <v/>
      </c>
      <c r="AC234" s="68" t="str">
        <f>IF(main!AO237="","",ROUND(main!AO237*100,6))</f>
        <v/>
      </c>
      <c r="AD234" s="68" t="str">
        <f>IF(main!AP237="","",ROUND(main!AP237*100,6))</f>
        <v/>
      </c>
      <c r="AE234" s="68" t="str">
        <f>IF(main!AQ237="","",ROUND(main!AQ237*100,6))</f>
        <v/>
      </c>
      <c r="AF234" s="68" t="str">
        <f>IF(main!AR237="","",ROUND(main!AR237*100,6))</f>
        <v/>
      </c>
      <c r="AG234" s="68" t="str">
        <f>IF(main!AS237="","",ROUND(main!AS237*100,6))</f>
        <v/>
      </c>
      <c r="AH234" s="68" t="str">
        <f>IF(main!AT237="","",ROUND(main!AT237*100,6))</f>
        <v/>
      </c>
      <c r="AI234" s="68" t="str">
        <f>IF(main!AU237="","",ROUND(main!AU237*100,6))</f>
        <v/>
      </c>
      <c r="AJ234" s="68" t="str">
        <f>IF(main!AV237="","",ROUND(main!AV237*100,6))</f>
        <v/>
      </c>
      <c r="AK234" s="68" t="str">
        <f>IF(main!AW237="","",ROUND(main!AW237*100,6))</f>
        <v/>
      </c>
      <c r="AL234" s="68" t="str">
        <f>IF(main!AX237="","",ROUND(main!AX237*100,6))</f>
        <v/>
      </c>
      <c r="AM234" s="68" t="str">
        <f>IF(main!AY237="","",ROUND(main!AY237*100,6))</f>
        <v/>
      </c>
      <c r="AN234" s="68" t="str">
        <f>IF(main!AZ237="","",ROUND(main!AZ237*100,6))</f>
        <v/>
      </c>
      <c r="AO234" s="68" t="str">
        <f>IF(main!BA237="","",ROUND(main!BA237*100,6))</f>
        <v/>
      </c>
      <c r="AP234" s="68" t="str">
        <f>IF(main!BB237="","",ROUND(main!BB237*100,6))</f>
        <v/>
      </c>
      <c r="AQ234" s="68" t="str">
        <f>IF(main!BC237="","",ROUND(main!BC237*100,6))</f>
        <v/>
      </c>
      <c r="AR234" s="68" t="str">
        <f>IF(main!BD237="","",ROUND(main!BD237*100,6))</f>
        <v/>
      </c>
      <c r="AS234" s="68" t="str">
        <f>IF(main!BE237="","",ROUND(main!BE237*100,6))</f>
        <v/>
      </c>
      <c r="AT234" s="68" t="str">
        <f>IF(main!BF237="","",ROUND(main!BF237*100,6))</f>
        <v/>
      </c>
      <c r="AU234" s="68" t="str">
        <f>IF(main!BG237="","",ROUND(main!BG237*100,6))</f>
        <v/>
      </c>
      <c r="AV234" s="68" t="str">
        <f>IF(main!BH237="","",ROUND(main!BH237*100,6))</f>
        <v/>
      </c>
      <c r="AW234" s="68" t="str">
        <f>IF(main!BI237="","",ROUND(main!BI237*100,6))</f>
        <v/>
      </c>
      <c r="AX234" s="68" t="str">
        <f>IF(main!BJ237="","",ROUND(main!BJ237*100,6))</f>
        <v/>
      </c>
      <c r="AY234" s="68" t="str">
        <f>IF(main!BK237="","",ROUND(main!BK237*100,6))</f>
        <v/>
      </c>
      <c r="AZ234" s="68" t="str">
        <f>IF(main!BL237="","",ROUND(main!BL237*100,6))</f>
        <v/>
      </c>
      <c r="BA234" s="68" t="str">
        <f>IF(main!BM237="","",ROUND(main!BM237*100,6))</f>
        <v/>
      </c>
      <c r="BB234" s="68" t="str">
        <f>IF(main!BN237="","",ROUND(main!BN237*100,6))</f>
        <v/>
      </c>
      <c r="BC234" s="68" t="str">
        <f>IF(main!BO237="","",ROUND(main!BO237*100,6))</f>
        <v/>
      </c>
      <c r="BD234" s="68" t="str">
        <f>IF(main!BP237="","",ROUND(main!BP237*100,6))</f>
        <v/>
      </c>
      <c r="BE234" s="68" t="str">
        <f>IF(main!BQ237="","",ROUND(main!BQ237*100,6))</f>
        <v/>
      </c>
      <c r="BF234" s="68" t="str">
        <f>IF(main!BR237="","",ROUND(main!BR237*100,6))</f>
        <v/>
      </c>
      <c r="BG234" s="68" t="str">
        <f>IF(main!BS237="","",ROUND(main!BS237*100,6))</f>
        <v/>
      </c>
      <c r="BH234" s="68">
        <f>IF(main!BT237="","",ROUND(main!BT237*100,6))</f>
        <v>2.3809520000000002</v>
      </c>
      <c r="BI234" s="68">
        <f>IF(main!BU237="","",ROUND(main!BU237*100,6))</f>
        <v>16.666667</v>
      </c>
      <c r="BJ234" s="68">
        <f>IF(main!BV237="","",ROUND(main!BV237*100,6))</f>
        <v>16.666667</v>
      </c>
      <c r="BK234" s="68">
        <f>IF(main!BW237="","",ROUND(main!BW237*100,6))</f>
        <v>16.666667</v>
      </c>
      <c r="BL234" s="68">
        <f>IF(main!BX237="","",ROUND(main!BX237*100,6))</f>
        <v>16.666667</v>
      </c>
      <c r="BM234" s="68">
        <f>IF(main!BY237="","",ROUND(main!BY237*100,6))</f>
        <v>16.666667</v>
      </c>
      <c r="BN234" s="68">
        <f>IF(main!BZ237="","",ROUND(main!BZ237*100,6))</f>
        <v>14.285714</v>
      </c>
      <c r="BO234" s="68" t="str">
        <f>IF(main!CA237="","",ROUND(main!CA237*100,6))</f>
        <v/>
      </c>
      <c r="BP234" s="68" t="str">
        <f>IF(main!CB237="","",ROUND(main!CB237*100,6))</f>
        <v/>
      </c>
      <c r="BQ234" s="68" t="str">
        <f>IF(main!CC237="","",ROUND(main!CC237*100,6))</f>
        <v/>
      </c>
      <c r="BR234" s="68" t="str">
        <f>IF(main!CD237="","",ROUND(main!CD237*100,6))</f>
        <v/>
      </c>
      <c r="BS234" s="68" t="str">
        <f>IF(main!CE237="","",ROUND(main!CE237*100,6))</f>
        <v/>
      </c>
      <c r="BT234" s="68" t="str">
        <f>IF(main!CF237="","",ROUND(main!CF237*100,6))</f>
        <v/>
      </c>
      <c r="BU234" s="68" t="str">
        <f>IF(main!CG237="","",ROUND(main!CG237*100,6))</f>
        <v/>
      </c>
      <c r="BV234" s="68" t="str">
        <f>IF(main!CH237="","",ROUND(main!CH237*100,6))</f>
        <v/>
      </c>
      <c r="BW234" s="68" t="str">
        <f>IF(main!CI237="","",ROUND(main!CI237*100,6))</f>
        <v/>
      </c>
      <c r="BX234" s="68" t="str">
        <f>IF(main!CJ237="","",ROUND(main!CJ237*100,6))</f>
        <v/>
      </c>
      <c r="BY234" s="68" t="str">
        <f>IF(main!CK237="","",ROUND(main!CK237*100,6))</f>
        <v/>
      </c>
      <c r="BZ234" s="68" t="str">
        <f>IF(main!CL237="","",ROUND(main!CL237*100,6))</f>
        <v/>
      </c>
      <c r="CA234" s="68" t="str">
        <f>IF(main!CM237="","",ROUND(main!CM237*100,6))</f>
        <v/>
      </c>
      <c r="CB234" s="68" t="str">
        <f>IF(main!CN237="","",ROUND(main!CN237*100,6))</f>
        <v/>
      </c>
      <c r="CC234" s="68" t="str">
        <f>IF(main!CO237="","",ROUND(main!CO237*100,6))</f>
        <v/>
      </c>
    </row>
    <row r="235" spans="1:81" x14ac:dyDescent="0.25">
      <c r="A235" s="65" t="s">
        <v>398</v>
      </c>
      <c r="B235" s="66" t="str">
        <f>main!C237</f>
        <v>งานติดอุปกรณ์ Second Fix</v>
      </c>
      <c r="C235" s="67">
        <f>main!O237</f>
        <v>100000</v>
      </c>
      <c r="D235" s="65" t="s">
        <v>111</v>
      </c>
      <c r="E235" s="68" t="str">
        <f t="shared" si="3"/>
        <v/>
      </c>
      <c r="F235" s="68" t="str">
        <f>IF(main!R238="","",ROUND(main!R238*100,6))</f>
        <v/>
      </c>
      <c r="G235" s="68" t="str">
        <f>IF(main!S238="","",ROUND(main!S238*100,6))</f>
        <v/>
      </c>
      <c r="H235" s="68" t="str">
        <f>IF(main!T238="","",ROUND(main!T238*100,6))</f>
        <v/>
      </c>
      <c r="I235" s="68" t="str">
        <f>IF(main!U238="","",ROUND(main!U238*100,6))</f>
        <v/>
      </c>
      <c r="J235" s="68" t="str">
        <f>IF(main!V238="","",ROUND(main!V238*100,6))</f>
        <v/>
      </c>
      <c r="K235" s="68" t="str">
        <f>IF(main!W238="","",ROUND(main!W238*100,6))</f>
        <v/>
      </c>
      <c r="L235" s="68" t="str">
        <f>IF(main!X238="","",ROUND(main!X238*100,6))</f>
        <v/>
      </c>
      <c r="M235" s="68" t="str">
        <f>IF(main!Y238="","",ROUND(main!Y238*100,6))</f>
        <v/>
      </c>
      <c r="N235" s="68" t="str">
        <f>IF(main!Z238="","",ROUND(main!Z238*100,6))</f>
        <v/>
      </c>
      <c r="O235" s="68" t="str">
        <f>IF(main!AA238="","",ROUND(main!AA238*100,6))</f>
        <v/>
      </c>
      <c r="P235" s="68" t="str">
        <f>IF(main!AB238="","",ROUND(main!AB238*100,6))</f>
        <v/>
      </c>
      <c r="Q235" s="68" t="str">
        <f>IF(main!AC238="","",ROUND(main!AC238*100,6))</f>
        <v/>
      </c>
      <c r="R235" s="68" t="str">
        <f>IF(main!AD238="","",ROUND(main!AD238*100,6))</f>
        <v/>
      </c>
      <c r="S235" s="68" t="str">
        <f>IF(main!AE238="","",ROUND(main!AE238*100,6))</f>
        <v/>
      </c>
      <c r="T235" s="68" t="str">
        <f>IF(main!AF238="","",ROUND(main!AF238*100,6))</f>
        <v/>
      </c>
      <c r="U235" s="68" t="str">
        <f>IF(main!AG238="","",ROUND(main!AG238*100,6))</f>
        <v/>
      </c>
      <c r="V235" s="68" t="str">
        <f>IF(main!AH238="","",ROUND(main!AH238*100,6))</f>
        <v/>
      </c>
      <c r="W235" s="68" t="str">
        <f>IF(main!AI238="","",ROUND(main!AI238*100,6))</f>
        <v/>
      </c>
      <c r="X235" s="68" t="str">
        <f>IF(main!AJ238="","",ROUND(main!AJ238*100,6))</f>
        <v/>
      </c>
      <c r="Y235" s="68" t="str">
        <f>IF(main!AK238="","",ROUND(main!AK238*100,6))</f>
        <v/>
      </c>
      <c r="Z235" s="68" t="str">
        <f>IF(main!AL238="","",ROUND(main!AL238*100,6))</f>
        <v/>
      </c>
      <c r="AA235" s="68" t="str">
        <f>IF(main!AM238="","",ROUND(main!AM238*100,6))</f>
        <v/>
      </c>
      <c r="AB235" s="68" t="str">
        <f>IF(main!AN238="","",ROUND(main!AN238*100,6))</f>
        <v/>
      </c>
      <c r="AC235" s="68" t="str">
        <f>IF(main!AO238="","",ROUND(main!AO238*100,6))</f>
        <v/>
      </c>
      <c r="AD235" s="68" t="str">
        <f>IF(main!AP238="","",ROUND(main!AP238*100,6))</f>
        <v/>
      </c>
      <c r="AE235" s="68" t="str">
        <f>IF(main!AQ238="","",ROUND(main!AQ238*100,6))</f>
        <v/>
      </c>
      <c r="AF235" s="68" t="str">
        <f>IF(main!AR238="","",ROUND(main!AR238*100,6))</f>
        <v/>
      </c>
      <c r="AG235" s="68" t="str">
        <f>IF(main!AS238="","",ROUND(main!AS238*100,6))</f>
        <v/>
      </c>
      <c r="AH235" s="68" t="str">
        <f>IF(main!AT238="","",ROUND(main!AT238*100,6))</f>
        <v/>
      </c>
      <c r="AI235" s="68" t="str">
        <f>IF(main!AU238="","",ROUND(main!AU238*100,6))</f>
        <v/>
      </c>
      <c r="AJ235" s="68" t="str">
        <f>IF(main!AV238="","",ROUND(main!AV238*100,6))</f>
        <v/>
      </c>
      <c r="AK235" s="68" t="str">
        <f>IF(main!AW238="","",ROUND(main!AW238*100,6))</f>
        <v/>
      </c>
      <c r="AL235" s="68" t="str">
        <f>IF(main!AX238="","",ROUND(main!AX238*100,6))</f>
        <v/>
      </c>
      <c r="AM235" s="68" t="str">
        <f>IF(main!AY238="","",ROUND(main!AY238*100,6))</f>
        <v/>
      </c>
      <c r="AN235" s="68" t="str">
        <f>IF(main!AZ238="","",ROUND(main!AZ238*100,6))</f>
        <v/>
      </c>
      <c r="AO235" s="68" t="str">
        <f>IF(main!BA238="","",ROUND(main!BA238*100,6))</f>
        <v/>
      </c>
      <c r="AP235" s="68" t="str">
        <f>IF(main!BB238="","",ROUND(main!BB238*100,6))</f>
        <v/>
      </c>
      <c r="AQ235" s="68" t="str">
        <f>IF(main!BC238="","",ROUND(main!BC238*100,6))</f>
        <v/>
      </c>
      <c r="AR235" s="68" t="str">
        <f>IF(main!BD238="","",ROUND(main!BD238*100,6))</f>
        <v/>
      </c>
      <c r="AS235" s="68" t="str">
        <f>IF(main!BE238="","",ROUND(main!BE238*100,6))</f>
        <v/>
      </c>
      <c r="AT235" s="68" t="str">
        <f>IF(main!BF238="","",ROUND(main!BF238*100,6))</f>
        <v/>
      </c>
      <c r="AU235" s="68" t="str">
        <f>IF(main!BG238="","",ROUND(main!BG238*100,6))</f>
        <v/>
      </c>
      <c r="AV235" s="68" t="str">
        <f>IF(main!BH238="","",ROUND(main!BH238*100,6))</f>
        <v/>
      </c>
      <c r="AW235" s="68" t="str">
        <f>IF(main!BI238="","",ROUND(main!BI238*100,6))</f>
        <v/>
      </c>
      <c r="AX235" s="68" t="str">
        <f>IF(main!BJ238="","",ROUND(main!BJ238*100,6))</f>
        <v/>
      </c>
      <c r="AY235" s="68" t="str">
        <f>IF(main!BK238="","",ROUND(main!BK238*100,6))</f>
        <v/>
      </c>
      <c r="AZ235" s="68" t="str">
        <f>IF(main!BL238="","",ROUND(main!BL238*100,6))</f>
        <v/>
      </c>
      <c r="BA235" s="68" t="str">
        <f>IF(main!BM238="","",ROUND(main!BM238*100,6))</f>
        <v/>
      </c>
      <c r="BB235" s="68" t="str">
        <f>IF(main!BN238="","",ROUND(main!BN238*100,6))</f>
        <v/>
      </c>
      <c r="BC235" s="68" t="str">
        <f>IF(main!BO238="","",ROUND(main!BO238*100,6))</f>
        <v/>
      </c>
      <c r="BD235" s="68" t="str">
        <f>IF(main!BP238="","",ROUND(main!BP238*100,6))</f>
        <v/>
      </c>
      <c r="BE235" s="68" t="str">
        <f>IF(main!BQ238="","",ROUND(main!BQ238*100,6))</f>
        <v/>
      </c>
      <c r="BF235" s="68" t="str">
        <f>IF(main!BR238="","",ROUND(main!BR238*100,6))</f>
        <v/>
      </c>
      <c r="BG235" s="68" t="str">
        <f>IF(main!BS238="","",ROUND(main!BS238*100,6))</f>
        <v/>
      </c>
      <c r="BH235" s="68" t="str">
        <f>IF(main!BT238="","",ROUND(main!BT238*100,6))</f>
        <v/>
      </c>
      <c r="BI235" s="68" t="str">
        <f>IF(main!BU238="","",ROUND(main!BU238*100,6))</f>
        <v/>
      </c>
      <c r="BJ235" s="68" t="str">
        <f>IF(main!BV238="","",ROUND(main!BV238*100,6))</f>
        <v/>
      </c>
      <c r="BK235" s="68" t="str">
        <f>IF(main!BW238="","",ROUND(main!BW238*100,6))</f>
        <v/>
      </c>
      <c r="BL235" s="68" t="str">
        <f>IF(main!BX238="","",ROUND(main!BX238*100,6))</f>
        <v/>
      </c>
      <c r="BM235" s="68" t="str">
        <f>IF(main!BY238="","",ROUND(main!BY238*100,6))</f>
        <v/>
      </c>
      <c r="BN235" s="68" t="str">
        <f>IF(main!BZ238="","",ROUND(main!BZ238*100,6))</f>
        <v/>
      </c>
      <c r="BO235" s="68" t="str">
        <f>IF(main!CA238="","",ROUND(main!CA238*100,6))</f>
        <v/>
      </c>
      <c r="BP235" s="68" t="str">
        <f>IF(main!CB238="","",ROUND(main!CB238*100,6))</f>
        <v/>
      </c>
      <c r="BQ235" s="68" t="str">
        <f>IF(main!CC238="","",ROUND(main!CC238*100,6))</f>
        <v/>
      </c>
      <c r="BR235" s="68" t="str">
        <f>IF(main!CD238="","",ROUND(main!CD238*100,6))</f>
        <v/>
      </c>
      <c r="BS235" s="68" t="str">
        <f>IF(main!CE238="","",ROUND(main!CE238*100,6))</f>
        <v/>
      </c>
      <c r="BT235" s="68" t="str">
        <f>IF(main!CF238="","",ROUND(main!CF238*100,6))</f>
        <v/>
      </c>
      <c r="BU235" s="68" t="str">
        <f>IF(main!CG238="","",ROUND(main!CG238*100,6))</f>
        <v/>
      </c>
      <c r="BV235" s="68" t="str">
        <f>IF(main!CH238="","",ROUND(main!CH238*100,6))</f>
        <v/>
      </c>
      <c r="BW235" s="68" t="str">
        <f>IF(main!CI238="","",ROUND(main!CI238*100,6))</f>
        <v/>
      </c>
      <c r="BX235" s="68" t="str">
        <f>IF(main!CJ238="","",ROUND(main!CJ238*100,6))</f>
        <v/>
      </c>
      <c r="BY235" s="68" t="str">
        <f>IF(main!CK238="","",ROUND(main!CK238*100,6))</f>
        <v/>
      </c>
      <c r="BZ235" s="68" t="str">
        <f>IF(main!CL238="","",ROUND(main!CL238*100,6))</f>
        <v/>
      </c>
      <c r="CA235" s="68" t="str">
        <f>IF(main!CM238="","",ROUND(main!CM238*100,6))</f>
        <v/>
      </c>
      <c r="CB235" s="68" t="str">
        <f>IF(main!CN238="","",ROUND(main!CN238*100,6))</f>
        <v/>
      </c>
      <c r="CC235" s="68" t="str">
        <f>IF(main!CO238="","",ROUND(main!CO238*100,6))</f>
        <v/>
      </c>
    </row>
    <row r="236" spans="1:81" x14ac:dyDescent="0.25">
      <c r="A236" s="65" t="s">
        <v>400</v>
      </c>
      <c r="B236" s="66" t="str">
        <f>main!C239</f>
        <v>2nd Floor</v>
      </c>
      <c r="C236" s="67">
        <f>main!O239</f>
        <v>1200000</v>
      </c>
      <c r="D236" s="65" t="s">
        <v>110</v>
      </c>
      <c r="E236" s="68">
        <f t="shared" si="3"/>
        <v>100.00000199999999</v>
      </c>
      <c r="F236" s="68" t="str">
        <f>IF(main!R239="","",ROUND(main!R239*100,6))</f>
        <v/>
      </c>
      <c r="G236" s="68" t="str">
        <f>IF(main!S239="","",ROUND(main!S239*100,6))</f>
        <v/>
      </c>
      <c r="H236" s="68" t="str">
        <f>IF(main!T239="","",ROUND(main!T239*100,6))</f>
        <v/>
      </c>
      <c r="I236" s="68" t="str">
        <f>IF(main!U239="","",ROUND(main!U239*100,6))</f>
        <v/>
      </c>
      <c r="J236" s="68" t="str">
        <f>IF(main!V239="","",ROUND(main!V239*100,6))</f>
        <v/>
      </c>
      <c r="K236" s="68" t="str">
        <f>IF(main!W239="","",ROUND(main!W239*100,6))</f>
        <v/>
      </c>
      <c r="L236" s="68" t="str">
        <f>IF(main!X239="","",ROUND(main!X239*100,6))</f>
        <v/>
      </c>
      <c r="M236" s="68" t="str">
        <f>IF(main!Y239="","",ROUND(main!Y239*100,6))</f>
        <v/>
      </c>
      <c r="N236" s="68" t="str">
        <f>IF(main!Z239="","",ROUND(main!Z239*100,6))</f>
        <v/>
      </c>
      <c r="O236" s="68" t="str">
        <f>IF(main!AA239="","",ROUND(main!AA239*100,6))</f>
        <v/>
      </c>
      <c r="P236" s="68" t="str">
        <f>IF(main!AB239="","",ROUND(main!AB239*100,6))</f>
        <v/>
      </c>
      <c r="Q236" s="68" t="str">
        <f>IF(main!AC239="","",ROUND(main!AC239*100,6))</f>
        <v/>
      </c>
      <c r="R236" s="68" t="str">
        <f>IF(main!AD239="","",ROUND(main!AD239*100,6))</f>
        <v/>
      </c>
      <c r="S236" s="68" t="str">
        <f>IF(main!AE239="","",ROUND(main!AE239*100,6))</f>
        <v/>
      </c>
      <c r="T236" s="68" t="str">
        <f>IF(main!AF239="","",ROUND(main!AF239*100,6))</f>
        <v/>
      </c>
      <c r="U236" s="68" t="str">
        <f>IF(main!AG239="","",ROUND(main!AG239*100,6))</f>
        <v/>
      </c>
      <c r="V236" s="68" t="str">
        <f>IF(main!AH239="","",ROUND(main!AH239*100,6))</f>
        <v/>
      </c>
      <c r="W236" s="68" t="str">
        <f>IF(main!AI239="","",ROUND(main!AI239*100,6))</f>
        <v/>
      </c>
      <c r="X236" s="68" t="str">
        <f>IF(main!AJ239="","",ROUND(main!AJ239*100,6))</f>
        <v/>
      </c>
      <c r="Y236" s="68" t="str">
        <f>IF(main!AK239="","",ROUND(main!AK239*100,6))</f>
        <v/>
      </c>
      <c r="Z236" s="68" t="str">
        <f>IF(main!AL239="","",ROUND(main!AL239*100,6))</f>
        <v/>
      </c>
      <c r="AA236" s="68" t="str">
        <f>IF(main!AM239="","",ROUND(main!AM239*100,6))</f>
        <v/>
      </c>
      <c r="AB236" s="68" t="str">
        <f>IF(main!AN239="","",ROUND(main!AN239*100,6))</f>
        <v/>
      </c>
      <c r="AC236" s="68" t="str">
        <f>IF(main!AO239="","",ROUND(main!AO239*100,6))</f>
        <v/>
      </c>
      <c r="AD236" s="68" t="str">
        <f>IF(main!AP239="","",ROUND(main!AP239*100,6))</f>
        <v/>
      </c>
      <c r="AE236" s="68" t="str">
        <f>IF(main!AQ239="","",ROUND(main!AQ239*100,6))</f>
        <v/>
      </c>
      <c r="AF236" s="68" t="str">
        <f>IF(main!AR239="","",ROUND(main!AR239*100,6))</f>
        <v/>
      </c>
      <c r="AG236" s="68" t="str">
        <f>IF(main!AS239="","",ROUND(main!AS239*100,6))</f>
        <v/>
      </c>
      <c r="AH236" s="68" t="str">
        <f>IF(main!AT239="","",ROUND(main!AT239*100,6))</f>
        <v/>
      </c>
      <c r="AI236" s="68" t="str">
        <f>IF(main!AU239="","",ROUND(main!AU239*100,6))</f>
        <v/>
      </c>
      <c r="AJ236" s="68" t="str">
        <f>IF(main!AV239="","",ROUND(main!AV239*100,6))</f>
        <v/>
      </c>
      <c r="AK236" s="68" t="str">
        <f>IF(main!AW239="","",ROUND(main!AW239*100,6))</f>
        <v/>
      </c>
      <c r="AL236" s="68" t="str">
        <f>IF(main!AX239="","",ROUND(main!AX239*100,6))</f>
        <v/>
      </c>
      <c r="AM236" s="68" t="str">
        <f>IF(main!AY239="","",ROUND(main!AY239*100,6))</f>
        <v/>
      </c>
      <c r="AN236" s="68" t="str">
        <f>IF(main!AZ239="","",ROUND(main!AZ239*100,6))</f>
        <v/>
      </c>
      <c r="AO236" s="68" t="str">
        <f>IF(main!BA239="","",ROUND(main!BA239*100,6))</f>
        <v/>
      </c>
      <c r="AP236" s="68" t="str">
        <f>IF(main!BB239="","",ROUND(main!BB239*100,6))</f>
        <v/>
      </c>
      <c r="AQ236" s="68" t="str">
        <f>IF(main!BC239="","",ROUND(main!BC239*100,6))</f>
        <v/>
      </c>
      <c r="AR236" s="68" t="str">
        <f>IF(main!BD239="","",ROUND(main!BD239*100,6))</f>
        <v/>
      </c>
      <c r="AS236" s="68" t="str">
        <f>IF(main!BE239="","",ROUND(main!BE239*100,6))</f>
        <v/>
      </c>
      <c r="AT236" s="68" t="str">
        <f>IF(main!BF239="","",ROUND(main!BF239*100,6))</f>
        <v/>
      </c>
      <c r="AU236" s="68" t="str">
        <f>IF(main!BG239="","",ROUND(main!BG239*100,6))</f>
        <v/>
      </c>
      <c r="AV236" s="68" t="str">
        <f>IF(main!BH239="","",ROUND(main!BH239*100,6))</f>
        <v/>
      </c>
      <c r="AW236" s="68" t="str">
        <f>IF(main!BI239="","",ROUND(main!BI239*100,6))</f>
        <v/>
      </c>
      <c r="AX236" s="68">
        <f>IF(main!BJ239="","",ROUND(main!BJ239*100,6))</f>
        <v>0.39682499999999998</v>
      </c>
      <c r="AY236" s="68">
        <f>IF(main!BK239="","",ROUND(main!BK239*100,6))</f>
        <v>2.7777780000000001</v>
      </c>
      <c r="AZ236" s="68">
        <f>IF(main!BL239="","",ROUND(main!BL239*100,6))</f>
        <v>2.7777780000000001</v>
      </c>
      <c r="BA236" s="68">
        <f>IF(main!BM239="","",ROUND(main!BM239*100,6))</f>
        <v>2.7777780000000001</v>
      </c>
      <c r="BB236" s="68">
        <f>IF(main!BN239="","",ROUND(main!BN239*100,6))</f>
        <v>2.7777780000000001</v>
      </c>
      <c r="BC236" s="68">
        <f>IF(main!BO239="","",ROUND(main!BO239*100,6))</f>
        <v>2.7777780000000001</v>
      </c>
      <c r="BD236" s="68">
        <f>IF(main!BP239="","",ROUND(main!BP239*100,6))</f>
        <v>4.3970820000000002</v>
      </c>
      <c r="BE236" s="68">
        <f>IF(main!BQ239="","",ROUND(main!BQ239*100,6))</f>
        <v>5.3182809999999998</v>
      </c>
      <c r="BF236" s="68">
        <f>IF(main!BR239="","",ROUND(main!BR239*100,6))</f>
        <v>5.6332760000000004</v>
      </c>
      <c r="BG236" s="68">
        <f>IF(main!BS239="","",ROUND(main!BS239*100,6))</f>
        <v>5.9478419999999996</v>
      </c>
      <c r="BH236" s="68">
        <f>IF(main!BT239="","",ROUND(main!BT239*100,6))</f>
        <v>5.0842210000000003</v>
      </c>
      <c r="BI236" s="68">
        <f>IF(main!BU239="","",ROUND(main!BU239*100,6))</f>
        <v>5.8774259999999998</v>
      </c>
      <c r="BJ236" s="68">
        <f>IF(main!BV239="","",ROUND(main!BV239*100,6))</f>
        <v>5.7252460000000003</v>
      </c>
      <c r="BK236" s="68">
        <f>IF(main!BW239="","",ROUND(main!BW239*100,6))</f>
        <v>5.0549850000000003</v>
      </c>
      <c r="BL236" s="68">
        <f>IF(main!BX239="","",ROUND(main!BX239*100,6))</f>
        <v>4.0841310000000002</v>
      </c>
      <c r="BM236" s="68">
        <f>IF(main!BY239="","",ROUND(main!BY239*100,6))</f>
        <v>5.1580250000000003</v>
      </c>
      <c r="BN236" s="68">
        <f>IF(main!BZ239="","",ROUND(main!BZ239*100,6))</f>
        <v>2.4422299999999999</v>
      </c>
      <c r="BO236" s="68">
        <f>IF(main!CA239="","",ROUND(main!CA239*100,6))</f>
        <v>4.1118420000000002</v>
      </c>
      <c r="BP236" s="68">
        <f>IF(main!CB239="","",ROUND(main!CB239*100,6))</f>
        <v>4.1118420000000002</v>
      </c>
      <c r="BQ236" s="68">
        <f>IF(main!CC239="","",ROUND(main!CC239*100,6))</f>
        <v>1.0416669999999999</v>
      </c>
      <c r="BR236" s="68">
        <f>IF(main!CD239="","",ROUND(main!CD239*100,6))</f>
        <v>1.0416669999999999</v>
      </c>
      <c r="BS236" s="68">
        <f>IF(main!CE239="","",ROUND(main!CE239*100,6))</f>
        <v>2.0337299999999998</v>
      </c>
      <c r="BT236" s="68">
        <f>IF(main!CF239="","",ROUND(main!CF239*100,6))</f>
        <v>7.9861110000000002</v>
      </c>
      <c r="BU236" s="68">
        <f>IF(main!CG239="","",ROUND(main!CG239*100,6))</f>
        <v>7.390873</v>
      </c>
      <c r="BV236" s="68">
        <f>IF(main!CH239="","",ROUND(main!CH239*100,6))</f>
        <v>3.2738100000000001</v>
      </c>
      <c r="BW236" s="68" t="str">
        <f>IF(main!CI239="","",ROUND(main!CI239*100,6))</f>
        <v/>
      </c>
      <c r="BX236" s="68" t="str">
        <f>IF(main!CJ239="","",ROUND(main!CJ239*100,6))</f>
        <v/>
      </c>
      <c r="BY236" s="68" t="str">
        <f>IF(main!CK239="","",ROUND(main!CK239*100,6))</f>
        <v/>
      </c>
      <c r="BZ236" s="68" t="str">
        <f>IF(main!CL239="","",ROUND(main!CL239*100,6))</f>
        <v/>
      </c>
      <c r="CA236" s="68" t="str">
        <f>IF(main!CM239="","",ROUND(main!CM239*100,6))</f>
        <v/>
      </c>
      <c r="CB236" s="68" t="str">
        <f>IF(main!CN239="","",ROUND(main!CN239*100,6))</f>
        <v/>
      </c>
      <c r="CC236" s="68" t="str">
        <f>IF(main!CO239="","",ROUND(main!CO239*100,6))</f>
        <v/>
      </c>
    </row>
    <row r="237" spans="1:81" x14ac:dyDescent="0.25">
      <c r="A237" s="65" t="s">
        <v>400</v>
      </c>
      <c r="B237" s="66" t="str">
        <f>main!C239</f>
        <v>2nd Floor</v>
      </c>
      <c r="C237" s="67">
        <f>main!O239</f>
        <v>1200000</v>
      </c>
      <c r="D237" s="65" t="s">
        <v>111</v>
      </c>
      <c r="E237" s="68" t="str">
        <f t="shared" si="3"/>
        <v/>
      </c>
      <c r="F237" s="68" t="str">
        <f>IF(main!R240="","",ROUND(main!R240*100,6))</f>
        <v/>
      </c>
      <c r="G237" s="68" t="str">
        <f>IF(main!S240="","",ROUND(main!S240*100,6))</f>
        <v/>
      </c>
      <c r="H237" s="68" t="str">
        <f>IF(main!T240="","",ROUND(main!T240*100,6))</f>
        <v/>
      </c>
      <c r="I237" s="68" t="str">
        <f>IF(main!U240="","",ROUND(main!U240*100,6))</f>
        <v/>
      </c>
      <c r="J237" s="68" t="str">
        <f>IF(main!V240="","",ROUND(main!V240*100,6))</f>
        <v/>
      </c>
      <c r="K237" s="68" t="str">
        <f>IF(main!W240="","",ROUND(main!W240*100,6))</f>
        <v/>
      </c>
      <c r="L237" s="68" t="str">
        <f>IF(main!X240="","",ROUND(main!X240*100,6))</f>
        <v/>
      </c>
      <c r="M237" s="68" t="str">
        <f>IF(main!Y240="","",ROUND(main!Y240*100,6))</f>
        <v/>
      </c>
      <c r="N237" s="68" t="str">
        <f>IF(main!Z240="","",ROUND(main!Z240*100,6))</f>
        <v/>
      </c>
      <c r="O237" s="68" t="str">
        <f>IF(main!AA240="","",ROUND(main!AA240*100,6))</f>
        <v/>
      </c>
      <c r="P237" s="68" t="str">
        <f>IF(main!AB240="","",ROUND(main!AB240*100,6))</f>
        <v/>
      </c>
      <c r="Q237" s="68" t="str">
        <f>IF(main!AC240="","",ROUND(main!AC240*100,6))</f>
        <v/>
      </c>
      <c r="R237" s="68" t="str">
        <f>IF(main!AD240="","",ROUND(main!AD240*100,6))</f>
        <v/>
      </c>
      <c r="S237" s="68" t="str">
        <f>IF(main!AE240="","",ROUND(main!AE240*100,6))</f>
        <v/>
      </c>
      <c r="T237" s="68" t="str">
        <f>IF(main!AF240="","",ROUND(main!AF240*100,6))</f>
        <v/>
      </c>
      <c r="U237" s="68" t="str">
        <f>IF(main!AG240="","",ROUND(main!AG240*100,6))</f>
        <v/>
      </c>
      <c r="V237" s="68" t="str">
        <f>IF(main!AH240="","",ROUND(main!AH240*100,6))</f>
        <v/>
      </c>
      <c r="W237" s="68" t="str">
        <f>IF(main!AI240="","",ROUND(main!AI240*100,6))</f>
        <v/>
      </c>
      <c r="X237" s="68" t="str">
        <f>IF(main!AJ240="","",ROUND(main!AJ240*100,6))</f>
        <v/>
      </c>
      <c r="Y237" s="68" t="str">
        <f>IF(main!AK240="","",ROUND(main!AK240*100,6))</f>
        <v/>
      </c>
      <c r="Z237" s="68" t="str">
        <f>IF(main!AL240="","",ROUND(main!AL240*100,6))</f>
        <v/>
      </c>
      <c r="AA237" s="68" t="str">
        <f>IF(main!AM240="","",ROUND(main!AM240*100,6))</f>
        <v/>
      </c>
      <c r="AB237" s="68" t="str">
        <f>IF(main!AN240="","",ROUND(main!AN240*100,6))</f>
        <v/>
      </c>
      <c r="AC237" s="68" t="str">
        <f>IF(main!AO240="","",ROUND(main!AO240*100,6))</f>
        <v/>
      </c>
      <c r="AD237" s="68" t="str">
        <f>IF(main!AP240="","",ROUND(main!AP240*100,6))</f>
        <v/>
      </c>
      <c r="AE237" s="68" t="str">
        <f>IF(main!AQ240="","",ROUND(main!AQ240*100,6))</f>
        <v/>
      </c>
      <c r="AF237" s="68" t="str">
        <f>IF(main!AR240="","",ROUND(main!AR240*100,6))</f>
        <v/>
      </c>
      <c r="AG237" s="68" t="str">
        <f>IF(main!AS240="","",ROUND(main!AS240*100,6))</f>
        <v/>
      </c>
      <c r="AH237" s="68" t="str">
        <f>IF(main!AT240="","",ROUND(main!AT240*100,6))</f>
        <v/>
      </c>
      <c r="AI237" s="68" t="str">
        <f>IF(main!AU240="","",ROUND(main!AU240*100,6))</f>
        <v/>
      </c>
      <c r="AJ237" s="68" t="str">
        <f>IF(main!AV240="","",ROUND(main!AV240*100,6))</f>
        <v/>
      </c>
      <c r="AK237" s="68" t="str">
        <f>IF(main!AW240="","",ROUND(main!AW240*100,6))</f>
        <v/>
      </c>
      <c r="AL237" s="68" t="str">
        <f>IF(main!AX240="","",ROUND(main!AX240*100,6))</f>
        <v/>
      </c>
      <c r="AM237" s="68" t="str">
        <f>IF(main!AY240="","",ROUND(main!AY240*100,6))</f>
        <v/>
      </c>
      <c r="AN237" s="68" t="str">
        <f>IF(main!AZ240="","",ROUND(main!AZ240*100,6))</f>
        <v/>
      </c>
      <c r="AO237" s="68" t="str">
        <f>IF(main!BA240="","",ROUND(main!BA240*100,6))</f>
        <v/>
      </c>
      <c r="AP237" s="68" t="str">
        <f>IF(main!BB240="","",ROUND(main!BB240*100,6))</f>
        <v/>
      </c>
      <c r="AQ237" s="68" t="str">
        <f>IF(main!BC240="","",ROUND(main!BC240*100,6))</f>
        <v/>
      </c>
      <c r="AR237" s="68" t="str">
        <f>IF(main!BD240="","",ROUND(main!BD240*100,6))</f>
        <v/>
      </c>
      <c r="AS237" s="68" t="str">
        <f>IF(main!BE240="","",ROUND(main!BE240*100,6))</f>
        <v/>
      </c>
      <c r="AT237" s="68" t="str">
        <f>IF(main!BF240="","",ROUND(main!BF240*100,6))</f>
        <v/>
      </c>
      <c r="AU237" s="68" t="str">
        <f>IF(main!BG240="","",ROUND(main!BG240*100,6))</f>
        <v/>
      </c>
      <c r="AV237" s="68" t="str">
        <f>IF(main!BH240="","",ROUND(main!BH240*100,6))</f>
        <v/>
      </c>
      <c r="AW237" s="68" t="str">
        <f>IF(main!BI240="","",ROUND(main!BI240*100,6))</f>
        <v/>
      </c>
      <c r="AX237" s="68" t="str">
        <f>IF(main!BJ240="","",ROUND(main!BJ240*100,6))</f>
        <v/>
      </c>
      <c r="AY237" s="68" t="str">
        <f>IF(main!BK240="","",ROUND(main!BK240*100,6))</f>
        <v/>
      </c>
      <c r="AZ237" s="68" t="str">
        <f>IF(main!BL240="","",ROUND(main!BL240*100,6))</f>
        <v/>
      </c>
      <c r="BA237" s="68" t="str">
        <f>IF(main!BM240="","",ROUND(main!BM240*100,6))</f>
        <v/>
      </c>
      <c r="BB237" s="68" t="str">
        <f>IF(main!BN240="","",ROUND(main!BN240*100,6))</f>
        <v/>
      </c>
      <c r="BC237" s="68" t="str">
        <f>IF(main!BO240="","",ROUND(main!BO240*100,6))</f>
        <v/>
      </c>
      <c r="BD237" s="68" t="str">
        <f>IF(main!BP240="","",ROUND(main!BP240*100,6))</f>
        <v/>
      </c>
      <c r="BE237" s="68" t="str">
        <f>IF(main!BQ240="","",ROUND(main!BQ240*100,6))</f>
        <v/>
      </c>
      <c r="BF237" s="68" t="str">
        <f>IF(main!BR240="","",ROUND(main!BR240*100,6))</f>
        <v/>
      </c>
      <c r="BG237" s="68" t="str">
        <f>IF(main!BS240="","",ROUND(main!BS240*100,6))</f>
        <v/>
      </c>
      <c r="BH237" s="68" t="str">
        <f>IF(main!BT240="","",ROUND(main!BT240*100,6))</f>
        <v/>
      </c>
      <c r="BI237" s="68" t="str">
        <f>IF(main!BU240="","",ROUND(main!BU240*100,6))</f>
        <v/>
      </c>
      <c r="BJ237" s="68" t="str">
        <f>IF(main!BV240="","",ROUND(main!BV240*100,6))</f>
        <v/>
      </c>
      <c r="BK237" s="68" t="str">
        <f>IF(main!BW240="","",ROUND(main!BW240*100,6))</f>
        <v/>
      </c>
      <c r="BL237" s="68" t="str">
        <f>IF(main!BX240="","",ROUND(main!BX240*100,6))</f>
        <v/>
      </c>
      <c r="BM237" s="68" t="str">
        <f>IF(main!BY240="","",ROUND(main!BY240*100,6))</f>
        <v/>
      </c>
      <c r="BN237" s="68" t="str">
        <f>IF(main!BZ240="","",ROUND(main!BZ240*100,6))</f>
        <v/>
      </c>
      <c r="BO237" s="68" t="str">
        <f>IF(main!CA240="","",ROUND(main!CA240*100,6))</f>
        <v/>
      </c>
      <c r="BP237" s="68" t="str">
        <f>IF(main!CB240="","",ROUND(main!CB240*100,6))</f>
        <v/>
      </c>
      <c r="BQ237" s="68" t="str">
        <f>IF(main!CC240="","",ROUND(main!CC240*100,6))</f>
        <v/>
      </c>
      <c r="BR237" s="68" t="str">
        <f>IF(main!CD240="","",ROUND(main!CD240*100,6))</f>
        <v/>
      </c>
      <c r="BS237" s="68" t="str">
        <f>IF(main!CE240="","",ROUND(main!CE240*100,6))</f>
        <v/>
      </c>
      <c r="BT237" s="68" t="str">
        <f>IF(main!CF240="","",ROUND(main!CF240*100,6))</f>
        <v/>
      </c>
      <c r="BU237" s="68" t="str">
        <f>IF(main!CG240="","",ROUND(main!CG240*100,6))</f>
        <v/>
      </c>
      <c r="BV237" s="68" t="str">
        <f>IF(main!CH240="","",ROUND(main!CH240*100,6))</f>
        <v/>
      </c>
      <c r="BW237" s="68" t="str">
        <f>IF(main!CI240="","",ROUND(main!CI240*100,6))</f>
        <v/>
      </c>
      <c r="BX237" s="68" t="str">
        <f>IF(main!CJ240="","",ROUND(main!CJ240*100,6))</f>
        <v/>
      </c>
      <c r="BY237" s="68" t="str">
        <f>IF(main!CK240="","",ROUND(main!CK240*100,6))</f>
        <v/>
      </c>
      <c r="BZ237" s="68" t="str">
        <f>IF(main!CL240="","",ROUND(main!CL240*100,6))</f>
        <v/>
      </c>
      <c r="CA237" s="68" t="str">
        <f>IF(main!CM240="","",ROUND(main!CM240*100,6))</f>
        <v/>
      </c>
      <c r="CB237" s="68" t="str">
        <f>IF(main!CN240="","",ROUND(main!CN240*100,6))</f>
        <v/>
      </c>
      <c r="CC237" s="68" t="str">
        <f>IF(main!CO240="","",ROUND(main!CO240*100,6))</f>
        <v/>
      </c>
    </row>
    <row r="238" spans="1:81" x14ac:dyDescent="0.25">
      <c r="A238" s="65" t="s">
        <v>401</v>
      </c>
      <c r="B238" s="66" t="str">
        <f>main!C241</f>
        <v>Wall | Wall Fn.</v>
      </c>
      <c r="C238" s="67">
        <f>main!O241</f>
        <v>300000</v>
      </c>
      <c r="D238" s="65" t="s">
        <v>110</v>
      </c>
      <c r="E238" s="68">
        <f t="shared" si="3"/>
        <v>100</v>
      </c>
      <c r="F238" s="68" t="str">
        <f>IF(main!R241="","",ROUND(main!R241*100,6))</f>
        <v/>
      </c>
      <c r="G238" s="68" t="str">
        <f>IF(main!S241="","",ROUND(main!S241*100,6))</f>
        <v/>
      </c>
      <c r="H238" s="68" t="str">
        <f>IF(main!T241="","",ROUND(main!T241*100,6))</f>
        <v/>
      </c>
      <c r="I238" s="68" t="str">
        <f>IF(main!U241="","",ROUND(main!U241*100,6))</f>
        <v/>
      </c>
      <c r="J238" s="68" t="str">
        <f>IF(main!V241="","",ROUND(main!V241*100,6))</f>
        <v/>
      </c>
      <c r="K238" s="68" t="str">
        <f>IF(main!W241="","",ROUND(main!W241*100,6))</f>
        <v/>
      </c>
      <c r="L238" s="68" t="str">
        <f>IF(main!X241="","",ROUND(main!X241*100,6))</f>
        <v/>
      </c>
      <c r="M238" s="68" t="str">
        <f>IF(main!Y241="","",ROUND(main!Y241*100,6))</f>
        <v/>
      </c>
      <c r="N238" s="68" t="str">
        <f>IF(main!Z241="","",ROUND(main!Z241*100,6))</f>
        <v/>
      </c>
      <c r="O238" s="68" t="str">
        <f>IF(main!AA241="","",ROUND(main!AA241*100,6))</f>
        <v/>
      </c>
      <c r="P238" s="68" t="str">
        <f>IF(main!AB241="","",ROUND(main!AB241*100,6))</f>
        <v/>
      </c>
      <c r="Q238" s="68" t="str">
        <f>IF(main!AC241="","",ROUND(main!AC241*100,6))</f>
        <v/>
      </c>
      <c r="R238" s="68" t="str">
        <f>IF(main!AD241="","",ROUND(main!AD241*100,6))</f>
        <v/>
      </c>
      <c r="S238" s="68" t="str">
        <f>IF(main!AE241="","",ROUND(main!AE241*100,6))</f>
        <v/>
      </c>
      <c r="T238" s="68" t="str">
        <f>IF(main!AF241="","",ROUND(main!AF241*100,6))</f>
        <v/>
      </c>
      <c r="U238" s="68" t="str">
        <f>IF(main!AG241="","",ROUND(main!AG241*100,6))</f>
        <v/>
      </c>
      <c r="V238" s="68" t="str">
        <f>IF(main!AH241="","",ROUND(main!AH241*100,6))</f>
        <v/>
      </c>
      <c r="W238" s="68" t="str">
        <f>IF(main!AI241="","",ROUND(main!AI241*100,6))</f>
        <v/>
      </c>
      <c r="X238" s="68" t="str">
        <f>IF(main!AJ241="","",ROUND(main!AJ241*100,6))</f>
        <v/>
      </c>
      <c r="Y238" s="68" t="str">
        <f>IF(main!AK241="","",ROUND(main!AK241*100,6))</f>
        <v/>
      </c>
      <c r="Z238" s="68" t="str">
        <f>IF(main!AL241="","",ROUND(main!AL241*100,6))</f>
        <v/>
      </c>
      <c r="AA238" s="68" t="str">
        <f>IF(main!AM241="","",ROUND(main!AM241*100,6))</f>
        <v/>
      </c>
      <c r="AB238" s="68" t="str">
        <f>IF(main!AN241="","",ROUND(main!AN241*100,6))</f>
        <v/>
      </c>
      <c r="AC238" s="68" t="str">
        <f>IF(main!AO241="","",ROUND(main!AO241*100,6))</f>
        <v/>
      </c>
      <c r="AD238" s="68" t="str">
        <f>IF(main!AP241="","",ROUND(main!AP241*100,6))</f>
        <v/>
      </c>
      <c r="AE238" s="68" t="str">
        <f>IF(main!AQ241="","",ROUND(main!AQ241*100,6))</f>
        <v/>
      </c>
      <c r="AF238" s="68" t="str">
        <f>IF(main!AR241="","",ROUND(main!AR241*100,6))</f>
        <v/>
      </c>
      <c r="AG238" s="68" t="str">
        <f>IF(main!AS241="","",ROUND(main!AS241*100,6))</f>
        <v/>
      </c>
      <c r="AH238" s="68" t="str">
        <f>IF(main!AT241="","",ROUND(main!AT241*100,6))</f>
        <v/>
      </c>
      <c r="AI238" s="68" t="str">
        <f>IF(main!AU241="","",ROUND(main!AU241*100,6))</f>
        <v/>
      </c>
      <c r="AJ238" s="68" t="str">
        <f>IF(main!AV241="","",ROUND(main!AV241*100,6))</f>
        <v/>
      </c>
      <c r="AK238" s="68" t="str">
        <f>IF(main!AW241="","",ROUND(main!AW241*100,6))</f>
        <v/>
      </c>
      <c r="AL238" s="68" t="str">
        <f>IF(main!AX241="","",ROUND(main!AX241*100,6))</f>
        <v/>
      </c>
      <c r="AM238" s="68" t="str">
        <f>IF(main!AY241="","",ROUND(main!AY241*100,6))</f>
        <v/>
      </c>
      <c r="AN238" s="68" t="str">
        <f>IF(main!AZ241="","",ROUND(main!AZ241*100,6))</f>
        <v/>
      </c>
      <c r="AO238" s="68" t="str">
        <f>IF(main!BA241="","",ROUND(main!BA241*100,6))</f>
        <v/>
      </c>
      <c r="AP238" s="68" t="str">
        <f>IF(main!BB241="","",ROUND(main!BB241*100,6))</f>
        <v/>
      </c>
      <c r="AQ238" s="68" t="str">
        <f>IF(main!BC241="","",ROUND(main!BC241*100,6))</f>
        <v/>
      </c>
      <c r="AR238" s="68" t="str">
        <f>IF(main!BD241="","",ROUND(main!BD241*100,6))</f>
        <v/>
      </c>
      <c r="AS238" s="68" t="str">
        <f>IF(main!BE241="","",ROUND(main!BE241*100,6))</f>
        <v/>
      </c>
      <c r="AT238" s="68" t="str">
        <f>IF(main!BF241="","",ROUND(main!BF241*100,6))</f>
        <v/>
      </c>
      <c r="AU238" s="68" t="str">
        <f>IF(main!BG241="","",ROUND(main!BG241*100,6))</f>
        <v/>
      </c>
      <c r="AV238" s="68" t="str">
        <f>IF(main!BH241="","",ROUND(main!BH241*100,6))</f>
        <v/>
      </c>
      <c r="AW238" s="68" t="str">
        <f>IF(main!BI241="","",ROUND(main!BI241*100,6))</f>
        <v/>
      </c>
      <c r="AX238" s="68">
        <f>IF(main!BJ241="","",ROUND(main!BJ241*100,6))</f>
        <v>1.587302</v>
      </c>
      <c r="AY238" s="68">
        <f>IF(main!BK241="","",ROUND(main!BK241*100,6))</f>
        <v>11.111110999999999</v>
      </c>
      <c r="AZ238" s="68">
        <f>IF(main!BL241="","",ROUND(main!BL241*100,6))</f>
        <v>11.111110999999999</v>
      </c>
      <c r="BA238" s="68">
        <f>IF(main!BM241="","",ROUND(main!BM241*100,6))</f>
        <v>9.5238099999999992</v>
      </c>
      <c r="BB238" s="68" t="str">
        <f>IF(main!BN241="","",ROUND(main!BN241*100,6))</f>
        <v/>
      </c>
      <c r="BC238" s="68" t="str">
        <f>IF(main!BO241="","",ROUND(main!BO241*100,6))</f>
        <v/>
      </c>
      <c r="BD238" s="68">
        <f>IF(main!BP241="","",ROUND(main!BP241*100,6))</f>
        <v>6.4102560000000004</v>
      </c>
      <c r="BE238" s="68">
        <f>IF(main!BQ241="","",ROUND(main!BQ241*100,6))</f>
        <v>8.9743589999999998</v>
      </c>
      <c r="BF238" s="68">
        <f>IF(main!BR241="","",ROUND(main!BR241*100,6))</f>
        <v>8.9743589999999998</v>
      </c>
      <c r="BG238" s="68">
        <f>IF(main!BS241="","",ROUND(main!BS241*100,6))</f>
        <v>8.9743589999999998</v>
      </c>
      <c r="BH238" s="68">
        <f>IF(main!BT241="","",ROUND(main!BT241*100,6))</f>
        <v>6.4102560000000004</v>
      </c>
      <c r="BI238" s="68">
        <f>IF(main!BU241="","",ROUND(main!BU241*100,6))</f>
        <v>8.9743589999999998</v>
      </c>
      <c r="BJ238" s="68">
        <f>IF(main!BV241="","",ROUND(main!BV241*100,6))</f>
        <v>8.9743589999999998</v>
      </c>
      <c r="BK238" s="68">
        <f>IF(main!BW241="","",ROUND(main!BW241*100,6))</f>
        <v>8.9743589999999998</v>
      </c>
      <c r="BL238" s="68" t="str">
        <f>IF(main!BX241="","",ROUND(main!BX241*100,6))</f>
        <v/>
      </c>
      <c r="BM238" s="68" t="str">
        <f>IF(main!BY241="","",ROUND(main!BY241*100,6))</f>
        <v/>
      </c>
      <c r="BN238" s="68" t="str">
        <f>IF(main!BZ241="","",ROUND(main!BZ241*100,6))</f>
        <v/>
      </c>
      <c r="BO238" s="68" t="str">
        <f>IF(main!CA241="","",ROUND(main!CA241*100,6))</f>
        <v/>
      </c>
      <c r="BP238" s="68" t="str">
        <f>IF(main!CB241="","",ROUND(main!CB241*100,6))</f>
        <v/>
      </c>
      <c r="BQ238" s="68" t="str">
        <f>IF(main!CC241="","",ROUND(main!CC241*100,6))</f>
        <v/>
      </c>
      <c r="BR238" s="68" t="str">
        <f>IF(main!CD241="","",ROUND(main!CD241*100,6))</f>
        <v/>
      </c>
      <c r="BS238" s="68" t="str">
        <f>IF(main!CE241="","",ROUND(main!CE241*100,6))</f>
        <v/>
      </c>
      <c r="BT238" s="68" t="str">
        <f>IF(main!CF241="","",ROUND(main!CF241*100,6))</f>
        <v/>
      </c>
      <c r="BU238" s="68" t="str">
        <f>IF(main!CG241="","",ROUND(main!CG241*100,6))</f>
        <v/>
      </c>
      <c r="BV238" s="68" t="str">
        <f>IF(main!CH241="","",ROUND(main!CH241*100,6))</f>
        <v/>
      </c>
      <c r="BW238" s="68" t="str">
        <f>IF(main!CI241="","",ROUND(main!CI241*100,6))</f>
        <v/>
      </c>
      <c r="BX238" s="68" t="str">
        <f>IF(main!CJ241="","",ROUND(main!CJ241*100,6))</f>
        <v/>
      </c>
      <c r="BY238" s="68" t="str">
        <f>IF(main!CK241="","",ROUND(main!CK241*100,6))</f>
        <v/>
      </c>
      <c r="BZ238" s="68" t="str">
        <f>IF(main!CL241="","",ROUND(main!CL241*100,6))</f>
        <v/>
      </c>
      <c r="CA238" s="68" t="str">
        <f>IF(main!CM241="","",ROUND(main!CM241*100,6))</f>
        <v/>
      </c>
      <c r="CB238" s="68" t="str">
        <f>IF(main!CN241="","",ROUND(main!CN241*100,6))</f>
        <v/>
      </c>
      <c r="CC238" s="68" t="str">
        <f>IF(main!CO241="","",ROUND(main!CO241*100,6))</f>
        <v/>
      </c>
    </row>
    <row r="239" spans="1:81" x14ac:dyDescent="0.25">
      <c r="A239" s="65" t="s">
        <v>401</v>
      </c>
      <c r="B239" s="66" t="str">
        <f>main!C241</f>
        <v>Wall | Wall Fn.</v>
      </c>
      <c r="C239" s="67">
        <f>main!O241</f>
        <v>300000</v>
      </c>
      <c r="D239" s="65" t="s">
        <v>111</v>
      </c>
      <c r="E239" s="68" t="str">
        <f t="shared" si="3"/>
        <v/>
      </c>
      <c r="F239" s="68" t="str">
        <f>IF(main!R242="","",ROUND(main!R242*100,6))</f>
        <v/>
      </c>
      <c r="G239" s="68" t="str">
        <f>IF(main!S242="","",ROUND(main!S242*100,6))</f>
        <v/>
      </c>
      <c r="H239" s="68" t="str">
        <f>IF(main!T242="","",ROUND(main!T242*100,6))</f>
        <v/>
      </c>
      <c r="I239" s="68" t="str">
        <f>IF(main!U242="","",ROUND(main!U242*100,6))</f>
        <v/>
      </c>
      <c r="J239" s="68" t="str">
        <f>IF(main!V242="","",ROUND(main!V242*100,6))</f>
        <v/>
      </c>
      <c r="K239" s="68" t="str">
        <f>IF(main!W242="","",ROUND(main!W242*100,6))</f>
        <v/>
      </c>
      <c r="L239" s="68" t="str">
        <f>IF(main!X242="","",ROUND(main!X242*100,6))</f>
        <v/>
      </c>
      <c r="M239" s="68" t="str">
        <f>IF(main!Y242="","",ROUND(main!Y242*100,6))</f>
        <v/>
      </c>
      <c r="N239" s="68" t="str">
        <f>IF(main!Z242="","",ROUND(main!Z242*100,6))</f>
        <v/>
      </c>
      <c r="O239" s="68" t="str">
        <f>IF(main!AA242="","",ROUND(main!AA242*100,6))</f>
        <v/>
      </c>
      <c r="P239" s="68" t="str">
        <f>IF(main!AB242="","",ROUND(main!AB242*100,6))</f>
        <v/>
      </c>
      <c r="Q239" s="68" t="str">
        <f>IF(main!AC242="","",ROUND(main!AC242*100,6))</f>
        <v/>
      </c>
      <c r="R239" s="68" t="str">
        <f>IF(main!AD242="","",ROUND(main!AD242*100,6))</f>
        <v/>
      </c>
      <c r="S239" s="68" t="str">
        <f>IF(main!AE242="","",ROUND(main!AE242*100,6))</f>
        <v/>
      </c>
      <c r="T239" s="68" t="str">
        <f>IF(main!AF242="","",ROUND(main!AF242*100,6))</f>
        <v/>
      </c>
      <c r="U239" s="68" t="str">
        <f>IF(main!AG242="","",ROUND(main!AG242*100,6))</f>
        <v/>
      </c>
      <c r="V239" s="68" t="str">
        <f>IF(main!AH242="","",ROUND(main!AH242*100,6))</f>
        <v/>
      </c>
      <c r="W239" s="68" t="str">
        <f>IF(main!AI242="","",ROUND(main!AI242*100,6))</f>
        <v/>
      </c>
      <c r="X239" s="68" t="str">
        <f>IF(main!AJ242="","",ROUND(main!AJ242*100,6))</f>
        <v/>
      </c>
      <c r="Y239" s="68" t="str">
        <f>IF(main!AK242="","",ROUND(main!AK242*100,6))</f>
        <v/>
      </c>
      <c r="Z239" s="68" t="str">
        <f>IF(main!AL242="","",ROUND(main!AL242*100,6))</f>
        <v/>
      </c>
      <c r="AA239" s="68" t="str">
        <f>IF(main!AM242="","",ROUND(main!AM242*100,6))</f>
        <v/>
      </c>
      <c r="AB239" s="68" t="str">
        <f>IF(main!AN242="","",ROUND(main!AN242*100,6))</f>
        <v/>
      </c>
      <c r="AC239" s="68" t="str">
        <f>IF(main!AO242="","",ROUND(main!AO242*100,6))</f>
        <v/>
      </c>
      <c r="AD239" s="68" t="str">
        <f>IF(main!AP242="","",ROUND(main!AP242*100,6))</f>
        <v/>
      </c>
      <c r="AE239" s="68" t="str">
        <f>IF(main!AQ242="","",ROUND(main!AQ242*100,6))</f>
        <v/>
      </c>
      <c r="AF239" s="68" t="str">
        <f>IF(main!AR242="","",ROUND(main!AR242*100,6))</f>
        <v/>
      </c>
      <c r="AG239" s="68" t="str">
        <f>IF(main!AS242="","",ROUND(main!AS242*100,6))</f>
        <v/>
      </c>
      <c r="AH239" s="68" t="str">
        <f>IF(main!AT242="","",ROUND(main!AT242*100,6))</f>
        <v/>
      </c>
      <c r="AI239" s="68" t="str">
        <f>IF(main!AU242="","",ROUND(main!AU242*100,6))</f>
        <v/>
      </c>
      <c r="AJ239" s="68" t="str">
        <f>IF(main!AV242="","",ROUND(main!AV242*100,6))</f>
        <v/>
      </c>
      <c r="AK239" s="68" t="str">
        <f>IF(main!AW242="","",ROUND(main!AW242*100,6))</f>
        <v/>
      </c>
      <c r="AL239" s="68" t="str">
        <f>IF(main!AX242="","",ROUND(main!AX242*100,6))</f>
        <v/>
      </c>
      <c r="AM239" s="68" t="str">
        <f>IF(main!AY242="","",ROUND(main!AY242*100,6))</f>
        <v/>
      </c>
      <c r="AN239" s="68" t="str">
        <f>IF(main!AZ242="","",ROUND(main!AZ242*100,6))</f>
        <v/>
      </c>
      <c r="AO239" s="68" t="str">
        <f>IF(main!BA242="","",ROUND(main!BA242*100,6))</f>
        <v/>
      </c>
      <c r="AP239" s="68" t="str">
        <f>IF(main!BB242="","",ROUND(main!BB242*100,6))</f>
        <v/>
      </c>
      <c r="AQ239" s="68" t="str">
        <f>IF(main!BC242="","",ROUND(main!BC242*100,6))</f>
        <v/>
      </c>
      <c r="AR239" s="68" t="str">
        <f>IF(main!BD242="","",ROUND(main!BD242*100,6))</f>
        <v/>
      </c>
      <c r="AS239" s="68" t="str">
        <f>IF(main!BE242="","",ROUND(main!BE242*100,6))</f>
        <v/>
      </c>
      <c r="AT239" s="68" t="str">
        <f>IF(main!BF242="","",ROUND(main!BF242*100,6))</f>
        <v/>
      </c>
      <c r="AU239" s="68" t="str">
        <f>IF(main!BG242="","",ROUND(main!BG242*100,6))</f>
        <v/>
      </c>
      <c r="AV239" s="68" t="str">
        <f>IF(main!BH242="","",ROUND(main!BH242*100,6))</f>
        <v/>
      </c>
      <c r="AW239" s="68" t="str">
        <f>IF(main!BI242="","",ROUND(main!BI242*100,6))</f>
        <v/>
      </c>
      <c r="AX239" s="68" t="str">
        <f>IF(main!BJ242="","",ROUND(main!BJ242*100,6))</f>
        <v/>
      </c>
      <c r="AY239" s="68" t="str">
        <f>IF(main!BK242="","",ROUND(main!BK242*100,6))</f>
        <v/>
      </c>
      <c r="AZ239" s="68" t="str">
        <f>IF(main!BL242="","",ROUND(main!BL242*100,6))</f>
        <v/>
      </c>
      <c r="BA239" s="68" t="str">
        <f>IF(main!BM242="","",ROUND(main!BM242*100,6))</f>
        <v/>
      </c>
      <c r="BB239" s="68" t="str">
        <f>IF(main!BN242="","",ROUND(main!BN242*100,6))</f>
        <v/>
      </c>
      <c r="BC239" s="68" t="str">
        <f>IF(main!BO242="","",ROUND(main!BO242*100,6))</f>
        <v/>
      </c>
      <c r="BD239" s="68" t="str">
        <f>IF(main!BP242="","",ROUND(main!BP242*100,6))</f>
        <v/>
      </c>
      <c r="BE239" s="68" t="str">
        <f>IF(main!BQ242="","",ROUND(main!BQ242*100,6))</f>
        <v/>
      </c>
      <c r="BF239" s="68" t="str">
        <f>IF(main!BR242="","",ROUND(main!BR242*100,6))</f>
        <v/>
      </c>
      <c r="BG239" s="68" t="str">
        <f>IF(main!BS242="","",ROUND(main!BS242*100,6))</f>
        <v/>
      </c>
      <c r="BH239" s="68" t="str">
        <f>IF(main!BT242="","",ROUND(main!BT242*100,6))</f>
        <v/>
      </c>
      <c r="BI239" s="68" t="str">
        <f>IF(main!BU242="","",ROUND(main!BU242*100,6))</f>
        <v/>
      </c>
      <c r="BJ239" s="68" t="str">
        <f>IF(main!BV242="","",ROUND(main!BV242*100,6))</f>
        <v/>
      </c>
      <c r="BK239" s="68" t="str">
        <f>IF(main!BW242="","",ROUND(main!BW242*100,6))</f>
        <v/>
      </c>
      <c r="BL239" s="68" t="str">
        <f>IF(main!BX242="","",ROUND(main!BX242*100,6))</f>
        <v/>
      </c>
      <c r="BM239" s="68" t="str">
        <f>IF(main!BY242="","",ROUND(main!BY242*100,6))</f>
        <v/>
      </c>
      <c r="BN239" s="68" t="str">
        <f>IF(main!BZ242="","",ROUND(main!BZ242*100,6))</f>
        <v/>
      </c>
      <c r="BO239" s="68" t="str">
        <f>IF(main!CA242="","",ROUND(main!CA242*100,6))</f>
        <v/>
      </c>
      <c r="BP239" s="68" t="str">
        <f>IF(main!CB242="","",ROUND(main!CB242*100,6))</f>
        <v/>
      </c>
      <c r="BQ239" s="68" t="str">
        <f>IF(main!CC242="","",ROUND(main!CC242*100,6))</f>
        <v/>
      </c>
      <c r="BR239" s="68" t="str">
        <f>IF(main!CD242="","",ROUND(main!CD242*100,6))</f>
        <v/>
      </c>
      <c r="BS239" s="68" t="str">
        <f>IF(main!CE242="","",ROUND(main!CE242*100,6))</f>
        <v/>
      </c>
      <c r="BT239" s="68" t="str">
        <f>IF(main!CF242="","",ROUND(main!CF242*100,6))</f>
        <v/>
      </c>
      <c r="BU239" s="68" t="str">
        <f>IF(main!CG242="","",ROUND(main!CG242*100,6))</f>
        <v/>
      </c>
      <c r="BV239" s="68" t="str">
        <f>IF(main!CH242="","",ROUND(main!CH242*100,6))</f>
        <v/>
      </c>
      <c r="BW239" s="68" t="str">
        <f>IF(main!CI242="","",ROUND(main!CI242*100,6))</f>
        <v/>
      </c>
      <c r="BX239" s="68" t="str">
        <f>IF(main!CJ242="","",ROUND(main!CJ242*100,6))</f>
        <v/>
      </c>
      <c r="BY239" s="68" t="str">
        <f>IF(main!CK242="","",ROUND(main!CK242*100,6))</f>
        <v/>
      </c>
      <c r="BZ239" s="68" t="str">
        <f>IF(main!CL242="","",ROUND(main!CL242*100,6))</f>
        <v/>
      </c>
      <c r="CA239" s="68" t="str">
        <f>IF(main!CM242="","",ROUND(main!CM242*100,6))</f>
        <v/>
      </c>
      <c r="CB239" s="68" t="str">
        <f>IF(main!CN242="","",ROUND(main!CN242*100,6))</f>
        <v/>
      </c>
      <c r="CC239" s="68" t="str">
        <f>IF(main!CO242="","",ROUND(main!CO242*100,6))</f>
        <v/>
      </c>
    </row>
    <row r="240" spans="1:81" x14ac:dyDescent="0.25">
      <c r="A240" s="65" t="s">
        <v>402</v>
      </c>
      <c r="B240" s="66" t="str">
        <f>main!C243</f>
        <v>งานก่ออิฐมวลเบา ฉาบเรียบ</v>
      </c>
      <c r="C240" s="67">
        <f>main!O243</f>
        <v>100000</v>
      </c>
      <c r="D240" s="65" t="s">
        <v>110</v>
      </c>
      <c r="E240" s="68">
        <f t="shared" si="3"/>
        <v>100</v>
      </c>
      <c r="F240" s="68" t="str">
        <f>IF(main!R243="","",ROUND(main!R243*100,6))</f>
        <v/>
      </c>
      <c r="G240" s="68" t="str">
        <f>IF(main!S243="","",ROUND(main!S243*100,6))</f>
        <v/>
      </c>
      <c r="H240" s="68" t="str">
        <f>IF(main!T243="","",ROUND(main!T243*100,6))</f>
        <v/>
      </c>
      <c r="I240" s="68" t="str">
        <f>IF(main!U243="","",ROUND(main!U243*100,6))</f>
        <v/>
      </c>
      <c r="J240" s="68" t="str">
        <f>IF(main!V243="","",ROUND(main!V243*100,6))</f>
        <v/>
      </c>
      <c r="K240" s="68" t="str">
        <f>IF(main!W243="","",ROUND(main!W243*100,6))</f>
        <v/>
      </c>
      <c r="L240" s="68" t="str">
        <f>IF(main!X243="","",ROUND(main!X243*100,6))</f>
        <v/>
      </c>
      <c r="M240" s="68" t="str">
        <f>IF(main!Y243="","",ROUND(main!Y243*100,6))</f>
        <v/>
      </c>
      <c r="N240" s="68" t="str">
        <f>IF(main!Z243="","",ROUND(main!Z243*100,6))</f>
        <v/>
      </c>
      <c r="O240" s="68" t="str">
        <f>IF(main!AA243="","",ROUND(main!AA243*100,6))</f>
        <v/>
      </c>
      <c r="P240" s="68" t="str">
        <f>IF(main!AB243="","",ROUND(main!AB243*100,6))</f>
        <v/>
      </c>
      <c r="Q240" s="68" t="str">
        <f>IF(main!AC243="","",ROUND(main!AC243*100,6))</f>
        <v/>
      </c>
      <c r="R240" s="68" t="str">
        <f>IF(main!AD243="","",ROUND(main!AD243*100,6))</f>
        <v/>
      </c>
      <c r="S240" s="68" t="str">
        <f>IF(main!AE243="","",ROUND(main!AE243*100,6))</f>
        <v/>
      </c>
      <c r="T240" s="68" t="str">
        <f>IF(main!AF243="","",ROUND(main!AF243*100,6))</f>
        <v/>
      </c>
      <c r="U240" s="68" t="str">
        <f>IF(main!AG243="","",ROUND(main!AG243*100,6))</f>
        <v/>
      </c>
      <c r="V240" s="68" t="str">
        <f>IF(main!AH243="","",ROUND(main!AH243*100,6))</f>
        <v/>
      </c>
      <c r="W240" s="68" t="str">
        <f>IF(main!AI243="","",ROUND(main!AI243*100,6))</f>
        <v/>
      </c>
      <c r="X240" s="68" t="str">
        <f>IF(main!AJ243="","",ROUND(main!AJ243*100,6))</f>
        <v/>
      </c>
      <c r="Y240" s="68" t="str">
        <f>IF(main!AK243="","",ROUND(main!AK243*100,6))</f>
        <v/>
      </c>
      <c r="Z240" s="68" t="str">
        <f>IF(main!AL243="","",ROUND(main!AL243*100,6))</f>
        <v/>
      </c>
      <c r="AA240" s="68" t="str">
        <f>IF(main!AM243="","",ROUND(main!AM243*100,6))</f>
        <v/>
      </c>
      <c r="AB240" s="68" t="str">
        <f>IF(main!AN243="","",ROUND(main!AN243*100,6))</f>
        <v/>
      </c>
      <c r="AC240" s="68" t="str">
        <f>IF(main!AO243="","",ROUND(main!AO243*100,6))</f>
        <v/>
      </c>
      <c r="AD240" s="68" t="str">
        <f>IF(main!AP243="","",ROUND(main!AP243*100,6))</f>
        <v/>
      </c>
      <c r="AE240" s="68" t="str">
        <f>IF(main!AQ243="","",ROUND(main!AQ243*100,6))</f>
        <v/>
      </c>
      <c r="AF240" s="68" t="str">
        <f>IF(main!AR243="","",ROUND(main!AR243*100,6))</f>
        <v/>
      </c>
      <c r="AG240" s="68" t="str">
        <f>IF(main!AS243="","",ROUND(main!AS243*100,6))</f>
        <v/>
      </c>
      <c r="AH240" s="68" t="str">
        <f>IF(main!AT243="","",ROUND(main!AT243*100,6))</f>
        <v/>
      </c>
      <c r="AI240" s="68" t="str">
        <f>IF(main!AU243="","",ROUND(main!AU243*100,6))</f>
        <v/>
      </c>
      <c r="AJ240" s="68" t="str">
        <f>IF(main!AV243="","",ROUND(main!AV243*100,6))</f>
        <v/>
      </c>
      <c r="AK240" s="68" t="str">
        <f>IF(main!AW243="","",ROUND(main!AW243*100,6))</f>
        <v/>
      </c>
      <c r="AL240" s="68" t="str">
        <f>IF(main!AX243="","",ROUND(main!AX243*100,6))</f>
        <v/>
      </c>
      <c r="AM240" s="68" t="str">
        <f>IF(main!AY243="","",ROUND(main!AY243*100,6))</f>
        <v/>
      </c>
      <c r="AN240" s="68" t="str">
        <f>IF(main!AZ243="","",ROUND(main!AZ243*100,6))</f>
        <v/>
      </c>
      <c r="AO240" s="68" t="str">
        <f>IF(main!BA243="","",ROUND(main!BA243*100,6))</f>
        <v/>
      </c>
      <c r="AP240" s="68" t="str">
        <f>IF(main!BB243="","",ROUND(main!BB243*100,6))</f>
        <v/>
      </c>
      <c r="AQ240" s="68" t="str">
        <f>IF(main!BC243="","",ROUND(main!BC243*100,6))</f>
        <v/>
      </c>
      <c r="AR240" s="68" t="str">
        <f>IF(main!BD243="","",ROUND(main!BD243*100,6))</f>
        <v/>
      </c>
      <c r="AS240" s="68" t="str">
        <f>IF(main!BE243="","",ROUND(main!BE243*100,6))</f>
        <v/>
      </c>
      <c r="AT240" s="68" t="str">
        <f>IF(main!BF243="","",ROUND(main!BF243*100,6))</f>
        <v/>
      </c>
      <c r="AU240" s="68" t="str">
        <f>IF(main!BG243="","",ROUND(main!BG243*100,6))</f>
        <v/>
      </c>
      <c r="AV240" s="68" t="str">
        <f>IF(main!BH243="","",ROUND(main!BH243*100,6))</f>
        <v/>
      </c>
      <c r="AW240" s="68" t="str">
        <f>IF(main!BI243="","",ROUND(main!BI243*100,6))</f>
        <v/>
      </c>
      <c r="AX240" s="68" t="str">
        <f>IF(main!BJ243="","",ROUND(main!BJ243*100,6))</f>
        <v/>
      </c>
      <c r="AY240" s="68" t="str">
        <f>IF(main!BK243="","",ROUND(main!BK243*100,6))</f>
        <v/>
      </c>
      <c r="AZ240" s="68" t="str">
        <f>IF(main!BL243="","",ROUND(main!BL243*100,6))</f>
        <v/>
      </c>
      <c r="BA240" s="68" t="str">
        <f>IF(main!BM243="","",ROUND(main!BM243*100,6))</f>
        <v/>
      </c>
      <c r="BB240" s="68" t="str">
        <f>IF(main!BN243="","",ROUND(main!BN243*100,6))</f>
        <v/>
      </c>
      <c r="BC240" s="68" t="str">
        <f>IF(main!BO243="","",ROUND(main!BO243*100,6))</f>
        <v/>
      </c>
      <c r="BD240" s="68">
        <f>IF(main!BP243="","",ROUND(main!BP243*100,6))</f>
        <v>19.230768999999999</v>
      </c>
      <c r="BE240" s="68">
        <f>IF(main!BQ243="","",ROUND(main!BQ243*100,6))</f>
        <v>26.923076999999999</v>
      </c>
      <c r="BF240" s="68">
        <f>IF(main!BR243="","",ROUND(main!BR243*100,6))</f>
        <v>26.923076999999999</v>
      </c>
      <c r="BG240" s="68">
        <f>IF(main!BS243="","",ROUND(main!BS243*100,6))</f>
        <v>26.923076999999999</v>
      </c>
      <c r="BH240" s="68" t="str">
        <f>IF(main!BT243="","",ROUND(main!BT243*100,6))</f>
        <v/>
      </c>
      <c r="BI240" s="68" t="str">
        <f>IF(main!BU243="","",ROUND(main!BU243*100,6))</f>
        <v/>
      </c>
      <c r="BJ240" s="68" t="str">
        <f>IF(main!BV243="","",ROUND(main!BV243*100,6))</f>
        <v/>
      </c>
      <c r="BK240" s="68" t="str">
        <f>IF(main!BW243="","",ROUND(main!BW243*100,6))</f>
        <v/>
      </c>
      <c r="BL240" s="68" t="str">
        <f>IF(main!BX243="","",ROUND(main!BX243*100,6))</f>
        <v/>
      </c>
      <c r="BM240" s="68" t="str">
        <f>IF(main!BY243="","",ROUND(main!BY243*100,6))</f>
        <v/>
      </c>
      <c r="BN240" s="68" t="str">
        <f>IF(main!BZ243="","",ROUND(main!BZ243*100,6))</f>
        <v/>
      </c>
      <c r="BO240" s="68" t="str">
        <f>IF(main!CA243="","",ROUND(main!CA243*100,6))</f>
        <v/>
      </c>
      <c r="BP240" s="68" t="str">
        <f>IF(main!CB243="","",ROUND(main!CB243*100,6))</f>
        <v/>
      </c>
      <c r="BQ240" s="68" t="str">
        <f>IF(main!CC243="","",ROUND(main!CC243*100,6))</f>
        <v/>
      </c>
      <c r="BR240" s="68" t="str">
        <f>IF(main!CD243="","",ROUND(main!CD243*100,6))</f>
        <v/>
      </c>
      <c r="BS240" s="68" t="str">
        <f>IF(main!CE243="","",ROUND(main!CE243*100,6))</f>
        <v/>
      </c>
      <c r="BT240" s="68" t="str">
        <f>IF(main!CF243="","",ROUND(main!CF243*100,6))</f>
        <v/>
      </c>
      <c r="BU240" s="68" t="str">
        <f>IF(main!CG243="","",ROUND(main!CG243*100,6))</f>
        <v/>
      </c>
      <c r="BV240" s="68" t="str">
        <f>IF(main!CH243="","",ROUND(main!CH243*100,6))</f>
        <v/>
      </c>
      <c r="BW240" s="68" t="str">
        <f>IF(main!CI243="","",ROUND(main!CI243*100,6))</f>
        <v/>
      </c>
      <c r="BX240" s="68" t="str">
        <f>IF(main!CJ243="","",ROUND(main!CJ243*100,6))</f>
        <v/>
      </c>
      <c r="BY240" s="68" t="str">
        <f>IF(main!CK243="","",ROUND(main!CK243*100,6))</f>
        <v/>
      </c>
      <c r="BZ240" s="68" t="str">
        <f>IF(main!CL243="","",ROUND(main!CL243*100,6))</f>
        <v/>
      </c>
      <c r="CA240" s="68" t="str">
        <f>IF(main!CM243="","",ROUND(main!CM243*100,6))</f>
        <v/>
      </c>
      <c r="CB240" s="68" t="str">
        <f>IF(main!CN243="","",ROUND(main!CN243*100,6))</f>
        <v/>
      </c>
      <c r="CC240" s="68" t="str">
        <f>IF(main!CO243="","",ROUND(main!CO243*100,6))</f>
        <v/>
      </c>
    </row>
    <row r="241" spans="1:81" x14ac:dyDescent="0.25">
      <c r="A241" s="65" t="s">
        <v>402</v>
      </c>
      <c r="B241" s="66" t="str">
        <f>main!C243</f>
        <v>งานก่ออิฐมวลเบา ฉาบเรียบ</v>
      </c>
      <c r="C241" s="67">
        <f>main!O243</f>
        <v>100000</v>
      </c>
      <c r="D241" s="65" t="s">
        <v>111</v>
      </c>
      <c r="E241" s="68" t="str">
        <f t="shared" si="3"/>
        <v/>
      </c>
      <c r="F241" s="68" t="str">
        <f>IF(main!R244="","",ROUND(main!R244*100,6))</f>
        <v/>
      </c>
      <c r="G241" s="68" t="str">
        <f>IF(main!S244="","",ROUND(main!S244*100,6))</f>
        <v/>
      </c>
      <c r="H241" s="68" t="str">
        <f>IF(main!T244="","",ROUND(main!T244*100,6))</f>
        <v/>
      </c>
      <c r="I241" s="68" t="str">
        <f>IF(main!U244="","",ROUND(main!U244*100,6))</f>
        <v/>
      </c>
      <c r="J241" s="68" t="str">
        <f>IF(main!V244="","",ROUND(main!V244*100,6))</f>
        <v/>
      </c>
      <c r="K241" s="68" t="str">
        <f>IF(main!W244="","",ROUND(main!W244*100,6))</f>
        <v/>
      </c>
      <c r="L241" s="68" t="str">
        <f>IF(main!X244="","",ROUND(main!X244*100,6))</f>
        <v/>
      </c>
      <c r="M241" s="68" t="str">
        <f>IF(main!Y244="","",ROUND(main!Y244*100,6))</f>
        <v/>
      </c>
      <c r="N241" s="68" t="str">
        <f>IF(main!Z244="","",ROUND(main!Z244*100,6))</f>
        <v/>
      </c>
      <c r="O241" s="68" t="str">
        <f>IF(main!AA244="","",ROUND(main!AA244*100,6))</f>
        <v/>
      </c>
      <c r="P241" s="68" t="str">
        <f>IF(main!AB244="","",ROUND(main!AB244*100,6))</f>
        <v/>
      </c>
      <c r="Q241" s="68" t="str">
        <f>IF(main!AC244="","",ROUND(main!AC244*100,6))</f>
        <v/>
      </c>
      <c r="R241" s="68" t="str">
        <f>IF(main!AD244="","",ROUND(main!AD244*100,6))</f>
        <v/>
      </c>
      <c r="S241" s="68" t="str">
        <f>IF(main!AE244="","",ROUND(main!AE244*100,6))</f>
        <v/>
      </c>
      <c r="T241" s="68" t="str">
        <f>IF(main!AF244="","",ROUND(main!AF244*100,6))</f>
        <v/>
      </c>
      <c r="U241" s="68" t="str">
        <f>IF(main!AG244="","",ROUND(main!AG244*100,6))</f>
        <v/>
      </c>
      <c r="V241" s="68" t="str">
        <f>IF(main!AH244="","",ROUND(main!AH244*100,6))</f>
        <v/>
      </c>
      <c r="W241" s="68" t="str">
        <f>IF(main!AI244="","",ROUND(main!AI244*100,6))</f>
        <v/>
      </c>
      <c r="X241" s="68" t="str">
        <f>IF(main!AJ244="","",ROUND(main!AJ244*100,6))</f>
        <v/>
      </c>
      <c r="Y241" s="68" t="str">
        <f>IF(main!AK244="","",ROUND(main!AK244*100,6))</f>
        <v/>
      </c>
      <c r="Z241" s="68" t="str">
        <f>IF(main!AL244="","",ROUND(main!AL244*100,6))</f>
        <v/>
      </c>
      <c r="AA241" s="68" t="str">
        <f>IF(main!AM244="","",ROUND(main!AM244*100,6))</f>
        <v/>
      </c>
      <c r="AB241" s="68" t="str">
        <f>IF(main!AN244="","",ROUND(main!AN244*100,6))</f>
        <v/>
      </c>
      <c r="AC241" s="68" t="str">
        <f>IF(main!AO244="","",ROUND(main!AO244*100,6))</f>
        <v/>
      </c>
      <c r="AD241" s="68" t="str">
        <f>IF(main!AP244="","",ROUND(main!AP244*100,6))</f>
        <v/>
      </c>
      <c r="AE241" s="68" t="str">
        <f>IF(main!AQ244="","",ROUND(main!AQ244*100,6))</f>
        <v/>
      </c>
      <c r="AF241" s="68" t="str">
        <f>IF(main!AR244="","",ROUND(main!AR244*100,6))</f>
        <v/>
      </c>
      <c r="AG241" s="68" t="str">
        <f>IF(main!AS244="","",ROUND(main!AS244*100,6))</f>
        <v/>
      </c>
      <c r="AH241" s="68" t="str">
        <f>IF(main!AT244="","",ROUND(main!AT244*100,6))</f>
        <v/>
      </c>
      <c r="AI241" s="68" t="str">
        <f>IF(main!AU244="","",ROUND(main!AU244*100,6))</f>
        <v/>
      </c>
      <c r="AJ241" s="68" t="str">
        <f>IF(main!AV244="","",ROUND(main!AV244*100,6))</f>
        <v/>
      </c>
      <c r="AK241" s="68" t="str">
        <f>IF(main!AW244="","",ROUND(main!AW244*100,6))</f>
        <v/>
      </c>
      <c r="AL241" s="68" t="str">
        <f>IF(main!AX244="","",ROUND(main!AX244*100,6))</f>
        <v/>
      </c>
      <c r="AM241" s="68" t="str">
        <f>IF(main!AY244="","",ROUND(main!AY244*100,6))</f>
        <v/>
      </c>
      <c r="AN241" s="68" t="str">
        <f>IF(main!AZ244="","",ROUND(main!AZ244*100,6))</f>
        <v/>
      </c>
      <c r="AO241" s="68" t="str">
        <f>IF(main!BA244="","",ROUND(main!BA244*100,6))</f>
        <v/>
      </c>
      <c r="AP241" s="68" t="str">
        <f>IF(main!BB244="","",ROUND(main!BB244*100,6))</f>
        <v/>
      </c>
      <c r="AQ241" s="68" t="str">
        <f>IF(main!BC244="","",ROUND(main!BC244*100,6))</f>
        <v/>
      </c>
      <c r="AR241" s="68" t="str">
        <f>IF(main!BD244="","",ROUND(main!BD244*100,6))</f>
        <v/>
      </c>
      <c r="AS241" s="68" t="str">
        <f>IF(main!BE244="","",ROUND(main!BE244*100,6))</f>
        <v/>
      </c>
      <c r="AT241" s="68" t="str">
        <f>IF(main!BF244="","",ROUND(main!BF244*100,6))</f>
        <v/>
      </c>
      <c r="AU241" s="68" t="str">
        <f>IF(main!BG244="","",ROUND(main!BG244*100,6))</f>
        <v/>
      </c>
      <c r="AV241" s="68" t="str">
        <f>IF(main!BH244="","",ROUND(main!BH244*100,6))</f>
        <v/>
      </c>
      <c r="AW241" s="68" t="str">
        <f>IF(main!BI244="","",ROUND(main!BI244*100,6))</f>
        <v/>
      </c>
      <c r="AX241" s="68" t="str">
        <f>IF(main!BJ244="","",ROUND(main!BJ244*100,6))</f>
        <v/>
      </c>
      <c r="AY241" s="68" t="str">
        <f>IF(main!BK244="","",ROUND(main!BK244*100,6))</f>
        <v/>
      </c>
      <c r="AZ241" s="68" t="str">
        <f>IF(main!BL244="","",ROUND(main!BL244*100,6))</f>
        <v/>
      </c>
      <c r="BA241" s="68" t="str">
        <f>IF(main!BM244="","",ROUND(main!BM244*100,6))</f>
        <v/>
      </c>
      <c r="BB241" s="68" t="str">
        <f>IF(main!BN244="","",ROUND(main!BN244*100,6))</f>
        <v/>
      </c>
      <c r="BC241" s="68" t="str">
        <f>IF(main!BO244="","",ROUND(main!BO244*100,6))</f>
        <v/>
      </c>
      <c r="BD241" s="68" t="str">
        <f>IF(main!BP244="","",ROUND(main!BP244*100,6))</f>
        <v/>
      </c>
      <c r="BE241" s="68" t="str">
        <f>IF(main!BQ244="","",ROUND(main!BQ244*100,6))</f>
        <v/>
      </c>
      <c r="BF241" s="68" t="str">
        <f>IF(main!BR244="","",ROUND(main!BR244*100,6))</f>
        <v/>
      </c>
      <c r="BG241" s="68" t="str">
        <f>IF(main!BS244="","",ROUND(main!BS244*100,6))</f>
        <v/>
      </c>
      <c r="BH241" s="68" t="str">
        <f>IF(main!BT244="","",ROUND(main!BT244*100,6))</f>
        <v/>
      </c>
      <c r="BI241" s="68" t="str">
        <f>IF(main!BU244="","",ROUND(main!BU244*100,6))</f>
        <v/>
      </c>
      <c r="BJ241" s="68" t="str">
        <f>IF(main!BV244="","",ROUND(main!BV244*100,6))</f>
        <v/>
      </c>
      <c r="BK241" s="68" t="str">
        <f>IF(main!BW244="","",ROUND(main!BW244*100,6))</f>
        <v/>
      </c>
      <c r="BL241" s="68" t="str">
        <f>IF(main!BX244="","",ROUND(main!BX244*100,6))</f>
        <v/>
      </c>
      <c r="BM241" s="68" t="str">
        <f>IF(main!BY244="","",ROUND(main!BY244*100,6))</f>
        <v/>
      </c>
      <c r="BN241" s="68" t="str">
        <f>IF(main!BZ244="","",ROUND(main!BZ244*100,6))</f>
        <v/>
      </c>
      <c r="BO241" s="68" t="str">
        <f>IF(main!CA244="","",ROUND(main!CA244*100,6))</f>
        <v/>
      </c>
      <c r="BP241" s="68" t="str">
        <f>IF(main!CB244="","",ROUND(main!CB244*100,6))</f>
        <v/>
      </c>
      <c r="BQ241" s="68" t="str">
        <f>IF(main!CC244="","",ROUND(main!CC244*100,6))</f>
        <v/>
      </c>
      <c r="BR241" s="68" t="str">
        <f>IF(main!CD244="","",ROUND(main!CD244*100,6))</f>
        <v/>
      </c>
      <c r="BS241" s="68" t="str">
        <f>IF(main!CE244="","",ROUND(main!CE244*100,6))</f>
        <v/>
      </c>
      <c r="BT241" s="68" t="str">
        <f>IF(main!CF244="","",ROUND(main!CF244*100,6))</f>
        <v/>
      </c>
      <c r="BU241" s="68" t="str">
        <f>IF(main!CG244="","",ROUND(main!CG244*100,6))</f>
        <v/>
      </c>
      <c r="BV241" s="68" t="str">
        <f>IF(main!CH244="","",ROUND(main!CH244*100,6))</f>
        <v/>
      </c>
      <c r="BW241" s="68" t="str">
        <f>IF(main!CI244="","",ROUND(main!CI244*100,6))</f>
        <v/>
      </c>
      <c r="BX241" s="68" t="str">
        <f>IF(main!CJ244="","",ROUND(main!CJ244*100,6))</f>
        <v/>
      </c>
      <c r="BY241" s="68" t="str">
        <f>IF(main!CK244="","",ROUND(main!CK244*100,6))</f>
        <v/>
      </c>
      <c r="BZ241" s="68" t="str">
        <f>IF(main!CL244="","",ROUND(main!CL244*100,6))</f>
        <v/>
      </c>
      <c r="CA241" s="68" t="str">
        <f>IF(main!CM244="","",ROUND(main!CM244*100,6))</f>
        <v/>
      </c>
      <c r="CB241" s="68" t="str">
        <f>IF(main!CN244="","",ROUND(main!CN244*100,6))</f>
        <v/>
      </c>
      <c r="CC241" s="68" t="str">
        <f>IF(main!CO244="","",ROUND(main!CO244*100,6))</f>
        <v/>
      </c>
    </row>
    <row r="242" spans="1:81" x14ac:dyDescent="0.25">
      <c r="A242" s="65" t="s">
        <v>404</v>
      </c>
      <c r="B242" s="66" t="str">
        <f>main!C245</f>
        <v>งานกรุกระเบื้องโมเสค ผนังห้องน้ำ</v>
      </c>
      <c r="C242" s="67">
        <f>main!O245</f>
        <v>100000</v>
      </c>
      <c r="D242" s="65" t="s">
        <v>110</v>
      </c>
      <c r="E242" s="68">
        <f t="shared" si="3"/>
        <v>100</v>
      </c>
      <c r="F242" s="68" t="str">
        <f>IF(main!R245="","",ROUND(main!R245*100,6))</f>
        <v/>
      </c>
      <c r="G242" s="68" t="str">
        <f>IF(main!S245="","",ROUND(main!S245*100,6))</f>
        <v/>
      </c>
      <c r="H242" s="68" t="str">
        <f>IF(main!T245="","",ROUND(main!T245*100,6))</f>
        <v/>
      </c>
      <c r="I242" s="68" t="str">
        <f>IF(main!U245="","",ROUND(main!U245*100,6))</f>
        <v/>
      </c>
      <c r="J242" s="68" t="str">
        <f>IF(main!V245="","",ROUND(main!V245*100,6))</f>
        <v/>
      </c>
      <c r="K242" s="68" t="str">
        <f>IF(main!W245="","",ROUND(main!W245*100,6))</f>
        <v/>
      </c>
      <c r="L242" s="68" t="str">
        <f>IF(main!X245="","",ROUND(main!X245*100,6))</f>
        <v/>
      </c>
      <c r="M242" s="68" t="str">
        <f>IF(main!Y245="","",ROUND(main!Y245*100,6))</f>
        <v/>
      </c>
      <c r="N242" s="68" t="str">
        <f>IF(main!Z245="","",ROUND(main!Z245*100,6))</f>
        <v/>
      </c>
      <c r="O242" s="68" t="str">
        <f>IF(main!AA245="","",ROUND(main!AA245*100,6))</f>
        <v/>
      </c>
      <c r="P242" s="68" t="str">
        <f>IF(main!AB245="","",ROUND(main!AB245*100,6))</f>
        <v/>
      </c>
      <c r="Q242" s="68" t="str">
        <f>IF(main!AC245="","",ROUND(main!AC245*100,6))</f>
        <v/>
      </c>
      <c r="R242" s="68" t="str">
        <f>IF(main!AD245="","",ROUND(main!AD245*100,6))</f>
        <v/>
      </c>
      <c r="S242" s="68" t="str">
        <f>IF(main!AE245="","",ROUND(main!AE245*100,6))</f>
        <v/>
      </c>
      <c r="T242" s="68" t="str">
        <f>IF(main!AF245="","",ROUND(main!AF245*100,6))</f>
        <v/>
      </c>
      <c r="U242" s="68" t="str">
        <f>IF(main!AG245="","",ROUND(main!AG245*100,6))</f>
        <v/>
      </c>
      <c r="V242" s="68" t="str">
        <f>IF(main!AH245="","",ROUND(main!AH245*100,6))</f>
        <v/>
      </c>
      <c r="W242" s="68" t="str">
        <f>IF(main!AI245="","",ROUND(main!AI245*100,6))</f>
        <v/>
      </c>
      <c r="X242" s="68" t="str">
        <f>IF(main!AJ245="","",ROUND(main!AJ245*100,6))</f>
        <v/>
      </c>
      <c r="Y242" s="68" t="str">
        <f>IF(main!AK245="","",ROUND(main!AK245*100,6))</f>
        <v/>
      </c>
      <c r="Z242" s="68" t="str">
        <f>IF(main!AL245="","",ROUND(main!AL245*100,6))</f>
        <v/>
      </c>
      <c r="AA242" s="68" t="str">
        <f>IF(main!AM245="","",ROUND(main!AM245*100,6))</f>
        <v/>
      </c>
      <c r="AB242" s="68" t="str">
        <f>IF(main!AN245="","",ROUND(main!AN245*100,6))</f>
        <v/>
      </c>
      <c r="AC242" s="68" t="str">
        <f>IF(main!AO245="","",ROUND(main!AO245*100,6))</f>
        <v/>
      </c>
      <c r="AD242" s="68" t="str">
        <f>IF(main!AP245="","",ROUND(main!AP245*100,6))</f>
        <v/>
      </c>
      <c r="AE242" s="68" t="str">
        <f>IF(main!AQ245="","",ROUND(main!AQ245*100,6))</f>
        <v/>
      </c>
      <c r="AF242" s="68" t="str">
        <f>IF(main!AR245="","",ROUND(main!AR245*100,6))</f>
        <v/>
      </c>
      <c r="AG242" s="68" t="str">
        <f>IF(main!AS245="","",ROUND(main!AS245*100,6))</f>
        <v/>
      </c>
      <c r="AH242" s="68" t="str">
        <f>IF(main!AT245="","",ROUND(main!AT245*100,6))</f>
        <v/>
      </c>
      <c r="AI242" s="68" t="str">
        <f>IF(main!AU245="","",ROUND(main!AU245*100,6))</f>
        <v/>
      </c>
      <c r="AJ242" s="68" t="str">
        <f>IF(main!AV245="","",ROUND(main!AV245*100,6))</f>
        <v/>
      </c>
      <c r="AK242" s="68" t="str">
        <f>IF(main!AW245="","",ROUND(main!AW245*100,6))</f>
        <v/>
      </c>
      <c r="AL242" s="68" t="str">
        <f>IF(main!AX245="","",ROUND(main!AX245*100,6))</f>
        <v/>
      </c>
      <c r="AM242" s="68" t="str">
        <f>IF(main!AY245="","",ROUND(main!AY245*100,6))</f>
        <v/>
      </c>
      <c r="AN242" s="68" t="str">
        <f>IF(main!AZ245="","",ROUND(main!AZ245*100,6))</f>
        <v/>
      </c>
      <c r="AO242" s="68" t="str">
        <f>IF(main!BA245="","",ROUND(main!BA245*100,6))</f>
        <v/>
      </c>
      <c r="AP242" s="68" t="str">
        <f>IF(main!BB245="","",ROUND(main!BB245*100,6))</f>
        <v/>
      </c>
      <c r="AQ242" s="68" t="str">
        <f>IF(main!BC245="","",ROUND(main!BC245*100,6))</f>
        <v/>
      </c>
      <c r="AR242" s="68" t="str">
        <f>IF(main!BD245="","",ROUND(main!BD245*100,6))</f>
        <v/>
      </c>
      <c r="AS242" s="68" t="str">
        <f>IF(main!BE245="","",ROUND(main!BE245*100,6))</f>
        <v/>
      </c>
      <c r="AT242" s="68" t="str">
        <f>IF(main!BF245="","",ROUND(main!BF245*100,6))</f>
        <v/>
      </c>
      <c r="AU242" s="68" t="str">
        <f>IF(main!BG245="","",ROUND(main!BG245*100,6))</f>
        <v/>
      </c>
      <c r="AV242" s="68" t="str">
        <f>IF(main!BH245="","",ROUND(main!BH245*100,6))</f>
        <v/>
      </c>
      <c r="AW242" s="68" t="str">
        <f>IF(main!BI245="","",ROUND(main!BI245*100,6))</f>
        <v/>
      </c>
      <c r="AX242" s="68" t="str">
        <f>IF(main!BJ245="","",ROUND(main!BJ245*100,6))</f>
        <v/>
      </c>
      <c r="AY242" s="68" t="str">
        <f>IF(main!BK245="","",ROUND(main!BK245*100,6))</f>
        <v/>
      </c>
      <c r="AZ242" s="68" t="str">
        <f>IF(main!BL245="","",ROUND(main!BL245*100,6))</f>
        <v/>
      </c>
      <c r="BA242" s="68" t="str">
        <f>IF(main!BM245="","",ROUND(main!BM245*100,6))</f>
        <v/>
      </c>
      <c r="BB242" s="68" t="str">
        <f>IF(main!BN245="","",ROUND(main!BN245*100,6))</f>
        <v/>
      </c>
      <c r="BC242" s="68" t="str">
        <f>IF(main!BO245="","",ROUND(main!BO245*100,6))</f>
        <v/>
      </c>
      <c r="BD242" s="68" t="str">
        <f>IF(main!BP245="","",ROUND(main!BP245*100,6))</f>
        <v/>
      </c>
      <c r="BE242" s="68" t="str">
        <f>IF(main!BQ245="","",ROUND(main!BQ245*100,6))</f>
        <v/>
      </c>
      <c r="BF242" s="68" t="str">
        <f>IF(main!BR245="","",ROUND(main!BR245*100,6))</f>
        <v/>
      </c>
      <c r="BG242" s="68" t="str">
        <f>IF(main!BS245="","",ROUND(main!BS245*100,6))</f>
        <v/>
      </c>
      <c r="BH242" s="68">
        <f>IF(main!BT245="","",ROUND(main!BT245*100,6))</f>
        <v>19.230768999999999</v>
      </c>
      <c r="BI242" s="68">
        <f>IF(main!BU245="","",ROUND(main!BU245*100,6))</f>
        <v>26.923076999999999</v>
      </c>
      <c r="BJ242" s="68">
        <f>IF(main!BV245="","",ROUND(main!BV245*100,6))</f>
        <v>26.923076999999999</v>
      </c>
      <c r="BK242" s="68">
        <f>IF(main!BW245="","",ROUND(main!BW245*100,6))</f>
        <v>26.923076999999999</v>
      </c>
      <c r="BL242" s="68" t="str">
        <f>IF(main!BX245="","",ROUND(main!BX245*100,6))</f>
        <v/>
      </c>
      <c r="BM242" s="68" t="str">
        <f>IF(main!BY245="","",ROUND(main!BY245*100,6))</f>
        <v/>
      </c>
      <c r="BN242" s="68" t="str">
        <f>IF(main!BZ245="","",ROUND(main!BZ245*100,6))</f>
        <v/>
      </c>
      <c r="BO242" s="68" t="str">
        <f>IF(main!CA245="","",ROUND(main!CA245*100,6))</f>
        <v/>
      </c>
      <c r="BP242" s="68" t="str">
        <f>IF(main!CB245="","",ROUND(main!CB245*100,6))</f>
        <v/>
      </c>
      <c r="BQ242" s="68" t="str">
        <f>IF(main!CC245="","",ROUND(main!CC245*100,6))</f>
        <v/>
      </c>
      <c r="BR242" s="68" t="str">
        <f>IF(main!CD245="","",ROUND(main!CD245*100,6))</f>
        <v/>
      </c>
      <c r="BS242" s="68" t="str">
        <f>IF(main!CE245="","",ROUND(main!CE245*100,6))</f>
        <v/>
      </c>
      <c r="BT242" s="68" t="str">
        <f>IF(main!CF245="","",ROUND(main!CF245*100,6))</f>
        <v/>
      </c>
      <c r="BU242" s="68" t="str">
        <f>IF(main!CG245="","",ROUND(main!CG245*100,6))</f>
        <v/>
      </c>
      <c r="BV242" s="68" t="str">
        <f>IF(main!CH245="","",ROUND(main!CH245*100,6))</f>
        <v/>
      </c>
      <c r="BW242" s="68" t="str">
        <f>IF(main!CI245="","",ROUND(main!CI245*100,6))</f>
        <v/>
      </c>
      <c r="BX242" s="68" t="str">
        <f>IF(main!CJ245="","",ROUND(main!CJ245*100,6))</f>
        <v/>
      </c>
      <c r="BY242" s="68" t="str">
        <f>IF(main!CK245="","",ROUND(main!CK245*100,6))</f>
        <v/>
      </c>
      <c r="BZ242" s="68" t="str">
        <f>IF(main!CL245="","",ROUND(main!CL245*100,6))</f>
        <v/>
      </c>
      <c r="CA242" s="68" t="str">
        <f>IF(main!CM245="","",ROUND(main!CM245*100,6))</f>
        <v/>
      </c>
      <c r="CB242" s="68" t="str">
        <f>IF(main!CN245="","",ROUND(main!CN245*100,6))</f>
        <v/>
      </c>
      <c r="CC242" s="68" t="str">
        <f>IF(main!CO245="","",ROUND(main!CO245*100,6))</f>
        <v/>
      </c>
    </row>
    <row r="243" spans="1:81" x14ac:dyDescent="0.25">
      <c r="A243" s="65" t="s">
        <v>404</v>
      </c>
      <c r="B243" s="66" t="str">
        <f>main!C245</f>
        <v>งานกรุกระเบื้องโมเสค ผนังห้องน้ำ</v>
      </c>
      <c r="C243" s="67">
        <f>main!O245</f>
        <v>100000</v>
      </c>
      <c r="D243" s="65" t="s">
        <v>111</v>
      </c>
      <c r="E243" s="68" t="str">
        <f t="shared" si="3"/>
        <v/>
      </c>
      <c r="F243" s="68" t="str">
        <f>IF(main!R246="","",ROUND(main!R246*100,6))</f>
        <v/>
      </c>
      <c r="G243" s="68" t="str">
        <f>IF(main!S246="","",ROUND(main!S246*100,6))</f>
        <v/>
      </c>
      <c r="H243" s="68" t="str">
        <f>IF(main!T246="","",ROUND(main!T246*100,6))</f>
        <v/>
      </c>
      <c r="I243" s="68" t="str">
        <f>IF(main!U246="","",ROUND(main!U246*100,6))</f>
        <v/>
      </c>
      <c r="J243" s="68" t="str">
        <f>IF(main!V246="","",ROUND(main!V246*100,6))</f>
        <v/>
      </c>
      <c r="K243" s="68" t="str">
        <f>IF(main!W246="","",ROUND(main!W246*100,6))</f>
        <v/>
      </c>
      <c r="L243" s="68" t="str">
        <f>IF(main!X246="","",ROUND(main!X246*100,6))</f>
        <v/>
      </c>
      <c r="M243" s="68" t="str">
        <f>IF(main!Y246="","",ROUND(main!Y246*100,6))</f>
        <v/>
      </c>
      <c r="N243" s="68" t="str">
        <f>IF(main!Z246="","",ROUND(main!Z246*100,6))</f>
        <v/>
      </c>
      <c r="O243" s="68" t="str">
        <f>IF(main!AA246="","",ROUND(main!AA246*100,6))</f>
        <v/>
      </c>
      <c r="P243" s="68" t="str">
        <f>IF(main!AB246="","",ROUND(main!AB246*100,6))</f>
        <v/>
      </c>
      <c r="Q243" s="68" t="str">
        <f>IF(main!AC246="","",ROUND(main!AC246*100,6))</f>
        <v/>
      </c>
      <c r="R243" s="68" t="str">
        <f>IF(main!AD246="","",ROUND(main!AD246*100,6))</f>
        <v/>
      </c>
      <c r="S243" s="68" t="str">
        <f>IF(main!AE246="","",ROUND(main!AE246*100,6))</f>
        <v/>
      </c>
      <c r="T243" s="68" t="str">
        <f>IF(main!AF246="","",ROUND(main!AF246*100,6))</f>
        <v/>
      </c>
      <c r="U243" s="68" t="str">
        <f>IF(main!AG246="","",ROUND(main!AG246*100,6))</f>
        <v/>
      </c>
      <c r="V243" s="68" t="str">
        <f>IF(main!AH246="","",ROUND(main!AH246*100,6))</f>
        <v/>
      </c>
      <c r="W243" s="68" t="str">
        <f>IF(main!AI246="","",ROUND(main!AI246*100,6))</f>
        <v/>
      </c>
      <c r="X243" s="68" t="str">
        <f>IF(main!AJ246="","",ROUND(main!AJ246*100,6))</f>
        <v/>
      </c>
      <c r="Y243" s="68" t="str">
        <f>IF(main!AK246="","",ROUND(main!AK246*100,6))</f>
        <v/>
      </c>
      <c r="Z243" s="68" t="str">
        <f>IF(main!AL246="","",ROUND(main!AL246*100,6))</f>
        <v/>
      </c>
      <c r="AA243" s="68" t="str">
        <f>IF(main!AM246="","",ROUND(main!AM246*100,6))</f>
        <v/>
      </c>
      <c r="AB243" s="68" t="str">
        <f>IF(main!AN246="","",ROUND(main!AN246*100,6))</f>
        <v/>
      </c>
      <c r="AC243" s="68" t="str">
        <f>IF(main!AO246="","",ROUND(main!AO246*100,6))</f>
        <v/>
      </c>
      <c r="AD243" s="68" t="str">
        <f>IF(main!AP246="","",ROUND(main!AP246*100,6))</f>
        <v/>
      </c>
      <c r="AE243" s="68" t="str">
        <f>IF(main!AQ246="","",ROUND(main!AQ246*100,6))</f>
        <v/>
      </c>
      <c r="AF243" s="68" t="str">
        <f>IF(main!AR246="","",ROUND(main!AR246*100,6))</f>
        <v/>
      </c>
      <c r="AG243" s="68" t="str">
        <f>IF(main!AS246="","",ROUND(main!AS246*100,6))</f>
        <v/>
      </c>
      <c r="AH243" s="68" t="str">
        <f>IF(main!AT246="","",ROUND(main!AT246*100,6))</f>
        <v/>
      </c>
      <c r="AI243" s="68" t="str">
        <f>IF(main!AU246="","",ROUND(main!AU246*100,6))</f>
        <v/>
      </c>
      <c r="AJ243" s="68" t="str">
        <f>IF(main!AV246="","",ROUND(main!AV246*100,6))</f>
        <v/>
      </c>
      <c r="AK243" s="68" t="str">
        <f>IF(main!AW246="","",ROUND(main!AW246*100,6))</f>
        <v/>
      </c>
      <c r="AL243" s="68" t="str">
        <f>IF(main!AX246="","",ROUND(main!AX246*100,6))</f>
        <v/>
      </c>
      <c r="AM243" s="68" t="str">
        <f>IF(main!AY246="","",ROUND(main!AY246*100,6))</f>
        <v/>
      </c>
      <c r="AN243" s="68" t="str">
        <f>IF(main!AZ246="","",ROUND(main!AZ246*100,6))</f>
        <v/>
      </c>
      <c r="AO243" s="68" t="str">
        <f>IF(main!BA246="","",ROUND(main!BA246*100,6))</f>
        <v/>
      </c>
      <c r="AP243" s="68" t="str">
        <f>IF(main!BB246="","",ROUND(main!BB246*100,6))</f>
        <v/>
      </c>
      <c r="AQ243" s="68" t="str">
        <f>IF(main!BC246="","",ROUND(main!BC246*100,6))</f>
        <v/>
      </c>
      <c r="AR243" s="68" t="str">
        <f>IF(main!BD246="","",ROUND(main!BD246*100,6))</f>
        <v/>
      </c>
      <c r="AS243" s="68" t="str">
        <f>IF(main!BE246="","",ROUND(main!BE246*100,6))</f>
        <v/>
      </c>
      <c r="AT243" s="68" t="str">
        <f>IF(main!BF246="","",ROUND(main!BF246*100,6))</f>
        <v/>
      </c>
      <c r="AU243" s="68" t="str">
        <f>IF(main!BG246="","",ROUND(main!BG246*100,6))</f>
        <v/>
      </c>
      <c r="AV243" s="68" t="str">
        <f>IF(main!BH246="","",ROUND(main!BH246*100,6))</f>
        <v/>
      </c>
      <c r="AW243" s="68" t="str">
        <f>IF(main!BI246="","",ROUND(main!BI246*100,6))</f>
        <v/>
      </c>
      <c r="AX243" s="68" t="str">
        <f>IF(main!BJ246="","",ROUND(main!BJ246*100,6))</f>
        <v/>
      </c>
      <c r="AY243" s="68" t="str">
        <f>IF(main!BK246="","",ROUND(main!BK246*100,6))</f>
        <v/>
      </c>
      <c r="AZ243" s="68" t="str">
        <f>IF(main!BL246="","",ROUND(main!BL246*100,6))</f>
        <v/>
      </c>
      <c r="BA243" s="68" t="str">
        <f>IF(main!BM246="","",ROUND(main!BM246*100,6))</f>
        <v/>
      </c>
      <c r="BB243" s="68" t="str">
        <f>IF(main!BN246="","",ROUND(main!BN246*100,6))</f>
        <v/>
      </c>
      <c r="BC243" s="68" t="str">
        <f>IF(main!BO246="","",ROUND(main!BO246*100,6))</f>
        <v/>
      </c>
      <c r="BD243" s="68" t="str">
        <f>IF(main!BP246="","",ROUND(main!BP246*100,6))</f>
        <v/>
      </c>
      <c r="BE243" s="68" t="str">
        <f>IF(main!BQ246="","",ROUND(main!BQ246*100,6))</f>
        <v/>
      </c>
      <c r="BF243" s="68" t="str">
        <f>IF(main!BR246="","",ROUND(main!BR246*100,6))</f>
        <v/>
      </c>
      <c r="BG243" s="68" t="str">
        <f>IF(main!BS246="","",ROUND(main!BS246*100,6))</f>
        <v/>
      </c>
      <c r="BH243" s="68" t="str">
        <f>IF(main!BT246="","",ROUND(main!BT246*100,6))</f>
        <v/>
      </c>
      <c r="BI243" s="68" t="str">
        <f>IF(main!BU246="","",ROUND(main!BU246*100,6))</f>
        <v/>
      </c>
      <c r="BJ243" s="68" t="str">
        <f>IF(main!BV246="","",ROUND(main!BV246*100,6))</f>
        <v/>
      </c>
      <c r="BK243" s="68" t="str">
        <f>IF(main!BW246="","",ROUND(main!BW246*100,6))</f>
        <v/>
      </c>
      <c r="BL243" s="68" t="str">
        <f>IF(main!BX246="","",ROUND(main!BX246*100,6))</f>
        <v/>
      </c>
      <c r="BM243" s="68" t="str">
        <f>IF(main!BY246="","",ROUND(main!BY246*100,6))</f>
        <v/>
      </c>
      <c r="BN243" s="68" t="str">
        <f>IF(main!BZ246="","",ROUND(main!BZ246*100,6))</f>
        <v/>
      </c>
      <c r="BO243" s="68" t="str">
        <f>IF(main!CA246="","",ROUND(main!CA246*100,6))</f>
        <v/>
      </c>
      <c r="BP243" s="68" t="str">
        <f>IF(main!CB246="","",ROUND(main!CB246*100,6))</f>
        <v/>
      </c>
      <c r="BQ243" s="68" t="str">
        <f>IF(main!CC246="","",ROUND(main!CC246*100,6))</f>
        <v/>
      </c>
      <c r="BR243" s="68" t="str">
        <f>IF(main!CD246="","",ROUND(main!CD246*100,6))</f>
        <v/>
      </c>
      <c r="BS243" s="68" t="str">
        <f>IF(main!CE246="","",ROUND(main!CE246*100,6))</f>
        <v/>
      </c>
      <c r="BT243" s="68" t="str">
        <f>IF(main!CF246="","",ROUND(main!CF246*100,6))</f>
        <v/>
      </c>
      <c r="BU243" s="68" t="str">
        <f>IF(main!CG246="","",ROUND(main!CG246*100,6))</f>
        <v/>
      </c>
      <c r="BV243" s="68" t="str">
        <f>IF(main!CH246="","",ROUND(main!CH246*100,6))</f>
        <v/>
      </c>
      <c r="BW243" s="68" t="str">
        <f>IF(main!CI246="","",ROUND(main!CI246*100,6))</f>
        <v/>
      </c>
      <c r="BX243" s="68" t="str">
        <f>IF(main!CJ246="","",ROUND(main!CJ246*100,6))</f>
        <v/>
      </c>
      <c r="BY243" s="68" t="str">
        <f>IF(main!CK246="","",ROUND(main!CK246*100,6))</f>
        <v/>
      </c>
      <c r="BZ243" s="68" t="str">
        <f>IF(main!CL246="","",ROUND(main!CL246*100,6))</f>
        <v/>
      </c>
      <c r="CA243" s="68" t="str">
        <f>IF(main!CM246="","",ROUND(main!CM246*100,6))</f>
        <v/>
      </c>
      <c r="CB243" s="68" t="str">
        <f>IF(main!CN246="","",ROUND(main!CN246*100,6))</f>
        <v/>
      </c>
      <c r="CC243" s="68" t="str">
        <f>IF(main!CO246="","",ROUND(main!CO246*100,6))</f>
        <v/>
      </c>
    </row>
    <row r="244" spans="1:81" x14ac:dyDescent="0.25">
      <c r="A244" s="65" t="s">
        <v>406</v>
      </c>
      <c r="B244" s="66" t="str">
        <f>main!C247</f>
        <v>งานแต่งเรียบผนังภายในเดิม</v>
      </c>
      <c r="C244" s="67">
        <f>main!O247</f>
        <v>100000</v>
      </c>
      <c r="D244" s="65" t="s">
        <v>110</v>
      </c>
      <c r="E244" s="68">
        <f t="shared" si="3"/>
        <v>100</v>
      </c>
      <c r="F244" s="68" t="str">
        <f>IF(main!R247="","",ROUND(main!R247*100,6))</f>
        <v/>
      </c>
      <c r="G244" s="68" t="str">
        <f>IF(main!S247="","",ROUND(main!S247*100,6))</f>
        <v/>
      </c>
      <c r="H244" s="68" t="str">
        <f>IF(main!T247="","",ROUND(main!T247*100,6))</f>
        <v/>
      </c>
      <c r="I244" s="68" t="str">
        <f>IF(main!U247="","",ROUND(main!U247*100,6))</f>
        <v/>
      </c>
      <c r="J244" s="68" t="str">
        <f>IF(main!V247="","",ROUND(main!V247*100,6))</f>
        <v/>
      </c>
      <c r="K244" s="68" t="str">
        <f>IF(main!W247="","",ROUND(main!W247*100,6))</f>
        <v/>
      </c>
      <c r="L244" s="68" t="str">
        <f>IF(main!X247="","",ROUND(main!X247*100,6))</f>
        <v/>
      </c>
      <c r="M244" s="68" t="str">
        <f>IF(main!Y247="","",ROUND(main!Y247*100,6))</f>
        <v/>
      </c>
      <c r="N244" s="68" t="str">
        <f>IF(main!Z247="","",ROUND(main!Z247*100,6))</f>
        <v/>
      </c>
      <c r="O244" s="68" t="str">
        <f>IF(main!AA247="","",ROUND(main!AA247*100,6))</f>
        <v/>
      </c>
      <c r="P244" s="68" t="str">
        <f>IF(main!AB247="","",ROUND(main!AB247*100,6))</f>
        <v/>
      </c>
      <c r="Q244" s="68" t="str">
        <f>IF(main!AC247="","",ROUND(main!AC247*100,6))</f>
        <v/>
      </c>
      <c r="R244" s="68" t="str">
        <f>IF(main!AD247="","",ROUND(main!AD247*100,6))</f>
        <v/>
      </c>
      <c r="S244" s="68" t="str">
        <f>IF(main!AE247="","",ROUND(main!AE247*100,6))</f>
        <v/>
      </c>
      <c r="T244" s="68" t="str">
        <f>IF(main!AF247="","",ROUND(main!AF247*100,6))</f>
        <v/>
      </c>
      <c r="U244" s="68" t="str">
        <f>IF(main!AG247="","",ROUND(main!AG247*100,6))</f>
        <v/>
      </c>
      <c r="V244" s="68" t="str">
        <f>IF(main!AH247="","",ROUND(main!AH247*100,6))</f>
        <v/>
      </c>
      <c r="W244" s="68" t="str">
        <f>IF(main!AI247="","",ROUND(main!AI247*100,6))</f>
        <v/>
      </c>
      <c r="X244" s="68" t="str">
        <f>IF(main!AJ247="","",ROUND(main!AJ247*100,6))</f>
        <v/>
      </c>
      <c r="Y244" s="68" t="str">
        <f>IF(main!AK247="","",ROUND(main!AK247*100,6))</f>
        <v/>
      </c>
      <c r="Z244" s="68" t="str">
        <f>IF(main!AL247="","",ROUND(main!AL247*100,6))</f>
        <v/>
      </c>
      <c r="AA244" s="68" t="str">
        <f>IF(main!AM247="","",ROUND(main!AM247*100,6))</f>
        <v/>
      </c>
      <c r="AB244" s="68" t="str">
        <f>IF(main!AN247="","",ROUND(main!AN247*100,6))</f>
        <v/>
      </c>
      <c r="AC244" s="68" t="str">
        <f>IF(main!AO247="","",ROUND(main!AO247*100,6))</f>
        <v/>
      </c>
      <c r="AD244" s="68" t="str">
        <f>IF(main!AP247="","",ROUND(main!AP247*100,6))</f>
        <v/>
      </c>
      <c r="AE244" s="68" t="str">
        <f>IF(main!AQ247="","",ROUND(main!AQ247*100,6))</f>
        <v/>
      </c>
      <c r="AF244" s="68" t="str">
        <f>IF(main!AR247="","",ROUND(main!AR247*100,6))</f>
        <v/>
      </c>
      <c r="AG244" s="68" t="str">
        <f>IF(main!AS247="","",ROUND(main!AS247*100,6))</f>
        <v/>
      </c>
      <c r="AH244" s="68" t="str">
        <f>IF(main!AT247="","",ROUND(main!AT247*100,6))</f>
        <v/>
      </c>
      <c r="AI244" s="68" t="str">
        <f>IF(main!AU247="","",ROUND(main!AU247*100,6))</f>
        <v/>
      </c>
      <c r="AJ244" s="68" t="str">
        <f>IF(main!AV247="","",ROUND(main!AV247*100,6))</f>
        <v/>
      </c>
      <c r="AK244" s="68" t="str">
        <f>IF(main!AW247="","",ROUND(main!AW247*100,6))</f>
        <v/>
      </c>
      <c r="AL244" s="68" t="str">
        <f>IF(main!AX247="","",ROUND(main!AX247*100,6))</f>
        <v/>
      </c>
      <c r="AM244" s="68" t="str">
        <f>IF(main!AY247="","",ROUND(main!AY247*100,6))</f>
        <v/>
      </c>
      <c r="AN244" s="68" t="str">
        <f>IF(main!AZ247="","",ROUND(main!AZ247*100,6))</f>
        <v/>
      </c>
      <c r="AO244" s="68" t="str">
        <f>IF(main!BA247="","",ROUND(main!BA247*100,6))</f>
        <v/>
      </c>
      <c r="AP244" s="68" t="str">
        <f>IF(main!BB247="","",ROUND(main!BB247*100,6))</f>
        <v/>
      </c>
      <c r="AQ244" s="68" t="str">
        <f>IF(main!BC247="","",ROUND(main!BC247*100,6))</f>
        <v/>
      </c>
      <c r="AR244" s="68" t="str">
        <f>IF(main!BD247="","",ROUND(main!BD247*100,6))</f>
        <v/>
      </c>
      <c r="AS244" s="68" t="str">
        <f>IF(main!BE247="","",ROUND(main!BE247*100,6))</f>
        <v/>
      </c>
      <c r="AT244" s="68" t="str">
        <f>IF(main!BF247="","",ROUND(main!BF247*100,6))</f>
        <v/>
      </c>
      <c r="AU244" s="68" t="str">
        <f>IF(main!BG247="","",ROUND(main!BG247*100,6))</f>
        <v/>
      </c>
      <c r="AV244" s="68" t="str">
        <f>IF(main!BH247="","",ROUND(main!BH247*100,6))</f>
        <v/>
      </c>
      <c r="AW244" s="68" t="str">
        <f>IF(main!BI247="","",ROUND(main!BI247*100,6))</f>
        <v/>
      </c>
      <c r="AX244" s="68">
        <f>IF(main!BJ247="","",ROUND(main!BJ247*100,6))</f>
        <v>4.7619049999999996</v>
      </c>
      <c r="AY244" s="68">
        <f>IF(main!BK247="","",ROUND(main!BK247*100,6))</f>
        <v>33.333333000000003</v>
      </c>
      <c r="AZ244" s="68">
        <f>IF(main!BL247="","",ROUND(main!BL247*100,6))</f>
        <v>33.333333000000003</v>
      </c>
      <c r="BA244" s="68">
        <f>IF(main!BM247="","",ROUND(main!BM247*100,6))</f>
        <v>28.571428999999998</v>
      </c>
      <c r="BB244" s="68" t="str">
        <f>IF(main!BN247="","",ROUND(main!BN247*100,6))</f>
        <v/>
      </c>
      <c r="BC244" s="68" t="str">
        <f>IF(main!BO247="","",ROUND(main!BO247*100,6))</f>
        <v/>
      </c>
      <c r="BD244" s="68" t="str">
        <f>IF(main!BP247="","",ROUND(main!BP247*100,6))</f>
        <v/>
      </c>
      <c r="BE244" s="68" t="str">
        <f>IF(main!BQ247="","",ROUND(main!BQ247*100,6))</f>
        <v/>
      </c>
      <c r="BF244" s="68" t="str">
        <f>IF(main!BR247="","",ROUND(main!BR247*100,6))</f>
        <v/>
      </c>
      <c r="BG244" s="68" t="str">
        <f>IF(main!BS247="","",ROUND(main!BS247*100,6))</f>
        <v/>
      </c>
      <c r="BH244" s="68" t="str">
        <f>IF(main!BT247="","",ROUND(main!BT247*100,6))</f>
        <v/>
      </c>
      <c r="BI244" s="68" t="str">
        <f>IF(main!BU247="","",ROUND(main!BU247*100,6))</f>
        <v/>
      </c>
      <c r="BJ244" s="68" t="str">
        <f>IF(main!BV247="","",ROUND(main!BV247*100,6))</f>
        <v/>
      </c>
      <c r="BK244" s="68" t="str">
        <f>IF(main!BW247="","",ROUND(main!BW247*100,6))</f>
        <v/>
      </c>
      <c r="BL244" s="68" t="str">
        <f>IF(main!BX247="","",ROUND(main!BX247*100,6))</f>
        <v/>
      </c>
      <c r="BM244" s="68" t="str">
        <f>IF(main!BY247="","",ROUND(main!BY247*100,6))</f>
        <v/>
      </c>
      <c r="BN244" s="68" t="str">
        <f>IF(main!BZ247="","",ROUND(main!BZ247*100,6))</f>
        <v/>
      </c>
      <c r="BO244" s="68" t="str">
        <f>IF(main!CA247="","",ROUND(main!CA247*100,6))</f>
        <v/>
      </c>
      <c r="BP244" s="68" t="str">
        <f>IF(main!CB247="","",ROUND(main!CB247*100,6))</f>
        <v/>
      </c>
      <c r="BQ244" s="68" t="str">
        <f>IF(main!CC247="","",ROUND(main!CC247*100,6))</f>
        <v/>
      </c>
      <c r="BR244" s="68" t="str">
        <f>IF(main!CD247="","",ROUND(main!CD247*100,6))</f>
        <v/>
      </c>
      <c r="BS244" s="68" t="str">
        <f>IF(main!CE247="","",ROUND(main!CE247*100,6))</f>
        <v/>
      </c>
      <c r="BT244" s="68" t="str">
        <f>IF(main!CF247="","",ROUND(main!CF247*100,6))</f>
        <v/>
      </c>
      <c r="BU244" s="68" t="str">
        <f>IF(main!CG247="","",ROUND(main!CG247*100,6))</f>
        <v/>
      </c>
      <c r="BV244" s="68" t="str">
        <f>IF(main!CH247="","",ROUND(main!CH247*100,6))</f>
        <v/>
      </c>
      <c r="BW244" s="68" t="str">
        <f>IF(main!CI247="","",ROUND(main!CI247*100,6))</f>
        <v/>
      </c>
      <c r="BX244" s="68" t="str">
        <f>IF(main!CJ247="","",ROUND(main!CJ247*100,6))</f>
        <v/>
      </c>
      <c r="BY244" s="68" t="str">
        <f>IF(main!CK247="","",ROUND(main!CK247*100,6))</f>
        <v/>
      </c>
      <c r="BZ244" s="68" t="str">
        <f>IF(main!CL247="","",ROUND(main!CL247*100,6))</f>
        <v/>
      </c>
      <c r="CA244" s="68" t="str">
        <f>IF(main!CM247="","",ROUND(main!CM247*100,6))</f>
        <v/>
      </c>
      <c r="CB244" s="68" t="str">
        <f>IF(main!CN247="","",ROUND(main!CN247*100,6))</f>
        <v/>
      </c>
      <c r="CC244" s="68" t="str">
        <f>IF(main!CO247="","",ROUND(main!CO247*100,6))</f>
        <v/>
      </c>
    </row>
    <row r="245" spans="1:81" x14ac:dyDescent="0.25">
      <c r="A245" s="65" t="s">
        <v>406</v>
      </c>
      <c r="B245" s="66" t="str">
        <f>main!C247</f>
        <v>งานแต่งเรียบผนังภายในเดิม</v>
      </c>
      <c r="C245" s="67">
        <f>main!O247</f>
        <v>100000</v>
      </c>
      <c r="D245" s="65" t="s">
        <v>111</v>
      </c>
      <c r="E245" s="68" t="str">
        <f t="shared" si="3"/>
        <v/>
      </c>
      <c r="F245" s="68" t="str">
        <f>IF(main!R248="","",ROUND(main!R248*100,6))</f>
        <v/>
      </c>
      <c r="G245" s="68" t="str">
        <f>IF(main!S248="","",ROUND(main!S248*100,6))</f>
        <v/>
      </c>
      <c r="H245" s="68" t="str">
        <f>IF(main!T248="","",ROUND(main!T248*100,6))</f>
        <v/>
      </c>
      <c r="I245" s="68" t="str">
        <f>IF(main!U248="","",ROUND(main!U248*100,6))</f>
        <v/>
      </c>
      <c r="J245" s="68" t="str">
        <f>IF(main!V248="","",ROUND(main!V248*100,6))</f>
        <v/>
      </c>
      <c r="K245" s="68" t="str">
        <f>IF(main!W248="","",ROUND(main!W248*100,6))</f>
        <v/>
      </c>
      <c r="L245" s="68" t="str">
        <f>IF(main!X248="","",ROUND(main!X248*100,6))</f>
        <v/>
      </c>
      <c r="M245" s="68" t="str">
        <f>IF(main!Y248="","",ROUND(main!Y248*100,6))</f>
        <v/>
      </c>
      <c r="N245" s="68" t="str">
        <f>IF(main!Z248="","",ROUND(main!Z248*100,6))</f>
        <v/>
      </c>
      <c r="O245" s="68" t="str">
        <f>IF(main!AA248="","",ROUND(main!AA248*100,6))</f>
        <v/>
      </c>
      <c r="P245" s="68" t="str">
        <f>IF(main!AB248="","",ROUND(main!AB248*100,6))</f>
        <v/>
      </c>
      <c r="Q245" s="68" t="str">
        <f>IF(main!AC248="","",ROUND(main!AC248*100,6))</f>
        <v/>
      </c>
      <c r="R245" s="68" t="str">
        <f>IF(main!AD248="","",ROUND(main!AD248*100,6))</f>
        <v/>
      </c>
      <c r="S245" s="68" t="str">
        <f>IF(main!AE248="","",ROUND(main!AE248*100,6))</f>
        <v/>
      </c>
      <c r="T245" s="68" t="str">
        <f>IF(main!AF248="","",ROUND(main!AF248*100,6))</f>
        <v/>
      </c>
      <c r="U245" s="68" t="str">
        <f>IF(main!AG248="","",ROUND(main!AG248*100,6))</f>
        <v/>
      </c>
      <c r="V245" s="68" t="str">
        <f>IF(main!AH248="","",ROUND(main!AH248*100,6))</f>
        <v/>
      </c>
      <c r="W245" s="68" t="str">
        <f>IF(main!AI248="","",ROUND(main!AI248*100,6))</f>
        <v/>
      </c>
      <c r="X245" s="68" t="str">
        <f>IF(main!AJ248="","",ROUND(main!AJ248*100,6))</f>
        <v/>
      </c>
      <c r="Y245" s="68" t="str">
        <f>IF(main!AK248="","",ROUND(main!AK248*100,6))</f>
        <v/>
      </c>
      <c r="Z245" s="68" t="str">
        <f>IF(main!AL248="","",ROUND(main!AL248*100,6))</f>
        <v/>
      </c>
      <c r="AA245" s="68" t="str">
        <f>IF(main!AM248="","",ROUND(main!AM248*100,6))</f>
        <v/>
      </c>
      <c r="AB245" s="68" t="str">
        <f>IF(main!AN248="","",ROUND(main!AN248*100,6))</f>
        <v/>
      </c>
      <c r="AC245" s="68" t="str">
        <f>IF(main!AO248="","",ROUND(main!AO248*100,6))</f>
        <v/>
      </c>
      <c r="AD245" s="68" t="str">
        <f>IF(main!AP248="","",ROUND(main!AP248*100,6))</f>
        <v/>
      </c>
      <c r="AE245" s="68" t="str">
        <f>IF(main!AQ248="","",ROUND(main!AQ248*100,6))</f>
        <v/>
      </c>
      <c r="AF245" s="68" t="str">
        <f>IF(main!AR248="","",ROUND(main!AR248*100,6))</f>
        <v/>
      </c>
      <c r="AG245" s="68" t="str">
        <f>IF(main!AS248="","",ROUND(main!AS248*100,6))</f>
        <v/>
      </c>
      <c r="AH245" s="68" t="str">
        <f>IF(main!AT248="","",ROUND(main!AT248*100,6))</f>
        <v/>
      </c>
      <c r="AI245" s="68" t="str">
        <f>IF(main!AU248="","",ROUND(main!AU248*100,6))</f>
        <v/>
      </c>
      <c r="AJ245" s="68" t="str">
        <f>IF(main!AV248="","",ROUND(main!AV248*100,6))</f>
        <v/>
      </c>
      <c r="AK245" s="68" t="str">
        <f>IF(main!AW248="","",ROUND(main!AW248*100,6))</f>
        <v/>
      </c>
      <c r="AL245" s="68" t="str">
        <f>IF(main!AX248="","",ROUND(main!AX248*100,6))</f>
        <v/>
      </c>
      <c r="AM245" s="68" t="str">
        <f>IF(main!AY248="","",ROUND(main!AY248*100,6))</f>
        <v/>
      </c>
      <c r="AN245" s="68" t="str">
        <f>IF(main!AZ248="","",ROUND(main!AZ248*100,6))</f>
        <v/>
      </c>
      <c r="AO245" s="68" t="str">
        <f>IF(main!BA248="","",ROUND(main!BA248*100,6))</f>
        <v/>
      </c>
      <c r="AP245" s="68" t="str">
        <f>IF(main!BB248="","",ROUND(main!BB248*100,6))</f>
        <v/>
      </c>
      <c r="AQ245" s="68" t="str">
        <f>IF(main!BC248="","",ROUND(main!BC248*100,6))</f>
        <v/>
      </c>
      <c r="AR245" s="68" t="str">
        <f>IF(main!BD248="","",ROUND(main!BD248*100,6))</f>
        <v/>
      </c>
      <c r="AS245" s="68" t="str">
        <f>IF(main!BE248="","",ROUND(main!BE248*100,6))</f>
        <v/>
      </c>
      <c r="AT245" s="68" t="str">
        <f>IF(main!BF248="","",ROUND(main!BF248*100,6))</f>
        <v/>
      </c>
      <c r="AU245" s="68" t="str">
        <f>IF(main!BG248="","",ROUND(main!BG248*100,6))</f>
        <v/>
      </c>
      <c r="AV245" s="68" t="str">
        <f>IF(main!BH248="","",ROUND(main!BH248*100,6))</f>
        <v/>
      </c>
      <c r="AW245" s="68" t="str">
        <f>IF(main!BI248="","",ROUND(main!BI248*100,6))</f>
        <v/>
      </c>
      <c r="AX245" s="68" t="str">
        <f>IF(main!BJ248="","",ROUND(main!BJ248*100,6))</f>
        <v/>
      </c>
      <c r="AY245" s="68" t="str">
        <f>IF(main!BK248="","",ROUND(main!BK248*100,6))</f>
        <v/>
      </c>
      <c r="AZ245" s="68" t="str">
        <f>IF(main!BL248="","",ROUND(main!BL248*100,6))</f>
        <v/>
      </c>
      <c r="BA245" s="68" t="str">
        <f>IF(main!BM248="","",ROUND(main!BM248*100,6))</f>
        <v/>
      </c>
      <c r="BB245" s="68" t="str">
        <f>IF(main!BN248="","",ROUND(main!BN248*100,6))</f>
        <v/>
      </c>
      <c r="BC245" s="68" t="str">
        <f>IF(main!BO248="","",ROUND(main!BO248*100,6))</f>
        <v/>
      </c>
      <c r="BD245" s="68" t="str">
        <f>IF(main!BP248="","",ROUND(main!BP248*100,6))</f>
        <v/>
      </c>
      <c r="BE245" s="68" t="str">
        <f>IF(main!BQ248="","",ROUND(main!BQ248*100,6))</f>
        <v/>
      </c>
      <c r="BF245" s="68" t="str">
        <f>IF(main!BR248="","",ROUND(main!BR248*100,6))</f>
        <v/>
      </c>
      <c r="BG245" s="68" t="str">
        <f>IF(main!BS248="","",ROUND(main!BS248*100,6))</f>
        <v/>
      </c>
      <c r="BH245" s="68" t="str">
        <f>IF(main!BT248="","",ROUND(main!BT248*100,6))</f>
        <v/>
      </c>
      <c r="BI245" s="68" t="str">
        <f>IF(main!BU248="","",ROUND(main!BU248*100,6))</f>
        <v/>
      </c>
      <c r="BJ245" s="68" t="str">
        <f>IF(main!BV248="","",ROUND(main!BV248*100,6))</f>
        <v/>
      </c>
      <c r="BK245" s="68" t="str">
        <f>IF(main!BW248="","",ROUND(main!BW248*100,6))</f>
        <v/>
      </c>
      <c r="BL245" s="68" t="str">
        <f>IF(main!BX248="","",ROUND(main!BX248*100,6))</f>
        <v/>
      </c>
      <c r="BM245" s="68" t="str">
        <f>IF(main!BY248="","",ROUND(main!BY248*100,6))</f>
        <v/>
      </c>
      <c r="BN245" s="68" t="str">
        <f>IF(main!BZ248="","",ROUND(main!BZ248*100,6))</f>
        <v/>
      </c>
      <c r="BO245" s="68" t="str">
        <f>IF(main!CA248="","",ROUND(main!CA248*100,6))</f>
        <v/>
      </c>
      <c r="BP245" s="68" t="str">
        <f>IF(main!CB248="","",ROUND(main!CB248*100,6))</f>
        <v/>
      </c>
      <c r="BQ245" s="68" t="str">
        <f>IF(main!CC248="","",ROUND(main!CC248*100,6))</f>
        <v/>
      </c>
      <c r="BR245" s="68" t="str">
        <f>IF(main!CD248="","",ROUND(main!CD248*100,6))</f>
        <v/>
      </c>
      <c r="BS245" s="68" t="str">
        <f>IF(main!CE248="","",ROUND(main!CE248*100,6))</f>
        <v/>
      </c>
      <c r="BT245" s="68" t="str">
        <f>IF(main!CF248="","",ROUND(main!CF248*100,6))</f>
        <v/>
      </c>
      <c r="BU245" s="68" t="str">
        <f>IF(main!CG248="","",ROUND(main!CG248*100,6))</f>
        <v/>
      </c>
      <c r="BV245" s="68" t="str">
        <f>IF(main!CH248="","",ROUND(main!CH248*100,6))</f>
        <v/>
      </c>
      <c r="BW245" s="68" t="str">
        <f>IF(main!CI248="","",ROUND(main!CI248*100,6))</f>
        <v/>
      </c>
      <c r="BX245" s="68" t="str">
        <f>IF(main!CJ248="","",ROUND(main!CJ248*100,6))</f>
        <v/>
      </c>
      <c r="BY245" s="68" t="str">
        <f>IF(main!CK248="","",ROUND(main!CK248*100,6))</f>
        <v/>
      </c>
      <c r="BZ245" s="68" t="str">
        <f>IF(main!CL248="","",ROUND(main!CL248*100,6))</f>
        <v/>
      </c>
      <c r="CA245" s="68" t="str">
        <f>IF(main!CM248="","",ROUND(main!CM248*100,6))</f>
        <v/>
      </c>
      <c r="CB245" s="68" t="str">
        <f>IF(main!CN248="","",ROUND(main!CN248*100,6))</f>
        <v/>
      </c>
      <c r="CC245" s="68" t="str">
        <f>IF(main!CO248="","",ROUND(main!CO248*100,6))</f>
        <v/>
      </c>
    </row>
    <row r="246" spans="1:81" x14ac:dyDescent="0.25">
      <c r="A246" s="65" t="s">
        <v>408</v>
      </c>
      <c r="B246" s="66" t="str">
        <f>main!C249</f>
        <v>Ceiling</v>
      </c>
      <c r="C246" s="67">
        <f>main!O249</f>
        <v>200000</v>
      </c>
      <c r="D246" s="65" t="s">
        <v>110</v>
      </c>
      <c r="E246" s="68">
        <f t="shared" si="3"/>
        <v>100</v>
      </c>
      <c r="F246" s="68" t="str">
        <f>IF(main!R249="","",ROUND(main!R249*100,6))</f>
        <v/>
      </c>
      <c r="G246" s="68" t="str">
        <f>IF(main!S249="","",ROUND(main!S249*100,6))</f>
        <v/>
      </c>
      <c r="H246" s="68" t="str">
        <f>IF(main!T249="","",ROUND(main!T249*100,6))</f>
        <v/>
      </c>
      <c r="I246" s="68" t="str">
        <f>IF(main!U249="","",ROUND(main!U249*100,6))</f>
        <v/>
      </c>
      <c r="J246" s="68" t="str">
        <f>IF(main!V249="","",ROUND(main!V249*100,6))</f>
        <v/>
      </c>
      <c r="K246" s="68" t="str">
        <f>IF(main!W249="","",ROUND(main!W249*100,6))</f>
        <v/>
      </c>
      <c r="L246" s="68" t="str">
        <f>IF(main!X249="","",ROUND(main!X249*100,6))</f>
        <v/>
      </c>
      <c r="M246" s="68" t="str">
        <f>IF(main!Y249="","",ROUND(main!Y249*100,6))</f>
        <v/>
      </c>
      <c r="N246" s="68" t="str">
        <f>IF(main!Z249="","",ROUND(main!Z249*100,6))</f>
        <v/>
      </c>
      <c r="O246" s="68" t="str">
        <f>IF(main!AA249="","",ROUND(main!AA249*100,6))</f>
        <v/>
      </c>
      <c r="P246" s="68" t="str">
        <f>IF(main!AB249="","",ROUND(main!AB249*100,6))</f>
        <v/>
      </c>
      <c r="Q246" s="68" t="str">
        <f>IF(main!AC249="","",ROUND(main!AC249*100,6))</f>
        <v/>
      </c>
      <c r="R246" s="68" t="str">
        <f>IF(main!AD249="","",ROUND(main!AD249*100,6))</f>
        <v/>
      </c>
      <c r="S246" s="68" t="str">
        <f>IF(main!AE249="","",ROUND(main!AE249*100,6))</f>
        <v/>
      </c>
      <c r="T246" s="68" t="str">
        <f>IF(main!AF249="","",ROUND(main!AF249*100,6))</f>
        <v/>
      </c>
      <c r="U246" s="68" t="str">
        <f>IF(main!AG249="","",ROUND(main!AG249*100,6))</f>
        <v/>
      </c>
      <c r="V246" s="68" t="str">
        <f>IF(main!AH249="","",ROUND(main!AH249*100,6))</f>
        <v/>
      </c>
      <c r="W246" s="68" t="str">
        <f>IF(main!AI249="","",ROUND(main!AI249*100,6))</f>
        <v/>
      </c>
      <c r="X246" s="68" t="str">
        <f>IF(main!AJ249="","",ROUND(main!AJ249*100,6))</f>
        <v/>
      </c>
      <c r="Y246" s="68" t="str">
        <f>IF(main!AK249="","",ROUND(main!AK249*100,6))</f>
        <v/>
      </c>
      <c r="Z246" s="68" t="str">
        <f>IF(main!AL249="","",ROUND(main!AL249*100,6))</f>
        <v/>
      </c>
      <c r="AA246" s="68" t="str">
        <f>IF(main!AM249="","",ROUND(main!AM249*100,6))</f>
        <v/>
      </c>
      <c r="AB246" s="68" t="str">
        <f>IF(main!AN249="","",ROUND(main!AN249*100,6))</f>
        <v/>
      </c>
      <c r="AC246" s="68" t="str">
        <f>IF(main!AO249="","",ROUND(main!AO249*100,6))</f>
        <v/>
      </c>
      <c r="AD246" s="68" t="str">
        <f>IF(main!AP249="","",ROUND(main!AP249*100,6))</f>
        <v/>
      </c>
      <c r="AE246" s="68" t="str">
        <f>IF(main!AQ249="","",ROUND(main!AQ249*100,6))</f>
        <v/>
      </c>
      <c r="AF246" s="68" t="str">
        <f>IF(main!AR249="","",ROUND(main!AR249*100,6))</f>
        <v/>
      </c>
      <c r="AG246" s="68" t="str">
        <f>IF(main!AS249="","",ROUND(main!AS249*100,6))</f>
        <v/>
      </c>
      <c r="AH246" s="68" t="str">
        <f>IF(main!AT249="","",ROUND(main!AT249*100,6))</f>
        <v/>
      </c>
      <c r="AI246" s="68" t="str">
        <f>IF(main!AU249="","",ROUND(main!AU249*100,6))</f>
        <v/>
      </c>
      <c r="AJ246" s="68" t="str">
        <f>IF(main!AV249="","",ROUND(main!AV249*100,6))</f>
        <v/>
      </c>
      <c r="AK246" s="68" t="str">
        <f>IF(main!AW249="","",ROUND(main!AW249*100,6))</f>
        <v/>
      </c>
      <c r="AL246" s="68" t="str">
        <f>IF(main!AX249="","",ROUND(main!AX249*100,6))</f>
        <v/>
      </c>
      <c r="AM246" s="68" t="str">
        <f>IF(main!AY249="","",ROUND(main!AY249*100,6))</f>
        <v/>
      </c>
      <c r="AN246" s="68" t="str">
        <f>IF(main!AZ249="","",ROUND(main!AZ249*100,6))</f>
        <v/>
      </c>
      <c r="AO246" s="68" t="str">
        <f>IF(main!BA249="","",ROUND(main!BA249*100,6))</f>
        <v/>
      </c>
      <c r="AP246" s="68" t="str">
        <f>IF(main!BB249="","",ROUND(main!BB249*100,6))</f>
        <v/>
      </c>
      <c r="AQ246" s="68" t="str">
        <f>IF(main!BC249="","",ROUND(main!BC249*100,6))</f>
        <v/>
      </c>
      <c r="AR246" s="68" t="str">
        <f>IF(main!BD249="","",ROUND(main!BD249*100,6))</f>
        <v/>
      </c>
      <c r="AS246" s="68" t="str">
        <f>IF(main!BE249="","",ROUND(main!BE249*100,6))</f>
        <v/>
      </c>
      <c r="AT246" s="68" t="str">
        <f>IF(main!BF249="","",ROUND(main!BF249*100,6))</f>
        <v/>
      </c>
      <c r="AU246" s="68" t="str">
        <f>IF(main!BG249="","",ROUND(main!BG249*100,6))</f>
        <v/>
      </c>
      <c r="AV246" s="68" t="str">
        <f>IF(main!BH249="","",ROUND(main!BH249*100,6))</f>
        <v/>
      </c>
      <c r="AW246" s="68" t="str">
        <f>IF(main!BI249="","",ROUND(main!BI249*100,6))</f>
        <v/>
      </c>
      <c r="AX246" s="68" t="str">
        <f>IF(main!BJ249="","",ROUND(main!BJ249*100,6))</f>
        <v/>
      </c>
      <c r="AY246" s="68" t="str">
        <f>IF(main!BK249="","",ROUND(main!BK249*100,6))</f>
        <v/>
      </c>
      <c r="AZ246" s="68" t="str">
        <f>IF(main!BL249="","",ROUND(main!BL249*100,6))</f>
        <v/>
      </c>
      <c r="BA246" s="68">
        <f>IF(main!BM249="","",ROUND(main!BM249*100,6))</f>
        <v>2.3809520000000002</v>
      </c>
      <c r="BB246" s="68">
        <f>IF(main!BN249="","",ROUND(main!BN249*100,6))</f>
        <v>16.666667</v>
      </c>
      <c r="BC246" s="68">
        <f>IF(main!BO249="","",ROUND(main!BO249*100,6))</f>
        <v>16.666667</v>
      </c>
      <c r="BD246" s="68">
        <f>IF(main!BP249="","",ROUND(main!BP249*100,6))</f>
        <v>14.285714</v>
      </c>
      <c r="BE246" s="68" t="str">
        <f>IF(main!BQ249="","",ROUND(main!BQ249*100,6))</f>
        <v/>
      </c>
      <c r="BF246" s="68" t="str">
        <f>IF(main!BR249="","",ROUND(main!BR249*100,6))</f>
        <v/>
      </c>
      <c r="BG246" s="68" t="str">
        <f>IF(main!BS249="","",ROUND(main!BS249*100,6))</f>
        <v/>
      </c>
      <c r="BH246" s="68" t="str">
        <f>IF(main!BT249="","",ROUND(main!BT249*100,6))</f>
        <v/>
      </c>
      <c r="BI246" s="68" t="str">
        <f>IF(main!BU249="","",ROUND(main!BU249*100,6))</f>
        <v/>
      </c>
      <c r="BJ246" s="68" t="str">
        <f>IF(main!BV249="","",ROUND(main!BV249*100,6))</f>
        <v/>
      </c>
      <c r="BK246" s="68" t="str">
        <f>IF(main!BW249="","",ROUND(main!BW249*100,6))</f>
        <v/>
      </c>
      <c r="BL246" s="68">
        <f>IF(main!BX249="","",ROUND(main!BX249*100,6))</f>
        <v>20.833333</v>
      </c>
      <c r="BM246" s="68">
        <f>IF(main!BY249="","",ROUND(main!BY249*100,6))</f>
        <v>29.166667</v>
      </c>
      <c r="BN246" s="68" t="str">
        <f>IF(main!BZ249="","",ROUND(main!BZ249*100,6))</f>
        <v/>
      </c>
      <c r="BO246" s="68" t="str">
        <f>IF(main!CA249="","",ROUND(main!CA249*100,6))</f>
        <v/>
      </c>
      <c r="BP246" s="68" t="str">
        <f>IF(main!CB249="","",ROUND(main!CB249*100,6))</f>
        <v/>
      </c>
      <c r="BQ246" s="68" t="str">
        <f>IF(main!CC249="","",ROUND(main!CC249*100,6))</f>
        <v/>
      </c>
      <c r="BR246" s="68" t="str">
        <f>IF(main!CD249="","",ROUND(main!CD249*100,6))</f>
        <v/>
      </c>
      <c r="BS246" s="68" t="str">
        <f>IF(main!CE249="","",ROUND(main!CE249*100,6))</f>
        <v/>
      </c>
      <c r="BT246" s="68" t="str">
        <f>IF(main!CF249="","",ROUND(main!CF249*100,6))</f>
        <v/>
      </c>
      <c r="BU246" s="68" t="str">
        <f>IF(main!CG249="","",ROUND(main!CG249*100,6))</f>
        <v/>
      </c>
      <c r="BV246" s="68" t="str">
        <f>IF(main!CH249="","",ROUND(main!CH249*100,6))</f>
        <v/>
      </c>
      <c r="BW246" s="68" t="str">
        <f>IF(main!CI249="","",ROUND(main!CI249*100,6))</f>
        <v/>
      </c>
      <c r="BX246" s="68" t="str">
        <f>IF(main!CJ249="","",ROUND(main!CJ249*100,6))</f>
        <v/>
      </c>
      <c r="BY246" s="68" t="str">
        <f>IF(main!CK249="","",ROUND(main!CK249*100,6))</f>
        <v/>
      </c>
      <c r="BZ246" s="68" t="str">
        <f>IF(main!CL249="","",ROUND(main!CL249*100,6))</f>
        <v/>
      </c>
      <c r="CA246" s="68" t="str">
        <f>IF(main!CM249="","",ROUND(main!CM249*100,6))</f>
        <v/>
      </c>
      <c r="CB246" s="68" t="str">
        <f>IF(main!CN249="","",ROUND(main!CN249*100,6))</f>
        <v/>
      </c>
      <c r="CC246" s="68" t="str">
        <f>IF(main!CO249="","",ROUND(main!CO249*100,6))</f>
        <v/>
      </c>
    </row>
    <row r="247" spans="1:81" x14ac:dyDescent="0.25">
      <c r="A247" s="65" t="s">
        <v>408</v>
      </c>
      <c r="B247" s="66" t="str">
        <f>main!C249</f>
        <v>Ceiling</v>
      </c>
      <c r="C247" s="67">
        <f>main!O249</f>
        <v>200000</v>
      </c>
      <c r="D247" s="65" t="s">
        <v>111</v>
      </c>
      <c r="E247" s="68" t="str">
        <f t="shared" si="3"/>
        <v/>
      </c>
      <c r="F247" s="68" t="str">
        <f>IF(main!R250="","",ROUND(main!R250*100,6))</f>
        <v/>
      </c>
      <c r="G247" s="68" t="str">
        <f>IF(main!S250="","",ROUND(main!S250*100,6))</f>
        <v/>
      </c>
      <c r="H247" s="68" t="str">
        <f>IF(main!T250="","",ROUND(main!T250*100,6))</f>
        <v/>
      </c>
      <c r="I247" s="68" t="str">
        <f>IF(main!U250="","",ROUND(main!U250*100,6))</f>
        <v/>
      </c>
      <c r="J247" s="68" t="str">
        <f>IF(main!V250="","",ROUND(main!V250*100,6))</f>
        <v/>
      </c>
      <c r="K247" s="68" t="str">
        <f>IF(main!W250="","",ROUND(main!W250*100,6))</f>
        <v/>
      </c>
      <c r="L247" s="68" t="str">
        <f>IF(main!X250="","",ROUND(main!X250*100,6))</f>
        <v/>
      </c>
      <c r="M247" s="68" t="str">
        <f>IF(main!Y250="","",ROUND(main!Y250*100,6))</f>
        <v/>
      </c>
      <c r="N247" s="68" t="str">
        <f>IF(main!Z250="","",ROUND(main!Z250*100,6))</f>
        <v/>
      </c>
      <c r="O247" s="68" t="str">
        <f>IF(main!AA250="","",ROUND(main!AA250*100,6))</f>
        <v/>
      </c>
      <c r="P247" s="68" t="str">
        <f>IF(main!AB250="","",ROUND(main!AB250*100,6))</f>
        <v/>
      </c>
      <c r="Q247" s="68" t="str">
        <f>IF(main!AC250="","",ROUND(main!AC250*100,6))</f>
        <v/>
      </c>
      <c r="R247" s="68" t="str">
        <f>IF(main!AD250="","",ROUND(main!AD250*100,6))</f>
        <v/>
      </c>
      <c r="S247" s="68" t="str">
        <f>IF(main!AE250="","",ROUND(main!AE250*100,6))</f>
        <v/>
      </c>
      <c r="T247" s="68" t="str">
        <f>IF(main!AF250="","",ROUND(main!AF250*100,6))</f>
        <v/>
      </c>
      <c r="U247" s="68" t="str">
        <f>IF(main!AG250="","",ROUND(main!AG250*100,6))</f>
        <v/>
      </c>
      <c r="V247" s="68" t="str">
        <f>IF(main!AH250="","",ROUND(main!AH250*100,6))</f>
        <v/>
      </c>
      <c r="W247" s="68" t="str">
        <f>IF(main!AI250="","",ROUND(main!AI250*100,6))</f>
        <v/>
      </c>
      <c r="X247" s="68" t="str">
        <f>IF(main!AJ250="","",ROUND(main!AJ250*100,6))</f>
        <v/>
      </c>
      <c r="Y247" s="68" t="str">
        <f>IF(main!AK250="","",ROUND(main!AK250*100,6))</f>
        <v/>
      </c>
      <c r="Z247" s="68" t="str">
        <f>IF(main!AL250="","",ROUND(main!AL250*100,6))</f>
        <v/>
      </c>
      <c r="AA247" s="68" t="str">
        <f>IF(main!AM250="","",ROUND(main!AM250*100,6))</f>
        <v/>
      </c>
      <c r="AB247" s="68" t="str">
        <f>IF(main!AN250="","",ROUND(main!AN250*100,6))</f>
        <v/>
      </c>
      <c r="AC247" s="68" t="str">
        <f>IF(main!AO250="","",ROUND(main!AO250*100,6))</f>
        <v/>
      </c>
      <c r="AD247" s="68" t="str">
        <f>IF(main!AP250="","",ROUND(main!AP250*100,6))</f>
        <v/>
      </c>
      <c r="AE247" s="68" t="str">
        <f>IF(main!AQ250="","",ROUND(main!AQ250*100,6))</f>
        <v/>
      </c>
      <c r="AF247" s="68" t="str">
        <f>IF(main!AR250="","",ROUND(main!AR250*100,6))</f>
        <v/>
      </c>
      <c r="AG247" s="68" t="str">
        <f>IF(main!AS250="","",ROUND(main!AS250*100,6))</f>
        <v/>
      </c>
      <c r="AH247" s="68" t="str">
        <f>IF(main!AT250="","",ROUND(main!AT250*100,6))</f>
        <v/>
      </c>
      <c r="AI247" s="68" t="str">
        <f>IF(main!AU250="","",ROUND(main!AU250*100,6))</f>
        <v/>
      </c>
      <c r="AJ247" s="68" t="str">
        <f>IF(main!AV250="","",ROUND(main!AV250*100,6))</f>
        <v/>
      </c>
      <c r="AK247" s="68" t="str">
        <f>IF(main!AW250="","",ROUND(main!AW250*100,6))</f>
        <v/>
      </c>
      <c r="AL247" s="68" t="str">
        <f>IF(main!AX250="","",ROUND(main!AX250*100,6))</f>
        <v/>
      </c>
      <c r="AM247" s="68" t="str">
        <f>IF(main!AY250="","",ROUND(main!AY250*100,6))</f>
        <v/>
      </c>
      <c r="AN247" s="68" t="str">
        <f>IF(main!AZ250="","",ROUND(main!AZ250*100,6))</f>
        <v/>
      </c>
      <c r="AO247" s="68" t="str">
        <f>IF(main!BA250="","",ROUND(main!BA250*100,6))</f>
        <v/>
      </c>
      <c r="AP247" s="68" t="str">
        <f>IF(main!BB250="","",ROUND(main!BB250*100,6))</f>
        <v/>
      </c>
      <c r="AQ247" s="68" t="str">
        <f>IF(main!BC250="","",ROUND(main!BC250*100,6))</f>
        <v/>
      </c>
      <c r="AR247" s="68" t="str">
        <f>IF(main!BD250="","",ROUND(main!BD250*100,6))</f>
        <v/>
      </c>
      <c r="AS247" s="68" t="str">
        <f>IF(main!BE250="","",ROUND(main!BE250*100,6))</f>
        <v/>
      </c>
      <c r="AT247" s="68" t="str">
        <f>IF(main!BF250="","",ROUND(main!BF250*100,6))</f>
        <v/>
      </c>
      <c r="AU247" s="68" t="str">
        <f>IF(main!BG250="","",ROUND(main!BG250*100,6))</f>
        <v/>
      </c>
      <c r="AV247" s="68" t="str">
        <f>IF(main!BH250="","",ROUND(main!BH250*100,6))</f>
        <v/>
      </c>
      <c r="AW247" s="68" t="str">
        <f>IF(main!BI250="","",ROUND(main!BI250*100,6))</f>
        <v/>
      </c>
      <c r="AX247" s="68" t="str">
        <f>IF(main!BJ250="","",ROUND(main!BJ250*100,6))</f>
        <v/>
      </c>
      <c r="AY247" s="68" t="str">
        <f>IF(main!BK250="","",ROUND(main!BK250*100,6))</f>
        <v/>
      </c>
      <c r="AZ247" s="68" t="str">
        <f>IF(main!BL250="","",ROUND(main!BL250*100,6))</f>
        <v/>
      </c>
      <c r="BA247" s="68" t="str">
        <f>IF(main!BM250="","",ROUND(main!BM250*100,6))</f>
        <v/>
      </c>
      <c r="BB247" s="68" t="str">
        <f>IF(main!BN250="","",ROUND(main!BN250*100,6))</f>
        <v/>
      </c>
      <c r="BC247" s="68" t="str">
        <f>IF(main!BO250="","",ROUND(main!BO250*100,6))</f>
        <v/>
      </c>
      <c r="BD247" s="68" t="str">
        <f>IF(main!BP250="","",ROUND(main!BP250*100,6))</f>
        <v/>
      </c>
      <c r="BE247" s="68" t="str">
        <f>IF(main!BQ250="","",ROUND(main!BQ250*100,6))</f>
        <v/>
      </c>
      <c r="BF247" s="68" t="str">
        <f>IF(main!BR250="","",ROUND(main!BR250*100,6))</f>
        <v/>
      </c>
      <c r="BG247" s="68" t="str">
        <f>IF(main!BS250="","",ROUND(main!BS250*100,6))</f>
        <v/>
      </c>
      <c r="BH247" s="68" t="str">
        <f>IF(main!BT250="","",ROUND(main!BT250*100,6))</f>
        <v/>
      </c>
      <c r="BI247" s="68" t="str">
        <f>IF(main!BU250="","",ROUND(main!BU250*100,6))</f>
        <v/>
      </c>
      <c r="BJ247" s="68" t="str">
        <f>IF(main!BV250="","",ROUND(main!BV250*100,6))</f>
        <v/>
      </c>
      <c r="BK247" s="68" t="str">
        <f>IF(main!BW250="","",ROUND(main!BW250*100,6))</f>
        <v/>
      </c>
      <c r="BL247" s="68" t="str">
        <f>IF(main!BX250="","",ROUND(main!BX250*100,6))</f>
        <v/>
      </c>
      <c r="BM247" s="68" t="str">
        <f>IF(main!BY250="","",ROUND(main!BY250*100,6))</f>
        <v/>
      </c>
      <c r="BN247" s="68" t="str">
        <f>IF(main!BZ250="","",ROUND(main!BZ250*100,6))</f>
        <v/>
      </c>
      <c r="BO247" s="68" t="str">
        <f>IF(main!CA250="","",ROUND(main!CA250*100,6))</f>
        <v/>
      </c>
      <c r="BP247" s="68" t="str">
        <f>IF(main!CB250="","",ROUND(main!CB250*100,6))</f>
        <v/>
      </c>
      <c r="BQ247" s="68" t="str">
        <f>IF(main!CC250="","",ROUND(main!CC250*100,6))</f>
        <v/>
      </c>
      <c r="BR247" s="68" t="str">
        <f>IF(main!CD250="","",ROUND(main!CD250*100,6))</f>
        <v/>
      </c>
      <c r="BS247" s="68" t="str">
        <f>IF(main!CE250="","",ROUND(main!CE250*100,6))</f>
        <v/>
      </c>
      <c r="BT247" s="68" t="str">
        <f>IF(main!CF250="","",ROUND(main!CF250*100,6))</f>
        <v/>
      </c>
      <c r="BU247" s="68" t="str">
        <f>IF(main!CG250="","",ROUND(main!CG250*100,6))</f>
        <v/>
      </c>
      <c r="BV247" s="68" t="str">
        <f>IF(main!CH250="","",ROUND(main!CH250*100,6))</f>
        <v/>
      </c>
      <c r="BW247" s="68" t="str">
        <f>IF(main!CI250="","",ROUND(main!CI250*100,6))</f>
        <v/>
      </c>
      <c r="BX247" s="68" t="str">
        <f>IF(main!CJ250="","",ROUND(main!CJ250*100,6))</f>
        <v/>
      </c>
      <c r="BY247" s="68" t="str">
        <f>IF(main!CK250="","",ROUND(main!CK250*100,6))</f>
        <v/>
      </c>
      <c r="BZ247" s="68" t="str">
        <f>IF(main!CL250="","",ROUND(main!CL250*100,6))</f>
        <v/>
      </c>
      <c r="CA247" s="68" t="str">
        <f>IF(main!CM250="","",ROUND(main!CM250*100,6))</f>
        <v/>
      </c>
      <c r="CB247" s="68" t="str">
        <f>IF(main!CN250="","",ROUND(main!CN250*100,6))</f>
        <v/>
      </c>
      <c r="CC247" s="68" t="str">
        <f>IF(main!CO250="","",ROUND(main!CO250*100,6))</f>
        <v/>
      </c>
    </row>
    <row r="248" spans="1:81" x14ac:dyDescent="0.25">
      <c r="A248" s="65" t="s">
        <v>409</v>
      </c>
      <c r="B248" s="66" t="str">
        <f>main!C251</f>
        <v>งานฝ้าห้องน้ำ</v>
      </c>
      <c r="C248" s="67">
        <f>main!O251</f>
        <v>100000</v>
      </c>
      <c r="D248" s="65" t="s">
        <v>110</v>
      </c>
      <c r="E248" s="68">
        <f t="shared" si="3"/>
        <v>100</v>
      </c>
      <c r="F248" s="68" t="str">
        <f>IF(main!R251="","",ROUND(main!R251*100,6))</f>
        <v/>
      </c>
      <c r="G248" s="68" t="str">
        <f>IF(main!S251="","",ROUND(main!S251*100,6))</f>
        <v/>
      </c>
      <c r="H248" s="68" t="str">
        <f>IF(main!T251="","",ROUND(main!T251*100,6))</f>
        <v/>
      </c>
      <c r="I248" s="68" t="str">
        <f>IF(main!U251="","",ROUND(main!U251*100,6))</f>
        <v/>
      </c>
      <c r="J248" s="68" t="str">
        <f>IF(main!V251="","",ROUND(main!V251*100,6))</f>
        <v/>
      </c>
      <c r="K248" s="68" t="str">
        <f>IF(main!W251="","",ROUND(main!W251*100,6))</f>
        <v/>
      </c>
      <c r="L248" s="68" t="str">
        <f>IF(main!X251="","",ROUND(main!X251*100,6))</f>
        <v/>
      </c>
      <c r="M248" s="68" t="str">
        <f>IF(main!Y251="","",ROUND(main!Y251*100,6))</f>
        <v/>
      </c>
      <c r="N248" s="68" t="str">
        <f>IF(main!Z251="","",ROUND(main!Z251*100,6))</f>
        <v/>
      </c>
      <c r="O248" s="68" t="str">
        <f>IF(main!AA251="","",ROUND(main!AA251*100,6))</f>
        <v/>
      </c>
      <c r="P248" s="68" t="str">
        <f>IF(main!AB251="","",ROUND(main!AB251*100,6))</f>
        <v/>
      </c>
      <c r="Q248" s="68" t="str">
        <f>IF(main!AC251="","",ROUND(main!AC251*100,6))</f>
        <v/>
      </c>
      <c r="R248" s="68" t="str">
        <f>IF(main!AD251="","",ROUND(main!AD251*100,6))</f>
        <v/>
      </c>
      <c r="S248" s="68" t="str">
        <f>IF(main!AE251="","",ROUND(main!AE251*100,6))</f>
        <v/>
      </c>
      <c r="T248" s="68" t="str">
        <f>IF(main!AF251="","",ROUND(main!AF251*100,6))</f>
        <v/>
      </c>
      <c r="U248" s="68" t="str">
        <f>IF(main!AG251="","",ROUND(main!AG251*100,6))</f>
        <v/>
      </c>
      <c r="V248" s="68" t="str">
        <f>IF(main!AH251="","",ROUND(main!AH251*100,6))</f>
        <v/>
      </c>
      <c r="W248" s="68" t="str">
        <f>IF(main!AI251="","",ROUND(main!AI251*100,6))</f>
        <v/>
      </c>
      <c r="X248" s="68" t="str">
        <f>IF(main!AJ251="","",ROUND(main!AJ251*100,6))</f>
        <v/>
      </c>
      <c r="Y248" s="68" t="str">
        <f>IF(main!AK251="","",ROUND(main!AK251*100,6))</f>
        <v/>
      </c>
      <c r="Z248" s="68" t="str">
        <f>IF(main!AL251="","",ROUND(main!AL251*100,6))</f>
        <v/>
      </c>
      <c r="AA248" s="68" t="str">
        <f>IF(main!AM251="","",ROUND(main!AM251*100,6))</f>
        <v/>
      </c>
      <c r="AB248" s="68" t="str">
        <f>IF(main!AN251="","",ROUND(main!AN251*100,6))</f>
        <v/>
      </c>
      <c r="AC248" s="68" t="str">
        <f>IF(main!AO251="","",ROUND(main!AO251*100,6))</f>
        <v/>
      </c>
      <c r="AD248" s="68" t="str">
        <f>IF(main!AP251="","",ROUND(main!AP251*100,6))</f>
        <v/>
      </c>
      <c r="AE248" s="68" t="str">
        <f>IF(main!AQ251="","",ROUND(main!AQ251*100,6))</f>
        <v/>
      </c>
      <c r="AF248" s="68" t="str">
        <f>IF(main!AR251="","",ROUND(main!AR251*100,6))</f>
        <v/>
      </c>
      <c r="AG248" s="68" t="str">
        <f>IF(main!AS251="","",ROUND(main!AS251*100,6))</f>
        <v/>
      </c>
      <c r="AH248" s="68" t="str">
        <f>IF(main!AT251="","",ROUND(main!AT251*100,6))</f>
        <v/>
      </c>
      <c r="AI248" s="68" t="str">
        <f>IF(main!AU251="","",ROUND(main!AU251*100,6))</f>
        <v/>
      </c>
      <c r="AJ248" s="68" t="str">
        <f>IF(main!AV251="","",ROUND(main!AV251*100,6))</f>
        <v/>
      </c>
      <c r="AK248" s="68" t="str">
        <f>IF(main!AW251="","",ROUND(main!AW251*100,6))</f>
        <v/>
      </c>
      <c r="AL248" s="68" t="str">
        <f>IF(main!AX251="","",ROUND(main!AX251*100,6))</f>
        <v/>
      </c>
      <c r="AM248" s="68" t="str">
        <f>IF(main!AY251="","",ROUND(main!AY251*100,6))</f>
        <v/>
      </c>
      <c r="AN248" s="68" t="str">
        <f>IF(main!AZ251="","",ROUND(main!AZ251*100,6))</f>
        <v/>
      </c>
      <c r="AO248" s="68" t="str">
        <f>IF(main!BA251="","",ROUND(main!BA251*100,6))</f>
        <v/>
      </c>
      <c r="AP248" s="68" t="str">
        <f>IF(main!BB251="","",ROUND(main!BB251*100,6))</f>
        <v/>
      </c>
      <c r="AQ248" s="68" t="str">
        <f>IF(main!BC251="","",ROUND(main!BC251*100,6))</f>
        <v/>
      </c>
      <c r="AR248" s="68" t="str">
        <f>IF(main!BD251="","",ROUND(main!BD251*100,6))</f>
        <v/>
      </c>
      <c r="AS248" s="68" t="str">
        <f>IF(main!BE251="","",ROUND(main!BE251*100,6))</f>
        <v/>
      </c>
      <c r="AT248" s="68" t="str">
        <f>IF(main!BF251="","",ROUND(main!BF251*100,6))</f>
        <v/>
      </c>
      <c r="AU248" s="68" t="str">
        <f>IF(main!BG251="","",ROUND(main!BG251*100,6))</f>
        <v/>
      </c>
      <c r="AV248" s="68" t="str">
        <f>IF(main!BH251="","",ROUND(main!BH251*100,6))</f>
        <v/>
      </c>
      <c r="AW248" s="68" t="str">
        <f>IF(main!BI251="","",ROUND(main!BI251*100,6))</f>
        <v/>
      </c>
      <c r="AX248" s="68" t="str">
        <f>IF(main!BJ251="","",ROUND(main!BJ251*100,6))</f>
        <v/>
      </c>
      <c r="AY248" s="68" t="str">
        <f>IF(main!BK251="","",ROUND(main!BK251*100,6))</f>
        <v/>
      </c>
      <c r="AZ248" s="68" t="str">
        <f>IF(main!BL251="","",ROUND(main!BL251*100,6))</f>
        <v/>
      </c>
      <c r="BA248" s="68" t="str">
        <f>IF(main!BM251="","",ROUND(main!BM251*100,6))</f>
        <v/>
      </c>
      <c r="BB248" s="68" t="str">
        <f>IF(main!BN251="","",ROUND(main!BN251*100,6))</f>
        <v/>
      </c>
      <c r="BC248" s="68" t="str">
        <f>IF(main!BO251="","",ROUND(main!BO251*100,6))</f>
        <v/>
      </c>
      <c r="BD248" s="68" t="str">
        <f>IF(main!BP251="","",ROUND(main!BP251*100,6))</f>
        <v/>
      </c>
      <c r="BE248" s="68" t="str">
        <f>IF(main!BQ251="","",ROUND(main!BQ251*100,6))</f>
        <v/>
      </c>
      <c r="BF248" s="68" t="str">
        <f>IF(main!BR251="","",ROUND(main!BR251*100,6))</f>
        <v/>
      </c>
      <c r="BG248" s="68" t="str">
        <f>IF(main!BS251="","",ROUND(main!BS251*100,6))</f>
        <v/>
      </c>
      <c r="BH248" s="68" t="str">
        <f>IF(main!BT251="","",ROUND(main!BT251*100,6))</f>
        <v/>
      </c>
      <c r="BI248" s="68" t="str">
        <f>IF(main!BU251="","",ROUND(main!BU251*100,6))</f>
        <v/>
      </c>
      <c r="BJ248" s="68" t="str">
        <f>IF(main!BV251="","",ROUND(main!BV251*100,6))</f>
        <v/>
      </c>
      <c r="BK248" s="68" t="str">
        <f>IF(main!BW251="","",ROUND(main!BW251*100,6))</f>
        <v/>
      </c>
      <c r="BL248" s="68">
        <f>IF(main!BX251="","",ROUND(main!BX251*100,6))</f>
        <v>41.666666999999997</v>
      </c>
      <c r="BM248" s="68">
        <f>IF(main!BY251="","",ROUND(main!BY251*100,6))</f>
        <v>58.333333000000003</v>
      </c>
      <c r="BN248" s="68" t="str">
        <f>IF(main!BZ251="","",ROUND(main!BZ251*100,6))</f>
        <v/>
      </c>
      <c r="BO248" s="68" t="str">
        <f>IF(main!CA251="","",ROUND(main!CA251*100,6))</f>
        <v/>
      </c>
      <c r="BP248" s="68" t="str">
        <f>IF(main!CB251="","",ROUND(main!CB251*100,6))</f>
        <v/>
      </c>
      <c r="BQ248" s="68" t="str">
        <f>IF(main!CC251="","",ROUND(main!CC251*100,6))</f>
        <v/>
      </c>
      <c r="BR248" s="68" t="str">
        <f>IF(main!CD251="","",ROUND(main!CD251*100,6))</f>
        <v/>
      </c>
      <c r="BS248" s="68" t="str">
        <f>IF(main!CE251="","",ROUND(main!CE251*100,6))</f>
        <v/>
      </c>
      <c r="BT248" s="68" t="str">
        <f>IF(main!CF251="","",ROUND(main!CF251*100,6))</f>
        <v/>
      </c>
      <c r="BU248" s="68" t="str">
        <f>IF(main!CG251="","",ROUND(main!CG251*100,6))</f>
        <v/>
      </c>
      <c r="BV248" s="68" t="str">
        <f>IF(main!CH251="","",ROUND(main!CH251*100,6))</f>
        <v/>
      </c>
      <c r="BW248" s="68" t="str">
        <f>IF(main!CI251="","",ROUND(main!CI251*100,6))</f>
        <v/>
      </c>
      <c r="BX248" s="68" t="str">
        <f>IF(main!CJ251="","",ROUND(main!CJ251*100,6))</f>
        <v/>
      </c>
      <c r="BY248" s="68" t="str">
        <f>IF(main!CK251="","",ROUND(main!CK251*100,6))</f>
        <v/>
      </c>
      <c r="BZ248" s="68" t="str">
        <f>IF(main!CL251="","",ROUND(main!CL251*100,6))</f>
        <v/>
      </c>
      <c r="CA248" s="68" t="str">
        <f>IF(main!CM251="","",ROUND(main!CM251*100,6))</f>
        <v/>
      </c>
      <c r="CB248" s="68" t="str">
        <f>IF(main!CN251="","",ROUND(main!CN251*100,6))</f>
        <v/>
      </c>
      <c r="CC248" s="68" t="str">
        <f>IF(main!CO251="","",ROUND(main!CO251*100,6))</f>
        <v/>
      </c>
    </row>
    <row r="249" spans="1:81" x14ac:dyDescent="0.25">
      <c r="A249" s="65" t="s">
        <v>409</v>
      </c>
      <c r="B249" s="66" t="str">
        <f>main!C251</f>
        <v>งานฝ้าห้องน้ำ</v>
      </c>
      <c r="C249" s="67">
        <f>main!O251</f>
        <v>100000</v>
      </c>
      <c r="D249" s="65" t="s">
        <v>111</v>
      </c>
      <c r="E249" s="68" t="str">
        <f t="shared" si="3"/>
        <v/>
      </c>
      <c r="F249" s="68" t="str">
        <f>IF(main!R252="","",ROUND(main!R252*100,6))</f>
        <v/>
      </c>
      <c r="G249" s="68" t="str">
        <f>IF(main!S252="","",ROUND(main!S252*100,6))</f>
        <v/>
      </c>
      <c r="H249" s="68" t="str">
        <f>IF(main!T252="","",ROUND(main!T252*100,6))</f>
        <v/>
      </c>
      <c r="I249" s="68" t="str">
        <f>IF(main!U252="","",ROUND(main!U252*100,6))</f>
        <v/>
      </c>
      <c r="J249" s="68" t="str">
        <f>IF(main!V252="","",ROUND(main!V252*100,6))</f>
        <v/>
      </c>
      <c r="K249" s="68" t="str">
        <f>IF(main!W252="","",ROUND(main!W252*100,6))</f>
        <v/>
      </c>
      <c r="L249" s="68" t="str">
        <f>IF(main!X252="","",ROUND(main!X252*100,6))</f>
        <v/>
      </c>
      <c r="M249" s="68" t="str">
        <f>IF(main!Y252="","",ROUND(main!Y252*100,6))</f>
        <v/>
      </c>
      <c r="N249" s="68" t="str">
        <f>IF(main!Z252="","",ROUND(main!Z252*100,6))</f>
        <v/>
      </c>
      <c r="O249" s="68" t="str">
        <f>IF(main!AA252="","",ROUND(main!AA252*100,6))</f>
        <v/>
      </c>
      <c r="P249" s="68" t="str">
        <f>IF(main!AB252="","",ROUND(main!AB252*100,6))</f>
        <v/>
      </c>
      <c r="Q249" s="68" t="str">
        <f>IF(main!AC252="","",ROUND(main!AC252*100,6))</f>
        <v/>
      </c>
      <c r="R249" s="68" t="str">
        <f>IF(main!AD252="","",ROUND(main!AD252*100,6))</f>
        <v/>
      </c>
      <c r="S249" s="68" t="str">
        <f>IF(main!AE252="","",ROUND(main!AE252*100,6))</f>
        <v/>
      </c>
      <c r="T249" s="68" t="str">
        <f>IF(main!AF252="","",ROUND(main!AF252*100,6))</f>
        <v/>
      </c>
      <c r="U249" s="68" t="str">
        <f>IF(main!AG252="","",ROUND(main!AG252*100,6))</f>
        <v/>
      </c>
      <c r="V249" s="68" t="str">
        <f>IF(main!AH252="","",ROUND(main!AH252*100,6))</f>
        <v/>
      </c>
      <c r="W249" s="68" t="str">
        <f>IF(main!AI252="","",ROUND(main!AI252*100,6))</f>
        <v/>
      </c>
      <c r="X249" s="68" t="str">
        <f>IF(main!AJ252="","",ROUND(main!AJ252*100,6))</f>
        <v/>
      </c>
      <c r="Y249" s="68" t="str">
        <f>IF(main!AK252="","",ROUND(main!AK252*100,6))</f>
        <v/>
      </c>
      <c r="Z249" s="68" t="str">
        <f>IF(main!AL252="","",ROUND(main!AL252*100,6))</f>
        <v/>
      </c>
      <c r="AA249" s="68" t="str">
        <f>IF(main!AM252="","",ROUND(main!AM252*100,6))</f>
        <v/>
      </c>
      <c r="AB249" s="68" t="str">
        <f>IF(main!AN252="","",ROUND(main!AN252*100,6))</f>
        <v/>
      </c>
      <c r="AC249" s="68" t="str">
        <f>IF(main!AO252="","",ROUND(main!AO252*100,6))</f>
        <v/>
      </c>
      <c r="AD249" s="68" t="str">
        <f>IF(main!AP252="","",ROUND(main!AP252*100,6))</f>
        <v/>
      </c>
      <c r="AE249" s="68" t="str">
        <f>IF(main!AQ252="","",ROUND(main!AQ252*100,6))</f>
        <v/>
      </c>
      <c r="AF249" s="68" t="str">
        <f>IF(main!AR252="","",ROUND(main!AR252*100,6))</f>
        <v/>
      </c>
      <c r="AG249" s="68" t="str">
        <f>IF(main!AS252="","",ROUND(main!AS252*100,6))</f>
        <v/>
      </c>
      <c r="AH249" s="68" t="str">
        <f>IF(main!AT252="","",ROUND(main!AT252*100,6))</f>
        <v/>
      </c>
      <c r="AI249" s="68" t="str">
        <f>IF(main!AU252="","",ROUND(main!AU252*100,6))</f>
        <v/>
      </c>
      <c r="AJ249" s="68" t="str">
        <f>IF(main!AV252="","",ROUND(main!AV252*100,6))</f>
        <v/>
      </c>
      <c r="AK249" s="68" t="str">
        <f>IF(main!AW252="","",ROUND(main!AW252*100,6))</f>
        <v/>
      </c>
      <c r="AL249" s="68" t="str">
        <f>IF(main!AX252="","",ROUND(main!AX252*100,6))</f>
        <v/>
      </c>
      <c r="AM249" s="68" t="str">
        <f>IF(main!AY252="","",ROUND(main!AY252*100,6))</f>
        <v/>
      </c>
      <c r="AN249" s="68" t="str">
        <f>IF(main!AZ252="","",ROUND(main!AZ252*100,6))</f>
        <v/>
      </c>
      <c r="AO249" s="68" t="str">
        <f>IF(main!BA252="","",ROUND(main!BA252*100,6))</f>
        <v/>
      </c>
      <c r="AP249" s="68" t="str">
        <f>IF(main!BB252="","",ROUND(main!BB252*100,6))</f>
        <v/>
      </c>
      <c r="AQ249" s="68" t="str">
        <f>IF(main!BC252="","",ROUND(main!BC252*100,6))</f>
        <v/>
      </c>
      <c r="AR249" s="68" t="str">
        <f>IF(main!BD252="","",ROUND(main!BD252*100,6))</f>
        <v/>
      </c>
      <c r="AS249" s="68" t="str">
        <f>IF(main!BE252="","",ROUND(main!BE252*100,6))</f>
        <v/>
      </c>
      <c r="AT249" s="68" t="str">
        <f>IF(main!BF252="","",ROUND(main!BF252*100,6))</f>
        <v/>
      </c>
      <c r="AU249" s="68" t="str">
        <f>IF(main!BG252="","",ROUND(main!BG252*100,6))</f>
        <v/>
      </c>
      <c r="AV249" s="68" t="str">
        <f>IF(main!BH252="","",ROUND(main!BH252*100,6))</f>
        <v/>
      </c>
      <c r="AW249" s="68" t="str">
        <f>IF(main!BI252="","",ROUND(main!BI252*100,6))</f>
        <v/>
      </c>
      <c r="AX249" s="68" t="str">
        <f>IF(main!BJ252="","",ROUND(main!BJ252*100,6))</f>
        <v/>
      </c>
      <c r="AY249" s="68" t="str">
        <f>IF(main!BK252="","",ROUND(main!BK252*100,6))</f>
        <v/>
      </c>
      <c r="AZ249" s="68" t="str">
        <f>IF(main!BL252="","",ROUND(main!BL252*100,6))</f>
        <v/>
      </c>
      <c r="BA249" s="68" t="str">
        <f>IF(main!BM252="","",ROUND(main!BM252*100,6))</f>
        <v/>
      </c>
      <c r="BB249" s="68" t="str">
        <f>IF(main!BN252="","",ROUND(main!BN252*100,6))</f>
        <v/>
      </c>
      <c r="BC249" s="68" t="str">
        <f>IF(main!BO252="","",ROUND(main!BO252*100,6))</f>
        <v/>
      </c>
      <c r="BD249" s="68" t="str">
        <f>IF(main!BP252="","",ROUND(main!BP252*100,6))</f>
        <v/>
      </c>
      <c r="BE249" s="68" t="str">
        <f>IF(main!BQ252="","",ROUND(main!BQ252*100,6))</f>
        <v/>
      </c>
      <c r="BF249" s="68" t="str">
        <f>IF(main!BR252="","",ROUND(main!BR252*100,6))</f>
        <v/>
      </c>
      <c r="BG249" s="68" t="str">
        <f>IF(main!BS252="","",ROUND(main!BS252*100,6))</f>
        <v/>
      </c>
      <c r="BH249" s="68" t="str">
        <f>IF(main!BT252="","",ROUND(main!BT252*100,6))</f>
        <v/>
      </c>
      <c r="BI249" s="68" t="str">
        <f>IF(main!BU252="","",ROUND(main!BU252*100,6))</f>
        <v/>
      </c>
      <c r="BJ249" s="68" t="str">
        <f>IF(main!BV252="","",ROUND(main!BV252*100,6))</f>
        <v/>
      </c>
      <c r="BK249" s="68" t="str">
        <f>IF(main!BW252="","",ROUND(main!BW252*100,6))</f>
        <v/>
      </c>
      <c r="BL249" s="68" t="str">
        <f>IF(main!BX252="","",ROUND(main!BX252*100,6))</f>
        <v/>
      </c>
      <c r="BM249" s="68" t="str">
        <f>IF(main!BY252="","",ROUND(main!BY252*100,6))</f>
        <v/>
      </c>
      <c r="BN249" s="68" t="str">
        <f>IF(main!BZ252="","",ROUND(main!BZ252*100,6))</f>
        <v/>
      </c>
      <c r="BO249" s="68" t="str">
        <f>IF(main!CA252="","",ROUND(main!CA252*100,6))</f>
        <v/>
      </c>
      <c r="BP249" s="68" t="str">
        <f>IF(main!CB252="","",ROUND(main!CB252*100,6))</f>
        <v/>
      </c>
      <c r="BQ249" s="68" t="str">
        <f>IF(main!CC252="","",ROUND(main!CC252*100,6))</f>
        <v/>
      </c>
      <c r="BR249" s="68" t="str">
        <f>IF(main!CD252="","",ROUND(main!CD252*100,6))</f>
        <v/>
      </c>
      <c r="BS249" s="68" t="str">
        <f>IF(main!CE252="","",ROUND(main!CE252*100,6))</f>
        <v/>
      </c>
      <c r="BT249" s="68" t="str">
        <f>IF(main!CF252="","",ROUND(main!CF252*100,6))</f>
        <v/>
      </c>
      <c r="BU249" s="68" t="str">
        <f>IF(main!CG252="","",ROUND(main!CG252*100,6))</f>
        <v/>
      </c>
      <c r="BV249" s="68" t="str">
        <f>IF(main!CH252="","",ROUND(main!CH252*100,6))</f>
        <v/>
      </c>
      <c r="BW249" s="68" t="str">
        <f>IF(main!CI252="","",ROUND(main!CI252*100,6))</f>
        <v/>
      </c>
      <c r="BX249" s="68" t="str">
        <f>IF(main!CJ252="","",ROUND(main!CJ252*100,6))</f>
        <v/>
      </c>
      <c r="BY249" s="68" t="str">
        <f>IF(main!CK252="","",ROUND(main!CK252*100,6))</f>
        <v/>
      </c>
      <c r="BZ249" s="68" t="str">
        <f>IF(main!CL252="","",ROUND(main!CL252*100,6))</f>
        <v/>
      </c>
      <c r="CA249" s="68" t="str">
        <f>IF(main!CM252="","",ROUND(main!CM252*100,6))</f>
        <v/>
      </c>
      <c r="CB249" s="68" t="str">
        <f>IF(main!CN252="","",ROUND(main!CN252*100,6))</f>
        <v/>
      </c>
      <c r="CC249" s="68" t="str">
        <f>IF(main!CO252="","",ROUND(main!CO252*100,6))</f>
        <v/>
      </c>
    </row>
    <row r="250" spans="1:81" x14ac:dyDescent="0.25">
      <c r="A250" s="65" t="s">
        <v>411</v>
      </c>
      <c r="B250" s="66" t="str">
        <f>main!C253</f>
        <v>งานแต่งเรียบท้องพื้น ท้องคาน</v>
      </c>
      <c r="C250" s="67">
        <f>main!O253</f>
        <v>100000</v>
      </c>
      <c r="D250" s="65" t="s">
        <v>110</v>
      </c>
      <c r="E250" s="68">
        <f t="shared" si="3"/>
        <v>100</v>
      </c>
      <c r="F250" s="68" t="str">
        <f>IF(main!R253="","",ROUND(main!R253*100,6))</f>
        <v/>
      </c>
      <c r="G250" s="68" t="str">
        <f>IF(main!S253="","",ROUND(main!S253*100,6))</f>
        <v/>
      </c>
      <c r="H250" s="68" t="str">
        <f>IF(main!T253="","",ROUND(main!T253*100,6))</f>
        <v/>
      </c>
      <c r="I250" s="68" t="str">
        <f>IF(main!U253="","",ROUND(main!U253*100,6))</f>
        <v/>
      </c>
      <c r="J250" s="68" t="str">
        <f>IF(main!V253="","",ROUND(main!V253*100,6))</f>
        <v/>
      </c>
      <c r="K250" s="68" t="str">
        <f>IF(main!W253="","",ROUND(main!W253*100,6))</f>
        <v/>
      </c>
      <c r="L250" s="68" t="str">
        <f>IF(main!X253="","",ROUND(main!X253*100,6))</f>
        <v/>
      </c>
      <c r="M250" s="68" t="str">
        <f>IF(main!Y253="","",ROUND(main!Y253*100,6))</f>
        <v/>
      </c>
      <c r="N250" s="68" t="str">
        <f>IF(main!Z253="","",ROUND(main!Z253*100,6))</f>
        <v/>
      </c>
      <c r="O250" s="68" t="str">
        <f>IF(main!AA253="","",ROUND(main!AA253*100,6))</f>
        <v/>
      </c>
      <c r="P250" s="68" t="str">
        <f>IF(main!AB253="","",ROUND(main!AB253*100,6))</f>
        <v/>
      </c>
      <c r="Q250" s="68" t="str">
        <f>IF(main!AC253="","",ROUND(main!AC253*100,6))</f>
        <v/>
      </c>
      <c r="R250" s="68" t="str">
        <f>IF(main!AD253="","",ROUND(main!AD253*100,6))</f>
        <v/>
      </c>
      <c r="S250" s="68" t="str">
        <f>IF(main!AE253="","",ROUND(main!AE253*100,6))</f>
        <v/>
      </c>
      <c r="T250" s="68" t="str">
        <f>IF(main!AF253="","",ROUND(main!AF253*100,6))</f>
        <v/>
      </c>
      <c r="U250" s="68" t="str">
        <f>IF(main!AG253="","",ROUND(main!AG253*100,6))</f>
        <v/>
      </c>
      <c r="V250" s="68" t="str">
        <f>IF(main!AH253="","",ROUND(main!AH253*100,6))</f>
        <v/>
      </c>
      <c r="W250" s="68" t="str">
        <f>IF(main!AI253="","",ROUND(main!AI253*100,6))</f>
        <v/>
      </c>
      <c r="X250" s="68" t="str">
        <f>IF(main!AJ253="","",ROUND(main!AJ253*100,6))</f>
        <v/>
      </c>
      <c r="Y250" s="68" t="str">
        <f>IF(main!AK253="","",ROUND(main!AK253*100,6))</f>
        <v/>
      </c>
      <c r="Z250" s="68" t="str">
        <f>IF(main!AL253="","",ROUND(main!AL253*100,6))</f>
        <v/>
      </c>
      <c r="AA250" s="68" t="str">
        <f>IF(main!AM253="","",ROUND(main!AM253*100,6))</f>
        <v/>
      </c>
      <c r="AB250" s="68" t="str">
        <f>IF(main!AN253="","",ROUND(main!AN253*100,6))</f>
        <v/>
      </c>
      <c r="AC250" s="68" t="str">
        <f>IF(main!AO253="","",ROUND(main!AO253*100,6))</f>
        <v/>
      </c>
      <c r="AD250" s="68" t="str">
        <f>IF(main!AP253="","",ROUND(main!AP253*100,6))</f>
        <v/>
      </c>
      <c r="AE250" s="68" t="str">
        <f>IF(main!AQ253="","",ROUND(main!AQ253*100,6))</f>
        <v/>
      </c>
      <c r="AF250" s="68" t="str">
        <f>IF(main!AR253="","",ROUND(main!AR253*100,6))</f>
        <v/>
      </c>
      <c r="AG250" s="68" t="str">
        <f>IF(main!AS253="","",ROUND(main!AS253*100,6))</f>
        <v/>
      </c>
      <c r="AH250" s="68" t="str">
        <f>IF(main!AT253="","",ROUND(main!AT253*100,6))</f>
        <v/>
      </c>
      <c r="AI250" s="68" t="str">
        <f>IF(main!AU253="","",ROUND(main!AU253*100,6))</f>
        <v/>
      </c>
      <c r="AJ250" s="68" t="str">
        <f>IF(main!AV253="","",ROUND(main!AV253*100,6))</f>
        <v/>
      </c>
      <c r="AK250" s="68" t="str">
        <f>IF(main!AW253="","",ROUND(main!AW253*100,6))</f>
        <v/>
      </c>
      <c r="AL250" s="68" t="str">
        <f>IF(main!AX253="","",ROUND(main!AX253*100,6))</f>
        <v/>
      </c>
      <c r="AM250" s="68" t="str">
        <f>IF(main!AY253="","",ROUND(main!AY253*100,6))</f>
        <v/>
      </c>
      <c r="AN250" s="68" t="str">
        <f>IF(main!AZ253="","",ROUND(main!AZ253*100,6))</f>
        <v/>
      </c>
      <c r="AO250" s="68" t="str">
        <f>IF(main!BA253="","",ROUND(main!BA253*100,6))</f>
        <v/>
      </c>
      <c r="AP250" s="68" t="str">
        <f>IF(main!BB253="","",ROUND(main!BB253*100,6))</f>
        <v/>
      </c>
      <c r="AQ250" s="68" t="str">
        <f>IF(main!BC253="","",ROUND(main!BC253*100,6))</f>
        <v/>
      </c>
      <c r="AR250" s="68" t="str">
        <f>IF(main!BD253="","",ROUND(main!BD253*100,6))</f>
        <v/>
      </c>
      <c r="AS250" s="68" t="str">
        <f>IF(main!BE253="","",ROUND(main!BE253*100,6))</f>
        <v/>
      </c>
      <c r="AT250" s="68" t="str">
        <f>IF(main!BF253="","",ROUND(main!BF253*100,6))</f>
        <v/>
      </c>
      <c r="AU250" s="68" t="str">
        <f>IF(main!BG253="","",ROUND(main!BG253*100,6))</f>
        <v/>
      </c>
      <c r="AV250" s="68" t="str">
        <f>IF(main!BH253="","",ROUND(main!BH253*100,6))</f>
        <v/>
      </c>
      <c r="AW250" s="68" t="str">
        <f>IF(main!BI253="","",ROUND(main!BI253*100,6))</f>
        <v/>
      </c>
      <c r="AX250" s="68" t="str">
        <f>IF(main!BJ253="","",ROUND(main!BJ253*100,6))</f>
        <v/>
      </c>
      <c r="AY250" s="68" t="str">
        <f>IF(main!BK253="","",ROUND(main!BK253*100,6))</f>
        <v/>
      </c>
      <c r="AZ250" s="68" t="str">
        <f>IF(main!BL253="","",ROUND(main!BL253*100,6))</f>
        <v/>
      </c>
      <c r="BA250" s="68">
        <f>IF(main!BM253="","",ROUND(main!BM253*100,6))</f>
        <v>4.7619049999999996</v>
      </c>
      <c r="BB250" s="68">
        <f>IF(main!BN253="","",ROUND(main!BN253*100,6))</f>
        <v>33.333333000000003</v>
      </c>
      <c r="BC250" s="68">
        <f>IF(main!BO253="","",ROUND(main!BO253*100,6))</f>
        <v>33.333333000000003</v>
      </c>
      <c r="BD250" s="68">
        <f>IF(main!BP253="","",ROUND(main!BP253*100,6))</f>
        <v>28.571428999999998</v>
      </c>
      <c r="BE250" s="68" t="str">
        <f>IF(main!BQ253="","",ROUND(main!BQ253*100,6))</f>
        <v/>
      </c>
      <c r="BF250" s="68" t="str">
        <f>IF(main!BR253="","",ROUND(main!BR253*100,6))</f>
        <v/>
      </c>
      <c r="BG250" s="68" t="str">
        <f>IF(main!BS253="","",ROUND(main!BS253*100,6))</f>
        <v/>
      </c>
      <c r="BH250" s="68" t="str">
        <f>IF(main!BT253="","",ROUND(main!BT253*100,6))</f>
        <v/>
      </c>
      <c r="BI250" s="68" t="str">
        <f>IF(main!BU253="","",ROUND(main!BU253*100,6))</f>
        <v/>
      </c>
      <c r="BJ250" s="68" t="str">
        <f>IF(main!BV253="","",ROUND(main!BV253*100,6))</f>
        <v/>
      </c>
      <c r="BK250" s="68" t="str">
        <f>IF(main!BW253="","",ROUND(main!BW253*100,6))</f>
        <v/>
      </c>
      <c r="BL250" s="68" t="str">
        <f>IF(main!BX253="","",ROUND(main!BX253*100,6))</f>
        <v/>
      </c>
      <c r="BM250" s="68" t="str">
        <f>IF(main!BY253="","",ROUND(main!BY253*100,6))</f>
        <v/>
      </c>
      <c r="BN250" s="68" t="str">
        <f>IF(main!BZ253="","",ROUND(main!BZ253*100,6))</f>
        <v/>
      </c>
      <c r="BO250" s="68" t="str">
        <f>IF(main!CA253="","",ROUND(main!CA253*100,6))</f>
        <v/>
      </c>
      <c r="BP250" s="68" t="str">
        <f>IF(main!CB253="","",ROUND(main!CB253*100,6))</f>
        <v/>
      </c>
      <c r="BQ250" s="68" t="str">
        <f>IF(main!CC253="","",ROUND(main!CC253*100,6))</f>
        <v/>
      </c>
      <c r="BR250" s="68" t="str">
        <f>IF(main!CD253="","",ROUND(main!CD253*100,6))</f>
        <v/>
      </c>
      <c r="BS250" s="68" t="str">
        <f>IF(main!CE253="","",ROUND(main!CE253*100,6))</f>
        <v/>
      </c>
      <c r="BT250" s="68" t="str">
        <f>IF(main!CF253="","",ROUND(main!CF253*100,6))</f>
        <v/>
      </c>
      <c r="BU250" s="68" t="str">
        <f>IF(main!CG253="","",ROUND(main!CG253*100,6))</f>
        <v/>
      </c>
      <c r="BV250" s="68" t="str">
        <f>IF(main!CH253="","",ROUND(main!CH253*100,6))</f>
        <v/>
      </c>
      <c r="BW250" s="68" t="str">
        <f>IF(main!CI253="","",ROUND(main!CI253*100,6))</f>
        <v/>
      </c>
      <c r="BX250" s="68" t="str">
        <f>IF(main!CJ253="","",ROUND(main!CJ253*100,6))</f>
        <v/>
      </c>
      <c r="BY250" s="68" t="str">
        <f>IF(main!CK253="","",ROUND(main!CK253*100,6))</f>
        <v/>
      </c>
      <c r="BZ250" s="68" t="str">
        <f>IF(main!CL253="","",ROUND(main!CL253*100,6))</f>
        <v/>
      </c>
      <c r="CA250" s="68" t="str">
        <f>IF(main!CM253="","",ROUND(main!CM253*100,6))</f>
        <v/>
      </c>
      <c r="CB250" s="68" t="str">
        <f>IF(main!CN253="","",ROUND(main!CN253*100,6))</f>
        <v/>
      </c>
      <c r="CC250" s="68" t="str">
        <f>IF(main!CO253="","",ROUND(main!CO253*100,6))</f>
        <v/>
      </c>
    </row>
    <row r="251" spans="1:81" x14ac:dyDescent="0.25">
      <c r="A251" s="65" t="s">
        <v>411</v>
      </c>
      <c r="B251" s="66" t="str">
        <f>main!C253</f>
        <v>งานแต่งเรียบท้องพื้น ท้องคาน</v>
      </c>
      <c r="C251" s="67">
        <f>main!O253</f>
        <v>100000</v>
      </c>
      <c r="D251" s="65" t="s">
        <v>111</v>
      </c>
      <c r="E251" s="68" t="str">
        <f t="shared" si="3"/>
        <v/>
      </c>
      <c r="F251" s="68" t="str">
        <f>IF(main!R254="","",ROUND(main!R254*100,6))</f>
        <v/>
      </c>
      <c r="G251" s="68" t="str">
        <f>IF(main!S254="","",ROUND(main!S254*100,6))</f>
        <v/>
      </c>
      <c r="H251" s="68" t="str">
        <f>IF(main!T254="","",ROUND(main!T254*100,6))</f>
        <v/>
      </c>
      <c r="I251" s="68" t="str">
        <f>IF(main!U254="","",ROUND(main!U254*100,6))</f>
        <v/>
      </c>
      <c r="J251" s="68" t="str">
        <f>IF(main!V254="","",ROUND(main!V254*100,6))</f>
        <v/>
      </c>
      <c r="K251" s="68" t="str">
        <f>IF(main!W254="","",ROUND(main!W254*100,6))</f>
        <v/>
      </c>
      <c r="L251" s="68" t="str">
        <f>IF(main!X254="","",ROUND(main!X254*100,6))</f>
        <v/>
      </c>
      <c r="M251" s="68" t="str">
        <f>IF(main!Y254="","",ROUND(main!Y254*100,6))</f>
        <v/>
      </c>
      <c r="N251" s="68" t="str">
        <f>IF(main!Z254="","",ROUND(main!Z254*100,6))</f>
        <v/>
      </c>
      <c r="O251" s="68" t="str">
        <f>IF(main!AA254="","",ROUND(main!AA254*100,6))</f>
        <v/>
      </c>
      <c r="P251" s="68" t="str">
        <f>IF(main!AB254="","",ROUND(main!AB254*100,6))</f>
        <v/>
      </c>
      <c r="Q251" s="68" t="str">
        <f>IF(main!AC254="","",ROUND(main!AC254*100,6))</f>
        <v/>
      </c>
      <c r="R251" s="68" t="str">
        <f>IF(main!AD254="","",ROUND(main!AD254*100,6))</f>
        <v/>
      </c>
      <c r="S251" s="68" t="str">
        <f>IF(main!AE254="","",ROUND(main!AE254*100,6))</f>
        <v/>
      </c>
      <c r="T251" s="68" t="str">
        <f>IF(main!AF254="","",ROUND(main!AF254*100,6))</f>
        <v/>
      </c>
      <c r="U251" s="68" t="str">
        <f>IF(main!AG254="","",ROUND(main!AG254*100,6))</f>
        <v/>
      </c>
      <c r="V251" s="68" t="str">
        <f>IF(main!AH254="","",ROUND(main!AH254*100,6))</f>
        <v/>
      </c>
      <c r="W251" s="68" t="str">
        <f>IF(main!AI254="","",ROUND(main!AI254*100,6))</f>
        <v/>
      </c>
      <c r="X251" s="68" t="str">
        <f>IF(main!AJ254="","",ROUND(main!AJ254*100,6))</f>
        <v/>
      </c>
      <c r="Y251" s="68" t="str">
        <f>IF(main!AK254="","",ROUND(main!AK254*100,6))</f>
        <v/>
      </c>
      <c r="Z251" s="68" t="str">
        <f>IF(main!AL254="","",ROUND(main!AL254*100,6))</f>
        <v/>
      </c>
      <c r="AA251" s="68" t="str">
        <f>IF(main!AM254="","",ROUND(main!AM254*100,6))</f>
        <v/>
      </c>
      <c r="AB251" s="68" t="str">
        <f>IF(main!AN254="","",ROUND(main!AN254*100,6))</f>
        <v/>
      </c>
      <c r="AC251" s="68" t="str">
        <f>IF(main!AO254="","",ROUND(main!AO254*100,6))</f>
        <v/>
      </c>
      <c r="AD251" s="68" t="str">
        <f>IF(main!AP254="","",ROUND(main!AP254*100,6))</f>
        <v/>
      </c>
      <c r="AE251" s="68" t="str">
        <f>IF(main!AQ254="","",ROUND(main!AQ254*100,6))</f>
        <v/>
      </c>
      <c r="AF251" s="68" t="str">
        <f>IF(main!AR254="","",ROUND(main!AR254*100,6))</f>
        <v/>
      </c>
      <c r="AG251" s="68" t="str">
        <f>IF(main!AS254="","",ROUND(main!AS254*100,6))</f>
        <v/>
      </c>
      <c r="AH251" s="68" t="str">
        <f>IF(main!AT254="","",ROUND(main!AT254*100,6))</f>
        <v/>
      </c>
      <c r="AI251" s="68" t="str">
        <f>IF(main!AU254="","",ROUND(main!AU254*100,6))</f>
        <v/>
      </c>
      <c r="AJ251" s="68" t="str">
        <f>IF(main!AV254="","",ROUND(main!AV254*100,6))</f>
        <v/>
      </c>
      <c r="AK251" s="68" t="str">
        <f>IF(main!AW254="","",ROUND(main!AW254*100,6))</f>
        <v/>
      </c>
      <c r="AL251" s="68" t="str">
        <f>IF(main!AX254="","",ROUND(main!AX254*100,6))</f>
        <v/>
      </c>
      <c r="AM251" s="68" t="str">
        <f>IF(main!AY254="","",ROUND(main!AY254*100,6))</f>
        <v/>
      </c>
      <c r="AN251" s="68" t="str">
        <f>IF(main!AZ254="","",ROUND(main!AZ254*100,6))</f>
        <v/>
      </c>
      <c r="AO251" s="68" t="str">
        <f>IF(main!BA254="","",ROUND(main!BA254*100,6))</f>
        <v/>
      </c>
      <c r="AP251" s="68" t="str">
        <f>IF(main!BB254="","",ROUND(main!BB254*100,6))</f>
        <v/>
      </c>
      <c r="AQ251" s="68" t="str">
        <f>IF(main!BC254="","",ROUND(main!BC254*100,6))</f>
        <v/>
      </c>
      <c r="AR251" s="68" t="str">
        <f>IF(main!BD254="","",ROUND(main!BD254*100,6))</f>
        <v/>
      </c>
      <c r="AS251" s="68" t="str">
        <f>IF(main!BE254="","",ROUND(main!BE254*100,6))</f>
        <v/>
      </c>
      <c r="AT251" s="68" t="str">
        <f>IF(main!BF254="","",ROUND(main!BF254*100,6))</f>
        <v/>
      </c>
      <c r="AU251" s="68" t="str">
        <f>IF(main!BG254="","",ROUND(main!BG254*100,6))</f>
        <v/>
      </c>
      <c r="AV251" s="68" t="str">
        <f>IF(main!BH254="","",ROUND(main!BH254*100,6))</f>
        <v/>
      </c>
      <c r="AW251" s="68" t="str">
        <f>IF(main!BI254="","",ROUND(main!BI254*100,6))</f>
        <v/>
      </c>
      <c r="AX251" s="68" t="str">
        <f>IF(main!BJ254="","",ROUND(main!BJ254*100,6))</f>
        <v/>
      </c>
      <c r="AY251" s="68" t="str">
        <f>IF(main!BK254="","",ROUND(main!BK254*100,6))</f>
        <v/>
      </c>
      <c r="AZ251" s="68" t="str">
        <f>IF(main!BL254="","",ROUND(main!BL254*100,6))</f>
        <v/>
      </c>
      <c r="BA251" s="68" t="str">
        <f>IF(main!BM254="","",ROUND(main!BM254*100,6))</f>
        <v/>
      </c>
      <c r="BB251" s="68" t="str">
        <f>IF(main!BN254="","",ROUND(main!BN254*100,6))</f>
        <v/>
      </c>
      <c r="BC251" s="68" t="str">
        <f>IF(main!BO254="","",ROUND(main!BO254*100,6))</f>
        <v/>
      </c>
      <c r="BD251" s="68" t="str">
        <f>IF(main!BP254="","",ROUND(main!BP254*100,6))</f>
        <v/>
      </c>
      <c r="BE251" s="68" t="str">
        <f>IF(main!BQ254="","",ROUND(main!BQ254*100,6))</f>
        <v/>
      </c>
      <c r="BF251" s="68" t="str">
        <f>IF(main!BR254="","",ROUND(main!BR254*100,6))</f>
        <v/>
      </c>
      <c r="BG251" s="68" t="str">
        <f>IF(main!BS254="","",ROUND(main!BS254*100,6))</f>
        <v/>
      </c>
      <c r="BH251" s="68" t="str">
        <f>IF(main!BT254="","",ROUND(main!BT254*100,6))</f>
        <v/>
      </c>
      <c r="BI251" s="68" t="str">
        <f>IF(main!BU254="","",ROUND(main!BU254*100,6))</f>
        <v/>
      </c>
      <c r="BJ251" s="68" t="str">
        <f>IF(main!BV254="","",ROUND(main!BV254*100,6))</f>
        <v/>
      </c>
      <c r="BK251" s="68" t="str">
        <f>IF(main!BW254="","",ROUND(main!BW254*100,6))</f>
        <v/>
      </c>
      <c r="BL251" s="68" t="str">
        <f>IF(main!BX254="","",ROUND(main!BX254*100,6))</f>
        <v/>
      </c>
      <c r="BM251" s="68" t="str">
        <f>IF(main!BY254="","",ROUND(main!BY254*100,6))</f>
        <v/>
      </c>
      <c r="BN251" s="68" t="str">
        <f>IF(main!BZ254="","",ROUND(main!BZ254*100,6))</f>
        <v/>
      </c>
      <c r="BO251" s="68" t="str">
        <f>IF(main!CA254="","",ROUND(main!CA254*100,6))</f>
        <v/>
      </c>
      <c r="BP251" s="68" t="str">
        <f>IF(main!CB254="","",ROUND(main!CB254*100,6))</f>
        <v/>
      </c>
      <c r="BQ251" s="68" t="str">
        <f>IF(main!CC254="","",ROUND(main!CC254*100,6))</f>
        <v/>
      </c>
      <c r="BR251" s="68" t="str">
        <f>IF(main!CD254="","",ROUND(main!CD254*100,6))</f>
        <v/>
      </c>
      <c r="BS251" s="68" t="str">
        <f>IF(main!CE254="","",ROUND(main!CE254*100,6))</f>
        <v/>
      </c>
      <c r="BT251" s="68" t="str">
        <f>IF(main!CF254="","",ROUND(main!CF254*100,6))</f>
        <v/>
      </c>
      <c r="BU251" s="68" t="str">
        <f>IF(main!CG254="","",ROUND(main!CG254*100,6))</f>
        <v/>
      </c>
      <c r="BV251" s="68" t="str">
        <f>IF(main!CH254="","",ROUND(main!CH254*100,6))</f>
        <v/>
      </c>
      <c r="BW251" s="68" t="str">
        <f>IF(main!CI254="","",ROUND(main!CI254*100,6))</f>
        <v/>
      </c>
      <c r="BX251" s="68" t="str">
        <f>IF(main!CJ254="","",ROUND(main!CJ254*100,6))</f>
        <v/>
      </c>
      <c r="BY251" s="68" t="str">
        <f>IF(main!CK254="","",ROUND(main!CK254*100,6))</f>
        <v/>
      </c>
      <c r="BZ251" s="68" t="str">
        <f>IF(main!CL254="","",ROUND(main!CL254*100,6))</f>
        <v/>
      </c>
      <c r="CA251" s="68" t="str">
        <f>IF(main!CM254="","",ROUND(main!CM254*100,6))</f>
        <v/>
      </c>
      <c r="CB251" s="68" t="str">
        <f>IF(main!CN254="","",ROUND(main!CN254*100,6))</f>
        <v/>
      </c>
      <c r="CC251" s="68" t="str">
        <f>IF(main!CO254="","",ROUND(main!CO254*100,6))</f>
        <v/>
      </c>
    </row>
    <row r="252" spans="1:81" x14ac:dyDescent="0.25">
      <c r="A252" s="65" t="s">
        <v>413</v>
      </c>
      <c r="B252" s="66" t="str">
        <f>main!C255</f>
        <v>Floor &amp; Floor Fn.</v>
      </c>
      <c r="C252" s="67">
        <f>main!O255</f>
        <v>400000</v>
      </c>
      <c r="D252" s="65" t="s">
        <v>110</v>
      </c>
      <c r="E252" s="68">
        <f t="shared" si="3"/>
        <v>99.999996999999993</v>
      </c>
      <c r="F252" s="68" t="str">
        <f>IF(main!R255="","",ROUND(main!R255*100,6))</f>
        <v/>
      </c>
      <c r="G252" s="68" t="str">
        <f>IF(main!S255="","",ROUND(main!S255*100,6))</f>
        <v/>
      </c>
      <c r="H252" s="68" t="str">
        <f>IF(main!T255="","",ROUND(main!T255*100,6))</f>
        <v/>
      </c>
      <c r="I252" s="68" t="str">
        <f>IF(main!U255="","",ROUND(main!U255*100,6))</f>
        <v/>
      </c>
      <c r="J252" s="68" t="str">
        <f>IF(main!V255="","",ROUND(main!V255*100,6))</f>
        <v/>
      </c>
      <c r="K252" s="68" t="str">
        <f>IF(main!W255="","",ROUND(main!W255*100,6))</f>
        <v/>
      </c>
      <c r="L252" s="68" t="str">
        <f>IF(main!X255="","",ROUND(main!X255*100,6))</f>
        <v/>
      </c>
      <c r="M252" s="68" t="str">
        <f>IF(main!Y255="","",ROUND(main!Y255*100,6))</f>
        <v/>
      </c>
      <c r="N252" s="68" t="str">
        <f>IF(main!Z255="","",ROUND(main!Z255*100,6))</f>
        <v/>
      </c>
      <c r="O252" s="68" t="str">
        <f>IF(main!AA255="","",ROUND(main!AA255*100,6))</f>
        <v/>
      </c>
      <c r="P252" s="68" t="str">
        <f>IF(main!AB255="","",ROUND(main!AB255*100,6))</f>
        <v/>
      </c>
      <c r="Q252" s="68" t="str">
        <f>IF(main!AC255="","",ROUND(main!AC255*100,6))</f>
        <v/>
      </c>
      <c r="R252" s="68" t="str">
        <f>IF(main!AD255="","",ROUND(main!AD255*100,6))</f>
        <v/>
      </c>
      <c r="S252" s="68" t="str">
        <f>IF(main!AE255="","",ROUND(main!AE255*100,6))</f>
        <v/>
      </c>
      <c r="T252" s="68" t="str">
        <f>IF(main!AF255="","",ROUND(main!AF255*100,6))</f>
        <v/>
      </c>
      <c r="U252" s="68" t="str">
        <f>IF(main!AG255="","",ROUND(main!AG255*100,6))</f>
        <v/>
      </c>
      <c r="V252" s="68" t="str">
        <f>IF(main!AH255="","",ROUND(main!AH255*100,6))</f>
        <v/>
      </c>
      <c r="W252" s="68" t="str">
        <f>IF(main!AI255="","",ROUND(main!AI255*100,6))</f>
        <v/>
      </c>
      <c r="X252" s="68" t="str">
        <f>IF(main!AJ255="","",ROUND(main!AJ255*100,6))</f>
        <v/>
      </c>
      <c r="Y252" s="68" t="str">
        <f>IF(main!AK255="","",ROUND(main!AK255*100,6))</f>
        <v/>
      </c>
      <c r="Z252" s="68" t="str">
        <f>IF(main!AL255="","",ROUND(main!AL255*100,6))</f>
        <v/>
      </c>
      <c r="AA252" s="68" t="str">
        <f>IF(main!AM255="","",ROUND(main!AM255*100,6))</f>
        <v/>
      </c>
      <c r="AB252" s="68" t="str">
        <f>IF(main!AN255="","",ROUND(main!AN255*100,6))</f>
        <v/>
      </c>
      <c r="AC252" s="68" t="str">
        <f>IF(main!AO255="","",ROUND(main!AO255*100,6))</f>
        <v/>
      </c>
      <c r="AD252" s="68" t="str">
        <f>IF(main!AP255="","",ROUND(main!AP255*100,6))</f>
        <v/>
      </c>
      <c r="AE252" s="68" t="str">
        <f>IF(main!AQ255="","",ROUND(main!AQ255*100,6))</f>
        <v/>
      </c>
      <c r="AF252" s="68" t="str">
        <f>IF(main!AR255="","",ROUND(main!AR255*100,6))</f>
        <v/>
      </c>
      <c r="AG252" s="68" t="str">
        <f>IF(main!AS255="","",ROUND(main!AS255*100,6))</f>
        <v/>
      </c>
      <c r="AH252" s="68" t="str">
        <f>IF(main!AT255="","",ROUND(main!AT255*100,6))</f>
        <v/>
      </c>
      <c r="AI252" s="68" t="str">
        <f>IF(main!AU255="","",ROUND(main!AU255*100,6))</f>
        <v/>
      </c>
      <c r="AJ252" s="68" t="str">
        <f>IF(main!AV255="","",ROUND(main!AV255*100,6))</f>
        <v/>
      </c>
      <c r="AK252" s="68" t="str">
        <f>IF(main!AW255="","",ROUND(main!AW255*100,6))</f>
        <v/>
      </c>
      <c r="AL252" s="68" t="str">
        <f>IF(main!AX255="","",ROUND(main!AX255*100,6))</f>
        <v/>
      </c>
      <c r="AM252" s="68" t="str">
        <f>IF(main!AY255="","",ROUND(main!AY255*100,6))</f>
        <v/>
      </c>
      <c r="AN252" s="68" t="str">
        <f>IF(main!AZ255="","",ROUND(main!AZ255*100,6))</f>
        <v/>
      </c>
      <c r="AO252" s="68" t="str">
        <f>IF(main!BA255="","",ROUND(main!BA255*100,6))</f>
        <v/>
      </c>
      <c r="AP252" s="68" t="str">
        <f>IF(main!BB255="","",ROUND(main!BB255*100,6))</f>
        <v/>
      </c>
      <c r="AQ252" s="68" t="str">
        <f>IF(main!BC255="","",ROUND(main!BC255*100,6))</f>
        <v/>
      </c>
      <c r="AR252" s="68" t="str">
        <f>IF(main!BD255="","",ROUND(main!BD255*100,6))</f>
        <v/>
      </c>
      <c r="AS252" s="68" t="str">
        <f>IF(main!BE255="","",ROUND(main!BE255*100,6))</f>
        <v/>
      </c>
      <c r="AT252" s="68" t="str">
        <f>IF(main!BF255="","",ROUND(main!BF255*100,6))</f>
        <v/>
      </c>
      <c r="AU252" s="68" t="str">
        <f>IF(main!BG255="","",ROUND(main!BG255*100,6))</f>
        <v/>
      </c>
      <c r="AV252" s="68" t="str">
        <f>IF(main!BH255="","",ROUND(main!BH255*100,6))</f>
        <v/>
      </c>
      <c r="AW252" s="68" t="str">
        <f>IF(main!BI255="","",ROUND(main!BI255*100,6))</f>
        <v/>
      </c>
      <c r="AX252" s="68" t="str">
        <f>IF(main!BJ255="","",ROUND(main!BJ255*100,6))</f>
        <v/>
      </c>
      <c r="AY252" s="68" t="str">
        <f>IF(main!BK255="","",ROUND(main!BK255*100,6))</f>
        <v/>
      </c>
      <c r="AZ252" s="68" t="str">
        <f>IF(main!BL255="","",ROUND(main!BL255*100,6))</f>
        <v/>
      </c>
      <c r="BA252" s="68" t="str">
        <f>IF(main!BM255="","",ROUND(main!BM255*100,6))</f>
        <v/>
      </c>
      <c r="BB252" s="68" t="str">
        <f>IF(main!BN255="","",ROUND(main!BN255*100,6))</f>
        <v/>
      </c>
      <c r="BC252" s="68" t="str">
        <f>IF(main!BO255="","",ROUND(main!BO255*100,6))</f>
        <v/>
      </c>
      <c r="BD252" s="68">
        <f>IF(main!BP255="","",ROUND(main!BP255*100,6))</f>
        <v>1.1904760000000001</v>
      </c>
      <c r="BE252" s="68">
        <f>IF(main!BQ255="","",ROUND(main!BQ255*100,6))</f>
        <v>8.3333329999999997</v>
      </c>
      <c r="BF252" s="68">
        <f>IF(main!BR255="","",ROUND(main!BR255*100,6))</f>
        <v>8.3333329999999997</v>
      </c>
      <c r="BG252" s="68">
        <f>IF(main!BS255="","",ROUND(main!BS255*100,6))</f>
        <v>7.1428570000000002</v>
      </c>
      <c r="BH252" s="68" t="str">
        <f>IF(main!BT255="","",ROUND(main!BT255*100,6))</f>
        <v/>
      </c>
      <c r="BI252" s="68" t="str">
        <f>IF(main!BU255="","",ROUND(main!BU255*100,6))</f>
        <v/>
      </c>
      <c r="BJ252" s="68" t="str">
        <f>IF(main!BV255="","",ROUND(main!BV255*100,6))</f>
        <v/>
      </c>
      <c r="BK252" s="68" t="str">
        <f>IF(main!BW255="","",ROUND(main!BW255*100,6))</f>
        <v/>
      </c>
      <c r="BL252" s="68" t="str">
        <f>IF(main!BX255="","",ROUND(main!BX255*100,6))</f>
        <v/>
      </c>
      <c r="BM252" s="68" t="str">
        <f>IF(main!BY255="","",ROUND(main!BY255*100,6))</f>
        <v/>
      </c>
      <c r="BN252" s="68">
        <f>IF(main!BZ255="","",ROUND(main!BZ255*100,6))</f>
        <v>6.5789470000000003</v>
      </c>
      <c r="BO252" s="68">
        <f>IF(main!CA255="","",ROUND(main!CA255*100,6))</f>
        <v>9.2105259999999998</v>
      </c>
      <c r="BP252" s="68">
        <f>IF(main!CB255="","",ROUND(main!CB255*100,6))</f>
        <v>9.2105259999999998</v>
      </c>
      <c r="BQ252" s="68" t="str">
        <f>IF(main!CC255="","",ROUND(main!CC255*100,6))</f>
        <v/>
      </c>
      <c r="BR252" s="68" t="str">
        <f>IF(main!CD255="","",ROUND(main!CD255*100,6))</f>
        <v/>
      </c>
      <c r="BS252" s="68">
        <f>IF(main!CE255="","",ROUND(main!CE255*100,6))</f>
        <v>2.9761899999999999</v>
      </c>
      <c r="BT252" s="68">
        <f>IF(main!CF255="","",ROUND(main!CF255*100,6))</f>
        <v>20.833333</v>
      </c>
      <c r="BU252" s="68">
        <f>IF(main!CG255="","",ROUND(main!CG255*100,6))</f>
        <v>19.047619000000001</v>
      </c>
      <c r="BV252" s="68">
        <f>IF(main!CH255="","",ROUND(main!CH255*100,6))</f>
        <v>7.1428570000000002</v>
      </c>
      <c r="BW252" s="68" t="str">
        <f>IF(main!CI255="","",ROUND(main!CI255*100,6))</f>
        <v/>
      </c>
      <c r="BX252" s="68" t="str">
        <f>IF(main!CJ255="","",ROUND(main!CJ255*100,6))</f>
        <v/>
      </c>
      <c r="BY252" s="68" t="str">
        <f>IF(main!CK255="","",ROUND(main!CK255*100,6))</f>
        <v/>
      </c>
      <c r="BZ252" s="68" t="str">
        <f>IF(main!CL255="","",ROUND(main!CL255*100,6))</f>
        <v/>
      </c>
      <c r="CA252" s="68" t="str">
        <f>IF(main!CM255="","",ROUND(main!CM255*100,6))</f>
        <v/>
      </c>
      <c r="CB252" s="68" t="str">
        <f>IF(main!CN255="","",ROUND(main!CN255*100,6))</f>
        <v/>
      </c>
      <c r="CC252" s="68" t="str">
        <f>IF(main!CO255="","",ROUND(main!CO255*100,6))</f>
        <v/>
      </c>
    </row>
    <row r="253" spans="1:81" x14ac:dyDescent="0.25">
      <c r="A253" s="65" t="s">
        <v>413</v>
      </c>
      <c r="B253" s="66" t="str">
        <f>main!C255</f>
        <v>Floor &amp; Floor Fn.</v>
      </c>
      <c r="C253" s="67">
        <f>main!O255</f>
        <v>400000</v>
      </c>
      <c r="D253" s="65" t="s">
        <v>111</v>
      </c>
      <c r="E253" s="68" t="str">
        <f t="shared" si="3"/>
        <v/>
      </c>
      <c r="F253" s="68" t="str">
        <f>IF(main!R256="","",ROUND(main!R256*100,6))</f>
        <v/>
      </c>
      <c r="G253" s="68" t="str">
        <f>IF(main!S256="","",ROUND(main!S256*100,6))</f>
        <v/>
      </c>
      <c r="H253" s="68" t="str">
        <f>IF(main!T256="","",ROUND(main!T256*100,6))</f>
        <v/>
      </c>
      <c r="I253" s="68" t="str">
        <f>IF(main!U256="","",ROUND(main!U256*100,6))</f>
        <v/>
      </c>
      <c r="J253" s="68" t="str">
        <f>IF(main!V256="","",ROUND(main!V256*100,6))</f>
        <v/>
      </c>
      <c r="K253" s="68" t="str">
        <f>IF(main!W256="","",ROUND(main!W256*100,6))</f>
        <v/>
      </c>
      <c r="L253" s="68" t="str">
        <f>IF(main!X256="","",ROUND(main!X256*100,6))</f>
        <v/>
      </c>
      <c r="M253" s="68" t="str">
        <f>IF(main!Y256="","",ROUND(main!Y256*100,6))</f>
        <v/>
      </c>
      <c r="N253" s="68" t="str">
        <f>IF(main!Z256="","",ROUND(main!Z256*100,6))</f>
        <v/>
      </c>
      <c r="O253" s="68" t="str">
        <f>IF(main!AA256="","",ROUND(main!AA256*100,6))</f>
        <v/>
      </c>
      <c r="P253" s="68" t="str">
        <f>IF(main!AB256="","",ROUND(main!AB256*100,6))</f>
        <v/>
      </c>
      <c r="Q253" s="68" t="str">
        <f>IF(main!AC256="","",ROUND(main!AC256*100,6))</f>
        <v/>
      </c>
      <c r="R253" s="68" t="str">
        <f>IF(main!AD256="","",ROUND(main!AD256*100,6))</f>
        <v/>
      </c>
      <c r="S253" s="68" t="str">
        <f>IF(main!AE256="","",ROUND(main!AE256*100,6))</f>
        <v/>
      </c>
      <c r="T253" s="68" t="str">
        <f>IF(main!AF256="","",ROUND(main!AF256*100,6))</f>
        <v/>
      </c>
      <c r="U253" s="68" t="str">
        <f>IF(main!AG256="","",ROUND(main!AG256*100,6))</f>
        <v/>
      </c>
      <c r="V253" s="68" t="str">
        <f>IF(main!AH256="","",ROUND(main!AH256*100,6))</f>
        <v/>
      </c>
      <c r="W253" s="68" t="str">
        <f>IF(main!AI256="","",ROUND(main!AI256*100,6))</f>
        <v/>
      </c>
      <c r="X253" s="68" t="str">
        <f>IF(main!AJ256="","",ROUND(main!AJ256*100,6))</f>
        <v/>
      </c>
      <c r="Y253" s="68" t="str">
        <f>IF(main!AK256="","",ROUND(main!AK256*100,6))</f>
        <v/>
      </c>
      <c r="Z253" s="68" t="str">
        <f>IF(main!AL256="","",ROUND(main!AL256*100,6))</f>
        <v/>
      </c>
      <c r="AA253" s="68" t="str">
        <f>IF(main!AM256="","",ROUND(main!AM256*100,6))</f>
        <v/>
      </c>
      <c r="AB253" s="68" t="str">
        <f>IF(main!AN256="","",ROUND(main!AN256*100,6))</f>
        <v/>
      </c>
      <c r="AC253" s="68" t="str">
        <f>IF(main!AO256="","",ROUND(main!AO256*100,6))</f>
        <v/>
      </c>
      <c r="AD253" s="68" t="str">
        <f>IF(main!AP256="","",ROUND(main!AP256*100,6))</f>
        <v/>
      </c>
      <c r="AE253" s="68" t="str">
        <f>IF(main!AQ256="","",ROUND(main!AQ256*100,6))</f>
        <v/>
      </c>
      <c r="AF253" s="68" t="str">
        <f>IF(main!AR256="","",ROUND(main!AR256*100,6))</f>
        <v/>
      </c>
      <c r="AG253" s="68" t="str">
        <f>IF(main!AS256="","",ROUND(main!AS256*100,6))</f>
        <v/>
      </c>
      <c r="AH253" s="68" t="str">
        <f>IF(main!AT256="","",ROUND(main!AT256*100,6))</f>
        <v/>
      </c>
      <c r="AI253" s="68" t="str">
        <f>IF(main!AU256="","",ROUND(main!AU256*100,6))</f>
        <v/>
      </c>
      <c r="AJ253" s="68" t="str">
        <f>IF(main!AV256="","",ROUND(main!AV256*100,6))</f>
        <v/>
      </c>
      <c r="AK253" s="68" t="str">
        <f>IF(main!AW256="","",ROUND(main!AW256*100,6))</f>
        <v/>
      </c>
      <c r="AL253" s="68" t="str">
        <f>IF(main!AX256="","",ROUND(main!AX256*100,6))</f>
        <v/>
      </c>
      <c r="AM253" s="68" t="str">
        <f>IF(main!AY256="","",ROUND(main!AY256*100,6))</f>
        <v/>
      </c>
      <c r="AN253" s="68" t="str">
        <f>IF(main!AZ256="","",ROUND(main!AZ256*100,6))</f>
        <v/>
      </c>
      <c r="AO253" s="68" t="str">
        <f>IF(main!BA256="","",ROUND(main!BA256*100,6))</f>
        <v/>
      </c>
      <c r="AP253" s="68" t="str">
        <f>IF(main!BB256="","",ROUND(main!BB256*100,6))</f>
        <v/>
      </c>
      <c r="AQ253" s="68" t="str">
        <f>IF(main!BC256="","",ROUND(main!BC256*100,6))</f>
        <v/>
      </c>
      <c r="AR253" s="68" t="str">
        <f>IF(main!BD256="","",ROUND(main!BD256*100,6))</f>
        <v/>
      </c>
      <c r="AS253" s="68" t="str">
        <f>IF(main!BE256="","",ROUND(main!BE256*100,6))</f>
        <v/>
      </c>
      <c r="AT253" s="68" t="str">
        <f>IF(main!BF256="","",ROUND(main!BF256*100,6))</f>
        <v/>
      </c>
      <c r="AU253" s="68" t="str">
        <f>IF(main!BG256="","",ROUND(main!BG256*100,6))</f>
        <v/>
      </c>
      <c r="AV253" s="68" t="str">
        <f>IF(main!BH256="","",ROUND(main!BH256*100,6))</f>
        <v/>
      </c>
      <c r="AW253" s="68" t="str">
        <f>IF(main!BI256="","",ROUND(main!BI256*100,6))</f>
        <v/>
      </c>
      <c r="AX253" s="68" t="str">
        <f>IF(main!BJ256="","",ROUND(main!BJ256*100,6))</f>
        <v/>
      </c>
      <c r="AY253" s="68" t="str">
        <f>IF(main!BK256="","",ROUND(main!BK256*100,6))</f>
        <v/>
      </c>
      <c r="AZ253" s="68" t="str">
        <f>IF(main!BL256="","",ROUND(main!BL256*100,6))</f>
        <v/>
      </c>
      <c r="BA253" s="68" t="str">
        <f>IF(main!BM256="","",ROUND(main!BM256*100,6))</f>
        <v/>
      </c>
      <c r="BB253" s="68" t="str">
        <f>IF(main!BN256="","",ROUND(main!BN256*100,6))</f>
        <v/>
      </c>
      <c r="BC253" s="68" t="str">
        <f>IF(main!BO256="","",ROUND(main!BO256*100,6))</f>
        <v/>
      </c>
      <c r="BD253" s="68" t="str">
        <f>IF(main!BP256="","",ROUND(main!BP256*100,6))</f>
        <v/>
      </c>
      <c r="BE253" s="68" t="str">
        <f>IF(main!BQ256="","",ROUND(main!BQ256*100,6))</f>
        <v/>
      </c>
      <c r="BF253" s="68" t="str">
        <f>IF(main!BR256="","",ROUND(main!BR256*100,6))</f>
        <v/>
      </c>
      <c r="BG253" s="68" t="str">
        <f>IF(main!BS256="","",ROUND(main!BS256*100,6))</f>
        <v/>
      </c>
      <c r="BH253" s="68" t="str">
        <f>IF(main!BT256="","",ROUND(main!BT256*100,6))</f>
        <v/>
      </c>
      <c r="BI253" s="68" t="str">
        <f>IF(main!BU256="","",ROUND(main!BU256*100,6))</f>
        <v/>
      </c>
      <c r="BJ253" s="68" t="str">
        <f>IF(main!BV256="","",ROUND(main!BV256*100,6))</f>
        <v/>
      </c>
      <c r="BK253" s="68" t="str">
        <f>IF(main!BW256="","",ROUND(main!BW256*100,6))</f>
        <v/>
      </c>
      <c r="BL253" s="68" t="str">
        <f>IF(main!BX256="","",ROUND(main!BX256*100,6))</f>
        <v/>
      </c>
      <c r="BM253" s="68" t="str">
        <f>IF(main!BY256="","",ROUND(main!BY256*100,6))</f>
        <v/>
      </c>
      <c r="BN253" s="68" t="str">
        <f>IF(main!BZ256="","",ROUND(main!BZ256*100,6))</f>
        <v/>
      </c>
      <c r="BO253" s="68" t="str">
        <f>IF(main!CA256="","",ROUND(main!CA256*100,6))</f>
        <v/>
      </c>
      <c r="BP253" s="68" t="str">
        <f>IF(main!CB256="","",ROUND(main!CB256*100,6))</f>
        <v/>
      </c>
      <c r="BQ253" s="68" t="str">
        <f>IF(main!CC256="","",ROUND(main!CC256*100,6))</f>
        <v/>
      </c>
      <c r="BR253" s="68" t="str">
        <f>IF(main!CD256="","",ROUND(main!CD256*100,6))</f>
        <v/>
      </c>
      <c r="BS253" s="68" t="str">
        <f>IF(main!CE256="","",ROUND(main!CE256*100,6))</f>
        <v/>
      </c>
      <c r="BT253" s="68" t="str">
        <f>IF(main!CF256="","",ROUND(main!CF256*100,6))</f>
        <v/>
      </c>
      <c r="BU253" s="68" t="str">
        <f>IF(main!CG256="","",ROUND(main!CG256*100,6))</f>
        <v/>
      </c>
      <c r="BV253" s="68" t="str">
        <f>IF(main!CH256="","",ROUND(main!CH256*100,6))</f>
        <v/>
      </c>
      <c r="BW253" s="68" t="str">
        <f>IF(main!CI256="","",ROUND(main!CI256*100,6))</f>
        <v/>
      </c>
      <c r="BX253" s="68" t="str">
        <f>IF(main!CJ256="","",ROUND(main!CJ256*100,6))</f>
        <v/>
      </c>
      <c r="BY253" s="68" t="str">
        <f>IF(main!CK256="","",ROUND(main!CK256*100,6))</f>
        <v/>
      </c>
      <c r="BZ253" s="68" t="str">
        <f>IF(main!CL256="","",ROUND(main!CL256*100,6))</f>
        <v/>
      </c>
      <c r="CA253" s="68" t="str">
        <f>IF(main!CM256="","",ROUND(main!CM256*100,6))</f>
        <v/>
      </c>
      <c r="CB253" s="68" t="str">
        <f>IF(main!CN256="","",ROUND(main!CN256*100,6))</f>
        <v/>
      </c>
      <c r="CC253" s="68" t="str">
        <f>IF(main!CO256="","",ROUND(main!CO256*100,6))</f>
        <v/>
      </c>
    </row>
    <row r="254" spans="1:81" x14ac:dyDescent="0.25">
      <c r="A254" s="65" t="s">
        <v>414</v>
      </c>
      <c r="B254" s="66" t="str">
        <f>main!C257</f>
        <v>งานพื้น Epoxy - Corridore, Lift Lobby, Office</v>
      </c>
      <c r="C254" s="67">
        <f>main!O257</f>
        <v>100000</v>
      </c>
      <c r="D254" s="65" t="s">
        <v>110</v>
      </c>
      <c r="E254" s="68">
        <f t="shared" si="3"/>
        <v>100</v>
      </c>
      <c r="F254" s="68" t="str">
        <f>IF(main!R257="","",ROUND(main!R257*100,6))</f>
        <v/>
      </c>
      <c r="G254" s="68" t="str">
        <f>IF(main!S257="","",ROUND(main!S257*100,6))</f>
        <v/>
      </c>
      <c r="H254" s="68" t="str">
        <f>IF(main!T257="","",ROUND(main!T257*100,6))</f>
        <v/>
      </c>
      <c r="I254" s="68" t="str">
        <f>IF(main!U257="","",ROUND(main!U257*100,6))</f>
        <v/>
      </c>
      <c r="J254" s="68" t="str">
        <f>IF(main!V257="","",ROUND(main!V257*100,6))</f>
        <v/>
      </c>
      <c r="K254" s="68" t="str">
        <f>IF(main!W257="","",ROUND(main!W257*100,6))</f>
        <v/>
      </c>
      <c r="L254" s="68" t="str">
        <f>IF(main!X257="","",ROUND(main!X257*100,6))</f>
        <v/>
      </c>
      <c r="M254" s="68" t="str">
        <f>IF(main!Y257="","",ROUND(main!Y257*100,6))</f>
        <v/>
      </c>
      <c r="N254" s="68" t="str">
        <f>IF(main!Z257="","",ROUND(main!Z257*100,6))</f>
        <v/>
      </c>
      <c r="O254" s="68" t="str">
        <f>IF(main!AA257="","",ROUND(main!AA257*100,6))</f>
        <v/>
      </c>
      <c r="P254" s="68" t="str">
        <f>IF(main!AB257="","",ROUND(main!AB257*100,6))</f>
        <v/>
      </c>
      <c r="Q254" s="68" t="str">
        <f>IF(main!AC257="","",ROUND(main!AC257*100,6))</f>
        <v/>
      </c>
      <c r="R254" s="68" t="str">
        <f>IF(main!AD257="","",ROUND(main!AD257*100,6))</f>
        <v/>
      </c>
      <c r="S254" s="68" t="str">
        <f>IF(main!AE257="","",ROUND(main!AE257*100,6))</f>
        <v/>
      </c>
      <c r="T254" s="68" t="str">
        <f>IF(main!AF257="","",ROUND(main!AF257*100,6))</f>
        <v/>
      </c>
      <c r="U254" s="68" t="str">
        <f>IF(main!AG257="","",ROUND(main!AG257*100,6))</f>
        <v/>
      </c>
      <c r="V254" s="68" t="str">
        <f>IF(main!AH257="","",ROUND(main!AH257*100,6))</f>
        <v/>
      </c>
      <c r="W254" s="68" t="str">
        <f>IF(main!AI257="","",ROUND(main!AI257*100,6))</f>
        <v/>
      </c>
      <c r="X254" s="68" t="str">
        <f>IF(main!AJ257="","",ROUND(main!AJ257*100,6))</f>
        <v/>
      </c>
      <c r="Y254" s="68" t="str">
        <f>IF(main!AK257="","",ROUND(main!AK257*100,6))</f>
        <v/>
      </c>
      <c r="Z254" s="68" t="str">
        <f>IF(main!AL257="","",ROUND(main!AL257*100,6))</f>
        <v/>
      </c>
      <c r="AA254" s="68" t="str">
        <f>IF(main!AM257="","",ROUND(main!AM257*100,6))</f>
        <v/>
      </c>
      <c r="AB254" s="68" t="str">
        <f>IF(main!AN257="","",ROUND(main!AN257*100,6))</f>
        <v/>
      </c>
      <c r="AC254" s="68" t="str">
        <f>IF(main!AO257="","",ROUND(main!AO257*100,6))</f>
        <v/>
      </c>
      <c r="AD254" s="68" t="str">
        <f>IF(main!AP257="","",ROUND(main!AP257*100,6))</f>
        <v/>
      </c>
      <c r="AE254" s="68" t="str">
        <f>IF(main!AQ257="","",ROUND(main!AQ257*100,6))</f>
        <v/>
      </c>
      <c r="AF254" s="68" t="str">
        <f>IF(main!AR257="","",ROUND(main!AR257*100,6))</f>
        <v/>
      </c>
      <c r="AG254" s="68" t="str">
        <f>IF(main!AS257="","",ROUND(main!AS257*100,6))</f>
        <v/>
      </c>
      <c r="AH254" s="68" t="str">
        <f>IF(main!AT257="","",ROUND(main!AT257*100,6))</f>
        <v/>
      </c>
      <c r="AI254" s="68" t="str">
        <f>IF(main!AU257="","",ROUND(main!AU257*100,6))</f>
        <v/>
      </c>
      <c r="AJ254" s="68" t="str">
        <f>IF(main!AV257="","",ROUND(main!AV257*100,6))</f>
        <v/>
      </c>
      <c r="AK254" s="68" t="str">
        <f>IF(main!AW257="","",ROUND(main!AW257*100,6))</f>
        <v/>
      </c>
      <c r="AL254" s="68" t="str">
        <f>IF(main!AX257="","",ROUND(main!AX257*100,6))</f>
        <v/>
      </c>
      <c r="AM254" s="68" t="str">
        <f>IF(main!AY257="","",ROUND(main!AY257*100,6))</f>
        <v/>
      </c>
      <c r="AN254" s="68" t="str">
        <f>IF(main!AZ257="","",ROUND(main!AZ257*100,6))</f>
        <v/>
      </c>
      <c r="AO254" s="68" t="str">
        <f>IF(main!BA257="","",ROUND(main!BA257*100,6))</f>
        <v/>
      </c>
      <c r="AP254" s="68" t="str">
        <f>IF(main!BB257="","",ROUND(main!BB257*100,6))</f>
        <v/>
      </c>
      <c r="AQ254" s="68" t="str">
        <f>IF(main!BC257="","",ROUND(main!BC257*100,6))</f>
        <v/>
      </c>
      <c r="AR254" s="68" t="str">
        <f>IF(main!BD257="","",ROUND(main!BD257*100,6))</f>
        <v/>
      </c>
      <c r="AS254" s="68" t="str">
        <f>IF(main!BE257="","",ROUND(main!BE257*100,6))</f>
        <v/>
      </c>
      <c r="AT254" s="68" t="str">
        <f>IF(main!BF257="","",ROUND(main!BF257*100,6))</f>
        <v/>
      </c>
      <c r="AU254" s="68" t="str">
        <f>IF(main!BG257="","",ROUND(main!BG257*100,6))</f>
        <v/>
      </c>
      <c r="AV254" s="68" t="str">
        <f>IF(main!BH257="","",ROUND(main!BH257*100,6))</f>
        <v/>
      </c>
      <c r="AW254" s="68" t="str">
        <f>IF(main!BI257="","",ROUND(main!BI257*100,6))</f>
        <v/>
      </c>
      <c r="AX254" s="68" t="str">
        <f>IF(main!BJ257="","",ROUND(main!BJ257*100,6))</f>
        <v/>
      </c>
      <c r="AY254" s="68" t="str">
        <f>IF(main!BK257="","",ROUND(main!BK257*100,6))</f>
        <v/>
      </c>
      <c r="AZ254" s="68" t="str">
        <f>IF(main!BL257="","",ROUND(main!BL257*100,6))</f>
        <v/>
      </c>
      <c r="BA254" s="68" t="str">
        <f>IF(main!BM257="","",ROUND(main!BM257*100,6))</f>
        <v/>
      </c>
      <c r="BB254" s="68" t="str">
        <f>IF(main!BN257="","",ROUND(main!BN257*100,6))</f>
        <v/>
      </c>
      <c r="BC254" s="68" t="str">
        <f>IF(main!BO257="","",ROUND(main!BO257*100,6))</f>
        <v/>
      </c>
      <c r="BD254" s="68" t="str">
        <f>IF(main!BP257="","",ROUND(main!BP257*100,6))</f>
        <v/>
      </c>
      <c r="BE254" s="68" t="str">
        <f>IF(main!BQ257="","",ROUND(main!BQ257*100,6))</f>
        <v/>
      </c>
      <c r="BF254" s="68" t="str">
        <f>IF(main!BR257="","",ROUND(main!BR257*100,6))</f>
        <v/>
      </c>
      <c r="BG254" s="68" t="str">
        <f>IF(main!BS257="","",ROUND(main!BS257*100,6))</f>
        <v/>
      </c>
      <c r="BH254" s="68" t="str">
        <f>IF(main!BT257="","",ROUND(main!BT257*100,6))</f>
        <v/>
      </c>
      <c r="BI254" s="68" t="str">
        <f>IF(main!BU257="","",ROUND(main!BU257*100,6))</f>
        <v/>
      </c>
      <c r="BJ254" s="68" t="str">
        <f>IF(main!BV257="","",ROUND(main!BV257*100,6))</f>
        <v/>
      </c>
      <c r="BK254" s="68" t="str">
        <f>IF(main!BW257="","",ROUND(main!BW257*100,6))</f>
        <v/>
      </c>
      <c r="BL254" s="68" t="str">
        <f>IF(main!BX257="","",ROUND(main!BX257*100,6))</f>
        <v/>
      </c>
      <c r="BM254" s="68" t="str">
        <f>IF(main!BY257="","",ROUND(main!BY257*100,6))</f>
        <v/>
      </c>
      <c r="BN254" s="68" t="str">
        <f>IF(main!BZ257="","",ROUND(main!BZ257*100,6))</f>
        <v/>
      </c>
      <c r="BO254" s="68" t="str">
        <f>IF(main!CA257="","",ROUND(main!CA257*100,6))</f>
        <v/>
      </c>
      <c r="BP254" s="68" t="str">
        <f>IF(main!CB257="","",ROUND(main!CB257*100,6))</f>
        <v/>
      </c>
      <c r="BQ254" s="68" t="str">
        <f>IF(main!CC257="","",ROUND(main!CC257*100,6))</f>
        <v/>
      </c>
      <c r="BR254" s="68" t="str">
        <f>IF(main!CD257="","",ROUND(main!CD257*100,6))</f>
        <v/>
      </c>
      <c r="BS254" s="68">
        <f>IF(main!CE257="","",ROUND(main!CE257*100,6))</f>
        <v>4.7619049999999996</v>
      </c>
      <c r="BT254" s="68">
        <f>IF(main!CF257="","",ROUND(main!CF257*100,6))</f>
        <v>33.333333000000003</v>
      </c>
      <c r="BU254" s="68">
        <f>IF(main!CG257="","",ROUND(main!CG257*100,6))</f>
        <v>33.333333000000003</v>
      </c>
      <c r="BV254" s="68">
        <f>IF(main!CH257="","",ROUND(main!CH257*100,6))</f>
        <v>28.571428999999998</v>
      </c>
      <c r="BW254" s="68" t="str">
        <f>IF(main!CI257="","",ROUND(main!CI257*100,6))</f>
        <v/>
      </c>
      <c r="BX254" s="68" t="str">
        <f>IF(main!CJ257="","",ROUND(main!CJ257*100,6))</f>
        <v/>
      </c>
      <c r="BY254" s="68" t="str">
        <f>IF(main!CK257="","",ROUND(main!CK257*100,6))</f>
        <v/>
      </c>
      <c r="BZ254" s="68" t="str">
        <f>IF(main!CL257="","",ROUND(main!CL257*100,6))</f>
        <v/>
      </c>
      <c r="CA254" s="68" t="str">
        <f>IF(main!CM257="","",ROUND(main!CM257*100,6))</f>
        <v/>
      </c>
      <c r="CB254" s="68" t="str">
        <f>IF(main!CN257="","",ROUND(main!CN257*100,6))</f>
        <v/>
      </c>
      <c r="CC254" s="68" t="str">
        <f>IF(main!CO257="","",ROUND(main!CO257*100,6))</f>
        <v/>
      </c>
    </row>
    <row r="255" spans="1:81" x14ac:dyDescent="0.25">
      <c r="A255" s="65" t="s">
        <v>414</v>
      </c>
      <c r="B255" s="66" t="str">
        <f>main!C257</f>
        <v>งานพื้น Epoxy - Corridore, Lift Lobby, Office</v>
      </c>
      <c r="C255" s="67">
        <f>main!O257</f>
        <v>100000</v>
      </c>
      <c r="D255" s="65" t="s">
        <v>111</v>
      </c>
      <c r="E255" s="68" t="str">
        <f t="shared" si="3"/>
        <v/>
      </c>
      <c r="F255" s="68" t="str">
        <f>IF(main!R258="","",ROUND(main!R258*100,6))</f>
        <v/>
      </c>
      <c r="G255" s="68" t="str">
        <f>IF(main!S258="","",ROUND(main!S258*100,6))</f>
        <v/>
      </c>
      <c r="H255" s="68" t="str">
        <f>IF(main!T258="","",ROUND(main!T258*100,6))</f>
        <v/>
      </c>
      <c r="I255" s="68" t="str">
        <f>IF(main!U258="","",ROUND(main!U258*100,6))</f>
        <v/>
      </c>
      <c r="J255" s="68" t="str">
        <f>IF(main!V258="","",ROUND(main!V258*100,6))</f>
        <v/>
      </c>
      <c r="K255" s="68" t="str">
        <f>IF(main!W258="","",ROUND(main!W258*100,6))</f>
        <v/>
      </c>
      <c r="L255" s="68" t="str">
        <f>IF(main!X258="","",ROUND(main!X258*100,6))</f>
        <v/>
      </c>
      <c r="M255" s="68" t="str">
        <f>IF(main!Y258="","",ROUND(main!Y258*100,6))</f>
        <v/>
      </c>
      <c r="N255" s="68" t="str">
        <f>IF(main!Z258="","",ROUND(main!Z258*100,6))</f>
        <v/>
      </c>
      <c r="O255" s="68" t="str">
        <f>IF(main!AA258="","",ROUND(main!AA258*100,6))</f>
        <v/>
      </c>
      <c r="P255" s="68" t="str">
        <f>IF(main!AB258="","",ROUND(main!AB258*100,6))</f>
        <v/>
      </c>
      <c r="Q255" s="68" t="str">
        <f>IF(main!AC258="","",ROUND(main!AC258*100,6))</f>
        <v/>
      </c>
      <c r="R255" s="68" t="str">
        <f>IF(main!AD258="","",ROUND(main!AD258*100,6))</f>
        <v/>
      </c>
      <c r="S255" s="68" t="str">
        <f>IF(main!AE258="","",ROUND(main!AE258*100,6))</f>
        <v/>
      </c>
      <c r="T255" s="68" t="str">
        <f>IF(main!AF258="","",ROUND(main!AF258*100,6))</f>
        <v/>
      </c>
      <c r="U255" s="68" t="str">
        <f>IF(main!AG258="","",ROUND(main!AG258*100,6))</f>
        <v/>
      </c>
      <c r="V255" s="68" t="str">
        <f>IF(main!AH258="","",ROUND(main!AH258*100,6))</f>
        <v/>
      </c>
      <c r="W255" s="68" t="str">
        <f>IF(main!AI258="","",ROUND(main!AI258*100,6))</f>
        <v/>
      </c>
      <c r="X255" s="68" t="str">
        <f>IF(main!AJ258="","",ROUND(main!AJ258*100,6))</f>
        <v/>
      </c>
      <c r="Y255" s="68" t="str">
        <f>IF(main!AK258="","",ROUND(main!AK258*100,6))</f>
        <v/>
      </c>
      <c r="Z255" s="68" t="str">
        <f>IF(main!AL258="","",ROUND(main!AL258*100,6))</f>
        <v/>
      </c>
      <c r="AA255" s="68" t="str">
        <f>IF(main!AM258="","",ROUND(main!AM258*100,6))</f>
        <v/>
      </c>
      <c r="AB255" s="68" t="str">
        <f>IF(main!AN258="","",ROUND(main!AN258*100,6))</f>
        <v/>
      </c>
      <c r="AC255" s="68" t="str">
        <f>IF(main!AO258="","",ROUND(main!AO258*100,6))</f>
        <v/>
      </c>
      <c r="AD255" s="68" t="str">
        <f>IF(main!AP258="","",ROUND(main!AP258*100,6))</f>
        <v/>
      </c>
      <c r="AE255" s="68" t="str">
        <f>IF(main!AQ258="","",ROUND(main!AQ258*100,6))</f>
        <v/>
      </c>
      <c r="AF255" s="68" t="str">
        <f>IF(main!AR258="","",ROUND(main!AR258*100,6))</f>
        <v/>
      </c>
      <c r="AG255" s="68" t="str">
        <f>IF(main!AS258="","",ROUND(main!AS258*100,6))</f>
        <v/>
      </c>
      <c r="AH255" s="68" t="str">
        <f>IF(main!AT258="","",ROUND(main!AT258*100,6))</f>
        <v/>
      </c>
      <c r="AI255" s="68" t="str">
        <f>IF(main!AU258="","",ROUND(main!AU258*100,6))</f>
        <v/>
      </c>
      <c r="AJ255" s="68" t="str">
        <f>IF(main!AV258="","",ROUND(main!AV258*100,6))</f>
        <v/>
      </c>
      <c r="AK255" s="68" t="str">
        <f>IF(main!AW258="","",ROUND(main!AW258*100,6))</f>
        <v/>
      </c>
      <c r="AL255" s="68" t="str">
        <f>IF(main!AX258="","",ROUND(main!AX258*100,6))</f>
        <v/>
      </c>
      <c r="AM255" s="68" t="str">
        <f>IF(main!AY258="","",ROUND(main!AY258*100,6))</f>
        <v/>
      </c>
      <c r="AN255" s="68" t="str">
        <f>IF(main!AZ258="","",ROUND(main!AZ258*100,6))</f>
        <v/>
      </c>
      <c r="AO255" s="68" t="str">
        <f>IF(main!BA258="","",ROUND(main!BA258*100,6))</f>
        <v/>
      </c>
      <c r="AP255" s="68" t="str">
        <f>IF(main!BB258="","",ROUND(main!BB258*100,6))</f>
        <v/>
      </c>
      <c r="AQ255" s="68" t="str">
        <f>IF(main!BC258="","",ROUND(main!BC258*100,6))</f>
        <v/>
      </c>
      <c r="AR255" s="68" t="str">
        <f>IF(main!BD258="","",ROUND(main!BD258*100,6))</f>
        <v/>
      </c>
      <c r="AS255" s="68" t="str">
        <f>IF(main!BE258="","",ROUND(main!BE258*100,6))</f>
        <v/>
      </c>
      <c r="AT255" s="68" t="str">
        <f>IF(main!BF258="","",ROUND(main!BF258*100,6))</f>
        <v/>
      </c>
      <c r="AU255" s="68" t="str">
        <f>IF(main!BG258="","",ROUND(main!BG258*100,6))</f>
        <v/>
      </c>
      <c r="AV255" s="68" t="str">
        <f>IF(main!BH258="","",ROUND(main!BH258*100,6))</f>
        <v/>
      </c>
      <c r="AW255" s="68" t="str">
        <f>IF(main!BI258="","",ROUND(main!BI258*100,6))</f>
        <v/>
      </c>
      <c r="AX255" s="68" t="str">
        <f>IF(main!BJ258="","",ROUND(main!BJ258*100,6))</f>
        <v/>
      </c>
      <c r="AY255" s="68" t="str">
        <f>IF(main!BK258="","",ROUND(main!BK258*100,6))</f>
        <v/>
      </c>
      <c r="AZ255" s="68" t="str">
        <f>IF(main!BL258="","",ROUND(main!BL258*100,6))</f>
        <v/>
      </c>
      <c r="BA255" s="68" t="str">
        <f>IF(main!BM258="","",ROUND(main!BM258*100,6))</f>
        <v/>
      </c>
      <c r="BB255" s="68" t="str">
        <f>IF(main!BN258="","",ROUND(main!BN258*100,6))</f>
        <v/>
      </c>
      <c r="BC255" s="68" t="str">
        <f>IF(main!BO258="","",ROUND(main!BO258*100,6))</f>
        <v/>
      </c>
      <c r="BD255" s="68" t="str">
        <f>IF(main!BP258="","",ROUND(main!BP258*100,6))</f>
        <v/>
      </c>
      <c r="BE255" s="68" t="str">
        <f>IF(main!BQ258="","",ROUND(main!BQ258*100,6))</f>
        <v/>
      </c>
      <c r="BF255" s="68" t="str">
        <f>IF(main!BR258="","",ROUND(main!BR258*100,6))</f>
        <v/>
      </c>
      <c r="BG255" s="68" t="str">
        <f>IF(main!BS258="","",ROUND(main!BS258*100,6))</f>
        <v/>
      </c>
      <c r="BH255" s="68" t="str">
        <f>IF(main!BT258="","",ROUND(main!BT258*100,6))</f>
        <v/>
      </c>
      <c r="BI255" s="68" t="str">
        <f>IF(main!BU258="","",ROUND(main!BU258*100,6))</f>
        <v/>
      </c>
      <c r="BJ255" s="68" t="str">
        <f>IF(main!BV258="","",ROUND(main!BV258*100,6))</f>
        <v/>
      </c>
      <c r="BK255" s="68" t="str">
        <f>IF(main!BW258="","",ROUND(main!BW258*100,6))</f>
        <v/>
      </c>
      <c r="BL255" s="68" t="str">
        <f>IF(main!BX258="","",ROUND(main!BX258*100,6))</f>
        <v/>
      </c>
      <c r="BM255" s="68" t="str">
        <f>IF(main!BY258="","",ROUND(main!BY258*100,6))</f>
        <v/>
      </c>
      <c r="BN255" s="68" t="str">
        <f>IF(main!BZ258="","",ROUND(main!BZ258*100,6))</f>
        <v/>
      </c>
      <c r="BO255" s="68" t="str">
        <f>IF(main!CA258="","",ROUND(main!CA258*100,6))</f>
        <v/>
      </c>
      <c r="BP255" s="68" t="str">
        <f>IF(main!CB258="","",ROUND(main!CB258*100,6))</f>
        <v/>
      </c>
      <c r="BQ255" s="68" t="str">
        <f>IF(main!CC258="","",ROUND(main!CC258*100,6))</f>
        <v/>
      </c>
      <c r="BR255" s="68" t="str">
        <f>IF(main!CD258="","",ROUND(main!CD258*100,6))</f>
        <v/>
      </c>
      <c r="BS255" s="68" t="str">
        <f>IF(main!CE258="","",ROUND(main!CE258*100,6))</f>
        <v/>
      </c>
      <c r="BT255" s="68" t="str">
        <f>IF(main!CF258="","",ROUND(main!CF258*100,6))</f>
        <v/>
      </c>
      <c r="BU255" s="68" t="str">
        <f>IF(main!CG258="","",ROUND(main!CG258*100,6))</f>
        <v/>
      </c>
      <c r="BV255" s="68" t="str">
        <f>IF(main!CH258="","",ROUND(main!CH258*100,6))</f>
        <v/>
      </c>
      <c r="BW255" s="68" t="str">
        <f>IF(main!CI258="","",ROUND(main!CI258*100,6))</f>
        <v/>
      </c>
      <c r="BX255" s="68" t="str">
        <f>IF(main!CJ258="","",ROUND(main!CJ258*100,6))</f>
        <v/>
      </c>
      <c r="BY255" s="68" t="str">
        <f>IF(main!CK258="","",ROUND(main!CK258*100,6))</f>
        <v/>
      </c>
      <c r="BZ255" s="68" t="str">
        <f>IF(main!CL258="","",ROUND(main!CL258*100,6))</f>
        <v/>
      </c>
      <c r="CA255" s="68" t="str">
        <f>IF(main!CM258="","",ROUND(main!CM258*100,6))</f>
        <v/>
      </c>
      <c r="CB255" s="68" t="str">
        <f>IF(main!CN258="","",ROUND(main!CN258*100,6))</f>
        <v/>
      </c>
      <c r="CC255" s="68" t="str">
        <f>IF(main!CO258="","",ROUND(main!CO258*100,6))</f>
        <v/>
      </c>
    </row>
    <row r="256" spans="1:81" x14ac:dyDescent="0.25">
      <c r="A256" s="65" t="s">
        <v>416</v>
      </c>
      <c r="B256" s="66" t="str">
        <f>main!C259</f>
        <v>งานปรับระดับพื้น</v>
      </c>
      <c r="C256" s="67">
        <f>main!O259</f>
        <v>100000</v>
      </c>
      <c r="D256" s="65" t="s">
        <v>110</v>
      </c>
      <c r="E256" s="68">
        <f t="shared" si="3"/>
        <v>100</v>
      </c>
      <c r="F256" s="68" t="str">
        <f>IF(main!R259="","",ROUND(main!R259*100,6))</f>
        <v/>
      </c>
      <c r="G256" s="68" t="str">
        <f>IF(main!S259="","",ROUND(main!S259*100,6))</f>
        <v/>
      </c>
      <c r="H256" s="68" t="str">
        <f>IF(main!T259="","",ROUND(main!T259*100,6))</f>
        <v/>
      </c>
      <c r="I256" s="68" t="str">
        <f>IF(main!U259="","",ROUND(main!U259*100,6))</f>
        <v/>
      </c>
      <c r="J256" s="68" t="str">
        <f>IF(main!V259="","",ROUND(main!V259*100,6))</f>
        <v/>
      </c>
      <c r="K256" s="68" t="str">
        <f>IF(main!W259="","",ROUND(main!W259*100,6))</f>
        <v/>
      </c>
      <c r="L256" s="68" t="str">
        <f>IF(main!X259="","",ROUND(main!X259*100,6))</f>
        <v/>
      </c>
      <c r="M256" s="68" t="str">
        <f>IF(main!Y259="","",ROUND(main!Y259*100,6))</f>
        <v/>
      </c>
      <c r="N256" s="68" t="str">
        <f>IF(main!Z259="","",ROUND(main!Z259*100,6))</f>
        <v/>
      </c>
      <c r="O256" s="68" t="str">
        <f>IF(main!AA259="","",ROUND(main!AA259*100,6))</f>
        <v/>
      </c>
      <c r="P256" s="68" t="str">
        <f>IF(main!AB259="","",ROUND(main!AB259*100,6))</f>
        <v/>
      </c>
      <c r="Q256" s="68" t="str">
        <f>IF(main!AC259="","",ROUND(main!AC259*100,6))</f>
        <v/>
      </c>
      <c r="R256" s="68" t="str">
        <f>IF(main!AD259="","",ROUND(main!AD259*100,6))</f>
        <v/>
      </c>
      <c r="S256" s="68" t="str">
        <f>IF(main!AE259="","",ROUND(main!AE259*100,6))</f>
        <v/>
      </c>
      <c r="T256" s="68" t="str">
        <f>IF(main!AF259="","",ROUND(main!AF259*100,6))</f>
        <v/>
      </c>
      <c r="U256" s="68" t="str">
        <f>IF(main!AG259="","",ROUND(main!AG259*100,6))</f>
        <v/>
      </c>
      <c r="V256" s="68" t="str">
        <f>IF(main!AH259="","",ROUND(main!AH259*100,6))</f>
        <v/>
      </c>
      <c r="W256" s="68" t="str">
        <f>IF(main!AI259="","",ROUND(main!AI259*100,6))</f>
        <v/>
      </c>
      <c r="X256" s="68" t="str">
        <f>IF(main!AJ259="","",ROUND(main!AJ259*100,6))</f>
        <v/>
      </c>
      <c r="Y256" s="68" t="str">
        <f>IF(main!AK259="","",ROUND(main!AK259*100,6))</f>
        <v/>
      </c>
      <c r="Z256" s="68" t="str">
        <f>IF(main!AL259="","",ROUND(main!AL259*100,6))</f>
        <v/>
      </c>
      <c r="AA256" s="68" t="str">
        <f>IF(main!AM259="","",ROUND(main!AM259*100,6))</f>
        <v/>
      </c>
      <c r="AB256" s="68" t="str">
        <f>IF(main!AN259="","",ROUND(main!AN259*100,6))</f>
        <v/>
      </c>
      <c r="AC256" s="68" t="str">
        <f>IF(main!AO259="","",ROUND(main!AO259*100,6))</f>
        <v/>
      </c>
      <c r="AD256" s="68" t="str">
        <f>IF(main!AP259="","",ROUND(main!AP259*100,6))</f>
        <v/>
      </c>
      <c r="AE256" s="68" t="str">
        <f>IF(main!AQ259="","",ROUND(main!AQ259*100,6))</f>
        <v/>
      </c>
      <c r="AF256" s="68" t="str">
        <f>IF(main!AR259="","",ROUND(main!AR259*100,6))</f>
        <v/>
      </c>
      <c r="AG256" s="68" t="str">
        <f>IF(main!AS259="","",ROUND(main!AS259*100,6))</f>
        <v/>
      </c>
      <c r="AH256" s="68" t="str">
        <f>IF(main!AT259="","",ROUND(main!AT259*100,6))</f>
        <v/>
      </c>
      <c r="AI256" s="68" t="str">
        <f>IF(main!AU259="","",ROUND(main!AU259*100,6))</f>
        <v/>
      </c>
      <c r="AJ256" s="68" t="str">
        <f>IF(main!AV259="","",ROUND(main!AV259*100,6))</f>
        <v/>
      </c>
      <c r="AK256" s="68" t="str">
        <f>IF(main!AW259="","",ROUND(main!AW259*100,6))</f>
        <v/>
      </c>
      <c r="AL256" s="68" t="str">
        <f>IF(main!AX259="","",ROUND(main!AX259*100,6))</f>
        <v/>
      </c>
      <c r="AM256" s="68" t="str">
        <f>IF(main!AY259="","",ROUND(main!AY259*100,6))</f>
        <v/>
      </c>
      <c r="AN256" s="68" t="str">
        <f>IF(main!AZ259="","",ROUND(main!AZ259*100,6))</f>
        <v/>
      </c>
      <c r="AO256" s="68" t="str">
        <f>IF(main!BA259="","",ROUND(main!BA259*100,6))</f>
        <v/>
      </c>
      <c r="AP256" s="68" t="str">
        <f>IF(main!BB259="","",ROUND(main!BB259*100,6))</f>
        <v/>
      </c>
      <c r="AQ256" s="68" t="str">
        <f>IF(main!BC259="","",ROUND(main!BC259*100,6))</f>
        <v/>
      </c>
      <c r="AR256" s="68" t="str">
        <f>IF(main!BD259="","",ROUND(main!BD259*100,6))</f>
        <v/>
      </c>
      <c r="AS256" s="68" t="str">
        <f>IF(main!BE259="","",ROUND(main!BE259*100,6))</f>
        <v/>
      </c>
      <c r="AT256" s="68" t="str">
        <f>IF(main!BF259="","",ROUND(main!BF259*100,6))</f>
        <v/>
      </c>
      <c r="AU256" s="68" t="str">
        <f>IF(main!BG259="","",ROUND(main!BG259*100,6))</f>
        <v/>
      </c>
      <c r="AV256" s="68" t="str">
        <f>IF(main!BH259="","",ROUND(main!BH259*100,6))</f>
        <v/>
      </c>
      <c r="AW256" s="68" t="str">
        <f>IF(main!BI259="","",ROUND(main!BI259*100,6))</f>
        <v/>
      </c>
      <c r="AX256" s="68" t="str">
        <f>IF(main!BJ259="","",ROUND(main!BJ259*100,6))</f>
        <v/>
      </c>
      <c r="AY256" s="68" t="str">
        <f>IF(main!BK259="","",ROUND(main!BK259*100,6))</f>
        <v/>
      </c>
      <c r="AZ256" s="68" t="str">
        <f>IF(main!BL259="","",ROUND(main!BL259*100,6))</f>
        <v/>
      </c>
      <c r="BA256" s="68" t="str">
        <f>IF(main!BM259="","",ROUND(main!BM259*100,6))</f>
        <v/>
      </c>
      <c r="BB256" s="68" t="str">
        <f>IF(main!BN259="","",ROUND(main!BN259*100,6))</f>
        <v/>
      </c>
      <c r="BC256" s="68" t="str">
        <f>IF(main!BO259="","",ROUND(main!BO259*100,6))</f>
        <v/>
      </c>
      <c r="BD256" s="68">
        <f>IF(main!BP259="","",ROUND(main!BP259*100,6))</f>
        <v>4.7619049999999996</v>
      </c>
      <c r="BE256" s="68">
        <f>IF(main!BQ259="","",ROUND(main!BQ259*100,6))</f>
        <v>33.333333000000003</v>
      </c>
      <c r="BF256" s="68">
        <f>IF(main!BR259="","",ROUND(main!BR259*100,6))</f>
        <v>33.333333000000003</v>
      </c>
      <c r="BG256" s="68">
        <f>IF(main!BS259="","",ROUND(main!BS259*100,6))</f>
        <v>28.571428999999998</v>
      </c>
      <c r="BH256" s="68" t="str">
        <f>IF(main!BT259="","",ROUND(main!BT259*100,6))</f>
        <v/>
      </c>
      <c r="BI256" s="68" t="str">
        <f>IF(main!BU259="","",ROUND(main!BU259*100,6))</f>
        <v/>
      </c>
      <c r="BJ256" s="68" t="str">
        <f>IF(main!BV259="","",ROUND(main!BV259*100,6))</f>
        <v/>
      </c>
      <c r="BK256" s="68" t="str">
        <f>IF(main!BW259="","",ROUND(main!BW259*100,6))</f>
        <v/>
      </c>
      <c r="BL256" s="68" t="str">
        <f>IF(main!BX259="","",ROUND(main!BX259*100,6))</f>
        <v/>
      </c>
      <c r="BM256" s="68" t="str">
        <f>IF(main!BY259="","",ROUND(main!BY259*100,6))</f>
        <v/>
      </c>
      <c r="BN256" s="68" t="str">
        <f>IF(main!BZ259="","",ROUND(main!BZ259*100,6))</f>
        <v/>
      </c>
      <c r="BO256" s="68" t="str">
        <f>IF(main!CA259="","",ROUND(main!CA259*100,6))</f>
        <v/>
      </c>
      <c r="BP256" s="68" t="str">
        <f>IF(main!CB259="","",ROUND(main!CB259*100,6))</f>
        <v/>
      </c>
      <c r="BQ256" s="68" t="str">
        <f>IF(main!CC259="","",ROUND(main!CC259*100,6))</f>
        <v/>
      </c>
      <c r="BR256" s="68" t="str">
        <f>IF(main!CD259="","",ROUND(main!CD259*100,6))</f>
        <v/>
      </c>
      <c r="BS256" s="68" t="str">
        <f>IF(main!CE259="","",ROUND(main!CE259*100,6))</f>
        <v/>
      </c>
      <c r="BT256" s="68" t="str">
        <f>IF(main!CF259="","",ROUND(main!CF259*100,6))</f>
        <v/>
      </c>
      <c r="BU256" s="68" t="str">
        <f>IF(main!CG259="","",ROUND(main!CG259*100,6))</f>
        <v/>
      </c>
      <c r="BV256" s="68" t="str">
        <f>IF(main!CH259="","",ROUND(main!CH259*100,6))</f>
        <v/>
      </c>
      <c r="BW256" s="68" t="str">
        <f>IF(main!CI259="","",ROUND(main!CI259*100,6))</f>
        <v/>
      </c>
      <c r="BX256" s="68" t="str">
        <f>IF(main!CJ259="","",ROUND(main!CJ259*100,6))</f>
        <v/>
      </c>
      <c r="BY256" s="68" t="str">
        <f>IF(main!CK259="","",ROUND(main!CK259*100,6))</f>
        <v/>
      </c>
      <c r="BZ256" s="68" t="str">
        <f>IF(main!CL259="","",ROUND(main!CL259*100,6))</f>
        <v/>
      </c>
      <c r="CA256" s="68" t="str">
        <f>IF(main!CM259="","",ROUND(main!CM259*100,6))</f>
        <v/>
      </c>
      <c r="CB256" s="68" t="str">
        <f>IF(main!CN259="","",ROUND(main!CN259*100,6))</f>
        <v/>
      </c>
      <c r="CC256" s="68" t="str">
        <f>IF(main!CO259="","",ROUND(main!CO259*100,6))</f>
        <v/>
      </c>
    </row>
    <row r="257" spans="1:81" x14ac:dyDescent="0.25">
      <c r="A257" s="65" t="s">
        <v>416</v>
      </c>
      <c r="B257" s="66" t="str">
        <f>main!C259</f>
        <v>งานปรับระดับพื้น</v>
      </c>
      <c r="C257" s="67">
        <f>main!O259</f>
        <v>100000</v>
      </c>
      <c r="D257" s="65" t="s">
        <v>111</v>
      </c>
      <c r="E257" s="68" t="str">
        <f t="shared" si="3"/>
        <v/>
      </c>
      <c r="F257" s="68" t="str">
        <f>IF(main!R260="","",ROUND(main!R260*100,6))</f>
        <v/>
      </c>
      <c r="G257" s="68" t="str">
        <f>IF(main!S260="","",ROUND(main!S260*100,6))</f>
        <v/>
      </c>
      <c r="H257" s="68" t="str">
        <f>IF(main!T260="","",ROUND(main!T260*100,6))</f>
        <v/>
      </c>
      <c r="I257" s="68" t="str">
        <f>IF(main!U260="","",ROUND(main!U260*100,6))</f>
        <v/>
      </c>
      <c r="J257" s="68" t="str">
        <f>IF(main!V260="","",ROUND(main!V260*100,6))</f>
        <v/>
      </c>
      <c r="K257" s="68" t="str">
        <f>IF(main!W260="","",ROUND(main!W260*100,6))</f>
        <v/>
      </c>
      <c r="L257" s="68" t="str">
        <f>IF(main!X260="","",ROUND(main!X260*100,6))</f>
        <v/>
      </c>
      <c r="M257" s="68" t="str">
        <f>IF(main!Y260="","",ROUND(main!Y260*100,6))</f>
        <v/>
      </c>
      <c r="N257" s="68" t="str">
        <f>IF(main!Z260="","",ROUND(main!Z260*100,6))</f>
        <v/>
      </c>
      <c r="O257" s="68" t="str">
        <f>IF(main!AA260="","",ROUND(main!AA260*100,6))</f>
        <v/>
      </c>
      <c r="P257" s="68" t="str">
        <f>IF(main!AB260="","",ROUND(main!AB260*100,6))</f>
        <v/>
      </c>
      <c r="Q257" s="68" t="str">
        <f>IF(main!AC260="","",ROUND(main!AC260*100,6))</f>
        <v/>
      </c>
      <c r="R257" s="68" t="str">
        <f>IF(main!AD260="","",ROUND(main!AD260*100,6))</f>
        <v/>
      </c>
      <c r="S257" s="68" t="str">
        <f>IF(main!AE260="","",ROUND(main!AE260*100,6))</f>
        <v/>
      </c>
      <c r="T257" s="68" t="str">
        <f>IF(main!AF260="","",ROUND(main!AF260*100,6))</f>
        <v/>
      </c>
      <c r="U257" s="68" t="str">
        <f>IF(main!AG260="","",ROUND(main!AG260*100,6))</f>
        <v/>
      </c>
      <c r="V257" s="68" t="str">
        <f>IF(main!AH260="","",ROUND(main!AH260*100,6))</f>
        <v/>
      </c>
      <c r="W257" s="68" t="str">
        <f>IF(main!AI260="","",ROUND(main!AI260*100,6))</f>
        <v/>
      </c>
      <c r="X257" s="68" t="str">
        <f>IF(main!AJ260="","",ROUND(main!AJ260*100,6))</f>
        <v/>
      </c>
      <c r="Y257" s="68" t="str">
        <f>IF(main!AK260="","",ROUND(main!AK260*100,6))</f>
        <v/>
      </c>
      <c r="Z257" s="68" t="str">
        <f>IF(main!AL260="","",ROUND(main!AL260*100,6))</f>
        <v/>
      </c>
      <c r="AA257" s="68" t="str">
        <f>IF(main!AM260="","",ROUND(main!AM260*100,6))</f>
        <v/>
      </c>
      <c r="AB257" s="68" t="str">
        <f>IF(main!AN260="","",ROUND(main!AN260*100,6))</f>
        <v/>
      </c>
      <c r="AC257" s="68" t="str">
        <f>IF(main!AO260="","",ROUND(main!AO260*100,6))</f>
        <v/>
      </c>
      <c r="AD257" s="68" t="str">
        <f>IF(main!AP260="","",ROUND(main!AP260*100,6))</f>
        <v/>
      </c>
      <c r="AE257" s="68" t="str">
        <f>IF(main!AQ260="","",ROUND(main!AQ260*100,6))</f>
        <v/>
      </c>
      <c r="AF257" s="68" t="str">
        <f>IF(main!AR260="","",ROUND(main!AR260*100,6))</f>
        <v/>
      </c>
      <c r="AG257" s="68" t="str">
        <f>IF(main!AS260="","",ROUND(main!AS260*100,6))</f>
        <v/>
      </c>
      <c r="AH257" s="68" t="str">
        <f>IF(main!AT260="","",ROUND(main!AT260*100,6))</f>
        <v/>
      </c>
      <c r="AI257" s="68" t="str">
        <f>IF(main!AU260="","",ROUND(main!AU260*100,6))</f>
        <v/>
      </c>
      <c r="AJ257" s="68" t="str">
        <f>IF(main!AV260="","",ROUND(main!AV260*100,6))</f>
        <v/>
      </c>
      <c r="AK257" s="68" t="str">
        <f>IF(main!AW260="","",ROUND(main!AW260*100,6))</f>
        <v/>
      </c>
      <c r="AL257" s="68" t="str">
        <f>IF(main!AX260="","",ROUND(main!AX260*100,6))</f>
        <v/>
      </c>
      <c r="AM257" s="68" t="str">
        <f>IF(main!AY260="","",ROUND(main!AY260*100,6))</f>
        <v/>
      </c>
      <c r="AN257" s="68" t="str">
        <f>IF(main!AZ260="","",ROUND(main!AZ260*100,6))</f>
        <v/>
      </c>
      <c r="AO257" s="68" t="str">
        <f>IF(main!BA260="","",ROUND(main!BA260*100,6))</f>
        <v/>
      </c>
      <c r="AP257" s="68" t="str">
        <f>IF(main!BB260="","",ROUND(main!BB260*100,6))</f>
        <v/>
      </c>
      <c r="AQ257" s="68" t="str">
        <f>IF(main!BC260="","",ROUND(main!BC260*100,6))</f>
        <v/>
      </c>
      <c r="AR257" s="68" t="str">
        <f>IF(main!BD260="","",ROUND(main!BD260*100,6))</f>
        <v/>
      </c>
      <c r="AS257" s="68" t="str">
        <f>IF(main!BE260="","",ROUND(main!BE260*100,6))</f>
        <v/>
      </c>
      <c r="AT257" s="68" t="str">
        <f>IF(main!BF260="","",ROUND(main!BF260*100,6))</f>
        <v/>
      </c>
      <c r="AU257" s="68" t="str">
        <f>IF(main!BG260="","",ROUND(main!BG260*100,6))</f>
        <v/>
      </c>
      <c r="AV257" s="68" t="str">
        <f>IF(main!BH260="","",ROUND(main!BH260*100,6))</f>
        <v/>
      </c>
      <c r="AW257" s="68" t="str">
        <f>IF(main!BI260="","",ROUND(main!BI260*100,6))</f>
        <v/>
      </c>
      <c r="AX257" s="68" t="str">
        <f>IF(main!BJ260="","",ROUND(main!BJ260*100,6))</f>
        <v/>
      </c>
      <c r="AY257" s="68" t="str">
        <f>IF(main!BK260="","",ROUND(main!BK260*100,6))</f>
        <v/>
      </c>
      <c r="AZ257" s="68" t="str">
        <f>IF(main!BL260="","",ROUND(main!BL260*100,6))</f>
        <v/>
      </c>
      <c r="BA257" s="68" t="str">
        <f>IF(main!BM260="","",ROUND(main!BM260*100,6))</f>
        <v/>
      </c>
      <c r="BB257" s="68" t="str">
        <f>IF(main!BN260="","",ROUND(main!BN260*100,6))</f>
        <v/>
      </c>
      <c r="BC257" s="68" t="str">
        <f>IF(main!BO260="","",ROUND(main!BO260*100,6))</f>
        <v/>
      </c>
      <c r="BD257" s="68" t="str">
        <f>IF(main!BP260="","",ROUND(main!BP260*100,6))</f>
        <v/>
      </c>
      <c r="BE257" s="68" t="str">
        <f>IF(main!BQ260="","",ROUND(main!BQ260*100,6))</f>
        <v/>
      </c>
      <c r="BF257" s="68" t="str">
        <f>IF(main!BR260="","",ROUND(main!BR260*100,6))</f>
        <v/>
      </c>
      <c r="BG257" s="68" t="str">
        <f>IF(main!BS260="","",ROUND(main!BS260*100,6))</f>
        <v/>
      </c>
      <c r="BH257" s="68" t="str">
        <f>IF(main!BT260="","",ROUND(main!BT260*100,6))</f>
        <v/>
      </c>
      <c r="BI257" s="68" t="str">
        <f>IF(main!BU260="","",ROUND(main!BU260*100,6))</f>
        <v/>
      </c>
      <c r="BJ257" s="68" t="str">
        <f>IF(main!BV260="","",ROUND(main!BV260*100,6))</f>
        <v/>
      </c>
      <c r="BK257" s="68" t="str">
        <f>IF(main!BW260="","",ROUND(main!BW260*100,6))</f>
        <v/>
      </c>
      <c r="BL257" s="68" t="str">
        <f>IF(main!BX260="","",ROUND(main!BX260*100,6))</f>
        <v/>
      </c>
      <c r="BM257" s="68" t="str">
        <f>IF(main!BY260="","",ROUND(main!BY260*100,6))</f>
        <v/>
      </c>
      <c r="BN257" s="68" t="str">
        <f>IF(main!BZ260="","",ROUND(main!BZ260*100,6))</f>
        <v/>
      </c>
      <c r="BO257" s="68" t="str">
        <f>IF(main!CA260="","",ROUND(main!CA260*100,6))</f>
        <v/>
      </c>
      <c r="BP257" s="68" t="str">
        <f>IF(main!CB260="","",ROUND(main!CB260*100,6))</f>
        <v/>
      </c>
      <c r="BQ257" s="68" t="str">
        <f>IF(main!CC260="","",ROUND(main!CC260*100,6))</f>
        <v/>
      </c>
      <c r="BR257" s="68" t="str">
        <f>IF(main!CD260="","",ROUND(main!CD260*100,6))</f>
        <v/>
      </c>
      <c r="BS257" s="68" t="str">
        <f>IF(main!CE260="","",ROUND(main!CE260*100,6))</f>
        <v/>
      </c>
      <c r="BT257" s="68" t="str">
        <f>IF(main!CF260="","",ROUND(main!CF260*100,6))</f>
        <v/>
      </c>
      <c r="BU257" s="68" t="str">
        <f>IF(main!CG260="","",ROUND(main!CG260*100,6))</f>
        <v/>
      </c>
      <c r="BV257" s="68" t="str">
        <f>IF(main!CH260="","",ROUND(main!CH260*100,6))</f>
        <v/>
      </c>
      <c r="BW257" s="68" t="str">
        <f>IF(main!CI260="","",ROUND(main!CI260*100,6))</f>
        <v/>
      </c>
      <c r="BX257" s="68" t="str">
        <f>IF(main!CJ260="","",ROUND(main!CJ260*100,6))</f>
        <v/>
      </c>
      <c r="BY257" s="68" t="str">
        <f>IF(main!CK260="","",ROUND(main!CK260*100,6))</f>
        <v/>
      </c>
      <c r="BZ257" s="68" t="str">
        <f>IF(main!CL260="","",ROUND(main!CL260*100,6))</f>
        <v/>
      </c>
      <c r="CA257" s="68" t="str">
        <f>IF(main!CM260="","",ROUND(main!CM260*100,6))</f>
        <v/>
      </c>
      <c r="CB257" s="68" t="str">
        <f>IF(main!CN260="","",ROUND(main!CN260*100,6))</f>
        <v/>
      </c>
      <c r="CC257" s="68" t="str">
        <f>IF(main!CO260="","",ROUND(main!CO260*100,6))</f>
        <v/>
      </c>
    </row>
    <row r="258" spans="1:81" x14ac:dyDescent="0.25">
      <c r="A258" s="65" t="s">
        <v>419</v>
      </c>
      <c r="B258" s="66" t="str">
        <f>main!C261</f>
        <v>งานปูกระเบื้องยาง</v>
      </c>
      <c r="C258" s="67">
        <f>main!O261</f>
        <v>100000</v>
      </c>
      <c r="D258" s="65" t="s">
        <v>110</v>
      </c>
      <c r="E258" s="68">
        <f t="shared" ref="E258:E321" si="4">IF(COUNT(F258:CC258)=0,"",ROUND(SUM(F258:CC258),6))</f>
        <v>100</v>
      </c>
      <c r="F258" s="68" t="str">
        <f>IF(main!R261="","",ROUND(main!R261*100,6))</f>
        <v/>
      </c>
      <c r="G258" s="68" t="str">
        <f>IF(main!S261="","",ROUND(main!S261*100,6))</f>
        <v/>
      </c>
      <c r="H258" s="68" t="str">
        <f>IF(main!T261="","",ROUND(main!T261*100,6))</f>
        <v/>
      </c>
      <c r="I258" s="68" t="str">
        <f>IF(main!U261="","",ROUND(main!U261*100,6))</f>
        <v/>
      </c>
      <c r="J258" s="68" t="str">
        <f>IF(main!V261="","",ROUND(main!V261*100,6))</f>
        <v/>
      </c>
      <c r="K258" s="68" t="str">
        <f>IF(main!W261="","",ROUND(main!W261*100,6))</f>
        <v/>
      </c>
      <c r="L258" s="68" t="str">
        <f>IF(main!X261="","",ROUND(main!X261*100,6))</f>
        <v/>
      </c>
      <c r="M258" s="68" t="str">
        <f>IF(main!Y261="","",ROUND(main!Y261*100,6))</f>
        <v/>
      </c>
      <c r="N258" s="68" t="str">
        <f>IF(main!Z261="","",ROUND(main!Z261*100,6))</f>
        <v/>
      </c>
      <c r="O258" s="68" t="str">
        <f>IF(main!AA261="","",ROUND(main!AA261*100,6))</f>
        <v/>
      </c>
      <c r="P258" s="68" t="str">
        <f>IF(main!AB261="","",ROUND(main!AB261*100,6))</f>
        <v/>
      </c>
      <c r="Q258" s="68" t="str">
        <f>IF(main!AC261="","",ROUND(main!AC261*100,6))</f>
        <v/>
      </c>
      <c r="R258" s="68" t="str">
        <f>IF(main!AD261="","",ROUND(main!AD261*100,6))</f>
        <v/>
      </c>
      <c r="S258" s="68" t="str">
        <f>IF(main!AE261="","",ROUND(main!AE261*100,6))</f>
        <v/>
      </c>
      <c r="T258" s="68" t="str">
        <f>IF(main!AF261="","",ROUND(main!AF261*100,6))</f>
        <v/>
      </c>
      <c r="U258" s="68" t="str">
        <f>IF(main!AG261="","",ROUND(main!AG261*100,6))</f>
        <v/>
      </c>
      <c r="V258" s="68" t="str">
        <f>IF(main!AH261="","",ROUND(main!AH261*100,6))</f>
        <v/>
      </c>
      <c r="W258" s="68" t="str">
        <f>IF(main!AI261="","",ROUND(main!AI261*100,6))</f>
        <v/>
      </c>
      <c r="X258" s="68" t="str">
        <f>IF(main!AJ261="","",ROUND(main!AJ261*100,6))</f>
        <v/>
      </c>
      <c r="Y258" s="68" t="str">
        <f>IF(main!AK261="","",ROUND(main!AK261*100,6))</f>
        <v/>
      </c>
      <c r="Z258" s="68" t="str">
        <f>IF(main!AL261="","",ROUND(main!AL261*100,6))</f>
        <v/>
      </c>
      <c r="AA258" s="68" t="str">
        <f>IF(main!AM261="","",ROUND(main!AM261*100,6))</f>
        <v/>
      </c>
      <c r="AB258" s="68" t="str">
        <f>IF(main!AN261="","",ROUND(main!AN261*100,6))</f>
        <v/>
      </c>
      <c r="AC258" s="68" t="str">
        <f>IF(main!AO261="","",ROUND(main!AO261*100,6))</f>
        <v/>
      </c>
      <c r="AD258" s="68" t="str">
        <f>IF(main!AP261="","",ROUND(main!AP261*100,6))</f>
        <v/>
      </c>
      <c r="AE258" s="68" t="str">
        <f>IF(main!AQ261="","",ROUND(main!AQ261*100,6))</f>
        <v/>
      </c>
      <c r="AF258" s="68" t="str">
        <f>IF(main!AR261="","",ROUND(main!AR261*100,6))</f>
        <v/>
      </c>
      <c r="AG258" s="68" t="str">
        <f>IF(main!AS261="","",ROUND(main!AS261*100,6))</f>
        <v/>
      </c>
      <c r="AH258" s="68" t="str">
        <f>IF(main!AT261="","",ROUND(main!AT261*100,6))</f>
        <v/>
      </c>
      <c r="AI258" s="68" t="str">
        <f>IF(main!AU261="","",ROUND(main!AU261*100,6))</f>
        <v/>
      </c>
      <c r="AJ258" s="68" t="str">
        <f>IF(main!AV261="","",ROUND(main!AV261*100,6))</f>
        <v/>
      </c>
      <c r="AK258" s="68" t="str">
        <f>IF(main!AW261="","",ROUND(main!AW261*100,6))</f>
        <v/>
      </c>
      <c r="AL258" s="68" t="str">
        <f>IF(main!AX261="","",ROUND(main!AX261*100,6))</f>
        <v/>
      </c>
      <c r="AM258" s="68" t="str">
        <f>IF(main!AY261="","",ROUND(main!AY261*100,6))</f>
        <v/>
      </c>
      <c r="AN258" s="68" t="str">
        <f>IF(main!AZ261="","",ROUND(main!AZ261*100,6))</f>
        <v/>
      </c>
      <c r="AO258" s="68" t="str">
        <f>IF(main!BA261="","",ROUND(main!BA261*100,6))</f>
        <v/>
      </c>
      <c r="AP258" s="68" t="str">
        <f>IF(main!BB261="","",ROUND(main!BB261*100,6))</f>
        <v/>
      </c>
      <c r="AQ258" s="68" t="str">
        <f>IF(main!BC261="","",ROUND(main!BC261*100,6))</f>
        <v/>
      </c>
      <c r="AR258" s="68" t="str">
        <f>IF(main!BD261="","",ROUND(main!BD261*100,6))</f>
        <v/>
      </c>
      <c r="AS258" s="68" t="str">
        <f>IF(main!BE261="","",ROUND(main!BE261*100,6))</f>
        <v/>
      </c>
      <c r="AT258" s="68" t="str">
        <f>IF(main!BF261="","",ROUND(main!BF261*100,6))</f>
        <v/>
      </c>
      <c r="AU258" s="68" t="str">
        <f>IF(main!BG261="","",ROUND(main!BG261*100,6))</f>
        <v/>
      </c>
      <c r="AV258" s="68" t="str">
        <f>IF(main!BH261="","",ROUND(main!BH261*100,6))</f>
        <v/>
      </c>
      <c r="AW258" s="68" t="str">
        <f>IF(main!BI261="","",ROUND(main!BI261*100,6))</f>
        <v/>
      </c>
      <c r="AX258" s="68" t="str">
        <f>IF(main!BJ261="","",ROUND(main!BJ261*100,6))</f>
        <v/>
      </c>
      <c r="AY258" s="68" t="str">
        <f>IF(main!BK261="","",ROUND(main!BK261*100,6))</f>
        <v/>
      </c>
      <c r="AZ258" s="68" t="str">
        <f>IF(main!BL261="","",ROUND(main!BL261*100,6))</f>
        <v/>
      </c>
      <c r="BA258" s="68" t="str">
        <f>IF(main!BM261="","",ROUND(main!BM261*100,6))</f>
        <v/>
      </c>
      <c r="BB258" s="68" t="str">
        <f>IF(main!BN261="","",ROUND(main!BN261*100,6))</f>
        <v/>
      </c>
      <c r="BC258" s="68" t="str">
        <f>IF(main!BO261="","",ROUND(main!BO261*100,6))</f>
        <v/>
      </c>
      <c r="BD258" s="68" t="str">
        <f>IF(main!BP261="","",ROUND(main!BP261*100,6))</f>
        <v/>
      </c>
      <c r="BE258" s="68" t="str">
        <f>IF(main!BQ261="","",ROUND(main!BQ261*100,6))</f>
        <v/>
      </c>
      <c r="BF258" s="68" t="str">
        <f>IF(main!BR261="","",ROUND(main!BR261*100,6))</f>
        <v/>
      </c>
      <c r="BG258" s="68" t="str">
        <f>IF(main!BS261="","",ROUND(main!BS261*100,6))</f>
        <v/>
      </c>
      <c r="BH258" s="68" t="str">
        <f>IF(main!BT261="","",ROUND(main!BT261*100,6))</f>
        <v/>
      </c>
      <c r="BI258" s="68" t="str">
        <f>IF(main!BU261="","",ROUND(main!BU261*100,6))</f>
        <v/>
      </c>
      <c r="BJ258" s="68" t="str">
        <f>IF(main!BV261="","",ROUND(main!BV261*100,6))</f>
        <v/>
      </c>
      <c r="BK258" s="68" t="str">
        <f>IF(main!BW261="","",ROUND(main!BW261*100,6))</f>
        <v/>
      </c>
      <c r="BL258" s="68" t="str">
        <f>IF(main!BX261="","",ROUND(main!BX261*100,6))</f>
        <v/>
      </c>
      <c r="BM258" s="68" t="str">
        <f>IF(main!BY261="","",ROUND(main!BY261*100,6))</f>
        <v/>
      </c>
      <c r="BN258" s="68" t="str">
        <f>IF(main!BZ261="","",ROUND(main!BZ261*100,6))</f>
        <v/>
      </c>
      <c r="BO258" s="68" t="str">
        <f>IF(main!CA261="","",ROUND(main!CA261*100,6))</f>
        <v/>
      </c>
      <c r="BP258" s="68" t="str">
        <f>IF(main!CB261="","",ROUND(main!CB261*100,6))</f>
        <v/>
      </c>
      <c r="BQ258" s="68" t="str">
        <f>IF(main!CC261="","",ROUND(main!CC261*100,6))</f>
        <v/>
      </c>
      <c r="BR258" s="68" t="str">
        <f>IF(main!CD261="","",ROUND(main!CD261*100,6))</f>
        <v/>
      </c>
      <c r="BS258" s="68">
        <f>IF(main!CE261="","",ROUND(main!CE261*100,6))</f>
        <v>7.1428570000000002</v>
      </c>
      <c r="BT258" s="68">
        <f>IF(main!CF261="","",ROUND(main!CF261*100,6))</f>
        <v>50</v>
      </c>
      <c r="BU258" s="68">
        <f>IF(main!CG261="","",ROUND(main!CG261*100,6))</f>
        <v>42.857143000000001</v>
      </c>
      <c r="BV258" s="68" t="str">
        <f>IF(main!CH261="","",ROUND(main!CH261*100,6))</f>
        <v/>
      </c>
      <c r="BW258" s="68" t="str">
        <f>IF(main!CI261="","",ROUND(main!CI261*100,6))</f>
        <v/>
      </c>
      <c r="BX258" s="68" t="str">
        <f>IF(main!CJ261="","",ROUND(main!CJ261*100,6))</f>
        <v/>
      </c>
      <c r="BY258" s="68" t="str">
        <f>IF(main!CK261="","",ROUND(main!CK261*100,6))</f>
        <v/>
      </c>
      <c r="BZ258" s="68" t="str">
        <f>IF(main!CL261="","",ROUND(main!CL261*100,6))</f>
        <v/>
      </c>
      <c r="CA258" s="68" t="str">
        <f>IF(main!CM261="","",ROUND(main!CM261*100,6))</f>
        <v/>
      </c>
      <c r="CB258" s="68" t="str">
        <f>IF(main!CN261="","",ROUND(main!CN261*100,6))</f>
        <v/>
      </c>
      <c r="CC258" s="68" t="str">
        <f>IF(main!CO261="","",ROUND(main!CO261*100,6))</f>
        <v/>
      </c>
    </row>
    <row r="259" spans="1:81" x14ac:dyDescent="0.25">
      <c r="A259" s="65" t="s">
        <v>419</v>
      </c>
      <c r="B259" s="66" t="str">
        <f>main!C261</f>
        <v>งานปูกระเบื้องยาง</v>
      </c>
      <c r="C259" s="67">
        <f>main!O261</f>
        <v>100000</v>
      </c>
      <c r="D259" s="65" t="s">
        <v>111</v>
      </c>
      <c r="E259" s="68" t="str">
        <f t="shared" si="4"/>
        <v/>
      </c>
      <c r="F259" s="68" t="str">
        <f>IF(main!R262="","",ROUND(main!R262*100,6))</f>
        <v/>
      </c>
      <c r="G259" s="68" t="str">
        <f>IF(main!S262="","",ROUND(main!S262*100,6))</f>
        <v/>
      </c>
      <c r="H259" s="68" t="str">
        <f>IF(main!T262="","",ROUND(main!T262*100,6))</f>
        <v/>
      </c>
      <c r="I259" s="68" t="str">
        <f>IF(main!U262="","",ROUND(main!U262*100,6))</f>
        <v/>
      </c>
      <c r="J259" s="68" t="str">
        <f>IF(main!V262="","",ROUND(main!V262*100,6))</f>
        <v/>
      </c>
      <c r="K259" s="68" t="str">
        <f>IF(main!W262="","",ROUND(main!W262*100,6))</f>
        <v/>
      </c>
      <c r="L259" s="68" t="str">
        <f>IF(main!X262="","",ROUND(main!X262*100,6))</f>
        <v/>
      </c>
      <c r="M259" s="68" t="str">
        <f>IF(main!Y262="","",ROUND(main!Y262*100,6))</f>
        <v/>
      </c>
      <c r="N259" s="68" t="str">
        <f>IF(main!Z262="","",ROUND(main!Z262*100,6))</f>
        <v/>
      </c>
      <c r="O259" s="68" t="str">
        <f>IF(main!AA262="","",ROUND(main!AA262*100,6))</f>
        <v/>
      </c>
      <c r="P259" s="68" t="str">
        <f>IF(main!AB262="","",ROUND(main!AB262*100,6))</f>
        <v/>
      </c>
      <c r="Q259" s="68" t="str">
        <f>IF(main!AC262="","",ROUND(main!AC262*100,6))</f>
        <v/>
      </c>
      <c r="R259" s="68" t="str">
        <f>IF(main!AD262="","",ROUND(main!AD262*100,6))</f>
        <v/>
      </c>
      <c r="S259" s="68" t="str">
        <f>IF(main!AE262="","",ROUND(main!AE262*100,6))</f>
        <v/>
      </c>
      <c r="T259" s="68" t="str">
        <f>IF(main!AF262="","",ROUND(main!AF262*100,6))</f>
        <v/>
      </c>
      <c r="U259" s="68" t="str">
        <f>IF(main!AG262="","",ROUND(main!AG262*100,6))</f>
        <v/>
      </c>
      <c r="V259" s="68" t="str">
        <f>IF(main!AH262="","",ROUND(main!AH262*100,6))</f>
        <v/>
      </c>
      <c r="W259" s="68" t="str">
        <f>IF(main!AI262="","",ROUND(main!AI262*100,6))</f>
        <v/>
      </c>
      <c r="X259" s="68" t="str">
        <f>IF(main!AJ262="","",ROUND(main!AJ262*100,6))</f>
        <v/>
      </c>
      <c r="Y259" s="68" t="str">
        <f>IF(main!AK262="","",ROUND(main!AK262*100,6))</f>
        <v/>
      </c>
      <c r="Z259" s="68" t="str">
        <f>IF(main!AL262="","",ROUND(main!AL262*100,6))</f>
        <v/>
      </c>
      <c r="AA259" s="68" t="str">
        <f>IF(main!AM262="","",ROUND(main!AM262*100,6))</f>
        <v/>
      </c>
      <c r="AB259" s="68" t="str">
        <f>IF(main!AN262="","",ROUND(main!AN262*100,6))</f>
        <v/>
      </c>
      <c r="AC259" s="68" t="str">
        <f>IF(main!AO262="","",ROUND(main!AO262*100,6))</f>
        <v/>
      </c>
      <c r="AD259" s="68" t="str">
        <f>IF(main!AP262="","",ROUND(main!AP262*100,6))</f>
        <v/>
      </c>
      <c r="AE259" s="68" t="str">
        <f>IF(main!AQ262="","",ROUND(main!AQ262*100,6))</f>
        <v/>
      </c>
      <c r="AF259" s="68" t="str">
        <f>IF(main!AR262="","",ROUND(main!AR262*100,6))</f>
        <v/>
      </c>
      <c r="AG259" s="68" t="str">
        <f>IF(main!AS262="","",ROUND(main!AS262*100,6))</f>
        <v/>
      </c>
      <c r="AH259" s="68" t="str">
        <f>IF(main!AT262="","",ROUND(main!AT262*100,6))</f>
        <v/>
      </c>
      <c r="AI259" s="68" t="str">
        <f>IF(main!AU262="","",ROUND(main!AU262*100,6))</f>
        <v/>
      </c>
      <c r="AJ259" s="68" t="str">
        <f>IF(main!AV262="","",ROUND(main!AV262*100,6))</f>
        <v/>
      </c>
      <c r="AK259" s="68" t="str">
        <f>IF(main!AW262="","",ROUND(main!AW262*100,6))</f>
        <v/>
      </c>
      <c r="AL259" s="68" t="str">
        <f>IF(main!AX262="","",ROUND(main!AX262*100,6))</f>
        <v/>
      </c>
      <c r="AM259" s="68" t="str">
        <f>IF(main!AY262="","",ROUND(main!AY262*100,6))</f>
        <v/>
      </c>
      <c r="AN259" s="68" t="str">
        <f>IF(main!AZ262="","",ROUND(main!AZ262*100,6))</f>
        <v/>
      </c>
      <c r="AO259" s="68" t="str">
        <f>IF(main!BA262="","",ROUND(main!BA262*100,6))</f>
        <v/>
      </c>
      <c r="AP259" s="68" t="str">
        <f>IF(main!BB262="","",ROUND(main!BB262*100,6))</f>
        <v/>
      </c>
      <c r="AQ259" s="68" t="str">
        <f>IF(main!BC262="","",ROUND(main!BC262*100,6))</f>
        <v/>
      </c>
      <c r="AR259" s="68" t="str">
        <f>IF(main!BD262="","",ROUND(main!BD262*100,6))</f>
        <v/>
      </c>
      <c r="AS259" s="68" t="str">
        <f>IF(main!BE262="","",ROUND(main!BE262*100,6))</f>
        <v/>
      </c>
      <c r="AT259" s="68" t="str">
        <f>IF(main!BF262="","",ROUND(main!BF262*100,6))</f>
        <v/>
      </c>
      <c r="AU259" s="68" t="str">
        <f>IF(main!BG262="","",ROUND(main!BG262*100,6))</f>
        <v/>
      </c>
      <c r="AV259" s="68" t="str">
        <f>IF(main!BH262="","",ROUND(main!BH262*100,6))</f>
        <v/>
      </c>
      <c r="AW259" s="68" t="str">
        <f>IF(main!BI262="","",ROUND(main!BI262*100,6))</f>
        <v/>
      </c>
      <c r="AX259" s="68" t="str">
        <f>IF(main!BJ262="","",ROUND(main!BJ262*100,6))</f>
        <v/>
      </c>
      <c r="AY259" s="68" t="str">
        <f>IF(main!BK262="","",ROUND(main!BK262*100,6))</f>
        <v/>
      </c>
      <c r="AZ259" s="68" t="str">
        <f>IF(main!BL262="","",ROUND(main!BL262*100,6))</f>
        <v/>
      </c>
      <c r="BA259" s="68" t="str">
        <f>IF(main!BM262="","",ROUND(main!BM262*100,6))</f>
        <v/>
      </c>
      <c r="BB259" s="68" t="str">
        <f>IF(main!BN262="","",ROUND(main!BN262*100,6))</f>
        <v/>
      </c>
      <c r="BC259" s="68" t="str">
        <f>IF(main!BO262="","",ROUND(main!BO262*100,6))</f>
        <v/>
      </c>
      <c r="BD259" s="68" t="str">
        <f>IF(main!BP262="","",ROUND(main!BP262*100,6))</f>
        <v/>
      </c>
      <c r="BE259" s="68" t="str">
        <f>IF(main!BQ262="","",ROUND(main!BQ262*100,6))</f>
        <v/>
      </c>
      <c r="BF259" s="68" t="str">
        <f>IF(main!BR262="","",ROUND(main!BR262*100,6))</f>
        <v/>
      </c>
      <c r="BG259" s="68" t="str">
        <f>IF(main!BS262="","",ROUND(main!BS262*100,6))</f>
        <v/>
      </c>
      <c r="BH259" s="68" t="str">
        <f>IF(main!BT262="","",ROUND(main!BT262*100,6))</f>
        <v/>
      </c>
      <c r="BI259" s="68" t="str">
        <f>IF(main!BU262="","",ROUND(main!BU262*100,6))</f>
        <v/>
      </c>
      <c r="BJ259" s="68" t="str">
        <f>IF(main!BV262="","",ROUND(main!BV262*100,6))</f>
        <v/>
      </c>
      <c r="BK259" s="68" t="str">
        <f>IF(main!BW262="","",ROUND(main!BW262*100,6))</f>
        <v/>
      </c>
      <c r="BL259" s="68" t="str">
        <f>IF(main!BX262="","",ROUND(main!BX262*100,6))</f>
        <v/>
      </c>
      <c r="BM259" s="68" t="str">
        <f>IF(main!BY262="","",ROUND(main!BY262*100,6))</f>
        <v/>
      </c>
      <c r="BN259" s="68" t="str">
        <f>IF(main!BZ262="","",ROUND(main!BZ262*100,6))</f>
        <v/>
      </c>
      <c r="BO259" s="68" t="str">
        <f>IF(main!CA262="","",ROUND(main!CA262*100,6))</f>
        <v/>
      </c>
      <c r="BP259" s="68" t="str">
        <f>IF(main!CB262="","",ROUND(main!CB262*100,6))</f>
        <v/>
      </c>
      <c r="BQ259" s="68" t="str">
        <f>IF(main!CC262="","",ROUND(main!CC262*100,6))</f>
        <v/>
      </c>
      <c r="BR259" s="68" t="str">
        <f>IF(main!CD262="","",ROUND(main!CD262*100,6))</f>
        <v/>
      </c>
      <c r="BS259" s="68" t="str">
        <f>IF(main!CE262="","",ROUND(main!CE262*100,6))</f>
        <v/>
      </c>
      <c r="BT259" s="68" t="str">
        <f>IF(main!CF262="","",ROUND(main!CF262*100,6))</f>
        <v/>
      </c>
      <c r="BU259" s="68" t="str">
        <f>IF(main!CG262="","",ROUND(main!CG262*100,6))</f>
        <v/>
      </c>
      <c r="BV259" s="68" t="str">
        <f>IF(main!CH262="","",ROUND(main!CH262*100,6))</f>
        <v/>
      </c>
      <c r="BW259" s="68" t="str">
        <f>IF(main!CI262="","",ROUND(main!CI262*100,6))</f>
        <v/>
      </c>
      <c r="BX259" s="68" t="str">
        <f>IF(main!CJ262="","",ROUND(main!CJ262*100,6))</f>
        <v/>
      </c>
      <c r="BY259" s="68" t="str">
        <f>IF(main!CK262="","",ROUND(main!CK262*100,6))</f>
        <v/>
      </c>
      <c r="BZ259" s="68" t="str">
        <f>IF(main!CL262="","",ROUND(main!CL262*100,6))</f>
        <v/>
      </c>
      <c r="CA259" s="68" t="str">
        <f>IF(main!CM262="","",ROUND(main!CM262*100,6))</f>
        <v/>
      </c>
      <c r="CB259" s="68" t="str">
        <f>IF(main!CN262="","",ROUND(main!CN262*100,6))</f>
        <v/>
      </c>
      <c r="CC259" s="68" t="str">
        <f>IF(main!CO262="","",ROUND(main!CO262*100,6))</f>
        <v/>
      </c>
    </row>
    <row r="260" spans="1:81" x14ac:dyDescent="0.25">
      <c r="A260" s="65" t="s">
        <v>421</v>
      </c>
      <c r="B260" s="66" t="str">
        <f>main!C263</f>
        <v>งานปูหินแกรนิต ปูกระเบื้อง ห้องน้ำ</v>
      </c>
      <c r="C260" s="67">
        <f>main!O263</f>
        <v>100000</v>
      </c>
      <c r="D260" s="65" t="s">
        <v>110</v>
      </c>
      <c r="E260" s="68">
        <f t="shared" si="4"/>
        <v>99.999999000000003</v>
      </c>
      <c r="F260" s="68" t="str">
        <f>IF(main!R263="","",ROUND(main!R263*100,6))</f>
        <v/>
      </c>
      <c r="G260" s="68" t="str">
        <f>IF(main!S263="","",ROUND(main!S263*100,6))</f>
        <v/>
      </c>
      <c r="H260" s="68" t="str">
        <f>IF(main!T263="","",ROUND(main!T263*100,6))</f>
        <v/>
      </c>
      <c r="I260" s="68" t="str">
        <f>IF(main!U263="","",ROUND(main!U263*100,6))</f>
        <v/>
      </c>
      <c r="J260" s="68" t="str">
        <f>IF(main!V263="","",ROUND(main!V263*100,6))</f>
        <v/>
      </c>
      <c r="K260" s="68" t="str">
        <f>IF(main!W263="","",ROUND(main!W263*100,6))</f>
        <v/>
      </c>
      <c r="L260" s="68" t="str">
        <f>IF(main!X263="","",ROUND(main!X263*100,6))</f>
        <v/>
      </c>
      <c r="M260" s="68" t="str">
        <f>IF(main!Y263="","",ROUND(main!Y263*100,6))</f>
        <v/>
      </c>
      <c r="N260" s="68" t="str">
        <f>IF(main!Z263="","",ROUND(main!Z263*100,6))</f>
        <v/>
      </c>
      <c r="O260" s="68" t="str">
        <f>IF(main!AA263="","",ROUND(main!AA263*100,6))</f>
        <v/>
      </c>
      <c r="P260" s="68" t="str">
        <f>IF(main!AB263="","",ROUND(main!AB263*100,6))</f>
        <v/>
      </c>
      <c r="Q260" s="68" t="str">
        <f>IF(main!AC263="","",ROUND(main!AC263*100,6))</f>
        <v/>
      </c>
      <c r="R260" s="68" t="str">
        <f>IF(main!AD263="","",ROUND(main!AD263*100,6))</f>
        <v/>
      </c>
      <c r="S260" s="68" t="str">
        <f>IF(main!AE263="","",ROUND(main!AE263*100,6))</f>
        <v/>
      </c>
      <c r="T260" s="68" t="str">
        <f>IF(main!AF263="","",ROUND(main!AF263*100,6))</f>
        <v/>
      </c>
      <c r="U260" s="68" t="str">
        <f>IF(main!AG263="","",ROUND(main!AG263*100,6))</f>
        <v/>
      </c>
      <c r="V260" s="68" t="str">
        <f>IF(main!AH263="","",ROUND(main!AH263*100,6))</f>
        <v/>
      </c>
      <c r="W260" s="68" t="str">
        <f>IF(main!AI263="","",ROUND(main!AI263*100,6))</f>
        <v/>
      </c>
      <c r="X260" s="68" t="str">
        <f>IF(main!AJ263="","",ROUND(main!AJ263*100,6))</f>
        <v/>
      </c>
      <c r="Y260" s="68" t="str">
        <f>IF(main!AK263="","",ROUND(main!AK263*100,6))</f>
        <v/>
      </c>
      <c r="Z260" s="68" t="str">
        <f>IF(main!AL263="","",ROUND(main!AL263*100,6))</f>
        <v/>
      </c>
      <c r="AA260" s="68" t="str">
        <f>IF(main!AM263="","",ROUND(main!AM263*100,6))</f>
        <v/>
      </c>
      <c r="AB260" s="68" t="str">
        <f>IF(main!AN263="","",ROUND(main!AN263*100,6))</f>
        <v/>
      </c>
      <c r="AC260" s="68" t="str">
        <f>IF(main!AO263="","",ROUND(main!AO263*100,6))</f>
        <v/>
      </c>
      <c r="AD260" s="68" t="str">
        <f>IF(main!AP263="","",ROUND(main!AP263*100,6))</f>
        <v/>
      </c>
      <c r="AE260" s="68" t="str">
        <f>IF(main!AQ263="","",ROUND(main!AQ263*100,6))</f>
        <v/>
      </c>
      <c r="AF260" s="68" t="str">
        <f>IF(main!AR263="","",ROUND(main!AR263*100,6))</f>
        <v/>
      </c>
      <c r="AG260" s="68" t="str">
        <f>IF(main!AS263="","",ROUND(main!AS263*100,6))</f>
        <v/>
      </c>
      <c r="AH260" s="68" t="str">
        <f>IF(main!AT263="","",ROUND(main!AT263*100,6))</f>
        <v/>
      </c>
      <c r="AI260" s="68" t="str">
        <f>IF(main!AU263="","",ROUND(main!AU263*100,6))</f>
        <v/>
      </c>
      <c r="AJ260" s="68" t="str">
        <f>IF(main!AV263="","",ROUND(main!AV263*100,6))</f>
        <v/>
      </c>
      <c r="AK260" s="68" t="str">
        <f>IF(main!AW263="","",ROUND(main!AW263*100,6))</f>
        <v/>
      </c>
      <c r="AL260" s="68" t="str">
        <f>IF(main!AX263="","",ROUND(main!AX263*100,6))</f>
        <v/>
      </c>
      <c r="AM260" s="68" t="str">
        <f>IF(main!AY263="","",ROUND(main!AY263*100,6))</f>
        <v/>
      </c>
      <c r="AN260" s="68" t="str">
        <f>IF(main!AZ263="","",ROUND(main!AZ263*100,6))</f>
        <v/>
      </c>
      <c r="AO260" s="68" t="str">
        <f>IF(main!BA263="","",ROUND(main!BA263*100,6))</f>
        <v/>
      </c>
      <c r="AP260" s="68" t="str">
        <f>IF(main!BB263="","",ROUND(main!BB263*100,6))</f>
        <v/>
      </c>
      <c r="AQ260" s="68" t="str">
        <f>IF(main!BC263="","",ROUND(main!BC263*100,6))</f>
        <v/>
      </c>
      <c r="AR260" s="68" t="str">
        <f>IF(main!BD263="","",ROUND(main!BD263*100,6))</f>
        <v/>
      </c>
      <c r="AS260" s="68" t="str">
        <f>IF(main!BE263="","",ROUND(main!BE263*100,6))</f>
        <v/>
      </c>
      <c r="AT260" s="68" t="str">
        <f>IF(main!BF263="","",ROUND(main!BF263*100,6))</f>
        <v/>
      </c>
      <c r="AU260" s="68" t="str">
        <f>IF(main!BG263="","",ROUND(main!BG263*100,6))</f>
        <v/>
      </c>
      <c r="AV260" s="68" t="str">
        <f>IF(main!BH263="","",ROUND(main!BH263*100,6))</f>
        <v/>
      </c>
      <c r="AW260" s="68" t="str">
        <f>IF(main!BI263="","",ROUND(main!BI263*100,6))</f>
        <v/>
      </c>
      <c r="AX260" s="68" t="str">
        <f>IF(main!BJ263="","",ROUND(main!BJ263*100,6))</f>
        <v/>
      </c>
      <c r="AY260" s="68" t="str">
        <f>IF(main!BK263="","",ROUND(main!BK263*100,6))</f>
        <v/>
      </c>
      <c r="AZ260" s="68" t="str">
        <f>IF(main!BL263="","",ROUND(main!BL263*100,6))</f>
        <v/>
      </c>
      <c r="BA260" s="68" t="str">
        <f>IF(main!BM263="","",ROUND(main!BM263*100,6))</f>
        <v/>
      </c>
      <c r="BB260" s="68" t="str">
        <f>IF(main!BN263="","",ROUND(main!BN263*100,6))</f>
        <v/>
      </c>
      <c r="BC260" s="68" t="str">
        <f>IF(main!BO263="","",ROUND(main!BO263*100,6))</f>
        <v/>
      </c>
      <c r="BD260" s="68" t="str">
        <f>IF(main!BP263="","",ROUND(main!BP263*100,6))</f>
        <v/>
      </c>
      <c r="BE260" s="68" t="str">
        <f>IF(main!BQ263="","",ROUND(main!BQ263*100,6))</f>
        <v/>
      </c>
      <c r="BF260" s="68" t="str">
        <f>IF(main!BR263="","",ROUND(main!BR263*100,6))</f>
        <v/>
      </c>
      <c r="BG260" s="68" t="str">
        <f>IF(main!BS263="","",ROUND(main!BS263*100,6))</f>
        <v/>
      </c>
      <c r="BH260" s="68" t="str">
        <f>IF(main!BT263="","",ROUND(main!BT263*100,6))</f>
        <v/>
      </c>
      <c r="BI260" s="68" t="str">
        <f>IF(main!BU263="","",ROUND(main!BU263*100,6))</f>
        <v/>
      </c>
      <c r="BJ260" s="68" t="str">
        <f>IF(main!BV263="","",ROUND(main!BV263*100,6))</f>
        <v/>
      </c>
      <c r="BK260" s="68" t="str">
        <f>IF(main!BW263="","",ROUND(main!BW263*100,6))</f>
        <v/>
      </c>
      <c r="BL260" s="68" t="str">
        <f>IF(main!BX263="","",ROUND(main!BX263*100,6))</f>
        <v/>
      </c>
      <c r="BM260" s="68" t="str">
        <f>IF(main!BY263="","",ROUND(main!BY263*100,6))</f>
        <v/>
      </c>
      <c r="BN260" s="68">
        <f>IF(main!BZ263="","",ROUND(main!BZ263*100,6))</f>
        <v>26.315788999999999</v>
      </c>
      <c r="BO260" s="68">
        <f>IF(main!CA263="","",ROUND(main!CA263*100,6))</f>
        <v>36.842104999999997</v>
      </c>
      <c r="BP260" s="68">
        <f>IF(main!CB263="","",ROUND(main!CB263*100,6))</f>
        <v>36.842104999999997</v>
      </c>
      <c r="BQ260" s="68" t="str">
        <f>IF(main!CC263="","",ROUND(main!CC263*100,6))</f>
        <v/>
      </c>
      <c r="BR260" s="68" t="str">
        <f>IF(main!CD263="","",ROUND(main!CD263*100,6))</f>
        <v/>
      </c>
      <c r="BS260" s="68" t="str">
        <f>IF(main!CE263="","",ROUND(main!CE263*100,6))</f>
        <v/>
      </c>
      <c r="BT260" s="68" t="str">
        <f>IF(main!CF263="","",ROUND(main!CF263*100,6))</f>
        <v/>
      </c>
      <c r="BU260" s="68" t="str">
        <f>IF(main!CG263="","",ROUND(main!CG263*100,6))</f>
        <v/>
      </c>
      <c r="BV260" s="68" t="str">
        <f>IF(main!CH263="","",ROUND(main!CH263*100,6))</f>
        <v/>
      </c>
      <c r="BW260" s="68" t="str">
        <f>IF(main!CI263="","",ROUND(main!CI263*100,6))</f>
        <v/>
      </c>
      <c r="BX260" s="68" t="str">
        <f>IF(main!CJ263="","",ROUND(main!CJ263*100,6))</f>
        <v/>
      </c>
      <c r="BY260" s="68" t="str">
        <f>IF(main!CK263="","",ROUND(main!CK263*100,6))</f>
        <v/>
      </c>
      <c r="BZ260" s="68" t="str">
        <f>IF(main!CL263="","",ROUND(main!CL263*100,6))</f>
        <v/>
      </c>
      <c r="CA260" s="68" t="str">
        <f>IF(main!CM263="","",ROUND(main!CM263*100,6))</f>
        <v/>
      </c>
      <c r="CB260" s="68" t="str">
        <f>IF(main!CN263="","",ROUND(main!CN263*100,6))</f>
        <v/>
      </c>
      <c r="CC260" s="68" t="str">
        <f>IF(main!CO263="","",ROUND(main!CO263*100,6))</f>
        <v/>
      </c>
    </row>
    <row r="261" spans="1:81" x14ac:dyDescent="0.25">
      <c r="A261" s="65" t="s">
        <v>421</v>
      </c>
      <c r="B261" s="66" t="str">
        <f>main!C263</f>
        <v>งานปูหินแกรนิต ปูกระเบื้อง ห้องน้ำ</v>
      </c>
      <c r="C261" s="67">
        <f>main!O263</f>
        <v>100000</v>
      </c>
      <c r="D261" s="65" t="s">
        <v>111</v>
      </c>
      <c r="E261" s="68" t="str">
        <f t="shared" si="4"/>
        <v/>
      </c>
      <c r="F261" s="68" t="str">
        <f>IF(main!R264="","",ROUND(main!R264*100,6))</f>
        <v/>
      </c>
      <c r="G261" s="68" t="str">
        <f>IF(main!S264="","",ROUND(main!S264*100,6))</f>
        <v/>
      </c>
      <c r="H261" s="68" t="str">
        <f>IF(main!T264="","",ROUND(main!T264*100,6))</f>
        <v/>
      </c>
      <c r="I261" s="68" t="str">
        <f>IF(main!U264="","",ROUND(main!U264*100,6))</f>
        <v/>
      </c>
      <c r="J261" s="68" t="str">
        <f>IF(main!V264="","",ROUND(main!V264*100,6))</f>
        <v/>
      </c>
      <c r="K261" s="68" t="str">
        <f>IF(main!W264="","",ROUND(main!W264*100,6))</f>
        <v/>
      </c>
      <c r="L261" s="68" t="str">
        <f>IF(main!X264="","",ROUND(main!X264*100,6))</f>
        <v/>
      </c>
      <c r="M261" s="68" t="str">
        <f>IF(main!Y264="","",ROUND(main!Y264*100,6))</f>
        <v/>
      </c>
      <c r="N261" s="68" t="str">
        <f>IF(main!Z264="","",ROUND(main!Z264*100,6))</f>
        <v/>
      </c>
      <c r="O261" s="68" t="str">
        <f>IF(main!AA264="","",ROUND(main!AA264*100,6))</f>
        <v/>
      </c>
      <c r="P261" s="68" t="str">
        <f>IF(main!AB264="","",ROUND(main!AB264*100,6))</f>
        <v/>
      </c>
      <c r="Q261" s="68" t="str">
        <f>IF(main!AC264="","",ROUND(main!AC264*100,6))</f>
        <v/>
      </c>
      <c r="R261" s="68" t="str">
        <f>IF(main!AD264="","",ROUND(main!AD264*100,6))</f>
        <v/>
      </c>
      <c r="S261" s="68" t="str">
        <f>IF(main!AE264="","",ROUND(main!AE264*100,6))</f>
        <v/>
      </c>
      <c r="T261" s="68" t="str">
        <f>IF(main!AF264="","",ROUND(main!AF264*100,6))</f>
        <v/>
      </c>
      <c r="U261" s="68" t="str">
        <f>IF(main!AG264="","",ROUND(main!AG264*100,6))</f>
        <v/>
      </c>
      <c r="V261" s="68" t="str">
        <f>IF(main!AH264="","",ROUND(main!AH264*100,6))</f>
        <v/>
      </c>
      <c r="W261" s="68" t="str">
        <f>IF(main!AI264="","",ROUND(main!AI264*100,6))</f>
        <v/>
      </c>
      <c r="X261" s="68" t="str">
        <f>IF(main!AJ264="","",ROUND(main!AJ264*100,6))</f>
        <v/>
      </c>
      <c r="Y261" s="68" t="str">
        <f>IF(main!AK264="","",ROUND(main!AK264*100,6))</f>
        <v/>
      </c>
      <c r="Z261" s="68" t="str">
        <f>IF(main!AL264="","",ROUND(main!AL264*100,6))</f>
        <v/>
      </c>
      <c r="AA261" s="68" t="str">
        <f>IF(main!AM264="","",ROUND(main!AM264*100,6))</f>
        <v/>
      </c>
      <c r="AB261" s="68" t="str">
        <f>IF(main!AN264="","",ROUND(main!AN264*100,6))</f>
        <v/>
      </c>
      <c r="AC261" s="68" t="str">
        <f>IF(main!AO264="","",ROUND(main!AO264*100,6))</f>
        <v/>
      </c>
      <c r="AD261" s="68" t="str">
        <f>IF(main!AP264="","",ROUND(main!AP264*100,6))</f>
        <v/>
      </c>
      <c r="AE261" s="68" t="str">
        <f>IF(main!AQ264="","",ROUND(main!AQ264*100,6))</f>
        <v/>
      </c>
      <c r="AF261" s="68" t="str">
        <f>IF(main!AR264="","",ROUND(main!AR264*100,6))</f>
        <v/>
      </c>
      <c r="AG261" s="68" t="str">
        <f>IF(main!AS264="","",ROUND(main!AS264*100,6))</f>
        <v/>
      </c>
      <c r="AH261" s="68" t="str">
        <f>IF(main!AT264="","",ROUND(main!AT264*100,6))</f>
        <v/>
      </c>
      <c r="AI261" s="68" t="str">
        <f>IF(main!AU264="","",ROUND(main!AU264*100,6))</f>
        <v/>
      </c>
      <c r="AJ261" s="68" t="str">
        <f>IF(main!AV264="","",ROUND(main!AV264*100,6))</f>
        <v/>
      </c>
      <c r="AK261" s="68" t="str">
        <f>IF(main!AW264="","",ROUND(main!AW264*100,6))</f>
        <v/>
      </c>
      <c r="AL261" s="68" t="str">
        <f>IF(main!AX264="","",ROUND(main!AX264*100,6))</f>
        <v/>
      </c>
      <c r="AM261" s="68" t="str">
        <f>IF(main!AY264="","",ROUND(main!AY264*100,6))</f>
        <v/>
      </c>
      <c r="AN261" s="68" t="str">
        <f>IF(main!AZ264="","",ROUND(main!AZ264*100,6))</f>
        <v/>
      </c>
      <c r="AO261" s="68" t="str">
        <f>IF(main!BA264="","",ROUND(main!BA264*100,6))</f>
        <v/>
      </c>
      <c r="AP261" s="68" t="str">
        <f>IF(main!BB264="","",ROUND(main!BB264*100,6))</f>
        <v/>
      </c>
      <c r="AQ261" s="68" t="str">
        <f>IF(main!BC264="","",ROUND(main!BC264*100,6))</f>
        <v/>
      </c>
      <c r="AR261" s="68" t="str">
        <f>IF(main!BD264="","",ROUND(main!BD264*100,6))</f>
        <v/>
      </c>
      <c r="AS261" s="68" t="str">
        <f>IF(main!BE264="","",ROUND(main!BE264*100,6))</f>
        <v/>
      </c>
      <c r="AT261" s="68" t="str">
        <f>IF(main!BF264="","",ROUND(main!BF264*100,6))</f>
        <v/>
      </c>
      <c r="AU261" s="68" t="str">
        <f>IF(main!BG264="","",ROUND(main!BG264*100,6))</f>
        <v/>
      </c>
      <c r="AV261" s="68" t="str">
        <f>IF(main!BH264="","",ROUND(main!BH264*100,6))</f>
        <v/>
      </c>
      <c r="AW261" s="68" t="str">
        <f>IF(main!BI264="","",ROUND(main!BI264*100,6))</f>
        <v/>
      </c>
      <c r="AX261" s="68" t="str">
        <f>IF(main!BJ264="","",ROUND(main!BJ264*100,6))</f>
        <v/>
      </c>
      <c r="AY261" s="68" t="str">
        <f>IF(main!BK264="","",ROUND(main!BK264*100,6))</f>
        <v/>
      </c>
      <c r="AZ261" s="68" t="str">
        <f>IF(main!BL264="","",ROUND(main!BL264*100,6))</f>
        <v/>
      </c>
      <c r="BA261" s="68" t="str">
        <f>IF(main!BM264="","",ROUND(main!BM264*100,6))</f>
        <v/>
      </c>
      <c r="BB261" s="68" t="str">
        <f>IF(main!BN264="","",ROUND(main!BN264*100,6))</f>
        <v/>
      </c>
      <c r="BC261" s="68" t="str">
        <f>IF(main!BO264="","",ROUND(main!BO264*100,6))</f>
        <v/>
      </c>
      <c r="BD261" s="68" t="str">
        <f>IF(main!BP264="","",ROUND(main!BP264*100,6))</f>
        <v/>
      </c>
      <c r="BE261" s="68" t="str">
        <f>IF(main!BQ264="","",ROUND(main!BQ264*100,6))</f>
        <v/>
      </c>
      <c r="BF261" s="68" t="str">
        <f>IF(main!BR264="","",ROUND(main!BR264*100,6))</f>
        <v/>
      </c>
      <c r="BG261" s="68" t="str">
        <f>IF(main!BS264="","",ROUND(main!BS264*100,6))</f>
        <v/>
      </c>
      <c r="BH261" s="68" t="str">
        <f>IF(main!BT264="","",ROUND(main!BT264*100,6))</f>
        <v/>
      </c>
      <c r="BI261" s="68" t="str">
        <f>IF(main!BU264="","",ROUND(main!BU264*100,6))</f>
        <v/>
      </c>
      <c r="BJ261" s="68" t="str">
        <f>IF(main!BV264="","",ROUND(main!BV264*100,6))</f>
        <v/>
      </c>
      <c r="BK261" s="68" t="str">
        <f>IF(main!BW264="","",ROUND(main!BW264*100,6))</f>
        <v/>
      </c>
      <c r="BL261" s="68" t="str">
        <f>IF(main!BX264="","",ROUND(main!BX264*100,6))</f>
        <v/>
      </c>
      <c r="BM261" s="68" t="str">
        <f>IF(main!BY264="","",ROUND(main!BY264*100,6))</f>
        <v/>
      </c>
      <c r="BN261" s="68" t="str">
        <f>IF(main!BZ264="","",ROUND(main!BZ264*100,6))</f>
        <v/>
      </c>
      <c r="BO261" s="68" t="str">
        <f>IF(main!CA264="","",ROUND(main!CA264*100,6))</f>
        <v/>
      </c>
      <c r="BP261" s="68" t="str">
        <f>IF(main!CB264="","",ROUND(main!CB264*100,6))</f>
        <v/>
      </c>
      <c r="BQ261" s="68" t="str">
        <f>IF(main!CC264="","",ROUND(main!CC264*100,6))</f>
        <v/>
      </c>
      <c r="BR261" s="68" t="str">
        <f>IF(main!CD264="","",ROUND(main!CD264*100,6))</f>
        <v/>
      </c>
      <c r="BS261" s="68" t="str">
        <f>IF(main!CE264="","",ROUND(main!CE264*100,6))</f>
        <v/>
      </c>
      <c r="BT261" s="68" t="str">
        <f>IF(main!CF264="","",ROUND(main!CF264*100,6))</f>
        <v/>
      </c>
      <c r="BU261" s="68" t="str">
        <f>IF(main!CG264="","",ROUND(main!CG264*100,6))</f>
        <v/>
      </c>
      <c r="BV261" s="68" t="str">
        <f>IF(main!CH264="","",ROUND(main!CH264*100,6))</f>
        <v/>
      </c>
      <c r="BW261" s="68" t="str">
        <f>IF(main!CI264="","",ROUND(main!CI264*100,6))</f>
        <v/>
      </c>
      <c r="BX261" s="68" t="str">
        <f>IF(main!CJ264="","",ROUND(main!CJ264*100,6))</f>
        <v/>
      </c>
      <c r="BY261" s="68" t="str">
        <f>IF(main!CK264="","",ROUND(main!CK264*100,6))</f>
        <v/>
      </c>
      <c r="BZ261" s="68" t="str">
        <f>IF(main!CL264="","",ROUND(main!CL264*100,6))</f>
        <v/>
      </c>
      <c r="CA261" s="68" t="str">
        <f>IF(main!CM264="","",ROUND(main!CM264*100,6))</f>
        <v/>
      </c>
      <c r="CB261" s="68" t="str">
        <f>IF(main!CN264="","",ROUND(main!CN264*100,6))</f>
        <v/>
      </c>
      <c r="CC261" s="68" t="str">
        <f>IF(main!CO264="","",ROUND(main!CO264*100,6))</f>
        <v/>
      </c>
    </row>
    <row r="262" spans="1:81" x14ac:dyDescent="0.25">
      <c r="A262" s="65" t="s">
        <v>423</v>
      </c>
      <c r="B262" s="66" t="str">
        <f>main!C265</f>
        <v>Doors &amp; Windows</v>
      </c>
      <c r="C262" s="67">
        <f>main!O265</f>
        <v>100000</v>
      </c>
      <c r="D262" s="65" t="s">
        <v>110</v>
      </c>
      <c r="E262" s="68">
        <f t="shared" si="4"/>
        <v>100</v>
      </c>
      <c r="F262" s="68" t="str">
        <f>IF(main!R265="","",ROUND(main!R265*100,6))</f>
        <v/>
      </c>
      <c r="G262" s="68" t="str">
        <f>IF(main!S265="","",ROUND(main!S265*100,6))</f>
        <v/>
      </c>
      <c r="H262" s="68" t="str">
        <f>IF(main!T265="","",ROUND(main!T265*100,6))</f>
        <v/>
      </c>
      <c r="I262" s="68" t="str">
        <f>IF(main!U265="","",ROUND(main!U265*100,6))</f>
        <v/>
      </c>
      <c r="J262" s="68" t="str">
        <f>IF(main!V265="","",ROUND(main!V265*100,6))</f>
        <v/>
      </c>
      <c r="K262" s="68" t="str">
        <f>IF(main!W265="","",ROUND(main!W265*100,6))</f>
        <v/>
      </c>
      <c r="L262" s="68" t="str">
        <f>IF(main!X265="","",ROUND(main!X265*100,6))</f>
        <v/>
      </c>
      <c r="M262" s="68" t="str">
        <f>IF(main!Y265="","",ROUND(main!Y265*100,6))</f>
        <v/>
      </c>
      <c r="N262" s="68" t="str">
        <f>IF(main!Z265="","",ROUND(main!Z265*100,6))</f>
        <v/>
      </c>
      <c r="O262" s="68" t="str">
        <f>IF(main!AA265="","",ROUND(main!AA265*100,6))</f>
        <v/>
      </c>
      <c r="P262" s="68" t="str">
        <f>IF(main!AB265="","",ROUND(main!AB265*100,6))</f>
        <v/>
      </c>
      <c r="Q262" s="68" t="str">
        <f>IF(main!AC265="","",ROUND(main!AC265*100,6))</f>
        <v/>
      </c>
      <c r="R262" s="68" t="str">
        <f>IF(main!AD265="","",ROUND(main!AD265*100,6))</f>
        <v/>
      </c>
      <c r="S262" s="68" t="str">
        <f>IF(main!AE265="","",ROUND(main!AE265*100,6))</f>
        <v/>
      </c>
      <c r="T262" s="68" t="str">
        <f>IF(main!AF265="","",ROUND(main!AF265*100,6))</f>
        <v/>
      </c>
      <c r="U262" s="68" t="str">
        <f>IF(main!AG265="","",ROUND(main!AG265*100,6))</f>
        <v/>
      </c>
      <c r="V262" s="68" t="str">
        <f>IF(main!AH265="","",ROUND(main!AH265*100,6))</f>
        <v/>
      </c>
      <c r="W262" s="68" t="str">
        <f>IF(main!AI265="","",ROUND(main!AI265*100,6))</f>
        <v/>
      </c>
      <c r="X262" s="68" t="str">
        <f>IF(main!AJ265="","",ROUND(main!AJ265*100,6))</f>
        <v/>
      </c>
      <c r="Y262" s="68" t="str">
        <f>IF(main!AK265="","",ROUND(main!AK265*100,6))</f>
        <v/>
      </c>
      <c r="Z262" s="68" t="str">
        <f>IF(main!AL265="","",ROUND(main!AL265*100,6))</f>
        <v/>
      </c>
      <c r="AA262" s="68" t="str">
        <f>IF(main!AM265="","",ROUND(main!AM265*100,6))</f>
        <v/>
      </c>
      <c r="AB262" s="68" t="str">
        <f>IF(main!AN265="","",ROUND(main!AN265*100,6))</f>
        <v/>
      </c>
      <c r="AC262" s="68" t="str">
        <f>IF(main!AO265="","",ROUND(main!AO265*100,6))</f>
        <v/>
      </c>
      <c r="AD262" s="68" t="str">
        <f>IF(main!AP265="","",ROUND(main!AP265*100,6))</f>
        <v/>
      </c>
      <c r="AE262" s="68" t="str">
        <f>IF(main!AQ265="","",ROUND(main!AQ265*100,6))</f>
        <v/>
      </c>
      <c r="AF262" s="68" t="str">
        <f>IF(main!AR265="","",ROUND(main!AR265*100,6))</f>
        <v/>
      </c>
      <c r="AG262" s="68" t="str">
        <f>IF(main!AS265="","",ROUND(main!AS265*100,6))</f>
        <v/>
      </c>
      <c r="AH262" s="68" t="str">
        <f>IF(main!AT265="","",ROUND(main!AT265*100,6))</f>
        <v/>
      </c>
      <c r="AI262" s="68" t="str">
        <f>IF(main!AU265="","",ROUND(main!AU265*100,6))</f>
        <v/>
      </c>
      <c r="AJ262" s="68" t="str">
        <f>IF(main!AV265="","",ROUND(main!AV265*100,6))</f>
        <v/>
      </c>
      <c r="AK262" s="68" t="str">
        <f>IF(main!AW265="","",ROUND(main!AW265*100,6))</f>
        <v/>
      </c>
      <c r="AL262" s="68" t="str">
        <f>IF(main!AX265="","",ROUND(main!AX265*100,6))</f>
        <v/>
      </c>
      <c r="AM262" s="68" t="str">
        <f>IF(main!AY265="","",ROUND(main!AY265*100,6))</f>
        <v/>
      </c>
      <c r="AN262" s="68" t="str">
        <f>IF(main!AZ265="","",ROUND(main!AZ265*100,6))</f>
        <v/>
      </c>
      <c r="AO262" s="68" t="str">
        <f>IF(main!BA265="","",ROUND(main!BA265*100,6))</f>
        <v/>
      </c>
      <c r="AP262" s="68" t="str">
        <f>IF(main!BB265="","",ROUND(main!BB265*100,6))</f>
        <v/>
      </c>
      <c r="AQ262" s="68" t="str">
        <f>IF(main!BC265="","",ROUND(main!BC265*100,6))</f>
        <v/>
      </c>
      <c r="AR262" s="68" t="str">
        <f>IF(main!BD265="","",ROUND(main!BD265*100,6))</f>
        <v/>
      </c>
      <c r="AS262" s="68" t="str">
        <f>IF(main!BE265="","",ROUND(main!BE265*100,6))</f>
        <v/>
      </c>
      <c r="AT262" s="68" t="str">
        <f>IF(main!BF265="","",ROUND(main!BF265*100,6))</f>
        <v/>
      </c>
      <c r="AU262" s="68" t="str">
        <f>IF(main!BG265="","",ROUND(main!BG265*100,6))</f>
        <v/>
      </c>
      <c r="AV262" s="68" t="str">
        <f>IF(main!BH265="","",ROUND(main!BH265*100,6))</f>
        <v/>
      </c>
      <c r="AW262" s="68" t="str">
        <f>IF(main!BI265="","",ROUND(main!BI265*100,6))</f>
        <v/>
      </c>
      <c r="AX262" s="68" t="str">
        <f>IF(main!BJ265="","",ROUND(main!BJ265*100,6))</f>
        <v/>
      </c>
      <c r="AY262" s="68" t="str">
        <f>IF(main!BK265="","",ROUND(main!BK265*100,6))</f>
        <v/>
      </c>
      <c r="AZ262" s="68" t="str">
        <f>IF(main!BL265="","",ROUND(main!BL265*100,6))</f>
        <v/>
      </c>
      <c r="BA262" s="68" t="str">
        <f>IF(main!BM265="","",ROUND(main!BM265*100,6))</f>
        <v/>
      </c>
      <c r="BB262" s="68" t="str">
        <f>IF(main!BN265="","",ROUND(main!BN265*100,6))</f>
        <v/>
      </c>
      <c r="BC262" s="68" t="str">
        <f>IF(main!BO265="","",ROUND(main!BO265*100,6))</f>
        <v/>
      </c>
      <c r="BD262" s="68" t="str">
        <f>IF(main!BP265="","",ROUND(main!BP265*100,6))</f>
        <v/>
      </c>
      <c r="BE262" s="68" t="str">
        <f>IF(main!BQ265="","",ROUND(main!BQ265*100,6))</f>
        <v/>
      </c>
      <c r="BF262" s="68" t="str">
        <f>IF(main!BR265="","",ROUND(main!BR265*100,6))</f>
        <v/>
      </c>
      <c r="BG262" s="68">
        <f>IF(main!BS265="","",ROUND(main!BS265*100,6))</f>
        <v>3.5714290000000002</v>
      </c>
      <c r="BH262" s="68">
        <f>IF(main!BT265="","",ROUND(main!BT265*100,6))</f>
        <v>25</v>
      </c>
      <c r="BI262" s="68">
        <f>IF(main!BU265="","",ROUND(main!BU265*100,6))</f>
        <v>25</v>
      </c>
      <c r="BJ262" s="68">
        <f>IF(main!BV265="","",ROUND(main!BV265*100,6))</f>
        <v>25</v>
      </c>
      <c r="BK262" s="68">
        <f>IF(main!BW265="","",ROUND(main!BW265*100,6))</f>
        <v>21.428571000000002</v>
      </c>
      <c r="BL262" s="68" t="str">
        <f>IF(main!BX265="","",ROUND(main!BX265*100,6))</f>
        <v/>
      </c>
      <c r="BM262" s="68" t="str">
        <f>IF(main!BY265="","",ROUND(main!BY265*100,6))</f>
        <v/>
      </c>
      <c r="BN262" s="68" t="str">
        <f>IF(main!BZ265="","",ROUND(main!BZ265*100,6))</f>
        <v/>
      </c>
      <c r="BO262" s="68" t="str">
        <f>IF(main!CA265="","",ROUND(main!CA265*100,6))</f>
        <v/>
      </c>
      <c r="BP262" s="68" t="str">
        <f>IF(main!CB265="","",ROUND(main!CB265*100,6))</f>
        <v/>
      </c>
      <c r="BQ262" s="68" t="str">
        <f>IF(main!CC265="","",ROUND(main!CC265*100,6))</f>
        <v/>
      </c>
      <c r="BR262" s="68" t="str">
        <f>IF(main!CD265="","",ROUND(main!CD265*100,6))</f>
        <v/>
      </c>
      <c r="BS262" s="68" t="str">
        <f>IF(main!CE265="","",ROUND(main!CE265*100,6))</f>
        <v/>
      </c>
      <c r="BT262" s="68" t="str">
        <f>IF(main!CF265="","",ROUND(main!CF265*100,6))</f>
        <v/>
      </c>
      <c r="BU262" s="68" t="str">
        <f>IF(main!CG265="","",ROUND(main!CG265*100,6))</f>
        <v/>
      </c>
      <c r="BV262" s="68" t="str">
        <f>IF(main!CH265="","",ROUND(main!CH265*100,6))</f>
        <v/>
      </c>
      <c r="BW262" s="68" t="str">
        <f>IF(main!CI265="","",ROUND(main!CI265*100,6))</f>
        <v/>
      </c>
      <c r="BX262" s="68" t="str">
        <f>IF(main!CJ265="","",ROUND(main!CJ265*100,6))</f>
        <v/>
      </c>
      <c r="BY262" s="68" t="str">
        <f>IF(main!CK265="","",ROUND(main!CK265*100,6))</f>
        <v/>
      </c>
      <c r="BZ262" s="68" t="str">
        <f>IF(main!CL265="","",ROUND(main!CL265*100,6))</f>
        <v/>
      </c>
      <c r="CA262" s="68" t="str">
        <f>IF(main!CM265="","",ROUND(main!CM265*100,6))</f>
        <v/>
      </c>
      <c r="CB262" s="68" t="str">
        <f>IF(main!CN265="","",ROUND(main!CN265*100,6))</f>
        <v/>
      </c>
      <c r="CC262" s="68" t="str">
        <f>IF(main!CO265="","",ROUND(main!CO265*100,6))</f>
        <v/>
      </c>
    </row>
    <row r="263" spans="1:81" x14ac:dyDescent="0.25">
      <c r="A263" s="65" t="s">
        <v>423</v>
      </c>
      <c r="B263" s="66" t="str">
        <f>main!C265</f>
        <v>Doors &amp; Windows</v>
      </c>
      <c r="C263" s="67">
        <f>main!O265</f>
        <v>100000</v>
      </c>
      <c r="D263" s="65" t="s">
        <v>111</v>
      </c>
      <c r="E263" s="68" t="str">
        <f t="shared" si="4"/>
        <v/>
      </c>
      <c r="F263" s="68" t="str">
        <f>IF(main!R266="","",ROUND(main!R266*100,6))</f>
        <v/>
      </c>
      <c r="G263" s="68" t="str">
        <f>IF(main!S266="","",ROUND(main!S266*100,6))</f>
        <v/>
      </c>
      <c r="H263" s="68" t="str">
        <f>IF(main!T266="","",ROUND(main!T266*100,6))</f>
        <v/>
      </c>
      <c r="I263" s="68" t="str">
        <f>IF(main!U266="","",ROUND(main!U266*100,6))</f>
        <v/>
      </c>
      <c r="J263" s="68" t="str">
        <f>IF(main!V266="","",ROUND(main!V266*100,6))</f>
        <v/>
      </c>
      <c r="K263" s="68" t="str">
        <f>IF(main!W266="","",ROUND(main!W266*100,6))</f>
        <v/>
      </c>
      <c r="L263" s="68" t="str">
        <f>IF(main!X266="","",ROUND(main!X266*100,6))</f>
        <v/>
      </c>
      <c r="M263" s="68" t="str">
        <f>IF(main!Y266="","",ROUND(main!Y266*100,6))</f>
        <v/>
      </c>
      <c r="N263" s="68" t="str">
        <f>IF(main!Z266="","",ROUND(main!Z266*100,6))</f>
        <v/>
      </c>
      <c r="O263" s="68" t="str">
        <f>IF(main!AA266="","",ROUND(main!AA266*100,6))</f>
        <v/>
      </c>
      <c r="P263" s="68" t="str">
        <f>IF(main!AB266="","",ROUND(main!AB266*100,6))</f>
        <v/>
      </c>
      <c r="Q263" s="68" t="str">
        <f>IF(main!AC266="","",ROUND(main!AC266*100,6))</f>
        <v/>
      </c>
      <c r="R263" s="68" t="str">
        <f>IF(main!AD266="","",ROUND(main!AD266*100,6))</f>
        <v/>
      </c>
      <c r="S263" s="68" t="str">
        <f>IF(main!AE266="","",ROUND(main!AE266*100,6))</f>
        <v/>
      </c>
      <c r="T263" s="68" t="str">
        <f>IF(main!AF266="","",ROUND(main!AF266*100,6))</f>
        <v/>
      </c>
      <c r="U263" s="68" t="str">
        <f>IF(main!AG266="","",ROUND(main!AG266*100,6))</f>
        <v/>
      </c>
      <c r="V263" s="68" t="str">
        <f>IF(main!AH266="","",ROUND(main!AH266*100,6))</f>
        <v/>
      </c>
      <c r="W263" s="68" t="str">
        <f>IF(main!AI266="","",ROUND(main!AI266*100,6))</f>
        <v/>
      </c>
      <c r="X263" s="68" t="str">
        <f>IF(main!AJ266="","",ROUND(main!AJ266*100,6))</f>
        <v/>
      </c>
      <c r="Y263" s="68" t="str">
        <f>IF(main!AK266="","",ROUND(main!AK266*100,6))</f>
        <v/>
      </c>
      <c r="Z263" s="68" t="str">
        <f>IF(main!AL266="","",ROUND(main!AL266*100,6))</f>
        <v/>
      </c>
      <c r="AA263" s="68" t="str">
        <f>IF(main!AM266="","",ROUND(main!AM266*100,6))</f>
        <v/>
      </c>
      <c r="AB263" s="68" t="str">
        <f>IF(main!AN266="","",ROUND(main!AN266*100,6))</f>
        <v/>
      </c>
      <c r="AC263" s="68" t="str">
        <f>IF(main!AO266="","",ROUND(main!AO266*100,6))</f>
        <v/>
      </c>
      <c r="AD263" s="68" t="str">
        <f>IF(main!AP266="","",ROUND(main!AP266*100,6))</f>
        <v/>
      </c>
      <c r="AE263" s="68" t="str">
        <f>IF(main!AQ266="","",ROUND(main!AQ266*100,6))</f>
        <v/>
      </c>
      <c r="AF263" s="68" t="str">
        <f>IF(main!AR266="","",ROUND(main!AR266*100,6))</f>
        <v/>
      </c>
      <c r="AG263" s="68" t="str">
        <f>IF(main!AS266="","",ROUND(main!AS266*100,6))</f>
        <v/>
      </c>
      <c r="AH263" s="68" t="str">
        <f>IF(main!AT266="","",ROUND(main!AT266*100,6))</f>
        <v/>
      </c>
      <c r="AI263" s="68" t="str">
        <f>IF(main!AU266="","",ROUND(main!AU266*100,6))</f>
        <v/>
      </c>
      <c r="AJ263" s="68" t="str">
        <f>IF(main!AV266="","",ROUND(main!AV266*100,6))</f>
        <v/>
      </c>
      <c r="AK263" s="68" t="str">
        <f>IF(main!AW266="","",ROUND(main!AW266*100,6))</f>
        <v/>
      </c>
      <c r="AL263" s="68" t="str">
        <f>IF(main!AX266="","",ROUND(main!AX266*100,6))</f>
        <v/>
      </c>
      <c r="AM263" s="68" t="str">
        <f>IF(main!AY266="","",ROUND(main!AY266*100,6))</f>
        <v/>
      </c>
      <c r="AN263" s="68" t="str">
        <f>IF(main!AZ266="","",ROUND(main!AZ266*100,6))</f>
        <v/>
      </c>
      <c r="AO263" s="68" t="str">
        <f>IF(main!BA266="","",ROUND(main!BA266*100,6))</f>
        <v/>
      </c>
      <c r="AP263" s="68" t="str">
        <f>IF(main!BB266="","",ROUND(main!BB266*100,6))</f>
        <v/>
      </c>
      <c r="AQ263" s="68" t="str">
        <f>IF(main!BC266="","",ROUND(main!BC266*100,6))</f>
        <v/>
      </c>
      <c r="AR263" s="68" t="str">
        <f>IF(main!BD266="","",ROUND(main!BD266*100,6))</f>
        <v/>
      </c>
      <c r="AS263" s="68" t="str">
        <f>IF(main!BE266="","",ROUND(main!BE266*100,6))</f>
        <v/>
      </c>
      <c r="AT263" s="68" t="str">
        <f>IF(main!BF266="","",ROUND(main!BF266*100,6))</f>
        <v/>
      </c>
      <c r="AU263" s="68" t="str">
        <f>IF(main!BG266="","",ROUND(main!BG266*100,6))</f>
        <v/>
      </c>
      <c r="AV263" s="68" t="str">
        <f>IF(main!BH266="","",ROUND(main!BH266*100,6))</f>
        <v/>
      </c>
      <c r="AW263" s="68" t="str">
        <f>IF(main!BI266="","",ROUND(main!BI266*100,6))</f>
        <v/>
      </c>
      <c r="AX263" s="68" t="str">
        <f>IF(main!BJ266="","",ROUND(main!BJ266*100,6))</f>
        <v/>
      </c>
      <c r="AY263" s="68" t="str">
        <f>IF(main!BK266="","",ROUND(main!BK266*100,6))</f>
        <v/>
      </c>
      <c r="AZ263" s="68" t="str">
        <f>IF(main!BL266="","",ROUND(main!BL266*100,6))</f>
        <v/>
      </c>
      <c r="BA263" s="68" t="str">
        <f>IF(main!BM266="","",ROUND(main!BM266*100,6))</f>
        <v/>
      </c>
      <c r="BB263" s="68" t="str">
        <f>IF(main!BN266="","",ROUND(main!BN266*100,6))</f>
        <v/>
      </c>
      <c r="BC263" s="68" t="str">
        <f>IF(main!BO266="","",ROUND(main!BO266*100,6))</f>
        <v/>
      </c>
      <c r="BD263" s="68" t="str">
        <f>IF(main!BP266="","",ROUND(main!BP266*100,6))</f>
        <v/>
      </c>
      <c r="BE263" s="68" t="str">
        <f>IF(main!BQ266="","",ROUND(main!BQ266*100,6))</f>
        <v/>
      </c>
      <c r="BF263" s="68" t="str">
        <f>IF(main!BR266="","",ROUND(main!BR266*100,6))</f>
        <v/>
      </c>
      <c r="BG263" s="68" t="str">
        <f>IF(main!BS266="","",ROUND(main!BS266*100,6))</f>
        <v/>
      </c>
      <c r="BH263" s="68" t="str">
        <f>IF(main!BT266="","",ROUND(main!BT266*100,6))</f>
        <v/>
      </c>
      <c r="BI263" s="68" t="str">
        <f>IF(main!BU266="","",ROUND(main!BU266*100,6))</f>
        <v/>
      </c>
      <c r="BJ263" s="68" t="str">
        <f>IF(main!BV266="","",ROUND(main!BV266*100,6))</f>
        <v/>
      </c>
      <c r="BK263" s="68" t="str">
        <f>IF(main!BW266="","",ROUND(main!BW266*100,6))</f>
        <v/>
      </c>
      <c r="BL263" s="68" t="str">
        <f>IF(main!BX266="","",ROUND(main!BX266*100,6))</f>
        <v/>
      </c>
      <c r="BM263" s="68" t="str">
        <f>IF(main!BY266="","",ROUND(main!BY266*100,6))</f>
        <v/>
      </c>
      <c r="BN263" s="68" t="str">
        <f>IF(main!BZ266="","",ROUND(main!BZ266*100,6))</f>
        <v/>
      </c>
      <c r="BO263" s="68" t="str">
        <f>IF(main!CA266="","",ROUND(main!CA266*100,6))</f>
        <v/>
      </c>
      <c r="BP263" s="68" t="str">
        <f>IF(main!CB266="","",ROUND(main!CB266*100,6))</f>
        <v/>
      </c>
      <c r="BQ263" s="68" t="str">
        <f>IF(main!CC266="","",ROUND(main!CC266*100,6))</f>
        <v/>
      </c>
      <c r="BR263" s="68" t="str">
        <f>IF(main!CD266="","",ROUND(main!CD266*100,6))</f>
        <v/>
      </c>
      <c r="BS263" s="68" t="str">
        <f>IF(main!CE266="","",ROUND(main!CE266*100,6))</f>
        <v/>
      </c>
      <c r="BT263" s="68" t="str">
        <f>IF(main!CF266="","",ROUND(main!CF266*100,6))</f>
        <v/>
      </c>
      <c r="BU263" s="68" t="str">
        <f>IF(main!CG266="","",ROUND(main!CG266*100,6))</f>
        <v/>
      </c>
      <c r="BV263" s="68" t="str">
        <f>IF(main!CH266="","",ROUND(main!CH266*100,6))</f>
        <v/>
      </c>
      <c r="BW263" s="68" t="str">
        <f>IF(main!CI266="","",ROUND(main!CI266*100,6))</f>
        <v/>
      </c>
      <c r="BX263" s="68" t="str">
        <f>IF(main!CJ266="","",ROUND(main!CJ266*100,6))</f>
        <v/>
      </c>
      <c r="BY263" s="68" t="str">
        <f>IF(main!CK266="","",ROUND(main!CK266*100,6))</f>
        <v/>
      </c>
      <c r="BZ263" s="68" t="str">
        <f>IF(main!CL266="","",ROUND(main!CL266*100,6))</f>
        <v/>
      </c>
      <c r="CA263" s="68" t="str">
        <f>IF(main!CM266="","",ROUND(main!CM266*100,6))</f>
        <v/>
      </c>
      <c r="CB263" s="68" t="str">
        <f>IF(main!CN266="","",ROUND(main!CN266*100,6))</f>
        <v/>
      </c>
      <c r="CC263" s="68" t="str">
        <f>IF(main!CO266="","",ROUND(main!CO266*100,6))</f>
        <v/>
      </c>
    </row>
    <row r="264" spans="1:81" x14ac:dyDescent="0.25">
      <c r="A264" s="65" t="s">
        <v>424</v>
      </c>
      <c r="B264" s="66" t="str">
        <f>main!C267</f>
        <v>งานติดตั้งผนังกระจก และประตูกระจกอลูมิเนียม</v>
      </c>
      <c r="C264" s="67">
        <f>main!O267</f>
        <v>100000</v>
      </c>
      <c r="D264" s="65" t="s">
        <v>110</v>
      </c>
      <c r="E264" s="68">
        <f t="shared" si="4"/>
        <v>100</v>
      </c>
      <c r="F264" s="68" t="str">
        <f>IF(main!R267="","",ROUND(main!R267*100,6))</f>
        <v/>
      </c>
      <c r="G264" s="68" t="str">
        <f>IF(main!S267="","",ROUND(main!S267*100,6))</f>
        <v/>
      </c>
      <c r="H264" s="68" t="str">
        <f>IF(main!T267="","",ROUND(main!T267*100,6))</f>
        <v/>
      </c>
      <c r="I264" s="68" t="str">
        <f>IF(main!U267="","",ROUND(main!U267*100,6))</f>
        <v/>
      </c>
      <c r="J264" s="68" t="str">
        <f>IF(main!V267="","",ROUND(main!V267*100,6))</f>
        <v/>
      </c>
      <c r="K264" s="68" t="str">
        <f>IF(main!W267="","",ROUND(main!W267*100,6))</f>
        <v/>
      </c>
      <c r="L264" s="68" t="str">
        <f>IF(main!X267="","",ROUND(main!X267*100,6))</f>
        <v/>
      </c>
      <c r="M264" s="68" t="str">
        <f>IF(main!Y267="","",ROUND(main!Y267*100,6))</f>
        <v/>
      </c>
      <c r="N264" s="68" t="str">
        <f>IF(main!Z267="","",ROUND(main!Z267*100,6))</f>
        <v/>
      </c>
      <c r="O264" s="68" t="str">
        <f>IF(main!AA267="","",ROUND(main!AA267*100,6))</f>
        <v/>
      </c>
      <c r="P264" s="68" t="str">
        <f>IF(main!AB267="","",ROUND(main!AB267*100,6))</f>
        <v/>
      </c>
      <c r="Q264" s="68" t="str">
        <f>IF(main!AC267="","",ROUND(main!AC267*100,6))</f>
        <v/>
      </c>
      <c r="R264" s="68" t="str">
        <f>IF(main!AD267="","",ROUND(main!AD267*100,6))</f>
        <v/>
      </c>
      <c r="S264" s="68" t="str">
        <f>IF(main!AE267="","",ROUND(main!AE267*100,6))</f>
        <v/>
      </c>
      <c r="T264" s="68" t="str">
        <f>IF(main!AF267="","",ROUND(main!AF267*100,6))</f>
        <v/>
      </c>
      <c r="U264" s="68" t="str">
        <f>IF(main!AG267="","",ROUND(main!AG267*100,6))</f>
        <v/>
      </c>
      <c r="V264" s="68" t="str">
        <f>IF(main!AH267="","",ROUND(main!AH267*100,6))</f>
        <v/>
      </c>
      <c r="W264" s="68" t="str">
        <f>IF(main!AI267="","",ROUND(main!AI267*100,6))</f>
        <v/>
      </c>
      <c r="X264" s="68" t="str">
        <f>IF(main!AJ267="","",ROUND(main!AJ267*100,6))</f>
        <v/>
      </c>
      <c r="Y264" s="68" t="str">
        <f>IF(main!AK267="","",ROUND(main!AK267*100,6))</f>
        <v/>
      </c>
      <c r="Z264" s="68" t="str">
        <f>IF(main!AL267="","",ROUND(main!AL267*100,6))</f>
        <v/>
      </c>
      <c r="AA264" s="68" t="str">
        <f>IF(main!AM267="","",ROUND(main!AM267*100,6))</f>
        <v/>
      </c>
      <c r="AB264" s="68" t="str">
        <f>IF(main!AN267="","",ROUND(main!AN267*100,6))</f>
        <v/>
      </c>
      <c r="AC264" s="68" t="str">
        <f>IF(main!AO267="","",ROUND(main!AO267*100,6))</f>
        <v/>
      </c>
      <c r="AD264" s="68" t="str">
        <f>IF(main!AP267="","",ROUND(main!AP267*100,6))</f>
        <v/>
      </c>
      <c r="AE264" s="68" t="str">
        <f>IF(main!AQ267="","",ROUND(main!AQ267*100,6))</f>
        <v/>
      </c>
      <c r="AF264" s="68" t="str">
        <f>IF(main!AR267="","",ROUND(main!AR267*100,6))</f>
        <v/>
      </c>
      <c r="AG264" s="68" t="str">
        <f>IF(main!AS267="","",ROUND(main!AS267*100,6))</f>
        <v/>
      </c>
      <c r="AH264" s="68" t="str">
        <f>IF(main!AT267="","",ROUND(main!AT267*100,6))</f>
        <v/>
      </c>
      <c r="AI264" s="68" t="str">
        <f>IF(main!AU267="","",ROUND(main!AU267*100,6))</f>
        <v/>
      </c>
      <c r="AJ264" s="68" t="str">
        <f>IF(main!AV267="","",ROUND(main!AV267*100,6))</f>
        <v/>
      </c>
      <c r="AK264" s="68" t="str">
        <f>IF(main!AW267="","",ROUND(main!AW267*100,6))</f>
        <v/>
      </c>
      <c r="AL264" s="68" t="str">
        <f>IF(main!AX267="","",ROUND(main!AX267*100,6))</f>
        <v/>
      </c>
      <c r="AM264" s="68" t="str">
        <f>IF(main!AY267="","",ROUND(main!AY267*100,6))</f>
        <v/>
      </c>
      <c r="AN264" s="68" t="str">
        <f>IF(main!AZ267="","",ROUND(main!AZ267*100,6))</f>
        <v/>
      </c>
      <c r="AO264" s="68" t="str">
        <f>IF(main!BA267="","",ROUND(main!BA267*100,6))</f>
        <v/>
      </c>
      <c r="AP264" s="68" t="str">
        <f>IF(main!BB267="","",ROUND(main!BB267*100,6))</f>
        <v/>
      </c>
      <c r="AQ264" s="68" t="str">
        <f>IF(main!BC267="","",ROUND(main!BC267*100,6))</f>
        <v/>
      </c>
      <c r="AR264" s="68" t="str">
        <f>IF(main!BD267="","",ROUND(main!BD267*100,6))</f>
        <v/>
      </c>
      <c r="AS264" s="68" t="str">
        <f>IF(main!BE267="","",ROUND(main!BE267*100,6))</f>
        <v/>
      </c>
      <c r="AT264" s="68" t="str">
        <f>IF(main!BF267="","",ROUND(main!BF267*100,6))</f>
        <v/>
      </c>
      <c r="AU264" s="68" t="str">
        <f>IF(main!BG267="","",ROUND(main!BG267*100,6))</f>
        <v/>
      </c>
      <c r="AV264" s="68" t="str">
        <f>IF(main!BH267="","",ROUND(main!BH267*100,6))</f>
        <v/>
      </c>
      <c r="AW264" s="68" t="str">
        <f>IF(main!BI267="","",ROUND(main!BI267*100,6))</f>
        <v/>
      </c>
      <c r="AX264" s="68" t="str">
        <f>IF(main!BJ267="","",ROUND(main!BJ267*100,6))</f>
        <v/>
      </c>
      <c r="AY264" s="68" t="str">
        <f>IF(main!BK267="","",ROUND(main!BK267*100,6))</f>
        <v/>
      </c>
      <c r="AZ264" s="68" t="str">
        <f>IF(main!BL267="","",ROUND(main!BL267*100,6))</f>
        <v/>
      </c>
      <c r="BA264" s="68" t="str">
        <f>IF(main!BM267="","",ROUND(main!BM267*100,6))</f>
        <v/>
      </c>
      <c r="BB264" s="68" t="str">
        <f>IF(main!BN267="","",ROUND(main!BN267*100,6))</f>
        <v/>
      </c>
      <c r="BC264" s="68" t="str">
        <f>IF(main!BO267="","",ROUND(main!BO267*100,6))</f>
        <v/>
      </c>
      <c r="BD264" s="68" t="str">
        <f>IF(main!BP267="","",ROUND(main!BP267*100,6))</f>
        <v/>
      </c>
      <c r="BE264" s="68" t="str">
        <f>IF(main!BQ267="","",ROUND(main!BQ267*100,6))</f>
        <v/>
      </c>
      <c r="BF264" s="68" t="str">
        <f>IF(main!BR267="","",ROUND(main!BR267*100,6))</f>
        <v/>
      </c>
      <c r="BG264" s="68">
        <f>IF(main!BS267="","",ROUND(main!BS267*100,6))</f>
        <v>3.5714290000000002</v>
      </c>
      <c r="BH264" s="68">
        <f>IF(main!BT267="","",ROUND(main!BT267*100,6))</f>
        <v>25</v>
      </c>
      <c r="BI264" s="68">
        <f>IF(main!BU267="","",ROUND(main!BU267*100,6))</f>
        <v>25</v>
      </c>
      <c r="BJ264" s="68">
        <f>IF(main!BV267="","",ROUND(main!BV267*100,6))</f>
        <v>25</v>
      </c>
      <c r="BK264" s="68">
        <f>IF(main!BW267="","",ROUND(main!BW267*100,6))</f>
        <v>21.428571000000002</v>
      </c>
      <c r="BL264" s="68" t="str">
        <f>IF(main!BX267="","",ROUND(main!BX267*100,6))</f>
        <v/>
      </c>
      <c r="BM264" s="68" t="str">
        <f>IF(main!BY267="","",ROUND(main!BY267*100,6))</f>
        <v/>
      </c>
      <c r="BN264" s="68" t="str">
        <f>IF(main!BZ267="","",ROUND(main!BZ267*100,6))</f>
        <v/>
      </c>
      <c r="BO264" s="68" t="str">
        <f>IF(main!CA267="","",ROUND(main!CA267*100,6))</f>
        <v/>
      </c>
      <c r="BP264" s="68" t="str">
        <f>IF(main!CB267="","",ROUND(main!CB267*100,6))</f>
        <v/>
      </c>
      <c r="BQ264" s="68" t="str">
        <f>IF(main!CC267="","",ROUND(main!CC267*100,6))</f>
        <v/>
      </c>
      <c r="BR264" s="68" t="str">
        <f>IF(main!CD267="","",ROUND(main!CD267*100,6))</f>
        <v/>
      </c>
      <c r="BS264" s="68" t="str">
        <f>IF(main!CE267="","",ROUND(main!CE267*100,6))</f>
        <v/>
      </c>
      <c r="BT264" s="68" t="str">
        <f>IF(main!CF267="","",ROUND(main!CF267*100,6))</f>
        <v/>
      </c>
      <c r="BU264" s="68" t="str">
        <f>IF(main!CG267="","",ROUND(main!CG267*100,6))</f>
        <v/>
      </c>
      <c r="BV264" s="68" t="str">
        <f>IF(main!CH267="","",ROUND(main!CH267*100,6))</f>
        <v/>
      </c>
      <c r="BW264" s="68" t="str">
        <f>IF(main!CI267="","",ROUND(main!CI267*100,6))</f>
        <v/>
      </c>
      <c r="BX264" s="68" t="str">
        <f>IF(main!CJ267="","",ROUND(main!CJ267*100,6))</f>
        <v/>
      </c>
      <c r="BY264" s="68" t="str">
        <f>IF(main!CK267="","",ROUND(main!CK267*100,6))</f>
        <v/>
      </c>
      <c r="BZ264" s="68" t="str">
        <f>IF(main!CL267="","",ROUND(main!CL267*100,6))</f>
        <v/>
      </c>
      <c r="CA264" s="68" t="str">
        <f>IF(main!CM267="","",ROUND(main!CM267*100,6))</f>
        <v/>
      </c>
      <c r="CB264" s="68" t="str">
        <f>IF(main!CN267="","",ROUND(main!CN267*100,6))</f>
        <v/>
      </c>
      <c r="CC264" s="68" t="str">
        <f>IF(main!CO267="","",ROUND(main!CO267*100,6))</f>
        <v/>
      </c>
    </row>
    <row r="265" spans="1:81" x14ac:dyDescent="0.25">
      <c r="A265" s="65" t="s">
        <v>424</v>
      </c>
      <c r="B265" s="66" t="str">
        <f>main!C267</f>
        <v>งานติดตั้งผนังกระจก และประตูกระจกอลูมิเนียม</v>
      </c>
      <c r="C265" s="67">
        <f>main!O267</f>
        <v>100000</v>
      </c>
      <c r="D265" s="65" t="s">
        <v>111</v>
      </c>
      <c r="E265" s="68" t="str">
        <f t="shared" si="4"/>
        <v/>
      </c>
      <c r="F265" s="68" t="str">
        <f>IF(main!R268="","",ROUND(main!R268*100,6))</f>
        <v/>
      </c>
      <c r="G265" s="68" t="str">
        <f>IF(main!S268="","",ROUND(main!S268*100,6))</f>
        <v/>
      </c>
      <c r="H265" s="68" t="str">
        <f>IF(main!T268="","",ROUND(main!T268*100,6))</f>
        <v/>
      </c>
      <c r="I265" s="68" t="str">
        <f>IF(main!U268="","",ROUND(main!U268*100,6))</f>
        <v/>
      </c>
      <c r="J265" s="68" t="str">
        <f>IF(main!V268="","",ROUND(main!V268*100,6))</f>
        <v/>
      </c>
      <c r="K265" s="68" t="str">
        <f>IF(main!W268="","",ROUND(main!W268*100,6))</f>
        <v/>
      </c>
      <c r="L265" s="68" t="str">
        <f>IF(main!X268="","",ROUND(main!X268*100,6))</f>
        <v/>
      </c>
      <c r="M265" s="68" t="str">
        <f>IF(main!Y268="","",ROUND(main!Y268*100,6))</f>
        <v/>
      </c>
      <c r="N265" s="68" t="str">
        <f>IF(main!Z268="","",ROUND(main!Z268*100,6))</f>
        <v/>
      </c>
      <c r="O265" s="68" t="str">
        <f>IF(main!AA268="","",ROUND(main!AA268*100,6))</f>
        <v/>
      </c>
      <c r="P265" s="68" t="str">
        <f>IF(main!AB268="","",ROUND(main!AB268*100,6))</f>
        <v/>
      </c>
      <c r="Q265" s="68" t="str">
        <f>IF(main!AC268="","",ROUND(main!AC268*100,6))</f>
        <v/>
      </c>
      <c r="R265" s="68" t="str">
        <f>IF(main!AD268="","",ROUND(main!AD268*100,6))</f>
        <v/>
      </c>
      <c r="S265" s="68" t="str">
        <f>IF(main!AE268="","",ROUND(main!AE268*100,6))</f>
        <v/>
      </c>
      <c r="T265" s="68" t="str">
        <f>IF(main!AF268="","",ROUND(main!AF268*100,6))</f>
        <v/>
      </c>
      <c r="U265" s="68" t="str">
        <f>IF(main!AG268="","",ROUND(main!AG268*100,6))</f>
        <v/>
      </c>
      <c r="V265" s="68" t="str">
        <f>IF(main!AH268="","",ROUND(main!AH268*100,6))</f>
        <v/>
      </c>
      <c r="W265" s="68" t="str">
        <f>IF(main!AI268="","",ROUND(main!AI268*100,6))</f>
        <v/>
      </c>
      <c r="X265" s="68" t="str">
        <f>IF(main!AJ268="","",ROUND(main!AJ268*100,6))</f>
        <v/>
      </c>
      <c r="Y265" s="68" t="str">
        <f>IF(main!AK268="","",ROUND(main!AK268*100,6))</f>
        <v/>
      </c>
      <c r="Z265" s="68" t="str">
        <f>IF(main!AL268="","",ROUND(main!AL268*100,6))</f>
        <v/>
      </c>
      <c r="AA265" s="68" t="str">
        <f>IF(main!AM268="","",ROUND(main!AM268*100,6))</f>
        <v/>
      </c>
      <c r="AB265" s="68" t="str">
        <f>IF(main!AN268="","",ROUND(main!AN268*100,6))</f>
        <v/>
      </c>
      <c r="AC265" s="68" t="str">
        <f>IF(main!AO268="","",ROUND(main!AO268*100,6))</f>
        <v/>
      </c>
      <c r="AD265" s="68" t="str">
        <f>IF(main!AP268="","",ROUND(main!AP268*100,6))</f>
        <v/>
      </c>
      <c r="AE265" s="68" t="str">
        <f>IF(main!AQ268="","",ROUND(main!AQ268*100,6))</f>
        <v/>
      </c>
      <c r="AF265" s="68" t="str">
        <f>IF(main!AR268="","",ROUND(main!AR268*100,6))</f>
        <v/>
      </c>
      <c r="AG265" s="68" t="str">
        <f>IF(main!AS268="","",ROUND(main!AS268*100,6))</f>
        <v/>
      </c>
      <c r="AH265" s="68" t="str">
        <f>IF(main!AT268="","",ROUND(main!AT268*100,6))</f>
        <v/>
      </c>
      <c r="AI265" s="68" t="str">
        <f>IF(main!AU268="","",ROUND(main!AU268*100,6))</f>
        <v/>
      </c>
      <c r="AJ265" s="68" t="str">
        <f>IF(main!AV268="","",ROUND(main!AV268*100,6))</f>
        <v/>
      </c>
      <c r="AK265" s="68" t="str">
        <f>IF(main!AW268="","",ROUND(main!AW268*100,6))</f>
        <v/>
      </c>
      <c r="AL265" s="68" t="str">
        <f>IF(main!AX268="","",ROUND(main!AX268*100,6))</f>
        <v/>
      </c>
      <c r="AM265" s="68" t="str">
        <f>IF(main!AY268="","",ROUND(main!AY268*100,6))</f>
        <v/>
      </c>
      <c r="AN265" s="68" t="str">
        <f>IF(main!AZ268="","",ROUND(main!AZ268*100,6))</f>
        <v/>
      </c>
      <c r="AO265" s="68" t="str">
        <f>IF(main!BA268="","",ROUND(main!BA268*100,6))</f>
        <v/>
      </c>
      <c r="AP265" s="68" t="str">
        <f>IF(main!BB268="","",ROUND(main!BB268*100,6))</f>
        <v/>
      </c>
      <c r="AQ265" s="68" t="str">
        <f>IF(main!BC268="","",ROUND(main!BC268*100,6))</f>
        <v/>
      </c>
      <c r="AR265" s="68" t="str">
        <f>IF(main!BD268="","",ROUND(main!BD268*100,6))</f>
        <v/>
      </c>
      <c r="AS265" s="68" t="str">
        <f>IF(main!BE268="","",ROUND(main!BE268*100,6))</f>
        <v/>
      </c>
      <c r="AT265" s="68" t="str">
        <f>IF(main!BF268="","",ROUND(main!BF268*100,6))</f>
        <v/>
      </c>
      <c r="AU265" s="68" t="str">
        <f>IF(main!BG268="","",ROUND(main!BG268*100,6))</f>
        <v/>
      </c>
      <c r="AV265" s="68" t="str">
        <f>IF(main!BH268="","",ROUND(main!BH268*100,6))</f>
        <v/>
      </c>
      <c r="AW265" s="68" t="str">
        <f>IF(main!BI268="","",ROUND(main!BI268*100,6))</f>
        <v/>
      </c>
      <c r="AX265" s="68" t="str">
        <f>IF(main!BJ268="","",ROUND(main!BJ268*100,6))</f>
        <v/>
      </c>
      <c r="AY265" s="68" t="str">
        <f>IF(main!BK268="","",ROUND(main!BK268*100,6))</f>
        <v/>
      </c>
      <c r="AZ265" s="68" t="str">
        <f>IF(main!BL268="","",ROUND(main!BL268*100,6))</f>
        <v/>
      </c>
      <c r="BA265" s="68" t="str">
        <f>IF(main!BM268="","",ROUND(main!BM268*100,6))</f>
        <v/>
      </c>
      <c r="BB265" s="68" t="str">
        <f>IF(main!BN268="","",ROUND(main!BN268*100,6))</f>
        <v/>
      </c>
      <c r="BC265" s="68" t="str">
        <f>IF(main!BO268="","",ROUND(main!BO268*100,6))</f>
        <v/>
      </c>
      <c r="BD265" s="68" t="str">
        <f>IF(main!BP268="","",ROUND(main!BP268*100,6))</f>
        <v/>
      </c>
      <c r="BE265" s="68" t="str">
        <f>IF(main!BQ268="","",ROUND(main!BQ268*100,6))</f>
        <v/>
      </c>
      <c r="BF265" s="68" t="str">
        <f>IF(main!BR268="","",ROUND(main!BR268*100,6))</f>
        <v/>
      </c>
      <c r="BG265" s="68" t="str">
        <f>IF(main!BS268="","",ROUND(main!BS268*100,6))</f>
        <v/>
      </c>
      <c r="BH265" s="68" t="str">
        <f>IF(main!BT268="","",ROUND(main!BT268*100,6))</f>
        <v/>
      </c>
      <c r="BI265" s="68" t="str">
        <f>IF(main!BU268="","",ROUND(main!BU268*100,6))</f>
        <v/>
      </c>
      <c r="BJ265" s="68" t="str">
        <f>IF(main!BV268="","",ROUND(main!BV268*100,6))</f>
        <v/>
      </c>
      <c r="BK265" s="68" t="str">
        <f>IF(main!BW268="","",ROUND(main!BW268*100,6))</f>
        <v/>
      </c>
      <c r="BL265" s="68" t="str">
        <f>IF(main!BX268="","",ROUND(main!BX268*100,6))</f>
        <v/>
      </c>
      <c r="BM265" s="68" t="str">
        <f>IF(main!BY268="","",ROUND(main!BY268*100,6))</f>
        <v/>
      </c>
      <c r="BN265" s="68" t="str">
        <f>IF(main!BZ268="","",ROUND(main!BZ268*100,6))</f>
        <v/>
      </c>
      <c r="BO265" s="68" t="str">
        <f>IF(main!CA268="","",ROUND(main!CA268*100,6))</f>
        <v/>
      </c>
      <c r="BP265" s="68" t="str">
        <f>IF(main!CB268="","",ROUND(main!CB268*100,6))</f>
        <v/>
      </c>
      <c r="BQ265" s="68" t="str">
        <f>IF(main!CC268="","",ROUND(main!CC268*100,6))</f>
        <v/>
      </c>
      <c r="BR265" s="68" t="str">
        <f>IF(main!CD268="","",ROUND(main!CD268*100,6))</f>
        <v/>
      </c>
      <c r="BS265" s="68" t="str">
        <f>IF(main!CE268="","",ROUND(main!CE268*100,6))</f>
        <v/>
      </c>
      <c r="BT265" s="68" t="str">
        <f>IF(main!CF268="","",ROUND(main!CF268*100,6))</f>
        <v/>
      </c>
      <c r="BU265" s="68" t="str">
        <f>IF(main!CG268="","",ROUND(main!CG268*100,6))</f>
        <v/>
      </c>
      <c r="BV265" s="68" t="str">
        <f>IF(main!CH268="","",ROUND(main!CH268*100,6))</f>
        <v/>
      </c>
      <c r="BW265" s="68" t="str">
        <f>IF(main!CI268="","",ROUND(main!CI268*100,6))</f>
        <v/>
      </c>
      <c r="BX265" s="68" t="str">
        <f>IF(main!CJ268="","",ROUND(main!CJ268*100,6))</f>
        <v/>
      </c>
      <c r="BY265" s="68" t="str">
        <f>IF(main!CK268="","",ROUND(main!CK268*100,6))</f>
        <v/>
      </c>
      <c r="BZ265" s="68" t="str">
        <f>IF(main!CL268="","",ROUND(main!CL268*100,6))</f>
        <v/>
      </c>
      <c r="CA265" s="68" t="str">
        <f>IF(main!CM268="","",ROUND(main!CM268*100,6))</f>
        <v/>
      </c>
      <c r="CB265" s="68" t="str">
        <f>IF(main!CN268="","",ROUND(main!CN268*100,6))</f>
        <v/>
      </c>
      <c r="CC265" s="68" t="str">
        <f>IF(main!CO268="","",ROUND(main!CO268*100,6))</f>
        <v/>
      </c>
    </row>
    <row r="266" spans="1:81" x14ac:dyDescent="0.25">
      <c r="A266" s="65" t="s">
        <v>426</v>
      </c>
      <c r="B266" s="66" t="str">
        <f>main!C269</f>
        <v>MEP</v>
      </c>
      <c r="C266" s="67">
        <f>main!O269</f>
        <v>200000</v>
      </c>
      <c r="D266" s="65" t="s">
        <v>110</v>
      </c>
      <c r="E266" s="68">
        <f t="shared" si="4"/>
        <v>100.000001</v>
      </c>
      <c r="F266" s="68" t="str">
        <f>IF(main!R269="","",ROUND(main!R269*100,6))</f>
        <v/>
      </c>
      <c r="G266" s="68" t="str">
        <f>IF(main!S269="","",ROUND(main!S269*100,6))</f>
        <v/>
      </c>
      <c r="H266" s="68" t="str">
        <f>IF(main!T269="","",ROUND(main!T269*100,6))</f>
        <v/>
      </c>
      <c r="I266" s="68" t="str">
        <f>IF(main!U269="","",ROUND(main!U269*100,6))</f>
        <v/>
      </c>
      <c r="J266" s="68" t="str">
        <f>IF(main!V269="","",ROUND(main!V269*100,6))</f>
        <v/>
      </c>
      <c r="K266" s="68" t="str">
        <f>IF(main!W269="","",ROUND(main!W269*100,6))</f>
        <v/>
      </c>
      <c r="L266" s="68" t="str">
        <f>IF(main!X269="","",ROUND(main!X269*100,6))</f>
        <v/>
      </c>
      <c r="M266" s="68" t="str">
        <f>IF(main!Y269="","",ROUND(main!Y269*100,6))</f>
        <v/>
      </c>
      <c r="N266" s="68" t="str">
        <f>IF(main!Z269="","",ROUND(main!Z269*100,6))</f>
        <v/>
      </c>
      <c r="O266" s="68" t="str">
        <f>IF(main!AA269="","",ROUND(main!AA269*100,6))</f>
        <v/>
      </c>
      <c r="P266" s="68" t="str">
        <f>IF(main!AB269="","",ROUND(main!AB269*100,6))</f>
        <v/>
      </c>
      <c r="Q266" s="68" t="str">
        <f>IF(main!AC269="","",ROUND(main!AC269*100,6))</f>
        <v/>
      </c>
      <c r="R266" s="68" t="str">
        <f>IF(main!AD269="","",ROUND(main!AD269*100,6))</f>
        <v/>
      </c>
      <c r="S266" s="68" t="str">
        <f>IF(main!AE269="","",ROUND(main!AE269*100,6))</f>
        <v/>
      </c>
      <c r="T266" s="68" t="str">
        <f>IF(main!AF269="","",ROUND(main!AF269*100,6))</f>
        <v/>
      </c>
      <c r="U266" s="68" t="str">
        <f>IF(main!AG269="","",ROUND(main!AG269*100,6))</f>
        <v/>
      </c>
      <c r="V266" s="68" t="str">
        <f>IF(main!AH269="","",ROUND(main!AH269*100,6))</f>
        <v/>
      </c>
      <c r="W266" s="68" t="str">
        <f>IF(main!AI269="","",ROUND(main!AI269*100,6))</f>
        <v/>
      </c>
      <c r="X266" s="68" t="str">
        <f>IF(main!AJ269="","",ROUND(main!AJ269*100,6))</f>
        <v/>
      </c>
      <c r="Y266" s="68" t="str">
        <f>IF(main!AK269="","",ROUND(main!AK269*100,6))</f>
        <v/>
      </c>
      <c r="Z266" s="68" t="str">
        <f>IF(main!AL269="","",ROUND(main!AL269*100,6))</f>
        <v/>
      </c>
      <c r="AA266" s="68" t="str">
        <f>IF(main!AM269="","",ROUND(main!AM269*100,6))</f>
        <v/>
      </c>
      <c r="AB266" s="68" t="str">
        <f>IF(main!AN269="","",ROUND(main!AN269*100,6))</f>
        <v/>
      </c>
      <c r="AC266" s="68" t="str">
        <f>IF(main!AO269="","",ROUND(main!AO269*100,6))</f>
        <v/>
      </c>
      <c r="AD266" s="68" t="str">
        <f>IF(main!AP269="","",ROUND(main!AP269*100,6))</f>
        <v/>
      </c>
      <c r="AE266" s="68" t="str">
        <f>IF(main!AQ269="","",ROUND(main!AQ269*100,6))</f>
        <v/>
      </c>
      <c r="AF266" s="68" t="str">
        <f>IF(main!AR269="","",ROUND(main!AR269*100,6))</f>
        <v/>
      </c>
      <c r="AG266" s="68" t="str">
        <f>IF(main!AS269="","",ROUND(main!AS269*100,6))</f>
        <v/>
      </c>
      <c r="AH266" s="68" t="str">
        <f>IF(main!AT269="","",ROUND(main!AT269*100,6))</f>
        <v/>
      </c>
      <c r="AI266" s="68" t="str">
        <f>IF(main!AU269="","",ROUND(main!AU269*100,6))</f>
        <v/>
      </c>
      <c r="AJ266" s="68" t="str">
        <f>IF(main!AV269="","",ROUND(main!AV269*100,6))</f>
        <v/>
      </c>
      <c r="AK266" s="68" t="str">
        <f>IF(main!AW269="","",ROUND(main!AW269*100,6))</f>
        <v/>
      </c>
      <c r="AL266" s="68" t="str">
        <f>IF(main!AX269="","",ROUND(main!AX269*100,6))</f>
        <v/>
      </c>
      <c r="AM266" s="68" t="str">
        <f>IF(main!AY269="","",ROUND(main!AY269*100,6))</f>
        <v/>
      </c>
      <c r="AN266" s="68" t="str">
        <f>IF(main!AZ269="","",ROUND(main!AZ269*100,6))</f>
        <v/>
      </c>
      <c r="AO266" s="68" t="str">
        <f>IF(main!BA269="","",ROUND(main!BA269*100,6))</f>
        <v/>
      </c>
      <c r="AP266" s="68" t="str">
        <f>IF(main!BB269="","",ROUND(main!BB269*100,6))</f>
        <v/>
      </c>
      <c r="AQ266" s="68" t="str">
        <f>IF(main!BC269="","",ROUND(main!BC269*100,6))</f>
        <v/>
      </c>
      <c r="AR266" s="68" t="str">
        <f>IF(main!BD269="","",ROUND(main!BD269*100,6))</f>
        <v/>
      </c>
      <c r="AS266" s="68" t="str">
        <f>IF(main!BE269="","",ROUND(main!BE269*100,6))</f>
        <v/>
      </c>
      <c r="AT266" s="68" t="str">
        <f>IF(main!BF269="","",ROUND(main!BF269*100,6))</f>
        <v/>
      </c>
      <c r="AU266" s="68" t="str">
        <f>IF(main!BG269="","",ROUND(main!BG269*100,6))</f>
        <v/>
      </c>
      <c r="AV266" s="68" t="str">
        <f>IF(main!BH269="","",ROUND(main!BH269*100,6))</f>
        <v/>
      </c>
      <c r="AW266" s="68" t="str">
        <f>IF(main!BI269="","",ROUND(main!BI269*100,6))</f>
        <v/>
      </c>
      <c r="AX266" s="68" t="str">
        <f>IF(main!BJ269="","",ROUND(main!BJ269*100,6))</f>
        <v/>
      </c>
      <c r="AY266" s="68" t="str">
        <f>IF(main!BK269="","",ROUND(main!BK269*100,6))</f>
        <v/>
      </c>
      <c r="AZ266" s="68" t="str">
        <f>IF(main!BL269="","",ROUND(main!BL269*100,6))</f>
        <v/>
      </c>
      <c r="BA266" s="68" t="str">
        <f>IF(main!BM269="","",ROUND(main!BM269*100,6))</f>
        <v/>
      </c>
      <c r="BB266" s="68" t="str">
        <f>IF(main!BN269="","",ROUND(main!BN269*100,6))</f>
        <v/>
      </c>
      <c r="BC266" s="68" t="str">
        <f>IF(main!BO269="","",ROUND(main!BO269*100,6))</f>
        <v/>
      </c>
      <c r="BD266" s="68">
        <f>IF(main!BP269="","",ROUND(main!BP269*100,6))</f>
        <v>0.100438</v>
      </c>
      <c r="BE266" s="68">
        <f>IF(main!BQ269="","",ROUND(main!BQ269*100,6))</f>
        <v>1.7814840000000001</v>
      </c>
      <c r="BF266" s="68">
        <f>IF(main!BR269="","",ROUND(main!BR269*100,6))</f>
        <v>3.6714509999999998</v>
      </c>
      <c r="BG266" s="68">
        <f>IF(main!BS269="","",ROUND(main!BS269*100,6))</f>
        <v>6.1540840000000001</v>
      </c>
      <c r="BH266" s="68">
        <f>IF(main!BT269="","",ROUND(main!BT269*100,6))</f>
        <v>8.389939</v>
      </c>
      <c r="BI266" s="68">
        <f>IF(main!BU269="","",ROUND(main!BU269*100,6))</f>
        <v>9.3030200000000001</v>
      </c>
      <c r="BJ266" s="68">
        <f>IF(main!BV269="","",ROUND(main!BV269*100,6))</f>
        <v>8.389939</v>
      </c>
      <c r="BK266" s="68">
        <f>IF(main!BW269="","",ROUND(main!BW269*100,6))</f>
        <v>6.1540840000000001</v>
      </c>
      <c r="BL266" s="68">
        <f>IF(main!BX269="","",ROUND(main!BX269*100,6))</f>
        <v>3.6714509999999998</v>
      </c>
      <c r="BM266" s="68">
        <f>IF(main!BY269="","",ROUND(main!BY269*100,6))</f>
        <v>1.7814840000000001</v>
      </c>
      <c r="BN266" s="68">
        <f>IF(main!BZ269="","",ROUND(main!BZ269*100,6))</f>
        <v>1.495484</v>
      </c>
      <c r="BO266" s="68">
        <f>IF(main!CA269="","",ROUND(main!CA269*100,6))</f>
        <v>6.25</v>
      </c>
      <c r="BP266" s="68">
        <f>IF(main!CB269="","",ROUND(main!CB269*100,6))</f>
        <v>6.25</v>
      </c>
      <c r="BQ266" s="68">
        <f>IF(main!CC269="","",ROUND(main!CC269*100,6))</f>
        <v>6.25</v>
      </c>
      <c r="BR266" s="68">
        <f>IF(main!CD269="","",ROUND(main!CD269*100,6))</f>
        <v>6.25</v>
      </c>
      <c r="BS266" s="68">
        <f>IF(main!CE269="","",ROUND(main!CE269*100,6))</f>
        <v>6.25</v>
      </c>
      <c r="BT266" s="68">
        <f>IF(main!CF269="","",ROUND(main!CF269*100,6))</f>
        <v>6.25</v>
      </c>
      <c r="BU266" s="68">
        <f>IF(main!CG269="","",ROUND(main!CG269*100,6))</f>
        <v>6.25</v>
      </c>
      <c r="BV266" s="68">
        <f>IF(main!CH269="","",ROUND(main!CH269*100,6))</f>
        <v>5.3571429999999998</v>
      </c>
      <c r="BW266" s="68" t="str">
        <f>IF(main!CI269="","",ROUND(main!CI269*100,6))</f>
        <v/>
      </c>
      <c r="BX266" s="68" t="str">
        <f>IF(main!CJ269="","",ROUND(main!CJ269*100,6))</f>
        <v/>
      </c>
      <c r="BY266" s="68" t="str">
        <f>IF(main!CK269="","",ROUND(main!CK269*100,6))</f>
        <v/>
      </c>
      <c r="BZ266" s="68" t="str">
        <f>IF(main!CL269="","",ROUND(main!CL269*100,6))</f>
        <v/>
      </c>
      <c r="CA266" s="68" t="str">
        <f>IF(main!CM269="","",ROUND(main!CM269*100,6))</f>
        <v/>
      </c>
      <c r="CB266" s="68" t="str">
        <f>IF(main!CN269="","",ROUND(main!CN269*100,6))</f>
        <v/>
      </c>
      <c r="CC266" s="68" t="str">
        <f>IF(main!CO269="","",ROUND(main!CO269*100,6))</f>
        <v/>
      </c>
    </row>
    <row r="267" spans="1:81" x14ac:dyDescent="0.25">
      <c r="A267" s="65" t="s">
        <v>426</v>
      </c>
      <c r="B267" s="66" t="str">
        <f>main!C269</f>
        <v>MEP</v>
      </c>
      <c r="C267" s="67">
        <f>main!O269</f>
        <v>200000</v>
      </c>
      <c r="D267" s="65" t="s">
        <v>111</v>
      </c>
      <c r="E267" s="68" t="str">
        <f t="shared" si="4"/>
        <v/>
      </c>
      <c r="F267" s="68" t="str">
        <f>IF(main!R270="","",ROUND(main!R270*100,6))</f>
        <v/>
      </c>
      <c r="G267" s="68" t="str">
        <f>IF(main!S270="","",ROUND(main!S270*100,6))</f>
        <v/>
      </c>
      <c r="H267" s="68" t="str">
        <f>IF(main!T270="","",ROUND(main!T270*100,6))</f>
        <v/>
      </c>
      <c r="I267" s="68" t="str">
        <f>IF(main!U270="","",ROUND(main!U270*100,6))</f>
        <v/>
      </c>
      <c r="J267" s="68" t="str">
        <f>IF(main!V270="","",ROUND(main!V270*100,6))</f>
        <v/>
      </c>
      <c r="K267" s="68" t="str">
        <f>IF(main!W270="","",ROUND(main!W270*100,6))</f>
        <v/>
      </c>
      <c r="L267" s="68" t="str">
        <f>IF(main!X270="","",ROUND(main!X270*100,6))</f>
        <v/>
      </c>
      <c r="M267" s="68" t="str">
        <f>IF(main!Y270="","",ROUND(main!Y270*100,6))</f>
        <v/>
      </c>
      <c r="N267" s="68" t="str">
        <f>IF(main!Z270="","",ROUND(main!Z270*100,6))</f>
        <v/>
      </c>
      <c r="O267" s="68" t="str">
        <f>IF(main!AA270="","",ROUND(main!AA270*100,6))</f>
        <v/>
      </c>
      <c r="P267" s="68" t="str">
        <f>IF(main!AB270="","",ROUND(main!AB270*100,6))</f>
        <v/>
      </c>
      <c r="Q267" s="68" t="str">
        <f>IF(main!AC270="","",ROUND(main!AC270*100,6))</f>
        <v/>
      </c>
      <c r="R267" s="68" t="str">
        <f>IF(main!AD270="","",ROUND(main!AD270*100,6))</f>
        <v/>
      </c>
      <c r="S267" s="68" t="str">
        <f>IF(main!AE270="","",ROUND(main!AE270*100,6))</f>
        <v/>
      </c>
      <c r="T267" s="68" t="str">
        <f>IF(main!AF270="","",ROUND(main!AF270*100,6))</f>
        <v/>
      </c>
      <c r="U267" s="68" t="str">
        <f>IF(main!AG270="","",ROUND(main!AG270*100,6))</f>
        <v/>
      </c>
      <c r="V267" s="68" t="str">
        <f>IF(main!AH270="","",ROUND(main!AH270*100,6))</f>
        <v/>
      </c>
      <c r="W267" s="68" t="str">
        <f>IF(main!AI270="","",ROUND(main!AI270*100,6))</f>
        <v/>
      </c>
      <c r="X267" s="68" t="str">
        <f>IF(main!AJ270="","",ROUND(main!AJ270*100,6))</f>
        <v/>
      </c>
      <c r="Y267" s="68" t="str">
        <f>IF(main!AK270="","",ROUND(main!AK270*100,6))</f>
        <v/>
      </c>
      <c r="Z267" s="68" t="str">
        <f>IF(main!AL270="","",ROUND(main!AL270*100,6))</f>
        <v/>
      </c>
      <c r="AA267" s="68" t="str">
        <f>IF(main!AM270="","",ROUND(main!AM270*100,6))</f>
        <v/>
      </c>
      <c r="AB267" s="68" t="str">
        <f>IF(main!AN270="","",ROUND(main!AN270*100,6))</f>
        <v/>
      </c>
      <c r="AC267" s="68" t="str">
        <f>IF(main!AO270="","",ROUND(main!AO270*100,6))</f>
        <v/>
      </c>
      <c r="AD267" s="68" t="str">
        <f>IF(main!AP270="","",ROUND(main!AP270*100,6))</f>
        <v/>
      </c>
      <c r="AE267" s="68" t="str">
        <f>IF(main!AQ270="","",ROUND(main!AQ270*100,6))</f>
        <v/>
      </c>
      <c r="AF267" s="68" t="str">
        <f>IF(main!AR270="","",ROUND(main!AR270*100,6))</f>
        <v/>
      </c>
      <c r="AG267" s="68" t="str">
        <f>IF(main!AS270="","",ROUND(main!AS270*100,6))</f>
        <v/>
      </c>
      <c r="AH267" s="68" t="str">
        <f>IF(main!AT270="","",ROUND(main!AT270*100,6))</f>
        <v/>
      </c>
      <c r="AI267" s="68" t="str">
        <f>IF(main!AU270="","",ROUND(main!AU270*100,6))</f>
        <v/>
      </c>
      <c r="AJ267" s="68" t="str">
        <f>IF(main!AV270="","",ROUND(main!AV270*100,6))</f>
        <v/>
      </c>
      <c r="AK267" s="68" t="str">
        <f>IF(main!AW270="","",ROUND(main!AW270*100,6))</f>
        <v/>
      </c>
      <c r="AL267" s="68" t="str">
        <f>IF(main!AX270="","",ROUND(main!AX270*100,6))</f>
        <v/>
      </c>
      <c r="AM267" s="68" t="str">
        <f>IF(main!AY270="","",ROUND(main!AY270*100,6))</f>
        <v/>
      </c>
      <c r="AN267" s="68" t="str">
        <f>IF(main!AZ270="","",ROUND(main!AZ270*100,6))</f>
        <v/>
      </c>
      <c r="AO267" s="68" t="str">
        <f>IF(main!BA270="","",ROUND(main!BA270*100,6))</f>
        <v/>
      </c>
      <c r="AP267" s="68" t="str">
        <f>IF(main!BB270="","",ROUND(main!BB270*100,6))</f>
        <v/>
      </c>
      <c r="AQ267" s="68" t="str">
        <f>IF(main!BC270="","",ROUND(main!BC270*100,6))</f>
        <v/>
      </c>
      <c r="AR267" s="68" t="str">
        <f>IF(main!BD270="","",ROUND(main!BD270*100,6))</f>
        <v/>
      </c>
      <c r="AS267" s="68" t="str">
        <f>IF(main!BE270="","",ROUND(main!BE270*100,6))</f>
        <v/>
      </c>
      <c r="AT267" s="68" t="str">
        <f>IF(main!BF270="","",ROUND(main!BF270*100,6))</f>
        <v/>
      </c>
      <c r="AU267" s="68" t="str">
        <f>IF(main!BG270="","",ROUND(main!BG270*100,6))</f>
        <v/>
      </c>
      <c r="AV267" s="68" t="str">
        <f>IF(main!BH270="","",ROUND(main!BH270*100,6))</f>
        <v/>
      </c>
      <c r="AW267" s="68" t="str">
        <f>IF(main!BI270="","",ROUND(main!BI270*100,6))</f>
        <v/>
      </c>
      <c r="AX267" s="68" t="str">
        <f>IF(main!BJ270="","",ROUND(main!BJ270*100,6))</f>
        <v/>
      </c>
      <c r="AY267" s="68" t="str">
        <f>IF(main!BK270="","",ROUND(main!BK270*100,6))</f>
        <v/>
      </c>
      <c r="AZ267" s="68" t="str">
        <f>IF(main!BL270="","",ROUND(main!BL270*100,6))</f>
        <v/>
      </c>
      <c r="BA267" s="68" t="str">
        <f>IF(main!BM270="","",ROUND(main!BM270*100,6))</f>
        <v/>
      </c>
      <c r="BB267" s="68" t="str">
        <f>IF(main!BN270="","",ROUND(main!BN270*100,6))</f>
        <v/>
      </c>
      <c r="BC267" s="68" t="str">
        <f>IF(main!BO270="","",ROUND(main!BO270*100,6))</f>
        <v/>
      </c>
      <c r="BD267" s="68" t="str">
        <f>IF(main!BP270="","",ROUND(main!BP270*100,6))</f>
        <v/>
      </c>
      <c r="BE267" s="68" t="str">
        <f>IF(main!BQ270="","",ROUND(main!BQ270*100,6))</f>
        <v/>
      </c>
      <c r="BF267" s="68" t="str">
        <f>IF(main!BR270="","",ROUND(main!BR270*100,6))</f>
        <v/>
      </c>
      <c r="BG267" s="68" t="str">
        <f>IF(main!BS270="","",ROUND(main!BS270*100,6))</f>
        <v/>
      </c>
      <c r="BH267" s="68" t="str">
        <f>IF(main!BT270="","",ROUND(main!BT270*100,6))</f>
        <v/>
      </c>
      <c r="BI267" s="68" t="str">
        <f>IF(main!BU270="","",ROUND(main!BU270*100,6))</f>
        <v/>
      </c>
      <c r="BJ267" s="68" t="str">
        <f>IF(main!BV270="","",ROUND(main!BV270*100,6))</f>
        <v/>
      </c>
      <c r="BK267" s="68" t="str">
        <f>IF(main!BW270="","",ROUND(main!BW270*100,6))</f>
        <v/>
      </c>
      <c r="BL267" s="68" t="str">
        <f>IF(main!BX270="","",ROUND(main!BX270*100,6))</f>
        <v/>
      </c>
      <c r="BM267" s="68" t="str">
        <f>IF(main!BY270="","",ROUND(main!BY270*100,6))</f>
        <v/>
      </c>
      <c r="BN267" s="68" t="str">
        <f>IF(main!BZ270="","",ROUND(main!BZ270*100,6))</f>
        <v/>
      </c>
      <c r="BO267" s="68" t="str">
        <f>IF(main!CA270="","",ROUND(main!CA270*100,6))</f>
        <v/>
      </c>
      <c r="BP267" s="68" t="str">
        <f>IF(main!CB270="","",ROUND(main!CB270*100,6))</f>
        <v/>
      </c>
      <c r="BQ267" s="68" t="str">
        <f>IF(main!CC270="","",ROUND(main!CC270*100,6))</f>
        <v/>
      </c>
      <c r="BR267" s="68" t="str">
        <f>IF(main!CD270="","",ROUND(main!CD270*100,6))</f>
        <v/>
      </c>
      <c r="BS267" s="68" t="str">
        <f>IF(main!CE270="","",ROUND(main!CE270*100,6))</f>
        <v/>
      </c>
      <c r="BT267" s="68" t="str">
        <f>IF(main!CF270="","",ROUND(main!CF270*100,6))</f>
        <v/>
      </c>
      <c r="BU267" s="68" t="str">
        <f>IF(main!CG270="","",ROUND(main!CG270*100,6))</f>
        <v/>
      </c>
      <c r="BV267" s="68" t="str">
        <f>IF(main!CH270="","",ROUND(main!CH270*100,6))</f>
        <v/>
      </c>
      <c r="BW267" s="68" t="str">
        <f>IF(main!CI270="","",ROUND(main!CI270*100,6))</f>
        <v/>
      </c>
      <c r="BX267" s="68" t="str">
        <f>IF(main!CJ270="","",ROUND(main!CJ270*100,6))</f>
        <v/>
      </c>
      <c r="BY267" s="68" t="str">
        <f>IF(main!CK270="","",ROUND(main!CK270*100,6))</f>
        <v/>
      </c>
      <c r="BZ267" s="68" t="str">
        <f>IF(main!CL270="","",ROUND(main!CL270*100,6))</f>
        <v/>
      </c>
      <c r="CA267" s="68" t="str">
        <f>IF(main!CM270="","",ROUND(main!CM270*100,6))</f>
        <v/>
      </c>
      <c r="CB267" s="68" t="str">
        <f>IF(main!CN270="","",ROUND(main!CN270*100,6))</f>
        <v/>
      </c>
      <c r="CC267" s="68" t="str">
        <f>IF(main!CO270="","",ROUND(main!CO270*100,6))</f>
        <v/>
      </c>
    </row>
    <row r="268" spans="1:81" x14ac:dyDescent="0.25">
      <c r="A268" s="65" t="s">
        <v>427</v>
      </c>
      <c r="B268" s="66" t="str">
        <f>main!C271</f>
        <v>First Fix Wall and Ceiling</v>
      </c>
      <c r="C268" s="67">
        <f>main!O271</f>
        <v>100000</v>
      </c>
      <c r="D268" s="65" t="s">
        <v>110</v>
      </c>
      <c r="E268" s="68">
        <f t="shared" si="4"/>
        <v>100</v>
      </c>
      <c r="F268" s="68" t="str">
        <f>IF(main!R271="","",ROUND(main!R271*100,6))</f>
        <v/>
      </c>
      <c r="G268" s="68" t="str">
        <f>IF(main!S271="","",ROUND(main!S271*100,6))</f>
        <v/>
      </c>
      <c r="H268" s="68" t="str">
        <f>IF(main!T271="","",ROUND(main!T271*100,6))</f>
        <v/>
      </c>
      <c r="I268" s="68" t="str">
        <f>IF(main!U271="","",ROUND(main!U271*100,6))</f>
        <v/>
      </c>
      <c r="J268" s="68" t="str">
        <f>IF(main!V271="","",ROUND(main!V271*100,6))</f>
        <v/>
      </c>
      <c r="K268" s="68" t="str">
        <f>IF(main!W271="","",ROUND(main!W271*100,6))</f>
        <v/>
      </c>
      <c r="L268" s="68" t="str">
        <f>IF(main!X271="","",ROUND(main!X271*100,6))</f>
        <v/>
      </c>
      <c r="M268" s="68" t="str">
        <f>IF(main!Y271="","",ROUND(main!Y271*100,6))</f>
        <v/>
      </c>
      <c r="N268" s="68" t="str">
        <f>IF(main!Z271="","",ROUND(main!Z271*100,6))</f>
        <v/>
      </c>
      <c r="O268" s="68" t="str">
        <f>IF(main!AA271="","",ROUND(main!AA271*100,6))</f>
        <v/>
      </c>
      <c r="P268" s="68" t="str">
        <f>IF(main!AB271="","",ROUND(main!AB271*100,6))</f>
        <v/>
      </c>
      <c r="Q268" s="68" t="str">
        <f>IF(main!AC271="","",ROUND(main!AC271*100,6))</f>
        <v/>
      </c>
      <c r="R268" s="68" t="str">
        <f>IF(main!AD271="","",ROUND(main!AD271*100,6))</f>
        <v/>
      </c>
      <c r="S268" s="68" t="str">
        <f>IF(main!AE271="","",ROUND(main!AE271*100,6))</f>
        <v/>
      </c>
      <c r="T268" s="68" t="str">
        <f>IF(main!AF271="","",ROUND(main!AF271*100,6))</f>
        <v/>
      </c>
      <c r="U268" s="68" t="str">
        <f>IF(main!AG271="","",ROUND(main!AG271*100,6))</f>
        <v/>
      </c>
      <c r="V268" s="68" t="str">
        <f>IF(main!AH271="","",ROUND(main!AH271*100,6))</f>
        <v/>
      </c>
      <c r="W268" s="68" t="str">
        <f>IF(main!AI271="","",ROUND(main!AI271*100,6))</f>
        <v/>
      </c>
      <c r="X268" s="68" t="str">
        <f>IF(main!AJ271="","",ROUND(main!AJ271*100,6))</f>
        <v/>
      </c>
      <c r="Y268" s="68" t="str">
        <f>IF(main!AK271="","",ROUND(main!AK271*100,6))</f>
        <v/>
      </c>
      <c r="Z268" s="68" t="str">
        <f>IF(main!AL271="","",ROUND(main!AL271*100,6))</f>
        <v/>
      </c>
      <c r="AA268" s="68" t="str">
        <f>IF(main!AM271="","",ROUND(main!AM271*100,6))</f>
        <v/>
      </c>
      <c r="AB268" s="68" t="str">
        <f>IF(main!AN271="","",ROUND(main!AN271*100,6))</f>
        <v/>
      </c>
      <c r="AC268" s="68" t="str">
        <f>IF(main!AO271="","",ROUND(main!AO271*100,6))</f>
        <v/>
      </c>
      <c r="AD268" s="68" t="str">
        <f>IF(main!AP271="","",ROUND(main!AP271*100,6))</f>
        <v/>
      </c>
      <c r="AE268" s="68" t="str">
        <f>IF(main!AQ271="","",ROUND(main!AQ271*100,6))</f>
        <v/>
      </c>
      <c r="AF268" s="68" t="str">
        <f>IF(main!AR271="","",ROUND(main!AR271*100,6))</f>
        <v/>
      </c>
      <c r="AG268" s="68" t="str">
        <f>IF(main!AS271="","",ROUND(main!AS271*100,6))</f>
        <v/>
      </c>
      <c r="AH268" s="68" t="str">
        <f>IF(main!AT271="","",ROUND(main!AT271*100,6))</f>
        <v/>
      </c>
      <c r="AI268" s="68" t="str">
        <f>IF(main!AU271="","",ROUND(main!AU271*100,6))</f>
        <v/>
      </c>
      <c r="AJ268" s="68" t="str">
        <f>IF(main!AV271="","",ROUND(main!AV271*100,6))</f>
        <v/>
      </c>
      <c r="AK268" s="68" t="str">
        <f>IF(main!AW271="","",ROUND(main!AW271*100,6))</f>
        <v/>
      </c>
      <c r="AL268" s="68" t="str">
        <f>IF(main!AX271="","",ROUND(main!AX271*100,6))</f>
        <v/>
      </c>
      <c r="AM268" s="68" t="str">
        <f>IF(main!AY271="","",ROUND(main!AY271*100,6))</f>
        <v/>
      </c>
      <c r="AN268" s="68" t="str">
        <f>IF(main!AZ271="","",ROUND(main!AZ271*100,6))</f>
        <v/>
      </c>
      <c r="AO268" s="68" t="str">
        <f>IF(main!BA271="","",ROUND(main!BA271*100,6))</f>
        <v/>
      </c>
      <c r="AP268" s="68" t="str">
        <f>IF(main!BB271="","",ROUND(main!BB271*100,6))</f>
        <v/>
      </c>
      <c r="AQ268" s="68" t="str">
        <f>IF(main!BC271="","",ROUND(main!BC271*100,6))</f>
        <v/>
      </c>
      <c r="AR268" s="68" t="str">
        <f>IF(main!BD271="","",ROUND(main!BD271*100,6))</f>
        <v/>
      </c>
      <c r="AS268" s="68" t="str">
        <f>IF(main!BE271="","",ROUND(main!BE271*100,6))</f>
        <v/>
      </c>
      <c r="AT268" s="68" t="str">
        <f>IF(main!BF271="","",ROUND(main!BF271*100,6))</f>
        <v/>
      </c>
      <c r="AU268" s="68" t="str">
        <f>IF(main!BG271="","",ROUND(main!BG271*100,6))</f>
        <v/>
      </c>
      <c r="AV268" s="68" t="str">
        <f>IF(main!BH271="","",ROUND(main!BH271*100,6))</f>
        <v/>
      </c>
      <c r="AW268" s="68" t="str">
        <f>IF(main!BI271="","",ROUND(main!BI271*100,6))</f>
        <v/>
      </c>
      <c r="AX268" s="68" t="str">
        <f>IF(main!BJ271="","",ROUND(main!BJ271*100,6))</f>
        <v/>
      </c>
      <c r="AY268" s="68" t="str">
        <f>IF(main!BK271="","",ROUND(main!BK271*100,6))</f>
        <v/>
      </c>
      <c r="AZ268" s="68" t="str">
        <f>IF(main!BL271="","",ROUND(main!BL271*100,6))</f>
        <v/>
      </c>
      <c r="BA268" s="68" t="str">
        <f>IF(main!BM271="","",ROUND(main!BM271*100,6))</f>
        <v/>
      </c>
      <c r="BB268" s="68" t="str">
        <f>IF(main!BN271="","",ROUND(main!BN271*100,6))</f>
        <v/>
      </c>
      <c r="BC268" s="68" t="str">
        <f>IF(main!BO271="","",ROUND(main!BO271*100,6))</f>
        <v/>
      </c>
      <c r="BD268" s="68">
        <f>IF(main!BP271="","",ROUND(main!BP271*100,6))</f>
        <v>0.200876</v>
      </c>
      <c r="BE268" s="68">
        <f>IF(main!BQ271="","",ROUND(main!BQ271*100,6))</f>
        <v>3.562967</v>
      </c>
      <c r="BF268" s="68">
        <f>IF(main!BR271="","",ROUND(main!BR271*100,6))</f>
        <v>7.3429019999999996</v>
      </c>
      <c r="BG268" s="68">
        <f>IF(main!BS271="","",ROUND(main!BS271*100,6))</f>
        <v>12.308168</v>
      </c>
      <c r="BH268" s="68">
        <f>IF(main!BT271="","",ROUND(main!BT271*100,6))</f>
        <v>16.779878</v>
      </c>
      <c r="BI268" s="68">
        <f>IF(main!BU271="","",ROUND(main!BU271*100,6))</f>
        <v>18.606038999999999</v>
      </c>
      <c r="BJ268" s="68">
        <f>IF(main!BV271="","",ROUND(main!BV271*100,6))</f>
        <v>16.779878</v>
      </c>
      <c r="BK268" s="68">
        <f>IF(main!BW271="","",ROUND(main!BW271*100,6))</f>
        <v>12.308168</v>
      </c>
      <c r="BL268" s="68">
        <f>IF(main!BX271="","",ROUND(main!BX271*100,6))</f>
        <v>7.3429019999999996</v>
      </c>
      <c r="BM268" s="68">
        <f>IF(main!BY271="","",ROUND(main!BY271*100,6))</f>
        <v>3.562967</v>
      </c>
      <c r="BN268" s="68">
        <f>IF(main!BZ271="","",ROUND(main!BZ271*100,6))</f>
        <v>1.205255</v>
      </c>
      <c r="BO268" s="68" t="str">
        <f>IF(main!CA271="","",ROUND(main!CA271*100,6))</f>
        <v/>
      </c>
      <c r="BP268" s="68" t="str">
        <f>IF(main!CB271="","",ROUND(main!CB271*100,6))</f>
        <v/>
      </c>
      <c r="BQ268" s="68" t="str">
        <f>IF(main!CC271="","",ROUND(main!CC271*100,6))</f>
        <v/>
      </c>
      <c r="BR268" s="68" t="str">
        <f>IF(main!CD271="","",ROUND(main!CD271*100,6))</f>
        <v/>
      </c>
      <c r="BS268" s="68" t="str">
        <f>IF(main!CE271="","",ROUND(main!CE271*100,6))</f>
        <v/>
      </c>
      <c r="BT268" s="68" t="str">
        <f>IF(main!CF271="","",ROUND(main!CF271*100,6))</f>
        <v/>
      </c>
      <c r="BU268" s="68" t="str">
        <f>IF(main!CG271="","",ROUND(main!CG271*100,6))</f>
        <v/>
      </c>
      <c r="BV268" s="68" t="str">
        <f>IF(main!CH271="","",ROUND(main!CH271*100,6))</f>
        <v/>
      </c>
      <c r="BW268" s="68" t="str">
        <f>IF(main!CI271="","",ROUND(main!CI271*100,6))</f>
        <v/>
      </c>
      <c r="BX268" s="68" t="str">
        <f>IF(main!CJ271="","",ROUND(main!CJ271*100,6))</f>
        <v/>
      </c>
      <c r="BY268" s="68" t="str">
        <f>IF(main!CK271="","",ROUND(main!CK271*100,6))</f>
        <v/>
      </c>
      <c r="BZ268" s="68" t="str">
        <f>IF(main!CL271="","",ROUND(main!CL271*100,6))</f>
        <v/>
      </c>
      <c r="CA268" s="68" t="str">
        <f>IF(main!CM271="","",ROUND(main!CM271*100,6))</f>
        <v/>
      </c>
      <c r="CB268" s="68" t="str">
        <f>IF(main!CN271="","",ROUND(main!CN271*100,6))</f>
        <v/>
      </c>
      <c r="CC268" s="68" t="str">
        <f>IF(main!CO271="","",ROUND(main!CO271*100,6))</f>
        <v/>
      </c>
    </row>
    <row r="269" spans="1:81" x14ac:dyDescent="0.25">
      <c r="A269" s="65" t="s">
        <v>427</v>
      </c>
      <c r="B269" s="66" t="str">
        <f>main!C271</f>
        <v>First Fix Wall and Ceiling</v>
      </c>
      <c r="C269" s="67">
        <f>main!O271</f>
        <v>100000</v>
      </c>
      <c r="D269" s="65" t="s">
        <v>111</v>
      </c>
      <c r="E269" s="68" t="str">
        <f t="shared" si="4"/>
        <v/>
      </c>
      <c r="F269" s="68" t="str">
        <f>IF(main!R272="","",ROUND(main!R272*100,6))</f>
        <v/>
      </c>
      <c r="G269" s="68" t="str">
        <f>IF(main!S272="","",ROUND(main!S272*100,6))</f>
        <v/>
      </c>
      <c r="H269" s="68" t="str">
        <f>IF(main!T272="","",ROUND(main!T272*100,6))</f>
        <v/>
      </c>
      <c r="I269" s="68" t="str">
        <f>IF(main!U272="","",ROUND(main!U272*100,6))</f>
        <v/>
      </c>
      <c r="J269" s="68" t="str">
        <f>IF(main!V272="","",ROUND(main!V272*100,6))</f>
        <v/>
      </c>
      <c r="K269" s="68" t="str">
        <f>IF(main!W272="","",ROUND(main!W272*100,6))</f>
        <v/>
      </c>
      <c r="L269" s="68" t="str">
        <f>IF(main!X272="","",ROUND(main!X272*100,6))</f>
        <v/>
      </c>
      <c r="M269" s="68" t="str">
        <f>IF(main!Y272="","",ROUND(main!Y272*100,6))</f>
        <v/>
      </c>
      <c r="N269" s="68" t="str">
        <f>IF(main!Z272="","",ROUND(main!Z272*100,6))</f>
        <v/>
      </c>
      <c r="O269" s="68" t="str">
        <f>IF(main!AA272="","",ROUND(main!AA272*100,6))</f>
        <v/>
      </c>
      <c r="P269" s="68" t="str">
        <f>IF(main!AB272="","",ROUND(main!AB272*100,6))</f>
        <v/>
      </c>
      <c r="Q269" s="68" t="str">
        <f>IF(main!AC272="","",ROUND(main!AC272*100,6))</f>
        <v/>
      </c>
      <c r="R269" s="68" t="str">
        <f>IF(main!AD272="","",ROUND(main!AD272*100,6))</f>
        <v/>
      </c>
      <c r="S269" s="68" t="str">
        <f>IF(main!AE272="","",ROUND(main!AE272*100,6))</f>
        <v/>
      </c>
      <c r="T269" s="68" t="str">
        <f>IF(main!AF272="","",ROUND(main!AF272*100,6))</f>
        <v/>
      </c>
      <c r="U269" s="68" t="str">
        <f>IF(main!AG272="","",ROUND(main!AG272*100,6))</f>
        <v/>
      </c>
      <c r="V269" s="68" t="str">
        <f>IF(main!AH272="","",ROUND(main!AH272*100,6))</f>
        <v/>
      </c>
      <c r="W269" s="68" t="str">
        <f>IF(main!AI272="","",ROUND(main!AI272*100,6))</f>
        <v/>
      </c>
      <c r="X269" s="68" t="str">
        <f>IF(main!AJ272="","",ROUND(main!AJ272*100,6))</f>
        <v/>
      </c>
      <c r="Y269" s="68" t="str">
        <f>IF(main!AK272="","",ROUND(main!AK272*100,6))</f>
        <v/>
      </c>
      <c r="Z269" s="68" t="str">
        <f>IF(main!AL272="","",ROUND(main!AL272*100,6))</f>
        <v/>
      </c>
      <c r="AA269" s="68" t="str">
        <f>IF(main!AM272="","",ROUND(main!AM272*100,6))</f>
        <v/>
      </c>
      <c r="AB269" s="68" t="str">
        <f>IF(main!AN272="","",ROUND(main!AN272*100,6))</f>
        <v/>
      </c>
      <c r="AC269" s="68" t="str">
        <f>IF(main!AO272="","",ROUND(main!AO272*100,6))</f>
        <v/>
      </c>
      <c r="AD269" s="68" t="str">
        <f>IF(main!AP272="","",ROUND(main!AP272*100,6))</f>
        <v/>
      </c>
      <c r="AE269" s="68" t="str">
        <f>IF(main!AQ272="","",ROUND(main!AQ272*100,6))</f>
        <v/>
      </c>
      <c r="AF269" s="68" t="str">
        <f>IF(main!AR272="","",ROUND(main!AR272*100,6))</f>
        <v/>
      </c>
      <c r="AG269" s="68" t="str">
        <f>IF(main!AS272="","",ROUND(main!AS272*100,6))</f>
        <v/>
      </c>
      <c r="AH269" s="68" t="str">
        <f>IF(main!AT272="","",ROUND(main!AT272*100,6))</f>
        <v/>
      </c>
      <c r="AI269" s="68" t="str">
        <f>IF(main!AU272="","",ROUND(main!AU272*100,6))</f>
        <v/>
      </c>
      <c r="AJ269" s="68" t="str">
        <f>IF(main!AV272="","",ROUND(main!AV272*100,6))</f>
        <v/>
      </c>
      <c r="AK269" s="68" t="str">
        <f>IF(main!AW272="","",ROUND(main!AW272*100,6))</f>
        <v/>
      </c>
      <c r="AL269" s="68" t="str">
        <f>IF(main!AX272="","",ROUND(main!AX272*100,6))</f>
        <v/>
      </c>
      <c r="AM269" s="68" t="str">
        <f>IF(main!AY272="","",ROUND(main!AY272*100,6))</f>
        <v/>
      </c>
      <c r="AN269" s="68" t="str">
        <f>IF(main!AZ272="","",ROUND(main!AZ272*100,6))</f>
        <v/>
      </c>
      <c r="AO269" s="68" t="str">
        <f>IF(main!BA272="","",ROUND(main!BA272*100,6))</f>
        <v/>
      </c>
      <c r="AP269" s="68" t="str">
        <f>IF(main!BB272="","",ROUND(main!BB272*100,6))</f>
        <v/>
      </c>
      <c r="AQ269" s="68" t="str">
        <f>IF(main!BC272="","",ROUND(main!BC272*100,6))</f>
        <v/>
      </c>
      <c r="AR269" s="68" t="str">
        <f>IF(main!BD272="","",ROUND(main!BD272*100,6))</f>
        <v/>
      </c>
      <c r="AS269" s="68" t="str">
        <f>IF(main!BE272="","",ROUND(main!BE272*100,6))</f>
        <v/>
      </c>
      <c r="AT269" s="68" t="str">
        <f>IF(main!BF272="","",ROUND(main!BF272*100,6))</f>
        <v/>
      </c>
      <c r="AU269" s="68" t="str">
        <f>IF(main!BG272="","",ROUND(main!BG272*100,6))</f>
        <v/>
      </c>
      <c r="AV269" s="68" t="str">
        <f>IF(main!BH272="","",ROUND(main!BH272*100,6))</f>
        <v/>
      </c>
      <c r="AW269" s="68" t="str">
        <f>IF(main!BI272="","",ROUND(main!BI272*100,6))</f>
        <v/>
      </c>
      <c r="AX269" s="68" t="str">
        <f>IF(main!BJ272="","",ROUND(main!BJ272*100,6))</f>
        <v/>
      </c>
      <c r="AY269" s="68" t="str">
        <f>IF(main!BK272="","",ROUND(main!BK272*100,6))</f>
        <v/>
      </c>
      <c r="AZ269" s="68" t="str">
        <f>IF(main!BL272="","",ROUND(main!BL272*100,6))</f>
        <v/>
      </c>
      <c r="BA269" s="68" t="str">
        <f>IF(main!BM272="","",ROUND(main!BM272*100,6))</f>
        <v/>
      </c>
      <c r="BB269" s="68" t="str">
        <f>IF(main!BN272="","",ROUND(main!BN272*100,6))</f>
        <v/>
      </c>
      <c r="BC269" s="68" t="str">
        <f>IF(main!BO272="","",ROUND(main!BO272*100,6))</f>
        <v/>
      </c>
      <c r="BD269" s="68" t="str">
        <f>IF(main!BP272="","",ROUND(main!BP272*100,6))</f>
        <v/>
      </c>
      <c r="BE269" s="68" t="str">
        <f>IF(main!BQ272="","",ROUND(main!BQ272*100,6))</f>
        <v/>
      </c>
      <c r="BF269" s="68" t="str">
        <f>IF(main!BR272="","",ROUND(main!BR272*100,6))</f>
        <v/>
      </c>
      <c r="BG269" s="68" t="str">
        <f>IF(main!BS272="","",ROUND(main!BS272*100,6))</f>
        <v/>
      </c>
      <c r="BH269" s="68" t="str">
        <f>IF(main!BT272="","",ROUND(main!BT272*100,6))</f>
        <v/>
      </c>
      <c r="BI269" s="68" t="str">
        <f>IF(main!BU272="","",ROUND(main!BU272*100,6))</f>
        <v/>
      </c>
      <c r="BJ269" s="68" t="str">
        <f>IF(main!BV272="","",ROUND(main!BV272*100,6))</f>
        <v/>
      </c>
      <c r="BK269" s="68" t="str">
        <f>IF(main!BW272="","",ROUND(main!BW272*100,6))</f>
        <v/>
      </c>
      <c r="BL269" s="68" t="str">
        <f>IF(main!BX272="","",ROUND(main!BX272*100,6))</f>
        <v/>
      </c>
      <c r="BM269" s="68" t="str">
        <f>IF(main!BY272="","",ROUND(main!BY272*100,6))</f>
        <v/>
      </c>
      <c r="BN269" s="68" t="str">
        <f>IF(main!BZ272="","",ROUND(main!BZ272*100,6))</f>
        <v/>
      </c>
      <c r="BO269" s="68" t="str">
        <f>IF(main!CA272="","",ROUND(main!CA272*100,6))</f>
        <v/>
      </c>
      <c r="BP269" s="68" t="str">
        <f>IF(main!CB272="","",ROUND(main!CB272*100,6))</f>
        <v/>
      </c>
      <c r="BQ269" s="68" t="str">
        <f>IF(main!CC272="","",ROUND(main!CC272*100,6))</f>
        <v/>
      </c>
      <c r="BR269" s="68" t="str">
        <f>IF(main!CD272="","",ROUND(main!CD272*100,6))</f>
        <v/>
      </c>
      <c r="BS269" s="68" t="str">
        <f>IF(main!CE272="","",ROUND(main!CE272*100,6))</f>
        <v/>
      </c>
      <c r="BT269" s="68" t="str">
        <f>IF(main!CF272="","",ROUND(main!CF272*100,6))</f>
        <v/>
      </c>
      <c r="BU269" s="68" t="str">
        <f>IF(main!CG272="","",ROUND(main!CG272*100,6))</f>
        <v/>
      </c>
      <c r="BV269" s="68" t="str">
        <f>IF(main!CH272="","",ROUND(main!CH272*100,6))</f>
        <v/>
      </c>
      <c r="BW269" s="68" t="str">
        <f>IF(main!CI272="","",ROUND(main!CI272*100,6))</f>
        <v/>
      </c>
      <c r="BX269" s="68" t="str">
        <f>IF(main!CJ272="","",ROUND(main!CJ272*100,6))</f>
        <v/>
      </c>
      <c r="BY269" s="68" t="str">
        <f>IF(main!CK272="","",ROUND(main!CK272*100,6))</f>
        <v/>
      </c>
      <c r="BZ269" s="68" t="str">
        <f>IF(main!CL272="","",ROUND(main!CL272*100,6))</f>
        <v/>
      </c>
      <c r="CA269" s="68" t="str">
        <f>IF(main!CM272="","",ROUND(main!CM272*100,6))</f>
        <v/>
      </c>
      <c r="CB269" s="68" t="str">
        <f>IF(main!CN272="","",ROUND(main!CN272*100,6))</f>
        <v/>
      </c>
      <c r="CC269" s="68" t="str">
        <f>IF(main!CO272="","",ROUND(main!CO272*100,6))</f>
        <v/>
      </c>
    </row>
    <row r="270" spans="1:81" x14ac:dyDescent="0.25">
      <c r="A270" s="65" t="s">
        <v>429</v>
      </c>
      <c r="B270" s="66" t="str">
        <f>main!C273</f>
        <v>งานติดอุปกรณ์ Second Fix</v>
      </c>
      <c r="C270" s="67">
        <f>main!O273</f>
        <v>100000</v>
      </c>
      <c r="D270" s="65" t="s">
        <v>110</v>
      </c>
      <c r="E270" s="68">
        <f t="shared" si="4"/>
        <v>100</v>
      </c>
      <c r="F270" s="68" t="str">
        <f>IF(main!R273="","",ROUND(main!R273*100,6))</f>
        <v/>
      </c>
      <c r="G270" s="68" t="str">
        <f>IF(main!S273="","",ROUND(main!S273*100,6))</f>
        <v/>
      </c>
      <c r="H270" s="68" t="str">
        <f>IF(main!T273="","",ROUND(main!T273*100,6))</f>
        <v/>
      </c>
      <c r="I270" s="68" t="str">
        <f>IF(main!U273="","",ROUND(main!U273*100,6))</f>
        <v/>
      </c>
      <c r="J270" s="68" t="str">
        <f>IF(main!V273="","",ROUND(main!V273*100,6))</f>
        <v/>
      </c>
      <c r="K270" s="68" t="str">
        <f>IF(main!W273="","",ROUND(main!W273*100,6))</f>
        <v/>
      </c>
      <c r="L270" s="68" t="str">
        <f>IF(main!X273="","",ROUND(main!X273*100,6))</f>
        <v/>
      </c>
      <c r="M270" s="68" t="str">
        <f>IF(main!Y273="","",ROUND(main!Y273*100,6))</f>
        <v/>
      </c>
      <c r="N270" s="68" t="str">
        <f>IF(main!Z273="","",ROUND(main!Z273*100,6))</f>
        <v/>
      </c>
      <c r="O270" s="68" t="str">
        <f>IF(main!AA273="","",ROUND(main!AA273*100,6))</f>
        <v/>
      </c>
      <c r="P270" s="68" t="str">
        <f>IF(main!AB273="","",ROUND(main!AB273*100,6))</f>
        <v/>
      </c>
      <c r="Q270" s="68" t="str">
        <f>IF(main!AC273="","",ROUND(main!AC273*100,6))</f>
        <v/>
      </c>
      <c r="R270" s="68" t="str">
        <f>IF(main!AD273="","",ROUND(main!AD273*100,6))</f>
        <v/>
      </c>
      <c r="S270" s="68" t="str">
        <f>IF(main!AE273="","",ROUND(main!AE273*100,6))</f>
        <v/>
      </c>
      <c r="T270" s="68" t="str">
        <f>IF(main!AF273="","",ROUND(main!AF273*100,6))</f>
        <v/>
      </c>
      <c r="U270" s="68" t="str">
        <f>IF(main!AG273="","",ROUND(main!AG273*100,6))</f>
        <v/>
      </c>
      <c r="V270" s="68" t="str">
        <f>IF(main!AH273="","",ROUND(main!AH273*100,6))</f>
        <v/>
      </c>
      <c r="W270" s="68" t="str">
        <f>IF(main!AI273="","",ROUND(main!AI273*100,6))</f>
        <v/>
      </c>
      <c r="X270" s="68" t="str">
        <f>IF(main!AJ273="","",ROUND(main!AJ273*100,6))</f>
        <v/>
      </c>
      <c r="Y270" s="68" t="str">
        <f>IF(main!AK273="","",ROUND(main!AK273*100,6))</f>
        <v/>
      </c>
      <c r="Z270" s="68" t="str">
        <f>IF(main!AL273="","",ROUND(main!AL273*100,6))</f>
        <v/>
      </c>
      <c r="AA270" s="68" t="str">
        <f>IF(main!AM273="","",ROUND(main!AM273*100,6))</f>
        <v/>
      </c>
      <c r="AB270" s="68" t="str">
        <f>IF(main!AN273="","",ROUND(main!AN273*100,6))</f>
        <v/>
      </c>
      <c r="AC270" s="68" t="str">
        <f>IF(main!AO273="","",ROUND(main!AO273*100,6))</f>
        <v/>
      </c>
      <c r="AD270" s="68" t="str">
        <f>IF(main!AP273="","",ROUND(main!AP273*100,6))</f>
        <v/>
      </c>
      <c r="AE270" s="68" t="str">
        <f>IF(main!AQ273="","",ROUND(main!AQ273*100,6))</f>
        <v/>
      </c>
      <c r="AF270" s="68" t="str">
        <f>IF(main!AR273="","",ROUND(main!AR273*100,6))</f>
        <v/>
      </c>
      <c r="AG270" s="68" t="str">
        <f>IF(main!AS273="","",ROUND(main!AS273*100,6))</f>
        <v/>
      </c>
      <c r="AH270" s="68" t="str">
        <f>IF(main!AT273="","",ROUND(main!AT273*100,6))</f>
        <v/>
      </c>
      <c r="AI270" s="68" t="str">
        <f>IF(main!AU273="","",ROUND(main!AU273*100,6))</f>
        <v/>
      </c>
      <c r="AJ270" s="68" t="str">
        <f>IF(main!AV273="","",ROUND(main!AV273*100,6))</f>
        <v/>
      </c>
      <c r="AK270" s="68" t="str">
        <f>IF(main!AW273="","",ROUND(main!AW273*100,6))</f>
        <v/>
      </c>
      <c r="AL270" s="68" t="str">
        <f>IF(main!AX273="","",ROUND(main!AX273*100,6))</f>
        <v/>
      </c>
      <c r="AM270" s="68" t="str">
        <f>IF(main!AY273="","",ROUND(main!AY273*100,6))</f>
        <v/>
      </c>
      <c r="AN270" s="68" t="str">
        <f>IF(main!AZ273="","",ROUND(main!AZ273*100,6))</f>
        <v/>
      </c>
      <c r="AO270" s="68" t="str">
        <f>IF(main!BA273="","",ROUND(main!BA273*100,6))</f>
        <v/>
      </c>
      <c r="AP270" s="68" t="str">
        <f>IF(main!BB273="","",ROUND(main!BB273*100,6))</f>
        <v/>
      </c>
      <c r="AQ270" s="68" t="str">
        <f>IF(main!BC273="","",ROUND(main!BC273*100,6))</f>
        <v/>
      </c>
      <c r="AR270" s="68" t="str">
        <f>IF(main!BD273="","",ROUND(main!BD273*100,6))</f>
        <v/>
      </c>
      <c r="AS270" s="68" t="str">
        <f>IF(main!BE273="","",ROUND(main!BE273*100,6))</f>
        <v/>
      </c>
      <c r="AT270" s="68" t="str">
        <f>IF(main!BF273="","",ROUND(main!BF273*100,6))</f>
        <v/>
      </c>
      <c r="AU270" s="68" t="str">
        <f>IF(main!BG273="","",ROUND(main!BG273*100,6))</f>
        <v/>
      </c>
      <c r="AV270" s="68" t="str">
        <f>IF(main!BH273="","",ROUND(main!BH273*100,6))</f>
        <v/>
      </c>
      <c r="AW270" s="68" t="str">
        <f>IF(main!BI273="","",ROUND(main!BI273*100,6))</f>
        <v/>
      </c>
      <c r="AX270" s="68" t="str">
        <f>IF(main!BJ273="","",ROUND(main!BJ273*100,6))</f>
        <v/>
      </c>
      <c r="AY270" s="68" t="str">
        <f>IF(main!BK273="","",ROUND(main!BK273*100,6))</f>
        <v/>
      </c>
      <c r="AZ270" s="68" t="str">
        <f>IF(main!BL273="","",ROUND(main!BL273*100,6))</f>
        <v/>
      </c>
      <c r="BA270" s="68" t="str">
        <f>IF(main!BM273="","",ROUND(main!BM273*100,6))</f>
        <v/>
      </c>
      <c r="BB270" s="68" t="str">
        <f>IF(main!BN273="","",ROUND(main!BN273*100,6))</f>
        <v/>
      </c>
      <c r="BC270" s="68" t="str">
        <f>IF(main!BO273="","",ROUND(main!BO273*100,6))</f>
        <v/>
      </c>
      <c r="BD270" s="68" t="str">
        <f>IF(main!BP273="","",ROUND(main!BP273*100,6))</f>
        <v/>
      </c>
      <c r="BE270" s="68" t="str">
        <f>IF(main!BQ273="","",ROUND(main!BQ273*100,6))</f>
        <v/>
      </c>
      <c r="BF270" s="68" t="str">
        <f>IF(main!BR273="","",ROUND(main!BR273*100,6))</f>
        <v/>
      </c>
      <c r="BG270" s="68" t="str">
        <f>IF(main!BS273="","",ROUND(main!BS273*100,6))</f>
        <v/>
      </c>
      <c r="BH270" s="68" t="str">
        <f>IF(main!BT273="","",ROUND(main!BT273*100,6))</f>
        <v/>
      </c>
      <c r="BI270" s="68" t="str">
        <f>IF(main!BU273="","",ROUND(main!BU273*100,6))</f>
        <v/>
      </c>
      <c r="BJ270" s="68" t="str">
        <f>IF(main!BV273="","",ROUND(main!BV273*100,6))</f>
        <v/>
      </c>
      <c r="BK270" s="68" t="str">
        <f>IF(main!BW273="","",ROUND(main!BW273*100,6))</f>
        <v/>
      </c>
      <c r="BL270" s="68" t="str">
        <f>IF(main!BX273="","",ROUND(main!BX273*100,6))</f>
        <v/>
      </c>
      <c r="BM270" s="68" t="str">
        <f>IF(main!BY273="","",ROUND(main!BY273*100,6))</f>
        <v/>
      </c>
      <c r="BN270" s="68">
        <f>IF(main!BZ273="","",ROUND(main!BZ273*100,6))</f>
        <v>1.785714</v>
      </c>
      <c r="BO270" s="68">
        <f>IF(main!CA273="","",ROUND(main!CA273*100,6))</f>
        <v>12.5</v>
      </c>
      <c r="BP270" s="68">
        <f>IF(main!CB273="","",ROUND(main!CB273*100,6))</f>
        <v>12.5</v>
      </c>
      <c r="BQ270" s="68">
        <f>IF(main!CC273="","",ROUND(main!CC273*100,6))</f>
        <v>12.5</v>
      </c>
      <c r="BR270" s="68">
        <f>IF(main!CD273="","",ROUND(main!CD273*100,6))</f>
        <v>12.5</v>
      </c>
      <c r="BS270" s="68">
        <f>IF(main!CE273="","",ROUND(main!CE273*100,6))</f>
        <v>12.5</v>
      </c>
      <c r="BT270" s="68">
        <f>IF(main!CF273="","",ROUND(main!CF273*100,6))</f>
        <v>12.5</v>
      </c>
      <c r="BU270" s="68">
        <f>IF(main!CG273="","",ROUND(main!CG273*100,6))</f>
        <v>12.5</v>
      </c>
      <c r="BV270" s="68">
        <f>IF(main!CH273="","",ROUND(main!CH273*100,6))</f>
        <v>10.714286</v>
      </c>
      <c r="BW270" s="68" t="str">
        <f>IF(main!CI273="","",ROUND(main!CI273*100,6))</f>
        <v/>
      </c>
      <c r="BX270" s="68" t="str">
        <f>IF(main!CJ273="","",ROUND(main!CJ273*100,6))</f>
        <v/>
      </c>
      <c r="BY270" s="68" t="str">
        <f>IF(main!CK273="","",ROUND(main!CK273*100,6))</f>
        <v/>
      </c>
      <c r="BZ270" s="68" t="str">
        <f>IF(main!CL273="","",ROUND(main!CL273*100,6))</f>
        <v/>
      </c>
      <c r="CA270" s="68" t="str">
        <f>IF(main!CM273="","",ROUND(main!CM273*100,6))</f>
        <v/>
      </c>
      <c r="CB270" s="68" t="str">
        <f>IF(main!CN273="","",ROUND(main!CN273*100,6))</f>
        <v/>
      </c>
      <c r="CC270" s="68" t="str">
        <f>IF(main!CO273="","",ROUND(main!CO273*100,6))</f>
        <v/>
      </c>
    </row>
    <row r="271" spans="1:81" x14ac:dyDescent="0.25">
      <c r="A271" s="65" t="s">
        <v>429</v>
      </c>
      <c r="B271" s="66" t="str">
        <f>main!C273</f>
        <v>งานติดอุปกรณ์ Second Fix</v>
      </c>
      <c r="C271" s="67">
        <f>main!O273</f>
        <v>100000</v>
      </c>
      <c r="D271" s="65" t="s">
        <v>111</v>
      </c>
      <c r="E271" s="68" t="str">
        <f t="shared" si="4"/>
        <v/>
      </c>
      <c r="F271" s="68" t="str">
        <f>IF(main!R274="","",ROUND(main!R274*100,6))</f>
        <v/>
      </c>
      <c r="G271" s="68" t="str">
        <f>IF(main!S274="","",ROUND(main!S274*100,6))</f>
        <v/>
      </c>
      <c r="H271" s="68" t="str">
        <f>IF(main!T274="","",ROUND(main!T274*100,6))</f>
        <v/>
      </c>
      <c r="I271" s="68" t="str">
        <f>IF(main!U274="","",ROUND(main!U274*100,6))</f>
        <v/>
      </c>
      <c r="J271" s="68" t="str">
        <f>IF(main!V274="","",ROUND(main!V274*100,6))</f>
        <v/>
      </c>
      <c r="K271" s="68" t="str">
        <f>IF(main!W274="","",ROUND(main!W274*100,6))</f>
        <v/>
      </c>
      <c r="L271" s="68" t="str">
        <f>IF(main!X274="","",ROUND(main!X274*100,6))</f>
        <v/>
      </c>
      <c r="M271" s="68" t="str">
        <f>IF(main!Y274="","",ROUND(main!Y274*100,6))</f>
        <v/>
      </c>
      <c r="N271" s="68" t="str">
        <f>IF(main!Z274="","",ROUND(main!Z274*100,6))</f>
        <v/>
      </c>
      <c r="O271" s="68" t="str">
        <f>IF(main!AA274="","",ROUND(main!AA274*100,6))</f>
        <v/>
      </c>
      <c r="P271" s="68" t="str">
        <f>IF(main!AB274="","",ROUND(main!AB274*100,6))</f>
        <v/>
      </c>
      <c r="Q271" s="68" t="str">
        <f>IF(main!AC274="","",ROUND(main!AC274*100,6))</f>
        <v/>
      </c>
      <c r="R271" s="68" t="str">
        <f>IF(main!AD274="","",ROUND(main!AD274*100,6))</f>
        <v/>
      </c>
      <c r="S271" s="68" t="str">
        <f>IF(main!AE274="","",ROUND(main!AE274*100,6))</f>
        <v/>
      </c>
      <c r="T271" s="68" t="str">
        <f>IF(main!AF274="","",ROUND(main!AF274*100,6))</f>
        <v/>
      </c>
      <c r="U271" s="68" t="str">
        <f>IF(main!AG274="","",ROUND(main!AG274*100,6))</f>
        <v/>
      </c>
      <c r="V271" s="68" t="str">
        <f>IF(main!AH274="","",ROUND(main!AH274*100,6))</f>
        <v/>
      </c>
      <c r="W271" s="68" t="str">
        <f>IF(main!AI274="","",ROUND(main!AI274*100,6))</f>
        <v/>
      </c>
      <c r="X271" s="68" t="str">
        <f>IF(main!AJ274="","",ROUND(main!AJ274*100,6))</f>
        <v/>
      </c>
      <c r="Y271" s="68" t="str">
        <f>IF(main!AK274="","",ROUND(main!AK274*100,6))</f>
        <v/>
      </c>
      <c r="Z271" s="68" t="str">
        <f>IF(main!AL274="","",ROUND(main!AL274*100,6))</f>
        <v/>
      </c>
      <c r="AA271" s="68" t="str">
        <f>IF(main!AM274="","",ROUND(main!AM274*100,6))</f>
        <v/>
      </c>
      <c r="AB271" s="68" t="str">
        <f>IF(main!AN274="","",ROUND(main!AN274*100,6))</f>
        <v/>
      </c>
      <c r="AC271" s="68" t="str">
        <f>IF(main!AO274="","",ROUND(main!AO274*100,6))</f>
        <v/>
      </c>
      <c r="AD271" s="68" t="str">
        <f>IF(main!AP274="","",ROUND(main!AP274*100,6))</f>
        <v/>
      </c>
      <c r="AE271" s="68" t="str">
        <f>IF(main!AQ274="","",ROUND(main!AQ274*100,6))</f>
        <v/>
      </c>
      <c r="AF271" s="68" t="str">
        <f>IF(main!AR274="","",ROUND(main!AR274*100,6))</f>
        <v/>
      </c>
      <c r="AG271" s="68" t="str">
        <f>IF(main!AS274="","",ROUND(main!AS274*100,6))</f>
        <v/>
      </c>
      <c r="AH271" s="68" t="str">
        <f>IF(main!AT274="","",ROUND(main!AT274*100,6))</f>
        <v/>
      </c>
      <c r="AI271" s="68" t="str">
        <f>IF(main!AU274="","",ROUND(main!AU274*100,6))</f>
        <v/>
      </c>
      <c r="AJ271" s="68" t="str">
        <f>IF(main!AV274="","",ROUND(main!AV274*100,6))</f>
        <v/>
      </c>
      <c r="AK271" s="68" t="str">
        <f>IF(main!AW274="","",ROUND(main!AW274*100,6))</f>
        <v/>
      </c>
      <c r="AL271" s="68" t="str">
        <f>IF(main!AX274="","",ROUND(main!AX274*100,6))</f>
        <v/>
      </c>
      <c r="AM271" s="68" t="str">
        <f>IF(main!AY274="","",ROUND(main!AY274*100,6))</f>
        <v/>
      </c>
      <c r="AN271" s="68" t="str">
        <f>IF(main!AZ274="","",ROUND(main!AZ274*100,6))</f>
        <v/>
      </c>
      <c r="AO271" s="68" t="str">
        <f>IF(main!BA274="","",ROUND(main!BA274*100,6))</f>
        <v/>
      </c>
      <c r="AP271" s="68" t="str">
        <f>IF(main!BB274="","",ROUND(main!BB274*100,6))</f>
        <v/>
      </c>
      <c r="AQ271" s="68" t="str">
        <f>IF(main!BC274="","",ROUND(main!BC274*100,6))</f>
        <v/>
      </c>
      <c r="AR271" s="68" t="str">
        <f>IF(main!BD274="","",ROUND(main!BD274*100,6))</f>
        <v/>
      </c>
      <c r="AS271" s="68" t="str">
        <f>IF(main!BE274="","",ROUND(main!BE274*100,6))</f>
        <v/>
      </c>
      <c r="AT271" s="68" t="str">
        <f>IF(main!BF274="","",ROUND(main!BF274*100,6))</f>
        <v/>
      </c>
      <c r="AU271" s="68" t="str">
        <f>IF(main!BG274="","",ROUND(main!BG274*100,6))</f>
        <v/>
      </c>
      <c r="AV271" s="68" t="str">
        <f>IF(main!BH274="","",ROUND(main!BH274*100,6))</f>
        <v/>
      </c>
      <c r="AW271" s="68" t="str">
        <f>IF(main!BI274="","",ROUND(main!BI274*100,6))</f>
        <v/>
      </c>
      <c r="AX271" s="68" t="str">
        <f>IF(main!BJ274="","",ROUND(main!BJ274*100,6))</f>
        <v/>
      </c>
      <c r="AY271" s="68" t="str">
        <f>IF(main!BK274="","",ROUND(main!BK274*100,6))</f>
        <v/>
      </c>
      <c r="AZ271" s="68" t="str">
        <f>IF(main!BL274="","",ROUND(main!BL274*100,6))</f>
        <v/>
      </c>
      <c r="BA271" s="68" t="str">
        <f>IF(main!BM274="","",ROUND(main!BM274*100,6))</f>
        <v/>
      </c>
      <c r="BB271" s="68" t="str">
        <f>IF(main!BN274="","",ROUND(main!BN274*100,6))</f>
        <v/>
      </c>
      <c r="BC271" s="68" t="str">
        <f>IF(main!BO274="","",ROUND(main!BO274*100,6))</f>
        <v/>
      </c>
      <c r="BD271" s="68" t="str">
        <f>IF(main!BP274="","",ROUND(main!BP274*100,6))</f>
        <v/>
      </c>
      <c r="BE271" s="68" t="str">
        <f>IF(main!BQ274="","",ROUND(main!BQ274*100,6))</f>
        <v/>
      </c>
      <c r="BF271" s="68" t="str">
        <f>IF(main!BR274="","",ROUND(main!BR274*100,6))</f>
        <v/>
      </c>
      <c r="BG271" s="68" t="str">
        <f>IF(main!BS274="","",ROUND(main!BS274*100,6))</f>
        <v/>
      </c>
      <c r="BH271" s="68" t="str">
        <f>IF(main!BT274="","",ROUND(main!BT274*100,6))</f>
        <v/>
      </c>
      <c r="BI271" s="68" t="str">
        <f>IF(main!BU274="","",ROUND(main!BU274*100,6))</f>
        <v/>
      </c>
      <c r="BJ271" s="68" t="str">
        <f>IF(main!BV274="","",ROUND(main!BV274*100,6))</f>
        <v/>
      </c>
      <c r="BK271" s="68" t="str">
        <f>IF(main!BW274="","",ROUND(main!BW274*100,6))</f>
        <v/>
      </c>
      <c r="BL271" s="68" t="str">
        <f>IF(main!BX274="","",ROUND(main!BX274*100,6))</f>
        <v/>
      </c>
      <c r="BM271" s="68" t="str">
        <f>IF(main!BY274="","",ROUND(main!BY274*100,6))</f>
        <v/>
      </c>
      <c r="BN271" s="68" t="str">
        <f>IF(main!BZ274="","",ROUND(main!BZ274*100,6))</f>
        <v/>
      </c>
      <c r="BO271" s="68" t="str">
        <f>IF(main!CA274="","",ROUND(main!CA274*100,6))</f>
        <v/>
      </c>
      <c r="BP271" s="68" t="str">
        <f>IF(main!CB274="","",ROUND(main!CB274*100,6))</f>
        <v/>
      </c>
      <c r="BQ271" s="68" t="str">
        <f>IF(main!CC274="","",ROUND(main!CC274*100,6))</f>
        <v/>
      </c>
      <c r="BR271" s="68" t="str">
        <f>IF(main!CD274="","",ROUND(main!CD274*100,6))</f>
        <v/>
      </c>
      <c r="BS271" s="68" t="str">
        <f>IF(main!CE274="","",ROUND(main!CE274*100,6))</f>
        <v/>
      </c>
      <c r="BT271" s="68" t="str">
        <f>IF(main!CF274="","",ROUND(main!CF274*100,6))</f>
        <v/>
      </c>
      <c r="BU271" s="68" t="str">
        <f>IF(main!CG274="","",ROUND(main!CG274*100,6))</f>
        <v/>
      </c>
      <c r="BV271" s="68" t="str">
        <f>IF(main!CH274="","",ROUND(main!CH274*100,6))</f>
        <v/>
      </c>
      <c r="BW271" s="68" t="str">
        <f>IF(main!CI274="","",ROUND(main!CI274*100,6))</f>
        <v/>
      </c>
      <c r="BX271" s="68" t="str">
        <f>IF(main!CJ274="","",ROUND(main!CJ274*100,6))</f>
        <v/>
      </c>
      <c r="BY271" s="68" t="str">
        <f>IF(main!CK274="","",ROUND(main!CK274*100,6))</f>
        <v/>
      </c>
      <c r="BZ271" s="68" t="str">
        <f>IF(main!CL274="","",ROUND(main!CL274*100,6))</f>
        <v/>
      </c>
      <c r="CA271" s="68" t="str">
        <f>IF(main!CM274="","",ROUND(main!CM274*100,6))</f>
        <v/>
      </c>
      <c r="CB271" s="68" t="str">
        <f>IF(main!CN274="","",ROUND(main!CN274*100,6))</f>
        <v/>
      </c>
      <c r="CC271" s="68" t="str">
        <f>IF(main!CO274="","",ROUND(main!CO274*100,6))</f>
        <v/>
      </c>
    </row>
    <row r="272" spans="1:81" x14ac:dyDescent="0.25">
      <c r="A272" s="65" t="s">
        <v>431</v>
      </c>
      <c r="B272" s="66" t="str">
        <f>main!C275</f>
        <v>3rd Floor</v>
      </c>
      <c r="C272" s="67">
        <f>main!O275</f>
        <v>1300000</v>
      </c>
      <c r="D272" s="65" t="s">
        <v>110</v>
      </c>
      <c r="E272" s="68">
        <f t="shared" si="4"/>
        <v>100.000001</v>
      </c>
      <c r="F272" s="68" t="str">
        <f>IF(main!R275="","",ROUND(main!R275*100,6))</f>
        <v/>
      </c>
      <c r="G272" s="68" t="str">
        <f>IF(main!S275="","",ROUND(main!S275*100,6))</f>
        <v/>
      </c>
      <c r="H272" s="68" t="str">
        <f>IF(main!T275="","",ROUND(main!T275*100,6))</f>
        <v/>
      </c>
      <c r="I272" s="68" t="str">
        <f>IF(main!U275="","",ROUND(main!U275*100,6))</f>
        <v/>
      </c>
      <c r="J272" s="68" t="str">
        <f>IF(main!V275="","",ROUND(main!V275*100,6))</f>
        <v/>
      </c>
      <c r="K272" s="68" t="str">
        <f>IF(main!W275="","",ROUND(main!W275*100,6))</f>
        <v/>
      </c>
      <c r="L272" s="68" t="str">
        <f>IF(main!X275="","",ROUND(main!X275*100,6))</f>
        <v/>
      </c>
      <c r="M272" s="68" t="str">
        <f>IF(main!Y275="","",ROUND(main!Y275*100,6))</f>
        <v/>
      </c>
      <c r="N272" s="68" t="str">
        <f>IF(main!Z275="","",ROUND(main!Z275*100,6))</f>
        <v/>
      </c>
      <c r="O272" s="68" t="str">
        <f>IF(main!AA275="","",ROUND(main!AA275*100,6))</f>
        <v/>
      </c>
      <c r="P272" s="68" t="str">
        <f>IF(main!AB275="","",ROUND(main!AB275*100,6))</f>
        <v/>
      </c>
      <c r="Q272" s="68" t="str">
        <f>IF(main!AC275="","",ROUND(main!AC275*100,6))</f>
        <v/>
      </c>
      <c r="R272" s="68" t="str">
        <f>IF(main!AD275="","",ROUND(main!AD275*100,6))</f>
        <v/>
      </c>
      <c r="S272" s="68" t="str">
        <f>IF(main!AE275="","",ROUND(main!AE275*100,6))</f>
        <v/>
      </c>
      <c r="T272" s="68" t="str">
        <f>IF(main!AF275="","",ROUND(main!AF275*100,6))</f>
        <v/>
      </c>
      <c r="U272" s="68" t="str">
        <f>IF(main!AG275="","",ROUND(main!AG275*100,6))</f>
        <v/>
      </c>
      <c r="V272" s="68" t="str">
        <f>IF(main!AH275="","",ROUND(main!AH275*100,6))</f>
        <v/>
      </c>
      <c r="W272" s="68" t="str">
        <f>IF(main!AI275="","",ROUND(main!AI275*100,6))</f>
        <v/>
      </c>
      <c r="X272" s="68" t="str">
        <f>IF(main!AJ275="","",ROUND(main!AJ275*100,6))</f>
        <v/>
      </c>
      <c r="Y272" s="68" t="str">
        <f>IF(main!AK275="","",ROUND(main!AK275*100,6))</f>
        <v/>
      </c>
      <c r="Z272" s="68" t="str">
        <f>IF(main!AL275="","",ROUND(main!AL275*100,6))</f>
        <v/>
      </c>
      <c r="AA272" s="68" t="str">
        <f>IF(main!AM275="","",ROUND(main!AM275*100,6))</f>
        <v/>
      </c>
      <c r="AB272" s="68" t="str">
        <f>IF(main!AN275="","",ROUND(main!AN275*100,6))</f>
        <v/>
      </c>
      <c r="AC272" s="68" t="str">
        <f>IF(main!AO275="","",ROUND(main!AO275*100,6))</f>
        <v/>
      </c>
      <c r="AD272" s="68" t="str">
        <f>IF(main!AP275="","",ROUND(main!AP275*100,6))</f>
        <v/>
      </c>
      <c r="AE272" s="68" t="str">
        <f>IF(main!AQ275="","",ROUND(main!AQ275*100,6))</f>
        <v/>
      </c>
      <c r="AF272" s="68" t="str">
        <f>IF(main!AR275="","",ROUND(main!AR275*100,6))</f>
        <v/>
      </c>
      <c r="AG272" s="68" t="str">
        <f>IF(main!AS275="","",ROUND(main!AS275*100,6))</f>
        <v/>
      </c>
      <c r="AH272" s="68" t="str">
        <f>IF(main!AT275="","",ROUND(main!AT275*100,6))</f>
        <v/>
      </c>
      <c r="AI272" s="68" t="str">
        <f>IF(main!AU275="","",ROUND(main!AU275*100,6))</f>
        <v/>
      </c>
      <c r="AJ272" s="68" t="str">
        <f>IF(main!AV275="","",ROUND(main!AV275*100,6))</f>
        <v/>
      </c>
      <c r="AK272" s="68" t="str">
        <f>IF(main!AW275="","",ROUND(main!AW275*100,6))</f>
        <v/>
      </c>
      <c r="AL272" s="68" t="str">
        <f>IF(main!AX275="","",ROUND(main!AX275*100,6))</f>
        <v/>
      </c>
      <c r="AM272" s="68" t="str">
        <f>IF(main!AY275="","",ROUND(main!AY275*100,6))</f>
        <v/>
      </c>
      <c r="AN272" s="68" t="str">
        <f>IF(main!AZ275="","",ROUND(main!AZ275*100,6))</f>
        <v/>
      </c>
      <c r="AO272" s="68" t="str">
        <f>IF(main!BA275="","",ROUND(main!BA275*100,6))</f>
        <v/>
      </c>
      <c r="AP272" s="68" t="str">
        <f>IF(main!BB275="","",ROUND(main!BB275*100,6))</f>
        <v/>
      </c>
      <c r="AQ272" s="68" t="str">
        <f>IF(main!BC275="","",ROUND(main!BC275*100,6))</f>
        <v/>
      </c>
      <c r="AR272" s="68" t="str">
        <f>IF(main!BD275="","",ROUND(main!BD275*100,6))</f>
        <v/>
      </c>
      <c r="AS272" s="68" t="str">
        <f>IF(main!BE275="","",ROUND(main!BE275*100,6))</f>
        <v/>
      </c>
      <c r="AT272" s="68" t="str">
        <f>IF(main!BF275="","",ROUND(main!BF275*100,6))</f>
        <v/>
      </c>
      <c r="AU272" s="68" t="str">
        <f>IF(main!BG275="","",ROUND(main!BG275*100,6))</f>
        <v/>
      </c>
      <c r="AV272" s="68" t="str">
        <f>IF(main!BH275="","",ROUND(main!BH275*100,6))</f>
        <v/>
      </c>
      <c r="AW272" s="68" t="str">
        <f>IF(main!BI275="","",ROUND(main!BI275*100,6))</f>
        <v/>
      </c>
      <c r="AX272" s="68" t="str">
        <f>IF(main!BJ275="","",ROUND(main!BJ275*100,6))</f>
        <v/>
      </c>
      <c r="AY272" s="68" t="str">
        <f>IF(main!BK275="","",ROUND(main!BK275*100,6))</f>
        <v/>
      </c>
      <c r="AZ272" s="68" t="str">
        <f>IF(main!BL275="","",ROUND(main!BL275*100,6))</f>
        <v/>
      </c>
      <c r="BA272" s="68" t="str">
        <f>IF(main!BM275="","",ROUND(main!BM275*100,6))</f>
        <v/>
      </c>
      <c r="BB272" s="68" t="str">
        <f>IF(main!BN275="","",ROUND(main!BN275*100,6))</f>
        <v/>
      </c>
      <c r="BC272" s="68" t="str">
        <f>IF(main!BO275="","",ROUND(main!BO275*100,6))</f>
        <v/>
      </c>
      <c r="BD272" s="68">
        <f>IF(main!BP275="","",ROUND(main!BP275*100,6))</f>
        <v>0.36630000000000001</v>
      </c>
      <c r="BE272" s="68">
        <f>IF(main!BQ275="","",ROUND(main!BQ275*100,6))</f>
        <v>2.5641029999999998</v>
      </c>
      <c r="BF272" s="68">
        <f>IF(main!BR275="","",ROUND(main!BR275*100,6))</f>
        <v>2.5641029999999998</v>
      </c>
      <c r="BG272" s="68">
        <f>IF(main!BS275="","",ROUND(main!BS275*100,6))</f>
        <v>2.579555</v>
      </c>
      <c r="BH272" s="68">
        <f>IF(main!BT275="","",ROUND(main!BT275*100,6))</f>
        <v>4.3174669999999997</v>
      </c>
      <c r="BI272" s="68">
        <f>IF(main!BU275="","",ROUND(main!BU275*100,6))</f>
        <v>5.1999469999999999</v>
      </c>
      <c r="BJ272" s="68">
        <f>IF(main!BV275="","",ROUND(main!BV275*100,6))</f>
        <v>5.5818909999999997</v>
      </c>
      <c r="BK272" s="68">
        <f>IF(main!BW275="","",ROUND(main!BW275*100,6))</f>
        <v>5.9258680000000004</v>
      </c>
      <c r="BL272" s="68">
        <f>IF(main!BX275="","",ROUND(main!BX275*100,6))</f>
        <v>5.4746259999999998</v>
      </c>
      <c r="BM272" s="68">
        <f>IF(main!BY275="","",ROUND(main!BY275*100,6))</f>
        <v>5.8342929999999997</v>
      </c>
      <c r="BN272" s="68">
        <f>IF(main!BZ275="","",ROUND(main!BZ275*100,6))</f>
        <v>4.9408649999999996</v>
      </c>
      <c r="BO272" s="68">
        <f>IF(main!CA275="","",ROUND(main!CA275*100,6))</f>
        <v>4.5589209999999998</v>
      </c>
      <c r="BP272" s="68">
        <f>IF(main!CB275="","",ROUND(main!CB275*100,6))</f>
        <v>5.5854299999999997</v>
      </c>
      <c r="BQ272" s="68">
        <f>IF(main!CC275="","",ROUND(main!CC275*100,6))</f>
        <v>8.4718330000000002</v>
      </c>
      <c r="BR272" s="68">
        <f>IF(main!CD275="","",ROUND(main!CD275*100,6))</f>
        <v>4.6524970000000003</v>
      </c>
      <c r="BS272" s="68">
        <f>IF(main!CE275="","",ROUND(main!CE275*100,6))</f>
        <v>5.4622130000000002</v>
      </c>
      <c r="BT272" s="68">
        <f>IF(main!CF275="","",ROUND(main!CF275*100,6))</f>
        <v>5.4622130000000002</v>
      </c>
      <c r="BU272" s="68">
        <f>IF(main!CG275="","",ROUND(main!CG275*100,6))</f>
        <v>2.6282049999999999</v>
      </c>
      <c r="BV272" s="68">
        <f>IF(main!CH275="","",ROUND(main!CH275*100,6))</f>
        <v>2.445055</v>
      </c>
      <c r="BW272" s="68">
        <f>IF(main!CI275="","",ROUND(main!CI275*100,6))</f>
        <v>2.897103</v>
      </c>
      <c r="BX272" s="68">
        <f>IF(main!CJ275="","",ROUND(main!CJ275*100,6))</f>
        <v>8.7412589999999994</v>
      </c>
      <c r="BY272" s="68">
        <f>IF(main!CK275="","",ROUND(main!CK275*100,6))</f>
        <v>3.746254</v>
      </c>
      <c r="BZ272" s="68" t="str">
        <f>IF(main!CL275="","",ROUND(main!CL275*100,6))</f>
        <v/>
      </c>
      <c r="CA272" s="68" t="str">
        <f>IF(main!CM275="","",ROUND(main!CM275*100,6))</f>
        <v/>
      </c>
      <c r="CB272" s="68" t="str">
        <f>IF(main!CN275="","",ROUND(main!CN275*100,6))</f>
        <v/>
      </c>
      <c r="CC272" s="68" t="str">
        <f>IF(main!CO275="","",ROUND(main!CO275*100,6))</f>
        <v/>
      </c>
    </row>
    <row r="273" spans="1:81" x14ac:dyDescent="0.25">
      <c r="A273" s="65" t="s">
        <v>431</v>
      </c>
      <c r="B273" s="66" t="str">
        <f>main!C275</f>
        <v>3rd Floor</v>
      </c>
      <c r="C273" s="67">
        <f>main!O275</f>
        <v>1300000</v>
      </c>
      <c r="D273" s="65" t="s">
        <v>111</v>
      </c>
      <c r="E273" s="68" t="str">
        <f t="shared" si="4"/>
        <v/>
      </c>
      <c r="F273" s="68" t="str">
        <f>IF(main!R276="","",ROUND(main!R276*100,6))</f>
        <v/>
      </c>
      <c r="G273" s="68" t="str">
        <f>IF(main!S276="","",ROUND(main!S276*100,6))</f>
        <v/>
      </c>
      <c r="H273" s="68" t="str">
        <f>IF(main!T276="","",ROUND(main!T276*100,6))</f>
        <v/>
      </c>
      <c r="I273" s="68" t="str">
        <f>IF(main!U276="","",ROUND(main!U276*100,6))</f>
        <v/>
      </c>
      <c r="J273" s="68" t="str">
        <f>IF(main!V276="","",ROUND(main!V276*100,6))</f>
        <v/>
      </c>
      <c r="K273" s="68" t="str">
        <f>IF(main!W276="","",ROUND(main!W276*100,6))</f>
        <v/>
      </c>
      <c r="L273" s="68" t="str">
        <f>IF(main!X276="","",ROUND(main!X276*100,6))</f>
        <v/>
      </c>
      <c r="M273" s="68" t="str">
        <f>IF(main!Y276="","",ROUND(main!Y276*100,6))</f>
        <v/>
      </c>
      <c r="N273" s="68" t="str">
        <f>IF(main!Z276="","",ROUND(main!Z276*100,6))</f>
        <v/>
      </c>
      <c r="O273" s="68" t="str">
        <f>IF(main!AA276="","",ROUND(main!AA276*100,6))</f>
        <v/>
      </c>
      <c r="P273" s="68" t="str">
        <f>IF(main!AB276="","",ROUND(main!AB276*100,6))</f>
        <v/>
      </c>
      <c r="Q273" s="68" t="str">
        <f>IF(main!AC276="","",ROUND(main!AC276*100,6))</f>
        <v/>
      </c>
      <c r="R273" s="68" t="str">
        <f>IF(main!AD276="","",ROUND(main!AD276*100,6))</f>
        <v/>
      </c>
      <c r="S273" s="68" t="str">
        <f>IF(main!AE276="","",ROUND(main!AE276*100,6))</f>
        <v/>
      </c>
      <c r="T273" s="68" t="str">
        <f>IF(main!AF276="","",ROUND(main!AF276*100,6))</f>
        <v/>
      </c>
      <c r="U273" s="68" t="str">
        <f>IF(main!AG276="","",ROUND(main!AG276*100,6))</f>
        <v/>
      </c>
      <c r="V273" s="68" t="str">
        <f>IF(main!AH276="","",ROUND(main!AH276*100,6))</f>
        <v/>
      </c>
      <c r="W273" s="68" t="str">
        <f>IF(main!AI276="","",ROUND(main!AI276*100,6))</f>
        <v/>
      </c>
      <c r="X273" s="68" t="str">
        <f>IF(main!AJ276="","",ROUND(main!AJ276*100,6))</f>
        <v/>
      </c>
      <c r="Y273" s="68" t="str">
        <f>IF(main!AK276="","",ROUND(main!AK276*100,6))</f>
        <v/>
      </c>
      <c r="Z273" s="68" t="str">
        <f>IF(main!AL276="","",ROUND(main!AL276*100,6))</f>
        <v/>
      </c>
      <c r="AA273" s="68" t="str">
        <f>IF(main!AM276="","",ROUND(main!AM276*100,6))</f>
        <v/>
      </c>
      <c r="AB273" s="68" t="str">
        <f>IF(main!AN276="","",ROUND(main!AN276*100,6))</f>
        <v/>
      </c>
      <c r="AC273" s="68" t="str">
        <f>IF(main!AO276="","",ROUND(main!AO276*100,6))</f>
        <v/>
      </c>
      <c r="AD273" s="68" t="str">
        <f>IF(main!AP276="","",ROUND(main!AP276*100,6))</f>
        <v/>
      </c>
      <c r="AE273" s="68" t="str">
        <f>IF(main!AQ276="","",ROUND(main!AQ276*100,6))</f>
        <v/>
      </c>
      <c r="AF273" s="68" t="str">
        <f>IF(main!AR276="","",ROUND(main!AR276*100,6))</f>
        <v/>
      </c>
      <c r="AG273" s="68" t="str">
        <f>IF(main!AS276="","",ROUND(main!AS276*100,6))</f>
        <v/>
      </c>
      <c r="AH273" s="68" t="str">
        <f>IF(main!AT276="","",ROUND(main!AT276*100,6))</f>
        <v/>
      </c>
      <c r="AI273" s="68" t="str">
        <f>IF(main!AU276="","",ROUND(main!AU276*100,6))</f>
        <v/>
      </c>
      <c r="AJ273" s="68" t="str">
        <f>IF(main!AV276="","",ROUND(main!AV276*100,6))</f>
        <v/>
      </c>
      <c r="AK273" s="68" t="str">
        <f>IF(main!AW276="","",ROUND(main!AW276*100,6))</f>
        <v/>
      </c>
      <c r="AL273" s="68" t="str">
        <f>IF(main!AX276="","",ROUND(main!AX276*100,6))</f>
        <v/>
      </c>
      <c r="AM273" s="68" t="str">
        <f>IF(main!AY276="","",ROUND(main!AY276*100,6))</f>
        <v/>
      </c>
      <c r="AN273" s="68" t="str">
        <f>IF(main!AZ276="","",ROUND(main!AZ276*100,6))</f>
        <v/>
      </c>
      <c r="AO273" s="68" t="str">
        <f>IF(main!BA276="","",ROUND(main!BA276*100,6))</f>
        <v/>
      </c>
      <c r="AP273" s="68" t="str">
        <f>IF(main!BB276="","",ROUND(main!BB276*100,6))</f>
        <v/>
      </c>
      <c r="AQ273" s="68" t="str">
        <f>IF(main!BC276="","",ROUND(main!BC276*100,6))</f>
        <v/>
      </c>
      <c r="AR273" s="68" t="str">
        <f>IF(main!BD276="","",ROUND(main!BD276*100,6))</f>
        <v/>
      </c>
      <c r="AS273" s="68" t="str">
        <f>IF(main!BE276="","",ROUND(main!BE276*100,6))</f>
        <v/>
      </c>
      <c r="AT273" s="68" t="str">
        <f>IF(main!BF276="","",ROUND(main!BF276*100,6))</f>
        <v/>
      </c>
      <c r="AU273" s="68" t="str">
        <f>IF(main!BG276="","",ROUND(main!BG276*100,6))</f>
        <v/>
      </c>
      <c r="AV273" s="68" t="str">
        <f>IF(main!BH276="","",ROUND(main!BH276*100,6))</f>
        <v/>
      </c>
      <c r="AW273" s="68" t="str">
        <f>IF(main!BI276="","",ROUND(main!BI276*100,6))</f>
        <v/>
      </c>
      <c r="AX273" s="68" t="str">
        <f>IF(main!BJ276="","",ROUND(main!BJ276*100,6))</f>
        <v/>
      </c>
      <c r="AY273" s="68" t="str">
        <f>IF(main!BK276="","",ROUND(main!BK276*100,6))</f>
        <v/>
      </c>
      <c r="AZ273" s="68" t="str">
        <f>IF(main!BL276="","",ROUND(main!BL276*100,6))</f>
        <v/>
      </c>
      <c r="BA273" s="68" t="str">
        <f>IF(main!BM276="","",ROUND(main!BM276*100,6))</f>
        <v/>
      </c>
      <c r="BB273" s="68" t="str">
        <f>IF(main!BN276="","",ROUND(main!BN276*100,6))</f>
        <v/>
      </c>
      <c r="BC273" s="68" t="str">
        <f>IF(main!BO276="","",ROUND(main!BO276*100,6))</f>
        <v/>
      </c>
      <c r="BD273" s="68" t="str">
        <f>IF(main!BP276="","",ROUND(main!BP276*100,6))</f>
        <v/>
      </c>
      <c r="BE273" s="68" t="str">
        <f>IF(main!BQ276="","",ROUND(main!BQ276*100,6))</f>
        <v/>
      </c>
      <c r="BF273" s="68" t="str">
        <f>IF(main!BR276="","",ROUND(main!BR276*100,6))</f>
        <v/>
      </c>
      <c r="BG273" s="68" t="str">
        <f>IF(main!BS276="","",ROUND(main!BS276*100,6))</f>
        <v/>
      </c>
      <c r="BH273" s="68" t="str">
        <f>IF(main!BT276="","",ROUND(main!BT276*100,6))</f>
        <v/>
      </c>
      <c r="BI273" s="68" t="str">
        <f>IF(main!BU276="","",ROUND(main!BU276*100,6))</f>
        <v/>
      </c>
      <c r="BJ273" s="68" t="str">
        <f>IF(main!BV276="","",ROUND(main!BV276*100,6))</f>
        <v/>
      </c>
      <c r="BK273" s="68" t="str">
        <f>IF(main!BW276="","",ROUND(main!BW276*100,6))</f>
        <v/>
      </c>
      <c r="BL273" s="68" t="str">
        <f>IF(main!BX276="","",ROUND(main!BX276*100,6))</f>
        <v/>
      </c>
      <c r="BM273" s="68" t="str">
        <f>IF(main!BY276="","",ROUND(main!BY276*100,6))</f>
        <v/>
      </c>
      <c r="BN273" s="68" t="str">
        <f>IF(main!BZ276="","",ROUND(main!BZ276*100,6))</f>
        <v/>
      </c>
      <c r="BO273" s="68" t="str">
        <f>IF(main!CA276="","",ROUND(main!CA276*100,6))</f>
        <v/>
      </c>
      <c r="BP273" s="68" t="str">
        <f>IF(main!CB276="","",ROUND(main!CB276*100,6))</f>
        <v/>
      </c>
      <c r="BQ273" s="68" t="str">
        <f>IF(main!CC276="","",ROUND(main!CC276*100,6))</f>
        <v/>
      </c>
      <c r="BR273" s="68" t="str">
        <f>IF(main!CD276="","",ROUND(main!CD276*100,6))</f>
        <v/>
      </c>
      <c r="BS273" s="68" t="str">
        <f>IF(main!CE276="","",ROUND(main!CE276*100,6))</f>
        <v/>
      </c>
      <c r="BT273" s="68" t="str">
        <f>IF(main!CF276="","",ROUND(main!CF276*100,6))</f>
        <v/>
      </c>
      <c r="BU273" s="68" t="str">
        <f>IF(main!CG276="","",ROUND(main!CG276*100,6))</f>
        <v/>
      </c>
      <c r="BV273" s="68" t="str">
        <f>IF(main!CH276="","",ROUND(main!CH276*100,6))</f>
        <v/>
      </c>
      <c r="BW273" s="68" t="str">
        <f>IF(main!CI276="","",ROUND(main!CI276*100,6))</f>
        <v/>
      </c>
      <c r="BX273" s="68" t="str">
        <f>IF(main!CJ276="","",ROUND(main!CJ276*100,6))</f>
        <v/>
      </c>
      <c r="BY273" s="68" t="str">
        <f>IF(main!CK276="","",ROUND(main!CK276*100,6))</f>
        <v/>
      </c>
      <c r="BZ273" s="68" t="str">
        <f>IF(main!CL276="","",ROUND(main!CL276*100,6))</f>
        <v/>
      </c>
      <c r="CA273" s="68" t="str">
        <f>IF(main!CM276="","",ROUND(main!CM276*100,6))</f>
        <v/>
      </c>
      <c r="CB273" s="68" t="str">
        <f>IF(main!CN276="","",ROUND(main!CN276*100,6))</f>
        <v/>
      </c>
      <c r="CC273" s="68" t="str">
        <f>IF(main!CO276="","",ROUND(main!CO276*100,6))</f>
        <v/>
      </c>
    </row>
    <row r="274" spans="1:81" x14ac:dyDescent="0.25">
      <c r="A274" s="65" t="s">
        <v>432</v>
      </c>
      <c r="B274" s="66" t="str">
        <f>main!C277</f>
        <v>Wall | Wall Fn.</v>
      </c>
      <c r="C274" s="67">
        <f>main!O277</f>
        <v>300000</v>
      </c>
      <c r="D274" s="65" t="s">
        <v>110</v>
      </c>
      <c r="E274" s="68">
        <f t="shared" si="4"/>
        <v>100</v>
      </c>
      <c r="F274" s="68" t="str">
        <f>IF(main!R277="","",ROUND(main!R277*100,6))</f>
        <v/>
      </c>
      <c r="G274" s="68" t="str">
        <f>IF(main!S277="","",ROUND(main!S277*100,6))</f>
        <v/>
      </c>
      <c r="H274" s="68" t="str">
        <f>IF(main!T277="","",ROUND(main!T277*100,6))</f>
        <v/>
      </c>
      <c r="I274" s="68" t="str">
        <f>IF(main!U277="","",ROUND(main!U277*100,6))</f>
        <v/>
      </c>
      <c r="J274" s="68" t="str">
        <f>IF(main!V277="","",ROUND(main!V277*100,6))</f>
        <v/>
      </c>
      <c r="K274" s="68" t="str">
        <f>IF(main!W277="","",ROUND(main!W277*100,6))</f>
        <v/>
      </c>
      <c r="L274" s="68" t="str">
        <f>IF(main!X277="","",ROUND(main!X277*100,6))</f>
        <v/>
      </c>
      <c r="M274" s="68" t="str">
        <f>IF(main!Y277="","",ROUND(main!Y277*100,6))</f>
        <v/>
      </c>
      <c r="N274" s="68" t="str">
        <f>IF(main!Z277="","",ROUND(main!Z277*100,6))</f>
        <v/>
      </c>
      <c r="O274" s="68" t="str">
        <f>IF(main!AA277="","",ROUND(main!AA277*100,6))</f>
        <v/>
      </c>
      <c r="P274" s="68" t="str">
        <f>IF(main!AB277="","",ROUND(main!AB277*100,6))</f>
        <v/>
      </c>
      <c r="Q274" s="68" t="str">
        <f>IF(main!AC277="","",ROUND(main!AC277*100,6))</f>
        <v/>
      </c>
      <c r="R274" s="68" t="str">
        <f>IF(main!AD277="","",ROUND(main!AD277*100,6))</f>
        <v/>
      </c>
      <c r="S274" s="68" t="str">
        <f>IF(main!AE277="","",ROUND(main!AE277*100,6))</f>
        <v/>
      </c>
      <c r="T274" s="68" t="str">
        <f>IF(main!AF277="","",ROUND(main!AF277*100,6))</f>
        <v/>
      </c>
      <c r="U274" s="68" t="str">
        <f>IF(main!AG277="","",ROUND(main!AG277*100,6))</f>
        <v/>
      </c>
      <c r="V274" s="68" t="str">
        <f>IF(main!AH277="","",ROUND(main!AH277*100,6))</f>
        <v/>
      </c>
      <c r="W274" s="68" t="str">
        <f>IF(main!AI277="","",ROUND(main!AI277*100,6))</f>
        <v/>
      </c>
      <c r="X274" s="68" t="str">
        <f>IF(main!AJ277="","",ROUND(main!AJ277*100,6))</f>
        <v/>
      </c>
      <c r="Y274" s="68" t="str">
        <f>IF(main!AK277="","",ROUND(main!AK277*100,6))</f>
        <v/>
      </c>
      <c r="Z274" s="68" t="str">
        <f>IF(main!AL277="","",ROUND(main!AL277*100,6))</f>
        <v/>
      </c>
      <c r="AA274" s="68" t="str">
        <f>IF(main!AM277="","",ROUND(main!AM277*100,6))</f>
        <v/>
      </c>
      <c r="AB274" s="68" t="str">
        <f>IF(main!AN277="","",ROUND(main!AN277*100,6))</f>
        <v/>
      </c>
      <c r="AC274" s="68" t="str">
        <f>IF(main!AO277="","",ROUND(main!AO277*100,6))</f>
        <v/>
      </c>
      <c r="AD274" s="68" t="str">
        <f>IF(main!AP277="","",ROUND(main!AP277*100,6))</f>
        <v/>
      </c>
      <c r="AE274" s="68" t="str">
        <f>IF(main!AQ277="","",ROUND(main!AQ277*100,6))</f>
        <v/>
      </c>
      <c r="AF274" s="68" t="str">
        <f>IF(main!AR277="","",ROUND(main!AR277*100,6))</f>
        <v/>
      </c>
      <c r="AG274" s="68" t="str">
        <f>IF(main!AS277="","",ROUND(main!AS277*100,6))</f>
        <v/>
      </c>
      <c r="AH274" s="68" t="str">
        <f>IF(main!AT277="","",ROUND(main!AT277*100,6))</f>
        <v/>
      </c>
      <c r="AI274" s="68" t="str">
        <f>IF(main!AU277="","",ROUND(main!AU277*100,6))</f>
        <v/>
      </c>
      <c r="AJ274" s="68" t="str">
        <f>IF(main!AV277="","",ROUND(main!AV277*100,6))</f>
        <v/>
      </c>
      <c r="AK274" s="68" t="str">
        <f>IF(main!AW277="","",ROUND(main!AW277*100,6))</f>
        <v/>
      </c>
      <c r="AL274" s="68" t="str">
        <f>IF(main!AX277="","",ROUND(main!AX277*100,6))</f>
        <v/>
      </c>
      <c r="AM274" s="68" t="str">
        <f>IF(main!AY277="","",ROUND(main!AY277*100,6))</f>
        <v/>
      </c>
      <c r="AN274" s="68" t="str">
        <f>IF(main!AZ277="","",ROUND(main!AZ277*100,6))</f>
        <v/>
      </c>
      <c r="AO274" s="68" t="str">
        <f>IF(main!BA277="","",ROUND(main!BA277*100,6))</f>
        <v/>
      </c>
      <c r="AP274" s="68" t="str">
        <f>IF(main!BB277="","",ROUND(main!BB277*100,6))</f>
        <v/>
      </c>
      <c r="AQ274" s="68" t="str">
        <f>IF(main!BC277="","",ROUND(main!BC277*100,6))</f>
        <v/>
      </c>
      <c r="AR274" s="68" t="str">
        <f>IF(main!BD277="","",ROUND(main!BD277*100,6))</f>
        <v/>
      </c>
      <c r="AS274" s="68" t="str">
        <f>IF(main!BE277="","",ROUND(main!BE277*100,6))</f>
        <v/>
      </c>
      <c r="AT274" s="68" t="str">
        <f>IF(main!BF277="","",ROUND(main!BF277*100,6))</f>
        <v/>
      </c>
      <c r="AU274" s="68" t="str">
        <f>IF(main!BG277="","",ROUND(main!BG277*100,6))</f>
        <v/>
      </c>
      <c r="AV274" s="68" t="str">
        <f>IF(main!BH277="","",ROUND(main!BH277*100,6))</f>
        <v/>
      </c>
      <c r="AW274" s="68" t="str">
        <f>IF(main!BI277="","",ROUND(main!BI277*100,6))</f>
        <v/>
      </c>
      <c r="AX274" s="68" t="str">
        <f>IF(main!BJ277="","",ROUND(main!BJ277*100,6))</f>
        <v/>
      </c>
      <c r="AY274" s="68" t="str">
        <f>IF(main!BK277="","",ROUND(main!BK277*100,6))</f>
        <v/>
      </c>
      <c r="AZ274" s="68" t="str">
        <f>IF(main!BL277="","",ROUND(main!BL277*100,6))</f>
        <v/>
      </c>
      <c r="BA274" s="68" t="str">
        <f>IF(main!BM277="","",ROUND(main!BM277*100,6))</f>
        <v/>
      </c>
      <c r="BB274" s="68" t="str">
        <f>IF(main!BN277="","",ROUND(main!BN277*100,6))</f>
        <v/>
      </c>
      <c r="BC274" s="68" t="str">
        <f>IF(main!BO277="","",ROUND(main!BO277*100,6))</f>
        <v/>
      </c>
      <c r="BD274" s="68">
        <f>IF(main!BP277="","",ROUND(main!BP277*100,6))</f>
        <v>1.587302</v>
      </c>
      <c r="BE274" s="68">
        <f>IF(main!BQ277="","",ROUND(main!BQ277*100,6))</f>
        <v>11.111110999999999</v>
      </c>
      <c r="BF274" s="68">
        <f>IF(main!BR277="","",ROUND(main!BR277*100,6))</f>
        <v>11.111110999999999</v>
      </c>
      <c r="BG274" s="68">
        <f>IF(main!BS277="","",ROUND(main!BS277*100,6))</f>
        <v>9.5238099999999992</v>
      </c>
      <c r="BH274" s="68">
        <f>IF(main!BT277="","",ROUND(main!BT277*100,6))</f>
        <v>6.4102560000000004</v>
      </c>
      <c r="BI274" s="68">
        <f>IF(main!BU277="","",ROUND(main!BU277*100,6))</f>
        <v>8.9743589999999998</v>
      </c>
      <c r="BJ274" s="68">
        <f>IF(main!BV277="","",ROUND(main!BV277*100,6))</f>
        <v>8.9743589999999998</v>
      </c>
      <c r="BK274" s="68">
        <f>IF(main!BW277="","",ROUND(main!BW277*100,6))</f>
        <v>8.9743589999999998</v>
      </c>
      <c r="BL274" s="68">
        <f>IF(main!BX277="","",ROUND(main!BX277*100,6))</f>
        <v>6.4102560000000004</v>
      </c>
      <c r="BM274" s="68">
        <f>IF(main!BY277="","",ROUND(main!BY277*100,6))</f>
        <v>8.9743589999999998</v>
      </c>
      <c r="BN274" s="68">
        <f>IF(main!BZ277="","",ROUND(main!BZ277*100,6))</f>
        <v>8.9743589999999998</v>
      </c>
      <c r="BO274" s="68">
        <f>IF(main!CA277="","",ROUND(main!CA277*100,6))</f>
        <v>8.9743589999999998</v>
      </c>
      <c r="BP274" s="68" t="str">
        <f>IF(main!CB277="","",ROUND(main!CB277*100,6))</f>
        <v/>
      </c>
      <c r="BQ274" s="68" t="str">
        <f>IF(main!CC277="","",ROUND(main!CC277*100,6))</f>
        <v/>
      </c>
      <c r="BR274" s="68" t="str">
        <f>IF(main!CD277="","",ROUND(main!CD277*100,6))</f>
        <v/>
      </c>
      <c r="BS274" s="68" t="str">
        <f>IF(main!CE277="","",ROUND(main!CE277*100,6))</f>
        <v/>
      </c>
      <c r="BT274" s="68" t="str">
        <f>IF(main!CF277="","",ROUND(main!CF277*100,6))</f>
        <v/>
      </c>
      <c r="BU274" s="68" t="str">
        <f>IF(main!CG277="","",ROUND(main!CG277*100,6))</f>
        <v/>
      </c>
      <c r="BV274" s="68" t="str">
        <f>IF(main!CH277="","",ROUND(main!CH277*100,6))</f>
        <v/>
      </c>
      <c r="BW274" s="68" t="str">
        <f>IF(main!CI277="","",ROUND(main!CI277*100,6))</f>
        <v/>
      </c>
      <c r="BX274" s="68" t="str">
        <f>IF(main!CJ277="","",ROUND(main!CJ277*100,6))</f>
        <v/>
      </c>
      <c r="BY274" s="68" t="str">
        <f>IF(main!CK277="","",ROUND(main!CK277*100,6))</f>
        <v/>
      </c>
      <c r="BZ274" s="68" t="str">
        <f>IF(main!CL277="","",ROUND(main!CL277*100,6))</f>
        <v/>
      </c>
      <c r="CA274" s="68" t="str">
        <f>IF(main!CM277="","",ROUND(main!CM277*100,6))</f>
        <v/>
      </c>
      <c r="CB274" s="68" t="str">
        <f>IF(main!CN277="","",ROUND(main!CN277*100,6))</f>
        <v/>
      </c>
      <c r="CC274" s="68" t="str">
        <f>IF(main!CO277="","",ROUND(main!CO277*100,6))</f>
        <v/>
      </c>
    </row>
    <row r="275" spans="1:81" x14ac:dyDescent="0.25">
      <c r="A275" s="65" t="s">
        <v>432</v>
      </c>
      <c r="B275" s="66" t="str">
        <f>main!C277</f>
        <v>Wall | Wall Fn.</v>
      </c>
      <c r="C275" s="67">
        <f>main!O277</f>
        <v>300000</v>
      </c>
      <c r="D275" s="65" t="s">
        <v>111</v>
      </c>
      <c r="E275" s="68" t="str">
        <f t="shared" si="4"/>
        <v/>
      </c>
      <c r="F275" s="68" t="str">
        <f>IF(main!R278="","",ROUND(main!R278*100,6))</f>
        <v/>
      </c>
      <c r="G275" s="68" t="str">
        <f>IF(main!S278="","",ROUND(main!S278*100,6))</f>
        <v/>
      </c>
      <c r="H275" s="68" t="str">
        <f>IF(main!T278="","",ROUND(main!T278*100,6))</f>
        <v/>
      </c>
      <c r="I275" s="68" t="str">
        <f>IF(main!U278="","",ROUND(main!U278*100,6))</f>
        <v/>
      </c>
      <c r="J275" s="68" t="str">
        <f>IF(main!V278="","",ROUND(main!V278*100,6))</f>
        <v/>
      </c>
      <c r="K275" s="68" t="str">
        <f>IF(main!W278="","",ROUND(main!W278*100,6))</f>
        <v/>
      </c>
      <c r="L275" s="68" t="str">
        <f>IF(main!X278="","",ROUND(main!X278*100,6))</f>
        <v/>
      </c>
      <c r="M275" s="68" t="str">
        <f>IF(main!Y278="","",ROUND(main!Y278*100,6))</f>
        <v/>
      </c>
      <c r="N275" s="68" t="str">
        <f>IF(main!Z278="","",ROUND(main!Z278*100,6))</f>
        <v/>
      </c>
      <c r="O275" s="68" t="str">
        <f>IF(main!AA278="","",ROUND(main!AA278*100,6))</f>
        <v/>
      </c>
      <c r="P275" s="68" t="str">
        <f>IF(main!AB278="","",ROUND(main!AB278*100,6))</f>
        <v/>
      </c>
      <c r="Q275" s="68" t="str">
        <f>IF(main!AC278="","",ROUND(main!AC278*100,6))</f>
        <v/>
      </c>
      <c r="R275" s="68" t="str">
        <f>IF(main!AD278="","",ROUND(main!AD278*100,6))</f>
        <v/>
      </c>
      <c r="S275" s="68" t="str">
        <f>IF(main!AE278="","",ROUND(main!AE278*100,6))</f>
        <v/>
      </c>
      <c r="T275" s="68" t="str">
        <f>IF(main!AF278="","",ROUND(main!AF278*100,6))</f>
        <v/>
      </c>
      <c r="U275" s="68" t="str">
        <f>IF(main!AG278="","",ROUND(main!AG278*100,6))</f>
        <v/>
      </c>
      <c r="V275" s="68" t="str">
        <f>IF(main!AH278="","",ROUND(main!AH278*100,6))</f>
        <v/>
      </c>
      <c r="W275" s="68" t="str">
        <f>IF(main!AI278="","",ROUND(main!AI278*100,6))</f>
        <v/>
      </c>
      <c r="X275" s="68" t="str">
        <f>IF(main!AJ278="","",ROUND(main!AJ278*100,6))</f>
        <v/>
      </c>
      <c r="Y275" s="68" t="str">
        <f>IF(main!AK278="","",ROUND(main!AK278*100,6))</f>
        <v/>
      </c>
      <c r="Z275" s="68" t="str">
        <f>IF(main!AL278="","",ROUND(main!AL278*100,6))</f>
        <v/>
      </c>
      <c r="AA275" s="68" t="str">
        <f>IF(main!AM278="","",ROUND(main!AM278*100,6))</f>
        <v/>
      </c>
      <c r="AB275" s="68" t="str">
        <f>IF(main!AN278="","",ROUND(main!AN278*100,6))</f>
        <v/>
      </c>
      <c r="AC275" s="68" t="str">
        <f>IF(main!AO278="","",ROUND(main!AO278*100,6))</f>
        <v/>
      </c>
      <c r="AD275" s="68" t="str">
        <f>IF(main!AP278="","",ROUND(main!AP278*100,6))</f>
        <v/>
      </c>
      <c r="AE275" s="68" t="str">
        <f>IF(main!AQ278="","",ROUND(main!AQ278*100,6))</f>
        <v/>
      </c>
      <c r="AF275" s="68" t="str">
        <f>IF(main!AR278="","",ROUND(main!AR278*100,6))</f>
        <v/>
      </c>
      <c r="AG275" s="68" t="str">
        <f>IF(main!AS278="","",ROUND(main!AS278*100,6))</f>
        <v/>
      </c>
      <c r="AH275" s="68" t="str">
        <f>IF(main!AT278="","",ROUND(main!AT278*100,6))</f>
        <v/>
      </c>
      <c r="AI275" s="68" t="str">
        <f>IF(main!AU278="","",ROUND(main!AU278*100,6))</f>
        <v/>
      </c>
      <c r="AJ275" s="68" t="str">
        <f>IF(main!AV278="","",ROUND(main!AV278*100,6))</f>
        <v/>
      </c>
      <c r="AK275" s="68" t="str">
        <f>IF(main!AW278="","",ROUND(main!AW278*100,6))</f>
        <v/>
      </c>
      <c r="AL275" s="68" t="str">
        <f>IF(main!AX278="","",ROUND(main!AX278*100,6))</f>
        <v/>
      </c>
      <c r="AM275" s="68" t="str">
        <f>IF(main!AY278="","",ROUND(main!AY278*100,6))</f>
        <v/>
      </c>
      <c r="AN275" s="68" t="str">
        <f>IF(main!AZ278="","",ROUND(main!AZ278*100,6))</f>
        <v/>
      </c>
      <c r="AO275" s="68" t="str">
        <f>IF(main!BA278="","",ROUND(main!BA278*100,6))</f>
        <v/>
      </c>
      <c r="AP275" s="68" t="str">
        <f>IF(main!BB278="","",ROUND(main!BB278*100,6))</f>
        <v/>
      </c>
      <c r="AQ275" s="68" t="str">
        <f>IF(main!BC278="","",ROUND(main!BC278*100,6))</f>
        <v/>
      </c>
      <c r="AR275" s="68" t="str">
        <f>IF(main!BD278="","",ROUND(main!BD278*100,6))</f>
        <v/>
      </c>
      <c r="AS275" s="68" t="str">
        <f>IF(main!BE278="","",ROUND(main!BE278*100,6))</f>
        <v/>
      </c>
      <c r="AT275" s="68" t="str">
        <f>IF(main!BF278="","",ROUND(main!BF278*100,6))</f>
        <v/>
      </c>
      <c r="AU275" s="68" t="str">
        <f>IF(main!BG278="","",ROUND(main!BG278*100,6))</f>
        <v/>
      </c>
      <c r="AV275" s="68" t="str">
        <f>IF(main!BH278="","",ROUND(main!BH278*100,6))</f>
        <v/>
      </c>
      <c r="AW275" s="68" t="str">
        <f>IF(main!BI278="","",ROUND(main!BI278*100,6))</f>
        <v/>
      </c>
      <c r="AX275" s="68" t="str">
        <f>IF(main!BJ278="","",ROUND(main!BJ278*100,6))</f>
        <v/>
      </c>
      <c r="AY275" s="68" t="str">
        <f>IF(main!BK278="","",ROUND(main!BK278*100,6))</f>
        <v/>
      </c>
      <c r="AZ275" s="68" t="str">
        <f>IF(main!BL278="","",ROUND(main!BL278*100,6))</f>
        <v/>
      </c>
      <c r="BA275" s="68" t="str">
        <f>IF(main!BM278="","",ROUND(main!BM278*100,6))</f>
        <v/>
      </c>
      <c r="BB275" s="68" t="str">
        <f>IF(main!BN278="","",ROUND(main!BN278*100,6))</f>
        <v/>
      </c>
      <c r="BC275" s="68" t="str">
        <f>IF(main!BO278="","",ROUND(main!BO278*100,6))</f>
        <v/>
      </c>
      <c r="BD275" s="68" t="str">
        <f>IF(main!BP278="","",ROUND(main!BP278*100,6))</f>
        <v/>
      </c>
      <c r="BE275" s="68" t="str">
        <f>IF(main!BQ278="","",ROUND(main!BQ278*100,6))</f>
        <v/>
      </c>
      <c r="BF275" s="68" t="str">
        <f>IF(main!BR278="","",ROUND(main!BR278*100,6))</f>
        <v/>
      </c>
      <c r="BG275" s="68" t="str">
        <f>IF(main!BS278="","",ROUND(main!BS278*100,6))</f>
        <v/>
      </c>
      <c r="BH275" s="68" t="str">
        <f>IF(main!BT278="","",ROUND(main!BT278*100,6))</f>
        <v/>
      </c>
      <c r="BI275" s="68" t="str">
        <f>IF(main!BU278="","",ROUND(main!BU278*100,6))</f>
        <v/>
      </c>
      <c r="BJ275" s="68" t="str">
        <f>IF(main!BV278="","",ROUND(main!BV278*100,6))</f>
        <v/>
      </c>
      <c r="BK275" s="68" t="str">
        <f>IF(main!BW278="","",ROUND(main!BW278*100,6))</f>
        <v/>
      </c>
      <c r="BL275" s="68" t="str">
        <f>IF(main!BX278="","",ROUND(main!BX278*100,6))</f>
        <v/>
      </c>
      <c r="BM275" s="68" t="str">
        <f>IF(main!BY278="","",ROUND(main!BY278*100,6))</f>
        <v/>
      </c>
      <c r="BN275" s="68" t="str">
        <f>IF(main!BZ278="","",ROUND(main!BZ278*100,6))</f>
        <v/>
      </c>
      <c r="BO275" s="68" t="str">
        <f>IF(main!CA278="","",ROUND(main!CA278*100,6))</f>
        <v/>
      </c>
      <c r="BP275" s="68" t="str">
        <f>IF(main!CB278="","",ROUND(main!CB278*100,6))</f>
        <v/>
      </c>
      <c r="BQ275" s="68" t="str">
        <f>IF(main!CC278="","",ROUND(main!CC278*100,6))</f>
        <v/>
      </c>
      <c r="BR275" s="68" t="str">
        <f>IF(main!CD278="","",ROUND(main!CD278*100,6))</f>
        <v/>
      </c>
      <c r="BS275" s="68" t="str">
        <f>IF(main!CE278="","",ROUND(main!CE278*100,6))</f>
        <v/>
      </c>
      <c r="BT275" s="68" t="str">
        <f>IF(main!CF278="","",ROUND(main!CF278*100,6))</f>
        <v/>
      </c>
      <c r="BU275" s="68" t="str">
        <f>IF(main!CG278="","",ROUND(main!CG278*100,6))</f>
        <v/>
      </c>
      <c r="BV275" s="68" t="str">
        <f>IF(main!CH278="","",ROUND(main!CH278*100,6))</f>
        <v/>
      </c>
      <c r="BW275" s="68" t="str">
        <f>IF(main!CI278="","",ROUND(main!CI278*100,6))</f>
        <v/>
      </c>
      <c r="BX275" s="68" t="str">
        <f>IF(main!CJ278="","",ROUND(main!CJ278*100,6))</f>
        <v/>
      </c>
      <c r="BY275" s="68" t="str">
        <f>IF(main!CK278="","",ROUND(main!CK278*100,6))</f>
        <v/>
      </c>
      <c r="BZ275" s="68" t="str">
        <f>IF(main!CL278="","",ROUND(main!CL278*100,6))</f>
        <v/>
      </c>
      <c r="CA275" s="68" t="str">
        <f>IF(main!CM278="","",ROUND(main!CM278*100,6))</f>
        <v/>
      </c>
      <c r="CB275" s="68" t="str">
        <f>IF(main!CN278="","",ROUND(main!CN278*100,6))</f>
        <v/>
      </c>
      <c r="CC275" s="68" t="str">
        <f>IF(main!CO278="","",ROUND(main!CO278*100,6))</f>
        <v/>
      </c>
    </row>
    <row r="276" spans="1:81" x14ac:dyDescent="0.25">
      <c r="A276" s="65" t="s">
        <v>433</v>
      </c>
      <c r="B276" s="66" t="str">
        <f>main!C279</f>
        <v>งานก่ออิฐมวลเบา ฉาบเรียบ</v>
      </c>
      <c r="C276" s="67">
        <f>main!O279</f>
        <v>100000</v>
      </c>
      <c r="D276" s="65" t="s">
        <v>110</v>
      </c>
      <c r="E276" s="68">
        <f t="shared" si="4"/>
        <v>100</v>
      </c>
      <c r="F276" s="68" t="str">
        <f>IF(main!R279="","",ROUND(main!R279*100,6))</f>
        <v/>
      </c>
      <c r="G276" s="68" t="str">
        <f>IF(main!S279="","",ROUND(main!S279*100,6))</f>
        <v/>
      </c>
      <c r="H276" s="68" t="str">
        <f>IF(main!T279="","",ROUND(main!T279*100,6))</f>
        <v/>
      </c>
      <c r="I276" s="68" t="str">
        <f>IF(main!U279="","",ROUND(main!U279*100,6))</f>
        <v/>
      </c>
      <c r="J276" s="68" t="str">
        <f>IF(main!V279="","",ROUND(main!V279*100,6))</f>
        <v/>
      </c>
      <c r="K276" s="68" t="str">
        <f>IF(main!W279="","",ROUND(main!W279*100,6))</f>
        <v/>
      </c>
      <c r="L276" s="68" t="str">
        <f>IF(main!X279="","",ROUND(main!X279*100,6))</f>
        <v/>
      </c>
      <c r="M276" s="68" t="str">
        <f>IF(main!Y279="","",ROUND(main!Y279*100,6))</f>
        <v/>
      </c>
      <c r="N276" s="68" t="str">
        <f>IF(main!Z279="","",ROUND(main!Z279*100,6))</f>
        <v/>
      </c>
      <c r="O276" s="68" t="str">
        <f>IF(main!AA279="","",ROUND(main!AA279*100,6))</f>
        <v/>
      </c>
      <c r="P276" s="68" t="str">
        <f>IF(main!AB279="","",ROUND(main!AB279*100,6))</f>
        <v/>
      </c>
      <c r="Q276" s="68" t="str">
        <f>IF(main!AC279="","",ROUND(main!AC279*100,6))</f>
        <v/>
      </c>
      <c r="R276" s="68" t="str">
        <f>IF(main!AD279="","",ROUND(main!AD279*100,6))</f>
        <v/>
      </c>
      <c r="S276" s="68" t="str">
        <f>IF(main!AE279="","",ROUND(main!AE279*100,6))</f>
        <v/>
      </c>
      <c r="T276" s="68" t="str">
        <f>IF(main!AF279="","",ROUND(main!AF279*100,6))</f>
        <v/>
      </c>
      <c r="U276" s="68" t="str">
        <f>IF(main!AG279="","",ROUND(main!AG279*100,6))</f>
        <v/>
      </c>
      <c r="V276" s="68" t="str">
        <f>IF(main!AH279="","",ROUND(main!AH279*100,6))</f>
        <v/>
      </c>
      <c r="W276" s="68" t="str">
        <f>IF(main!AI279="","",ROUND(main!AI279*100,6))</f>
        <v/>
      </c>
      <c r="X276" s="68" t="str">
        <f>IF(main!AJ279="","",ROUND(main!AJ279*100,6))</f>
        <v/>
      </c>
      <c r="Y276" s="68" t="str">
        <f>IF(main!AK279="","",ROUND(main!AK279*100,6))</f>
        <v/>
      </c>
      <c r="Z276" s="68" t="str">
        <f>IF(main!AL279="","",ROUND(main!AL279*100,6))</f>
        <v/>
      </c>
      <c r="AA276" s="68" t="str">
        <f>IF(main!AM279="","",ROUND(main!AM279*100,6))</f>
        <v/>
      </c>
      <c r="AB276" s="68" t="str">
        <f>IF(main!AN279="","",ROUND(main!AN279*100,6))</f>
        <v/>
      </c>
      <c r="AC276" s="68" t="str">
        <f>IF(main!AO279="","",ROUND(main!AO279*100,6))</f>
        <v/>
      </c>
      <c r="AD276" s="68" t="str">
        <f>IF(main!AP279="","",ROUND(main!AP279*100,6))</f>
        <v/>
      </c>
      <c r="AE276" s="68" t="str">
        <f>IF(main!AQ279="","",ROUND(main!AQ279*100,6))</f>
        <v/>
      </c>
      <c r="AF276" s="68" t="str">
        <f>IF(main!AR279="","",ROUND(main!AR279*100,6))</f>
        <v/>
      </c>
      <c r="AG276" s="68" t="str">
        <f>IF(main!AS279="","",ROUND(main!AS279*100,6))</f>
        <v/>
      </c>
      <c r="AH276" s="68" t="str">
        <f>IF(main!AT279="","",ROUND(main!AT279*100,6))</f>
        <v/>
      </c>
      <c r="AI276" s="68" t="str">
        <f>IF(main!AU279="","",ROUND(main!AU279*100,6))</f>
        <v/>
      </c>
      <c r="AJ276" s="68" t="str">
        <f>IF(main!AV279="","",ROUND(main!AV279*100,6))</f>
        <v/>
      </c>
      <c r="AK276" s="68" t="str">
        <f>IF(main!AW279="","",ROUND(main!AW279*100,6))</f>
        <v/>
      </c>
      <c r="AL276" s="68" t="str">
        <f>IF(main!AX279="","",ROUND(main!AX279*100,6))</f>
        <v/>
      </c>
      <c r="AM276" s="68" t="str">
        <f>IF(main!AY279="","",ROUND(main!AY279*100,6))</f>
        <v/>
      </c>
      <c r="AN276" s="68" t="str">
        <f>IF(main!AZ279="","",ROUND(main!AZ279*100,6))</f>
        <v/>
      </c>
      <c r="AO276" s="68" t="str">
        <f>IF(main!BA279="","",ROUND(main!BA279*100,6))</f>
        <v/>
      </c>
      <c r="AP276" s="68" t="str">
        <f>IF(main!BB279="","",ROUND(main!BB279*100,6))</f>
        <v/>
      </c>
      <c r="AQ276" s="68" t="str">
        <f>IF(main!BC279="","",ROUND(main!BC279*100,6))</f>
        <v/>
      </c>
      <c r="AR276" s="68" t="str">
        <f>IF(main!BD279="","",ROUND(main!BD279*100,6))</f>
        <v/>
      </c>
      <c r="AS276" s="68" t="str">
        <f>IF(main!BE279="","",ROUND(main!BE279*100,6))</f>
        <v/>
      </c>
      <c r="AT276" s="68" t="str">
        <f>IF(main!BF279="","",ROUND(main!BF279*100,6))</f>
        <v/>
      </c>
      <c r="AU276" s="68" t="str">
        <f>IF(main!BG279="","",ROUND(main!BG279*100,6))</f>
        <v/>
      </c>
      <c r="AV276" s="68" t="str">
        <f>IF(main!BH279="","",ROUND(main!BH279*100,6))</f>
        <v/>
      </c>
      <c r="AW276" s="68" t="str">
        <f>IF(main!BI279="","",ROUND(main!BI279*100,6))</f>
        <v/>
      </c>
      <c r="AX276" s="68" t="str">
        <f>IF(main!BJ279="","",ROUND(main!BJ279*100,6))</f>
        <v/>
      </c>
      <c r="AY276" s="68" t="str">
        <f>IF(main!BK279="","",ROUND(main!BK279*100,6))</f>
        <v/>
      </c>
      <c r="AZ276" s="68" t="str">
        <f>IF(main!BL279="","",ROUND(main!BL279*100,6))</f>
        <v/>
      </c>
      <c r="BA276" s="68" t="str">
        <f>IF(main!BM279="","",ROUND(main!BM279*100,6))</f>
        <v/>
      </c>
      <c r="BB276" s="68" t="str">
        <f>IF(main!BN279="","",ROUND(main!BN279*100,6))</f>
        <v/>
      </c>
      <c r="BC276" s="68" t="str">
        <f>IF(main!BO279="","",ROUND(main!BO279*100,6))</f>
        <v/>
      </c>
      <c r="BD276" s="68" t="str">
        <f>IF(main!BP279="","",ROUND(main!BP279*100,6))</f>
        <v/>
      </c>
      <c r="BE276" s="68" t="str">
        <f>IF(main!BQ279="","",ROUND(main!BQ279*100,6))</f>
        <v/>
      </c>
      <c r="BF276" s="68" t="str">
        <f>IF(main!BR279="","",ROUND(main!BR279*100,6))</f>
        <v/>
      </c>
      <c r="BG276" s="68" t="str">
        <f>IF(main!BS279="","",ROUND(main!BS279*100,6))</f>
        <v/>
      </c>
      <c r="BH276" s="68">
        <f>IF(main!BT279="","",ROUND(main!BT279*100,6))</f>
        <v>19.230768999999999</v>
      </c>
      <c r="BI276" s="68">
        <f>IF(main!BU279="","",ROUND(main!BU279*100,6))</f>
        <v>26.923076999999999</v>
      </c>
      <c r="BJ276" s="68">
        <f>IF(main!BV279="","",ROUND(main!BV279*100,6))</f>
        <v>26.923076999999999</v>
      </c>
      <c r="BK276" s="68">
        <f>IF(main!BW279="","",ROUND(main!BW279*100,6))</f>
        <v>26.923076999999999</v>
      </c>
      <c r="BL276" s="68" t="str">
        <f>IF(main!BX279="","",ROUND(main!BX279*100,6))</f>
        <v/>
      </c>
      <c r="BM276" s="68" t="str">
        <f>IF(main!BY279="","",ROUND(main!BY279*100,6))</f>
        <v/>
      </c>
      <c r="BN276" s="68" t="str">
        <f>IF(main!BZ279="","",ROUND(main!BZ279*100,6))</f>
        <v/>
      </c>
      <c r="BO276" s="68" t="str">
        <f>IF(main!CA279="","",ROUND(main!CA279*100,6))</f>
        <v/>
      </c>
      <c r="BP276" s="68" t="str">
        <f>IF(main!CB279="","",ROUND(main!CB279*100,6))</f>
        <v/>
      </c>
      <c r="BQ276" s="68" t="str">
        <f>IF(main!CC279="","",ROUND(main!CC279*100,6))</f>
        <v/>
      </c>
      <c r="BR276" s="68" t="str">
        <f>IF(main!CD279="","",ROUND(main!CD279*100,6))</f>
        <v/>
      </c>
      <c r="BS276" s="68" t="str">
        <f>IF(main!CE279="","",ROUND(main!CE279*100,6))</f>
        <v/>
      </c>
      <c r="BT276" s="68" t="str">
        <f>IF(main!CF279="","",ROUND(main!CF279*100,6))</f>
        <v/>
      </c>
      <c r="BU276" s="68" t="str">
        <f>IF(main!CG279="","",ROUND(main!CG279*100,6))</f>
        <v/>
      </c>
      <c r="BV276" s="68" t="str">
        <f>IF(main!CH279="","",ROUND(main!CH279*100,6))</f>
        <v/>
      </c>
      <c r="BW276" s="68" t="str">
        <f>IF(main!CI279="","",ROUND(main!CI279*100,6))</f>
        <v/>
      </c>
      <c r="BX276" s="68" t="str">
        <f>IF(main!CJ279="","",ROUND(main!CJ279*100,6))</f>
        <v/>
      </c>
      <c r="BY276" s="68" t="str">
        <f>IF(main!CK279="","",ROUND(main!CK279*100,6))</f>
        <v/>
      </c>
      <c r="BZ276" s="68" t="str">
        <f>IF(main!CL279="","",ROUND(main!CL279*100,6))</f>
        <v/>
      </c>
      <c r="CA276" s="68" t="str">
        <f>IF(main!CM279="","",ROUND(main!CM279*100,6))</f>
        <v/>
      </c>
      <c r="CB276" s="68" t="str">
        <f>IF(main!CN279="","",ROUND(main!CN279*100,6))</f>
        <v/>
      </c>
      <c r="CC276" s="68" t="str">
        <f>IF(main!CO279="","",ROUND(main!CO279*100,6))</f>
        <v/>
      </c>
    </row>
    <row r="277" spans="1:81" x14ac:dyDescent="0.25">
      <c r="A277" s="65" t="s">
        <v>433</v>
      </c>
      <c r="B277" s="66" t="str">
        <f>main!C279</f>
        <v>งานก่ออิฐมวลเบา ฉาบเรียบ</v>
      </c>
      <c r="C277" s="67">
        <f>main!O279</f>
        <v>100000</v>
      </c>
      <c r="D277" s="65" t="s">
        <v>111</v>
      </c>
      <c r="E277" s="68" t="str">
        <f t="shared" si="4"/>
        <v/>
      </c>
      <c r="F277" s="68" t="str">
        <f>IF(main!R280="","",ROUND(main!R280*100,6))</f>
        <v/>
      </c>
      <c r="G277" s="68" t="str">
        <f>IF(main!S280="","",ROUND(main!S280*100,6))</f>
        <v/>
      </c>
      <c r="H277" s="68" t="str">
        <f>IF(main!T280="","",ROUND(main!T280*100,6))</f>
        <v/>
      </c>
      <c r="I277" s="68" t="str">
        <f>IF(main!U280="","",ROUND(main!U280*100,6))</f>
        <v/>
      </c>
      <c r="J277" s="68" t="str">
        <f>IF(main!V280="","",ROUND(main!V280*100,6))</f>
        <v/>
      </c>
      <c r="K277" s="68" t="str">
        <f>IF(main!W280="","",ROUND(main!W280*100,6))</f>
        <v/>
      </c>
      <c r="L277" s="68" t="str">
        <f>IF(main!X280="","",ROUND(main!X280*100,6))</f>
        <v/>
      </c>
      <c r="M277" s="68" t="str">
        <f>IF(main!Y280="","",ROUND(main!Y280*100,6))</f>
        <v/>
      </c>
      <c r="N277" s="68" t="str">
        <f>IF(main!Z280="","",ROUND(main!Z280*100,6))</f>
        <v/>
      </c>
      <c r="O277" s="68" t="str">
        <f>IF(main!AA280="","",ROUND(main!AA280*100,6))</f>
        <v/>
      </c>
      <c r="P277" s="68" t="str">
        <f>IF(main!AB280="","",ROUND(main!AB280*100,6))</f>
        <v/>
      </c>
      <c r="Q277" s="68" t="str">
        <f>IF(main!AC280="","",ROUND(main!AC280*100,6))</f>
        <v/>
      </c>
      <c r="R277" s="68" t="str">
        <f>IF(main!AD280="","",ROUND(main!AD280*100,6))</f>
        <v/>
      </c>
      <c r="S277" s="68" t="str">
        <f>IF(main!AE280="","",ROUND(main!AE280*100,6))</f>
        <v/>
      </c>
      <c r="T277" s="68" t="str">
        <f>IF(main!AF280="","",ROUND(main!AF280*100,6))</f>
        <v/>
      </c>
      <c r="U277" s="68" t="str">
        <f>IF(main!AG280="","",ROUND(main!AG280*100,6))</f>
        <v/>
      </c>
      <c r="V277" s="68" t="str">
        <f>IF(main!AH280="","",ROUND(main!AH280*100,6))</f>
        <v/>
      </c>
      <c r="W277" s="68" t="str">
        <f>IF(main!AI280="","",ROUND(main!AI280*100,6))</f>
        <v/>
      </c>
      <c r="X277" s="68" t="str">
        <f>IF(main!AJ280="","",ROUND(main!AJ280*100,6))</f>
        <v/>
      </c>
      <c r="Y277" s="68" t="str">
        <f>IF(main!AK280="","",ROUND(main!AK280*100,6))</f>
        <v/>
      </c>
      <c r="Z277" s="68" t="str">
        <f>IF(main!AL280="","",ROUND(main!AL280*100,6))</f>
        <v/>
      </c>
      <c r="AA277" s="68" t="str">
        <f>IF(main!AM280="","",ROUND(main!AM280*100,6))</f>
        <v/>
      </c>
      <c r="AB277" s="68" t="str">
        <f>IF(main!AN280="","",ROUND(main!AN280*100,6))</f>
        <v/>
      </c>
      <c r="AC277" s="68" t="str">
        <f>IF(main!AO280="","",ROUND(main!AO280*100,6))</f>
        <v/>
      </c>
      <c r="AD277" s="68" t="str">
        <f>IF(main!AP280="","",ROUND(main!AP280*100,6))</f>
        <v/>
      </c>
      <c r="AE277" s="68" t="str">
        <f>IF(main!AQ280="","",ROUND(main!AQ280*100,6))</f>
        <v/>
      </c>
      <c r="AF277" s="68" t="str">
        <f>IF(main!AR280="","",ROUND(main!AR280*100,6))</f>
        <v/>
      </c>
      <c r="AG277" s="68" t="str">
        <f>IF(main!AS280="","",ROUND(main!AS280*100,6))</f>
        <v/>
      </c>
      <c r="AH277" s="68" t="str">
        <f>IF(main!AT280="","",ROUND(main!AT280*100,6))</f>
        <v/>
      </c>
      <c r="AI277" s="68" t="str">
        <f>IF(main!AU280="","",ROUND(main!AU280*100,6))</f>
        <v/>
      </c>
      <c r="AJ277" s="68" t="str">
        <f>IF(main!AV280="","",ROUND(main!AV280*100,6))</f>
        <v/>
      </c>
      <c r="AK277" s="68" t="str">
        <f>IF(main!AW280="","",ROUND(main!AW280*100,6))</f>
        <v/>
      </c>
      <c r="AL277" s="68" t="str">
        <f>IF(main!AX280="","",ROUND(main!AX280*100,6))</f>
        <v/>
      </c>
      <c r="AM277" s="68" t="str">
        <f>IF(main!AY280="","",ROUND(main!AY280*100,6))</f>
        <v/>
      </c>
      <c r="AN277" s="68" t="str">
        <f>IF(main!AZ280="","",ROUND(main!AZ280*100,6))</f>
        <v/>
      </c>
      <c r="AO277" s="68" t="str">
        <f>IF(main!BA280="","",ROUND(main!BA280*100,6))</f>
        <v/>
      </c>
      <c r="AP277" s="68" t="str">
        <f>IF(main!BB280="","",ROUND(main!BB280*100,6))</f>
        <v/>
      </c>
      <c r="AQ277" s="68" t="str">
        <f>IF(main!BC280="","",ROUND(main!BC280*100,6))</f>
        <v/>
      </c>
      <c r="AR277" s="68" t="str">
        <f>IF(main!BD280="","",ROUND(main!BD280*100,6))</f>
        <v/>
      </c>
      <c r="AS277" s="68" t="str">
        <f>IF(main!BE280="","",ROUND(main!BE280*100,6))</f>
        <v/>
      </c>
      <c r="AT277" s="68" t="str">
        <f>IF(main!BF280="","",ROUND(main!BF280*100,6))</f>
        <v/>
      </c>
      <c r="AU277" s="68" t="str">
        <f>IF(main!BG280="","",ROUND(main!BG280*100,6))</f>
        <v/>
      </c>
      <c r="AV277" s="68" t="str">
        <f>IF(main!BH280="","",ROUND(main!BH280*100,6))</f>
        <v/>
      </c>
      <c r="AW277" s="68" t="str">
        <f>IF(main!BI280="","",ROUND(main!BI280*100,6))</f>
        <v/>
      </c>
      <c r="AX277" s="68" t="str">
        <f>IF(main!BJ280="","",ROUND(main!BJ280*100,6))</f>
        <v/>
      </c>
      <c r="AY277" s="68" t="str">
        <f>IF(main!BK280="","",ROUND(main!BK280*100,6))</f>
        <v/>
      </c>
      <c r="AZ277" s="68" t="str">
        <f>IF(main!BL280="","",ROUND(main!BL280*100,6))</f>
        <v/>
      </c>
      <c r="BA277" s="68" t="str">
        <f>IF(main!BM280="","",ROUND(main!BM280*100,6))</f>
        <v/>
      </c>
      <c r="BB277" s="68" t="str">
        <f>IF(main!BN280="","",ROUND(main!BN280*100,6))</f>
        <v/>
      </c>
      <c r="BC277" s="68" t="str">
        <f>IF(main!BO280="","",ROUND(main!BO280*100,6))</f>
        <v/>
      </c>
      <c r="BD277" s="68" t="str">
        <f>IF(main!BP280="","",ROUND(main!BP280*100,6))</f>
        <v/>
      </c>
      <c r="BE277" s="68" t="str">
        <f>IF(main!BQ280="","",ROUND(main!BQ280*100,6))</f>
        <v/>
      </c>
      <c r="BF277" s="68" t="str">
        <f>IF(main!BR280="","",ROUND(main!BR280*100,6))</f>
        <v/>
      </c>
      <c r="BG277" s="68" t="str">
        <f>IF(main!BS280="","",ROUND(main!BS280*100,6))</f>
        <v/>
      </c>
      <c r="BH277" s="68" t="str">
        <f>IF(main!BT280="","",ROUND(main!BT280*100,6))</f>
        <v/>
      </c>
      <c r="BI277" s="68" t="str">
        <f>IF(main!BU280="","",ROUND(main!BU280*100,6))</f>
        <v/>
      </c>
      <c r="BJ277" s="68" t="str">
        <f>IF(main!BV280="","",ROUND(main!BV280*100,6))</f>
        <v/>
      </c>
      <c r="BK277" s="68" t="str">
        <f>IF(main!BW280="","",ROUND(main!BW280*100,6))</f>
        <v/>
      </c>
      <c r="BL277" s="68" t="str">
        <f>IF(main!BX280="","",ROUND(main!BX280*100,6))</f>
        <v/>
      </c>
      <c r="BM277" s="68" t="str">
        <f>IF(main!BY280="","",ROUND(main!BY280*100,6))</f>
        <v/>
      </c>
      <c r="BN277" s="68" t="str">
        <f>IF(main!BZ280="","",ROUND(main!BZ280*100,6))</f>
        <v/>
      </c>
      <c r="BO277" s="68" t="str">
        <f>IF(main!CA280="","",ROUND(main!CA280*100,6))</f>
        <v/>
      </c>
      <c r="BP277" s="68" t="str">
        <f>IF(main!CB280="","",ROUND(main!CB280*100,6))</f>
        <v/>
      </c>
      <c r="BQ277" s="68" t="str">
        <f>IF(main!CC280="","",ROUND(main!CC280*100,6))</f>
        <v/>
      </c>
      <c r="BR277" s="68" t="str">
        <f>IF(main!CD280="","",ROUND(main!CD280*100,6))</f>
        <v/>
      </c>
      <c r="BS277" s="68" t="str">
        <f>IF(main!CE280="","",ROUND(main!CE280*100,6))</f>
        <v/>
      </c>
      <c r="BT277" s="68" t="str">
        <f>IF(main!CF280="","",ROUND(main!CF280*100,6))</f>
        <v/>
      </c>
      <c r="BU277" s="68" t="str">
        <f>IF(main!CG280="","",ROUND(main!CG280*100,6))</f>
        <v/>
      </c>
      <c r="BV277" s="68" t="str">
        <f>IF(main!CH280="","",ROUND(main!CH280*100,6))</f>
        <v/>
      </c>
      <c r="BW277" s="68" t="str">
        <f>IF(main!CI280="","",ROUND(main!CI280*100,6))</f>
        <v/>
      </c>
      <c r="BX277" s="68" t="str">
        <f>IF(main!CJ280="","",ROUND(main!CJ280*100,6))</f>
        <v/>
      </c>
      <c r="BY277" s="68" t="str">
        <f>IF(main!CK280="","",ROUND(main!CK280*100,6))</f>
        <v/>
      </c>
      <c r="BZ277" s="68" t="str">
        <f>IF(main!CL280="","",ROUND(main!CL280*100,6))</f>
        <v/>
      </c>
      <c r="CA277" s="68" t="str">
        <f>IF(main!CM280="","",ROUND(main!CM280*100,6))</f>
        <v/>
      </c>
      <c r="CB277" s="68" t="str">
        <f>IF(main!CN280="","",ROUND(main!CN280*100,6))</f>
        <v/>
      </c>
      <c r="CC277" s="68" t="str">
        <f>IF(main!CO280="","",ROUND(main!CO280*100,6))</f>
        <v/>
      </c>
    </row>
    <row r="278" spans="1:81" x14ac:dyDescent="0.25">
      <c r="A278" s="65" t="s">
        <v>435</v>
      </c>
      <c r="B278" s="66" t="str">
        <f>main!C281</f>
        <v>งานกรุกระเบื้องโมเสค ผนังห้องน้ำ</v>
      </c>
      <c r="C278" s="67">
        <f>main!O281</f>
        <v>100000</v>
      </c>
      <c r="D278" s="65" t="s">
        <v>110</v>
      </c>
      <c r="E278" s="68">
        <f t="shared" si="4"/>
        <v>100</v>
      </c>
      <c r="F278" s="68" t="str">
        <f>IF(main!R281="","",ROUND(main!R281*100,6))</f>
        <v/>
      </c>
      <c r="G278" s="68" t="str">
        <f>IF(main!S281="","",ROUND(main!S281*100,6))</f>
        <v/>
      </c>
      <c r="H278" s="68" t="str">
        <f>IF(main!T281="","",ROUND(main!T281*100,6))</f>
        <v/>
      </c>
      <c r="I278" s="68" t="str">
        <f>IF(main!U281="","",ROUND(main!U281*100,6))</f>
        <v/>
      </c>
      <c r="J278" s="68" t="str">
        <f>IF(main!V281="","",ROUND(main!V281*100,6))</f>
        <v/>
      </c>
      <c r="K278" s="68" t="str">
        <f>IF(main!W281="","",ROUND(main!W281*100,6))</f>
        <v/>
      </c>
      <c r="L278" s="68" t="str">
        <f>IF(main!X281="","",ROUND(main!X281*100,6))</f>
        <v/>
      </c>
      <c r="M278" s="68" t="str">
        <f>IF(main!Y281="","",ROUND(main!Y281*100,6))</f>
        <v/>
      </c>
      <c r="N278" s="68" t="str">
        <f>IF(main!Z281="","",ROUND(main!Z281*100,6))</f>
        <v/>
      </c>
      <c r="O278" s="68" t="str">
        <f>IF(main!AA281="","",ROUND(main!AA281*100,6))</f>
        <v/>
      </c>
      <c r="P278" s="68" t="str">
        <f>IF(main!AB281="","",ROUND(main!AB281*100,6))</f>
        <v/>
      </c>
      <c r="Q278" s="68" t="str">
        <f>IF(main!AC281="","",ROUND(main!AC281*100,6))</f>
        <v/>
      </c>
      <c r="R278" s="68" t="str">
        <f>IF(main!AD281="","",ROUND(main!AD281*100,6))</f>
        <v/>
      </c>
      <c r="S278" s="68" t="str">
        <f>IF(main!AE281="","",ROUND(main!AE281*100,6))</f>
        <v/>
      </c>
      <c r="T278" s="68" t="str">
        <f>IF(main!AF281="","",ROUND(main!AF281*100,6))</f>
        <v/>
      </c>
      <c r="U278" s="68" t="str">
        <f>IF(main!AG281="","",ROUND(main!AG281*100,6))</f>
        <v/>
      </c>
      <c r="V278" s="68" t="str">
        <f>IF(main!AH281="","",ROUND(main!AH281*100,6))</f>
        <v/>
      </c>
      <c r="W278" s="68" t="str">
        <f>IF(main!AI281="","",ROUND(main!AI281*100,6))</f>
        <v/>
      </c>
      <c r="X278" s="68" t="str">
        <f>IF(main!AJ281="","",ROUND(main!AJ281*100,6))</f>
        <v/>
      </c>
      <c r="Y278" s="68" t="str">
        <f>IF(main!AK281="","",ROUND(main!AK281*100,6))</f>
        <v/>
      </c>
      <c r="Z278" s="68" t="str">
        <f>IF(main!AL281="","",ROUND(main!AL281*100,6))</f>
        <v/>
      </c>
      <c r="AA278" s="68" t="str">
        <f>IF(main!AM281="","",ROUND(main!AM281*100,6))</f>
        <v/>
      </c>
      <c r="AB278" s="68" t="str">
        <f>IF(main!AN281="","",ROUND(main!AN281*100,6))</f>
        <v/>
      </c>
      <c r="AC278" s="68" t="str">
        <f>IF(main!AO281="","",ROUND(main!AO281*100,6))</f>
        <v/>
      </c>
      <c r="AD278" s="68" t="str">
        <f>IF(main!AP281="","",ROUND(main!AP281*100,6))</f>
        <v/>
      </c>
      <c r="AE278" s="68" t="str">
        <f>IF(main!AQ281="","",ROUND(main!AQ281*100,6))</f>
        <v/>
      </c>
      <c r="AF278" s="68" t="str">
        <f>IF(main!AR281="","",ROUND(main!AR281*100,6))</f>
        <v/>
      </c>
      <c r="AG278" s="68" t="str">
        <f>IF(main!AS281="","",ROUND(main!AS281*100,6))</f>
        <v/>
      </c>
      <c r="AH278" s="68" t="str">
        <f>IF(main!AT281="","",ROUND(main!AT281*100,6))</f>
        <v/>
      </c>
      <c r="AI278" s="68" t="str">
        <f>IF(main!AU281="","",ROUND(main!AU281*100,6))</f>
        <v/>
      </c>
      <c r="AJ278" s="68" t="str">
        <f>IF(main!AV281="","",ROUND(main!AV281*100,6))</f>
        <v/>
      </c>
      <c r="AK278" s="68" t="str">
        <f>IF(main!AW281="","",ROUND(main!AW281*100,6))</f>
        <v/>
      </c>
      <c r="AL278" s="68" t="str">
        <f>IF(main!AX281="","",ROUND(main!AX281*100,6))</f>
        <v/>
      </c>
      <c r="AM278" s="68" t="str">
        <f>IF(main!AY281="","",ROUND(main!AY281*100,6))</f>
        <v/>
      </c>
      <c r="AN278" s="68" t="str">
        <f>IF(main!AZ281="","",ROUND(main!AZ281*100,6))</f>
        <v/>
      </c>
      <c r="AO278" s="68" t="str">
        <f>IF(main!BA281="","",ROUND(main!BA281*100,6))</f>
        <v/>
      </c>
      <c r="AP278" s="68" t="str">
        <f>IF(main!BB281="","",ROUND(main!BB281*100,6))</f>
        <v/>
      </c>
      <c r="AQ278" s="68" t="str">
        <f>IF(main!BC281="","",ROUND(main!BC281*100,6))</f>
        <v/>
      </c>
      <c r="AR278" s="68" t="str">
        <f>IF(main!BD281="","",ROUND(main!BD281*100,6))</f>
        <v/>
      </c>
      <c r="AS278" s="68" t="str">
        <f>IF(main!BE281="","",ROUND(main!BE281*100,6))</f>
        <v/>
      </c>
      <c r="AT278" s="68" t="str">
        <f>IF(main!BF281="","",ROUND(main!BF281*100,6))</f>
        <v/>
      </c>
      <c r="AU278" s="68" t="str">
        <f>IF(main!BG281="","",ROUND(main!BG281*100,6))</f>
        <v/>
      </c>
      <c r="AV278" s="68" t="str">
        <f>IF(main!BH281="","",ROUND(main!BH281*100,6))</f>
        <v/>
      </c>
      <c r="AW278" s="68" t="str">
        <f>IF(main!BI281="","",ROUND(main!BI281*100,6))</f>
        <v/>
      </c>
      <c r="AX278" s="68" t="str">
        <f>IF(main!BJ281="","",ROUND(main!BJ281*100,6))</f>
        <v/>
      </c>
      <c r="AY278" s="68" t="str">
        <f>IF(main!BK281="","",ROUND(main!BK281*100,6))</f>
        <v/>
      </c>
      <c r="AZ278" s="68" t="str">
        <f>IF(main!BL281="","",ROUND(main!BL281*100,6))</f>
        <v/>
      </c>
      <c r="BA278" s="68" t="str">
        <f>IF(main!BM281="","",ROUND(main!BM281*100,6))</f>
        <v/>
      </c>
      <c r="BB278" s="68" t="str">
        <f>IF(main!BN281="","",ROUND(main!BN281*100,6))</f>
        <v/>
      </c>
      <c r="BC278" s="68" t="str">
        <f>IF(main!BO281="","",ROUND(main!BO281*100,6))</f>
        <v/>
      </c>
      <c r="BD278" s="68" t="str">
        <f>IF(main!BP281="","",ROUND(main!BP281*100,6))</f>
        <v/>
      </c>
      <c r="BE278" s="68" t="str">
        <f>IF(main!BQ281="","",ROUND(main!BQ281*100,6))</f>
        <v/>
      </c>
      <c r="BF278" s="68" t="str">
        <f>IF(main!BR281="","",ROUND(main!BR281*100,6))</f>
        <v/>
      </c>
      <c r="BG278" s="68" t="str">
        <f>IF(main!BS281="","",ROUND(main!BS281*100,6))</f>
        <v/>
      </c>
      <c r="BH278" s="68" t="str">
        <f>IF(main!BT281="","",ROUND(main!BT281*100,6))</f>
        <v/>
      </c>
      <c r="BI278" s="68" t="str">
        <f>IF(main!BU281="","",ROUND(main!BU281*100,6))</f>
        <v/>
      </c>
      <c r="BJ278" s="68" t="str">
        <f>IF(main!BV281="","",ROUND(main!BV281*100,6))</f>
        <v/>
      </c>
      <c r="BK278" s="68" t="str">
        <f>IF(main!BW281="","",ROUND(main!BW281*100,6))</f>
        <v/>
      </c>
      <c r="BL278" s="68">
        <f>IF(main!BX281="","",ROUND(main!BX281*100,6))</f>
        <v>19.230768999999999</v>
      </c>
      <c r="BM278" s="68">
        <f>IF(main!BY281="","",ROUND(main!BY281*100,6))</f>
        <v>26.923076999999999</v>
      </c>
      <c r="BN278" s="68">
        <f>IF(main!BZ281="","",ROUND(main!BZ281*100,6))</f>
        <v>26.923076999999999</v>
      </c>
      <c r="BO278" s="68">
        <f>IF(main!CA281="","",ROUND(main!CA281*100,6))</f>
        <v>26.923076999999999</v>
      </c>
      <c r="BP278" s="68" t="str">
        <f>IF(main!CB281="","",ROUND(main!CB281*100,6))</f>
        <v/>
      </c>
      <c r="BQ278" s="68" t="str">
        <f>IF(main!CC281="","",ROUND(main!CC281*100,6))</f>
        <v/>
      </c>
      <c r="BR278" s="68" t="str">
        <f>IF(main!CD281="","",ROUND(main!CD281*100,6))</f>
        <v/>
      </c>
      <c r="BS278" s="68" t="str">
        <f>IF(main!CE281="","",ROUND(main!CE281*100,6))</f>
        <v/>
      </c>
      <c r="BT278" s="68" t="str">
        <f>IF(main!CF281="","",ROUND(main!CF281*100,6))</f>
        <v/>
      </c>
      <c r="BU278" s="68" t="str">
        <f>IF(main!CG281="","",ROUND(main!CG281*100,6))</f>
        <v/>
      </c>
      <c r="BV278" s="68" t="str">
        <f>IF(main!CH281="","",ROUND(main!CH281*100,6))</f>
        <v/>
      </c>
      <c r="BW278" s="68" t="str">
        <f>IF(main!CI281="","",ROUND(main!CI281*100,6))</f>
        <v/>
      </c>
      <c r="BX278" s="68" t="str">
        <f>IF(main!CJ281="","",ROUND(main!CJ281*100,6))</f>
        <v/>
      </c>
      <c r="BY278" s="68" t="str">
        <f>IF(main!CK281="","",ROUND(main!CK281*100,6))</f>
        <v/>
      </c>
      <c r="BZ278" s="68" t="str">
        <f>IF(main!CL281="","",ROUND(main!CL281*100,6))</f>
        <v/>
      </c>
      <c r="CA278" s="68" t="str">
        <f>IF(main!CM281="","",ROUND(main!CM281*100,6))</f>
        <v/>
      </c>
      <c r="CB278" s="68" t="str">
        <f>IF(main!CN281="","",ROUND(main!CN281*100,6))</f>
        <v/>
      </c>
      <c r="CC278" s="68" t="str">
        <f>IF(main!CO281="","",ROUND(main!CO281*100,6))</f>
        <v/>
      </c>
    </row>
    <row r="279" spans="1:81" x14ac:dyDescent="0.25">
      <c r="A279" s="65" t="s">
        <v>435</v>
      </c>
      <c r="B279" s="66" t="str">
        <f>main!C281</f>
        <v>งานกรุกระเบื้องโมเสค ผนังห้องน้ำ</v>
      </c>
      <c r="C279" s="67">
        <f>main!O281</f>
        <v>100000</v>
      </c>
      <c r="D279" s="65" t="s">
        <v>111</v>
      </c>
      <c r="E279" s="68" t="str">
        <f t="shared" si="4"/>
        <v/>
      </c>
      <c r="F279" s="68" t="str">
        <f>IF(main!R282="","",ROUND(main!R282*100,6))</f>
        <v/>
      </c>
      <c r="G279" s="68" t="str">
        <f>IF(main!S282="","",ROUND(main!S282*100,6))</f>
        <v/>
      </c>
      <c r="H279" s="68" t="str">
        <f>IF(main!T282="","",ROUND(main!T282*100,6))</f>
        <v/>
      </c>
      <c r="I279" s="68" t="str">
        <f>IF(main!U282="","",ROUND(main!U282*100,6))</f>
        <v/>
      </c>
      <c r="J279" s="68" t="str">
        <f>IF(main!V282="","",ROUND(main!V282*100,6))</f>
        <v/>
      </c>
      <c r="K279" s="68" t="str">
        <f>IF(main!W282="","",ROUND(main!W282*100,6))</f>
        <v/>
      </c>
      <c r="L279" s="68" t="str">
        <f>IF(main!X282="","",ROUND(main!X282*100,6))</f>
        <v/>
      </c>
      <c r="M279" s="68" t="str">
        <f>IF(main!Y282="","",ROUND(main!Y282*100,6))</f>
        <v/>
      </c>
      <c r="N279" s="68" t="str">
        <f>IF(main!Z282="","",ROUND(main!Z282*100,6))</f>
        <v/>
      </c>
      <c r="O279" s="68" t="str">
        <f>IF(main!AA282="","",ROUND(main!AA282*100,6))</f>
        <v/>
      </c>
      <c r="P279" s="68" t="str">
        <f>IF(main!AB282="","",ROUND(main!AB282*100,6))</f>
        <v/>
      </c>
      <c r="Q279" s="68" t="str">
        <f>IF(main!AC282="","",ROUND(main!AC282*100,6))</f>
        <v/>
      </c>
      <c r="R279" s="68" t="str">
        <f>IF(main!AD282="","",ROUND(main!AD282*100,6))</f>
        <v/>
      </c>
      <c r="S279" s="68" t="str">
        <f>IF(main!AE282="","",ROUND(main!AE282*100,6))</f>
        <v/>
      </c>
      <c r="T279" s="68" t="str">
        <f>IF(main!AF282="","",ROUND(main!AF282*100,6))</f>
        <v/>
      </c>
      <c r="U279" s="68" t="str">
        <f>IF(main!AG282="","",ROUND(main!AG282*100,6))</f>
        <v/>
      </c>
      <c r="V279" s="68" t="str">
        <f>IF(main!AH282="","",ROUND(main!AH282*100,6))</f>
        <v/>
      </c>
      <c r="W279" s="68" t="str">
        <f>IF(main!AI282="","",ROUND(main!AI282*100,6))</f>
        <v/>
      </c>
      <c r="X279" s="68" t="str">
        <f>IF(main!AJ282="","",ROUND(main!AJ282*100,6))</f>
        <v/>
      </c>
      <c r="Y279" s="68" t="str">
        <f>IF(main!AK282="","",ROUND(main!AK282*100,6))</f>
        <v/>
      </c>
      <c r="Z279" s="68" t="str">
        <f>IF(main!AL282="","",ROUND(main!AL282*100,6))</f>
        <v/>
      </c>
      <c r="AA279" s="68" t="str">
        <f>IF(main!AM282="","",ROUND(main!AM282*100,6))</f>
        <v/>
      </c>
      <c r="AB279" s="68" t="str">
        <f>IF(main!AN282="","",ROUND(main!AN282*100,6))</f>
        <v/>
      </c>
      <c r="AC279" s="68" t="str">
        <f>IF(main!AO282="","",ROUND(main!AO282*100,6))</f>
        <v/>
      </c>
      <c r="AD279" s="68" t="str">
        <f>IF(main!AP282="","",ROUND(main!AP282*100,6))</f>
        <v/>
      </c>
      <c r="AE279" s="68" t="str">
        <f>IF(main!AQ282="","",ROUND(main!AQ282*100,6))</f>
        <v/>
      </c>
      <c r="AF279" s="68" t="str">
        <f>IF(main!AR282="","",ROUND(main!AR282*100,6))</f>
        <v/>
      </c>
      <c r="AG279" s="68" t="str">
        <f>IF(main!AS282="","",ROUND(main!AS282*100,6))</f>
        <v/>
      </c>
      <c r="AH279" s="68" t="str">
        <f>IF(main!AT282="","",ROUND(main!AT282*100,6))</f>
        <v/>
      </c>
      <c r="AI279" s="68" t="str">
        <f>IF(main!AU282="","",ROUND(main!AU282*100,6))</f>
        <v/>
      </c>
      <c r="AJ279" s="68" t="str">
        <f>IF(main!AV282="","",ROUND(main!AV282*100,6))</f>
        <v/>
      </c>
      <c r="AK279" s="68" t="str">
        <f>IF(main!AW282="","",ROUND(main!AW282*100,6))</f>
        <v/>
      </c>
      <c r="AL279" s="68" t="str">
        <f>IF(main!AX282="","",ROUND(main!AX282*100,6))</f>
        <v/>
      </c>
      <c r="AM279" s="68" t="str">
        <f>IF(main!AY282="","",ROUND(main!AY282*100,6))</f>
        <v/>
      </c>
      <c r="AN279" s="68" t="str">
        <f>IF(main!AZ282="","",ROUND(main!AZ282*100,6))</f>
        <v/>
      </c>
      <c r="AO279" s="68" t="str">
        <f>IF(main!BA282="","",ROUND(main!BA282*100,6))</f>
        <v/>
      </c>
      <c r="AP279" s="68" t="str">
        <f>IF(main!BB282="","",ROUND(main!BB282*100,6))</f>
        <v/>
      </c>
      <c r="AQ279" s="68" t="str">
        <f>IF(main!BC282="","",ROUND(main!BC282*100,6))</f>
        <v/>
      </c>
      <c r="AR279" s="68" t="str">
        <f>IF(main!BD282="","",ROUND(main!BD282*100,6))</f>
        <v/>
      </c>
      <c r="AS279" s="68" t="str">
        <f>IF(main!BE282="","",ROUND(main!BE282*100,6))</f>
        <v/>
      </c>
      <c r="AT279" s="68" t="str">
        <f>IF(main!BF282="","",ROUND(main!BF282*100,6))</f>
        <v/>
      </c>
      <c r="AU279" s="68" t="str">
        <f>IF(main!BG282="","",ROUND(main!BG282*100,6))</f>
        <v/>
      </c>
      <c r="AV279" s="68" t="str">
        <f>IF(main!BH282="","",ROUND(main!BH282*100,6))</f>
        <v/>
      </c>
      <c r="AW279" s="68" t="str">
        <f>IF(main!BI282="","",ROUND(main!BI282*100,6))</f>
        <v/>
      </c>
      <c r="AX279" s="68" t="str">
        <f>IF(main!BJ282="","",ROUND(main!BJ282*100,6))</f>
        <v/>
      </c>
      <c r="AY279" s="68" t="str">
        <f>IF(main!BK282="","",ROUND(main!BK282*100,6))</f>
        <v/>
      </c>
      <c r="AZ279" s="68" t="str">
        <f>IF(main!BL282="","",ROUND(main!BL282*100,6))</f>
        <v/>
      </c>
      <c r="BA279" s="68" t="str">
        <f>IF(main!BM282="","",ROUND(main!BM282*100,6))</f>
        <v/>
      </c>
      <c r="BB279" s="68" t="str">
        <f>IF(main!BN282="","",ROUND(main!BN282*100,6))</f>
        <v/>
      </c>
      <c r="BC279" s="68" t="str">
        <f>IF(main!BO282="","",ROUND(main!BO282*100,6))</f>
        <v/>
      </c>
      <c r="BD279" s="68" t="str">
        <f>IF(main!BP282="","",ROUND(main!BP282*100,6))</f>
        <v/>
      </c>
      <c r="BE279" s="68" t="str">
        <f>IF(main!BQ282="","",ROUND(main!BQ282*100,6))</f>
        <v/>
      </c>
      <c r="BF279" s="68" t="str">
        <f>IF(main!BR282="","",ROUND(main!BR282*100,6))</f>
        <v/>
      </c>
      <c r="BG279" s="68" t="str">
        <f>IF(main!BS282="","",ROUND(main!BS282*100,6))</f>
        <v/>
      </c>
      <c r="BH279" s="68" t="str">
        <f>IF(main!BT282="","",ROUND(main!BT282*100,6))</f>
        <v/>
      </c>
      <c r="BI279" s="68" t="str">
        <f>IF(main!BU282="","",ROUND(main!BU282*100,6))</f>
        <v/>
      </c>
      <c r="BJ279" s="68" t="str">
        <f>IF(main!BV282="","",ROUND(main!BV282*100,6))</f>
        <v/>
      </c>
      <c r="BK279" s="68" t="str">
        <f>IF(main!BW282="","",ROUND(main!BW282*100,6))</f>
        <v/>
      </c>
      <c r="BL279" s="68" t="str">
        <f>IF(main!BX282="","",ROUND(main!BX282*100,6))</f>
        <v/>
      </c>
      <c r="BM279" s="68" t="str">
        <f>IF(main!BY282="","",ROUND(main!BY282*100,6))</f>
        <v/>
      </c>
      <c r="BN279" s="68" t="str">
        <f>IF(main!BZ282="","",ROUND(main!BZ282*100,6))</f>
        <v/>
      </c>
      <c r="BO279" s="68" t="str">
        <f>IF(main!CA282="","",ROUND(main!CA282*100,6))</f>
        <v/>
      </c>
      <c r="BP279" s="68" t="str">
        <f>IF(main!CB282="","",ROUND(main!CB282*100,6))</f>
        <v/>
      </c>
      <c r="BQ279" s="68" t="str">
        <f>IF(main!CC282="","",ROUND(main!CC282*100,6))</f>
        <v/>
      </c>
      <c r="BR279" s="68" t="str">
        <f>IF(main!CD282="","",ROUND(main!CD282*100,6))</f>
        <v/>
      </c>
      <c r="BS279" s="68" t="str">
        <f>IF(main!CE282="","",ROUND(main!CE282*100,6))</f>
        <v/>
      </c>
      <c r="BT279" s="68" t="str">
        <f>IF(main!CF282="","",ROUND(main!CF282*100,6))</f>
        <v/>
      </c>
      <c r="BU279" s="68" t="str">
        <f>IF(main!CG282="","",ROUND(main!CG282*100,6))</f>
        <v/>
      </c>
      <c r="BV279" s="68" t="str">
        <f>IF(main!CH282="","",ROUND(main!CH282*100,6))</f>
        <v/>
      </c>
      <c r="BW279" s="68" t="str">
        <f>IF(main!CI282="","",ROUND(main!CI282*100,6))</f>
        <v/>
      </c>
      <c r="BX279" s="68" t="str">
        <f>IF(main!CJ282="","",ROUND(main!CJ282*100,6))</f>
        <v/>
      </c>
      <c r="BY279" s="68" t="str">
        <f>IF(main!CK282="","",ROUND(main!CK282*100,6))</f>
        <v/>
      </c>
      <c r="BZ279" s="68" t="str">
        <f>IF(main!CL282="","",ROUND(main!CL282*100,6))</f>
        <v/>
      </c>
      <c r="CA279" s="68" t="str">
        <f>IF(main!CM282="","",ROUND(main!CM282*100,6))</f>
        <v/>
      </c>
      <c r="CB279" s="68" t="str">
        <f>IF(main!CN282="","",ROUND(main!CN282*100,6))</f>
        <v/>
      </c>
      <c r="CC279" s="68" t="str">
        <f>IF(main!CO282="","",ROUND(main!CO282*100,6))</f>
        <v/>
      </c>
    </row>
    <row r="280" spans="1:81" x14ac:dyDescent="0.25">
      <c r="A280" s="65" t="s">
        <v>437</v>
      </c>
      <c r="B280" s="66" t="str">
        <f>main!C283</f>
        <v>งานแต่งเรียบผนังภายในเดิม</v>
      </c>
      <c r="C280" s="67">
        <f>main!O283</f>
        <v>100000</v>
      </c>
      <c r="D280" s="65" t="s">
        <v>110</v>
      </c>
      <c r="E280" s="68">
        <f t="shared" si="4"/>
        <v>100</v>
      </c>
      <c r="F280" s="68" t="str">
        <f>IF(main!R283="","",ROUND(main!R283*100,6))</f>
        <v/>
      </c>
      <c r="G280" s="68" t="str">
        <f>IF(main!S283="","",ROUND(main!S283*100,6))</f>
        <v/>
      </c>
      <c r="H280" s="68" t="str">
        <f>IF(main!T283="","",ROUND(main!T283*100,6))</f>
        <v/>
      </c>
      <c r="I280" s="68" t="str">
        <f>IF(main!U283="","",ROUND(main!U283*100,6))</f>
        <v/>
      </c>
      <c r="J280" s="68" t="str">
        <f>IF(main!V283="","",ROUND(main!V283*100,6))</f>
        <v/>
      </c>
      <c r="K280" s="68" t="str">
        <f>IF(main!W283="","",ROUND(main!W283*100,6))</f>
        <v/>
      </c>
      <c r="L280" s="68" t="str">
        <f>IF(main!X283="","",ROUND(main!X283*100,6))</f>
        <v/>
      </c>
      <c r="M280" s="68" t="str">
        <f>IF(main!Y283="","",ROUND(main!Y283*100,6))</f>
        <v/>
      </c>
      <c r="N280" s="68" t="str">
        <f>IF(main!Z283="","",ROUND(main!Z283*100,6))</f>
        <v/>
      </c>
      <c r="O280" s="68" t="str">
        <f>IF(main!AA283="","",ROUND(main!AA283*100,6))</f>
        <v/>
      </c>
      <c r="P280" s="68" t="str">
        <f>IF(main!AB283="","",ROUND(main!AB283*100,6))</f>
        <v/>
      </c>
      <c r="Q280" s="68" t="str">
        <f>IF(main!AC283="","",ROUND(main!AC283*100,6))</f>
        <v/>
      </c>
      <c r="R280" s="68" t="str">
        <f>IF(main!AD283="","",ROUND(main!AD283*100,6))</f>
        <v/>
      </c>
      <c r="S280" s="68" t="str">
        <f>IF(main!AE283="","",ROUND(main!AE283*100,6))</f>
        <v/>
      </c>
      <c r="T280" s="68" t="str">
        <f>IF(main!AF283="","",ROUND(main!AF283*100,6))</f>
        <v/>
      </c>
      <c r="U280" s="68" t="str">
        <f>IF(main!AG283="","",ROUND(main!AG283*100,6))</f>
        <v/>
      </c>
      <c r="V280" s="68" t="str">
        <f>IF(main!AH283="","",ROUND(main!AH283*100,6))</f>
        <v/>
      </c>
      <c r="W280" s="68" t="str">
        <f>IF(main!AI283="","",ROUND(main!AI283*100,6))</f>
        <v/>
      </c>
      <c r="X280" s="68" t="str">
        <f>IF(main!AJ283="","",ROUND(main!AJ283*100,6))</f>
        <v/>
      </c>
      <c r="Y280" s="68" t="str">
        <f>IF(main!AK283="","",ROUND(main!AK283*100,6))</f>
        <v/>
      </c>
      <c r="Z280" s="68" t="str">
        <f>IF(main!AL283="","",ROUND(main!AL283*100,6))</f>
        <v/>
      </c>
      <c r="AA280" s="68" t="str">
        <f>IF(main!AM283="","",ROUND(main!AM283*100,6))</f>
        <v/>
      </c>
      <c r="AB280" s="68" t="str">
        <f>IF(main!AN283="","",ROUND(main!AN283*100,6))</f>
        <v/>
      </c>
      <c r="AC280" s="68" t="str">
        <f>IF(main!AO283="","",ROUND(main!AO283*100,6))</f>
        <v/>
      </c>
      <c r="AD280" s="68" t="str">
        <f>IF(main!AP283="","",ROUND(main!AP283*100,6))</f>
        <v/>
      </c>
      <c r="AE280" s="68" t="str">
        <f>IF(main!AQ283="","",ROUND(main!AQ283*100,6))</f>
        <v/>
      </c>
      <c r="AF280" s="68" t="str">
        <f>IF(main!AR283="","",ROUND(main!AR283*100,6))</f>
        <v/>
      </c>
      <c r="AG280" s="68" t="str">
        <f>IF(main!AS283="","",ROUND(main!AS283*100,6))</f>
        <v/>
      </c>
      <c r="AH280" s="68" t="str">
        <f>IF(main!AT283="","",ROUND(main!AT283*100,6))</f>
        <v/>
      </c>
      <c r="AI280" s="68" t="str">
        <f>IF(main!AU283="","",ROUND(main!AU283*100,6))</f>
        <v/>
      </c>
      <c r="AJ280" s="68" t="str">
        <f>IF(main!AV283="","",ROUND(main!AV283*100,6))</f>
        <v/>
      </c>
      <c r="AK280" s="68" t="str">
        <f>IF(main!AW283="","",ROUND(main!AW283*100,6))</f>
        <v/>
      </c>
      <c r="AL280" s="68" t="str">
        <f>IF(main!AX283="","",ROUND(main!AX283*100,6))</f>
        <v/>
      </c>
      <c r="AM280" s="68" t="str">
        <f>IF(main!AY283="","",ROUND(main!AY283*100,6))</f>
        <v/>
      </c>
      <c r="AN280" s="68" t="str">
        <f>IF(main!AZ283="","",ROUND(main!AZ283*100,6))</f>
        <v/>
      </c>
      <c r="AO280" s="68" t="str">
        <f>IF(main!BA283="","",ROUND(main!BA283*100,6))</f>
        <v/>
      </c>
      <c r="AP280" s="68" t="str">
        <f>IF(main!BB283="","",ROUND(main!BB283*100,6))</f>
        <v/>
      </c>
      <c r="AQ280" s="68" t="str">
        <f>IF(main!BC283="","",ROUND(main!BC283*100,6))</f>
        <v/>
      </c>
      <c r="AR280" s="68" t="str">
        <f>IF(main!BD283="","",ROUND(main!BD283*100,6))</f>
        <v/>
      </c>
      <c r="AS280" s="68" t="str">
        <f>IF(main!BE283="","",ROUND(main!BE283*100,6))</f>
        <v/>
      </c>
      <c r="AT280" s="68" t="str">
        <f>IF(main!BF283="","",ROUND(main!BF283*100,6))</f>
        <v/>
      </c>
      <c r="AU280" s="68" t="str">
        <f>IF(main!BG283="","",ROUND(main!BG283*100,6))</f>
        <v/>
      </c>
      <c r="AV280" s="68" t="str">
        <f>IF(main!BH283="","",ROUND(main!BH283*100,6))</f>
        <v/>
      </c>
      <c r="AW280" s="68" t="str">
        <f>IF(main!BI283="","",ROUND(main!BI283*100,6))</f>
        <v/>
      </c>
      <c r="AX280" s="68" t="str">
        <f>IF(main!BJ283="","",ROUND(main!BJ283*100,6))</f>
        <v/>
      </c>
      <c r="AY280" s="68" t="str">
        <f>IF(main!BK283="","",ROUND(main!BK283*100,6))</f>
        <v/>
      </c>
      <c r="AZ280" s="68" t="str">
        <f>IF(main!BL283="","",ROUND(main!BL283*100,6))</f>
        <v/>
      </c>
      <c r="BA280" s="68" t="str">
        <f>IF(main!BM283="","",ROUND(main!BM283*100,6))</f>
        <v/>
      </c>
      <c r="BB280" s="68" t="str">
        <f>IF(main!BN283="","",ROUND(main!BN283*100,6))</f>
        <v/>
      </c>
      <c r="BC280" s="68" t="str">
        <f>IF(main!BO283="","",ROUND(main!BO283*100,6))</f>
        <v/>
      </c>
      <c r="BD280" s="68">
        <f>IF(main!BP283="","",ROUND(main!BP283*100,6))</f>
        <v>4.7619049999999996</v>
      </c>
      <c r="BE280" s="68">
        <f>IF(main!BQ283="","",ROUND(main!BQ283*100,6))</f>
        <v>33.333333000000003</v>
      </c>
      <c r="BF280" s="68">
        <f>IF(main!BR283="","",ROUND(main!BR283*100,6))</f>
        <v>33.333333000000003</v>
      </c>
      <c r="BG280" s="68">
        <f>IF(main!BS283="","",ROUND(main!BS283*100,6))</f>
        <v>28.571428999999998</v>
      </c>
      <c r="BH280" s="68" t="str">
        <f>IF(main!BT283="","",ROUND(main!BT283*100,6))</f>
        <v/>
      </c>
      <c r="BI280" s="68" t="str">
        <f>IF(main!BU283="","",ROUND(main!BU283*100,6))</f>
        <v/>
      </c>
      <c r="BJ280" s="68" t="str">
        <f>IF(main!BV283="","",ROUND(main!BV283*100,6))</f>
        <v/>
      </c>
      <c r="BK280" s="68" t="str">
        <f>IF(main!BW283="","",ROUND(main!BW283*100,6))</f>
        <v/>
      </c>
      <c r="BL280" s="68" t="str">
        <f>IF(main!BX283="","",ROUND(main!BX283*100,6))</f>
        <v/>
      </c>
      <c r="BM280" s="68" t="str">
        <f>IF(main!BY283="","",ROUND(main!BY283*100,6))</f>
        <v/>
      </c>
      <c r="BN280" s="68" t="str">
        <f>IF(main!BZ283="","",ROUND(main!BZ283*100,6))</f>
        <v/>
      </c>
      <c r="BO280" s="68" t="str">
        <f>IF(main!CA283="","",ROUND(main!CA283*100,6))</f>
        <v/>
      </c>
      <c r="BP280" s="68" t="str">
        <f>IF(main!CB283="","",ROUND(main!CB283*100,6))</f>
        <v/>
      </c>
      <c r="BQ280" s="68" t="str">
        <f>IF(main!CC283="","",ROUND(main!CC283*100,6))</f>
        <v/>
      </c>
      <c r="BR280" s="68" t="str">
        <f>IF(main!CD283="","",ROUND(main!CD283*100,6))</f>
        <v/>
      </c>
      <c r="BS280" s="68" t="str">
        <f>IF(main!CE283="","",ROUND(main!CE283*100,6))</f>
        <v/>
      </c>
      <c r="BT280" s="68" t="str">
        <f>IF(main!CF283="","",ROUND(main!CF283*100,6))</f>
        <v/>
      </c>
      <c r="BU280" s="68" t="str">
        <f>IF(main!CG283="","",ROUND(main!CG283*100,6))</f>
        <v/>
      </c>
      <c r="BV280" s="68" t="str">
        <f>IF(main!CH283="","",ROUND(main!CH283*100,6))</f>
        <v/>
      </c>
      <c r="BW280" s="68" t="str">
        <f>IF(main!CI283="","",ROUND(main!CI283*100,6))</f>
        <v/>
      </c>
      <c r="BX280" s="68" t="str">
        <f>IF(main!CJ283="","",ROUND(main!CJ283*100,6))</f>
        <v/>
      </c>
      <c r="BY280" s="68" t="str">
        <f>IF(main!CK283="","",ROUND(main!CK283*100,6))</f>
        <v/>
      </c>
      <c r="BZ280" s="68" t="str">
        <f>IF(main!CL283="","",ROUND(main!CL283*100,6))</f>
        <v/>
      </c>
      <c r="CA280" s="68" t="str">
        <f>IF(main!CM283="","",ROUND(main!CM283*100,6))</f>
        <v/>
      </c>
      <c r="CB280" s="68" t="str">
        <f>IF(main!CN283="","",ROUND(main!CN283*100,6))</f>
        <v/>
      </c>
      <c r="CC280" s="68" t="str">
        <f>IF(main!CO283="","",ROUND(main!CO283*100,6))</f>
        <v/>
      </c>
    </row>
    <row r="281" spans="1:81" x14ac:dyDescent="0.25">
      <c r="A281" s="65" t="s">
        <v>437</v>
      </c>
      <c r="B281" s="66" t="str">
        <f>main!C283</f>
        <v>งานแต่งเรียบผนังภายในเดิม</v>
      </c>
      <c r="C281" s="67">
        <f>main!O283</f>
        <v>100000</v>
      </c>
      <c r="D281" s="65" t="s">
        <v>111</v>
      </c>
      <c r="E281" s="68" t="str">
        <f t="shared" si="4"/>
        <v/>
      </c>
      <c r="F281" s="68" t="str">
        <f>IF(main!R284="","",ROUND(main!R284*100,6))</f>
        <v/>
      </c>
      <c r="G281" s="68" t="str">
        <f>IF(main!S284="","",ROUND(main!S284*100,6))</f>
        <v/>
      </c>
      <c r="H281" s="68" t="str">
        <f>IF(main!T284="","",ROUND(main!T284*100,6))</f>
        <v/>
      </c>
      <c r="I281" s="68" t="str">
        <f>IF(main!U284="","",ROUND(main!U284*100,6))</f>
        <v/>
      </c>
      <c r="J281" s="68" t="str">
        <f>IF(main!V284="","",ROUND(main!V284*100,6))</f>
        <v/>
      </c>
      <c r="K281" s="68" t="str">
        <f>IF(main!W284="","",ROUND(main!W284*100,6))</f>
        <v/>
      </c>
      <c r="L281" s="68" t="str">
        <f>IF(main!X284="","",ROUND(main!X284*100,6))</f>
        <v/>
      </c>
      <c r="M281" s="68" t="str">
        <f>IF(main!Y284="","",ROUND(main!Y284*100,6))</f>
        <v/>
      </c>
      <c r="N281" s="68" t="str">
        <f>IF(main!Z284="","",ROUND(main!Z284*100,6))</f>
        <v/>
      </c>
      <c r="O281" s="68" t="str">
        <f>IF(main!AA284="","",ROUND(main!AA284*100,6))</f>
        <v/>
      </c>
      <c r="P281" s="68" t="str">
        <f>IF(main!AB284="","",ROUND(main!AB284*100,6))</f>
        <v/>
      </c>
      <c r="Q281" s="68" t="str">
        <f>IF(main!AC284="","",ROUND(main!AC284*100,6))</f>
        <v/>
      </c>
      <c r="R281" s="68" t="str">
        <f>IF(main!AD284="","",ROUND(main!AD284*100,6))</f>
        <v/>
      </c>
      <c r="S281" s="68" t="str">
        <f>IF(main!AE284="","",ROUND(main!AE284*100,6))</f>
        <v/>
      </c>
      <c r="T281" s="68" t="str">
        <f>IF(main!AF284="","",ROUND(main!AF284*100,6))</f>
        <v/>
      </c>
      <c r="U281" s="68" t="str">
        <f>IF(main!AG284="","",ROUND(main!AG284*100,6))</f>
        <v/>
      </c>
      <c r="V281" s="68" t="str">
        <f>IF(main!AH284="","",ROUND(main!AH284*100,6))</f>
        <v/>
      </c>
      <c r="W281" s="68" t="str">
        <f>IF(main!AI284="","",ROUND(main!AI284*100,6))</f>
        <v/>
      </c>
      <c r="X281" s="68" t="str">
        <f>IF(main!AJ284="","",ROUND(main!AJ284*100,6))</f>
        <v/>
      </c>
      <c r="Y281" s="68" t="str">
        <f>IF(main!AK284="","",ROUND(main!AK284*100,6))</f>
        <v/>
      </c>
      <c r="Z281" s="68" t="str">
        <f>IF(main!AL284="","",ROUND(main!AL284*100,6))</f>
        <v/>
      </c>
      <c r="AA281" s="68" t="str">
        <f>IF(main!AM284="","",ROUND(main!AM284*100,6))</f>
        <v/>
      </c>
      <c r="AB281" s="68" t="str">
        <f>IF(main!AN284="","",ROUND(main!AN284*100,6))</f>
        <v/>
      </c>
      <c r="AC281" s="68" t="str">
        <f>IF(main!AO284="","",ROUND(main!AO284*100,6))</f>
        <v/>
      </c>
      <c r="AD281" s="68" t="str">
        <f>IF(main!AP284="","",ROUND(main!AP284*100,6))</f>
        <v/>
      </c>
      <c r="AE281" s="68" t="str">
        <f>IF(main!AQ284="","",ROUND(main!AQ284*100,6))</f>
        <v/>
      </c>
      <c r="AF281" s="68" t="str">
        <f>IF(main!AR284="","",ROUND(main!AR284*100,6))</f>
        <v/>
      </c>
      <c r="AG281" s="68" t="str">
        <f>IF(main!AS284="","",ROUND(main!AS284*100,6))</f>
        <v/>
      </c>
      <c r="AH281" s="68" t="str">
        <f>IF(main!AT284="","",ROUND(main!AT284*100,6))</f>
        <v/>
      </c>
      <c r="AI281" s="68" t="str">
        <f>IF(main!AU284="","",ROUND(main!AU284*100,6))</f>
        <v/>
      </c>
      <c r="AJ281" s="68" t="str">
        <f>IF(main!AV284="","",ROUND(main!AV284*100,6))</f>
        <v/>
      </c>
      <c r="AK281" s="68" t="str">
        <f>IF(main!AW284="","",ROUND(main!AW284*100,6))</f>
        <v/>
      </c>
      <c r="AL281" s="68" t="str">
        <f>IF(main!AX284="","",ROUND(main!AX284*100,6))</f>
        <v/>
      </c>
      <c r="AM281" s="68" t="str">
        <f>IF(main!AY284="","",ROUND(main!AY284*100,6))</f>
        <v/>
      </c>
      <c r="AN281" s="68" t="str">
        <f>IF(main!AZ284="","",ROUND(main!AZ284*100,6))</f>
        <v/>
      </c>
      <c r="AO281" s="68" t="str">
        <f>IF(main!BA284="","",ROUND(main!BA284*100,6))</f>
        <v/>
      </c>
      <c r="AP281" s="68" t="str">
        <f>IF(main!BB284="","",ROUND(main!BB284*100,6))</f>
        <v/>
      </c>
      <c r="AQ281" s="68" t="str">
        <f>IF(main!BC284="","",ROUND(main!BC284*100,6))</f>
        <v/>
      </c>
      <c r="AR281" s="68" t="str">
        <f>IF(main!BD284="","",ROUND(main!BD284*100,6))</f>
        <v/>
      </c>
      <c r="AS281" s="68" t="str">
        <f>IF(main!BE284="","",ROUND(main!BE284*100,6))</f>
        <v/>
      </c>
      <c r="AT281" s="68" t="str">
        <f>IF(main!BF284="","",ROUND(main!BF284*100,6))</f>
        <v/>
      </c>
      <c r="AU281" s="68" t="str">
        <f>IF(main!BG284="","",ROUND(main!BG284*100,6))</f>
        <v/>
      </c>
      <c r="AV281" s="68" t="str">
        <f>IF(main!BH284="","",ROUND(main!BH284*100,6))</f>
        <v/>
      </c>
      <c r="AW281" s="68" t="str">
        <f>IF(main!BI284="","",ROUND(main!BI284*100,6))</f>
        <v/>
      </c>
      <c r="AX281" s="68" t="str">
        <f>IF(main!BJ284="","",ROUND(main!BJ284*100,6))</f>
        <v/>
      </c>
      <c r="AY281" s="68" t="str">
        <f>IF(main!BK284="","",ROUND(main!BK284*100,6))</f>
        <v/>
      </c>
      <c r="AZ281" s="68" t="str">
        <f>IF(main!BL284="","",ROUND(main!BL284*100,6))</f>
        <v/>
      </c>
      <c r="BA281" s="68" t="str">
        <f>IF(main!BM284="","",ROUND(main!BM284*100,6))</f>
        <v/>
      </c>
      <c r="BB281" s="68" t="str">
        <f>IF(main!BN284="","",ROUND(main!BN284*100,6))</f>
        <v/>
      </c>
      <c r="BC281" s="68" t="str">
        <f>IF(main!BO284="","",ROUND(main!BO284*100,6))</f>
        <v/>
      </c>
      <c r="BD281" s="68" t="str">
        <f>IF(main!BP284="","",ROUND(main!BP284*100,6))</f>
        <v/>
      </c>
      <c r="BE281" s="68" t="str">
        <f>IF(main!BQ284="","",ROUND(main!BQ284*100,6))</f>
        <v/>
      </c>
      <c r="BF281" s="68" t="str">
        <f>IF(main!BR284="","",ROUND(main!BR284*100,6))</f>
        <v/>
      </c>
      <c r="BG281" s="68" t="str">
        <f>IF(main!BS284="","",ROUND(main!BS284*100,6))</f>
        <v/>
      </c>
      <c r="BH281" s="68" t="str">
        <f>IF(main!BT284="","",ROUND(main!BT284*100,6))</f>
        <v/>
      </c>
      <c r="BI281" s="68" t="str">
        <f>IF(main!BU284="","",ROUND(main!BU284*100,6))</f>
        <v/>
      </c>
      <c r="BJ281" s="68" t="str">
        <f>IF(main!BV284="","",ROUND(main!BV284*100,6))</f>
        <v/>
      </c>
      <c r="BK281" s="68" t="str">
        <f>IF(main!BW284="","",ROUND(main!BW284*100,6))</f>
        <v/>
      </c>
      <c r="BL281" s="68" t="str">
        <f>IF(main!BX284="","",ROUND(main!BX284*100,6))</f>
        <v/>
      </c>
      <c r="BM281" s="68" t="str">
        <f>IF(main!BY284="","",ROUND(main!BY284*100,6))</f>
        <v/>
      </c>
      <c r="BN281" s="68" t="str">
        <f>IF(main!BZ284="","",ROUND(main!BZ284*100,6))</f>
        <v/>
      </c>
      <c r="BO281" s="68" t="str">
        <f>IF(main!CA284="","",ROUND(main!CA284*100,6))</f>
        <v/>
      </c>
      <c r="BP281" s="68" t="str">
        <f>IF(main!CB284="","",ROUND(main!CB284*100,6))</f>
        <v/>
      </c>
      <c r="BQ281" s="68" t="str">
        <f>IF(main!CC284="","",ROUND(main!CC284*100,6))</f>
        <v/>
      </c>
      <c r="BR281" s="68" t="str">
        <f>IF(main!CD284="","",ROUND(main!CD284*100,6))</f>
        <v/>
      </c>
      <c r="BS281" s="68" t="str">
        <f>IF(main!CE284="","",ROUND(main!CE284*100,6))</f>
        <v/>
      </c>
      <c r="BT281" s="68" t="str">
        <f>IF(main!CF284="","",ROUND(main!CF284*100,6))</f>
        <v/>
      </c>
      <c r="BU281" s="68" t="str">
        <f>IF(main!CG284="","",ROUND(main!CG284*100,6))</f>
        <v/>
      </c>
      <c r="BV281" s="68" t="str">
        <f>IF(main!CH284="","",ROUND(main!CH284*100,6))</f>
        <v/>
      </c>
      <c r="BW281" s="68" t="str">
        <f>IF(main!CI284="","",ROUND(main!CI284*100,6))</f>
        <v/>
      </c>
      <c r="BX281" s="68" t="str">
        <f>IF(main!CJ284="","",ROUND(main!CJ284*100,6))</f>
        <v/>
      </c>
      <c r="BY281" s="68" t="str">
        <f>IF(main!CK284="","",ROUND(main!CK284*100,6))</f>
        <v/>
      </c>
      <c r="BZ281" s="68" t="str">
        <f>IF(main!CL284="","",ROUND(main!CL284*100,6))</f>
        <v/>
      </c>
      <c r="CA281" s="68" t="str">
        <f>IF(main!CM284="","",ROUND(main!CM284*100,6))</f>
        <v/>
      </c>
      <c r="CB281" s="68" t="str">
        <f>IF(main!CN284="","",ROUND(main!CN284*100,6))</f>
        <v/>
      </c>
      <c r="CC281" s="68" t="str">
        <f>IF(main!CO284="","",ROUND(main!CO284*100,6))</f>
        <v/>
      </c>
    </row>
    <row r="282" spans="1:81" x14ac:dyDescent="0.25">
      <c r="A282" s="65" t="s">
        <v>439</v>
      </c>
      <c r="B282" s="66" t="str">
        <f>main!C285</f>
        <v>Ceiling</v>
      </c>
      <c r="C282" s="67">
        <f>main!O285</f>
        <v>200000</v>
      </c>
      <c r="D282" s="65" t="s">
        <v>110</v>
      </c>
      <c r="E282" s="68">
        <f t="shared" si="4"/>
        <v>100</v>
      </c>
      <c r="F282" s="68" t="str">
        <f>IF(main!R285="","",ROUND(main!R285*100,6))</f>
        <v/>
      </c>
      <c r="G282" s="68" t="str">
        <f>IF(main!S285="","",ROUND(main!S285*100,6))</f>
        <v/>
      </c>
      <c r="H282" s="68" t="str">
        <f>IF(main!T285="","",ROUND(main!T285*100,6))</f>
        <v/>
      </c>
      <c r="I282" s="68" t="str">
        <f>IF(main!U285="","",ROUND(main!U285*100,6))</f>
        <v/>
      </c>
      <c r="J282" s="68" t="str">
        <f>IF(main!V285="","",ROUND(main!V285*100,6))</f>
        <v/>
      </c>
      <c r="K282" s="68" t="str">
        <f>IF(main!W285="","",ROUND(main!W285*100,6))</f>
        <v/>
      </c>
      <c r="L282" s="68" t="str">
        <f>IF(main!X285="","",ROUND(main!X285*100,6))</f>
        <v/>
      </c>
      <c r="M282" s="68" t="str">
        <f>IF(main!Y285="","",ROUND(main!Y285*100,6))</f>
        <v/>
      </c>
      <c r="N282" s="68" t="str">
        <f>IF(main!Z285="","",ROUND(main!Z285*100,6))</f>
        <v/>
      </c>
      <c r="O282" s="68" t="str">
        <f>IF(main!AA285="","",ROUND(main!AA285*100,6))</f>
        <v/>
      </c>
      <c r="P282" s="68" t="str">
        <f>IF(main!AB285="","",ROUND(main!AB285*100,6))</f>
        <v/>
      </c>
      <c r="Q282" s="68" t="str">
        <f>IF(main!AC285="","",ROUND(main!AC285*100,6))</f>
        <v/>
      </c>
      <c r="R282" s="68" t="str">
        <f>IF(main!AD285="","",ROUND(main!AD285*100,6))</f>
        <v/>
      </c>
      <c r="S282" s="68" t="str">
        <f>IF(main!AE285="","",ROUND(main!AE285*100,6))</f>
        <v/>
      </c>
      <c r="T282" s="68" t="str">
        <f>IF(main!AF285="","",ROUND(main!AF285*100,6))</f>
        <v/>
      </c>
      <c r="U282" s="68" t="str">
        <f>IF(main!AG285="","",ROUND(main!AG285*100,6))</f>
        <v/>
      </c>
      <c r="V282" s="68" t="str">
        <f>IF(main!AH285="","",ROUND(main!AH285*100,6))</f>
        <v/>
      </c>
      <c r="W282" s="68" t="str">
        <f>IF(main!AI285="","",ROUND(main!AI285*100,6))</f>
        <v/>
      </c>
      <c r="X282" s="68" t="str">
        <f>IF(main!AJ285="","",ROUND(main!AJ285*100,6))</f>
        <v/>
      </c>
      <c r="Y282" s="68" t="str">
        <f>IF(main!AK285="","",ROUND(main!AK285*100,6))</f>
        <v/>
      </c>
      <c r="Z282" s="68" t="str">
        <f>IF(main!AL285="","",ROUND(main!AL285*100,6))</f>
        <v/>
      </c>
      <c r="AA282" s="68" t="str">
        <f>IF(main!AM285="","",ROUND(main!AM285*100,6))</f>
        <v/>
      </c>
      <c r="AB282" s="68" t="str">
        <f>IF(main!AN285="","",ROUND(main!AN285*100,6))</f>
        <v/>
      </c>
      <c r="AC282" s="68" t="str">
        <f>IF(main!AO285="","",ROUND(main!AO285*100,6))</f>
        <v/>
      </c>
      <c r="AD282" s="68" t="str">
        <f>IF(main!AP285="","",ROUND(main!AP285*100,6))</f>
        <v/>
      </c>
      <c r="AE282" s="68" t="str">
        <f>IF(main!AQ285="","",ROUND(main!AQ285*100,6))</f>
        <v/>
      </c>
      <c r="AF282" s="68" t="str">
        <f>IF(main!AR285="","",ROUND(main!AR285*100,6))</f>
        <v/>
      </c>
      <c r="AG282" s="68" t="str">
        <f>IF(main!AS285="","",ROUND(main!AS285*100,6))</f>
        <v/>
      </c>
      <c r="AH282" s="68" t="str">
        <f>IF(main!AT285="","",ROUND(main!AT285*100,6))</f>
        <v/>
      </c>
      <c r="AI282" s="68" t="str">
        <f>IF(main!AU285="","",ROUND(main!AU285*100,6))</f>
        <v/>
      </c>
      <c r="AJ282" s="68" t="str">
        <f>IF(main!AV285="","",ROUND(main!AV285*100,6))</f>
        <v/>
      </c>
      <c r="AK282" s="68" t="str">
        <f>IF(main!AW285="","",ROUND(main!AW285*100,6))</f>
        <v/>
      </c>
      <c r="AL282" s="68" t="str">
        <f>IF(main!AX285="","",ROUND(main!AX285*100,6))</f>
        <v/>
      </c>
      <c r="AM282" s="68" t="str">
        <f>IF(main!AY285="","",ROUND(main!AY285*100,6))</f>
        <v/>
      </c>
      <c r="AN282" s="68" t="str">
        <f>IF(main!AZ285="","",ROUND(main!AZ285*100,6))</f>
        <v/>
      </c>
      <c r="AO282" s="68" t="str">
        <f>IF(main!BA285="","",ROUND(main!BA285*100,6))</f>
        <v/>
      </c>
      <c r="AP282" s="68" t="str">
        <f>IF(main!BB285="","",ROUND(main!BB285*100,6))</f>
        <v/>
      </c>
      <c r="AQ282" s="68" t="str">
        <f>IF(main!BC285="","",ROUND(main!BC285*100,6))</f>
        <v/>
      </c>
      <c r="AR282" s="68" t="str">
        <f>IF(main!BD285="","",ROUND(main!BD285*100,6))</f>
        <v/>
      </c>
      <c r="AS282" s="68" t="str">
        <f>IF(main!BE285="","",ROUND(main!BE285*100,6))</f>
        <v/>
      </c>
      <c r="AT282" s="68" t="str">
        <f>IF(main!BF285="","",ROUND(main!BF285*100,6))</f>
        <v/>
      </c>
      <c r="AU282" s="68" t="str">
        <f>IF(main!BG285="","",ROUND(main!BG285*100,6))</f>
        <v/>
      </c>
      <c r="AV282" s="68" t="str">
        <f>IF(main!BH285="","",ROUND(main!BH285*100,6))</f>
        <v/>
      </c>
      <c r="AW282" s="68" t="str">
        <f>IF(main!BI285="","",ROUND(main!BI285*100,6))</f>
        <v/>
      </c>
      <c r="AX282" s="68" t="str">
        <f>IF(main!BJ285="","",ROUND(main!BJ285*100,6))</f>
        <v/>
      </c>
      <c r="AY282" s="68" t="str">
        <f>IF(main!BK285="","",ROUND(main!BK285*100,6))</f>
        <v/>
      </c>
      <c r="AZ282" s="68" t="str">
        <f>IF(main!BL285="","",ROUND(main!BL285*100,6))</f>
        <v/>
      </c>
      <c r="BA282" s="68" t="str">
        <f>IF(main!BM285="","",ROUND(main!BM285*100,6))</f>
        <v/>
      </c>
      <c r="BB282" s="68" t="str">
        <f>IF(main!BN285="","",ROUND(main!BN285*100,6))</f>
        <v/>
      </c>
      <c r="BC282" s="68" t="str">
        <f>IF(main!BO285="","",ROUND(main!BO285*100,6))</f>
        <v/>
      </c>
      <c r="BD282" s="68" t="str">
        <f>IF(main!BP285="","",ROUND(main!BP285*100,6))</f>
        <v/>
      </c>
      <c r="BE282" s="68" t="str">
        <f>IF(main!BQ285="","",ROUND(main!BQ285*100,6))</f>
        <v/>
      </c>
      <c r="BF282" s="68" t="str">
        <f>IF(main!BR285="","",ROUND(main!BR285*100,6))</f>
        <v/>
      </c>
      <c r="BG282" s="68">
        <f>IF(main!BS285="","",ROUND(main!BS285*100,6))</f>
        <v>2.3809520000000002</v>
      </c>
      <c r="BH282" s="68">
        <f>IF(main!BT285="","",ROUND(main!BT285*100,6))</f>
        <v>16.666667</v>
      </c>
      <c r="BI282" s="68">
        <f>IF(main!BU285="","",ROUND(main!BU285*100,6))</f>
        <v>16.666667</v>
      </c>
      <c r="BJ282" s="68">
        <f>IF(main!BV285="","",ROUND(main!BV285*100,6))</f>
        <v>14.285714</v>
      </c>
      <c r="BK282" s="68" t="str">
        <f>IF(main!BW285="","",ROUND(main!BW285*100,6))</f>
        <v/>
      </c>
      <c r="BL282" s="68" t="str">
        <f>IF(main!BX285="","",ROUND(main!BX285*100,6))</f>
        <v/>
      </c>
      <c r="BM282" s="68" t="str">
        <f>IF(main!BY285="","",ROUND(main!BY285*100,6))</f>
        <v/>
      </c>
      <c r="BN282" s="68" t="str">
        <f>IF(main!BZ285="","",ROUND(main!BZ285*100,6))</f>
        <v/>
      </c>
      <c r="BO282" s="68" t="str">
        <f>IF(main!CA285="","",ROUND(main!CA285*100,6))</f>
        <v/>
      </c>
      <c r="BP282" s="68">
        <f>IF(main!CB285="","",ROUND(main!CB285*100,6))</f>
        <v>20.833333</v>
      </c>
      <c r="BQ282" s="68">
        <f>IF(main!CC285="","",ROUND(main!CC285*100,6))</f>
        <v>29.166667</v>
      </c>
      <c r="BR282" s="68" t="str">
        <f>IF(main!CD285="","",ROUND(main!CD285*100,6))</f>
        <v/>
      </c>
      <c r="BS282" s="68" t="str">
        <f>IF(main!CE285="","",ROUND(main!CE285*100,6))</f>
        <v/>
      </c>
      <c r="BT282" s="68" t="str">
        <f>IF(main!CF285="","",ROUND(main!CF285*100,6))</f>
        <v/>
      </c>
      <c r="BU282" s="68" t="str">
        <f>IF(main!CG285="","",ROUND(main!CG285*100,6))</f>
        <v/>
      </c>
      <c r="BV282" s="68" t="str">
        <f>IF(main!CH285="","",ROUND(main!CH285*100,6))</f>
        <v/>
      </c>
      <c r="BW282" s="68" t="str">
        <f>IF(main!CI285="","",ROUND(main!CI285*100,6))</f>
        <v/>
      </c>
      <c r="BX282" s="68" t="str">
        <f>IF(main!CJ285="","",ROUND(main!CJ285*100,6))</f>
        <v/>
      </c>
      <c r="BY282" s="68" t="str">
        <f>IF(main!CK285="","",ROUND(main!CK285*100,6))</f>
        <v/>
      </c>
      <c r="BZ282" s="68" t="str">
        <f>IF(main!CL285="","",ROUND(main!CL285*100,6))</f>
        <v/>
      </c>
      <c r="CA282" s="68" t="str">
        <f>IF(main!CM285="","",ROUND(main!CM285*100,6))</f>
        <v/>
      </c>
      <c r="CB282" s="68" t="str">
        <f>IF(main!CN285="","",ROUND(main!CN285*100,6))</f>
        <v/>
      </c>
      <c r="CC282" s="68" t="str">
        <f>IF(main!CO285="","",ROUND(main!CO285*100,6))</f>
        <v/>
      </c>
    </row>
    <row r="283" spans="1:81" x14ac:dyDescent="0.25">
      <c r="A283" s="65" t="s">
        <v>439</v>
      </c>
      <c r="B283" s="66" t="str">
        <f>main!C285</f>
        <v>Ceiling</v>
      </c>
      <c r="C283" s="67">
        <f>main!O285</f>
        <v>200000</v>
      </c>
      <c r="D283" s="65" t="s">
        <v>111</v>
      </c>
      <c r="E283" s="68" t="str">
        <f t="shared" si="4"/>
        <v/>
      </c>
      <c r="F283" s="68" t="str">
        <f>IF(main!R286="","",ROUND(main!R286*100,6))</f>
        <v/>
      </c>
      <c r="G283" s="68" t="str">
        <f>IF(main!S286="","",ROUND(main!S286*100,6))</f>
        <v/>
      </c>
      <c r="H283" s="68" t="str">
        <f>IF(main!T286="","",ROUND(main!T286*100,6))</f>
        <v/>
      </c>
      <c r="I283" s="68" t="str">
        <f>IF(main!U286="","",ROUND(main!U286*100,6))</f>
        <v/>
      </c>
      <c r="J283" s="68" t="str">
        <f>IF(main!V286="","",ROUND(main!V286*100,6))</f>
        <v/>
      </c>
      <c r="K283" s="68" t="str">
        <f>IF(main!W286="","",ROUND(main!W286*100,6))</f>
        <v/>
      </c>
      <c r="L283" s="68" t="str">
        <f>IF(main!X286="","",ROUND(main!X286*100,6))</f>
        <v/>
      </c>
      <c r="M283" s="68" t="str">
        <f>IF(main!Y286="","",ROUND(main!Y286*100,6))</f>
        <v/>
      </c>
      <c r="N283" s="68" t="str">
        <f>IF(main!Z286="","",ROUND(main!Z286*100,6))</f>
        <v/>
      </c>
      <c r="O283" s="68" t="str">
        <f>IF(main!AA286="","",ROUND(main!AA286*100,6))</f>
        <v/>
      </c>
      <c r="P283" s="68" t="str">
        <f>IF(main!AB286="","",ROUND(main!AB286*100,6))</f>
        <v/>
      </c>
      <c r="Q283" s="68" t="str">
        <f>IF(main!AC286="","",ROUND(main!AC286*100,6))</f>
        <v/>
      </c>
      <c r="R283" s="68" t="str">
        <f>IF(main!AD286="","",ROUND(main!AD286*100,6))</f>
        <v/>
      </c>
      <c r="S283" s="68" t="str">
        <f>IF(main!AE286="","",ROUND(main!AE286*100,6))</f>
        <v/>
      </c>
      <c r="T283" s="68" t="str">
        <f>IF(main!AF286="","",ROUND(main!AF286*100,6))</f>
        <v/>
      </c>
      <c r="U283" s="68" t="str">
        <f>IF(main!AG286="","",ROUND(main!AG286*100,6))</f>
        <v/>
      </c>
      <c r="V283" s="68" t="str">
        <f>IF(main!AH286="","",ROUND(main!AH286*100,6))</f>
        <v/>
      </c>
      <c r="W283" s="68" t="str">
        <f>IF(main!AI286="","",ROUND(main!AI286*100,6))</f>
        <v/>
      </c>
      <c r="X283" s="68" t="str">
        <f>IF(main!AJ286="","",ROUND(main!AJ286*100,6))</f>
        <v/>
      </c>
      <c r="Y283" s="68" t="str">
        <f>IF(main!AK286="","",ROUND(main!AK286*100,6))</f>
        <v/>
      </c>
      <c r="Z283" s="68" t="str">
        <f>IF(main!AL286="","",ROUND(main!AL286*100,6))</f>
        <v/>
      </c>
      <c r="AA283" s="68" t="str">
        <f>IF(main!AM286="","",ROUND(main!AM286*100,6))</f>
        <v/>
      </c>
      <c r="AB283" s="68" t="str">
        <f>IF(main!AN286="","",ROUND(main!AN286*100,6))</f>
        <v/>
      </c>
      <c r="AC283" s="68" t="str">
        <f>IF(main!AO286="","",ROUND(main!AO286*100,6))</f>
        <v/>
      </c>
      <c r="AD283" s="68" t="str">
        <f>IF(main!AP286="","",ROUND(main!AP286*100,6))</f>
        <v/>
      </c>
      <c r="AE283" s="68" t="str">
        <f>IF(main!AQ286="","",ROUND(main!AQ286*100,6))</f>
        <v/>
      </c>
      <c r="AF283" s="68" t="str">
        <f>IF(main!AR286="","",ROUND(main!AR286*100,6))</f>
        <v/>
      </c>
      <c r="AG283" s="68" t="str">
        <f>IF(main!AS286="","",ROUND(main!AS286*100,6))</f>
        <v/>
      </c>
      <c r="AH283" s="68" t="str">
        <f>IF(main!AT286="","",ROUND(main!AT286*100,6))</f>
        <v/>
      </c>
      <c r="AI283" s="68" t="str">
        <f>IF(main!AU286="","",ROUND(main!AU286*100,6))</f>
        <v/>
      </c>
      <c r="AJ283" s="68" t="str">
        <f>IF(main!AV286="","",ROUND(main!AV286*100,6))</f>
        <v/>
      </c>
      <c r="AK283" s="68" t="str">
        <f>IF(main!AW286="","",ROUND(main!AW286*100,6))</f>
        <v/>
      </c>
      <c r="AL283" s="68" t="str">
        <f>IF(main!AX286="","",ROUND(main!AX286*100,6))</f>
        <v/>
      </c>
      <c r="AM283" s="68" t="str">
        <f>IF(main!AY286="","",ROUND(main!AY286*100,6))</f>
        <v/>
      </c>
      <c r="AN283" s="68" t="str">
        <f>IF(main!AZ286="","",ROUND(main!AZ286*100,6))</f>
        <v/>
      </c>
      <c r="AO283" s="68" t="str">
        <f>IF(main!BA286="","",ROUND(main!BA286*100,6))</f>
        <v/>
      </c>
      <c r="AP283" s="68" t="str">
        <f>IF(main!BB286="","",ROUND(main!BB286*100,6))</f>
        <v/>
      </c>
      <c r="AQ283" s="68" t="str">
        <f>IF(main!BC286="","",ROUND(main!BC286*100,6))</f>
        <v/>
      </c>
      <c r="AR283" s="68" t="str">
        <f>IF(main!BD286="","",ROUND(main!BD286*100,6))</f>
        <v/>
      </c>
      <c r="AS283" s="68" t="str">
        <f>IF(main!BE286="","",ROUND(main!BE286*100,6))</f>
        <v/>
      </c>
      <c r="AT283" s="68" t="str">
        <f>IF(main!BF286="","",ROUND(main!BF286*100,6))</f>
        <v/>
      </c>
      <c r="AU283" s="68" t="str">
        <f>IF(main!BG286="","",ROUND(main!BG286*100,6))</f>
        <v/>
      </c>
      <c r="AV283" s="68" t="str">
        <f>IF(main!BH286="","",ROUND(main!BH286*100,6))</f>
        <v/>
      </c>
      <c r="AW283" s="68" t="str">
        <f>IF(main!BI286="","",ROUND(main!BI286*100,6))</f>
        <v/>
      </c>
      <c r="AX283" s="68" t="str">
        <f>IF(main!BJ286="","",ROUND(main!BJ286*100,6))</f>
        <v/>
      </c>
      <c r="AY283" s="68" t="str">
        <f>IF(main!BK286="","",ROUND(main!BK286*100,6))</f>
        <v/>
      </c>
      <c r="AZ283" s="68" t="str">
        <f>IF(main!BL286="","",ROUND(main!BL286*100,6))</f>
        <v/>
      </c>
      <c r="BA283" s="68" t="str">
        <f>IF(main!BM286="","",ROUND(main!BM286*100,6))</f>
        <v/>
      </c>
      <c r="BB283" s="68" t="str">
        <f>IF(main!BN286="","",ROUND(main!BN286*100,6))</f>
        <v/>
      </c>
      <c r="BC283" s="68" t="str">
        <f>IF(main!BO286="","",ROUND(main!BO286*100,6))</f>
        <v/>
      </c>
      <c r="BD283" s="68" t="str">
        <f>IF(main!BP286="","",ROUND(main!BP286*100,6))</f>
        <v/>
      </c>
      <c r="BE283" s="68" t="str">
        <f>IF(main!BQ286="","",ROUND(main!BQ286*100,6))</f>
        <v/>
      </c>
      <c r="BF283" s="68" t="str">
        <f>IF(main!BR286="","",ROUND(main!BR286*100,6))</f>
        <v/>
      </c>
      <c r="BG283" s="68" t="str">
        <f>IF(main!BS286="","",ROUND(main!BS286*100,6))</f>
        <v/>
      </c>
      <c r="BH283" s="68" t="str">
        <f>IF(main!BT286="","",ROUND(main!BT286*100,6))</f>
        <v/>
      </c>
      <c r="BI283" s="68" t="str">
        <f>IF(main!BU286="","",ROUND(main!BU286*100,6))</f>
        <v/>
      </c>
      <c r="BJ283" s="68" t="str">
        <f>IF(main!BV286="","",ROUND(main!BV286*100,6))</f>
        <v/>
      </c>
      <c r="BK283" s="68" t="str">
        <f>IF(main!BW286="","",ROUND(main!BW286*100,6))</f>
        <v/>
      </c>
      <c r="BL283" s="68" t="str">
        <f>IF(main!BX286="","",ROUND(main!BX286*100,6))</f>
        <v/>
      </c>
      <c r="BM283" s="68" t="str">
        <f>IF(main!BY286="","",ROUND(main!BY286*100,6))</f>
        <v/>
      </c>
      <c r="BN283" s="68" t="str">
        <f>IF(main!BZ286="","",ROUND(main!BZ286*100,6))</f>
        <v/>
      </c>
      <c r="BO283" s="68" t="str">
        <f>IF(main!CA286="","",ROUND(main!CA286*100,6))</f>
        <v/>
      </c>
      <c r="BP283" s="68" t="str">
        <f>IF(main!CB286="","",ROUND(main!CB286*100,6))</f>
        <v/>
      </c>
      <c r="BQ283" s="68" t="str">
        <f>IF(main!CC286="","",ROUND(main!CC286*100,6))</f>
        <v/>
      </c>
      <c r="BR283" s="68" t="str">
        <f>IF(main!CD286="","",ROUND(main!CD286*100,6))</f>
        <v/>
      </c>
      <c r="BS283" s="68" t="str">
        <f>IF(main!CE286="","",ROUND(main!CE286*100,6))</f>
        <v/>
      </c>
      <c r="BT283" s="68" t="str">
        <f>IF(main!CF286="","",ROUND(main!CF286*100,6))</f>
        <v/>
      </c>
      <c r="BU283" s="68" t="str">
        <f>IF(main!CG286="","",ROUND(main!CG286*100,6))</f>
        <v/>
      </c>
      <c r="BV283" s="68" t="str">
        <f>IF(main!CH286="","",ROUND(main!CH286*100,6))</f>
        <v/>
      </c>
      <c r="BW283" s="68" t="str">
        <f>IF(main!CI286="","",ROUND(main!CI286*100,6))</f>
        <v/>
      </c>
      <c r="BX283" s="68" t="str">
        <f>IF(main!CJ286="","",ROUND(main!CJ286*100,6))</f>
        <v/>
      </c>
      <c r="BY283" s="68" t="str">
        <f>IF(main!CK286="","",ROUND(main!CK286*100,6))</f>
        <v/>
      </c>
      <c r="BZ283" s="68" t="str">
        <f>IF(main!CL286="","",ROUND(main!CL286*100,6))</f>
        <v/>
      </c>
      <c r="CA283" s="68" t="str">
        <f>IF(main!CM286="","",ROUND(main!CM286*100,6))</f>
        <v/>
      </c>
      <c r="CB283" s="68" t="str">
        <f>IF(main!CN286="","",ROUND(main!CN286*100,6))</f>
        <v/>
      </c>
      <c r="CC283" s="68" t="str">
        <f>IF(main!CO286="","",ROUND(main!CO286*100,6))</f>
        <v/>
      </c>
    </row>
    <row r="284" spans="1:81" x14ac:dyDescent="0.25">
      <c r="A284" s="65" t="s">
        <v>440</v>
      </c>
      <c r="B284" s="66" t="str">
        <f>main!C287</f>
        <v>งานฝ้าห้องน้ำ</v>
      </c>
      <c r="C284" s="67">
        <f>main!O287</f>
        <v>100000</v>
      </c>
      <c r="D284" s="65" t="s">
        <v>110</v>
      </c>
      <c r="E284" s="68">
        <f t="shared" si="4"/>
        <v>100</v>
      </c>
      <c r="F284" s="68" t="str">
        <f>IF(main!R287="","",ROUND(main!R287*100,6))</f>
        <v/>
      </c>
      <c r="G284" s="68" t="str">
        <f>IF(main!S287="","",ROUND(main!S287*100,6))</f>
        <v/>
      </c>
      <c r="H284" s="68" t="str">
        <f>IF(main!T287="","",ROUND(main!T287*100,6))</f>
        <v/>
      </c>
      <c r="I284" s="68" t="str">
        <f>IF(main!U287="","",ROUND(main!U287*100,6))</f>
        <v/>
      </c>
      <c r="J284" s="68" t="str">
        <f>IF(main!V287="","",ROUND(main!V287*100,6))</f>
        <v/>
      </c>
      <c r="K284" s="68" t="str">
        <f>IF(main!W287="","",ROUND(main!W287*100,6))</f>
        <v/>
      </c>
      <c r="L284" s="68" t="str">
        <f>IF(main!X287="","",ROUND(main!X287*100,6))</f>
        <v/>
      </c>
      <c r="M284" s="68" t="str">
        <f>IF(main!Y287="","",ROUND(main!Y287*100,6))</f>
        <v/>
      </c>
      <c r="N284" s="68" t="str">
        <f>IF(main!Z287="","",ROUND(main!Z287*100,6))</f>
        <v/>
      </c>
      <c r="O284" s="68" t="str">
        <f>IF(main!AA287="","",ROUND(main!AA287*100,6))</f>
        <v/>
      </c>
      <c r="P284" s="68" t="str">
        <f>IF(main!AB287="","",ROUND(main!AB287*100,6))</f>
        <v/>
      </c>
      <c r="Q284" s="68" t="str">
        <f>IF(main!AC287="","",ROUND(main!AC287*100,6))</f>
        <v/>
      </c>
      <c r="R284" s="68" t="str">
        <f>IF(main!AD287="","",ROUND(main!AD287*100,6))</f>
        <v/>
      </c>
      <c r="S284" s="68" t="str">
        <f>IF(main!AE287="","",ROUND(main!AE287*100,6))</f>
        <v/>
      </c>
      <c r="T284" s="68" t="str">
        <f>IF(main!AF287="","",ROUND(main!AF287*100,6))</f>
        <v/>
      </c>
      <c r="U284" s="68" t="str">
        <f>IF(main!AG287="","",ROUND(main!AG287*100,6))</f>
        <v/>
      </c>
      <c r="V284" s="68" t="str">
        <f>IF(main!AH287="","",ROUND(main!AH287*100,6))</f>
        <v/>
      </c>
      <c r="W284" s="68" t="str">
        <f>IF(main!AI287="","",ROUND(main!AI287*100,6))</f>
        <v/>
      </c>
      <c r="X284" s="68" t="str">
        <f>IF(main!AJ287="","",ROUND(main!AJ287*100,6))</f>
        <v/>
      </c>
      <c r="Y284" s="68" t="str">
        <f>IF(main!AK287="","",ROUND(main!AK287*100,6))</f>
        <v/>
      </c>
      <c r="Z284" s="68" t="str">
        <f>IF(main!AL287="","",ROUND(main!AL287*100,6))</f>
        <v/>
      </c>
      <c r="AA284" s="68" t="str">
        <f>IF(main!AM287="","",ROUND(main!AM287*100,6))</f>
        <v/>
      </c>
      <c r="AB284" s="68" t="str">
        <f>IF(main!AN287="","",ROUND(main!AN287*100,6))</f>
        <v/>
      </c>
      <c r="AC284" s="68" t="str">
        <f>IF(main!AO287="","",ROUND(main!AO287*100,6))</f>
        <v/>
      </c>
      <c r="AD284" s="68" t="str">
        <f>IF(main!AP287="","",ROUND(main!AP287*100,6))</f>
        <v/>
      </c>
      <c r="AE284" s="68" t="str">
        <f>IF(main!AQ287="","",ROUND(main!AQ287*100,6))</f>
        <v/>
      </c>
      <c r="AF284" s="68" t="str">
        <f>IF(main!AR287="","",ROUND(main!AR287*100,6))</f>
        <v/>
      </c>
      <c r="AG284" s="68" t="str">
        <f>IF(main!AS287="","",ROUND(main!AS287*100,6))</f>
        <v/>
      </c>
      <c r="AH284" s="68" t="str">
        <f>IF(main!AT287="","",ROUND(main!AT287*100,6))</f>
        <v/>
      </c>
      <c r="AI284" s="68" t="str">
        <f>IF(main!AU287="","",ROUND(main!AU287*100,6))</f>
        <v/>
      </c>
      <c r="AJ284" s="68" t="str">
        <f>IF(main!AV287="","",ROUND(main!AV287*100,6))</f>
        <v/>
      </c>
      <c r="AK284" s="68" t="str">
        <f>IF(main!AW287="","",ROUND(main!AW287*100,6))</f>
        <v/>
      </c>
      <c r="AL284" s="68" t="str">
        <f>IF(main!AX287="","",ROUND(main!AX287*100,6))</f>
        <v/>
      </c>
      <c r="AM284" s="68" t="str">
        <f>IF(main!AY287="","",ROUND(main!AY287*100,6))</f>
        <v/>
      </c>
      <c r="AN284" s="68" t="str">
        <f>IF(main!AZ287="","",ROUND(main!AZ287*100,6))</f>
        <v/>
      </c>
      <c r="AO284" s="68" t="str">
        <f>IF(main!BA287="","",ROUND(main!BA287*100,6))</f>
        <v/>
      </c>
      <c r="AP284" s="68" t="str">
        <f>IF(main!BB287="","",ROUND(main!BB287*100,6))</f>
        <v/>
      </c>
      <c r="AQ284" s="68" t="str">
        <f>IF(main!BC287="","",ROUND(main!BC287*100,6))</f>
        <v/>
      </c>
      <c r="AR284" s="68" t="str">
        <f>IF(main!BD287="","",ROUND(main!BD287*100,6))</f>
        <v/>
      </c>
      <c r="AS284" s="68" t="str">
        <f>IF(main!BE287="","",ROUND(main!BE287*100,6))</f>
        <v/>
      </c>
      <c r="AT284" s="68" t="str">
        <f>IF(main!BF287="","",ROUND(main!BF287*100,6))</f>
        <v/>
      </c>
      <c r="AU284" s="68" t="str">
        <f>IF(main!BG287="","",ROUND(main!BG287*100,6))</f>
        <v/>
      </c>
      <c r="AV284" s="68" t="str">
        <f>IF(main!BH287="","",ROUND(main!BH287*100,6))</f>
        <v/>
      </c>
      <c r="AW284" s="68" t="str">
        <f>IF(main!BI287="","",ROUND(main!BI287*100,6))</f>
        <v/>
      </c>
      <c r="AX284" s="68" t="str">
        <f>IF(main!BJ287="","",ROUND(main!BJ287*100,6))</f>
        <v/>
      </c>
      <c r="AY284" s="68" t="str">
        <f>IF(main!BK287="","",ROUND(main!BK287*100,6))</f>
        <v/>
      </c>
      <c r="AZ284" s="68" t="str">
        <f>IF(main!BL287="","",ROUND(main!BL287*100,6))</f>
        <v/>
      </c>
      <c r="BA284" s="68" t="str">
        <f>IF(main!BM287="","",ROUND(main!BM287*100,6))</f>
        <v/>
      </c>
      <c r="BB284" s="68" t="str">
        <f>IF(main!BN287="","",ROUND(main!BN287*100,6))</f>
        <v/>
      </c>
      <c r="BC284" s="68" t="str">
        <f>IF(main!BO287="","",ROUND(main!BO287*100,6))</f>
        <v/>
      </c>
      <c r="BD284" s="68" t="str">
        <f>IF(main!BP287="","",ROUND(main!BP287*100,6))</f>
        <v/>
      </c>
      <c r="BE284" s="68" t="str">
        <f>IF(main!BQ287="","",ROUND(main!BQ287*100,6))</f>
        <v/>
      </c>
      <c r="BF284" s="68" t="str">
        <f>IF(main!BR287="","",ROUND(main!BR287*100,6))</f>
        <v/>
      </c>
      <c r="BG284" s="68" t="str">
        <f>IF(main!BS287="","",ROUND(main!BS287*100,6))</f>
        <v/>
      </c>
      <c r="BH284" s="68" t="str">
        <f>IF(main!BT287="","",ROUND(main!BT287*100,6))</f>
        <v/>
      </c>
      <c r="BI284" s="68" t="str">
        <f>IF(main!BU287="","",ROUND(main!BU287*100,6))</f>
        <v/>
      </c>
      <c r="BJ284" s="68" t="str">
        <f>IF(main!BV287="","",ROUND(main!BV287*100,6))</f>
        <v/>
      </c>
      <c r="BK284" s="68" t="str">
        <f>IF(main!BW287="","",ROUND(main!BW287*100,6))</f>
        <v/>
      </c>
      <c r="BL284" s="68" t="str">
        <f>IF(main!BX287="","",ROUND(main!BX287*100,6))</f>
        <v/>
      </c>
      <c r="BM284" s="68" t="str">
        <f>IF(main!BY287="","",ROUND(main!BY287*100,6))</f>
        <v/>
      </c>
      <c r="BN284" s="68" t="str">
        <f>IF(main!BZ287="","",ROUND(main!BZ287*100,6))</f>
        <v/>
      </c>
      <c r="BO284" s="68" t="str">
        <f>IF(main!CA287="","",ROUND(main!CA287*100,6))</f>
        <v/>
      </c>
      <c r="BP284" s="68">
        <f>IF(main!CB287="","",ROUND(main!CB287*100,6))</f>
        <v>41.666666999999997</v>
      </c>
      <c r="BQ284" s="68">
        <f>IF(main!CC287="","",ROUND(main!CC287*100,6))</f>
        <v>58.333333000000003</v>
      </c>
      <c r="BR284" s="68" t="str">
        <f>IF(main!CD287="","",ROUND(main!CD287*100,6))</f>
        <v/>
      </c>
      <c r="BS284" s="68" t="str">
        <f>IF(main!CE287="","",ROUND(main!CE287*100,6))</f>
        <v/>
      </c>
      <c r="BT284" s="68" t="str">
        <f>IF(main!CF287="","",ROUND(main!CF287*100,6))</f>
        <v/>
      </c>
      <c r="BU284" s="68" t="str">
        <f>IF(main!CG287="","",ROUND(main!CG287*100,6))</f>
        <v/>
      </c>
      <c r="BV284" s="68" t="str">
        <f>IF(main!CH287="","",ROUND(main!CH287*100,6))</f>
        <v/>
      </c>
      <c r="BW284" s="68" t="str">
        <f>IF(main!CI287="","",ROUND(main!CI287*100,6))</f>
        <v/>
      </c>
      <c r="BX284" s="68" t="str">
        <f>IF(main!CJ287="","",ROUND(main!CJ287*100,6))</f>
        <v/>
      </c>
      <c r="BY284" s="68" t="str">
        <f>IF(main!CK287="","",ROUND(main!CK287*100,6))</f>
        <v/>
      </c>
      <c r="BZ284" s="68" t="str">
        <f>IF(main!CL287="","",ROUND(main!CL287*100,6))</f>
        <v/>
      </c>
      <c r="CA284" s="68" t="str">
        <f>IF(main!CM287="","",ROUND(main!CM287*100,6))</f>
        <v/>
      </c>
      <c r="CB284" s="68" t="str">
        <f>IF(main!CN287="","",ROUND(main!CN287*100,6))</f>
        <v/>
      </c>
      <c r="CC284" s="68" t="str">
        <f>IF(main!CO287="","",ROUND(main!CO287*100,6))</f>
        <v/>
      </c>
    </row>
    <row r="285" spans="1:81" x14ac:dyDescent="0.25">
      <c r="A285" s="65" t="s">
        <v>440</v>
      </c>
      <c r="B285" s="66" t="str">
        <f>main!C287</f>
        <v>งานฝ้าห้องน้ำ</v>
      </c>
      <c r="C285" s="67">
        <f>main!O287</f>
        <v>100000</v>
      </c>
      <c r="D285" s="65" t="s">
        <v>111</v>
      </c>
      <c r="E285" s="68" t="str">
        <f t="shared" si="4"/>
        <v/>
      </c>
      <c r="F285" s="68" t="str">
        <f>IF(main!R288="","",ROUND(main!R288*100,6))</f>
        <v/>
      </c>
      <c r="G285" s="68" t="str">
        <f>IF(main!S288="","",ROUND(main!S288*100,6))</f>
        <v/>
      </c>
      <c r="H285" s="68" t="str">
        <f>IF(main!T288="","",ROUND(main!T288*100,6))</f>
        <v/>
      </c>
      <c r="I285" s="68" t="str">
        <f>IF(main!U288="","",ROUND(main!U288*100,6))</f>
        <v/>
      </c>
      <c r="J285" s="68" t="str">
        <f>IF(main!V288="","",ROUND(main!V288*100,6))</f>
        <v/>
      </c>
      <c r="K285" s="68" t="str">
        <f>IF(main!W288="","",ROUND(main!W288*100,6))</f>
        <v/>
      </c>
      <c r="L285" s="68" t="str">
        <f>IF(main!X288="","",ROUND(main!X288*100,6))</f>
        <v/>
      </c>
      <c r="M285" s="68" t="str">
        <f>IF(main!Y288="","",ROUND(main!Y288*100,6))</f>
        <v/>
      </c>
      <c r="N285" s="68" t="str">
        <f>IF(main!Z288="","",ROUND(main!Z288*100,6))</f>
        <v/>
      </c>
      <c r="O285" s="68" t="str">
        <f>IF(main!AA288="","",ROUND(main!AA288*100,6))</f>
        <v/>
      </c>
      <c r="P285" s="68" t="str">
        <f>IF(main!AB288="","",ROUND(main!AB288*100,6))</f>
        <v/>
      </c>
      <c r="Q285" s="68" t="str">
        <f>IF(main!AC288="","",ROUND(main!AC288*100,6))</f>
        <v/>
      </c>
      <c r="R285" s="68" t="str">
        <f>IF(main!AD288="","",ROUND(main!AD288*100,6))</f>
        <v/>
      </c>
      <c r="S285" s="68" t="str">
        <f>IF(main!AE288="","",ROUND(main!AE288*100,6))</f>
        <v/>
      </c>
      <c r="T285" s="68" t="str">
        <f>IF(main!AF288="","",ROUND(main!AF288*100,6))</f>
        <v/>
      </c>
      <c r="U285" s="68" t="str">
        <f>IF(main!AG288="","",ROUND(main!AG288*100,6))</f>
        <v/>
      </c>
      <c r="V285" s="68" t="str">
        <f>IF(main!AH288="","",ROUND(main!AH288*100,6))</f>
        <v/>
      </c>
      <c r="W285" s="68" t="str">
        <f>IF(main!AI288="","",ROUND(main!AI288*100,6))</f>
        <v/>
      </c>
      <c r="X285" s="68" t="str">
        <f>IF(main!AJ288="","",ROUND(main!AJ288*100,6))</f>
        <v/>
      </c>
      <c r="Y285" s="68" t="str">
        <f>IF(main!AK288="","",ROUND(main!AK288*100,6))</f>
        <v/>
      </c>
      <c r="Z285" s="68" t="str">
        <f>IF(main!AL288="","",ROUND(main!AL288*100,6))</f>
        <v/>
      </c>
      <c r="AA285" s="68" t="str">
        <f>IF(main!AM288="","",ROUND(main!AM288*100,6))</f>
        <v/>
      </c>
      <c r="AB285" s="68" t="str">
        <f>IF(main!AN288="","",ROUND(main!AN288*100,6))</f>
        <v/>
      </c>
      <c r="AC285" s="68" t="str">
        <f>IF(main!AO288="","",ROUND(main!AO288*100,6))</f>
        <v/>
      </c>
      <c r="AD285" s="68" t="str">
        <f>IF(main!AP288="","",ROUND(main!AP288*100,6))</f>
        <v/>
      </c>
      <c r="AE285" s="68" t="str">
        <f>IF(main!AQ288="","",ROUND(main!AQ288*100,6))</f>
        <v/>
      </c>
      <c r="AF285" s="68" t="str">
        <f>IF(main!AR288="","",ROUND(main!AR288*100,6))</f>
        <v/>
      </c>
      <c r="AG285" s="68" t="str">
        <f>IF(main!AS288="","",ROUND(main!AS288*100,6))</f>
        <v/>
      </c>
      <c r="AH285" s="68" t="str">
        <f>IF(main!AT288="","",ROUND(main!AT288*100,6))</f>
        <v/>
      </c>
      <c r="AI285" s="68" t="str">
        <f>IF(main!AU288="","",ROUND(main!AU288*100,6))</f>
        <v/>
      </c>
      <c r="AJ285" s="68" t="str">
        <f>IF(main!AV288="","",ROUND(main!AV288*100,6))</f>
        <v/>
      </c>
      <c r="AK285" s="68" t="str">
        <f>IF(main!AW288="","",ROUND(main!AW288*100,6))</f>
        <v/>
      </c>
      <c r="AL285" s="68" t="str">
        <f>IF(main!AX288="","",ROUND(main!AX288*100,6))</f>
        <v/>
      </c>
      <c r="AM285" s="68" t="str">
        <f>IF(main!AY288="","",ROUND(main!AY288*100,6))</f>
        <v/>
      </c>
      <c r="AN285" s="68" t="str">
        <f>IF(main!AZ288="","",ROUND(main!AZ288*100,6))</f>
        <v/>
      </c>
      <c r="AO285" s="68" t="str">
        <f>IF(main!BA288="","",ROUND(main!BA288*100,6))</f>
        <v/>
      </c>
      <c r="AP285" s="68" t="str">
        <f>IF(main!BB288="","",ROUND(main!BB288*100,6))</f>
        <v/>
      </c>
      <c r="AQ285" s="68" t="str">
        <f>IF(main!BC288="","",ROUND(main!BC288*100,6))</f>
        <v/>
      </c>
      <c r="AR285" s="68" t="str">
        <f>IF(main!BD288="","",ROUND(main!BD288*100,6))</f>
        <v/>
      </c>
      <c r="AS285" s="68" t="str">
        <f>IF(main!BE288="","",ROUND(main!BE288*100,6))</f>
        <v/>
      </c>
      <c r="AT285" s="68" t="str">
        <f>IF(main!BF288="","",ROUND(main!BF288*100,6))</f>
        <v/>
      </c>
      <c r="AU285" s="68" t="str">
        <f>IF(main!BG288="","",ROUND(main!BG288*100,6))</f>
        <v/>
      </c>
      <c r="AV285" s="68" t="str">
        <f>IF(main!BH288="","",ROUND(main!BH288*100,6))</f>
        <v/>
      </c>
      <c r="AW285" s="68" t="str">
        <f>IF(main!BI288="","",ROUND(main!BI288*100,6))</f>
        <v/>
      </c>
      <c r="AX285" s="68" t="str">
        <f>IF(main!BJ288="","",ROUND(main!BJ288*100,6))</f>
        <v/>
      </c>
      <c r="AY285" s="68" t="str">
        <f>IF(main!BK288="","",ROUND(main!BK288*100,6))</f>
        <v/>
      </c>
      <c r="AZ285" s="68" t="str">
        <f>IF(main!BL288="","",ROUND(main!BL288*100,6))</f>
        <v/>
      </c>
      <c r="BA285" s="68" t="str">
        <f>IF(main!BM288="","",ROUND(main!BM288*100,6))</f>
        <v/>
      </c>
      <c r="BB285" s="68" t="str">
        <f>IF(main!BN288="","",ROUND(main!BN288*100,6))</f>
        <v/>
      </c>
      <c r="BC285" s="68" t="str">
        <f>IF(main!BO288="","",ROUND(main!BO288*100,6))</f>
        <v/>
      </c>
      <c r="BD285" s="68" t="str">
        <f>IF(main!BP288="","",ROUND(main!BP288*100,6))</f>
        <v/>
      </c>
      <c r="BE285" s="68" t="str">
        <f>IF(main!BQ288="","",ROUND(main!BQ288*100,6))</f>
        <v/>
      </c>
      <c r="BF285" s="68" t="str">
        <f>IF(main!BR288="","",ROUND(main!BR288*100,6))</f>
        <v/>
      </c>
      <c r="BG285" s="68" t="str">
        <f>IF(main!BS288="","",ROUND(main!BS288*100,6))</f>
        <v/>
      </c>
      <c r="BH285" s="68" t="str">
        <f>IF(main!BT288="","",ROUND(main!BT288*100,6))</f>
        <v/>
      </c>
      <c r="BI285" s="68" t="str">
        <f>IF(main!BU288="","",ROUND(main!BU288*100,6))</f>
        <v/>
      </c>
      <c r="BJ285" s="68" t="str">
        <f>IF(main!BV288="","",ROUND(main!BV288*100,6))</f>
        <v/>
      </c>
      <c r="BK285" s="68" t="str">
        <f>IF(main!BW288="","",ROUND(main!BW288*100,6))</f>
        <v/>
      </c>
      <c r="BL285" s="68" t="str">
        <f>IF(main!BX288="","",ROUND(main!BX288*100,6))</f>
        <v/>
      </c>
      <c r="BM285" s="68" t="str">
        <f>IF(main!BY288="","",ROUND(main!BY288*100,6))</f>
        <v/>
      </c>
      <c r="BN285" s="68" t="str">
        <f>IF(main!BZ288="","",ROUND(main!BZ288*100,6))</f>
        <v/>
      </c>
      <c r="BO285" s="68" t="str">
        <f>IF(main!CA288="","",ROUND(main!CA288*100,6))</f>
        <v/>
      </c>
      <c r="BP285" s="68" t="str">
        <f>IF(main!CB288="","",ROUND(main!CB288*100,6))</f>
        <v/>
      </c>
      <c r="BQ285" s="68" t="str">
        <f>IF(main!CC288="","",ROUND(main!CC288*100,6))</f>
        <v/>
      </c>
      <c r="BR285" s="68" t="str">
        <f>IF(main!CD288="","",ROUND(main!CD288*100,6))</f>
        <v/>
      </c>
      <c r="BS285" s="68" t="str">
        <f>IF(main!CE288="","",ROUND(main!CE288*100,6))</f>
        <v/>
      </c>
      <c r="BT285" s="68" t="str">
        <f>IF(main!CF288="","",ROUND(main!CF288*100,6))</f>
        <v/>
      </c>
      <c r="BU285" s="68" t="str">
        <f>IF(main!CG288="","",ROUND(main!CG288*100,6))</f>
        <v/>
      </c>
      <c r="BV285" s="68" t="str">
        <f>IF(main!CH288="","",ROUND(main!CH288*100,6))</f>
        <v/>
      </c>
      <c r="BW285" s="68" t="str">
        <f>IF(main!CI288="","",ROUND(main!CI288*100,6))</f>
        <v/>
      </c>
      <c r="BX285" s="68" t="str">
        <f>IF(main!CJ288="","",ROUND(main!CJ288*100,6))</f>
        <v/>
      </c>
      <c r="BY285" s="68" t="str">
        <f>IF(main!CK288="","",ROUND(main!CK288*100,6))</f>
        <v/>
      </c>
      <c r="BZ285" s="68" t="str">
        <f>IF(main!CL288="","",ROUND(main!CL288*100,6))</f>
        <v/>
      </c>
      <c r="CA285" s="68" t="str">
        <f>IF(main!CM288="","",ROUND(main!CM288*100,6))</f>
        <v/>
      </c>
      <c r="CB285" s="68" t="str">
        <f>IF(main!CN288="","",ROUND(main!CN288*100,6))</f>
        <v/>
      </c>
      <c r="CC285" s="68" t="str">
        <f>IF(main!CO288="","",ROUND(main!CO288*100,6))</f>
        <v/>
      </c>
    </row>
    <row r="286" spans="1:81" x14ac:dyDescent="0.25">
      <c r="A286" s="65" t="s">
        <v>442</v>
      </c>
      <c r="B286" s="66" t="str">
        <f>main!C289</f>
        <v>งานแต่งเรียบท้องพื้น ท้องคาน</v>
      </c>
      <c r="C286" s="67">
        <f>main!O289</f>
        <v>100000</v>
      </c>
      <c r="D286" s="65" t="s">
        <v>110</v>
      </c>
      <c r="E286" s="68">
        <f t="shared" si="4"/>
        <v>100</v>
      </c>
      <c r="F286" s="68" t="str">
        <f>IF(main!R289="","",ROUND(main!R289*100,6))</f>
        <v/>
      </c>
      <c r="G286" s="68" t="str">
        <f>IF(main!S289="","",ROUND(main!S289*100,6))</f>
        <v/>
      </c>
      <c r="H286" s="68" t="str">
        <f>IF(main!T289="","",ROUND(main!T289*100,6))</f>
        <v/>
      </c>
      <c r="I286" s="68" t="str">
        <f>IF(main!U289="","",ROUND(main!U289*100,6))</f>
        <v/>
      </c>
      <c r="J286" s="68" t="str">
        <f>IF(main!V289="","",ROUND(main!V289*100,6))</f>
        <v/>
      </c>
      <c r="K286" s="68" t="str">
        <f>IF(main!W289="","",ROUND(main!W289*100,6))</f>
        <v/>
      </c>
      <c r="L286" s="68" t="str">
        <f>IF(main!X289="","",ROUND(main!X289*100,6))</f>
        <v/>
      </c>
      <c r="M286" s="68" t="str">
        <f>IF(main!Y289="","",ROUND(main!Y289*100,6))</f>
        <v/>
      </c>
      <c r="N286" s="68" t="str">
        <f>IF(main!Z289="","",ROUND(main!Z289*100,6))</f>
        <v/>
      </c>
      <c r="O286" s="68" t="str">
        <f>IF(main!AA289="","",ROUND(main!AA289*100,6))</f>
        <v/>
      </c>
      <c r="P286" s="68" t="str">
        <f>IF(main!AB289="","",ROUND(main!AB289*100,6))</f>
        <v/>
      </c>
      <c r="Q286" s="68" t="str">
        <f>IF(main!AC289="","",ROUND(main!AC289*100,6))</f>
        <v/>
      </c>
      <c r="R286" s="68" t="str">
        <f>IF(main!AD289="","",ROUND(main!AD289*100,6))</f>
        <v/>
      </c>
      <c r="S286" s="68" t="str">
        <f>IF(main!AE289="","",ROUND(main!AE289*100,6))</f>
        <v/>
      </c>
      <c r="T286" s="68" t="str">
        <f>IF(main!AF289="","",ROUND(main!AF289*100,6))</f>
        <v/>
      </c>
      <c r="U286" s="68" t="str">
        <f>IF(main!AG289="","",ROUND(main!AG289*100,6))</f>
        <v/>
      </c>
      <c r="V286" s="68" t="str">
        <f>IF(main!AH289="","",ROUND(main!AH289*100,6))</f>
        <v/>
      </c>
      <c r="W286" s="68" t="str">
        <f>IF(main!AI289="","",ROUND(main!AI289*100,6))</f>
        <v/>
      </c>
      <c r="X286" s="68" t="str">
        <f>IF(main!AJ289="","",ROUND(main!AJ289*100,6))</f>
        <v/>
      </c>
      <c r="Y286" s="68" t="str">
        <f>IF(main!AK289="","",ROUND(main!AK289*100,6))</f>
        <v/>
      </c>
      <c r="Z286" s="68" t="str">
        <f>IF(main!AL289="","",ROUND(main!AL289*100,6))</f>
        <v/>
      </c>
      <c r="AA286" s="68" t="str">
        <f>IF(main!AM289="","",ROUND(main!AM289*100,6))</f>
        <v/>
      </c>
      <c r="AB286" s="68" t="str">
        <f>IF(main!AN289="","",ROUND(main!AN289*100,6))</f>
        <v/>
      </c>
      <c r="AC286" s="68" t="str">
        <f>IF(main!AO289="","",ROUND(main!AO289*100,6))</f>
        <v/>
      </c>
      <c r="AD286" s="68" t="str">
        <f>IF(main!AP289="","",ROUND(main!AP289*100,6))</f>
        <v/>
      </c>
      <c r="AE286" s="68" t="str">
        <f>IF(main!AQ289="","",ROUND(main!AQ289*100,6))</f>
        <v/>
      </c>
      <c r="AF286" s="68" t="str">
        <f>IF(main!AR289="","",ROUND(main!AR289*100,6))</f>
        <v/>
      </c>
      <c r="AG286" s="68" t="str">
        <f>IF(main!AS289="","",ROUND(main!AS289*100,6))</f>
        <v/>
      </c>
      <c r="AH286" s="68" t="str">
        <f>IF(main!AT289="","",ROUND(main!AT289*100,6))</f>
        <v/>
      </c>
      <c r="AI286" s="68" t="str">
        <f>IF(main!AU289="","",ROUND(main!AU289*100,6))</f>
        <v/>
      </c>
      <c r="AJ286" s="68" t="str">
        <f>IF(main!AV289="","",ROUND(main!AV289*100,6))</f>
        <v/>
      </c>
      <c r="AK286" s="68" t="str">
        <f>IF(main!AW289="","",ROUND(main!AW289*100,6))</f>
        <v/>
      </c>
      <c r="AL286" s="68" t="str">
        <f>IF(main!AX289="","",ROUND(main!AX289*100,6))</f>
        <v/>
      </c>
      <c r="AM286" s="68" t="str">
        <f>IF(main!AY289="","",ROUND(main!AY289*100,6))</f>
        <v/>
      </c>
      <c r="AN286" s="68" t="str">
        <f>IF(main!AZ289="","",ROUND(main!AZ289*100,6))</f>
        <v/>
      </c>
      <c r="AO286" s="68" t="str">
        <f>IF(main!BA289="","",ROUND(main!BA289*100,6))</f>
        <v/>
      </c>
      <c r="AP286" s="68" t="str">
        <f>IF(main!BB289="","",ROUND(main!BB289*100,6))</f>
        <v/>
      </c>
      <c r="AQ286" s="68" t="str">
        <f>IF(main!BC289="","",ROUND(main!BC289*100,6))</f>
        <v/>
      </c>
      <c r="AR286" s="68" t="str">
        <f>IF(main!BD289="","",ROUND(main!BD289*100,6))</f>
        <v/>
      </c>
      <c r="AS286" s="68" t="str">
        <f>IF(main!BE289="","",ROUND(main!BE289*100,6))</f>
        <v/>
      </c>
      <c r="AT286" s="68" t="str">
        <f>IF(main!BF289="","",ROUND(main!BF289*100,6))</f>
        <v/>
      </c>
      <c r="AU286" s="68" t="str">
        <f>IF(main!BG289="","",ROUND(main!BG289*100,6))</f>
        <v/>
      </c>
      <c r="AV286" s="68" t="str">
        <f>IF(main!BH289="","",ROUND(main!BH289*100,6))</f>
        <v/>
      </c>
      <c r="AW286" s="68" t="str">
        <f>IF(main!BI289="","",ROUND(main!BI289*100,6))</f>
        <v/>
      </c>
      <c r="AX286" s="68" t="str">
        <f>IF(main!BJ289="","",ROUND(main!BJ289*100,6))</f>
        <v/>
      </c>
      <c r="AY286" s="68" t="str">
        <f>IF(main!BK289="","",ROUND(main!BK289*100,6))</f>
        <v/>
      </c>
      <c r="AZ286" s="68" t="str">
        <f>IF(main!BL289="","",ROUND(main!BL289*100,6))</f>
        <v/>
      </c>
      <c r="BA286" s="68" t="str">
        <f>IF(main!BM289="","",ROUND(main!BM289*100,6))</f>
        <v/>
      </c>
      <c r="BB286" s="68" t="str">
        <f>IF(main!BN289="","",ROUND(main!BN289*100,6))</f>
        <v/>
      </c>
      <c r="BC286" s="68" t="str">
        <f>IF(main!BO289="","",ROUND(main!BO289*100,6))</f>
        <v/>
      </c>
      <c r="BD286" s="68" t="str">
        <f>IF(main!BP289="","",ROUND(main!BP289*100,6))</f>
        <v/>
      </c>
      <c r="BE286" s="68" t="str">
        <f>IF(main!BQ289="","",ROUND(main!BQ289*100,6))</f>
        <v/>
      </c>
      <c r="BF286" s="68" t="str">
        <f>IF(main!BR289="","",ROUND(main!BR289*100,6))</f>
        <v/>
      </c>
      <c r="BG286" s="68">
        <f>IF(main!BS289="","",ROUND(main!BS289*100,6))</f>
        <v>4.7619049999999996</v>
      </c>
      <c r="BH286" s="68">
        <f>IF(main!BT289="","",ROUND(main!BT289*100,6))</f>
        <v>33.333333000000003</v>
      </c>
      <c r="BI286" s="68">
        <f>IF(main!BU289="","",ROUND(main!BU289*100,6))</f>
        <v>33.333333000000003</v>
      </c>
      <c r="BJ286" s="68">
        <f>IF(main!BV289="","",ROUND(main!BV289*100,6))</f>
        <v>28.571428999999998</v>
      </c>
      <c r="BK286" s="68" t="str">
        <f>IF(main!BW289="","",ROUND(main!BW289*100,6))</f>
        <v/>
      </c>
      <c r="BL286" s="68" t="str">
        <f>IF(main!BX289="","",ROUND(main!BX289*100,6))</f>
        <v/>
      </c>
      <c r="BM286" s="68" t="str">
        <f>IF(main!BY289="","",ROUND(main!BY289*100,6))</f>
        <v/>
      </c>
      <c r="BN286" s="68" t="str">
        <f>IF(main!BZ289="","",ROUND(main!BZ289*100,6))</f>
        <v/>
      </c>
      <c r="BO286" s="68" t="str">
        <f>IF(main!CA289="","",ROUND(main!CA289*100,6))</f>
        <v/>
      </c>
      <c r="BP286" s="68" t="str">
        <f>IF(main!CB289="","",ROUND(main!CB289*100,6))</f>
        <v/>
      </c>
      <c r="BQ286" s="68" t="str">
        <f>IF(main!CC289="","",ROUND(main!CC289*100,6))</f>
        <v/>
      </c>
      <c r="BR286" s="68" t="str">
        <f>IF(main!CD289="","",ROUND(main!CD289*100,6))</f>
        <v/>
      </c>
      <c r="BS286" s="68" t="str">
        <f>IF(main!CE289="","",ROUND(main!CE289*100,6))</f>
        <v/>
      </c>
      <c r="BT286" s="68" t="str">
        <f>IF(main!CF289="","",ROUND(main!CF289*100,6))</f>
        <v/>
      </c>
      <c r="BU286" s="68" t="str">
        <f>IF(main!CG289="","",ROUND(main!CG289*100,6))</f>
        <v/>
      </c>
      <c r="BV286" s="68" t="str">
        <f>IF(main!CH289="","",ROUND(main!CH289*100,6))</f>
        <v/>
      </c>
      <c r="BW286" s="68" t="str">
        <f>IF(main!CI289="","",ROUND(main!CI289*100,6))</f>
        <v/>
      </c>
      <c r="BX286" s="68" t="str">
        <f>IF(main!CJ289="","",ROUND(main!CJ289*100,6))</f>
        <v/>
      </c>
      <c r="BY286" s="68" t="str">
        <f>IF(main!CK289="","",ROUND(main!CK289*100,6))</f>
        <v/>
      </c>
      <c r="BZ286" s="68" t="str">
        <f>IF(main!CL289="","",ROUND(main!CL289*100,6))</f>
        <v/>
      </c>
      <c r="CA286" s="68" t="str">
        <f>IF(main!CM289="","",ROUND(main!CM289*100,6))</f>
        <v/>
      </c>
      <c r="CB286" s="68" t="str">
        <f>IF(main!CN289="","",ROUND(main!CN289*100,6))</f>
        <v/>
      </c>
      <c r="CC286" s="68" t="str">
        <f>IF(main!CO289="","",ROUND(main!CO289*100,6))</f>
        <v/>
      </c>
    </row>
    <row r="287" spans="1:81" x14ac:dyDescent="0.25">
      <c r="A287" s="65" t="s">
        <v>442</v>
      </c>
      <c r="B287" s="66" t="str">
        <f>main!C289</f>
        <v>งานแต่งเรียบท้องพื้น ท้องคาน</v>
      </c>
      <c r="C287" s="67">
        <f>main!O289</f>
        <v>100000</v>
      </c>
      <c r="D287" s="65" t="s">
        <v>111</v>
      </c>
      <c r="E287" s="68" t="str">
        <f t="shared" si="4"/>
        <v/>
      </c>
      <c r="F287" s="68" t="str">
        <f>IF(main!R290="","",ROUND(main!R290*100,6))</f>
        <v/>
      </c>
      <c r="G287" s="68" t="str">
        <f>IF(main!S290="","",ROUND(main!S290*100,6))</f>
        <v/>
      </c>
      <c r="H287" s="68" t="str">
        <f>IF(main!T290="","",ROUND(main!T290*100,6))</f>
        <v/>
      </c>
      <c r="I287" s="68" t="str">
        <f>IF(main!U290="","",ROUND(main!U290*100,6))</f>
        <v/>
      </c>
      <c r="J287" s="68" t="str">
        <f>IF(main!V290="","",ROUND(main!V290*100,6))</f>
        <v/>
      </c>
      <c r="K287" s="68" t="str">
        <f>IF(main!W290="","",ROUND(main!W290*100,6))</f>
        <v/>
      </c>
      <c r="L287" s="68" t="str">
        <f>IF(main!X290="","",ROUND(main!X290*100,6))</f>
        <v/>
      </c>
      <c r="M287" s="68" t="str">
        <f>IF(main!Y290="","",ROUND(main!Y290*100,6))</f>
        <v/>
      </c>
      <c r="N287" s="68" t="str">
        <f>IF(main!Z290="","",ROUND(main!Z290*100,6))</f>
        <v/>
      </c>
      <c r="O287" s="68" t="str">
        <f>IF(main!AA290="","",ROUND(main!AA290*100,6))</f>
        <v/>
      </c>
      <c r="P287" s="68" t="str">
        <f>IF(main!AB290="","",ROUND(main!AB290*100,6))</f>
        <v/>
      </c>
      <c r="Q287" s="68" t="str">
        <f>IF(main!AC290="","",ROUND(main!AC290*100,6))</f>
        <v/>
      </c>
      <c r="R287" s="68" t="str">
        <f>IF(main!AD290="","",ROUND(main!AD290*100,6))</f>
        <v/>
      </c>
      <c r="S287" s="68" t="str">
        <f>IF(main!AE290="","",ROUND(main!AE290*100,6))</f>
        <v/>
      </c>
      <c r="T287" s="68" t="str">
        <f>IF(main!AF290="","",ROUND(main!AF290*100,6))</f>
        <v/>
      </c>
      <c r="U287" s="68" t="str">
        <f>IF(main!AG290="","",ROUND(main!AG290*100,6))</f>
        <v/>
      </c>
      <c r="V287" s="68" t="str">
        <f>IF(main!AH290="","",ROUND(main!AH290*100,6))</f>
        <v/>
      </c>
      <c r="W287" s="68" t="str">
        <f>IF(main!AI290="","",ROUND(main!AI290*100,6))</f>
        <v/>
      </c>
      <c r="X287" s="68" t="str">
        <f>IF(main!AJ290="","",ROUND(main!AJ290*100,6))</f>
        <v/>
      </c>
      <c r="Y287" s="68" t="str">
        <f>IF(main!AK290="","",ROUND(main!AK290*100,6))</f>
        <v/>
      </c>
      <c r="Z287" s="68" t="str">
        <f>IF(main!AL290="","",ROUND(main!AL290*100,6))</f>
        <v/>
      </c>
      <c r="AA287" s="68" t="str">
        <f>IF(main!AM290="","",ROUND(main!AM290*100,6))</f>
        <v/>
      </c>
      <c r="AB287" s="68" t="str">
        <f>IF(main!AN290="","",ROUND(main!AN290*100,6))</f>
        <v/>
      </c>
      <c r="AC287" s="68" t="str">
        <f>IF(main!AO290="","",ROUND(main!AO290*100,6))</f>
        <v/>
      </c>
      <c r="AD287" s="68" t="str">
        <f>IF(main!AP290="","",ROUND(main!AP290*100,6))</f>
        <v/>
      </c>
      <c r="AE287" s="68" t="str">
        <f>IF(main!AQ290="","",ROUND(main!AQ290*100,6))</f>
        <v/>
      </c>
      <c r="AF287" s="68" t="str">
        <f>IF(main!AR290="","",ROUND(main!AR290*100,6))</f>
        <v/>
      </c>
      <c r="AG287" s="68" t="str">
        <f>IF(main!AS290="","",ROUND(main!AS290*100,6))</f>
        <v/>
      </c>
      <c r="AH287" s="68" t="str">
        <f>IF(main!AT290="","",ROUND(main!AT290*100,6))</f>
        <v/>
      </c>
      <c r="AI287" s="68" t="str">
        <f>IF(main!AU290="","",ROUND(main!AU290*100,6))</f>
        <v/>
      </c>
      <c r="AJ287" s="68" t="str">
        <f>IF(main!AV290="","",ROUND(main!AV290*100,6))</f>
        <v/>
      </c>
      <c r="AK287" s="68" t="str">
        <f>IF(main!AW290="","",ROUND(main!AW290*100,6))</f>
        <v/>
      </c>
      <c r="AL287" s="68" t="str">
        <f>IF(main!AX290="","",ROUND(main!AX290*100,6))</f>
        <v/>
      </c>
      <c r="AM287" s="68" t="str">
        <f>IF(main!AY290="","",ROUND(main!AY290*100,6))</f>
        <v/>
      </c>
      <c r="AN287" s="68" t="str">
        <f>IF(main!AZ290="","",ROUND(main!AZ290*100,6))</f>
        <v/>
      </c>
      <c r="AO287" s="68" t="str">
        <f>IF(main!BA290="","",ROUND(main!BA290*100,6))</f>
        <v/>
      </c>
      <c r="AP287" s="68" t="str">
        <f>IF(main!BB290="","",ROUND(main!BB290*100,6))</f>
        <v/>
      </c>
      <c r="AQ287" s="68" t="str">
        <f>IF(main!BC290="","",ROUND(main!BC290*100,6))</f>
        <v/>
      </c>
      <c r="AR287" s="68" t="str">
        <f>IF(main!BD290="","",ROUND(main!BD290*100,6))</f>
        <v/>
      </c>
      <c r="AS287" s="68" t="str">
        <f>IF(main!BE290="","",ROUND(main!BE290*100,6))</f>
        <v/>
      </c>
      <c r="AT287" s="68" t="str">
        <f>IF(main!BF290="","",ROUND(main!BF290*100,6))</f>
        <v/>
      </c>
      <c r="AU287" s="68" t="str">
        <f>IF(main!BG290="","",ROUND(main!BG290*100,6))</f>
        <v/>
      </c>
      <c r="AV287" s="68" t="str">
        <f>IF(main!BH290="","",ROUND(main!BH290*100,6))</f>
        <v/>
      </c>
      <c r="AW287" s="68" t="str">
        <f>IF(main!BI290="","",ROUND(main!BI290*100,6))</f>
        <v/>
      </c>
      <c r="AX287" s="68" t="str">
        <f>IF(main!BJ290="","",ROUND(main!BJ290*100,6))</f>
        <v/>
      </c>
      <c r="AY287" s="68" t="str">
        <f>IF(main!BK290="","",ROUND(main!BK290*100,6))</f>
        <v/>
      </c>
      <c r="AZ287" s="68" t="str">
        <f>IF(main!BL290="","",ROUND(main!BL290*100,6))</f>
        <v/>
      </c>
      <c r="BA287" s="68" t="str">
        <f>IF(main!BM290="","",ROUND(main!BM290*100,6))</f>
        <v/>
      </c>
      <c r="BB287" s="68" t="str">
        <f>IF(main!BN290="","",ROUND(main!BN290*100,6))</f>
        <v/>
      </c>
      <c r="BC287" s="68" t="str">
        <f>IF(main!BO290="","",ROUND(main!BO290*100,6))</f>
        <v/>
      </c>
      <c r="BD287" s="68" t="str">
        <f>IF(main!BP290="","",ROUND(main!BP290*100,6))</f>
        <v/>
      </c>
      <c r="BE287" s="68" t="str">
        <f>IF(main!BQ290="","",ROUND(main!BQ290*100,6))</f>
        <v/>
      </c>
      <c r="BF287" s="68" t="str">
        <f>IF(main!BR290="","",ROUND(main!BR290*100,6))</f>
        <v/>
      </c>
      <c r="BG287" s="68" t="str">
        <f>IF(main!BS290="","",ROUND(main!BS290*100,6))</f>
        <v/>
      </c>
      <c r="BH287" s="68" t="str">
        <f>IF(main!BT290="","",ROUND(main!BT290*100,6))</f>
        <v/>
      </c>
      <c r="BI287" s="68" t="str">
        <f>IF(main!BU290="","",ROUND(main!BU290*100,6))</f>
        <v/>
      </c>
      <c r="BJ287" s="68" t="str">
        <f>IF(main!BV290="","",ROUND(main!BV290*100,6))</f>
        <v/>
      </c>
      <c r="BK287" s="68" t="str">
        <f>IF(main!BW290="","",ROUND(main!BW290*100,6))</f>
        <v/>
      </c>
      <c r="BL287" s="68" t="str">
        <f>IF(main!BX290="","",ROUND(main!BX290*100,6))</f>
        <v/>
      </c>
      <c r="BM287" s="68" t="str">
        <f>IF(main!BY290="","",ROUND(main!BY290*100,6))</f>
        <v/>
      </c>
      <c r="BN287" s="68" t="str">
        <f>IF(main!BZ290="","",ROUND(main!BZ290*100,6))</f>
        <v/>
      </c>
      <c r="BO287" s="68" t="str">
        <f>IF(main!CA290="","",ROUND(main!CA290*100,6))</f>
        <v/>
      </c>
      <c r="BP287" s="68" t="str">
        <f>IF(main!CB290="","",ROUND(main!CB290*100,6))</f>
        <v/>
      </c>
      <c r="BQ287" s="68" t="str">
        <f>IF(main!CC290="","",ROUND(main!CC290*100,6))</f>
        <v/>
      </c>
      <c r="BR287" s="68" t="str">
        <f>IF(main!CD290="","",ROUND(main!CD290*100,6))</f>
        <v/>
      </c>
      <c r="BS287" s="68" t="str">
        <f>IF(main!CE290="","",ROUND(main!CE290*100,6))</f>
        <v/>
      </c>
      <c r="BT287" s="68" t="str">
        <f>IF(main!CF290="","",ROUND(main!CF290*100,6))</f>
        <v/>
      </c>
      <c r="BU287" s="68" t="str">
        <f>IF(main!CG290="","",ROUND(main!CG290*100,6))</f>
        <v/>
      </c>
      <c r="BV287" s="68" t="str">
        <f>IF(main!CH290="","",ROUND(main!CH290*100,6))</f>
        <v/>
      </c>
      <c r="BW287" s="68" t="str">
        <f>IF(main!CI290="","",ROUND(main!CI290*100,6))</f>
        <v/>
      </c>
      <c r="BX287" s="68" t="str">
        <f>IF(main!CJ290="","",ROUND(main!CJ290*100,6))</f>
        <v/>
      </c>
      <c r="BY287" s="68" t="str">
        <f>IF(main!CK290="","",ROUND(main!CK290*100,6))</f>
        <v/>
      </c>
      <c r="BZ287" s="68" t="str">
        <f>IF(main!CL290="","",ROUND(main!CL290*100,6))</f>
        <v/>
      </c>
      <c r="CA287" s="68" t="str">
        <f>IF(main!CM290="","",ROUND(main!CM290*100,6))</f>
        <v/>
      </c>
      <c r="CB287" s="68" t="str">
        <f>IF(main!CN290="","",ROUND(main!CN290*100,6))</f>
        <v/>
      </c>
      <c r="CC287" s="68" t="str">
        <f>IF(main!CO290="","",ROUND(main!CO290*100,6))</f>
        <v/>
      </c>
    </row>
    <row r="288" spans="1:81" x14ac:dyDescent="0.25">
      <c r="A288" s="65" t="s">
        <v>444</v>
      </c>
      <c r="B288" s="66" t="str">
        <f>main!C291</f>
        <v>Floor &amp; Floor Fn.</v>
      </c>
      <c r="C288" s="67">
        <f>main!O291</f>
        <v>400000</v>
      </c>
      <c r="D288" s="65" t="s">
        <v>110</v>
      </c>
      <c r="E288" s="68">
        <f t="shared" si="4"/>
        <v>99.999998000000005</v>
      </c>
      <c r="F288" s="68" t="str">
        <f>IF(main!R291="","",ROUND(main!R291*100,6))</f>
        <v/>
      </c>
      <c r="G288" s="68" t="str">
        <f>IF(main!S291="","",ROUND(main!S291*100,6))</f>
        <v/>
      </c>
      <c r="H288" s="68" t="str">
        <f>IF(main!T291="","",ROUND(main!T291*100,6))</f>
        <v/>
      </c>
      <c r="I288" s="68" t="str">
        <f>IF(main!U291="","",ROUND(main!U291*100,6))</f>
        <v/>
      </c>
      <c r="J288" s="68" t="str">
        <f>IF(main!V291="","",ROUND(main!V291*100,6))</f>
        <v/>
      </c>
      <c r="K288" s="68" t="str">
        <f>IF(main!W291="","",ROUND(main!W291*100,6))</f>
        <v/>
      </c>
      <c r="L288" s="68" t="str">
        <f>IF(main!X291="","",ROUND(main!X291*100,6))</f>
        <v/>
      </c>
      <c r="M288" s="68" t="str">
        <f>IF(main!Y291="","",ROUND(main!Y291*100,6))</f>
        <v/>
      </c>
      <c r="N288" s="68" t="str">
        <f>IF(main!Z291="","",ROUND(main!Z291*100,6))</f>
        <v/>
      </c>
      <c r="O288" s="68" t="str">
        <f>IF(main!AA291="","",ROUND(main!AA291*100,6))</f>
        <v/>
      </c>
      <c r="P288" s="68" t="str">
        <f>IF(main!AB291="","",ROUND(main!AB291*100,6))</f>
        <v/>
      </c>
      <c r="Q288" s="68" t="str">
        <f>IF(main!AC291="","",ROUND(main!AC291*100,6))</f>
        <v/>
      </c>
      <c r="R288" s="68" t="str">
        <f>IF(main!AD291="","",ROUND(main!AD291*100,6))</f>
        <v/>
      </c>
      <c r="S288" s="68" t="str">
        <f>IF(main!AE291="","",ROUND(main!AE291*100,6))</f>
        <v/>
      </c>
      <c r="T288" s="68" t="str">
        <f>IF(main!AF291="","",ROUND(main!AF291*100,6))</f>
        <v/>
      </c>
      <c r="U288" s="68" t="str">
        <f>IF(main!AG291="","",ROUND(main!AG291*100,6))</f>
        <v/>
      </c>
      <c r="V288" s="68" t="str">
        <f>IF(main!AH291="","",ROUND(main!AH291*100,6))</f>
        <v/>
      </c>
      <c r="W288" s="68" t="str">
        <f>IF(main!AI291="","",ROUND(main!AI291*100,6))</f>
        <v/>
      </c>
      <c r="X288" s="68" t="str">
        <f>IF(main!AJ291="","",ROUND(main!AJ291*100,6))</f>
        <v/>
      </c>
      <c r="Y288" s="68" t="str">
        <f>IF(main!AK291="","",ROUND(main!AK291*100,6))</f>
        <v/>
      </c>
      <c r="Z288" s="68" t="str">
        <f>IF(main!AL291="","",ROUND(main!AL291*100,6))</f>
        <v/>
      </c>
      <c r="AA288" s="68" t="str">
        <f>IF(main!AM291="","",ROUND(main!AM291*100,6))</f>
        <v/>
      </c>
      <c r="AB288" s="68" t="str">
        <f>IF(main!AN291="","",ROUND(main!AN291*100,6))</f>
        <v/>
      </c>
      <c r="AC288" s="68" t="str">
        <f>IF(main!AO291="","",ROUND(main!AO291*100,6))</f>
        <v/>
      </c>
      <c r="AD288" s="68" t="str">
        <f>IF(main!AP291="","",ROUND(main!AP291*100,6))</f>
        <v/>
      </c>
      <c r="AE288" s="68" t="str">
        <f>IF(main!AQ291="","",ROUND(main!AQ291*100,6))</f>
        <v/>
      </c>
      <c r="AF288" s="68" t="str">
        <f>IF(main!AR291="","",ROUND(main!AR291*100,6))</f>
        <v/>
      </c>
      <c r="AG288" s="68" t="str">
        <f>IF(main!AS291="","",ROUND(main!AS291*100,6))</f>
        <v/>
      </c>
      <c r="AH288" s="68" t="str">
        <f>IF(main!AT291="","",ROUND(main!AT291*100,6))</f>
        <v/>
      </c>
      <c r="AI288" s="68" t="str">
        <f>IF(main!AU291="","",ROUND(main!AU291*100,6))</f>
        <v/>
      </c>
      <c r="AJ288" s="68" t="str">
        <f>IF(main!AV291="","",ROUND(main!AV291*100,6))</f>
        <v/>
      </c>
      <c r="AK288" s="68" t="str">
        <f>IF(main!AW291="","",ROUND(main!AW291*100,6))</f>
        <v/>
      </c>
      <c r="AL288" s="68" t="str">
        <f>IF(main!AX291="","",ROUND(main!AX291*100,6))</f>
        <v/>
      </c>
      <c r="AM288" s="68" t="str">
        <f>IF(main!AY291="","",ROUND(main!AY291*100,6))</f>
        <v/>
      </c>
      <c r="AN288" s="68" t="str">
        <f>IF(main!AZ291="","",ROUND(main!AZ291*100,6))</f>
        <v/>
      </c>
      <c r="AO288" s="68" t="str">
        <f>IF(main!BA291="","",ROUND(main!BA291*100,6))</f>
        <v/>
      </c>
      <c r="AP288" s="68" t="str">
        <f>IF(main!BB291="","",ROUND(main!BB291*100,6))</f>
        <v/>
      </c>
      <c r="AQ288" s="68" t="str">
        <f>IF(main!BC291="","",ROUND(main!BC291*100,6))</f>
        <v/>
      </c>
      <c r="AR288" s="68" t="str">
        <f>IF(main!BD291="","",ROUND(main!BD291*100,6))</f>
        <v/>
      </c>
      <c r="AS288" s="68" t="str">
        <f>IF(main!BE291="","",ROUND(main!BE291*100,6))</f>
        <v/>
      </c>
      <c r="AT288" s="68" t="str">
        <f>IF(main!BF291="","",ROUND(main!BF291*100,6))</f>
        <v/>
      </c>
      <c r="AU288" s="68" t="str">
        <f>IF(main!BG291="","",ROUND(main!BG291*100,6))</f>
        <v/>
      </c>
      <c r="AV288" s="68" t="str">
        <f>IF(main!BH291="","",ROUND(main!BH291*100,6))</f>
        <v/>
      </c>
      <c r="AW288" s="68" t="str">
        <f>IF(main!BI291="","",ROUND(main!BI291*100,6))</f>
        <v/>
      </c>
      <c r="AX288" s="68" t="str">
        <f>IF(main!BJ291="","",ROUND(main!BJ291*100,6))</f>
        <v/>
      </c>
      <c r="AY288" s="68" t="str">
        <f>IF(main!BK291="","",ROUND(main!BK291*100,6))</f>
        <v/>
      </c>
      <c r="AZ288" s="68" t="str">
        <f>IF(main!BL291="","",ROUND(main!BL291*100,6))</f>
        <v/>
      </c>
      <c r="BA288" s="68" t="str">
        <f>IF(main!BM291="","",ROUND(main!BM291*100,6))</f>
        <v/>
      </c>
      <c r="BB288" s="68" t="str">
        <f>IF(main!BN291="","",ROUND(main!BN291*100,6))</f>
        <v/>
      </c>
      <c r="BC288" s="68" t="str">
        <f>IF(main!BO291="","",ROUND(main!BO291*100,6))</f>
        <v/>
      </c>
      <c r="BD288" s="68" t="str">
        <f>IF(main!BP291="","",ROUND(main!BP291*100,6))</f>
        <v/>
      </c>
      <c r="BE288" s="68" t="str">
        <f>IF(main!BQ291="","",ROUND(main!BQ291*100,6))</f>
        <v/>
      </c>
      <c r="BF288" s="68" t="str">
        <f>IF(main!BR291="","",ROUND(main!BR291*100,6))</f>
        <v/>
      </c>
      <c r="BG288" s="68" t="str">
        <f>IF(main!BS291="","",ROUND(main!BS291*100,6))</f>
        <v/>
      </c>
      <c r="BH288" s="68" t="str">
        <f>IF(main!BT291="","",ROUND(main!BT291*100,6))</f>
        <v/>
      </c>
      <c r="BI288" s="68" t="str">
        <f>IF(main!BU291="","",ROUND(main!BU291*100,6))</f>
        <v/>
      </c>
      <c r="BJ288" s="68">
        <f>IF(main!BV291="","",ROUND(main!BV291*100,6))</f>
        <v>1.1904760000000001</v>
      </c>
      <c r="BK288" s="68">
        <f>IF(main!BW291="","",ROUND(main!BW291*100,6))</f>
        <v>8.3333329999999997</v>
      </c>
      <c r="BL288" s="68">
        <f>IF(main!BX291="","",ROUND(main!BX291*100,6))</f>
        <v>8.3333329999999997</v>
      </c>
      <c r="BM288" s="68">
        <f>IF(main!BY291="","",ROUND(main!BY291*100,6))</f>
        <v>7.1428570000000002</v>
      </c>
      <c r="BN288" s="68" t="str">
        <f>IF(main!BZ291="","",ROUND(main!BZ291*100,6))</f>
        <v/>
      </c>
      <c r="BO288" s="68" t="str">
        <f>IF(main!CA291="","",ROUND(main!CA291*100,6))</f>
        <v/>
      </c>
      <c r="BP288" s="68" t="str">
        <f>IF(main!CB291="","",ROUND(main!CB291*100,6))</f>
        <v/>
      </c>
      <c r="BQ288" s="68" t="str">
        <f>IF(main!CC291="","",ROUND(main!CC291*100,6))</f>
        <v/>
      </c>
      <c r="BR288" s="68">
        <f>IF(main!CD291="","",ROUND(main!CD291*100,6))</f>
        <v>6.5789470000000003</v>
      </c>
      <c r="BS288" s="68">
        <f>IF(main!CE291="","",ROUND(main!CE291*100,6))</f>
        <v>9.2105259999999998</v>
      </c>
      <c r="BT288" s="68">
        <f>IF(main!CF291="","",ROUND(main!CF291*100,6))</f>
        <v>9.2105259999999998</v>
      </c>
      <c r="BU288" s="68" t="str">
        <f>IF(main!CG291="","",ROUND(main!CG291*100,6))</f>
        <v/>
      </c>
      <c r="BV288" s="68" t="str">
        <f>IF(main!CH291="","",ROUND(main!CH291*100,6))</f>
        <v/>
      </c>
      <c r="BW288" s="68">
        <f>IF(main!CI291="","",ROUND(main!CI291*100,6))</f>
        <v>9.4155840000000008</v>
      </c>
      <c r="BX288" s="68">
        <f>IF(main!CJ291="","",ROUND(main!CJ291*100,6))</f>
        <v>28.409091</v>
      </c>
      <c r="BY288" s="68">
        <f>IF(main!CK291="","",ROUND(main!CK291*100,6))</f>
        <v>12.175325000000001</v>
      </c>
      <c r="BZ288" s="68" t="str">
        <f>IF(main!CL291="","",ROUND(main!CL291*100,6))</f>
        <v/>
      </c>
      <c r="CA288" s="68" t="str">
        <f>IF(main!CM291="","",ROUND(main!CM291*100,6))</f>
        <v/>
      </c>
      <c r="CB288" s="68" t="str">
        <f>IF(main!CN291="","",ROUND(main!CN291*100,6))</f>
        <v/>
      </c>
      <c r="CC288" s="68" t="str">
        <f>IF(main!CO291="","",ROUND(main!CO291*100,6))</f>
        <v/>
      </c>
    </row>
    <row r="289" spans="1:81" x14ac:dyDescent="0.25">
      <c r="A289" s="65" t="s">
        <v>444</v>
      </c>
      <c r="B289" s="66" t="str">
        <f>main!C291</f>
        <v>Floor &amp; Floor Fn.</v>
      </c>
      <c r="C289" s="67">
        <f>main!O291</f>
        <v>400000</v>
      </c>
      <c r="D289" s="65" t="s">
        <v>111</v>
      </c>
      <c r="E289" s="68" t="str">
        <f t="shared" si="4"/>
        <v/>
      </c>
      <c r="F289" s="68" t="str">
        <f>IF(main!R292="","",ROUND(main!R292*100,6))</f>
        <v/>
      </c>
      <c r="G289" s="68" t="str">
        <f>IF(main!S292="","",ROUND(main!S292*100,6))</f>
        <v/>
      </c>
      <c r="H289" s="68" t="str">
        <f>IF(main!T292="","",ROUND(main!T292*100,6))</f>
        <v/>
      </c>
      <c r="I289" s="68" t="str">
        <f>IF(main!U292="","",ROUND(main!U292*100,6))</f>
        <v/>
      </c>
      <c r="J289" s="68" t="str">
        <f>IF(main!V292="","",ROUND(main!V292*100,6))</f>
        <v/>
      </c>
      <c r="K289" s="68" t="str">
        <f>IF(main!W292="","",ROUND(main!W292*100,6))</f>
        <v/>
      </c>
      <c r="L289" s="68" t="str">
        <f>IF(main!X292="","",ROUND(main!X292*100,6))</f>
        <v/>
      </c>
      <c r="M289" s="68" t="str">
        <f>IF(main!Y292="","",ROUND(main!Y292*100,6))</f>
        <v/>
      </c>
      <c r="N289" s="68" t="str">
        <f>IF(main!Z292="","",ROUND(main!Z292*100,6))</f>
        <v/>
      </c>
      <c r="O289" s="68" t="str">
        <f>IF(main!AA292="","",ROUND(main!AA292*100,6))</f>
        <v/>
      </c>
      <c r="P289" s="68" t="str">
        <f>IF(main!AB292="","",ROUND(main!AB292*100,6))</f>
        <v/>
      </c>
      <c r="Q289" s="68" t="str">
        <f>IF(main!AC292="","",ROUND(main!AC292*100,6))</f>
        <v/>
      </c>
      <c r="R289" s="68" t="str">
        <f>IF(main!AD292="","",ROUND(main!AD292*100,6))</f>
        <v/>
      </c>
      <c r="S289" s="68" t="str">
        <f>IF(main!AE292="","",ROUND(main!AE292*100,6))</f>
        <v/>
      </c>
      <c r="T289" s="68" t="str">
        <f>IF(main!AF292="","",ROUND(main!AF292*100,6))</f>
        <v/>
      </c>
      <c r="U289" s="68" t="str">
        <f>IF(main!AG292="","",ROUND(main!AG292*100,6))</f>
        <v/>
      </c>
      <c r="V289" s="68" t="str">
        <f>IF(main!AH292="","",ROUND(main!AH292*100,6))</f>
        <v/>
      </c>
      <c r="W289" s="68" t="str">
        <f>IF(main!AI292="","",ROUND(main!AI292*100,6))</f>
        <v/>
      </c>
      <c r="X289" s="68" t="str">
        <f>IF(main!AJ292="","",ROUND(main!AJ292*100,6))</f>
        <v/>
      </c>
      <c r="Y289" s="68" t="str">
        <f>IF(main!AK292="","",ROUND(main!AK292*100,6))</f>
        <v/>
      </c>
      <c r="Z289" s="68" t="str">
        <f>IF(main!AL292="","",ROUND(main!AL292*100,6))</f>
        <v/>
      </c>
      <c r="AA289" s="68" t="str">
        <f>IF(main!AM292="","",ROUND(main!AM292*100,6))</f>
        <v/>
      </c>
      <c r="AB289" s="68" t="str">
        <f>IF(main!AN292="","",ROUND(main!AN292*100,6))</f>
        <v/>
      </c>
      <c r="AC289" s="68" t="str">
        <f>IF(main!AO292="","",ROUND(main!AO292*100,6))</f>
        <v/>
      </c>
      <c r="AD289" s="68" t="str">
        <f>IF(main!AP292="","",ROUND(main!AP292*100,6))</f>
        <v/>
      </c>
      <c r="AE289" s="68" t="str">
        <f>IF(main!AQ292="","",ROUND(main!AQ292*100,6))</f>
        <v/>
      </c>
      <c r="AF289" s="68" t="str">
        <f>IF(main!AR292="","",ROUND(main!AR292*100,6))</f>
        <v/>
      </c>
      <c r="AG289" s="68" t="str">
        <f>IF(main!AS292="","",ROUND(main!AS292*100,6))</f>
        <v/>
      </c>
      <c r="AH289" s="68" t="str">
        <f>IF(main!AT292="","",ROUND(main!AT292*100,6))</f>
        <v/>
      </c>
      <c r="AI289" s="68" t="str">
        <f>IF(main!AU292="","",ROUND(main!AU292*100,6))</f>
        <v/>
      </c>
      <c r="AJ289" s="68" t="str">
        <f>IF(main!AV292="","",ROUND(main!AV292*100,6))</f>
        <v/>
      </c>
      <c r="AK289" s="68" t="str">
        <f>IF(main!AW292="","",ROUND(main!AW292*100,6))</f>
        <v/>
      </c>
      <c r="AL289" s="68" t="str">
        <f>IF(main!AX292="","",ROUND(main!AX292*100,6))</f>
        <v/>
      </c>
      <c r="AM289" s="68" t="str">
        <f>IF(main!AY292="","",ROUND(main!AY292*100,6))</f>
        <v/>
      </c>
      <c r="AN289" s="68" t="str">
        <f>IF(main!AZ292="","",ROUND(main!AZ292*100,6))</f>
        <v/>
      </c>
      <c r="AO289" s="68" t="str">
        <f>IF(main!BA292="","",ROUND(main!BA292*100,6))</f>
        <v/>
      </c>
      <c r="AP289" s="68" t="str">
        <f>IF(main!BB292="","",ROUND(main!BB292*100,6))</f>
        <v/>
      </c>
      <c r="AQ289" s="68" t="str">
        <f>IF(main!BC292="","",ROUND(main!BC292*100,6))</f>
        <v/>
      </c>
      <c r="AR289" s="68" t="str">
        <f>IF(main!BD292="","",ROUND(main!BD292*100,6))</f>
        <v/>
      </c>
      <c r="AS289" s="68" t="str">
        <f>IF(main!BE292="","",ROUND(main!BE292*100,6))</f>
        <v/>
      </c>
      <c r="AT289" s="68" t="str">
        <f>IF(main!BF292="","",ROUND(main!BF292*100,6))</f>
        <v/>
      </c>
      <c r="AU289" s="68" t="str">
        <f>IF(main!BG292="","",ROUND(main!BG292*100,6))</f>
        <v/>
      </c>
      <c r="AV289" s="68" t="str">
        <f>IF(main!BH292="","",ROUND(main!BH292*100,6))</f>
        <v/>
      </c>
      <c r="AW289" s="68" t="str">
        <f>IF(main!BI292="","",ROUND(main!BI292*100,6))</f>
        <v/>
      </c>
      <c r="AX289" s="68" t="str">
        <f>IF(main!BJ292="","",ROUND(main!BJ292*100,6))</f>
        <v/>
      </c>
      <c r="AY289" s="68" t="str">
        <f>IF(main!BK292="","",ROUND(main!BK292*100,6))</f>
        <v/>
      </c>
      <c r="AZ289" s="68" t="str">
        <f>IF(main!BL292="","",ROUND(main!BL292*100,6))</f>
        <v/>
      </c>
      <c r="BA289" s="68" t="str">
        <f>IF(main!BM292="","",ROUND(main!BM292*100,6))</f>
        <v/>
      </c>
      <c r="BB289" s="68" t="str">
        <f>IF(main!BN292="","",ROUND(main!BN292*100,6))</f>
        <v/>
      </c>
      <c r="BC289" s="68" t="str">
        <f>IF(main!BO292="","",ROUND(main!BO292*100,6))</f>
        <v/>
      </c>
      <c r="BD289" s="68" t="str">
        <f>IF(main!BP292="","",ROUND(main!BP292*100,6))</f>
        <v/>
      </c>
      <c r="BE289" s="68" t="str">
        <f>IF(main!BQ292="","",ROUND(main!BQ292*100,6))</f>
        <v/>
      </c>
      <c r="BF289" s="68" t="str">
        <f>IF(main!BR292="","",ROUND(main!BR292*100,6))</f>
        <v/>
      </c>
      <c r="BG289" s="68" t="str">
        <f>IF(main!BS292="","",ROUND(main!BS292*100,6))</f>
        <v/>
      </c>
      <c r="BH289" s="68" t="str">
        <f>IF(main!BT292="","",ROUND(main!BT292*100,6))</f>
        <v/>
      </c>
      <c r="BI289" s="68" t="str">
        <f>IF(main!BU292="","",ROUND(main!BU292*100,6))</f>
        <v/>
      </c>
      <c r="BJ289" s="68" t="str">
        <f>IF(main!BV292="","",ROUND(main!BV292*100,6))</f>
        <v/>
      </c>
      <c r="BK289" s="68" t="str">
        <f>IF(main!BW292="","",ROUND(main!BW292*100,6))</f>
        <v/>
      </c>
      <c r="BL289" s="68" t="str">
        <f>IF(main!BX292="","",ROUND(main!BX292*100,6))</f>
        <v/>
      </c>
      <c r="BM289" s="68" t="str">
        <f>IF(main!BY292="","",ROUND(main!BY292*100,6))</f>
        <v/>
      </c>
      <c r="BN289" s="68" t="str">
        <f>IF(main!BZ292="","",ROUND(main!BZ292*100,6))</f>
        <v/>
      </c>
      <c r="BO289" s="68" t="str">
        <f>IF(main!CA292="","",ROUND(main!CA292*100,6))</f>
        <v/>
      </c>
      <c r="BP289" s="68" t="str">
        <f>IF(main!CB292="","",ROUND(main!CB292*100,6))</f>
        <v/>
      </c>
      <c r="BQ289" s="68" t="str">
        <f>IF(main!CC292="","",ROUND(main!CC292*100,6))</f>
        <v/>
      </c>
      <c r="BR289" s="68" t="str">
        <f>IF(main!CD292="","",ROUND(main!CD292*100,6))</f>
        <v/>
      </c>
      <c r="BS289" s="68" t="str">
        <f>IF(main!CE292="","",ROUND(main!CE292*100,6))</f>
        <v/>
      </c>
      <c r="BT289" s="68" t="str">
        <f>IF(main!CF292="","",ROUND(main!CF292*100,6))</f>
        <v/>
      </c>
      <c r="BU289" s="68" t="str">
        <f>IF(main!CG292="","",ROUND(main!CG292*100,6))</f>
        <v/>
      </c>
      <c r="BV289" s="68" t="str">
        <f>IF(main!CH292="","",ROUND(main!CH292*100,6))</f>
        <v/>
      </c>
      <c r="BW289" s="68" t="str">
        <f>IF(main!CI292="","",ROUND(main!CI292*100,6))</f>
        <v/>
      </c>
      <c r="BX289" s="68" t="str">
        <f>IF(main!CJ292="","",ROUND(main!CJ292*100,6))</f>
        <v/>
      </c>
      <c r="BY289" s="68" t="str">
        <f>IF(main!CK292="","",ROUND(main!CK292*100,6))</f>
        <v/>
      </c>
      <c r="BZ289" s="68" t="str">
        <f>IF(main!CL292="","",ROUND(main!CL292*100,6))</f>
        <v/>
      </c>
      <c r="CA289" s="68" t="str">
        <f>IF(main!CM292="","",ROUND(main!CM292*100,6))</f>
        <v/>
      </c>
      <c r="CB289" s="68" t="str">
        <f>IF(main!CN292="","",ROUND(main!CN292*100,6))</f>
        <v/>
      </c>
      <c r="CC289" s="68" t="str">
        <f>IF(main!CO292="","",ROUND(main!CO292*100,6))</f>
        <v/>
      </c>
    </row>
    <row r="290" spans="1:81" x14ac:dyDescent="0.25">
      <c r="A290" s="65" t="s">
        <v>445</v>
      </c>
      <c r="B290" s="66" t="str">
        <f>main!C293</f>
        <v>งานปรับระดับพื้น</v>
      </c>
      <c r="C290" s="67">
        <f>main!O293</f>
        <v>100000</v>
      </c>
      <c r="D290" s="65" t="s">
        <v>110</v>
      </c>
      <c r="E290" s="68">
        <f t="shared" si="4"/>
        <v>100</v>
      </c>
      <c r="F290" s="68" t="str">
        <f>IF(main!R293="","",ROUND(main!R293*100,6))</f>
        <v/>
      </c>
      <c r="G290" s="68" t="str">
        <f>IF(main!S293="","",ROUND(main!S293*100,6))</f>
        <v/>
      </c>
      <c r="H290" s="68" t="str">
        <f>IF(main!T293="","",ROUND(main!T293*100,6))</f>
        <v/>
      </c>
      <c r="I290" s="68" t="str">
        <f>IF(main!U293="","",ROUND(main!U293*100,6))</f>
        <v/>
      </c>
      <c r="J290" s="68" t="str">
        <f>IF(main!V293="","",ROUND(main!V293*100,6))</f>
        <v/>
      </c>
      <c r="K290" s="68" t="str">
        <f>IF(main!W293="","",ROUND(main!W293*100,6))</f>
        <v/>
      </c>
      <c r="L290" s="68" t="str">
        <f>IF(main!X293="","",ROUND(main!X293*100,6))</f>
        <v/>
      </c>
      <c r="M290" s="68" t="str">
        <f>IF(main!Y293="","",ROUND(main!Y293*100,6))</f>
        <v/>
      </c>
      <c r="N290" s="68" t="str">
        <f>IF(main!Z293="","",ROUND(main!Z293*100,6))</f>
        <v/>
      </c>
      <c r="O290" s="68" t="str">
        <f>IF(main!AA293="","",ROUND(main!AA293*100,6))</f>
        <v/>
      </c>
      <c r="P290" s="68" t="str">
        <f>IF(main!AB293="","",ROUND(main!AB293*100,6))</f>
        <v/>
      </c>
      <c r="Q290" s="68" t="str">
        <f>IF(main!AC293="","",ROUND(main!AC293*100,6))</f>
        <v/>
      </c>
      <c r="R290" s="68" t="str">
        <f>IF(main!AD293="","",ROUND(main!AD293*100,6))</f>
        <v/>
      </c>
      <c r="S290" s="68" t="str">
        <f>IF(main!AE293="","",ROUND(main!AE293*100,6))</f>
        <v/>
      </c>
      <c r="T290" s="68" t="str">
        <f>IF(main!AF293="","",ROUND(main!AF293*100,6))</f>
        <v/>
      </c>
      <c r="U290" s="68" t="str">
        <f>IF(main!AG293="","",ROUND(main!AG293*100,6))</f>
        <v/>
      </c>
      <c r="V290" s="68" t="str">
        <f>IF(main!AH293="","",ROUND(main!AH293*100,6))</f>
        <v/>
      </c>
      <c r="W290" s="68" t="str">
        <f>IF(main!AI293="","",ROUND(main!AI293*100,6))</f>
        <v/>
      </c>
      <c r="X290" s="68" t="str">
        <f>IF(main!AJ293="","",ROUND(main!AJ293*100,6))</f>
        <v/>
      </c>
      <c r="Y290" s="68" t="str">
        <f>IF(main!AK293="","",ROUND(main!AK293*100,6))</f>
        <v/>
      </c>
      <c r="Z290" s="68" t="str">
        <f>IF(main!AL293="","",ROUND(main!AL293*100,6))</f>
        <v/>
      </c>
      <c r="AA290" s="68" t="str">
        <f>IF(main!AM293="","",ROUND(main!AM293*100,6))</f>
        <v/>
      </c>
      <c r="AB290" s="68" t="str">
        <f>IF(main!AN293="","",ROUND(main!AN293*100,6))</f>
        <v/>
      </c>
      <c r="AC290" s="68" t="str">
        <f>IF(main!AO293="","",ROUND(main!AO293*100,6))</f>
        <v/>
      </c>
      <c r="AD290" s="68" t="str">
        <f>IF(main!AP293="","",ROUND(main!AP293*100,6))</f>
        <v/>
      </c>
      <c r="AE290" s="68" t="str">
        <f>IF(main!AQ293="","",ROUND(main!AQ293*100,6))</f>
        <v/>
      </c>
      <c r="AF290" s="68" t="str">
        <f>IF(main!AR293="","",ROUND(main!AR293*100,6))</f>
        <v/>
      </c>
      <c r="AG290" s="68" t="str">
        <f>IF(main!AS293="","",ROUND(main!AS293*100,6))</f>
        <v/>
      </c>
      <c r="AH290" s="68" t="str">
        <f>IF(main!AT293="","",ROUND(main!AT293*100,6))</f>
        <v/>
      </c>
      <c r="AI290" s="68" t="str">
        <f>IF(main!AU293="","",ROUND(main!AU293*100,6))</f>
        <v/>
      </c>
      <c r="AJ290" s="68" t="str">
        <f>IF(main!AV293="","",ROUND(main!AV293*100,6))</f>
        <v/>
      </c>
      <c r="AK290" s="68" t="str">
        <f>IF(main!AW293="","",ROUND(main!AW293*100,6))</f>
        <v/>
      </c>
      <c r="AL290" s="68" t="str">
        <f>IF(main!AX293="","",ROUND(main!AX293*100,6))</f>
        <v/>
      </c>
      <c r="AM290" s="68" t="str">
        <f>IF(main!AY293="","",ROUND(main!AY293*100,6))</f>
        <v/>
      </c>
      <c r="AN290" s="68" t="str">
        <f>IF(main!AZ293="","",ROUND(main!AZ293*100,6))</f>
        <v/>
      </c>
      <c r="AO290" s="68" t="str">
        <f>IF(main!BA293="","",ROUND(main!BA293*100,6))</f>
        <v/>
      </c>
      <c r="AP290" s="68" t="str">
        <f>IF(main!BB293="","",ROUND(main!BB293*100,6))</f>
        <v/>
      </c>
      <c r="AQ290" s="68" t="str">
        <f>IF(main!BC293="","",ROUND(main!BC293*100,6))</f>
        <v/>
      </c>
      <c r="AR290" s="68" t="str">
        <f>IF(main!BD293="","",ROUND(main!BD293*100,6))</f>
        <v/>
      </c>
      <c r="AS290" s="68" t="str">
        <f>IF(main!BE293="","",ROUND(main!BE293*100,6))</f>
        <v/>
      </c>
      <c r="AT290" s="68" t="str">
        <f>IF(main!BF293="","",ROUND(main!BF293*100,6))</f>
        <v/>
      </c>
      <c r="AU290" s="68" t="str">
        <f>IF(main!BG293="","",ROUND(main!BG293*100,6))</f>
        <v/>
      </c>
      <c r="AV290" s="68" t="str">
        <f>IF(main!BH293="","",ROUND(main!BH293*100,6))</f>
        <v/>
      </c>
      <c r="AW290" s="68" t="str">
        <f>IF(main!BI293="","",ROUND(main!BI293*100,6))</f>
        <v/>
      </c>
      <c r="AX290" s="68" t="str">
        <f>IF(main!BJ293="","",ROUND(main!BJ293*100,6))</f>
        <v/>
      </c>
      <c r="AY290" s="68" t="str">
        <f>IF(main!BK293="","",ROUND(main!BK293*100,6))</f>
        <v/>
      </c>
      <c r="AZ290" s="68" t="str">
        <f>IF(main!BL293="","",ROUND(main!BL293*100,6))</f>
        <v/>
      </c>
      <c r="BA290" s="68" t="str">
        <f>IF(main!BM293="","",ROUND(main!BM293*100,6))</f>
        <v/>
      </c>
      <c r="BB290" s="68" t="str">
        <f>IF(main!BN293="","",ROUND(main!BN293*100,6))</f>
        <v/>
      </c>
      <c r="BC290" s="68" t="str">
        <f>IF(main!BO293="","",ROUND(main!BO293*100,6))</f>
        <v/>
      </c>
      <c r="BD290" s="68" t="str">
        <f>IF(main!BP293="","",ROUND(main!BP293*100,6))</f>
        <v/>
      </c>
      <c r="BE290" s="68" t="str">
        <f>IF(main!BQ293="","",ROUND(main!BQ293*100,6))</f>
        <v/>
      </c>
      <c r="BF290" s="68" t="str">
        <f>IF(main!BR293="","",ROUND(main!BR293*100,6))</f>
        <v/>
      </c>
      <c r="BG290" s="68" t="str">
        <f>IF(main!BS293="","",ROUND(main!BS293*100,6))</f>
        <v/>
      </c>
      <c r="BH290" s="68" t="str">
        <f>IF(main!BT293="","",ROUND(main!BT293*100,6))</f>
        <v/>
      </c>
      <c r="BI290" s="68" t="str">
        <f>IF(main!BU293="","",ROUND(main!BU293*100,6))</f>
        <v/>
      </c>
      <c r="BJ290" s="68">
        <f>IF(main!BV293="","",ROUND(main!BV293*100,6))</f>
        <v>4.7619049999999996</v>
      </c>
      <c r="BK290" s="68">
        <f>IF(main!BW293="","",ROUND(main!BW293*100,6))</f>
        <v>33.333333000000003</v>
      </c>
      <c r="BL290" s="68">
        <f>IF(main!BX293="","",ROUND(main!BX293*100,6))</f>
        <v>33.333333000000003</v>
      </c>
      <c r="BM290" s="68">
        <f>IF(main!BY293="","",ROUND(main!BY293*100,6))</f>
        <v>28.571428999999998</v>
      </c>
      <c r="BN290" s="68" t="str">
        <f>IF(main!BZ293="","",ROUND(main!BZ293*100,6))</f>
        <v/>
      </c>
      <c r="BO290" s="68" t="str">
        <f>IF(main!CA293="","",ROUND(main!CA293*100,6))</f>
        <v/>
      </c>
      <c r="BP290" s="68" t="str">
        <f>IF(main!CB293="","",ROUND(main!CB293*100,6))</f>
        <v/>
      </c>
      <c r="BQ290" s="68" t="str">
        <f>IF(main!CC293="","",ROUND(main!CC293*100,6))</f>
        <v/>
      </c>
      <c r="BR290" s="68" t="str">
        <f>IF(main!CD293="","",ROUND(main!CD293*100,6))</f>
        <v/>
      </c>
      <c r="BS290" s="68" t="str">
        <f>IF(main!CE293="","",ROUND(main!CE293*100,6))</f>
        <v/>
      </c>
      <c r="BT290" s="68" t="str">
        <f>IF(main!CF293="","",ROUND(main!CF293*100,6))</f>
        <v/>
      </c>
      <c r="BU290" s="68" t="str">
        <f>IF(main!CG293="","",ROUND(main!CG293*100,6))</f>
        <v/>
      </c>
      <c r="BV290" s="68" t="str">
        <f>IF(main!CH293="","",ROUND(main!CH293*100,6))</f>
        <v/>
      </c>
      <c r="BW290" s="68" t="str">
        <f>IF(main!CI293="","",ROUND(main!CI293*100,6))</f>
        <v/>
      </c>
      <c r="BX290" s="68" t="str">
        <f>IF(main!CJ293="","",ROUND(main!CJ293*100,6))</f>
        <v/>
      </c>
      <c r="BY290" s="68" t="str">
        <f>IF(main!CK293="","",ROUND(main!CK293*100,6))</f>
        <v/>
      </c>
      <c r="BZ290" s="68" t="str">
        <f>IF(main!CL293="","",ROUND(main!CL293*100,6))</f>
        <v/>
      </c>
      <c r="CA290" s="68" t="str">
        <f>IF(main!CM293="","",ROUND(main!CM293*100,6))</f>
        <v/>
      </c>
      <c r="CB290" s="68" t="str">
        <f>IF(main!CN293="","",ROUND(main!CN293*100,6))</f>
        <v/>
      </c>
      <c r="CC290" s="68" t="str">
        <f>IF(main!CO293="","",ROUND(main!CO293*100,6))</f>
        <v/>
      </c>
    </row>
    <row r="291" spans="1:81" x14ac:dyDescent="0.25">
      <c r="A291" s="65" t="s">
        <v>445</v>
      </c>
      <c r="B291" s="66" t="str">
        <f>main!C293</f>
        <v>งานปรับระดับพื้น</v>
      </c>
      <c r="C291" s="67">
        <f>main!O293</f>
        <v>100000</v>
      </c>
      <c r="D291" s="65" t="s">
        <v>111</v>
      </c>
      <c r="E291" s="68" t="str">
        <f t="shared" si="4"/>
        <v/>
      </c>
      <c r="F291" s="68" t="str">
        <f>IF(main!R294="","",ROUND(main!R294*100,6))</f>
        <v/>
      </c>
      <c r="G291" s="68" t="str">
        <f>IF(main!S294="","",ROUND(main!S294*100,6))</f>
        <v/>
      </c>
      <c r="H291" s="68" t="str">
        <f>IF(main!T294="","",ROUND(main!T294*100,6))</f>
        <v/>
      </c>
      <c r="I291" s="68" t="str">
        <f>IF(main!U294="","",ROUND(main!U294*100,6))</f>
        <v/>
      </c>
      <c r="J291" s="68" t="str">
        <f>IF(main!V294="","",ROUND(main!V294*100,6))</f>
        <v/>
      </c>
      <c r="K291" s="68" t="str">
        <f>IF(main!W294="","",ROUND(main!W294*100,6))</f>
        <v/>
      </c>
      <c r="L291" s="68" t="str">
        <f>IF(main!X294="","",ROUND(main!X294*100,6))</f>
        <v/>
      </c>
      <c r="M291" s="68" t="str">
        <f>IF(main!Y294="","",ROUND(main!Y294*100,6))</f>
        <v/>
      </c>
      <c r="N291" s="68" t="str">
        <f>IF(main!Z294="","",ROUND(main!Z294*100,6))</f>
        <v/>
      </c>
      <c r="O291" s="68" t="str">
        <f>IF(main!AA294="","",ROUND(main!AA294*100,6))</f>
        <v/>
      </c>
      <c r="P291" s="68" t="str">
        <f>IF(main!AB294="","",ROUND(main!AB294*100,6))</f>
        <v/>
      </c>
      <c r="Q291" s="68" t="str">
        <f>IF(main!AC294="","",ROUND(main!AC294*100,6))</f>
        <v/>
      </c>
      <c r="R291" s="68" t="str">
        <f>IF(main!AD294="","",ROUND(main!AD294*100,6))</f>
        <v/>
      </c>
      <c r="S291" s="68" t="str">
        <f>IF(main!AE294="","",ROUND(main!AE294*100,6))</f>
        <v/>
      </c>
      <c r="T291" s="68" t="str">
        <f>IF(main!AF294="","",ROUND(main!AF294*100,6))</f>
        <v/>
      </c>
      <c r="U291" s="68" t="str">
        <f>IF(main!AG294="","",ROUND(main!AG294*100,6))</f>
        <v/>
      </c>
      <c r="V291" s="68" t="str">
        <f>IF(main!AH294="","",ROUND(main!AH294*100,6))</f>
        <v/>
      </c>
      <c r="W291" s="68" t="str">
        <f>IF(main!AI294="","",ROUND(main!AI294*100,6))</f>
        <v/>
      </c>
      <c r="X291" s="68" t="str">
        <f>IF(main!AJ294="","",ROUND(main!AJ294*100,6))</f>
        <v/>
      </c>
      <c r="Y291" s="68" t="str">
        <f>IF(main!AK294="","",ROUND(main!AK294*100,6))</f>
        <v/>
      </c>
      <c r="Z291" s="68" t="str">
        <f>IF(main!AL294="","",ROUND(main!AL294*100,6))</f>
        <v/>
      </c>
      <c r="AA291" s="68" t="str">
        <f>IF(main!AM294="","",ROUND(main!AM294*100,6))</f>
        <v/>
      </c>
      <c r="AB291" s="68" t="str">
        <f>IF(main!AN294="","",ROUND(main!AN294*100,6))</f>
        <v/>
      </c>
      <c r="AC291" s="68" t="str">
        <f>IF(main!AO294="","",ROUND(main!AO294*100,6))</f>
        <v/>
      </c>
      <c r="AD291" s="68" t="str">
        <f>IF(main!AP294="","",ROUND(main!AP294*100,6))</f>
        <v/>
      </c>
      <c r="AE291" s="68" t="str">
        <f>IF(main!AQ294="","",ROUND(main!AQ294*100,6))</f>
        <v/>
      </c>
      <c r="AF291" s="68" t="str">
        <f>IF(main!AR294="","",ROUND(main!AR294*100,6))</f>
        <v/>
      </c>
      <c r="AG291" s="68" t="str">
        <f>IF(main!AS294="","",ROUND(main!AS294*100,6))</f>
        <v/>
      </c>
      <c r="AH291" s="68" t="str">
        <f>IF(main!AT294="","",ROUND(main!AT294*100,6))</f>
        <v/>
      </c>
      <c r="AI291" s="68" t="str">
        <f>IF(main!AU294="","",ROUND(main!AU294*100,6))</f>
        <v/>
      </c>
      <c r="AJ291" s="68" t="str">
        <f>IF(main!AV294="","",ROUND(main!AV294*100,6))</f>
        <v/>
      </c>
      <c r="AK291" s="68" t="str">
        <f>IF(main!AW294="","",ROUND(main!AW294*100,6))</f>
        <v/>
      </c>
      <c r="AL291" s="68" t="str">
        <f>IF(main!AX294="","",ROUND(main!AX294*100,6))</f>
        <v/>
      </c>
      <c r="AM291" s="68" t="str">
        <f>IF(main!AY294="","",ROUND(main!AY294*100,6))</f>
        <v/>
      </c>
      <c r="AN291" s="68" t="str">
        <f>IF(main!AZ294="","",ROUND(main!AZ294*100,6))</f>
        <v/>
      </c>
      <c r="AO291" s="68" t="str">
        <f>IF(main!BA294="","",ROUND(main!BA294*100,6))</f>
        <v/>
      </c>
      <c r="AP291" s="68" t="str">
        <f>IF(main!BB294="","",ROUND(main!BB294*100,6))</f>
        <v/>
      </c>
      <c r="AQ291" s="68" t="str">
        <f>IF(main!BC294="","",ROUND(main!BC294*100,6))</f>
        <v/>
      </c>
      <c r="AR291" s="68" t="str">
        <f>IF(main!BD294="","",ROUND(main!BD294*100,6))</f>
        <v/>
      </c>
      <c r="AS291" s="68" t="str">
        <f>IF(main!BE294="","",ROUND(main!BE294*100,6))</f>
        <v/>
      </c>
      <c r="AT291" s="68" t="str">
        <f>IF(main!BF294="","",ROUND(main!BF294*100,6))</f>
        <v/>
      </c>
      <c r="AU291" s="68" t="str">
        <f>IF(main!BG294="","",ROUND(main!BG294*100,6))</f>
        <v/>
      </c>
      <c r="AV291" s="68" t="str">
        <f>IF(main!BH294="","",ROUND(main!BH294*100,6))</f>
        <v/>
      </c>
      <c r="AW291" s="68" t="str">
        <f>IF(main!BI294="","",ROUND(main!BI294*100,6))</f>
        <v/>
      </c>
      <c r="AX291" s="68" t="str">
        <f>IF(main!BJ294="","",ROUND(main!BJ294*100,6))</f>
        <v/>
      </c>
      <c r="AY291" s="68" t="str">
        <f>IF(main!BK294="","",ROUND(main!BK294*100,6))</f>
        <v/>
      </c>
      <c r="AZ291" s="68" t="str">
        <f>IF(main!BL294="","",ROUND(main!BL294*100,6))</f>
        <v/>
      </c>
      <c r="BA291" s="68" t="str">
        <f>IF(main!BM294="","",ROUND(main!BM294*100,6))</f>
        <v/>
      </c>
      <c r="BB291" s="68" t="str">
        <f>IF(main!BN294="","",ROUND(main!BN294*100,6))</f>
        <v/>
      </c>
      <c r="BC291" s="68" t="str">
        <f>IF(main!BO294="","",ROUND(main!BO294*100,6))</f>
        <v/>
      </c>
      <c r="BD291" s="68" t="str">
        <f>IF(main!BP294="","",ROUND(main!BP294*100,6))</f>
        <v/>
      </c>
      <c r="BE291" s="68" t="str">
        <f>IF(main!BQ294="","",ROUND(main!BQ294*100,6))</f>
        <v/>
      </c>
      <c r="BF291" s="68" t="str">
        <f>IF(main!BR294="","",ROUND(main!BR294*100,6))</f>
        <v/>
      </c>
      <c r="BG291" s="68" t="str">
        <f>IF(main!BS294="","",ROUND(main!BS294*100,6))</f>
        <v/>
      </c>
      <c r="BH291" s="68" t="str">
        <f>IF(main!BT294="","",ROUND(main!BT294*100,6))</f>
        <v/>
      </c>
      <c r="BI291" s="68" t="str">
        <f>IF(main!BU294="","",ROUND(main!BU294*100,6))</f>
        <v/>
      </c>
      <c r="BJ291" s="68" t="str">
        <f>IF(main!BV294="","",ROUND(main!BV294*100,6))</f>
        <v/>
      </c>
      <c r="BK291" s="68" t="str">
        <f>IF(main!BW294="","",ROUND(main!BW294*100,6))</f>
        <v/>
      </c>
      <c r="BL291" s="68" t="str">
        <f>IF(main!BX294="","",ROUND(main!BX294*100,6))</f>
        <v/>
      </c>
      <c r="BM291" s="68" t="str">
        <f>IF(main!BY294="","",ROUND(main!BY294*100,6))</f>
        <v/>
      </c>
      <c r="BN291" s="68" t="str">
        <f>IF(main!BZ294="","",ROUND(main!BZ294*100,6))</f>
        <v/>
      </c>
      <c r="BO291" s="68" t="str">
        <f>IF(main!CA294="","",ROUND(main!CA294*100,6))</f>
        <v/>
      </c>
      <c r="BP291" s="68" t="str">
        <f>IF(main!CB294="","",ROUND(main!CB294*100,6))</f>
        <v/>
      </c>
      <c r="BQ291" s="68" t="str">
        <f>IF(main!CC294="","",ROUND(main!CC294*100,6))</f>
        <v/>
      </c>
      <c r="BR291" s="68" t="str">
        <f>IF(main!CD294="","",ROUND(main!CD294*100,6))</f>
        <v/>
      </c>
      <c r="BS291" s="68" t="str">
        <f>IF(main!CE294="","",ROUND(main!CE294*100,6))</f>
        <v/>
      </c>
      <c r="BT291" s="68" t="str">
        <f>IF(main!CF294="","",ROUND(main!CF294*100,6))</f>
        <v/>
      </c>
      <c r="BU291" s="68" t="str">
        <f>IF(main!CG294="","",ROUND(main!CG294*100,6))</f>
        <v/>
      </c>
      <c r="BV291" s="68" t="str">
        <f>IF(main!CH294="","",ROUND(main!CH294*100,6))</f>
        <v/>
      </c>
      <c r="BW291" s="68" t="str">
        <f>IF(main!CI294="","",ROUND(main!CI294*100,6))</f>
        <v/>
      </c>
      <c r="BX291" s="68" t="str">
        <f>IF(main!CJ294="","",ROUND(main!CJ294*100,6))</f>
        <v/>
      </c>
      <c r="BY291" s="68" t="str">
        <f>IF(main!CK294="","",ROUND(main!CK294*100,6))</f>
        <v/>
      </c>
      <c r="BZ291" s="68" t="str">
        <f>IF(main!CL294="","",ROUND(main!CL294*100,6))</f>
        <v/>
      </c>
      <c r="CA291" s="68" t="str">
        <f>IF(main!CM294="","",ROUND(main!CM294*100,6))</f>
        <v/>
      </c>
      <c r="CB291" s="68" t="str">
        <f>IF(main!CN294="","",ROUND(main!CN294*100,6))</f>
        <v/>
      </c>
      <c r="CC291" s="68" t="str">
        <f>IF(main!CO294="","",ROUND(main!CO294*100,6))</f>
        <v/>
      </c>
    </row>
    <row r="292" spans="1:81" x14ac:dyDescent="0.25">
      <c r="A292" s="65" t="s">
        <v>447</v>
      </c>
      <c r="B292" s="66" t="str">
        <f>main!C295</f>
        <v>งานปูกระเบื้องยาง</v>
      </c>
      <c r="C292" s="67">
        <f>main!O295</f>
        <v>100000</v>
      </c>
      <c r="D292" s="65" t="s">
        <v>110</v>
      </c>
      <c r="E292" s="68">
        <f t="shared" si="4"/>
        <v>100</v>
      </c>
      <c r="F292" s="68" t="str">
        <f>IF(main!R295="","",ROUND(main!R295*100,6))</f>
        <v/>
      </c>
      <c r="G292" s="68" t="str">
        <f>IF(main!S295="","",ROUND(main!S295*100,6))</f>
        <v/>
      </c>
      <c r="H292" s="68" t="str">
        <f>IF(main!T295="","",ROUND(main!T295*100,6))</f>
        <v/>
      </c>
      <c r="I292" s="68" t="str">
        <f>IF(main!U295="","",ROUND(main!U295*100,6))</f>
        <v/>
      </c>
      <c r="J292" s="68" t="str">
        <f>IF(main!V295="","",ROUND(main!V295*100,6))</f>
        <v/>
      </c>
      <c r="K292" s="68" t="str">
        <f>IF(main!W295="","",ROUND(main!W295*100,6))</f>
        <v/>
      </c>
      <c r="L292" s="68" t="str">
        <f>IF(main!X295="","",ROUND(main!X295*100,6))</f>
        <v/>
      </c>
      <c r="M292" s="68" t="str">
        <f>IF(main!Y295="","",ROUND(main!Y295*100,6))</f>
        <v/>
      </c>
      <c r="N292" s="68" t="str">
        <f>IF(main!Z295="","",ROUND(main!Z295*100,6))</f>
        <v/>
      </c>
      <c r="O292" s="68" t="str">
        <f>IF(main!AA295="","",ROUND(main!AA295*100,6))</f>
        <v/>
      </c>
      <c r="P292" s="68" t="str">
        <f>IF(main!AB295="","",ROUND(main!AB295*100,6))</f>
        <v/>
      </c>
      <c r="Q292" s="68" t="str">
        <f>IF(main!AC295="","",ROUND(main!AC295*100,6))</f>
        <v/>
      </c>
      <c r="R292" s="68" t="str">
        <f>IF(main!AD295="","",ROUND(main!AD295*100,6))</f>
        <v/>
      </c>
      <c r="S292" s="68" t="str">
        <f>IF(main!AE295="","",ROUND(main!AE295*100,6))</f>
        <v/>
      </c>
      <c r="T292" s="68" t="str">
        <f>IF(main!AF295="","",ROUND(main!AF295*100,6))</f>
        <v/>
      </c>
      <c r="U292" s="68" t="str">
        <f>IF(main!AG295="","",ROUND(main!AG295*100,6))</f>
        <v/>
      </c>
      <c r="V292" s="68" t="str">
        <f>IF(main!AH295="","",ROUND(main!AH295*100,6))</f>
        <v/>
      </c>
      <c r="W292" s="68" t="str">
        <f>IF(main!AI295="","",ROUND(main!AI295*100,6))</f>
        <v/>
      </c>
      <c r="X292" s="68" t="str">
        <f>IF(main!AJ295="","",ROUND(main!AJ295*100,6))</f>
        <v/>
      </c>
      <c r="Y292" s="68" t="str">
        <f>IF(main!AK295="","",ROUND(main!AK295*100,6))</f>
        <v/>
      </c>
      <c r="Z292" s="68" t="str">
        <f>IF(main!AL295="","",ROUND(main!AL295*100,6))</f>
        <v/>
      </c>
      <c r="AA292" s="68" t="str">
        <f>IF(main!AM295="","",ROUND(main!AM295*100,6))</f>
        <v/>
      </c>
      <c r="AB292" s="68" t="str">
        <f>IF(main!AN295="","",ROUND(main!AN295*100,6))</f>
        <v/>
      </c>
      <c r="AC292" s="68" t="str">
        <f>IF(main!AO295="","",ROUND(main!AO295*100,6))</f>
        <v/>
      </c>
      <c r="AD292" s="68" t="str">
        <f>IF(main!AP295="","",ROUND(main!AP295*100,6))</f>
        <v/>
      </c>
      <c r="AE292" s="68" t="str">
        <f>IF(main!AQ295="","",ROUND(main!AQ295*100,6))</f>
        <v/>
      </c>
      <c r="AF292" s="68" t="str">
        <f>IF(main!AR295="","",ROUND(main!AR295*100,6))</f>
        <v/>
      </c>
      <c r="AG292" s="68" t="str">
        <f>IF(main!AS295="","",ROUND(main!AS295*100,6))</f>
        <v/>
      </c>
      <c r="AH292" s="68" t="str">
        <f>IF(main!AT295="","",ROUND(main!AT295*100,6))</f>
        <v/>
      </c>
      <c r="AI292" s="68" t="str">
        <f>IF(main!AU295="","",ROUND(main!AU295*100,6))</f>
        <v/>
      </c>
      <c r="AJ292" s="68" t="str">
        <f>IF(main!AV295="","",ROUND(main!AV295*100,6))</f>
        <v/>
      </c>
      <c r="AK292" s="68" t="str">
        <f>IF(main!AW295="","",ROUND(main!AW295*100,6))</f>
        <v/>
      </c>
      <c r="AL292" s="68" t="str">
        <f>IF(main!AX295="","",ROUND(main!AX295*100,6))</f>
        <v/>
      </c>
      <c r="AM292" s="68" t="str">
        <f>IF(main!AY295="","",ROUND(main!AY295*100,6))</f>
        <v/>
      </c>
      <c r="AN292" s="68" t="str">
        <f>IF(main!AZ295="","",ROUND(main!AZ295*100,6))</f>
        <v/>
      </c>
      <c r="AO292" s="68" t="str">
        <f>IF(main!BA295="","",ROUND(main!BA295*100,6))</f>
        <v/>
      </c>
      <c r="AP292" s="68" t="str">
        <f>IF(main!BB295="","",ROUND(main!BB295*100,6))</f>
        <v/>
      </c>
      <c r="AQ292" s="68" t="str">
        <f>IF(main!BC295="","",ROUND(main!BC295*100,6))</f>
        <v/>
      </c>
      <c r="AR292" s="68" t="str">
        <f>IF(main!BD295="","",ROUND(main!BD295*100,6))</f>
        <v/>
      </c>
      <c r="AS292" s="68" t="str">
        <f>IF(main!BE295="","",ROUND(main!BE295*100,6))</f>
        <v/>
      </c>
      <c r="AT292" s="68" t="str">
        <f>IF(main!BF295="","",ROUND(main!BF295*100,6))</f>
        <v/>
      </c>
      <c r="AU292" s="68" t="str">
        <f>IF(main!BG295="","",ROUND(main!BG295*100,6))</f>
        <v/>
      </c>
      <c r="AV292" s="68" t="str">
        <f>IF(main!BH295="","",ROUND(main!BH295*100,6))</f>
        <v/>
      </c>
      <c r="AW292" s="68" t="str">
        <f>IF(main!BI295="","",ROUND(main!BI295*100,6))</f>
        <v/>
      </c>
      <c r="AX292" s="68" t="str">
        <f>IF(main!BJ295="","",ROUND(main!BJ295*100,6))</f>
        <v/>
      </c>
      <c r="AY292" s="68" t="str">
        <f>IF(main!BK295="","",ROUND(main!BK295*100,6))</f>
        <v/>
      </c>
      <c r="AZ292" s="68" t="str">
        <f>IF(main!BL295="","",ROUND(main!BL295*100,6))</f>
        <v/>
      </c>
      <c r="BA292" s="68" t="str">
        <f>IF(main!BM295="","",ROUND(main!BM295*100,6))</f>
        <v/>
      </c>
      <c r="BB292" s="68" t="str">
        <f>IF(main!BN295="","",ROUND(main!BN295*100,6))</f>
        <v/>
      </c>
      <c r="BC292" s="68" t="str">
        <f>IF(main!BO295="","",ROUND(main!BO295*100,6))</f>
        <v/>
      </c>
      <c r="BD292" s="68" t="str">
        <f>IF(main!BP295="","",ROUND(main!BP295*100,6))</f>
        <v/>
      </c>
      <c r="BE292" s="68" t="str">
        <f>IF(main!BQ295="","",ROUND(main!BQ295*100,6))</f>
        <v/>
      </c>
      <c r="BF292" s="68" t="str">
        <f>IF(main!BR295="","",ROUND(main!BR295*100,6))</f>
        <v/>
      </c>
      <c r="BG292" s="68" t="str">
        <f>IF(main!BS295="","",ROUND(main!BS295*100,6))</f>
        <v/>
      </c>
      <c r="BH292" s="68" t="str">
        <f>IF(main!BT295="","",ROUND(main!BT295*100,6))</f>
        <v/>
      </c>
      <c r="BI292" s="68" t="str">
        <f>IF(main!BU295="","",ROUND(main!BU295*100,6))</f>
        <v/>
      </c>
      <c r="BJ292" s="68" t="str">
        <f>IF(main!BV295="","",ROUND(main!BV295*100,6))</f>
        <v/>
      </c>
      <c r="BK292" s="68" t="str">
        <f>IF(main!BW295="","",ROUND(main!BW295*100,6))</f>
        <v/>
      </c>
      <c r="BL292" s="68" t="str">
        <f>IF(main!BX295="","",ROUND(main!BX295*100,6))</f>
        <v/>
      </c>
      <c r="BM292" s="68" t="str">
        <f>IF(main!BY295="","",ROUND(main!BY295*100,6))</f>
        <v/>
      </c>
      <c r="BN292" s="68" t="str">
        <f>IF(main!BZ295="","",ROUND(main!BZ295*100,6))</f>
        <v/>
      </c>
      <c r="BO292" s="68" t="str">
        <f>IF(main!CA295="","",ROUND(main!CA295*100,6))</f>
        <v/>
      </c>
      <c r="BP292" s="68" t="str">
        <f>IF(main!CB295="","",ROUND(main!CB295*100,6))</f>
        <v/>
      </c>
      <c r="BQ292" s="68" t="str">
        <f>IF(main!CC295="","",ROUND(main!CC295*100,6))</f>
        <v/>
      </c>
      <c r="BR292" s="68" t="str">
        <f>IF(main!CD295="","",ROUND(main!CD295*100,6))</f>
        <v/>
      </c>
      <c r="BS292" s="68" t="str">
        <f>IF(main!CE295="","",ROUND(main!CE295*100,6))</f>
        <v/>
      </c>
      <c r="BT292" s="68" t="str">
        <f>IF(main!CF295="","",ROUND(main!CF295*100,6))</f>
        <v/>
      </c>
      <c r="BU292" s="68" t="str">
        <f>IF(main!CG295="","",ROUND(main!CG295*100,6))</f>
        <v/>
      </c>
      <c r="BV292" s="68" t="str">
        <f>IF(main!CH295="","",ROUND(main!CH295*100,6))</f>
        <v/>
      </c>
      <c r="BW292" s="68">
        <f>IF(main!CI295="","",ROUND(main!CI295*100,6))</f>
        <v>9.0909089999999999</v>
      </c>
      <c r="BX292" s="68">
        <f>IF(main!CJ295="","",ROUND(main!CJ295*100,6))</f>
        <v>63.636364</v>
      </c>
      <c r="BY292" s="68">
        <f>IF(main!CK295="","",ROUND(main!CK295*100,6))</f>
        <v>27.272727</v>
      </c>
      <c r="BZ292" s="68" t="str">
        <f>IF(main!CL295="","",ROUND(main!CL295*100,6))</f>
        <v/>
      </c>
      <c r="CA292" s="68" t="str">
        <f>IF(main!CM295="","",ROUND(main!CM295*100,6))</f>
        <v/>
      </c>
      <c r="CB292" s="68" t="str">
        <f>IF(main!CN295="","",ROUND(main!CN295*100,6))</f>
        <v/>
      </c>
      <c r="CC292" s="68" t="str">
        <f>IF(main!CO295="","",ROUND(main!CO295*100,6))</f>
        <v/>
      </c>
    </row>
    <row r="293" spans="1:81" x14ac:dyDescent="0.25">
      <c r="A293" s="65" t="s">
        <v>447</v>
      </c>
      <c r="B293" s="66" t="str">
        <f>main!C295</f>
        <v>งานปูกระเบื้องยาง</v>
      </c>
      <c r="C293" s="67">
        <f>main!O295</f>
        <v>100000</v>
      </c>
      <c r="D293" s="65" t="s">
        <v>111</v>
      </c>
      <c r="E293" s="68" t="str">
        <f t="shared" si="4"/>
        <v/>
      </c>
      <c r="F293" s="68" t="str">
        <f>IF(main!R296="","",ROUND(main!R296*100,6))</f>
        <v/>
      </c>
      <c r="G293" s="68" t="str">
        <f>IF(main!S296="","",ROUND(main!S296*100,6))</f>
        <v/>
      </c>
      <c r="H293" s="68" t="str">
        <f>IF(main!T296="","",ROUND(main!T296*100,6))</f>
        <v/>
      </c>
      <c r="I293" s="68" t="str">
        <f>IF(main!U296="","",ROUND(main!U296*100,6))</f>
        <v/>
      </c>
      <c r="J293" s="68" t="str">
        <f>IF(main!V296="","",ROUND(main!V296*100,6))</f>
        <v/>
      </c>
      <c r="K293" s="68" t="str">
        <f>IF(main!W296="","",ROUND(main!W296*100,6))</f>
        <v/>
      </c>
      <c r="L293" s="68" t="str">
        <f>IF(main!X296="","",ROUND(main!X296*100,6))</f>
        <v/>
      </c>
      <c r="M293" s="68" t="str">
        <f>IF(main!Y296="","",ROUND(main!Y296*100,6))</f>
        <v/>
      </c>
      <c r="N293" s="68" t="str">
        <f>IF(main!Z296="","",ROUND(main!Z296*100,6))</f>
        <v/>
      </c>
      <c r="O293" s="68" t="str">
        <f>IF(main!AA296="","",ROUND(main!AA296*100,6))</f>
        <v/>
      </c>
      <c r="P293" s="68" t="str">
        <f>IF(main!AB296="","",ROUND(main!AB296*100,6))</f>
        <v/>
      </c>
      <c r="Q293" s="68" t="str">
        <f>IF(main!AC296="","",ROUND(main!AC296*100,6))</f>
        <v/>
      </c>
      <c r="R293" s="68" t="str">
        <f>IF(main!AD296="","",ROUND(main!AD296*100,6))</f>
        <v/>
      </c>
      <c r="S293" s="68" t="str">
        <f>IF(main!AE296="","",ROUND(main!AE296*100,6))</f>
        <v/>
      </c>
      <c r="T293" s="68" t="str">
        <f>IF(main!AF296="","",ROUND(main!AF296*100,6))</f>
        <v/>
      </c>
      <c r="U293" s="68" t="str">
        <f>IF(main!AG296="","",ROUND(main!AG296*100,6))</f>
        <v/>
      </c>
      <c r="V293" s="68" t="str">
        <f>IF(main!AH296="","",ROUND(main!AH296*100,6))</f>
        <v/>
      </c>
      <c r="W293" s="68" t="str">
        <f>IF(main!AI296="","",ROUND(main!AI296*100,6))</f>
        <v/>
      </c>
      <c r="X293" s="68" t="str">
        <f>IF(main!AJ296="","",ROUND(main!AJ296*100,6))</f>
        <v/>
      </c>
      <c r="Y293" s="68" t="str">
        <f>IF(main!AK296="","",ROUND(main!AK296*100,6))</f>
        <v/>
      </c>
      <c r="Z293" s="68" t="str">
        <f>IF(main!AL296="","",ROUND(main!AL296*100,6))</f>
        <v/>
      </c>
      <c r="AA293" s="68" t="str">
        <f>IF(main!AM296="","",ROUND(main!AM296*100,6))</f>
        <v/>
      </c>
      <c r="AB293" s="68" t="str">
        <f>IF(main!AN296="","",ROUND(main!AN296*100,6))</f>
        <v/>
      </c>
      <c r="AC293" s="68" t="str">
        <f>IF(main!AO296="","",ROUND(main!AO296*100,6))</f>
        <v/>
      </c>
      <c r="AD293" s="68" t="str">
        <f>IF(main!AP296="","",ROUND(main!AP296*100,6))</f>
        <v/>
      </c>
      <c r="AE293" s="68" t="str">
        <f>IF(main!AQ296="","",ROUND(main!AQ296*100,6))</f>
        <v/>
      </c>
      <c r="AF293" s="68" t="str">
        <f>IF(main!AR296="","",ROUND(main!AR296*100,6))</f>
        <v/>
      </c>
      <c r="AG293" s="68" t="str">
        <f>IF(main!AS296="","",ROUND(main!AS296*100,6))</f>
        <v/>
      </c>
      <c r="AH293" s="68" t="str">
        <f>IF(main!AT296="","",ROUND(main!AT296*100,6))</f>
        <v/>
      </c>
      <c r="AI293" s="68" t="str">
        <f>IF(main!AU296="","",ROUND(main!AU296*100,6))</f>
        <v/>
      </c>
      <c r="AJ293" s="68" t="str">
        <f>IF(main!AV296="","",ROUND(main!AV296*100,6))</f>
        <v/>
      </c>
      <c r="AK293" s="68" t="str">
        <f>IF(main!AW296="","",ROUND(main!AW296*100,6))</f>
        <v/>
      </c>
      <c r="AL293" s="68" t="str">
        <f>IF(main!AX296="","",ROUND(main!AX296*100,6))</f>
        <v/>
      </c>
      <c r="AM293" s="68" t="str">
        <f>IF(main!AY296="","",ROUND(main!AY296*100,6))</f>
        <v/>
      </c>
      <c r="AN293" s="68" t="str">
        <f>IF(main!AZ296="","",ROUND(main!AZ296*100,6))</f>
        <v/>
      </c>
      <c r="AO293" s="68" t="str">
        <f>IF(main!BA296="","",ROUND(main!BA296*100,6))</f>
        <v/>
      </c>
      <c r="AP293" s="68" t="str">
        <f>IF(main!BB296="","",ROUND(main!BB296*100,6))</f>
        <v/>
      </c>
      <c r="AQ293" s="68" t="str">
        <f>IF(main!BC296="","",ROUND(main!BC296*100,6))</f>
        <v/>
      </c>
      <c r="AR293" s="68" t="str">
        <f>IF(main!BD296="","",ROUND(main!BD296*100,6))</f>
        <v/>
      </c>
      <c r="AS293" s="68" t="str">
        <f>IF(main!BE296="","",ROUND(main!BE296*100,6))</f>
        <v/>
      </c>
      <c r="AT293" s="68" t="str">
        <f>IF(main!BF296="","",ROUND(main!BF296*100,6))</f>
        <v/>
      </c>
      <c r="AU293" s="68" t="str">
        <f>IF(main!BG296="","",ROUND(main!BG296*100,6))</f>
        <v/>
      </c>
      <c r="AV293" s="68" t="str">
        <f>IF(main!BH296="","",ROUND(main!BH296*100,6))</f>
        <v/>
      </c>
      <c r="AW293" s="68" t="str">
        <f>IF(main!BI296="","",ROUND(main!BI296*100,6))</f>
        <v/>
      </c>
      <c r="AX293" s="68" t="str">
        <f>IF(main!BJ296="","",ROUND(main!BJ296*100,6))</f>
        <v/>
      </c>
      <c r="AY293" s="68" t="str">
        <f>IF(main!BK296="","",ROUND(main!BK296*100,6))</f>
        <v/>
      </c>
      <c r="AZ293" s="68" t="str">
        <f>IF(main!BL296="","",ROUND(main!BL296*100,6))</f>
        <v/>
      </c>
      <c r="BA293" s="68" t="str">
        <f>IF(main!BM296="","",ROUND(main!BM296*100,6))</f>
        <v/>
      </c>
      <c r="BB293" s="68" t="str">
        <f>IF(main!BN296="","",ROUND(main!BN296*100,6))</f>
        <v/>
      </c>
      <c r="BC293" s="68" t="str">
        <f>IF(main!BO296="","",ROUND(main!BO296*100,6))</f>
        <v/>
      </c>
      <c r="BD293" s="68" t="str">
        <f>IF(main!BP296="","",ROUND(main!BP296*100,6))</f>
        <v/>
      </c>
      <c r="BE293" s="68" t="str">
        <f>IF(main!BQ296="","",ROUND(main!BQ296*100,6))</f>
        <v/>
      </c>
      <c r="BF293" s="68" t="str">
        <f>IF(main!BR296="","",ROUND(main!BR296*100,6))</f>
        <v/>
      </c>
      <c r="BG293" s="68" t="str">
        <f>IF(main!BS296="","",ROUND(main!BS296*100,6))</f>
        <v/>
      </c>
      <c r="BH293" s="68" t="str">
        <f>IF(main!BT296="","",ROUND(main!BT296*100,6))</f>
        <v/>
      </c>
      <c r="BI293" s="68" t="str">
        <f>IF(main!BU296="","",ROUND(main!BU296*100,6))</f>
        <v/>
      </c>
      <c r="BJ293" s="68" t="str">
        <f>IF(main!BV296="","",ROUND(main!BV296*100,6))</f>
        <v/>
      </c>
      <c r="BK293" s="68" t="str">
        <f>IF(main!BW296="","",ROUND(main!BW296*100,6))</f>
        <v/>
      </c>
      <c r="BL293" s="68" t="str">
        <f>IF(main!BX296="","",ROUND(main!BX296*100,6))</f>
        <v/>
      </c>
      <c r="BM293" s="68" t="str">
        <f>IF(main!BY296="","",ROUND(main!BY296*100,6))</f>
        <v/>
      </c>
      <c r="BN293" s="68" t="str">
        <f>IF(main!BZ296="","",ROUND(main!BZ296*100,6))</f>
        <v/>
      </c>
      <c r="BO293" s="68" t="str">
        <f>IF(main!CA296="","",ROUND(main!CA296*100,6))</f>
        <v/>
      </c>
      <c r="BP293" s="68" t="str">
        <f>IF(main!CB296="","",ROUND(main!CB296*100,6))</f>
        <v/>
      </c>
      <c r="BQ293" s="68" t="str">
        <f>IF(main!CC296="","",ROUND(main!CC296*100,6))</f>
        <v/>
      </c>
      <c r="BR293" s="68" t="str">
        <f>IF(main!CD296="","",ROUND(main!CD296*100,6))</f>
        <v/>
      </c>
      <c r="BS293" s="68" t="str">
        <f>IF(main!CE296="","",ROUND(main!CE296*100,6))</f>
        <v/>
      </c>
      <c r="BT293" s="68" t="str">
        <f>IF(main!CF296="","",ROUND(main!CF296*100,6))</f>
        <v/>
      </c>
      <c r="BU293" s="68" t="str">
        <f>IF(main!CG296="","",ROUND(main!CG296*100,6))</f>
        <v/>
      </c>
      <c r="BV293" s="68" t="str">
        <f>IF(main!CH296="","",ROUND(main!CH296*100,6))</f>
        <v/>
      </c>
      <c r="BW293" s="68" t="str">
        <f>IF(main!CI296="","",ROUND(main!CI296*100,6))</f>
        <v/>
      </c>
      <c r="BX293" s="68" t="str">
        <f>IF(main!CJ296="","",ROUND(main!CJ296*100,6))</f>
        <v/>
      </c>
      <c r="BY293" s="68" t="str">
        <f>IF(main!CK296="","",ROUND(main!CK296*100,6))</f>
        <v/>
      </c>
      <c r="BZ293" s="68" t="str">
        <f>IF(main!CL296="","",ROUND(main!CL296*100,6))</f>
        <v/>
      </c>
      <c r="CA293" s="68" t="str">
        <f>IF(main!CM296="","",ROUND(main!CM296*100,6))</f>
        <v/>
      </c>
      <c r="CB293" s="68" t="str">
        <f>IF(main!CN296="","",ROUND(main!CN296*100,6))</f>
        <v/>
      </c>
      <c r="CC293" s="68" t="str">
        <f>IF(main!CO296="","",ROUND(main!CO296*100,6))</f>
        <v/>
      </c>
    </row>
    <row r="294" spans="1:81" x14ac:dyDescent="0.25">
      <c r="A294" s="65" t="s">
        <v>449</v>
      </c>
      <c r="B294" s="66" t="str">
        <f>main!C297</f>
        <v>งานพื้น Epoxy - Corridore, Lift Lobby, Office</v>
      </c>
      <c r="C294" s="67">
        <f>main!O297</f>
        <v>100000</v>
      </c>
      <c r="D294" s="65" t="s">
        <v>110</v>
      </c>
      <c r="E294" s="68">
        <f t="shared" si="4"/>
        <v>100</v>
      </c>
      <c r="F294" s="68" t="str">
        <f>IF(main!R297="","",ROUND(main!R297*100,6))</f>
        <v/>
      </c>
      <c r="G294" s="68" t="str">
        <f>IF(main!S297="","",ROUND(main!S297*100,6))</f>
        <v/>
      </c>
      <c r="H294" s="68" t="str">
        <f>IF(main!T297="","",ROUND(main!T297*100,6))</f>
        <v/>
      </c>
      <c r="I294" s="68" t="str">
        <f>IF(main!U297="","",ROUND(main!U297*100,6))</f>
        <v/>
      </c>
      <c r="J294" s="68" t="str">
        <f>IF(main!V297="","",ROUND(main!V297*100,6))</f>
        <v/>
      </c>
      <c r="K294" s="68" t="str">
        <f>IF(main!W297="","",ROUND(main!W297*100,6))</f>
        <v/>
      </c>
      <c r="L294" s="68" t="str">
        <f>IF(main!X297="","",ROUND(main!X297*100,6))</f>
        <v/>
      </c>
      <c r="M294" s="68" t="str">
        <f>IF(main!Y297="","",ROUND(main!Y297*100,6))</f>
        <v/>
      </c>
      <c r="N294" s="68" t="str">
        <f>IF(main!Z297="","",ROUND(main!Z297*100,6))</f>
        <v/>
      </c>
      <c r="O294" s="68" t="str">
        <f>IF(main!AA297="","",ROUND(main!AA297*100,6))</f>
        <v/>
      </c>
      <c r="P294" s="68" t="str">
        <f>IF(main!AB297="","",ROUND(main!AB297*100,6))</f>
        <v/>
      </c>
      <c r="Q294" s="68" t="str">
        <f>IF(main!AC297="","",ROUND(main!AC297*100,6))</f>
        <v/>
      </c>
      <c r="R294" s="68" t="str">
        <f>IF(main!AD297="","",ROUND(main!AD297*100,6))</f>
        <v/>
      </c>
      <c r="S294" s="68" t="str">
        <f>IF(main!AE297="","",ROUND(main!AE297*100,6))</f>
        <v/>
      </c>
      <c r="T294" s="68" t="str">
        <f>IF(main!AF297="","",ROUND(main!AF297*100,6))</f>
        <v/>
      </c>
      <c r="U294" s="68" t="str">
        <f>IF(main!AG297="","",ROUND(main!AG297*100,6))</f>
        <v/>
      </c>
      <c r="V294" s="68" t="str">
        <f>IF(main!AH297="","",ROUND(main!AH297*100,6))</f>
        <v/>
      </c>
      <c r="W294" s="68" t="str">
        <f>IF(main!AI297="","",ROUND(main!AI297*100,6))</f>
        <v/>
      </c>
      <c r="X294" s="68" t="str">
        <f>IF(main!AJ297="","",ROUND(main!AJ297*100,6))</f>
        <v/>
      </c>
      <c r="Y294" s="68" t="str">
        <f>IF(main!AK297="","",ROUND(main!AK297*100,6))</f>
        <v/>
      </c>
      <c r="Z294" s="68" t="str">
        <f>IF(main!AL297="","",ROUND(main!AL297*100,6))</f>
        <v/>
      </c>
      <c r="AA294" s="68" t="str">
        <f>IF(main!AM297="","",ROUND(main!AM297*100,6))</f>
        <v/>
      </c>
      <c r="AB294" s="68" t="str">
        <f>IF(main!AN297="","",ROUND(main!AN297*100,6))</f>
        <v/>
      </c>
      <c r="AC294" s="68" t="str">
        <f>IF(main!AO297="","",ROUND(main!AO297*100,6))</f>
        <v/>
      </c>
      <c r="AD294" s="68" t="str">
        <f>IF(main!AP297="","",ROUND(main!AP297*100,6))</f>
        <v/>
      </c>
      <c r="AE294" s="68" t="str">
        <f>IF(main!AQ297="","",ROUND(main!AQ297*100,6))</f>
        <v/>
      </c>
      <c r="AF294" s="68" t="str">
        <f>IF(main!AR297="","",ROUND(main!AR297*100,6))</f>
        <v/>
      </c>
      <c r="AG294" s="68" t="str">
        <f>IF(main!AS297="","",ROUND(main!AS297*100,6))</f>
        <v/>
      </c>
      <c r="AH294" s="68" t="str">
        <f>IF(main!AT297="","",ROUND(main!AT297*100,6))</f>
        <v/>
      </c>
      <c r="AI294" s="68" t="str">
        <f>IF(main!AU297="","",ROUND(main!AU297*100,6))</f>
        <v/>
      </c>
      <c r="AJ294" s="68" t="str">
        <f>IF(main!AV297="","",ROUND(main!AV297*100,6))</f>
        <v/>
      </c>
      <c r="AK294" s="68" t="str">
        <f>IF(main!AW297="","",ROUND(main!AW297*100,6))</f>
        <v/>
      </c>
      <c r="AL294" s="68" t="str">
        <f>IF(main!AX297="","",ROUND(main!AX297*100,6))</f>
        <v/>
      </c>
      <c r="AM294" s="68" t="str">
        <f>IF(main!AY297="","",ROUND(main!AY297*100,6))</f>
        <v/>
      </c>
      <c r="AN294" s="68" t="str">
        <f>IF(main!AZ297="","",ROUND(main!AZ297*100,6))</f>
        <v/>
      </c>
      <c r="AO294" s="68" t="str">
        <f>IF(main!BA297="","",ROUND(main!BA297*100,6))</f>
        <v/>
      </c>
      <c r="AP294" s="68" t="str">
        <f>IF(main!BB297="","",ROUND(main!BB297*100,6))</f>
        <v/>
      </c>
      <c r="AQ294" s="68" t="str">
        <f>IF(main!BC297="","",ROUND(main!BC297*100,6))</f>
        <v/>
      </c>
      <c r="AR294" s="68" t="str">
        <f>IF(main!BD297="","",ROUND(main!BD297*100,6))</f>
        <v/>
      </c>
      <c r="AS294" s="68" t="str">
        <f>IF(main!BE297="","",ROUND(main!BE297*100,6))</f>
        <v/>
      </c>
      <c r="AT294" s="68" t="str">
        <f>IF(main!BF297="","",ROUND(main!BF297*100,6))</f>
        <v/>
      </c>
      <c r="AU294" s="68" t="str">
        <f>IF(main!BG297="","",ROUND(main!BG297*100,6))</f>
        <v/>
      </c>
      <c r="AV294" s="68" t="str">
        <f>IF(main!BH297="","",ROUND(main!BH297*100,6))</f>
        <v/>
      </c>
      <c r="AW294" s="68" t="str">
        <f>IF(main!BI297="","",ROUND(main!BI297*100,6))</f>
        <v/>
      </c>
      <c r="AX294" s="68" t="str">
        <f>IF(main!BJ297="","",ROUND(main!BJ297*100,6))</f>
        <v/>
      </c>
      <c r="AY294" s="68" t="str">
        <f>IF(main!BK297="","",ROUND(main!BK297*100,6))</f>
        <v/>
      </c>
      <c r="AZ294" s="68" t="str">
        <f>IF(main!BL297="","",ROUND(main!BL297*100,6))</f>
        <v/>
      </c>
      <c r="BA294" s="68" t="str">
        <f>IF(main!BM297="","",ROUND(main!BM297*100,6))</f>
        <v/>
      </c>
      <c r="BB294" s="68" t="str">
        <f>IF(main!BN297="","",ROUND(main!BN297*100,6))</f>
        <v/>
      </c>
      <c r="BC294" s="68" t="str">
        <f>IF(main!BO297="","",ROUND(main!BO297*100,6))</f>
        <v/>
      </c>
      <c r="BD294" s="68" t="str">
        <f>IF(main!BP297="","",ROUND(main!BP297*100,6))</f>
        <v/>
      </c>
      <c r="BE294" s="68" t="str">
        <f>IF(main!BQ297="","",ROUND(main!BQ297*100,6))</f>
        <v/>
      </c>
      <c r="BF294" s="68" t="str">
        <f>IF(main!BR297="","",ROUND(main!BR297*100,6))</f>
        <v/>
      </c>
      <c r="BG294" s="68" t="str">
        <f>IF(main!BS297="","",ROUND(main!BS297*100,6))</f>
        <v/>
      </c>
      <c r="BH294" s="68" t="str">
        <f>IF(main!BT297="","",ROUND(main!BT297*100,6))</f>
        <v/>
      </c>
      <c r="BI294" s="68" t="str">
        <f>IF(main!BU297="","",ROUND(main!BU297*100,6))</f>
        <v/>
      </c>
      <c r="BJ294" s="68" t="str">
        <f>IF(main!BV297="","",ROUND(main!BV297*100,6))</f>
        <v/>
      </c>
      <c r="BK294" s="68" t="str">
        <f>IF(main!BW297="","",ROUND(main!BW297*100,6))</f>
        <v/>
      </c>
      <c r="BL294" s="68" t="str">
        <f>IF(main!BX297="","",ROUND(main!BX297*100,6))</f>
        <v/>
      </c>
      <c r="BM294" s="68" t="str">
        <f>IF(main!BY297="","",ROUND(main!BY297*100,6))</f>
        <v/>
      </c>
      <c r="BN294" s="68" t="str">
        <f>IF(main!BZ297="","",ROUND(main!BZ297*100,6))</f>
        <v/>
      </c>
      <c r="BO294" s="68" t="str">
        <f>IF(main!CA297="","",ROUND(main!CA297*100,6))</f>
        <v/>
      </c>
      <c r="BP294" s="68" t="str">
        <f>IF(main!CB297="","",ROUND(main!CB297*100,6))</f>
        <v/>
      </c>
      <c r="BQ294" s="68" t="str">
        <f>IF(main!CC297="","",ROUND(main!CC297*100,6))</f>
        <v/>
      </c>
      <c r="BR294" s="68" t="str">
        <f>IF(main!CD297="","",ROUND(main!CD297*100,6))</f>
        <v/>
      </c>
      <c r="BS294" s="68" t="str">
        <f>IF(main!CE297="","",ROUND(main!CE297*100,6))</f>
        <v/>
      </c>
      <c r="BT294" s="68" t="str">
        <f>IF(main!CF297="","",ROUND(main!CF297*100,6))</f>
        <v/>
      </c>
      <c r="BU294" s="68" t="str">
        <f>IF(main!CG297="","",ROUND(main!CG297*100,6))</f>
        <v/>
      </c>
      <c r="BV294" s="68" t="str">
        <f>IF(main!CH297="","",ROUND(main!CH297*100,6))</f>
        <v/>
      </c>
      <c r="BW294" s="68">
        <f>IF(main!CI297="","",ROUND(main!CI297*100,6))</f>
        <v>28.571428999999998</v>
      </c>
      <c r="BX294" s="68">
        <f>IF(main!CJ297="","",ROUND(main!CJ297*100,6))</f>
        <v>50</v>
      </c>
      <c r="BY294" s="68">
        <f>IF(main!CK297="","",ROUND(main!CK297*100,6))</f>
        <v>21.428571000000002</v>
      </c>
      <c r="BZ294" s="68" t="str">
        <f>IF(main!CL297="","",ROUND(main!CL297*100,6))</f>
        <v/>
      </c>
      <c r="CA294" s="68" t="str">
        <f>IF(main!CM297="","",ROUND(main!CM297*100,6))</f>
        <v/>
      </c>
      <c r="CB294" s="68" t="str">
        <f>IF(main!CN297="","",ROUND(main!CN297*100,6))</f>
        <v/>
      </c>
      <c r="CC294" s="68" t="str">
        <f>IF(main!CO297="","",ROUND(main!CO297*100,6))</f>
        <v/>
      </c>
    </row>
    <row r="295" spans="1:81" x14ac:dyDescent="0.25">
      <c r="A295" s="65" t="s">
        <v>449</v>
      </c>
      <c r="B295" s="66" t="str">
        <f>main!C297</f>
        <v>งานพื้น Epoxy - Corridore, Lift Lobby, Office</v>
      </c>
      <c r="C295" s="67">
        <f>main!O297</f>
        <v>100000</v>
      </c>
      <c r="D295" s="65" t="s">
        <v>111</v>
      </c>
      <c r="E295" s="68" t="str">
        <f t="shared" si="4"/>
        <v/>
      </c>
      <c r="F295" s="68" t="str">
        <f>IF(main!R298="","",ROUND(main!R298*100,6))</f>
        <v/>
      </c>
      <c r="G295" s="68" t="str">
        <f>IF(main!S298="","",ROUND(main!S298*100,6))</f>
        <v/>
      </c>
      <c r="H295" s="68" t="str">
        <f>IF(main!T298="","",ROUND(main!T298*100,6))</f>
        <v/>
      </c>
      <c r="I295" s="68" t="str">
        <f>IF(main!U298="","",ROUND(main!U298*100,6))</f>
        <v/>
      </c>
      <c r="J295" s="68" t="str">
        <f>IF(main!V298="","",ROUND(main!V298*100,6))</f>
        <v/>
      </c>
      <c r="K295" s="68" t="str">
        <f>IF(main!W298="","",ROUND(main!W298*100,6))</f>
        <v/>
      </c>
      <c r="L295" s="68" t="str">
        <f>IF(main!X298="","",ROUND(main!X298*100,6))</f>
        <v/>
      </c>
      <c r="M295" s="68" t="str">
        <f>IF(main!Y298="","",ROUND(main!Y298*100,6))</f>
        <v/>
      </c>
      <c r="N295" s="68" t="str">
        <f>IF(main!Z298="","",ROUND(main!Z298*100,6))</f>
        <v/>
      </c>
      <c r="O295" s="68" t="str">
        <f>IF(main!AA298="","",ROUND(main!AA298*100,6))</f>
        <v/>
      </c>
      <c r="P295" s="68" t="str">
        <f>IF(main!AB298="","",ROUND(main!AB298*100,6))</f>
        <v/>
      </c>
      <c r="Q295" s="68" t="str">
        <f>IF(main!AC298="","",ROUND(main!AC298*100,6))</f>
        <v/>
      </c>
      <c r="R295" s="68" t="str">
        <f>IF(main!AD298="","",ROUND(main!AD298*100,6))</f>
        <v/>
      </c>
      <c r="S295" s="68" t="str">
        <f>IF(main!AE298="","",ROUND(main!AE298*100,6))</f>
        <v/>
      </c>
      <c r="T295" s="68" t="str">
        <f>IF(main!AF298="","",ROUND(main!AF298*100,6))</f>
        <v/>
      </c>
      <c r="U295" s="68" t="str">
        <f>IF(main!AG298="","",ROUND(main!AG298*100,6))</f>
        <v/>
      </c>
      <c r="V295" s="68" t="str">
        <f>IF(main!AH298="","",ROUND(main!AH298*100,6))</f>
        <v/>
      </c>
      <c r="W295" s="68" t="str">
        <f>IF(main!AI298="","",ROUND(main!AI298*100,6))</f>
        <v/>
      </c>
      <c r="X295" s="68" t="str">
        <f>IF(main!AJ298="","",ROUND(main!AJ298*100,6))</f>
        <v/>
      </c>
      <c r="Y295" s="68" t="str">
        <f>IF(main!AK298="","",ROUND(main!AK298*100,6))</f>
        <v/>
      </c>
      <c r="Z295" s="68" t="str">
        <f>IF(main!AL298="","",ROUND(main!AL298*100,6))</f>
        <v/>
      </c>
      <c r="AA295" s="68" t="str">
        <f>IF(main!AM298="","",ROUND(main!AM298*100,6))</f>
        <v/>
      </c>
      <c r="AB295" s="68" t="str">
        <f>IF(main!AN298="","",ROUND(main!AN298*100,6))</f>
        <v/>
      </c>
      <c r="AC295" s="68" t="str">
        <f>IF(main!AO298="","",ROUND(main!AO298*100,6))</f>
        <v/>
      </c>
      <c r="AD295" s="68" t="str">
        <f>IF(main!AP298="","",ROUND(main!AP298*100,6))</f>
        <v/>
      </c>
      <c r="AE295" s="68" t="str">
        <f>IF(main!AQ298="","",ROUND(main!AQ298*100,6))</f>
        <v/>
      </c>
      <c r="AF295" s="68" t="str">
        <f>IF(main!AR298="","",ROUND(main!AR298*100,6))</f>
        <v/>
      </c>
      <c r="AG295" s="68" t="str">
        <f>IF(main!AS298="","",ROUND(main!AS298*100,6))</f>
        <v/>
      </c>
      <c r="AH295" s="68" t="str">
        <f>IF(main!AT298="","",ROUND(main!AT298*100,6))</f>
        <v/>
      </c>
      <c r="AI295" s="68" t="str">
        <f>IF(main!AU298="","",ROUND(main!AU298*100,6))</f>
        <v/>
      </c>
      <c r="AJ295" s="68" t="str">
        <f>IF(main!AV298="","",ROUND(main!AV298*100,6))</f>
        <v/>
      </c>
      <c r="AK295" s="68" t="str">
        <f>IF(main!AW298="","",ROUND(main!AW298*100,6))</f>
        <v/>
      </c>
      <c r="AL295" s="68" t="str">
        <f>IF(main!AX298="","",ROUND(main!AX298*100,6))</f>
        <v/>
      </c>
      <c r="AM295" s="68" t="str">
        <f>IF(main!AY298="","",ROUND(main!AY298*100,6))</f>
        <v/>
      </c>
      <c r="AN295" s="68" t="str">
        <f>IF(main!AZ298="","",ROUND(main!AZ298*100,6))</f>
        <v/>
      </c>
      <c r="AO295" s="68" t="str">
        <f>IF(main!BA298="","",ROUND(main!BA298*100,6))</f>
        <v/>
      </c>
      <c r="AP295" s="68" t="str">
        <f>IF(main!BB298="","",ROUND(main!BB298*100,6))</f>
        <v/>
      </c>
      <c r="AQ295" s="68" t="str">
        <f>IF(main!BC298="","",ROUND(main!BC298*100,6))</f>
        <v/>
      </c>
      <c r="AR295" s="68" t="str">
        <f>IF(main!BD298="","",ROUND(main!BD298*100,6))</f>
        <v/>
      </c>
      <c r="AS295" s="68" t="str">
        <f>IF(main!BE298="","",ROUND(main!BE298*100,6))</f>
        <v/>
      </c>
      <c r="AT295" s="68" t="str">
        <f>IF(main!BF298="","",ROUND(main!BF298*100,6))</f>
        <v/>
      </c>
      <c r="AU295" s="68" t="str">
        <f>IF(main!BG298="","",ROUND(main!BG298*100,6))</f>
        <v/>
      </c>
      <c r="AV295" s="68" t="str">
        <f>IF(main!BH298="","",ROUND(main!BH298*100,6))</f>
        <v/>
      </c>
      <c r="AW295" s="68" t="str">
        <f>IF(main!BI298="","",ROUND(main!BI298*100,6))</f>
        <v/>
      </c>
      <c r="AX295" s="68" t="str">
        <f>IF(main!BJ298="","",ROUND(main!BJ298*100,6))</f>
        <v/>
      </c>
      <c r="AY295" s="68" t="str">
        <f>IF(main!BK298="","",ROUND(main!BK298*100,6))</f>
        <v/>
      </c>
      <c r="AZ295" s="68" t="str">
        <f>IF(main!BL298="","",ROUND(main!BL298*100,6))</f>
        <v/>
      </c>
      <c r="BA295" s="68" t="str">
        <f>IF(main!BM298="","",ROUND(main!BM298*100,6))</f>
        <v/>
      </c>
      <c r="BB295" s="68" t="str">
        <f>IF(main!BN298="","",ROUND(main!BN298*100,6))</f>
        <v/>
      </c>
      <c r="BC295" s="68" t="str">
        <f>IF(main!BO298="","",ROUND(main!BO298*100,6))</f>
        <v/>
      </c>
      <c r="BD295" s="68" t="str">
        <f>IF(main!BP298="","",ROUND(main!BP298*100,6))</f>
        <v/>
      </c>
      <c r="BE295" s="68" t="str">
        <f>IF(main!BQ298="","",ROUND(main!BQ298*100,6))</f>
        <v/>
      </c>
      <c r="BF295" s="68" t="str">
        <f>IF(main!BR298="","",ROUND(main!BR298*100,6))</f>
        <v/>
      </c>
      <c r="BG295" s="68" t="str">
        <f>IF(main!BS298="","",ROUND(main!BS298*100,6))</f>
        <v/>
      </c>
      <c r="BH295" s="68" t="str">
        <f>IF(main!BT298="","",ROUND(main!BT298*100,6))</f>
        <v/>
      </c>
      <c r="BI295" s="68" t="str">
        <f>IF(main!BU298="","",ROUND(main!BU298*100,6))</f>
        <v/>
      </c>
      <c r="BJ295" s="68" t="str">
        <f>IF(main!BV298="","",ROUND(main!BV298*100,6))</f>
        <v/>
      </c>
      <c r="BK295" s="68" t="str">
        <f>IF(main!BW298="","",ROUND(main!BW298*100,6))</f>
        <v/>
      </c>
      <c r="BL295" s="68" t="str">
        <f>IF(main!BX298="","",ROUND(main!BX298*100,6))</f>
        <v/>
      </c>
      <c r="BM295" s="68" t="str">
        <f>IF(main!BY298="","",ROUND(main!BY298*100,6))</f>
        <v/>
      </c>
      <c r="BN295" s="68" t="str">
        <f>IF(main!BZ298="","",ROUND(main!BZ298*100,6))</f>
        <v/>
      </c>
      <c r="BO295" s="68" t="str">
        <f>IF(main!CA298="","",ROUND(main!CA298*100,6))</f>
        <v/>
      </c>
      <c r="BP295" s="68" t="str">
        <f>IF(main!CB298="","",ROUND(main!CB298*100,6))</f>
        <v/>
      </c>
      <c r="BQ295" s="68" t="str">
        <f>IF(main!CC298="","",ROUND(main!CC298*100,6))</f>
        <v/>
      </c>
      <c r="BR295" s="68" t="str">
        <f>IF(main!CD298="","",ROUND(main!CD298*100,6))</f>
        <v/>
      </c>
      <c r="BS295" s="68" t="str">
        <f>IF(main!CE298="","",ROUND(main!CE298*100,6))</f>
        <v/>
      </c>
      <c r="BT295" s="68" t="str">
        <f>IF(main!CF298="","",ROUND(main!CF298*100,6))</f>
        <v/>
      </c>
      <c r="BU295" s="68" t="str">
        <f>IF(main!CG298="","",ROUND(main!CG298*100,6))</f>
        <v/>
      </c>
      <c r="BV295" s="68" t="str">
        <f>IF(main!CH298="","",ROUND(main!CH298*100,6))</f>
        <v/>
      </c>
      <c r="BW295" s="68" t="str">
        <f>IF(main!CI298="","",ROUND(main!CI298*100,6))</f>
        <v/>
      </c>
      <c r="BX295" s="68" t="str">
        <f>IF(main!CJ298="","",ROUND(main!CJ298*100,6))</f>
        <v/>
      </c>
      <c r="BY295" s="68" t="str">
        <f>IF(main!CK298="","",ROUND(main!CK298*100,6))</f>
        <v/>
      </c>
      <c r="BZ295" s="68" t="str">
        <f>IF(main!CL298="","",ROUND(main!CL298*100,6))</f>
        <v/>
      </c>
      <c r="CA295" s="68" t="str">
        <f>IF(main!CM298="","",ROUND(main!CM298*100,6))</f>
        <v/>
      </c>
      <c r="CB295" s="68" t="str">
        <f>IF(main!CN298="","",ROUND(main!CN298*100,6))</f>
        <v/>
      </c>
      <c r="CC295" s="68" t="str">
        <f>IF(main!CO298="","",ROUND(main!CO298*100,6))</f>
        <v/>
      </c>
    </row>
    <row r="296" spans="1:81" x14ac:dyDescent="0.25">
      <c r="A296" s="65" t="s">
        <v>451</v>
      </c>
      <c r="B296" s="66" t="str">
        <f>main!C299</f>
        <v>งานปูหินแกรนิต ปูกระเบื้อง ห้องน้ำ</v>
      </c>
      <c r="C296" s="67">
        <f>main!O299</f>
        <v>100000</v>
      </c>
      <c r="D296" s="65" t="s">
        <v>110</v>
      </c>
      <c r="E296" s="68">
        <f t="shared" si="4"/>
        <v>99.999999000000003</v>
      </c>
      <c r="F296" s="68" t="str">
        <f>IF(main!R299="","",ROUND(main!R299*100,6))</f>
        <v/>
      </c>
      <c r="G296" s="68" t="str">
        <f>IF(main!S299="","",ROUND(main!S299*100,6))</f>
        <v/>
      </c>
      <c r="H296" s="68" t="str">
        <f>IF(main!T299="","",ROUND(main!T299*100,6))</f>
        <v/>
      </c>
      <c r="I296" s="68" t="str">
        <f>IF(main!U299="","",ROUND(main!U299*100,6))</f>
        <v/>
      </c>
      <c r="J296" s="68" t="str">
        <f>IF(main!V299="","",ROUND(main!V299*100,6))</f>
        <v/>
      </c>
      <c r="K296" s="68" t="str">
        <f>IF(main!W299="","",ROUND(main!W299*100,6))</f>
        <v/>
      </c>
      <c r="L296" s="68" t="str">
        <f>IF(main!X299="","",ROUND(main!X299*100,6))</f>
        <v/>
      </c>
      <c r="M296" s="68" t="str">
        <f>IF(main!Y299="","",ROUND(main!Y299*100,6))</f>
        <v/>
      </c>
      <c r="N296" s="68" t="str">
        <f>IF(main!Z299="","",ROUND(main!Z299*100,6))</f>
        <v/>
      </c>
      <c r="O296" s="68" t="str">
        <f>IF(main!AA299="","",ROUND(main!AA299*100,6))</f>
        <v/>
      </c>
      <c r="P296" s="68" t="str">
        <f>IF(main!AB299="","",ROUND(main!AB299*100,6))</f>
        <v/>
      </c>
      <c r="Q296" s="68" t="str">
        <f>IF(main!AC299="","",ROUND(main!AC299*100,6))</f>
        <v/>
      </c>
      <c r="R296" s="68" t="str">
        <f>IF(main!AD299="","",ROUND(main!AD299*100,6))</f>
        <v/>
      </c>
      <c r="S296" s="68" t="str">
        <f>IF(main!AE299="","",ROUND(main!AE299*100,6))</f>
        <v/>
      </c>
      <c r="T296" s="68" t="str">
        <f>IF(main!AF299="","",ROUND(main!AF299*100,6))</f>
        <v/>
      </c>
      <c r="U296" s="68" t="str">
        <f>IF(main!AG299="","",ROUND(main!AG299*100,6))</f>
        <v/>
      </c>
      <c r="V296" s="68" t="str">
        <f>IF(main!AH299="","",ROUND(main!AH299*100,6))</f>
        <v/>
      </c>
      <c r="W296" s="68" t="str">
        <f>IF(main!AI299="","",ROUND(main!AI299*100,6))</f>
        <v/>
      </c>
      <c r="X296" s="68" t="str">
        <f>IF(main!AJ299="","",ROUND(main!AJ299*100,6))</f>
        <v/>
      </c>
      <c r="Y296" s="68" t="str">
        <f>IF(main!AK299="","",ROUND(main!AK299*100,6))</f>
        <v/>
      </c>
      <c r="Z296" s="68" t="str">
        <f>IF(main!AL299="","",ROUND(main!AL299*100,6))</f>
        <v/>
      </c>
      <c r="AA296" s="68" t="str">
        <f>IF(main!AM299="","",ROUND(main!AM299*100,6))</f>
        <v/>
      </c>
      <c r="AB296" s="68" t="str">
        <f>IF(main!AN299="","",ROUND(main!AN299*100,6))</f>
        <v/>
      </c>
      <c r="AC296" s="68" t="str">
        <f>IF(main!AO299="","",ROUND(main!AO299*100,6))</f>
        <v/>
      </c>
      <c r="AD296" s="68" t="str">
        <f>IF(main!AP299="","",ROUND(main!AP299*100,6))</f>
        <v/>
      </c>
      <c r="AE296" s="68" t="str">
        <f>IF(main!AQ299="","",ROUND(main!AQ299*100,6))</f>
        <v/>
      </c>
      <c r="AF296" s="68" t="str">
        <f>IF(main!AR299="","",ROUND(main!AR299*100,6))</f>
        <v/>
      </c>
      <c r="AG296" s="68" t="str">
        <f>IF(main!AS299="","",ROUND(main!AS299*100,6))</f>
        <v/>
      </c>
      <c r="AH296" s="68" t="str">
        <f>IF(main!AT299="","",ROUND(main!AT299*100,6))</f>
        <v/>
      </c>
      <c r="AI296" s="68" t="str">
        <f>IF(main!AU299="","",ROUND(main!AU299*100,6))</f>
        <v/>
      </c>
      <c r="AJ296" s="68" t="str">
        <f>IF(main!AV299="","",ROUND(main!AV299*100,6))</f>
        <v/>
      </c>
      <c r="AK296" s="68" t="str">
        <f>IF(main!AW299="","",ROUND(main!AW299*100,6))</f>
        <v/>
      </c>
      <c r="AL296" s="68" t="str">
        <f>IF(main!AX299="","",ROUND(main!AX299*100,6))</f>
        <v/>
      </c>
      <c r="AM296" s="68" t="str">
        <f>IF(main!AY299="","",ROUND(main!AY299*100,6))</f>
        <v/>
      </c>
      <c r="AN296" s="68" t="str">
        <f>IF(main!AZ299="","",ROUND(main!AZ299*100,6))</f>
        <v/>
      </c>
      <c r="AO296" s="68" t="str">
        <f>IF(main!BA299="","",ROUND(main!BA299*100,6))</f>
        <v/>
      </c>
      <c r="AP296" s="68" t="str">
        <f>IF(main!BB299="","",ROUND(main!BB299*100,6))</f>
        <v/>
      </c>
      <c r="AQ296" s="68" t="str">
        <f>IF(main!BC299="","",ROUND(main!BC299*100,6))</f>
        <v/>
      </c>
      <c r="AR296" s="68" t="str">
        <f>IF(main!BD299="","",ROUND(main!BD299*100,6))</f>
        <v/>
      </c>
      <c r="AS296" s="68" t="str">
        <f>IF(main!BE299="","",ROUND(main!BE299*100,6))</f>
        <v/>
      </c>
      <c r="AT296" s="68" t="str">
        <f>IF(main!BF299="","",ROUND(main!BF299*100,6))</f>
        <v/>
      </c>
      <c r="AU296" s="68" t="str">
        <f>IF(main!BG299="","",ROUND(main!BG299*100,6))</f>
        <v/>
      </c>
      <c r="AV296" s="68" t="str">
        <f>IF(main!BH299="","",ROUND(main!BH299*100,6))</f>
        <v/>
      </c>
      <c r="AW296" s="68" t="str">
        <f>IF(main!BI299="","",ROUND(main!BI299*100,6))</f>
        <v/>
      </c>
      <c r="AX296" s="68" t="str">
        <f>IF(main!BJ299="","",ROUND(main!BJ299*100,6))</f>
        <v/>
      </c>
      <c r="AY296" s="68" t="str">
        <f>IF(main!BK299="","",ROUND(main!BK299*100,6))</f>
        <v/>
      </c>
      <c r="AZ296" s="68" t="str">
        <f>IF(main!BL299="","",ROUND(main!BL299*100,6))</f>
        <v/>
      </c>
      <c r="BA296" s="68" t="str">
        <f>IF(main!BM299="","",ROUND(main!BM299*100,6))</f>
        <v/>
      </c>
      <c r="BB296" s="68" t="str">
        <f>IF(main!BN299="","",ROUND(main!BN299*100,6))</f>
        <v/>
      </c>
      <c r="BC296" s="68" t="str">
        <f>IF(main!BO299="","",ROUND(main!BO299*100,6))</f>
        <v/>
      </c>
      <c r="BD296" s="68" t="str">
        <f>IF(main!BP299="","",ROUND(main!BP299*100,6))</f>
        <v/>
      </c>
      <c r="BE296" s="68" t="str">
        <f>IF(main!BQ299="","",ROUND(main!BQ299*100,6))</f>
        <v/>
      </c>
      <c r="BF296" s="68" t="str">
        <f>IF(main!BR299="","",ROUND(main!BR299*100,6))</f>
        <v/>
      </c>
      <c r="BG296" s="68" t="str">
        <f>IF(main!BS299="","",ROUND(main!BS299*100,6))</f>
        <v/>
      </c>
      <c r="BH296" s="68" t="str">
        <f>IF(main!BT299="","",ROUND(main!BT299*100,6))</f>
        <v/>
      </c>
      <c r="BI296" s="68" t="str">
        <f>IF(main!BU299="","",ROUND(main!BU299*100,6))</f>
        <v/>
      </c>
      <c r="BJ296" s="68" t="str">
        <f>IF(main!BV299="","",ROUND(main!BV299*100,6))</f>
        <v/>
      </c>
      <c r="BK296" s="68" t="str">
        <f>IF(main!BW299="","",ROUND(main!BW299*100,6))</f>
        <v/>
      </c>
      <c r="BL296" s="68" t="str">
        <f>IF(main!BX299="","",ROUND(main!BX299*100,6))</f>
        <v/>
      </c>
      <c r="BM296" s="68" t="str">
        <f>IF(main!BY299="","",ROUND(main!BY299*100,6))</f>
        <v/>
      </c>
      <c r="BN296" s="68" t="str">
        <f>IF(main!BZ299="","",ROUND(main!BZ299*100,6))</f>
        <v/>
      </c>
      <c r="BO296" s="68" t="str">
        <f>IF(main!CA299="","",ROUND(main!CA299*100,6))</f>
        <v/>
      </c>
      <c r="BP296" s="68" t="str">
        <f>IF(main!CB299="","",ROUND(main!CB299*100,6))</f>
        <v/>
      </c>
      <c r="BQ296" s="68" t="str">
        <f>IF(main!CC299="","",ROUND(main!CC299*100,6))</f>
        <v/>
      </c>
      <c r="BR296" s="68">
        <f>IF(main!CD299="","",ROUND(main!CD299*100,6))</f>
        <v>26.315788999999999</v>
      </c>
      <c r="BS296" s="68">
        <f>IF(main!CE299="","",ROUND(main!CE299*100,6))</f>
        <v>36.842104999999997</v>
      </c>
      <c r="BT296" s="68">
        <f>IF(main!CF299="","",ROUND(main!CF299*100,6))</f>
        <v>36.842104999999997</v>
      </c>
      <c r="BU296" s="68" t="str">
        <f>IF(main!CG299="","",ROUND(main!CG299*100,6))</f>
        <v/>
      </c>
      <c r="BV296" s="68" t="str">
        <f>IF(main!CH299="","",ROUND(main!CH299*100,6))</f>
        <v/>
      </c>
      <c r="BW296" s="68" t="str">
        <f>IF(main!CI299="","",ROUND(main!CI299*100,6))</f>
        <v/>
      </c>
      <c r="BX296" s="68" t="str">
        <f>IF(main!CJ299="","",ROUND(main!CJ299*100,6))</f>
        <v/>
      </c>
      <c r="BY296" s="68" t="str">
        <f>IF(main!CK299="","",ROUND(main!CK299*100,6))</f>
        <v/>
      </c>
      <c r="BZ296" s="68" t="str">
        <f>IF(main!CL299="","",ROUND(main!CL299*100,6))</f>
        <v/>
      </c>
      <c r="CA296" s="68" t="str">
        <f>IF(main!CM299="","",ROUND(main!CM299*100,6))</f>
        <v/>
      </c>
      <c r="CB296" s="68" t="str">
        <f>IF(main!CN299="","",ROUND(main!CN299*100,6))</f>
        <v/>
      </c>
      <c r="CC296" s="68" t="str">
        <f>IF(main!CO299="","",ROUND(main!CO299*100,6))</f>
        <v/>
      </c>
    </row>
    <row r="297" spans="1:81" x14ac:dyDescent="0.25">
      <c r="A297" s="65" t="s">
        <v>451</v>
      </c>
      <c r="B297" s="66" t="str">
        <f>main!C299</f>
        <v>งานปูหินแกรนิต ปูกระเบื้อง ห้องน้ำ</v>
      </c>
      <c r="C297" s="67">
        <f>main!O299</f>
        <v>100000</v>
      </c>
      <c r="D297" s="65" t="s">
        <v>111</v>
      </c>
      <c r="E297" s="68" t="str">
        <f t="shared" si="4"/>
        <v/>
      </c>
      <c r="F297" s="68" t="str">
        <f>IF(main!R300="","",ROUND(main!R300*100,6))</f>
        <v/>
      </c>
      <c r="G297" s="68" t="str">
        <f>IF(main!S300="","",ROUND(main!S300*100,6))</f>
        <v/>
      </c>
      <c r="H297" s="68" t="str">
        <f>IF(main!T300="","",ROUND(main!T300*100,6))</f>
        <v/>
      </c>
      <c r="I297" s="68" t="str">
        <f>IF(main!U300="","",ROUND(main!U300*100,6))</f>
        <v/>
      </c>
      <c r="J297" s="68" t="str">
        <f>IF(main!V300="","",ROUND(main!V300*100,6))</f>
        <v/>
      </c>
      <c r="K297" s="68" t="str">
        <f>IF(main!W300="","",ROUND(main!W300*100,6))</f>
        <v/>
      </c>
      <c r="L297" s="68" t="str">
        <f>IF(main!X300="","",ROUND(main!X300*100,6))</f>
        <v/>
      </c>
      <c r="M297" s="68" t="str">
        <f>IF(main!Y300="","",ROUND(main!Y300*100,6))</f>
        <v/>
      </c>
      <c r="N297" s="68" t="str">
        <f>IF(main!Z300="","",ROUND(main!Z300*100,6))</f>
        <v/>
      </c>
      <c r="O297" s="68" t="str">
        <f>IF(main!AA300="","",ROUND(main!AA300*100,6))</f>
        <v/>
      </c>
      <c r="P297" s="68" t="str">
        <f>IF(main!AB300="","",ROUND(main!AB300*100,6))</f>
        <v/>
      </c>
      <c r="Q297" s="68" t="str">
        <f>IF(main!AC300="","",ROUND(main!AC300*100,6))</f>
        <v/>
      </c>
      <c r="R297" s="68" t="str">
        <f>IF(main!AD300="","",ROUND(main!AD300*100,6))</f>
        <v/>
      </c>
      <c r="S297" s="68" t="str">
        <f>IF(main!AE300="","",ROUND(main!AE300*100,6))</f>
        <v/>
      </c>
      <c r="T297" s="68" t="str">
        <f>IF(main!AF300="","",ROUND(main!AF300*100,6))</f>
        <v/>
      </c>
      <c r="U297" s="68" t="str">
        <f>IF(main!AG300="","",ROUND(main!AG300*100,6))</f>
        <v/>
      </c>
      <c r="V297" s="68" t="str">
        <f>IF(main!AH300="","",ROUND(main!AH300*100,6))</f>
        <v/>
      </c>
      <c r="W297" s="68" t="str">
        <f>IF(main!AI300="","",ROUND(main!AI300*100,6))</f>
        <v/>
      </c>
      <c r="X297" s="68" t="str">
        <f>IF(main!AJ300="","",ROUND(main!AJ300*100,6))</f>
        <v/>
      </c>
      <c r="Y297" s="68" t="str">
        <f>IF(main!AK300="","",ROUND(main!AK300*100,6))</f>
        <v/>
      </c>
      <c r="Z297" s="68" t="str">
        <f>IF(main!AL300="","",ROUND(main!AL300*100,6))</f>
        <v/>
      </c>
      <c r="AA297" s="68" t="str">
        <f>IF(main!AM300="","",ROUND(main!AM300*100,6))</f>
        <v/>
      </c>
      <c r="AB297" s="68" t="str">
        <f>IF(main!AN300="","",ROUND(main!AN300*100,6))</f>
        <v/>
      </c>
      <c r="AC297" s="68" t="str">
        <f>IF(main!AO300="","",ROUND(main!AO300*100,6))</f>
        <v/>
      </c>
      <c r="AD297" s="68" t="str">
        <f>IF(main!AP300="","",ROUND(main!AP300*100,6))</f>
        <v/>
      </c>
      <c r="AE297" s="68" t="str">
        <f>IF(main!AQ300="","",ROUND(main!AQ300*100,6))</f>
        <v/>
      </c>
      <c r="AF297" s="68" t="str">
        <f>IF(main!AR300="","",ROUND(main!AR300*100,6))</f>
        <v/>
      </c>
      <c r="AG297" s="68" t="str">
        <f>IF(main!AS300="","",ROUND(main!AS300*100,6))</f>
        <v/>
      </c>
      <c r="AH297" s="68" t="str">
        <f>IF(main!AT300="","",ROUND(main!AT300*100,6))</f>
        <v/>
      </c>
      <c r="AI297" s="68" t="str">
        <f>IF(main!AU300="","",ROUND(main!AU300*100,6))</f>
        <v/>
      </c>
      <c r="AJ297" s="68" t="str">
        <f>IF(main!AV300="","",ROUND(main!AV300*100,6))</f>
        <v/>
      </c>
      <c r="AK297" s="68" t="str">
        <f>IF(main!AW300="","",ROUND(main!AW300*100,6))</f>
        <v/>
      </c>
      <c r="AL297" s="68" t="str">
        <f>IF(main!AX300="","",ROUND(main!AX300*100,6))</f>
        <v/>
      </c>
      <c r="AM297" s="68" t="str">
        <f>IF(main!AY300="","",ROUND(main!AY300*100,6))</f>
        <v/>
      </c>
      <c r="AN297" s="68" t="str">
        <f>IF(main!AZ300="","",ROUND(main!AZ300*100,6))</f>
        <v/>
      </c>
      <c r="AO297" s="68" t="str">
        <f>IF(main!BA300="","",ROUND(main!BA300*100,6))</f>
        <v/>
      </c>
      <c r="AP297" s="68" t="str">
        <f>IF(main!BB300="","",ROUND(main!BB300*100,6))</f>
        <v/>
      </c>
      <c r="AQ297" s="68" t="str">
        <f>IF(main!BC300="","",ROUND(main!BC300*100,6))</f>
        <v/>
      </c>
      <c r="AR297" s="68" t="str">
        <f>IF(main!BD300="","",ROUND(main!BD300*100,6))</f>
        <v/>
      </c>
      <c r="AS297" s="68" t="str">
        <f>IF(main!BE300="","",ROUND(main!BE300*100,6))</f>
        <v/>
      </c>
      <c r="AT297" s="68" t="str">
        <f>IF(main!BF300="","",ROUND(main!BF300*100,6))</f>
        <v/>
      </c>
      <c r="AU297" s="68" t="str">
        <f>IF(main!BG300="","",ROUND(main!BG300*100,6))</f>
        <v/>
      </c>
      <c r="AV297" s="68" t="str">
        <f>IF(main!BH300="","",ROUND(main!BH300*100,6))</f>
        <v/>
      </c>
      <c r="AW297" s="68" t="str">
        <f>IF(main!BI300="","",ROUND(main!BI300*100,6))</f>
        <v/>
      </c>
      <c r="AX297" s="68" t="str">
        <f>IF(main!BJ300="","",ROUND(main!BJ300*100,6))</f>
        <v/>
      </c>
      <c r="AY297" s="68" t="str">
        <f>IF(main!BK300="","",ROUND(main!BK300*100,6))</f>
        <v/>
      </c>
      <c r="AZ297" s="68" t="str">
        <f>IF(main!BL300="","",ROUND(main!BL300*100,6))</f>
        <v/>
      </c>
      <c r="BA297" s="68" t="str">
        <f>IF(main!BM300="","",ROUND(main!BM300*100,6))</f>
        <v/>
      </c>
      <c r="BB297" s="68" t="str">
        <f>IF(main!BN300="","",ROUND(main!BN300*100,6))</f>
        <v/>
      </c>
      <c r="BC297" s="68" t="str">
        <f>IF(main!BO300="","",ROUND(main!BO300*100,6))</f>
        <v/>
      </c>
      <c r="BD297" s="68" t="str">
        <f>IF(main!BP300="","",ROUND(main!BP300*100,6))</f>
        <v/>
      </c>
      <c r="BE297" s="68" t="str">
        <f>IF(main!BQ300="","",ROUND(main!BQ300*100,6))</f>
        <v/>
      </c>
      <c r="BF297" s="68" t="str">
        <f>IF(main!BR300="","",ROUND(main!BR300*100,6))</f>
        <v/>
      </c>
      <c r="BG297" s="68" t="str">
        <f>IF(main!BS300="","",ROUND(main!BS300*100,6))</f>
        <v/>
      </c>
      <c r="BH297" s="68" t="str">
        <f>IF(main!BT300="","",ROUND(main!BT300*100,6))</f>
        <v/>
      </c>
      <c r="BI297" s="68" t="str">
        <f>IF(main!BU300="","",ROUND(main!BU300*100,6))</f>
        <v/>
      </c>
      <c r="BJ297" s="68" t="str">
        <f>IF(main!BV300="","",ROUND(main!BV300*100,6))</f>
        <v/>
      </c>
      <c r="BK297" s="68" t="str">
        <f>IF(main!BW300="","",ROUND(main!BW300*100,6))</f>
        <v/>
      </c>
      <c r="BL297" s="68" t="str">
        <f>IF(main!BX300="","",ROUND(main!BX300*100,6))</f>
        <v/>
      </c>
      <c r="BM297" s="68" t="str">
        <f>IF(main!BY300="","",ROUND(main!BY300*100,6))</f>
        <v/>
      </c>
      <c r="BN297" s="68" t="str">
        <f>IF(main!BZ300="","",ROUND(main!BZ300*100,6))</f>
        <v/>
      </c>
      <c r="BO297" s="68" t="str">
        <f>IF(main!CA300="","",ROUND(main!CA300*100,6))</f>
        <v/>
      </c>
      <c r="BP297" s="68" t="str">
        <f>IF(main!CB300="","",ROUND(main!CB300*100,6))</f>
        <v/>
      </c>
      <c r="BQ297" s="68" t="str">
        <f>IF(main!CC300="","",ROUND(main!CC300*100,6))</f>
        <v/>
      </c>
      <c r="BR297" s="68" t="str">
        <f>IF(main!CD300="","",ROUND(main!CD300*100,6))</f>
        <v/>
      </c>
      <c r="BS297" s="68" t="str">
        <f>IF(main!CE300="","",ROUND(main!CE300*100,6))</f>
        <v/>
      </c>
      <c r="BT297" s="68" t="str">
        <f>IF(main!CF300="","",ROUND(main!CF300*100,6))</f>
        <v/>
      </c>
      <c r="BU297" s="68" t="str">
        <f>IF(main!CG300="","",ROUND(main!CG300*100,6))</f>
        <v/>
      </c>
      <c r="BV297" s="68" t="str">
        <f>IF(main!CH300="","",ROUND(main!CH300*100,6))</f>
        <v/>
      </c>
      <c r="BW297" s="68" t="str">
        <f>IF(main!CI300="","",ROUND(main!CI300*100,6))</f>
        <v/>
      </c>
      <c r="BX297" s="68" t="str">
        <f>IF(main!CJ300="","",ROUND(main!CJ300*100,6))</f>
        <v/>
      </c>
      <c r="BY297" s="68" t="str">
        <f>IF(main!CK300="","",ROUND(main!CK300*100,6))</f>
        <v/>
      </c>
      <c r="BZ297" s="68" t="str">
        <f>IF(main!CL300="","",ROUND(main!CL300*100,6))</f>
        <v/>
      </c>
      <c r="CA297" s="68" t="str">
        <f>IF(main!CM300="","",ROUND(main!CM300*100,6))</f>
        <v/>
      </c>
      <c r="CB297" s="68" t="str">
        <f>IF(main!CN300="","",ROUND(main!CN300*100,6))</f>
        <v/>
      </c>
      <c r="CC297" s="68" t="str">
        <f>IF(main!CO300="","",ROUND(main!CO300*100,6))</f>
        <v/>
      </c>
    </row>
    <row r="298" spans="1:81" x14ac:dyDescent="0.25">
      <c r="A298" s="65" t="s">
        <v>453</v>
      </c>
      <c r="B298" s="66" t="str">
        <f>main!C301</f>
        <v>Doors &amp; Windows</v>
      </c>
      <c r="C298" s="67">
        <f>main!O301</f>
        <v>100000</v>
      </c>
      <c r="D298" s="65" t="s">
        <v>110</v>
      </c>
      <c r="E298" s="68">
        <f t="shared" si="4"/>
        <v>100</v>
      </c>
      <c r="F298" s="68" t="str">
        <f>IF(main!R301="","",ROUND(main!R301*100,6))</f>
        <v/>
      </c>
      <c r="G298" s="68" t="str">
        <f>IF(main!S301="","",ROUND(main!S301*100,6))</f>
        <v/>
      </c>
      <c r="H298" s="68" t="str">
        <f>IF(main!T301="","",ROUND(main!T301*100,6))</f>
        <v/>
      </c>
      <c r="I298" s="68" t="str">
        <f>IF(main!U301="","",ROUND(main!U301*100,6))</f>
        <v/>
      </c>
      <c r="J298" s="68" t="str">
        <f>IF(main!V301="","",ROUND(main!V301*100,6))</f>
        <v/>
      </c>
      <c r="K298" s="68" t="str">
        <f>IF(main!W301="","",ROUND(main!W301*100,6))</f>
        <v/>
      </c>
      <c r="L298" s="68" t="str">
        <f>IF(main!X301="","",ROUND(main!X301*100,6))</f>
        <v/>
      </c>
      <c r="M298" s="68" t="str">
        <f>IF(main!Y301="","",ROUND(main!Y301*100,6))</f>
        <v/>
      </c>
      <c r="N298" s="68" t="str">
        <f>IF(main!Z301="","",ROUND(main!Z301*100,6))</f>
        <v/>
      </c>
      <c r="O298" s="68" t="str">
        <f>IF(main!AA301="","",ROUND(main!AA301*100,6))</f>
        <v/>
      </c>
      <c r="P298" s="68" t="str">
        <f>IF(main!AB301="","",ROUND(main!AB301*100,6))</f>
        <v/>
      </c>
      <c r="Q298" s="68" t="str">
        <f>IF(main!AC301="","",ROUND(main!AC301*100,6))</f>
        <v/>
      </c>
      <c r="R298" s="68" t="str">
        <f>IF(main!AD301="","",ROUND(main!AD301*100,6))</f>
        <v/>
      </c>
      <c r="S298" s="68" t="str">
        <f>IF(main!AE301="","",ROUND(main!AE301*100,6))</f>
        <v/>
      </c>
      <c r="T298" s="68" t="str">
        <f>IF(main!AF301="","",ROUND(main!AF301*100,6))</f>
        <v/>
      </c>
      <c r="U298" s="68" t="str">
        <f>IF(main!AG301="","",ROUND(main!AG301*100,6))</f>
        <v/>
      </c>
      <c r="V298" s="68" t="str">
        <f>IF(main!AH301="","",ROUND(main!AH301*100,6))</f>
        <v/>
      </c>
      <c r="W298" s="68" t="str">
        <f>IF(main!AI301="","",ROUND(main!AI301*100,6))</f>
        <v/>
      </c>
      <c r="X298" s="68" t="str">
        <f>IF(main!AJ301="","",ROUND(main!AJ301*100,6))</f>
        <v/>
      </c>
      <c r="Y298" s="68" t="str">
        <f>IF(main!AK301="","",ROUND(main!AK301*100,6))</f>
        <v/>
      </c>
      <c r="Z298" s="68" t="str">
        <f>IF(main!AL301="","",ROUND(main!AL301*100,6))</f>
        <v/>
      </c>
      <c r="AA298" s="68" t="str">
        <f>IF(main!AM301="","",ROUND(main!AM301*100,6))</f>
        <v/>
      </c>
      <c r="AB298" s="68" t="str">
        <f>IF(main!AN301="","",ROUND(main!AN301*100,6))</f>
        <v/>
      </c>
      <c r="AC298" s="68" t="str">
        <f>IF(main!AO301="","",ROUND(main!AO301*100,6))</f>
        <v/>
      </c>
      <c r="AD298" s="68" t="str">
        <f>IF(main!AP301="","",ROUND(main!AP301*100,6))</f>
        <v/>
      </c>
      <c r="AE298" s="68" t="str">
        <f>IF(main!AQ301="","",ROUND(main!AQ301*100,6))</f>
        <v/>
      </c>
      <c r="AF298" s="68" t="str">
        <f>IF(main!AR301="","",ROUND(main!AR301*100,6))</f>
        <v/>
      </c>
      <c r="AG298" s="68" t="str">
        <f>IF(main!AS301="","",ROUND(main!AS301*100,6))</f>
        <v/>
      </c>
      <c r="AH298" s="68" t="str">
        <f>IF(main!AT301="","",ROUND(main!AT301*100,6))</f>
        <v/>
      </c>
      <c r="AI298" s="68" t="str">
        <f>IF(main!AU301="","",ROUND(main!AU301*100,6))</f>
        <v/>
      </c>
      <c r="AJ298" s="68" t="str">
        <f>IF(main!AV301="","",ROUND(main!AV301*100,6))</f>
        <v/>
      </c>
      <c r="AK298" s="68" t="str">
        <f>IF(main!AW301="","",ROUND(main!AW301*100,6))</f>
        <v/>
      </c>
      <c r="AL298" s="68" t="str">
        <f>IF(main!AX301="","",ROUND(main!AX301*100,6))</f>
        <v/>
      </c>
      <c r="AM298" s="68" t="str">
        <f>IF(main!AY301="","",ROUND(main!AY301*100,6))</f>
        <v/>
      </c>
      <c r="AN298" s="68" t="str">
        <f>IF(main!AZ301="","",ROUND(main!AZ301*100,6))</f>
        <v/>
      </c>
      <c r="AO298" s="68" t="str">
        <f>IF(main!BA301="","",ROUND(main!BA301*100,6))</f>
        <v/>
      </c>
      <c r="AP298" s="68" t="str">
        <f>IF(main!BB301="","",ROUND(main!BB301*100,6))</f>
        <v/>
      </c>
      <c r="AQ298" s="68" t="str">
        <f>IF(main!BC301="","",ROUND(main!BC301*100,6))</f>
        <v/>
      </c>
      <c r="AR298" s="68" t="str">
        <f>IF(main!BD301="","",ROUND(main!BD301*100,6))</f>
        <v/>
      </c>
      <c r="AS298" s="68" t="str">
        <f>IF(main!BE301="","",ROUND(main!BE301*100,6))</f>
        <v/>
      </c>
      <c r="AT298" s="68" t="str">
        <f>IF(main!BF301="","",ROUND(main!BF301*100,6))</f>
        <v/>
      </c>
      <c r="AU298" s="68" t="str">
        <f>IF(main!BG301="","",ROUND(main!BG301*100,6))</f>
        <v/>
      </c>
      <c r="AV298" s="68" t="str">
        <f>IF(main!BH301="","",ROUND(main!BH301*100,6))</f>
        <v/>
      </c>
      <c r="AW298" s="68" t="str">
        <f>IF(main!BI301="","",ROUND(main!BI301*100,6))</f>
        <v/>
      </c>
      <c r="AX298" s="68" t="str">
        <f>IF(main!BJ301="","",ROUND(main!BJ301*100,6))</f>
        <v/>
      </c>
      <c r="AY298" s="68" t="str">
        <f>IF(main!BK301="","",ROUND(main!BK301*100,6))</f>
        <v/>
      </c>
      <c r="AZ298" s="68" t="str">
        <f>IF(main!BL301="","",ROUND(main!BL301*100,6))</f>
        <v/>
      </c>
      <c r="BA298" s="68" t="str">
        <f>IF(main!BM301="","",ROUND(main!BM301*100,6))</f>
        <v/>
      </c>
      <c r="BB298" s="68" t="str">
        <f>IF(main!BN301="","",ROUND(main!BN301*100,6))</f>
        <v/>
      </c>
      <c r="BC298" s="68" t="str">
        <f>IF(main!BO301="","",ROUND(main!BO301*100,6))</f>
        <v/>
      </c>
      <c r="BD298" s="68" t="str">
        <f>IF(main!BP301="","",ROUND(main!BP301*100,6))</f>
        <v/>
      </c>
      <c r="BE298" s="68" t="str">
        <f>IF(main!BQ301="","",ROUND(main!BQ301*100,6))</f>
        <v/>
      </c>
      <c r="BF298" s="68" t="str">
        <f>IF(main!BR301="","",ROUND(main!BR301*100,6))</f>
        <v/>
      </c>
      <c r="BG298" s="68" t="str">
        <f>IF(main!BS301="","",ROUND(main!BS301*100,6))</f>
        <v/>
      </c>
      <c r="BH298" s="68" t="str">
        <f>IF(main!BT301="","",ROUND(main!BT301*100,6))</f>
        <v/>
      </c>
      <c r="BI298" s="68" t="str">
        <f>IF(main!BU301="","",ROUND(main!BU301*100,6))</f>
        <v/>
      </c>
      <c r="BJ298" s="68" t="str">
        <f>IF(main!BV301="","",ROUND(main!BV301*100,6))</f>
        <v/>
      </c>
      <c r="BK298" s="68" t="str">
        <f>IF(main!BW301="","",ROUND(main!BW301*100,6))</f>
        <v/>
      </c>
      <c r="BL298" s="68" t="str">
        <f>IF(main!BX301="","",ROUND(main!BX301*100,6))</f>
        <v/>
      </c>
      <c r="BM298" s="68">
        <f>IF(main!BY301="","",ROUND(main!BY301*100,6))</f>
        <v>3.5714290000000002</v>
      </c>
      <c r="BN298" s="68">
        <f>IF(main!BZ301="","",ROUND(main!BZ301*100,6))</f>
        <v>25</v>
      </c>
      <c r="BO298" s="68">
        <f>IF(main!CA301="","",ROUND(main!CA301*100,6))</f>
        <v>25</v>
      </c>
      <c r="BP298" s="68">
        <f>IF(main!CB301="","",ROUND(main!CB301*100,6))</f>
        <v>25</v>
      </c>
      <c r="BQ298" s="68">
        <f>IF(main!CC301="","",ROUND(main!CC301*100,6))</f>
        <v>21.428571000000002</v>
      </c>
      <c r="BR298" s="68" t="str">
        <f>IF(main!CD301="","",ROUND(main!CD301*100,6))</f>
        <v/>
      </c>
      <c r="BS298" s="68" t="str">
        <f>IF(main!CE301="","",ROUND(main!CE301*100,6))</f>
        <v/>
      </c>
      <c r="BT298" s="68" t="str">
        <f>IF(main!CF301="","",ROUND(main!CF301*100,6))</f>
        <v/>
      </c>
      <c r="BU298" s="68" t="str">
        <f>IF(main!CG301="","",ROUND(main!CG301*100,6))</f>
        <v/>
      </c>
      <c r="BV298" s="68" t="str">
        <f>IF(main!CH301="","",ROUND(main!CH301*100,6))</f>
        <v/>
      </c>
      <c r="BW298" s="68" t="str">
        <f>IF(main!CI301="","",ROUND(main!CI301*100,6))</f>
        <v/>
      </c>
      <c r="BX298" s="68" t="str">
        <f>IF(main!CJ301="","",ROUND(main!CJ301*100,6))</f>
        <v/>
      </c>
      <c r="BY298" s="68" t="str">
        <f>IF(main!CK301="","",ROUND(main!CK301*100,6))</f>
        <v/>
      </c>
      <c r="BZ298" s="68" t="str">
        <f>IF(main!CL301="","",ROUND(main!CL301*100,6))</f>
        <v/>
      </c>
      <c r="CA298" s="68" t="str">
        <f>IF(main!CM301="","",ROUND(main!CM301*100,6))</f>
        <v/>
      </c>
      <c r="CB298" s="68" t="str">
        <f>IF(main!CN301="","",ROUND(main!CN301*100,6))</f>
        <v/>
      </c>
      <c r="CC298" s="68" t="str">
        <f>IF(main!CO301="","",ROUND(main!CO301*100,6))</f>
        <v/>
      </c>
    </row>
    <row r="299" spans="1:81" x14ac:dyDescent="0.25">
      <c r="A299" s="65" t="s">
        <v>453</v>
      </c>
      <c r="B299" s="66" t="str">
        <f>main!C301</f>
        <v>Doors &amp; Windows</v>
      </c>
      <c r="C299" s="67">
        <f>main!O301</f>
        <v>100000</v>
      </c>
      <c r="D299" s="65" t="s">
        <v>111</v>
      </c>
      <c r="E299" s="68" t="str">
        <f t="shared" si="4"/>
        <v/>
      </c>
      <c r="F299" s="68" t="str">
        <f>IF(main!R302="","",ROUND(main!R302*100,6))</f>
        <v/>
      </c>
      <c r="G299" s="68" t="str">
        <f>IF(main!S302="","",ROUND(main!S302*100,6))</f>
        <v/>
      </c>
      <c r="H299" s="68" t="str">
        <f>IF(main!T302="","",ROUND(main!T302*100,6))</f>
        <v/>
      </c>
      <c r="I299" s="68" t="str">
        <f>IF(main!U302="","",ROUND(main!U302*100,6))</f>
        <v/>
      </c>
      <c r="J299" s="68" t="str">
        <f>IF(main!V302="","",ROUND(main!V302*100,6))</f>
        <v/>
      </c>
      <c r="K299" s="68" t="str">
        <f>IF(main!W302="","",ROUND(main!W302*100,6))</f>
        <v/>
      </c>
      <c r="L299" s="68" t="str">
        <f>IF(main!X302="","",ROUND(main!X302*100,6))</f>
        <v/>
      </c>
      <c r="M299" s="68" t="str">
        <f>IF(main!Y302="","",ROUND(main!Y302*100,6))</f>
        <v/>
      </c>
      <c r="N299" s="68" t="str">
        <f>IF(main!Z302="","",ROUND(main!Z302*100,6))</f>
        <v/>
      </c>
      <c r="O299" s="68" t="str">
        <f>IF(main!AA302="","",ROUND(main!AA302*100,6))</f>
        <v/>
      </c>
      <c r="P299" s="68" t="str">
        <f>IF(main!AB302="","",ROUND(main!AB302*100,6))</f>
        <v/>
      </c>
      <c r="Q299" s="68" t="str">
        <f>IF(main!AC302="","",ROUND(main!AC302*100,6))</f>
        <v/>
      </c>
      <c r="R299" s="68" t="str">
        <f>IF(main!AD302="","",ROUND(main!AD302*100,6))</f>
        <v/>
      </c>
      <c r="S299" s="68" t="str">
        <f>IF(main!AE302="","",ROUND(main!AE302*100,6))</f>
        <v/>
      </c>
      <c r="T299" s="68" t="str">
        <f>IF(main!AF302="","",ROUND(main!AF302*100,6))</f>
        <v/>
      </c>
      <c r="U299" s="68" t="str">
        <f>IF(main!AG302="","",ROUND(main!AG302*100,6))</f>
        <v/>
      </c>
      <c r="V299" s="68" t="str">
        <f>IF(main!AH302="","",ROUND(main!AH302*100,6))</f>
        <v/>
      </c>
      <c r="W299" s="68" t="str">
        <f>IF(main!AI302="","",ROUND(main!AI302*100,6))</f>
        <v/>
      </c>
      <c r="X299" s="68" t="str">
        <f>IF(main!AJ302="","",ROUND(main!AJ302*100,6))</f>
        <v/>
      </c>
      <c r="Y299" s="68" t="str">
        <f>IF(main!AK302="","",ROUND(main!AK302*100,6))</f>
        <v/>
      </c>
      <c r="Z299" s="68" t="str">
        <f>IF(main!AL302="","",ROUND(main!AL302*100,6))</f>
        <v/>
      </c>
      <c r="AA299" s="68" t="str">
        <f>IF(main!AM302="","",ROUND(main!AM302*100,6))</f>
        <v/>
      </c>
      <c r="AB299" s="68" t="str">
        <f>IF(main!AN302="","",ROUND(main!AN302*100,6))</f>
        <v/>
      </c>
      <c r="AC299" s="68" t="str">
        <f>IF(main!AO302="","",ROUND(main!AO302*100,6))</f>
        <v/>
      </c>
      <c r="AD299" s="68" t="str">
        <f>IF(main!AP302="","",ROUND(main!AP302*100,6))</f>
        <v/>
      </c>
      <c r="AE299" s="68" t="str">
        <f>IF(main!AQ302="","",ROUND(main!AQ302*100,6))</f>
        <v/>
      </c>
      <c r="AF299" s="68" t="str">
        <f>IF(main!AR302="","",ROUND(main!AR302*100,6))</f>
        <v/>
      </c>
      <c r="AG299" s="68" t="str">
        <f>IF(main!AS302="","",ROUND(main!AS302*100,6))</f>
        <v/>
      </c>
      <c r="AH299" s="68" t="str">
        <f>IF(main!AT302="","",ROUND(main!AT302*100,6))</f>
        <v/>
      </c>
      <c r="AI299" s="68" t="str">
        <f>IF(main!AU302="","",ROUND(main!AU302*100,6))</f>
        <v/>
      </c>
      <c r="AJ299" s="68" t="str">
        <f>IF(main!AV302="","",ROUND(main!AV302*100,6))</f>
        <v/>
      </c>
      <c r="AK299" s="68" t="str">
        <f>IF(main!AW302="","",ROUND(main!AW302*100,6))</f>
        <v/>
      </c>
      <c r="AL299" s="68" t="str">
        <f>IF(main!AX302="","",ROUND(main!AX302*100,6))</f>
        <v/>
      </c>
      <c r="AM299" s="68" t="str">
        <f>IF(main!AY302="","",ROUND(main!AY302*100,6))</f>
        <v/>
      </c>
      <c r="AN299" s="68" t="str">
        <f>IF(main!AZ302="","",ROUND(main!AZ302*100,6))</f>
        <v/>
      </c>
      <c r="AO299" s="68" t="str">
        <f>IF(main!BA302="","",ROUND(main!BA302*100,6))</f>
        <v/>
      </c>
      <c r="AP299" s="68" t="str">
        <f>IF(main!BB302="","",ROUND(main!BB302*100,6))</f>
        <v/>
      </c>
      <c r="AQ299" s="68" t="str">
        <f>IF(main!BC302="","",ROUND(main!BC302*100,6))</f>
        <v/>
      </c>
      <c r="AR299" s="68" t="str">
        <f>IF(main!BD302="","",ROUND(main!BD302*100,6))</f>
        <v/>
      </c>
      <c r="AS299" s="68" t="str">
        <f>IF(main!BE302="","",ROUND(main!BE302*100,6))</f>
        <v/>
      </c>
      <c r="AT299" s="68" t="str">
        <f>IF(main!BF302="","",ROUND(main!BF302*100,6))</f>
        <v/>
      </c>
      <c r="AU299" s="68" t="str">
        <f>IF(main!BG302="","",ROUND(main!BG302*100,6))</f>
        <v/>
      </c>
      <c r="AV299" s="68" t="str">
        <f>IF(main!BH302="","",ROUND(main!BH302*100,6))</f>
        <v/>
      </c>
      <c r="AW299" s="68" t="str">
        <f>IF(main!BI302="","",ROUND(main!BI302*100,6))</f>
        <v/>
      </c>
      <c r="AX299" s="68" t="str">
        <f>IF(main!BJ302="","",ROUND(main!BJ302*100,6))</f>
        <v/>
      </c>
      <c r="AY299" s="68" t="str">
        <f>IF(main!BK302="","",ROUND(main!BK302*100,6))</f>
        <v/>
      </c>
      <c r="AZ299" s="68" t="str">
        <f>IF(main!BL302="","",ROUND(main!BL302*100,6))</f>
        <v/>
      </c>
      <c r="BA299" s="68" t="str">
        <f>IF(main!BM302="","",ROUND(main!BM302*100,6))</f>
        <v/>
      </c>
      <c r="BB299" s="68" t="str">
        <f>IF(main!BN302="","",ROUND(main!BN302*100,6))</f>
        <v/>
      </c>
      <c r="BC299" s="68" t="str">
        <f>IF(main!BO302="","",ROUND(main!BO302*100,6))</f>
        <v/>
      </c>
      <c r="BD299" s="68" t="str">
        <f>IF(main!BP302="","",ROUND(main!BP302*100,6))</f>
        <v/>
      </c>
      <c r="BE299" s="68" t="str">
        <f>IF(main!BQ302="","",ROUND(main!BQ302*100,6))</f>
        <v/>
      </c>
      <c r="BF299" s="68" t="str">
        <f>IF(main!BR302="","",ROUND(main!BR302*100,6))</f>
        <v/>
      </c>
      <c r="BG299" s="68" t="str">
        <f>IF(main!BS302="","",ROUND(main!BS302*100,6))</f>
        <v/>
      </c>
      <c r="BH299" s="68" t="str">
        <f>IF(main!BT302="","",ROUND(main!BT302*100,6))</f>
        <v/>
      </c>
      <c r="BI299" s="68" t="str">
        <f>IF(main!BU302="","",ROUND(main!BU302*100,6))</f>
        <v/>
      </c>
      <c r="BJ299" s="68" t="str">
        <f>IF(main!BV302="","",ROUND(main!BV302*100,6))</f>
        <v/>
      </c>
      <c r="BK299" s="68" t="str">
        <f>IF(main!BW302="","",ROUND(main!BW302*100,6))</f>
        <v/>
      </c>
      <c r="BL299" s="68" t="str">
        <f>IF(main!BX302="","",ROUND(main!BX302*100,6))</f>
        <v/>
      </c>
      <c r="BM299" s="68" t="str">
        <f>IF(main!BY302="","",ROUND(main!BY302*100,6))</f>
        <v/>
      </c>
      <c r="BN299" s="68" t="str">
        <f>IF(main!BZ302="","",ROUND(main!BZ302*100,6))</f>
        <v/>
      </c>
      <c r="BO299" s="68" t="str">
        <f>IF(main!CA302="","",ROUND(main!CA302*100,6))</f>
        <v/>
      </c>
      <c r="BP299" s="68" t="str">
        <f>IF(main!CB302="","",ROUND(main!CB302*100,6))</f>
        <v/>
      </c>
      <c r="BQ299" s="68" t="str">
        <f>IF(main!CC302="","",ROUND(main!CC302*100,6))</f>
        <v/>
      </c>
      <c r="BR299" s="68" t="str">
        <f>IF(main!CD302="","",ROUND(main!CD302*100,6))</f>
        <v/>
      </c>
      <c r="BS299" s="68" t="str">
        <f>IF(main!CE302="","",ROUND(main!CE302*100,6))</f>
        <v/>
      </c>
      <c r="BT299" s="68" t="str">
        <f>IF(main!CF302="","",ROUND(main!CF302*100,6))</f>
        <v/>
      </c>
      <c r="BU299" s="68" t="str">
        <f>IF(main!CG302="","",ROUND(main!CG302*100,6))</f>
        <v/>
      </c>
      <c r="BV299" s="68" t="str">
        <f>IF(main!CH302="","",ROUND(main!CH302*100,6))</f>
        <v/>
      </c>
      <c r="BW299" s="68" t="str">
        <f>IF(main!CI302="","",ROUND(main!CI302*100,6))</f>
        <v/>
      </c>
      <c r="BX299" s="68" t="str">
        <f>IF(main!CJ302="","",ROUND(main!CJ302*100,6))</f>
        <v/>
      </c>
      <c r="BY299" s="68" t="str">
        <f>IF(main!CK302="","",ROUND(main!CK302*100,6))</f>
        <v/>
      </c>
      <c r="BZ299" s="68" t="str">
        <f>IF(main!CL302="","",ROUND(main!CL302*100,6))</f>
        <v/>
      </c>
      <c r="CA299" s="68" t="str">
        <f>IF(main!CM302="","",ROUND(main!CM302*100,6))</f>
        <v/>
      </c>
      <c r="CB299" s="68" t="str">
        <f>IF(main!CN302="","",ROUND(main!CN302*100,6))</f>
        <v/>
      </c>
      <c r="CC299" s="68" t="str">
        <f>IF(main!CO302="","",ROUND(main!CO302*100,6))</f>
        <v/>
      </c>
    </row>
    <row r="300" spans="1:81" x14ac:dyDescent="0.25">
      <c r="A300" s="65" t="s">
        <v>454</v>
      </c>
      <c r="B300" s="66" t="str">
        <f>main!C303</f>
        <v>งานติดตั้งผนังกระจก และประตูกระจกอลูมิเนียม</v>
      </c>
      <c r="C300" s="67">
        <f>main!O303</f>
        <v>100000</v>
      </c>
      <c r="D300" s="65" t="s">
        <v>110</v>
      </c>
      <c r="E300" s="68">
        <f t="shared" si="4"/>
        <v>100</v>
      </c>
      <c r="F300" s="68" t="str">
        <f>IF(main!R303="","",ROUND(main!R303*100,6))</f>
        <v/>
      </c>
      <c r="G300" s="68" t="str">
        <f>IF(main!S303="","",ROUND(main!S303*100,6))</f>
        <v/>
      </c>
      <c r="H300" s="68" t="str">
        <f>IF(main!T303="","",ROUND(main!T303*100,6))</f>
        <v/>
      </c>
      <c r="I300" s="68" t="str">
        <f>IF(main!U303="","",ROUND(main!U303*100,6))</f>
        <v/>
      </c>
      <c r="J300" s="68" t="str">
        <f>IF(main!V303="","",ROUND(main!V303*100,6))</f>
        <v/>
      </c>
      <c r="K300" s="68" t="str">
        <f>IF(main!W303="","",ROUND(main!W303*100,6))</f>
        <v/>
      </c>
      <c r="L300" s="68" t="str">
        <f>IF(main!X303="","",ROUND(main!X303*100,6))</f>
        <v/>
      </c>
      <c r="M300" s="68" t="str">
        <f>IF(main!Y303="","",ROUND(main!Y303*100,6))</f>
        <v/>
      </c>
      <c r="N300" s="68" t="str">
        <f>IF(main!Z303="","",ROUND(main!Z303*100,6))</f>
        <v/>
      </c>
      <c r="O300" s="68" t="str">
        <f>IF(main!AA303="","",ROUND(main!AA303*100,6))</f>
        <v/>
      </c>
      <c r="P300" s="68" t="str">
        <f>IF(main!AB303="","",ROUND(main!AB303*100,6))</f>
        <v/>
      </c>
      <c r="Q300" s="68" t="str">
        <f>IF(main!AC303="","",ROUND(main!AC303*100,6))</f>
        <v/>
      </c>
      <c r="R300" s="68" t="str">
        <f>IF(main!AD303="","",ROUND(main!AD303*100,6))</f>
        <v/>
      </c>
      <c r="S300" s="68" t="str">
        <f>IF(main!AE303="","",ROUND(main!AE303*100,6))</f>
        <v/>
      </c>
      <c r="T300" s="68" t="str">
        <f>IF(main!AF303="","",ROUND(main!AF303*100,6))</f>
        <v/>
      </c>
      <c r="U300" s="68" t="str">
        <f>IF(main!AG303="","",ROUND(main!AG303*100,6))</f>
        <v/>
      </c>
      <c r="V300" s="68" t="str">
        <f>IF(main!AH303="","",ROUND(main!AH303*100,6))</f>
        <v/>
      </c>
      <c r="W300" s="68" t="str">
        <f>IF(main!AI303="","",ROUND(main!AI303*100,6))</f>
        <v/>
      </c>
      <c r="X300" s="68" t="str">
        <f>IF(main!AJ303="","",ROUND(main!AJ303*100,6))</f>
        <v/>
      </c>
      <c r="Y300" s="68" t="str">
        <f>IF(main!AK303="","",ROUND(main!AK303*100,6))</f>
        <v/>
      </c>
      <c r="Z300" s="68" t="str">
        <f>IF(main!AL303="","",ROUND(main!AL303*100,6))</f>
        <v/>
      </c>
      <c r="AA300" s="68" t="str">
        <f>IF(main!AM303="","",ROUND(main!AM303*100,6))</f>
        <v/>
      </c>
      <c r="AB300" s="68" t="str">
        <f>IF(main!AN303="","",ROUND(main!AN303*100,6))</f>
        <v/>
      </c>
      <c r="AC300" s="68" t="str">
        <f>IF(main!AO303="","",ROUND(main!AO303*100,6))</f>
        <v/>
      </c>
      <c r="AD300" s="68" t="str">
        <f>IF(main!AP303="","",ROUND(main!AP303*100,6))</f>
        <v/>
      </c>
      <c r="AE300" s="68" t="str">
        <f>IF(main!AQ303="","",ROUND(main!AQ303*100,6))</f>
        <v/>
      </c>
      <c r="AF300" s="68" t="str">
        <f>IF(main!AR303="","",ROUND(main!AR303*100,6))</f>
        <v/>
      </c>
      <c r="AG300" s="68" t="str">
        <f>IF(main!AS303="","",ROUND(main!AS303*100,6))</f>
        <v/>
      </c>
      <c r="AH300" s="68" t="str">
        <f>IF(main!AT303="","",ROUND(main!AT303*100,6))</f>
        <v/>
      </c>
      <c r="AI300" s="68" t="str">
        <f>IF(main!AU303="","",ROUND(main!AU303*100,6))</f>
        <v/>
      </c>
      <c r="AJ300" s="68" t="str">
        <f>IF(main!AV303="","",ROUND(main!AV303*100,6))</f>
        <v/>
      </c>
      <c r="AK300" s="68" t="str">
        <f>IF(main!AW303="","",ROUND(main!AW303*100,6))</f>
        <v/>
      </c>
      <c r="AL300" s="68" t="str">
        <f>IF(main!AX303="","",ROUND(main!AX303*100,6))</f>
        <v/>
      </c>
      <c r="AM300" s="68" t="str">
        <f>IF(main!AY303="","",ROUND(main!AY303*100,6))</f>
        <v/>
      </c>
      <c r="AN300" s="68" t="str">
        <f>IF(main!AZ303="","",ROUND(main!AZ303*100,6))</f>
        <v/>
      </c>
      <c r="AO300" s="68" t="str">
        <f>IF(main!BA303="","",ROUND(main!BA303*100,6))</f>
        <v/>
      </c>
      <c r="AP300" s="68" t="str">
        <f>IF(main!BB303="","",ROUND(main!BB303*100,6))</f>
        <v/>
      </c>
      <c r="AQ300" s="68" t="str">
        <f>IF(main!BC303="","",ROUND(main!BC303*100,6))</f>
        <v/>
      </c>
      <c r="AR300" s="68" t="str">
        <f>IF(main!BD303="","",ROUND(main!BD303*100,6))</f>
        <v/>
      </c>
      <c r="AS300" s="68" t="str">
        <f>IF(main!BE303="","",ROUND(main!BE303*100,6))</f>
        <v/>
      </c>
      <c r="AT300" s="68" t="str">
        <f>IF(main!BF303="","",ROUND(main!BF303*100,6))</f>
        <v/>
      </c>
      <c r="AU300" s="68" t="str">
        <f>IF(main!BG303="","",ROUND(main!BG303*100,6))</f>
        <v/>
      </c>
      <c r="AV300" s="68" t="str">
        <f>IF(main!BH303="","",ROUND(main!BH303*100,6))</f>
        <v/>
      </c>
      <c r="AW300" s="68" t="str">
        <f>IF(main!BI303="","",ROUND(main!BI303*100,6))</f>
        <v/>
      </c>
      <c r="AX300" s="68" t="str">
        <f>IF(main!BJ303="","",ROUND(main!BJ303*100,6))</f>
        <v/>
      </c>
      <c r="AY300" s="68" t="str">
        <f>IF(main!BK303="","",ROUND(main!BK303*100,6))</f>
        <v/>
      </c>
      <c r="AZ300" s="68" t="str">
        <f>IF(main!BL303="","",ROUND(main!BL303*100,6))</f>
        <v/>
      </c>
      <c r="BA300" s="68" t="str">
        <f>IF(main!BM303="","",ROUND(main!BM303*100,6))</f>
        <v/>
      </c>
      <c r="BB300" s="68" t="str">
        <f>IF(main!BN303="","",ROUND(main!BN303*100,6))</f>
        <v/>
      </c>
      <c r="BC300" s="68" t="str">
        <f>IF(main!BO303="","",ROUND(main!BO303*100,6))</f>
        <v/>
      </c>
      <c r="BD300" s="68" t="str">
        <f>IF(main!BP303="","",ROUND(main!BP303*100,6))</f>
        <v/>
      </c>
      <c r="BE300" s="68" t="str">
        <f>IF(main!BQ303="","",ROUND(main!BQ303*100,6))</f>
        <v/>
      </c>
      <c r="BF300" s="68" t="str">
        <f>IF(main!BR303="","",ROUND(main!BR303*100,6))</f>
        <v/>
      </c>
      <c r="BG300" s="68" t="str">
        <f>IF(main!BS303="","",ROUND(main!BS303*100,6))</f>
        <v/>
      </c>
      <c r="BH300" s="68" t="str">
        <f>IF(main!BT303="","",ROUND(main!BT303*100,6))</f>
        <v/>
      </c>
      <c r="BI300" s="68" t="str">
        <f>IF(main!BU303="","",ROUND(main!BU303*100,6))</f>
        <v/>
      </c>
      <c r="BJ300" s="68" t="str">
        <f>IF(main!BV303="","",ROUND(main!BV303*100,6))</f>
        <v/>
      </c>
      <c r="BK300" s="68" t="str">
        <f>IF(main!BW303="","",ROUND(main!BW303*100,6))</f>
        <v/>
      </c>
      <c r="BL300" s="68" t="str">
        <f>IF(main!BX303="","",ROUND(main!BX303*100,6))</f>
        <v/>
      </c>
      <c r="BM300" s="68">
        <f>IF(main!BY303="","",ROUND(main!BY303*100,6))</f>
        <v>3.5714290000000002</v>
      </c>
      <c r="BN300" s="68">
        <f>IF(main!BZ303="","",ROUND(main!BZ303*100,6))</f>
        <v>25</v>
      </c>
      <c r="BO300" s="68">
        <f>IF(main!CA303="","",ROUND(main!CA303*100,6))</f>
        <v>25</v>
      </c>
      <c r="BP300" s="68">
        <f>IF(main!CB303="","",ROUND(main!CB303*100,6))</f>
        <v>25</v>
      </c>
      <c r="BQ300" s="68">
        <f>IF(main!CC303="","",ROUND(main!CC303*100,6))</f>
        <v>21.428571000000002</v>
      </c>
      <c r="BR300" s="68" t="str">
        <f>IF(main!CD303="","",ROUND(main!CD303*100,6))</f>
        <v/>
      </c>
      <c r="BS300" s="68" t="str">
        <f>IF(main!CE303="","",ROUND(main!CE303*100,6))</f>
        <v/>
      </c>
      <c r="BT300" s="68" t="str">
        <f>IF(main!CF303="","",ROUND(main!CF303*100,6))</f>
        <v/>
      </c>
      <c r="BU300" s="68" t="str">
        <f>IF(main!CG303="","",ROUND(main!CG303*100,6))</f>
        <v/>
      </c>
      <c r="BV300" s="68" t="str">
        <f>IF(main!CH303="","",ROUND(main!CH303*100,6))</f>
        <v/>
      </c>
      <c r="BW300" s="68" t="str">
        <f>IF(main!CI303="","",ROUND(main!CI303*100,6))</f>
        <v/>
      </c>
      <c r="BX300" s="68" t="str">
        <f>IF(main!CJ303="","",ROUND(main!CJ303*100,6))</f>
        <v/>
      </c>
      <c r="BY300" s="68" t="str">
        <f>IF(main!CK303="","",ROUND(main!CK303*100,6))</f>
        <v/>
      </c>
      <c r="BZ300" s="68" t="str">
        <f>IF(main!CL303="","",ROUND(main!CL303*100,6))</f>
        <v/>
      </c>
      <c r="CA300" s="68" t="str">
        <f>IF(main!CM303="","",ROUND(main!CM303*100,6))</f>
        <v/>
      </c>
      <c r="CB300" s="68" t="str">
        <f>IF(main!CN303="","",ROUND(main!CN303*100,6))</f>
        <v/>
      </c>
      <c r="CC300" s="68" t="str">
        <f>IF(main!CO303="","",ROUND(main!CO303*100,6))</f>
        <v/>
      </c>
    </row>
    <row r="301" spans="1:81" x14ac:dyDescent="0.25">
      <c r="A301" s="65" t="s">
        <v>454</v>
      </c>
      <c r="B301" s="66" t="str">
        <f>main!C303</f>
        <v>งานติดตั้งผนังกระจก และประตูกระจกอลูมิเนียม</v>
      </c>
      <c r="C301" s="67">
        <f>main!O303</f>
        <v>100000</v>
      </c>
      <c r="D301" s="65" t="s">
        <v>111</v>
      </c>
      <c r="E301" s="68" t="str">
        <f t="shared" si="4"/>
        <v/>
      </c>
      <c r="F301" s="68" t="str">
        <f>IF(main!R304="","",ROUND(main!R304*100,6))</f>
        <v/>
      </c>
      <c r="G301" s="68" t="str">
        <f>IF(main!S304="","",ROUND(main!S304*100,6))</f>
        <v/>
      </c>
      <c r="H301" s="68" t="str">
        <f>IF(main!T304="","",ROUND(main!T304*100,6))</f>
        <v/>
      </c>
      <c r="I301" s="68" t="str">
        <f>IF(main!U304="","",ROUND(main!U304*100,6))</f>
        <v/>
      </c>
      <c r="J301" s="68" t="str">
        <f>IF(main!V304="","",ROUND(main!V304*100,6))</f>
        <v/>
      </c>
      <c r="K301" s="68" t="str">
        <f>IF(main!W304="","",ROUND(main!W304*100,6))</f>
        <v/>
      </c>
      <c r="L301" s="68" t="str">
        <f>IF(main!X304="","",ROUND(main!X304*100,6))</f>
        <v/>
      </c>
      <c r="M301" s="68" t="str">
        <f>IF(main!Y304="","",ROUND(main!Y304*100,6))</f>
        <v/>
      </c>
      <c r="N301" s="68" t="str">
        <f>IF(main!Z304="","",ROUND(main!Z304*100,6))</f>
        <v/>
      </c>
      <c r="O301" s="68" t="str">
        <f>IF(main!AA304="","",ROUND(main!AA304*100,6))</f>
        <v/>
      </c>
      <c r="P301" s="68" t="str">
        <f>IF(main!AB304="","",ROUND(main!AB304*100,6))</f>
        <v/>
      </c>
      <c r="Q301" s="68" t="str">
        <f>IF(main!AC304="","",ROUND(main!AC304*100,6))</f>
        <v/>
      </c>
      <c r="R301" s="68" t="str">
        <f>IF(main!AD304="","",ROUND(main!AD304*100,6))</f>
        <v/>
      </c>
      <c r="S301" s="68" t="str">
        <f>IF(main!AE304="","",ROUND(main!AE304*100,6))</f>
        <v/>
      </c>
      <c r="T301" s="68" t="str">
        <f>IF(main!AF304="","",ROUND(main!AF304*100,6))</f>
        <v/>
      </c>
      <c r="U301" s="68" t="str">
        <f>IF(main!AG304="","",ROUND(main!AG304*100,6))</f>
        <v/>
      </c>
      <c r="V301" s="68" t="str">
        <f>IF(main!AH304="","",ROUND(main!AH304*100,6))</f>
        <v/>
      </c>
      <c r="W301" s="68" t="str">
        <f>IF(main!AI304="","",ROUND(main!AI304*100,6))</f>
        <v/>
      </c>
      <c r="X301" s="68" t="str">
        <f>IF(main!AJ304="","",ROUND(main!AJ304*100,6))</f>
        <v/>
      </c>
      <c r="Y301" s="68" t="str">
        <f>IF(main!AK304="","",ROUND(main!AK304*100,6))</f>
        <v/>
      </c>
      <c r="Z301" s="68" t="str">
        <f>IF(main!AL304="","",ROUND(main!AL304*100,6))</f>
        <v/>
      </c>
      <c r="AA301" s="68" t="str">
        <f>IF(main!AM304="","",ROUND(main!AM304*100,6))</f>
        <v/>
      </c>
      <c r="AB301" s="68" t="str">
        <f>IF(main!AN304="","",ROUND(main!AN304*100,6))</f>
        <v/>
      </c>
      <c r="AC301" s="68" t="str">
        <f>IF(main!AO304="","",ROUND(main!AO304*100,6))</f>
        <v/>
      </c>
      <c r="AD301" s="68" t="str">
        <f>IF(main!AP304="","",ROUND(main!AP304*100,6))</f>
        <v/>
      </c>
      <c r="AE301" s="68" t="str">
        <f>IF(main!AQ304="","",ROUND(main!AQ304*100,6))</f>
        <v/>
      </c>
      <c r="AF301" s="68" t="str">
        <f>IF(main!AR304="","",ROUND(main!AR304*100,6))</f>
        <v/>
      </c>
      <c r="AG301" s="68" t="str">
        <f>IF(main!AS304="","",ROUND(main!AS304*100,6))</f>
        <v/>
      </c>
      <c r="AH301" s="68" t="str">
        <f>IF(main!AT304="","",ROUND(main!AT304*100,6))</f>
        <v/>
      </c>
      <c r="AI301" s="68" t="str">
        <f>IF(main!AU304="","",ROUND(main!AU304*100,6))</f>
        <v/>
      </c>
      <c r="AJ301" s="68" t="str">
        <f>IF(main!AV304="","",ROUND(main!AV304*100,6))</f>
        <v/>
      </c>
      <c r="AK301" s="68" t="str">
        <f>IF(main!AW304="","",ROUND(main!AW304*100,6))</f>
        <v/>
      </c>
      <c r="AL301" s="68" t="str">
        <f>IF(main!AX304="","",ROUND(main!AX304*100,6))</f>
        <v/>
      </c>
      <c r="AM301" s="68" t="str">
        <f>IF(main!AY304="","",ROUND(main!AY304*100,6))</f>
        <v/>
      </c>
      <c r="AN301" s="68" t="str">
        <f>IF(main!AZ304="","",ROUND(main!AZ304*100,6))</f>
        <v/>
      </c>
      <c r="AO301" s="68" t="str">
        <f>IF(main!BA304="","",ROUND(main!BA304*100,6))</f>
        <v/>
      </c>
      <c r="AP301" s="68" t="str">
        <f>IF(main!BB304="","",ROUND(main!BB304*100,6))</f>
        <v/>
      </c>
      <c r="AQ301" s="68" t="str">
        <f>IF(main!BC304="","",ROUND(main!BC304*100,6))</f>
        <v/>
      </c>
      <c r="AR301" s="68" t="str">
        <f>IF(main!BD304="","",ROUND(main!BD304*100,6))</f>
        <v/>
      </c>
      <c r="AS301" s="68" t="str">
        <f>IF(main!BE304="","",ROUND(main!BE304*100,6))</f>
        <v/>
      </c>
      <c r="AT301" s="68" t="str">
        <f>IF(main!BF304="","",ROUND(main!BF304*100,6))</f>
        <v/>
      </c>
      <c r="AU301" s="68" t="str">
        <f>IF(main!BG304="","",ROUND(main!BG304*100,6))</f>
        <v/>
      </c>
      <c r="AV301" s="68" t="str">
        <f>IF(main!BH304="","",ROUND(main!BH304*100,6))</f>
        <v/>
      </c>
      <c r="AW301" s="68" t="str">
        <f>IF(main!BI304="","",ROUND(main!BI304*100,6))</f>
        <v/>
      </c>
      <c r="AX301" s="68" t="str">
        <f>IF(main!BJ304="","",ROUND(main!BJ304*100,6))</f>
        <v/>
      </c>
      <c r="AY301" s="68" t="str">
        <f>IF(main!BK304="","",ROUND(main!BK304*100,6))</f>
        <v/>
      </c>
      <c r="AZ301" s="68" t="str">
        <f>IF(main!BL304="","",ROUND(main!BL304*100,6))</f>
        <v/>
      </c>
      <c r="BA301" s="68" t="str">
        <f>IF(main!BM304="","",ROUND(main!BM304*100,6))</f>
        <v/>
      </c>
      <c r="BB301" s="68" t="str">
        <f>IF(main!BN304="","",ROUND(main!BN304*100,6))</f>
        <v/>
      </c>
      <c r="BC301" s="68" t="str">
        <f>IF(main!BO304="","",ROUND(main!BO304*100,6))</f>
        <v/>
      </c>
      <c r="BD301" s="68" t="str">
        <f>IF(main!BP304="","",ROUND(main!BP304*100,6))</f>
        <v/>
      </c>
      <c r="BE301" s="68" t="str">
        <f>IF(main!BQ304="","",ROUND(main!BQ304*100,6))</f>
        <v/>
      </c>
      <c r="BF301" s="68" t="str">
        <f>IF(main!BR304="","",ROUND(main!BR304*100,6))</f>
        <v/>
      </c>
      <c r="BG301" s="68" t="str">
        <f>IF(main!BS304="","",ROUND(main!BS304*100,6))</f>
        <v/>
      </c>
      <c r="BH301" s="68" t="str">
        <f>IF(main!BT304="","",ROUND(main!BT304*100,6))</f>
        <v/>
      </c>
      <c r="BI301" s="68" t="str">
        <f>IF(main!BU304="","",ROUND(main!BU304*100,6))</f>
        <v/>
      </c>
      <c r="BJ301" s="68" t="str">
        <f>IF(main!BV304="","",ROUND(main!BV304*100,6))</f>
        <v/>
      </c>
      <c r="BK301" s="68" t="str">
        <f>IF(main!BW304="","",ROUND(main!BW304*100,6))</f>
        <v/>
      </c>
      <c r="BL301" s="68" t="str">
        <f>IF(main!BX304="","",ROUND(main!BX304*100,6))</f>
        <v/>
      </c>
      <c r="BM301" s="68" t="str">
        <f>IF(main!BY304="","",ROUND(main!BY304*100,6))</f>
        <v/>
      </c>
      <c r="BN301" s="68" t="str">
        <f>IF(main!BZ304="","",ROUND(main!BZ304*100,6))</f>
        <v/>
      </c>
      <c r="BO301" s="68" t="str">
        <f>IF(main!CA304="","",ROUND(main!CA304*100,6))</f>
        <v/>
      </c>
      <c r="BP301" s="68" t="str">
        <f>IF(main!CB304="","",ROUND(main!CB304*100,6))</f>
        <v/>
      </c>
      <c r="BQ301" s="68" t="str">
        <f>IF(main!CC304="","",ROUND(main!CC304*100,6))</f>
        <v/>
      </c>
      <c r="BR301" s="68" t="str">
        <f>IF(main!CD304="","",ROUND(main!CD304*100,6))</f>
        <v/>
      </c>
      <c r="BS301" s="68" t="str">
        <f>IF(main!CE304="","",ROUND(main!CE304*100,6))</f>
        <v/>
      </c>
      <c r="BT301" s="68" t="str">
        <f>IF(main!CF304="","",ROUND(main!CF304*100,6))</f>
        <v/>
      </c>
      <c r="BU301" s="68" t="str">
        <f>IF(main!CG304="","",ROUND(main!CG304*100,6))</f>
        <v/>
      </c>
      <c r="BV301" s="68" t="str">
        <f>IF(main!CH304="","",ROUND(main!CH304*100,6))</f>
        <v/>
      </c>
      <c r="BW301" s="68" t="str">
        <f>IF(main!CI304="","",ROUND(main!CI304*100,6))</f>
        <v/>
      </c>
      <c r="BX301" s="68" t="str">
        <f>IF(main!CJ304="","",ROUND(main!CJ304*100,6))</f>
        <v/>
      </c>
      <c r="BY301" s="68" t="str">
        <f>IF(main!CK304="","",ROUND(main!CK304*100,6))</f>
        <v/>
      </c>
      <c r="BZ301" s="68" t="str">
        <f>IF(main!CL304="","",ROUND(main!CL304*100,6))</f>
        <v/>
      </c>
      <c r="CA301" s="68" t="str">
        <f>IF(main!CM304="","",ROUND(main!CM304*100,6))</f>
        <v/>
      </c>
      <c r="CB301" s="68" t="str">
        <f>IF(main!CN304="","",ROUND(main!CN304*100,6))</f>
        <v/>
      </c>
      <c r="CC301" s="68" t="str">
        <f>IF(main!CO304="","",ROUND(main!CO304*100,6))</f>
        <v/>
      </c>
    </row>
    <row r="302" spans="1:81" x14ac:dyDescent="0.25">
      <c r="A302" s="65" t="s">
        <v>456</v>
      </c>
      <c r="B302" s="66" t="str">
        <f>main!C305</f>
        <v>MEP</v>
      </c>
      <c r="C302" s="67">
        <f>main!O305</f>
        <v>300000</v>
      </c>
      <c r="D302" s="65" t="s">
        <v>110</v>
      </c>
      <c r="E302" s="68">
        <f t="shared" si="4"/>
        <v>100.00000300000001</v>
      </c>
      <c r="F302" s="68" t="str">
        <f>IF(main!R305="","",ROUND(main!R305*100,6))</f>
        <v/>
      </c>
      <c r="G302" s="68" t="str">
        <f>IF(main!S305="","",ROUND(main!S305*100,6))</f>
        <v/>
      </c>
      <c r="H302" s="68" t="str">
        <f>IF(main!T305="","",ROUND(main!T305*100,6))</f>
        <v/>
      </c>
      <c r="I302" s="68" t="str">
        <f>IF(main!U305="","",ROUND(main!U305*100,6))</f>
        <v/>
      </c>
      <c r="J302" s="68" t="str">
        <f>IF(main!V305="","",ROUND(main!V305*100,6))</f>
        <v/>
      </c>
      <c r="K302" s="68" t="str">
        <f>IF(main!W305="","",ROUND(main!W305*100,6))</f>
        <v/>
      </c>
      <c r="L302" s="68" t="str">
        <f>IF(main!X305="","",ROUND(main!X305*100,6))</f>
        <v/>
      </c>
      <c r="M302" s="68" t="str">
        <f>IF(main!Y305="","",ROUND(main!Y305*100,6))</f>
        <v/>
      </c>
      <c r="N302" s="68" t="str">
        <f>IF(main!Z305="","",ROUND(main!Z305*100,6))</f>
        <v/>
      </c>
      <c r="O302" s="68" t="str">
        <f>IF(main!AA305="","",ROUND(main!AA305*100,6))</f>
        <v/>
      </c>
      <c r="P302" s="68" t="str">
        <f>IF(main!AB305="","",ROUND(main!AB305*100,6))</f>
        <v/>
      </c>
      <c r="Q302" s="68" t="str">
        <f>IF(main!AC305="","",ROUND(main!AC305*100,6))</f>
        <v/>
      </c>
      <c r="R302" s="68" t="str">
        <f>IF(main!AD305="","",ROUND(main!AD305*100,6))</f>
        <v/>
      </c>
      <c r="S302" s="68" t="str">
        <f>IF(main!AE305="","",ROUND(main!AE305*100,6))</f>
        <v/>
      </c>
      <c r="T302" s="68" t="str">
        <f>IF(main!AF305="","",ROUND(main!AF305*100,6))</f>
        <v/>
      </c>
      <c r="U302" s="68" t="str">
        <f>IF(main!AG305="","",ROUND(main!AG305*100,6))</f>
        <v/>
      </c>
      <c r="V302" s="68" t="str">
        <f>IF(main!AH305="","",ROUND(main!AH305*100,6))</f>
        <v/>
      </c>
      <c r="W302" s="68" t="str">
        <f>IF(main!AI305="","",ROUND(main!AI305*100,6))</f>
        <v/>
      </c>
      <c r="X302" s="68" t="str">
        <f>IF(main!AJ305="","",ROUND(main!AJ305*100,6))</f>
        <v/>
      </c>
      <c r="Y302" s="68" t="str">
        <f>IF(main!AK305="","",ROUND(main!AK305*100,6))</f>
        <v/>
      </c>
      <c r="Z302" s="68" t="str">
        <f>IF(main!AL305="","",ROUND(main!AL305*100,6))</f>
        <v/>
      </c>
      <c r="AA302" s="68" t="str">
        <f>IF(main!AM305="","",ROUND(main!AM305*100,6))</f>
        <v/>
      </c>
      <c r="AB302" s="68" t="str">
        <f>IF(main!AN305="","",ROUND(main!AN305*100,6))</f>
        <v/>
      </c>
      <c r="AC302" s="68" t="str">
        <f>IF(main!AO305="","",ROUND(main!AO305*100,6))</f>
        <v/>
      </c>
      <c r="AD302" s="68" t="str">
        <f>IF(main!AP305="","",ROUND(main!AP305*100,6))</f>
        <v/>
      </c>
      <c r="AE302" s="68" t="str">
        <f>IF(main!AQ305="","",ROUND(main!AQ305*100,6))</f>
        <v/>
      </c>
      <c r="AF302" s="68" t="str">
        <f>IF(main!AR305="","",ROUND(main!AR305*100,6))</f>
        <v/>
      </c>
      <c r="AG302" s="68" t="str">
        <f>IF(main!AS305="","",ROUND(main!AS305*100,6))</f>
        <v/>
      </c>
      <c r="AH302" s="68" t="str">
        <f>IF(main!AT305="","",ROUND(main!AT305*100,6))</f>
        <v/>
      </c>
      <c r="AI302" s="68" t="str">
        <f>IF(main!AU305="","",ROUND(main!AU305*100,6))</f>
        <v/>
      </c>
      <c r="AJ302" s="68" t="str">
        <f>IF(main!AV305="","",ROUND(main!AV305*100,6))</f>
        <v/>
      </c>
      <c r="AK302" s="68" t="str">
        <f>IF(main!AW305="","",ROUND(main!AW305*100,6))</f>
        <v/>
      </c>
      <c r="AL302" s="68" t="str">
        <f>IF(main!AX305="","",ROUND(main!AX305*100,6))</f>
        <v/>
      </c>
      <c r="AM302" s="68" t="str">
        <f>IF(main!AY305="","",ROUND(main!AY305*100,6))</f>
        <v/>
      </c>
      <c r="AN302" s="68" t="str">
        <f>IF(main!AZ305="","",ROUND(main!AZ305*100,6))</f>
        <v/>
      </c>
      <c r="AO302" s="68" t="str">
        <f>IF(main!BA305="","",ROUND(main!BA305*100,6))</f>
        <v/>
      </c>
      <c r="AP302" s="68" t="str">
        <f>IF(main!BB305="","",ROUND(main!BB305*100,6))</f>
        <v/>
      </c>
      <c r="AQ302" s="68" t="str">
        <f>IF(main!BC305="","",ROUND(main!BC305*100,6))</f>
        <v/>
      </c>
      <c r="AR302" s="68" t="str">
        <f>IF(main!BD305="","",ROUND(main!BD305*100,6))</f>
        <v/>
      </c>
      <c r="AS302" s="68" t="str">
        <f>IF(main!BE305="","",ROUND(main!BE305*100,6))</f>
        <v/>
      </c>
      <c r="AT302" s="68" t="str">
        <f>IF(main!BF305="","",ROUND(main!BF305*100,6))</f>
        <v/>
      </c>
      <c r="AU302" s="68" t="str">
        <f>IF(main!BG305="","",ROUND(main!BG305*100,6))</f>
        <v/>
      </c>
      <c r="AV302" s="68" t="str">
        <f>IF(main!BH305="","",ROUND(main!BH305*100,6))</f>
        <v/>
      </c>
      <c r="AW302" s="68" t="str">
        <f>IF(main!BI305="","",ROUND(main!BI305*100,6))</f>
        <v/>
      </c>
      <c r="AX302" s="68" t="str">
        <f>IF(main!BJ305="","",ROUND(main!BJ305*100,6))</f>
        <v/>
      </c>
      <c r="AY302" s="68" t="str">
        <f>IF(main!BK305="","",ROUND(main!BK305*100,6))</f>
        <v/>
      </c>
      <c r="AZ302" s="68" t="str">
        <f>IF(main!BL305="","",ROUND(main!BL305*100,6))</f>
        <v/>
      </c>
      <c r="BA302" s="68" t="str">
        <f>IF(main!BM305="","",ROUND(main!BM305*100,6))</f>
        <v/>
      </c>
      <c r="BB302" s="68" t="str">
        <f>IF(main!BN305="","",ROUND(main!BN305*100,6))</f>
        <v/>
      </c>
      <c r="BC302" s="68" t="str">
        <f>IF(main!BO305="","",ROUND(main!BO305*100,6))</f>
        <v/>
      </c>
      <c r="BD302" s="68" t="str">
        <f>IF(main!BP305="","",ROUND(main!BP305*100,6))</f>
        <v/>
      </c>
      <c r="BE302" s="68" t="str">
        <f>IF(main!BQ305="","",ROUND(main!BQ305*100,6))</f>
        <v/>
      </c>
      <c r="BF302" s="68" t="str">
        <f>IF(main!BR305="","",ROUND(main!BR305*100,6))</f>
        <v/>
      </c>
      <c r="BG302" s="68">
        <f>IF(main!BS305="","",ROUND(main!BS305*100,6))</f>
        <v>6.6959000000000005E-2</v>
      </c>
      <c r="BH302" s="68">
        <f>IF(main!BT305="","",ROUND(main!BT305*100,6))</f>
        <v>1.187656</v>
      </c>
      <c r="BI302" s="68">
        <f>IF(main!BU305="","",ROUND(main!BU305*100,6))</f>
        <v>2.4476339999999999</v>
      </c>
      <c r="BJ302" s="68">
        <f>IF(main!BV305="","",ROUND(main!BV305*100,6))</f>
        <v>4.1027230000000001</v>
      </c>
      <c r="BK302" s="68">
        <f>IF(main!BW305="","",ROUND(main!BW305*100,6))</f>
        <v>5.5932930000000001</v>
      </c>
      <c r="BL302" s="68">
        <f>IF(main!BX305="","",ROUND(main!BX305*100,6))</f>
        <v>6.202013</v>
      </c>
      <c r="BM302" s="68">
        <f>IF(main!BY305="","",ROUND(main!BY305*100,6))</f>
        <v>5.5932930000000001</v>
      </c>
      <c r="BN302" s="68">
        <f>IF(main!BZ305="","",ROUND(main!BZ305*100,6))</f>
        <v>4.1027230000000001</v>
      </c>
      <c r="BO302" s="68">
        <f>IF(main!CA305="","",ROUND(main!CA305*100,6))</f>
        <v>2.4476339999999999</v>
      </c>
      <c r="BP302" s="68">
        <f>IF(main!CB305="","",ROUND(main!CB305*100,6))</f>
        <v>1.9813069999999999</v>
      </c>
      <c r="BQ302" s="68">
        <f>IF(main!CC305="","",ROUND(main!CC305*100,6))</f>
        <v>10.123974</v>
      </c>
      <c r="BR302" s="68">
        <f>IF(main!CD305="","",ROUND(main!CD305*100,6))</f>
        <v>11.388889000000001</v>
      </c>
      <c r="BS302" s="68">
        <f>IF(main!CE305="","",ROUND(main!CE305*100,6))</f>
        <v>11.388889000000001</v>
      </c>
      <c r="BT302" s="68">
        <f>IF(main!CF305="","",ROUND(main!CF305*100,6))</f>
        <v>11.388889000000001</v>
      </c>
      <c r="BU302" s="68">
        <f>IF(main!CG305="","",ROUND(main!CG305*100,6))</f>
        <v>11.388889000000001</v>
      </c>
      <c r="BV302" s="68">
        <f>IF(main!CH305="","",ROUND(main!CH305*100,6))</f>
        <v>10.595238</v>
      </c>
      <c r="BW302" s="68" t="str">
        <f>IF(main!CI305="","",ROUND(main!CI305*100,6))</f>
        <v/>
      </c>
      <c r="BX302" s="68" t="str">
        <f>IF(main!CJ305="","",ROUND(main!CJ305*100,6))</f>
        <v/>
      </c>
      <c r="BY302" s="68" t="str">
        <f>IF(main!CK305="","",ROUND(main!CK305*100,6))</f>
        <v/>
      </c>
      <c r="BZ302" s="68" t="str">
        <f>IF(main!CL305="","",ROUND(main!CL305*100,6))</f>
        <v/>
      </c>
      <c r="CA302" s="68" t="str">
        <f>IF(main!CM305="","",ROUND(main!CM305*100,6))</f>
        <v/>
      </c>
      <c r="CB302" s="68" t="str">
        <f>IF(main!CN305="","",ROUND(main!CN305*100,6))</f>
        <v/>
      </c>
      <c r="CC302" s="68" t="str">
        <f>IF(main!CO305="","",ROUND(main!CO305*100,6))</f>
        <v/>
      </c>
    </row>
    <row r="303" spans="1:81" x14ac:dyDescent="0.25">
      <c r="A303" s="65" t="s">
        <v>456</v>
      </c>
      <c r="B303" s="66" t="str">
        <f>main!C305</f>
        <v>MEP</v>
      </c>
      <c r="C303" s="67">
        <f>main!O305</f>
        <v>300000</v>
      </c>
      <c r="D303" s="65" t="s">
        <v>111</v>
      </c>
      <c r="E303" s="68" t="str">
        <f t="shared" si="4"/>
        <v/>
      </c>
      <c r="F303" s="68" t="str">
        <f>IF(main!R306="","",ROUND(main!R306*100,6))</f>
        <v/>
      </c>
      <c r="G303" s="68" t="str">
        <f>IF(main!S306="","",ROUND(main!S306*100,6))</f>
        <v/>
      </c>
      <c r="H303" s="68" t="str">
        <f>IF(main!T306="","",ROUND(main!T306*100,6))</f>
        <v/>
      </c>
      <c r="I303" s="68" t="str">
        <f>IF(main!U306="","",ROUND(main!U306*100,6))</f>
        <v/>
      </c>
      <c r="J303" s="68" t="str">
        <f>IF(main!V306="","",ROUND(main!V306*100,6))</f>
        <v/>
      </c>
      <c r="K303" s="68" t="str">
        <f>IF(main!W306="","",ROUND(main!W306*100,6))</f>
        <v/>
      </c>
      <c r="L303" s="68" t="str">
        <f>IF(main!X306="","",ROUND(main!X306*100,6))</f>
        <v/>
      </c>
      <c r="M303" s="68" t="str">
        <f>IF(main!Y306="","",ROUND(main!Y306*100,6))</f>
        <v/>
      </c>
      <c r="N303" s="68" t="str">
        <f>IF(main!Z306="","",ROUND(main!Z306*100,6))</f>
        <v/>
      </c>
      <c r="O303" s="68" t="str">
        <f>IF(main!AA306="","",ROUND(main!AA306*100,6))</f>
        <v/>
      </c>
      <c r="P303" s="68" t="str">
        <f>IF(main!AB306="","",ROUND(main!AB306*100,6))</f>
        <v/>
      </c>
      <c r="Q303" s="68" t="str">
        <f>IF(main!AC306="","",ROUND(main!AC306*100,6))</f>
        <v/>
      </c>
      <c r="R303" s="68" t="str">
        <f>IF(main!AD306="","",ROUND(main!AD306*100,6))</f>
        <v/>
      </c>
      <c r="S303" s="68" t="str">
        <f>IF(main!AE306="","",ROUND(main!AE306*100,6))</f>
        <v/>
      </c>
      <c r="T303" s="68" t="str">
        <f>IF(main!AF306="","",ROUND(main!AF306*100,6))</f>
        <v/>
      </c>
      <c r="U303" s="68" t="str">
        <f>IF(main!AG306="","",ROUND(main!AG306*100,6))</f>
        <v/>
      </c>
      <c r="V303" s="68" t="str">
        <f>IF(main!AH306="","",ROUND(main!AH306*100,6))</f>
        <v/>
      </c>
      <c r="W303" s="68" t="str">
        <f>IF(main!AI306="","",ROUND(main!AI306*100,6))</f>
        <v/>
      </c>
      <c r="X303" s="68" t="str">
        <f>IF(main!AJ306="","",ROUND(main!AJ306*100,6))</f>
        <v/>
      </c>
      <c r="Y303" s="68" t="str">
        <f>IF(main!AK306="","",ROUND(main!AK306*100,6))</f>
        <v/>
      </c>
      <c r="Z303" s="68" t="str">
        <f>IF(main!AL306="","",ROUND(main!AL306*100,6))</f>
        <v/>
      </c>
      <c r="AA303" s="68" t="str">
        <f>IF(main!AM306="","",ROUND(main!AM306*100,6))</f>
        <v/>
      </c>
      <c r="AB303" s="68" t="str">
        <f>IF(main!AN306="","",ROUND(main!AN306*100,6))</f>
        <v/>
      </c>
      <c r="AC303" s="68" t="str">
        <f>IF(main!AO306="","",ROUND(main!AO306*100,6))</f>
        <v/>
      </c>
      <c r="AD303" s="68" t="str">
        <f>IF(main!AP306="","",ROUND(main!AP306*100,6))</f>
        <v/>
      </c>
      <c r="AE303" s="68" t="str">
        <f>IF(main!AQ306="","",ROUND(main!AQ306*100,6))</f>
        <v/>
      </c>
      <c r="AF303" s="68" t="str">
        <f>IF(main!AR306="","",ROUND(main!AR306*100,6))</f>
        <v/>
      </c>
      <c r="AG303" s="68" t="str">
        <f>IF(main!AS306="","",ROUND(main!AS306*100,6))</f>
        <v/>
      </c>
      <c r="AH303" s="68" t="str">
        <f>IF(main!AT306="","",ROUND(main!AT306*100,6))</f>
        <v/>
      </c>
      <c r="AI303" s="68" t="str">
        <f>IF(main!AU306="","",ROUND(main!AU306*100,6))</f>
        <v/>
      </c>
      <c r="AJ303" s="68" t="str">
        <f>IF(main!AV306="","",ROUND(main!AV306*100,6))</f>
        <v/>
      </c>
      <c r="AK303" s="68" t="str">
        <f>IF(main!AW306="","",ROUND(main!AW306*100,6))</f>
        <v/>
      </c>
      <c r="AL303" s="68" t="str">
        <f>IF(main!AX306="","",ROUND(main!AX306*100,6))</f>
        <v/>
      </c>
      <c r="AM303" s="68" t="str">
        <f>IF(main!AY306="","",ROUND(main!AY306*100,6))</f>
        <v/>
      </c>
      <c r="AN303" s="68" t="str">
        <f>IF(main!AZ306="","",ROUND(main!AZ306*100,6))</f>
        <v/>
      </c>
      <c r="AO303" s="68" t="str">
        <f>IF(main!BA306="","",ROUND(main!BA306*100,6))</f>
        <v/>
      </c>
      <c r="AP303" s="68" t="str">
        <f>IF(main!BB306="","",ROUND(main!BB306*100,6))</f>
        <v/>
      </c>
      <c r="AQ303" s="68" t="str">
        <f>IF(main!BC306="","",ROUND(main!BC306*100,6))</f>
        <v/>
      </c>
      <c r="AR303" s="68" t="str">
        <f>IF(main!BD306="","",ROUND(main!BD306*100,6))</f>
        <v/>
      </c>
      <c r="AS303" s="68" t="str">
        <f>IF(main!BE306="","",ROUND(main!BE306*100,6))</f>
        <v/>
      </c>
      <c r="AT303" s="68" t="str">
        <f>IF(main!BF306="","",ROUND(main!BF306*100,6))</f>
        <v/>
      </c>
      <c r="AU303" s="68" t="str">
        <f>IF(main!BG306="","",ROUND(main!BG306*100,6))</f>
        <v/>
      </c>
      <c r="AV303" s="68" t="str">
        <f>IF(main!BH306="","",ROUND(main!BH306*100,6))</f>
        <v/>
      </c>
      <c r="AW303" s="68" t="str">
        <f>IF(main!BI306="","",ROUND(main!BI306*100,6))</f>
        <v/>
      </c>
      <c r="AX303" s="68" t="str">
        <f>IF(main!BJ306="","",ROUND(main!BJ306*100,6))</f>
        <v/>
      </c>
      <c r="AY303" s="68" t="str">
        <f>IF(main!BK306="","",ROUND(main!BK306*100,6))</f>
        <v/>
      </c>
      <c r="AZ303" s="68" t="str">
        <f>IF(main!BL306="","",ROUND(main!BL306*100,6))</f>
        <v/>
      </c>
      <c r="BA303" s="68" t="str">
        <f>IF(main!BM306="","",ROUND(main!BM306*100,6))</f>
        <v/>
      </c>
      <c r="BB303" s="68" t="str">
        <f>IF(main!BN306="","",ROUND(main!BN306*100,6))</f>
        <v/>
      </c>
      <c r="BC303" s="68" t="str">
        <f>IF(main!BO306="","",ROUND(main!BO306*100,6))</f>
        <v/>
      </c>
      <c r="BD303" s="68" t="str">
        <f>IF(main!BP306="","",ROUND(main!BP306*100,6))</f>
        <v/>
      </c>
      <c r="BE303" s="68" t="str">
        <f>IF(main!BQ306="","",ROUND(main!BQ306*100,6))</f>
        <v/>
      </c>
      <c r="BF303" s="68" t="str">
        <f>IF(main!BR306="","",ROUND(main!BR306*100,6))</f>
        <v/>
      </c>
      <c r="BG303" s="68" t="str">
        <f>IF(main!BS306="","",ROUND(main!BS306*100,6))</f>
        <v/>
      </c>
      <c r="BH303" s="68" t="str">
        <f>IF(main!BT306="","",ROUND(main!BT306*100,6))</f>
        <v/>
      </c>
      <c r="BI303" s="68" t="str">
        <f>IF(main!BU306="","",ROUND(main!BU306*100,6))</f>
        <v/>
      </c>
      <c r="BJ303" s="68" t="str">
        <f>IF(main!BV306="","",ROUND(main!BV306*100,6))</f>
        <v/>
      </c>
      <c r="BK303" s="68" t="str">
        <f>IF(main!BW306="","",ROUND(main!BW306*100,6))</f>
        <v/>
      </c>
      <c r="BL303" s="68" t="str">
        <f>IF(main!BX306="","",ROUND(main!BX306*100,6))</f>
        <v/>
      </c>
      <c r="BM303" s="68" t="str">
        <f>IF(main!BY306="","",ROUND(main!BY306*100,6))</f>
        <v/>
      </c>
      <c r="BN303" s="68" t="str">
        <f>IF(main!BZ306="","",ROUND(main!BZ306*100,6))</f>
        <v/>
      </c>
      <c r="BO303" s="68" t="str">
        <f>IF(main!CA306="","",ROUND(main!CA306*100,6))</f>
        <v/>
      </c>
      <c r="BP303" s="68" t="str">
        <f>IF(main!CB306="","",ROUND(main!CB306*100,6))</f>
        <v/>
      </c>
      <c r="BQ303" s="68" t="str">
        <f>IF(main!CC306="","",ROUND(main!CC306*100,6))</f>
        <v/>
      </c>
      <c r="BR303" s="68" t="str">
        <f>IF(main!CD306="","",ROUND(main!CD306*100,6))</f>
        <v/>
      </c>
      <c r="BS303" s="68" t="str">
        <f>IF(main!CE306="","",ROUND(main!CE306*100,6))</f>
        <v/>
      </c>
      <c r="BT303" s="68" t="str">
        <f>IF(main!CF306="","",ROUND(main!CF306*100,6))</f>
        <v/>
      </c>
      <c r="BU303" s="68" t="str">
        <f>IF(main!CG306="","",ROUND(main!CG306*100,6))</f>
        <v/>
      </c>
      <c r="BV303" s="68" t="str">
        <f>IF(main!CH306="","",ROUND(main!CH306*100,6))</f>
        <v/>
      </c>
      <c r="BW303" s="68" t="str">
        <f>IF(main!CI306="","",ROUND(main!CI306*100,6))</f>
        <v/>
      </c>
      <c r="BX303" s="68" t="str">
        <f>IF(main!CJ306="","",ROUND(main!CJ306*100,6))</f>
        <v/>
      </c>
      <c r="BY303" s="68" t="str">
        <f>IF(main!CK306="","",ROUND(main!CK306*100,6))</f>
        <v/>
      </c>
      <c r="BZ303" s="68" t="str">
        <f>IF(main!CL306="","",ROUND(main!CL306*100,6))</f>
        <v/>
      </c>
      <c r="CA303" s="68" t="str">
        <f>IF(main!CM306="","",ROUND(main!CM306*100,6))</f>
        <v/>
      </c>
      <c r="CB303" s="68" t="str">
        <f>IF(main!CN306="","",ROUND(main!CN306*100,6))</f>
        <v/>
      </c>
      <c r="CC303" s="68" t="str">
        <f>IF(main!CO306="","",ROUND(main!CO306*100,6))</f>
        <v/>
      </c>
    </row>
    <row r="304" spans="1:81" x14ac:dyDescent="0.25">
      <c r="A304" s="65" t="s">
        <v>457</v>
      </c>
      <c r="B304" s="66" t="str">
        <f>main!C307</f>
        <v>First Fix Wall and Ceiling</v>
      </c>
      <c r="C304" s="67">
        <f>main!O307</f>
        <v>100000</v>
      </c>
      <c r="D304" s="65" t="s">
        <v>110</v>
      </c>
      <c r="E304" s="68">
        <f t="shared" si="4"/>
        <v>100</v>
      </c>
      <c r="F304" s="68" t="str">
        <f>IF(main!R307="","",ROUND(main!R307*100,6))</f>
        <v/>
      </c>
      <c r="G304" s="68" t="str">
        <f>IF(main!S307="","",ROUND(main!S307*100,6))</f>
        <v/>
      </c>
      <c r="H304" s="68" t="str">
        <f>IF(main!T307="","",ROUND(main!T307*100,6))</f>
        <v/>
      </c>
      <c r="I304" s="68" t="str">
        <f>IF(main!U307="","",ROUND(main!U307*100,6))</f>
        <v/>
      </c>
      <c r="J304" s="68" t="str">
        <f>IF(main!V307="","",ROUND(main!V307*100,6))</f>
        <v/>
      </c>
      <c r="K304" s="68" t="str">
        <f>IF(main!W307="","",ROUND(main!W307*100,6))</f>
        <v/>
      </c>
      <c r="L304" s="68" t="str">
        <f>IF(main!X307="","",ROUND(main!X307*100,6))</f>
        <v/>
      </c>
      <c r="M304" s="68" t="str">
        <f>IF(main!Y307="","",ROUND(main!Y307*100,6))</f>
        <v/>
      </c>
      <c r="N304" s="68" t="str">
        <f>IF(main!Z307="","",ROUND(main!Z307*100,6))</f>
        <v/>
      </c>
      <c r="O304" s="68" t="str">
        <f>IF(main!AA307="","",ROUND(main!AA307*100,6))</f>
        <v/>
      </c>
      <c r="P304" s="68" t="str">
        <f>IF(main!AB307="","",ROUND(main!AB307*100,6))</f>
        <v/>
      </c>
      <c r="Q304" s="68" t="str">
        <f>IF(main!AC307="","",ROUND(main!AC307*100,6))</f>
        <v/>
      </c>
      <c r="R304" s="68" t="str">
        <f>IF(main!AD307="","",ROUND(main!AD307*100,6))</f>
        <v/>
      </c>
      <c r="S304" s="68" t="str">
        <f>IF(main!AE307="","",ROUND(main!AE307*100,6))</f>
        <v/>
      </c>
      <c r="T304" s="68" t="str">
        <f>IF(main!AF307="","",ROUND(main!AF307*100,6))</f>
        <v/>
      </c>
      <c r="U304" s="68" t="str">
        <f>IF(main!AG307="","",ROUND(main!AG307*100,6))</f>
        <v/>
      </c>
      <c r="V304" s="68" t="str">
        <f>IF(main!AH307="","",ROUND(main!AH307*100,6))</f>
        <v/>
      </c>
      <c r="W304" s="68" t="str">
        <f>IF(main!AI307="","",ROUND(main!AI307*100,6))</f>
        <v/>
      </c>
      <c r="X304" s="68" t="str">
        <f>IF(main!AJ307="","",ROUND(main!AJ307*100,6))</f>
        <v/>
      </c>
      <c r="Y304" s="68" t="str">
        <f>IF(main!AK307="","",ROUND(main!AK307*100,6))</f>
        <v/>
      </c>
      <c r="Z304" s="68" t="str">
        <f>IF(main!AL307="","",ROUND(main!AL307*100,6))</f>
        <v/>
      </c>
      <c r="AA304" s="68" t="str">
        <f>IF(main!AM307="","",ROUND(main!AM307*100,6))</f>
        <v/>
      </c>
      <c r="AB304" s="68" t="str">
        <f>IF(main!AN307="","",ROUND(main!AN307*100,6))</f>
        <v/>
      </c>
      <c r="AC304" s="68" t="str">
        <f>IF(main!AO307="","",ROUND(main!AO307*100,6))</f>
        <v/>
      </c>
      <c r="AD304" s="68" t="str">
        <f>IF(main!AP307="","",ROUND(main!AP307*100,6))</f>
        <v/>
      </c>
      <c r="AE304" s="68" t="str">
        <f>IF(main!AQ307="","",ROUND(main!AQ307*100,6))</f>
        <v/>
      </c>
      <c r="AF304" s="68" t="str">
        <f>IF(main!AR307="","",ROUND(main!AR307*100,6))</f>
        <v/>
      </c>
      <c r="AG304" s="68" t="str">
        <f>IF(main!AS307="","",ROUND(main!AS307*100,6))</f>
        <v/>
      </c>
      <c r="AH304" s="68" t="str">
        <f>IF(main!AT307="","",ROUND(main!AT307*100,6))</f>
        <v/>
      </c>
      <c r="AI304" s="68" t="str">
        <f>IF(main!AU307="","",ROUND(main!AU307*100,6))</f>
        <v/>
      </c>
      <c r="AJ304" s="68" t="str">
        <f>IF(main!AV307="","",ROUND(main!AV307*100,6))</f>
        <v/>
      </c>
      <c r="AK304" s="68" t="str">
        <f>IF(main!AW307="","",ROUND(main!AW307*100,6))</f>
        <v/>
      </c>
      <c r="AL304" s="68" t="str">
        <f>IF(main!AX307="","",ROUND(main!AX307*100,6))</f>
        <v/>
      </c>
      <c r="AM304" s="68" t="str">
        <f>IF(main!AY307="","",ROUND(main!AY307*100,6))</f>
        <v/>
      </c>
      <c r="AN304" s="68" t="str">
        <f>IF(main!AZ307="","",ROUND(main!AZ307*100,6))</f>
        <v/>
      </c>
      <c r="AO304" s="68" t="str">
        <f>IF(main!BA307="","",ROUND(main!BA307*100,6))</f>
        <v/>
      </c>
      <c r="AP304" s="68" t="str">
        <f>IF(main!BB307="","",ROUND(main!BB307*100,6))</f>
        <v/>
      </c>
      <c r="AQ304" s="68" t="str">
        <f>IF(main!BC307="","",ROUND(main!BC307*100,6))</f>
        <v/>
      </c>
      <c r="AR304" s="68" t="str">
        <f>IF(main!BD307="","",ROUND(main!BD307*100,6))</f>
        <v/>
      </c>
      <c r="AS304" s="68" t="str">
        <f>IF(main!BE307="","",ROUND(main!BE307*100,6))</f>
        <v/>
      </c>
      <c r="AT304" s="68" t="str">
        <f>IF(main!BF307="","",ROUND(main!BF307*100,6))</f>
        <v/>
      </c>
      <c r="AU304" s="68" t="str">
        <f>IF(main!BG307="","",ROUND(main!BG307*100,6))</f>
        <v/>
      </c>
      <c r="AV304" s="68" t="str">
        <f>IF(main!BH307="","",ROUND(main!BH307*100,6))</f>
        <v/>
      </c>
      <c r="AW304" s="68" t="str">
        <f>IF(main!BI307="","",ROUND(main!BI307*100,6))</f>
        <v/>
      </c>
      <c r="AX304" s="68" t="str">
        <f>IF(main!BJ307="","",ROUND(main!BJ307*100,6))</f>
        <v/>
      </c>
      <c r="AY304" s="68" t="str">
        <f>IF(main!BK307="","",ROUND(main!BK307*100,6))</f>
        <v/>
      </c>
      <c r="AZ304" s="68" t="str">
        <f>IF(main!BL307="","",ROUND(main!BL307*100,6))</f>
        <v/>
      </c>
      <c r="BA304" s="68" t="str">
        <f>IF(main!BM307="","",ROUND(main!BM307*100,6))</f>
        <v/>
      </c>
      <c r="BB304" s="68" t="str">
        <f>IF(main!BN307="","",ROUND(main!BN307*100,6))</f>
        <v/>
      </c>
      <c r="BC304" s="68" t="str">
        <f>IF(main!BO307="","",ROUND(main!BO307*100,6))</f>
        <v/>
      </c>
      <c r="BD304" s="68" t="str">
        <f>IF(main!BP307="","",ROUND(main!BP307*100,6))</f>
        <v/>
      </c>
      <c r="BE304" s="68" t="str">
        <f>IF(main!BQ307="","",ROUND(main!BQ307*100,6))</f>
        <v/>
      </c>
      <c r="BF304" s="68" t="str">
        <f>IF(main!BR307="","",ROUND(main!BR307*100,6))</f>
        <v/>
      </c>
      <c r="BG304" s="68">
        <f>IF(main!BS307="","",ROUND(main!BS307*100,6))</f>
        <v>0.200876</v>
      </c>
      <c r="BH304" s="68">
        <f>IF(main!BT307="","",ROUND(main!BT307*100,6))</f>
        <v>3.562967</v>
      </c>
      <c r="BI304" s="68">
        <f>IF(main!BU307="","",ROUND(main!BU307*100,6))</f>
        <v>7.3429019999999996</v>
      </c>
      <c r="BJ304" s="68">
        <f>IF(main!BV307="","",ROUND(main!BV307*100,6))</f>
        <v>12.308168</v>
      </c>
      <c r="BK304" s="68">
        <f>IF(main!BW307="","",ROUND(main!BW307*100,6))</f>
        <v>16.779878</v>
      </c>
      <c r="BL304" s="68">
        <f>IF(main!BX307="","",ROUND(main!BX307*100,6))</f>
        <v>18.606038999999999</v>
      </c>
      <c r="BM304" s="68">
        <f>IF(main!BY307="","",ROUND(main!BY307*100,6))</f>
        <v>16.779878</v>
      </c>
      <c r="BN304" s="68">
        <f>IF(main!BZ307="","",ROUND(main!BZ307*100,6))</f>
        <v>12.308168</v>
      </c>
      <c r="BO304" s="68">
        <f>IF(main!CA307="","",ROUND(main!CA307*100,6))</f>
        <v>7.3429019999999996</v>
      </c>
      <c r="BP304" s="68">
        <f>IF(main!CB307="","",ROUND(main!CB307*100,6))</f>
        <v>3.562967</v>
      </c>
      <c r="BQ304" s="68">
        <f>IF(main!CC307="","",ROUND(main!CC307*100,6))</f>
        <v>1.205255</v>
      </c>
      <c r="BR304" s="68" t="str">
        <f>IF(main!CD307="","",ROUND(main!CD307*100,6))</f>
        <v/>
      </c>
      <c r="BS304" s="68" t="str">
        <f>IF(main!CE307="","",ROUND(main!CE307*100,6))</f>
        <v/>
      </c>
      <c r="BT304" s="68" t="str">
        <f>IF(main!CF307="","",ROUND(main!CF307*100,6))</f>
        <v/>
      </c>
      <c r="BU304" s="68" t="str">
        <f>IF(main!CG307="","",ROUND(main!CG307*100,6))</f>
        <v/>
      </c>
      <c r="BV304" s="68" t="str">
        <f>IF(main!CH307="","",ROUND(main!CH307*100,6))</f>
        <v/>
      </c>
      <c r="BW304" s="68" t="str">
        <f>IF(main!CI307="","",ROUND(main!CI307*100,6))</f>
        <v/>
      </c>
      <c r="BX304" s="68" t="str">
        <f>IF(main!CJ307="","",ROUND(main!CJ307*100,6))</f>
        <v/>
      </c>
      <c r="BY304" s="68" t="str">
        <f>IF(main!CK307="","",ROUND(main!CK307*100,6))</f>
        <v/>
      </c>
      <c r="BZ304" s="68" t="str">
        <f>IF(main!CL307="","",ROUND(main!CL307*100,6))</f>
        <v/>
      </c>
      <c r="CA304" s="68" t="str">
        <f>IF(main!CM307="","",ROUND(main!CM307*100,6))</f>
        <v/>
      </c>
      <c r="CB304" s="68" t="str">
        <f>IF(main!CN307="","",ROUND(main!CN307*100,6))</f>
        <v/>
      </c>
      <c r="CC304" s="68" t="str">
        <f>IF(main!CO307="","",ROUND(main!CO307*100,6))</f>
        <v/>
      </c>
    </row>
    <row r="305" spans="1:81" x14ac:dyDescent="0.25">
      <c r="A305" s="65" t="s">
        <v>457</v>
      </c>
      <c r="B305" s="66" t="str">
        <f>main!C307</f>
        <v>First Fix Wall and Ceiling</v>
      </c>
      <c r="C305" s="67">
        <f>main!O307</f>
        <v>100000</v>
      </c>
      <c r="D305" s="65" t="s">
        <v>111</v>
      </c>
      <c r="E305" s="68" t="str">
        <f t="shared" si="4"/>
        <v/>
      </c>
      <c r="F305" s="68" t="str">
        <f>IF(main!R308="","",ROUND(main!R308*100,6))</f>
        <v/>
      </c>
      <c r="G305" s="68" t="str">
        <f>IF(main!S308="","",ROUND(main!S308*100,6))</f>
        <v/>
      </c>
      <c r="H305" s="68" t="str">
        <f>IF(main!T308="","",ROUND(main!T308*100,6))</f>
        <v/>
      </c>
      <c r="I305" s="68" t="str">
        <f>IF(main!U308="","",ROUND(main!U308*100,6))</f>
        <v/>
      </c>
      <c r="J305" s="68" t="str">
        <f>IF(main!V308="","",ROUND(main!V308*100,6))</f>
        <v/>
      </c>
      <c r="K305" s="68" t="str">
        <f>IF(main!W308="","",ROUND(main!W308*100,6))</f>
        <v/>
      </c>
      <c r="L305" s="68" t="str">
        <f>IF(main!X308="","",ROUND(main!X308*100,6))</f>
        <v/>
      </c>
      <c r="M305" s="68" t="str">
        <f>IF(main!Y308="","",ROUND(main!Y308*100,6))</f>
        <v/>
      </c>
      <c r="N305" s="68" t="str">
        <f>IF(main!Z308="","",ROUND(main!Z308*100,6))</f>
        <v/>
      </c>
      <c r="O305" s="68" t="str">
        <f>IF(main!AA308="","",ROUND(main!AA308*100,6))</f>
        <v/>
      </c>
      <c r="P305" s="68" t="str">
        <f>IF(main!AB308="","",ROUND(main!AB308*100,6))</f>
        <v/>
      </c>
      <c r="Q305" s="68" t="str">
        <f>IF(main!AC308="","",ROUND(main!AC308*100,6))</f>
        <v/>
      </c>
      <c r="R305" s="68" t="str">
        <f>IF(main!AD308="","",ROUND(main!AD308*100,6))</f>
        <v/>
      </c>
      <c r="S305" s="68" t="str">
        <f>IF(main!AE308="","",ROUND(main!AE308*100,6))</f>
        <v/>
      </c>
      <c r="T305" s="68" t="str">
        <f>IF(main!AF308="","",ROUND(main!AF308*100,6))</f>
        <v/>
      </c>
      <c r="U305" s="68" t="str">
        <f>IF(main!AG308="","",ROUND(main!AG308*100,6))</f>
        <v/>
      </c>
      <c r="V305" s="68" t="str">
        <f>IF(main!AH308="","",ROUND(main!AH308*100,6))</f>
        <v/>
      </c>
      <c r="W305" s="68" t="str">
        <f>IF(main!AI308="","",ROUND(main!AI308*100,6))</f>
        <v/>
      </c>
      <c r="X305" s="68" t="str">
        <f>IF(main!AJ308="","",ROUND(main!AJ308*100,6))</f>
        <v/>
      </c>
      <c r="Y305" s="68" t="str">
        <f>IF(main!AK308="","",ROUND(main!AK308*100,6))</f>
        <v/>
      </c>
      <c r="Z305" s="68" t="str">
        <f>IF(main!AL308="","",ROUND(main!AL308*100,6))</f>
        <v/>
      </c>
      <c r="AA305" s="68" t="str">
        <f>IF(main!AM308="","",ROUND(main!AM308*100,6))</f>
        <v/>
      </c>
      <c r="AB305" s="68" t="str">
        <f>IF(main!AN308="","",ROUND(main!AN308*100,6))</f>
        <v/>
      </c>
      <c r="AC305" s="68" t="str">
        <f>IF(main!AO308="","",ROUND(main!AO308*100,6))</f>
        <v/>
      </c>
      <c r="AD305" s="68" t="str">
        <f>IF(main!AP308="","",ROUND(main!AP308*100,6))</f>
        <v/>
      </c>
      <c r="AE305" s="68" t="str">
        <f>IF(main!AQ308="","",ROUND(main!AQ308*100,6))</f>
        <v/>
      </c>
      <c r="AF305" s="68" t="str">
        <f>IF(main!AR308="","",ROUND(main!AR308*100,6))</f>
        <v/>
      </c>
      <c r="AG305" s="68" t="str">
        <f>IF(main!AS308="","",ROUND(main!AS308*100,6))</f>
        <v/>
      </c>
      <c r="AH305" s="68" t="str">
        <f>IF(main!AT308="","",ROUND(main!AT308*100,6))</f>
        <v/>
      </c>
      <c r="AI305" s="68" t="str">
        <f>IF(main!AU308="","",ROUND(main!AU308*100,6))</f>
        <v/>
      </c>
      <c r="AJ305" s="68" t="str">
        <f>IF(main!AV308="","",ROUND(main!AV308*100,6))</f>
        <v/>
      </c>
      <c r="AK305" s="68" t="str">
        <f>IF(main!AW308="","",ROUND(main!AW308*100,6))</f>
        <v/>
      </c>
      <c r="AL305" s="68" t="str">
        <f>IF(main!AX308="","",ROUND(main!AX308*100,6))</f>
        <v/>
      </c>
      <c r="AM305" s="68" t="str">
        <f>IF(main!AY308="","",ROUND(main!AY308*100,6))</f>
        <v/>
      </c>
      <c r="AN305" s="68" t="str">
        <f>IF(main!AZ308="","",ROUND(main!AZ308*100,6))</f>
        <v/>
      </c>
      <c r="AO305" s="68" t="str">
        <f>IF(main!BA308="","",ROUND(main!BA308*100,6))</f>
        <v/>
      </c>
      <c r="AP305" s="68" t="str">
        <f>IF(main!BB308="","",ROUND(main!BB308*100,6))</f>
        <v/>
      </c>
      <c r="AQ305" s="68" t="str">
        <f>IF(main!BC308="","",ROUND(main!BC308*100,6))</f>
        <v/>
      </c>
      <c r="AR305" s="68" t="str">
        <f>IF(main!BD308="","",ROUND(main!BD308*100,6))</f>
        <v/>
      </c>
      <c r="AS305" s="68" t="str">
        <f>IF(main!BE308="","",ROUND(main!BE308*100,6))</f>
        <v/>
      </c>
      <c r="AT305" s="68" t="str">
        <f>IF(main!BF308="","",ROUND(main!BF308*100,6))</f>
        <v/>
      </c>
      <c r="AU305" s="68" t="str">
        <f>IF(main!BG308="","",ROUND(main!BG308*100,6))</f>
        <v/>
      </c>
      <c r="AV305" s="68" t="str">
        <f>IF(main!BH308="","",ROUND(main!BH308*100,6))</f>
        <v/>
      </c>
      <c r="AW305" s="68" t="str">
        <f>IF(main!BI308="","",ROUND(main!BI308*100,6))</f>
        <v/>
      </c>
      <c r="AX305" s="68" t="str">
        <f>IF(main!BJ308="","",ROUND(main!BJ308*100,6))</f>
        <v/>
      </c>
      <c r="AY305" s="68" t="str">
        <f>IF(main!BK308="","",ROUND(main!BK308*100,6))</f>
        <v/>
      </c>
      <c r="AZ305" s="68" t="str">
        <f>IF(main!BL308="","",ROUND(main!BL308*100,6))</f>
        <v/>
      </c>
      <c r="BA305" s="68" t="str">
        <f>IF(main!BM308="","",ROUND(main!BM308*100,6))</f>
        <v/>
      </c>
      <c r="BB305" s="68" t="str">
        <f>IF(main!BN308="","",ROUND(main!BN308*100,6))</f>
        <v/>
      </c>
      <c r="BC305" s="68" t="str">
        <f>IF(main!BO308="","",ROUND(main!BO308*100,6))</f>
        <v/>
      </c>
      <c r="BD305" s="68" t="str">
        <f>IF(main!BP308="","",ROUND(main!BP308*100,6))</f>
        <v/>
      </c>
      <c r="BE305" s="68" t="str">
        <f>IF(main!BQ308="","",ROUND(main!BQ308*100,6))</f>
        <v/>
      </c>
      <c r="BF305" s="68" t="str">
        <f>IF(main!BR308="","",ROUND(main!BR308*100,6))</f>
        <v/>
      </c>
      <c r="BG305" s="68" t="str">
        <f>IF(main!BS308="","",ROUND(main!BS308*100,6))</f>
        <v/>
      </c>
      <c r="BH305" s="68" t="str">
        <f>IF(main!BT308="","",ROUND(main!BT308*100,6))</f>
        <v/>
      </c>
      <c r="BI305" s="68" t="str">
        <f>IF(main!BU308="","",ROUND(main!BU308*100,6))</f>
        <v/>
      </c>
      <c r="BJ305" s="68" t="str">
        <f>IF(main!BV308="","",ROUND(main!BV308*100,6))</f>
        <v/>
      </c>
      <c r="BK305" s="68" t="str">
        <f>IF(main!BW308="","",ROUND(main!BW308*100,6))</f>
        <v/>
      </c>
      <c r="BL305" s="68" t="str">
        <f>IF(main!BX308="","",ROUND(main!BX308*100,6))</f>
        <v/>
      </c>
      <c r="BM305" s="68" t="str">
        <f>IF(main!BY308="","",ROUND(main!BY308*100,6))</f>
        <v/>
      </c>
      <c r="BN305" s="68" t="str">
        <f>IF(main!BZ308="","",ROUND(main!BZ308*100,6))</f>
        <v/>
      </c>
      <c r="BO305" s="68" t="str">
        <f>IF(main!CA308="","",ROUND(main!CA308*100,6))</f>
        <v/>
      </c>
      <c r="BP305" s="68" t="str">
        <f>IF(main!CB308="","",ROUND(main!CB308*100,6))</f>
        <v/>
      </c>
      <c r="BQ305" s="68" t="str">
        <f>IF(main!CC308="","",ROUND(main!CC308*100,6))</f>
        <v/>
      </c>
      <c r="BR305" s="68" t="str">
        <f>IF(main!CD308="","",ROUND(main!CD308*100,6))</f>
        <v/>
      </c>
      <c r="BS305" s="68" t="str">
        <f>IF(main!CE308="","",ROUND(main!CE308*100,6))</f>
        <v/>
      </c>
      <c r="BT305" s="68" t="str">
        <f>IF(main!CF308="","",ROUND(main!CF308*100,6))</f>
        <v/>
      </c>
      <c r="BU305" s="68" t="str">
        <f>IF(main!CG308="","",ROUND(main!CG308*100,6))</f>
        <v/>
      </c>
      <c r="BV305" s="68" t="str">
        <f>IF(main!CH308="","",ROUND(main!CH308*100,6))</f>
        <v/>
      </c>
      <c r="BW305" s="68" t="str">
        <f>IF(main!CI308="","",ROUND(main!CI308*100,6))</f>
        <v/>
      </c>
      <c r="BX305" s="68" t="str">
        <f>IF(main!CJ308="","",ROUND(main!CJ308*100,6))</f>
        <v/>
      </c>
      <c r="BY305" s="68" t="str">
        <f>IF(main!CK308="","",ROUND(main!CK308*100,6))</f>
        <v/>
      </c>
      <c r="BZ305" s="68" t="str">
        <f>IF(main!CL308="","",ROUND(main!CL308*100,6))</f>
        <v/>
      </c>
      <c r="CA305" s="68" t="str">
        <f>IF(main!CM308="","",ROUND(main!CM308*100,6))</f>
        <v/>
      </c>
      <c r="CB305" s="68" t="str">
        <f>IF(main!CN308="","",ROUND(main!CN308*100,6))</f>
        <v/>
      </c>
      <c r="CC305" s="68" t="str">
        <f>IF(main!CO308="","",ROUND(main!CO308*100,6))</f>
        <v/>
      </c>
    </row>
    <row r="306" spans="1:81" x14ac:dyDescent="0.25">
      <c r="A306" s="65" t="s">
        <v>459</v>
      </c>
      <c r="B306" s="66" t="str">
        <f>main!C309</f>
        <v>งานติดอุปกรณ์ Second Fix</v>
      </c>
      <c r="C306" s="67">
        <f>main!O309</f>
        <v>100000</v>
      </c>
      <c r="D306" s="65" t="s">
        <v>110</v>
      </c>
      <c r="E306" s="68">
        <f t="shared" si="4"/>
        <v>100.000001</v>
      </c>
      <c r="F306" s="68" t="str">
        <f>IF(main!R309="","",ROUND(main!R309*100,6))</f>
        <v/>
      </c>
      <c r="G306" s="68" t="str">
        <f>IF(main!S309="","",ROUND(main!S309*100,6))</f>
        <v/>
      </c>
      <c r="H306" s="68" t="str">
        <f>IF(main!T309="","",ROUND(main!T309*100,6))</f>
        <v/>
      </c>
      <c r="I306" s="68" t="str">
        <f>IF(main!U309="","",ROUND(main!U309*100,6))</f>
        <v/>
      </c>
      <c r="J306" s="68" t="str">
        <f>IF(main!V309="","",ROUND(main!V309*100,6))</f>
        <v/>
      </c>
      <c r="K306" s="68" t="str">
        <f>IF(main!W309="","",ROUND(main!W309*100,6))</f>
        <v/>
      </c>
      <c r="L306" s="68" t="str">
        <f>IF(main!X309="","",ROUND(main!X309*100,6))</f>
        <v/>
      </c>
      <c r="M306" s="68" t="str">
        <f>IF(main!Y309="","",ROUND(main!Y309*100,6))</f>
        <v/>
      </c>
      <c r="N306" s="68" t="str">
        <f>IF(main!Z309="","",ROUND(main!Z309*100,6))</f>
        <v/>
      </c>
      <c r="O306" s="68" t="str">
        <f>IF(main!AA309="","",ROUND(main!AA309*100,6))</f>
        <v/>
      </c>
      <c r="P306" s="68" t="str">
        <f>IF(main!AB309="","",ROUND(main!AB309*100,6))</f>
        <v/>
      </c>
      <c r="Q306" s="68" t="str">
        <f>IF(main!AC309="","",ROUND(main!AC309*100,6))</f>
        <v/>
      </c>
      <c r="R306" s="68" t="str">
        <f>IF(main!AD309="","",ROUND(main!AD309*100,6))</f>
        <v/>
      </c>
      <c r="S306" s="68" t="str">
        <f>IF(main!AE309="","",ROUND(main!AE309*100,6))</f>
        <v/>
      </c>
      <c r="T306" s="68" t="str">
        <f>IF(main!AF309="","",ROUND(main!AF309*100,6))</f>
        <v/>
      </c>
      <c r="U306" s="68" t="str">
        <f>IF(main!AG309="","",ROUND(main!AG309*100,6))</f>
        <v/>
      </c>
      <c r="V306" s="68" t="str">
        <f>IF(main!AH309="","",ROUND(main!AH309*100,6))</f>
        <v/>
      </c>
      <c r="W306" s="68" t="str">
        <f>IF(main!AI309="","",ROUND(main!AI309*100,6))</f>
        <v/>
      </c>
      <c r="X306" s="68" t="str">
        <f>IF(main!AJ309="","",ROUND(main!AJ309*100,6))</f>
        <v/>
      </c>
      <c r="Y306" s="68" t="str">
        <f>IF(main!AK309="","",ROUND(main!AK309*100,6))</f>
        <v/>
      </c>
      <c r="Z306" s="68" t="str">
        <f>IF(main!AL309="","",ROUND(main!AL309*100,6))</f>
        <v/>
      </c>
      <c r="AA306" s="68" t="str">
        <f>IF(main!AM309="","",ROUND(main!AM309*100,6))</f>
        <v/>
      </c>
      <c r="AB306" s="68" t="str">
        <f>IF(main!AN309="","",ROUND(main!AN309*100,6))</f>
        <v/>
      </c>
      <c r="AC306" s="68" t="str">
        <f>IF(main!AO309="","",ROUND(main!AO309*100,6))</f>
        <v/>
      </c>
      <c r="AD306" s="68" t="str">
        <f>IF(main!AP309="","",ROUND(main!AP309*100,6))</f>
        <v/>
      </c>
      <c r="AE306" s="68" t="str">
        <f>IF(main!AQ309="","",ROUND(main!AQ309*100,6))</f>
        <v/>
      </c>
      <c r="AF306" s="68" t="str">
        <f>IF(main!AR309="","",ROUND(main!AR309*100,6))</f>
        <v/>
      </c>
      <c r="AG306" s="68" t="str">
        <f>IF(main!AS309="","",ROUND(main!AS309*100,6))</f>
        <v/>
      </c>
      <c r="AH306" s="68" t="str">
        <f>IF(main!AT309="","",ROUND(main!AT309*100,6))</f>
        <v/>
      </c>
      <c r="AI306" s="68" t="str">
        <f>IF(main!AU309="","",ROUND(main!AU309*100,6))</f>
        <v/>
      </c>
      <c r="AJ306" s="68" t="str">
        <f>IF(main!AV309="","",ROUND(main!AV309*100,6))</f>
        <v/>
      </c>
      <c r="AK306" s="68" t="str">
        <f>IF(main!AW309="","",ROUND(main!AW309*100,6))</f>
        <v/>
      </c>
      <c r="AL306" s="68" t="str">
        <f>IF(main!AX309="","",ROUND(main!AX309*100,6))</f>
        <v/>
      </c>
      <c r="AM306" s="68" t="str">
        <f>IF(main!AY309="","",ROUND(main!AY309*100,6))</f>
        <v/>
      </c>
      <c r="AN306" s="68" t="str">
        <f>IF(main!AZ309="","",ROUND(main!AZ309*100,6))</f>
        <v/>
      </c>
      <c r="AO306" s="68" t="str">
        <f>IF(main!BA309="","",ROUND(main!BA309*100,6))</f>
        <v/>
      </c>
      <c r="AP306" s="68" t="str">
        <f>IF(main!BB309="","",ROUND(main!BB309*100,6))</f>
        <v/>
      </c>
      <c r="AQ306" s="68" t="str">
        <f>IF(main!BC309="","",ROUND(main!BC309*100,6))</f>
        <v/>
      </c>
      <c r="AR306" s="68" t="str">
        <f>IF(main!BD309="","",ROUND(main!BD309*100,6))</f>
        <v/>
      </c>
      <c r="AS306" s="68" t="str">
        <f>IF(main!BE309="","",ROUND(main!BE309*100,6))</f>
        <v/>
      </c>
      <c r="AT306" s="68" t="str">
        <f>IF(main!BF309="","",ROUND(main!BF309*100,6))</f>
        <v/>
      </c>
      <c r="AU306" s="68" t="str">
        <f>IF(main!BG309="","",ROUND(main!BG309*100,6))</f>
        <v/>
      </c>
      <c r="AV306" s="68" t="str">
        <f>IF(main!BH309="","",ROUND(main!BH309*100,6))</f>
        <v/>
      </c>
      <c r="AW306" s="68" t="str">
        <f>IF(main!BI309="","",ROUND(main!BI309*100,6))</f>
        <v/>
      </c>
      <c r="AX306" s="68" t="str">
        <f>IF(main!BJ309="","",ROUND(main!BJ309*100,6))</f>
        <v/>
      </c>
      <c r="AY306" s="68" t="str">
        <f>IF(main!BK309="","",ROUND(main!BK309*100,6))</f>
        <v/>
      </c>
      <c r="AZ306" s="68" t="str">
        <f>IF(main!BL309="","",ROUND(main!BL309*100,6))</f>
        <v/>
      </c>
      <c r="BA306" s="68" t="str">
        <f>IF(main!BM309="","",ROUND(main!BM309*100,6))</f>
        <v/>
      </c>
      <c r="BB306" s="68" t="str">
        <f>IF(main!BN309="","",ROUND(main!BN309*100,6))</f>
        <v/>
      </c>
      <c r="BC306" s="68" t="str">
        <f>IF(main!BO309="","",ROUND(main!BO309*100,6))</f>
        <v/>
      </c>
      <c r="BD306" s="68" t="str">
        <f>IF(main!BP309="","",ROUND(main!BP309*100,6))</f>
        <v/>
      </c>
      <c r="BE306" s="68" t="str">
        <f>IF(main!BQ309="","",ROUND(main!BQ309*100,6))</f>
        <v/>
      </c>
      <c r="BF306" s="68" t="str">
        <f>IF(main!BR309="","",ROUND(main!BR309*100,6))</f>
        <v/>
      </c>
      <c r="BG306" s="68" t="str">
        <f>IF(main!BS309="","",ROUND(main!BS309*100,6))</f>
        <v/>
      </c>
      <c r="BH306" s="68" t="str">
        <f>IF(main!BT309="","",ROUND(main!BT309*100,6))</f>
        <v/>
      </c>
      <c r="BI306" s="68" t="str">
        <f>IF(main!BU309="","",ROUND(main!BU309*100,6))</f>
        <v/>
      </c>
      <c r="BJ306" s="68" t="str">
        <f>IF(main!BV309="","",ROUND(main!BV309*100,6))</f>
        <v/>
      </c>
      <c r="BK306" s="68" t="str">
        <f>IF(main!BW309="","",ROUND(main!BW309*100,6))</f>
        <v/>
      </c>
      <c r="BL306" s="68" t="str">
        <f>IF(main!BX309="","",ROUND(main!BX309*100,6))</f>
        <v/>
      </c>
      <c r="BM306" s="68" t="str">
        <f>IF(main!BY309="","",ROUND(main!BY309*100,6))</f>
        <v/>
      </c>
      <c r="BN306" s="68" t="str">
        <f>IF(main!BZ309="","",ROUND(main!BZ309*100,6))</f>
        <v/>
      </c>
      <c r="BO306" s="68" t="str">
        <f>IF(main!CA309="","",ROUND(main!CA309*100,6))</f>
        <v/>
      </c>
      <c r="BP306" s="68">
        <f>IF(main!CB309="","",ROUND(main!CB309*100,6))</f>
        <v>2.3809520000000002</v>
      </c>
      <c r="BQ306" s="68">
        <f>IF(main!CC309="","",ROUND(main!CC309*100,6))</f>
        <v>16.666667</v>
      </c>
      <c r="BR306" s="68">
        <f>IF(main!CD309="","",ROUND(main!CD309*100,6))</f>
        <v>16.666667</v>
      </c>
      <c r="BS306" s="68">
        <f>IF(main!CE309="","",ROUND(main!CE309*100,6))</f>
        <v>16.666667</v>
      </c>
      <c r="BT306" s="68">
        <f>IF(main!CF309="","",ROUND(main!CF309*100,6))</f>
        <v>16.666667</v>
      </c>
      <c r="BU306" s="68">
        <f>IF(main!CG309="","",ROUND(main!CG309*100,6))</f>
        <v>16.666667</v>
      </c>
      <c r="BV306" s="68">
        <f>IF(main!CH309="","",ROUND(main!CH309*100,6))</f>
        <v>14.285714</v>
      </c>
      <c r="BW306" s="68" t="str">
        <f>IF(main!CI309="","",ROUND(main!CI309*100,6))</f>
        <v/>
      </c>
      <c r="BX306" s="68" t="str">
        <f>IF(main!CJ309="","",ROUND(main!CJ309*100,6))</f>
        <v/>
      </c>
      <c r="BY306" s="68" t="str">
        <f>IF(main!CK309="","",ROUND(main!CK309*100,6))</f>
        <v/>
      </c>
      <c r="BZ306" s="68" t="str">
        <f>IF(main!CL309="","",ROUND(main!CL309*100,6))</f>
        <v/>
      </c>
      <c r="CA306" s="68" t="str">
        <f>IF(main!CM309="","",ROUND(main!CM309*100,6))</f>
        <v/>
      </c>
      <c r="CB306" s="68" t="str">
        <f>IF(main!CN309="","",ROUND(main!CN309*100,6))</f>
        <v/>
      </c>
      <c r="CC306" s="68" t="str">
        <f>IF(main!CO309="","",ROUND(main!CO309*100,6))</f>
        <v/>
      </c>
    </row>
    <row r="307" spans="1:81" x14ac:dyDescent="0.25">
      <c r="A307" s="65" t="s">
        <v>459</v>
      </c>
      <c r="B307" s="66" t="str">
        <f>main!C309</f>
        <v>งานติดอุปกรณ์ Second Fix</v>
      </c>
      <c r="C307" s="67">
        <f>main!O309</f>
        <v>100000</v>
      </c>
      <c r="D307" s="65" t="s">
        <v>111</v>
      </c>
      <c r="E307" s="68" t="str">
        <f t="shared" si="4"/>
        <v/>
      </c>
      <c r="F307" s="68" t="str">
        <f>IF(main!R310="","",ROUND(main!R310*100,6))</f>
        <v/>
      </c>
      <c r="G307" s="68" t="str">
        <f>IF(main!S310="","",ROUND(main!S310*100,6))</f>
        <v/>
      </c>
      <c r="H307" s="68" t="str">
        <f>IF(main!T310="","",ROUND(main!T310*100,6))</f>
        <v/>
      </c>
      <c r="I307" s="68" t="str">
        <f>IF(main!U310="","",ROUND(main!U310*100,6))</f>
        <v/>
      </c>
      <c r="J307" s="68" t="str">
        <f>IF(main!V310="","",ROUND(main!V310*100,6))</f>
        <v/>
      </c>
      <c r="K307" s="68" t="str">
        <f>IF(main!W310="","",ROUND(main!W310*100,6))</f>
        <v/>
      </c>
      <c r="L307" s="68" t="str">
        <f>IF(main!X310="","",ROUND(main!X310*100,6))</f>
        <v/>
      </c>
      <c r="M307" s="68" t="str">
        <f>IF(main!Y310="","",ROUND(main!Y310*100,6))</f>
        <v/>
      </c>
      <c r="N307" s="68" t="str">
        <f>IF(main!Z310="","",ROUND(main!Z310*100,6))</f>
        <v/>
      </c>
      <c r="O307" s="68" t="str">
        <f>IF(main!AA310="","",ROUND(main!AA310*100,6))</f>
        <v/>
      </c>
      <c r="P307" s="68" t="str">
        <f>IF(main!AB310="","",ROUND(main!AB310*100,6))</f>
        <v/>
      </c>
      <c r="Q307" s="68" t="str">
        <f>IF(main!AC310="","",ROUND(main!AC310*100,6))</f>
        <v/>
      </c>
      <c r="R307" s="68" t="str">
        <f>IF(main!AD310="","",ROUND(main!AD310*100,6))</f>
        <v/>
      </c>
      <c r="S307" s="68" t="str">
        <f>IF(main!AE310="","",ROUND(main!AE310*100,6))</f>
        <v/>
      </c>
      <c r="T307" s="68" t="str">
        <f>IF(main!AF310="","",ROUND(main!AF310*100,6))</f>
        <v/>
      </c>
      <c r="U307" s="68" t="str">
        <f>IF(main!AG310="","",ROUND(main!AG310*100,6))</f>
        <v/>
      </c>
      <c r="V307" s="68" t="str">
        <f>IF(main!AH310="","",ROUND(main!AH310*100,6))</f>
        <v/>
      </c>
      <c r="W307" s="68" t="str">
        <f>IF(main!AI310="","",ROUND(main!AI310*100,6))</f>
        <v/>
      </c>
      <c r="X307" s="68" t="str">
        <f>IF(main!AJ310="","",ROUND(main!AJ310*100,6))</f>
        <v/>
      </c>
      <c r="Y307" s="68" t="str">
        <f>IF(main!AK310="","",ROUND(main!AK310*100,6))</f>
        <v/>
      </c>
      <c r="Z307" s="68" t="str">
        <f>IF(main!AL310="","",ROUND(main!AL310*100,6))</f>
        <v/>
      </c>
      <c r="AA307" s="68" t="str">
        <f>IF(main!AM310="","",ROUND(main!AM310*100,6))</f>
        <v/>
      </c>
      <c r="AB307" s="68" t="str">
        <f>IF(main!AN310="","",ROUND(main!AN310*100,6))</f>
        <v/>
      </c>
      <c r="AC307" s="68" t="str">
        <f>IF(main!AO310="","",ROUND(main!AO310*100,6))</f>
        <v/>
      </c>
      <c r="AD307" s="68" t="str">
        <f>IF(main!AP310="","",ROUND(main!AP310*100,6))</f>
        <v/>
      </c>
      <c r="AE307" s="68" t="str">
        <f>IF(main!AQ310="","",ROUND(main!AQ310*100,6))</f>
        <v/>
      </c>
      <c r="AF307" s="68" t="str">
        <f>IF(main!AR310="","",ROUND(main!AR310*100,6))</f>
        <v/>
      </c>
      <c r="AG307" s="68" t="str">
        <f>IF(main!AS310="","",ROUND(main!AS310*100,6))</f>
        <v/>
      </c>
      <c r="AH307" s="68" t="str">
        <f>IF(main!AT310="","",ROUND(main!AT310*100,6))</f>
        <v/>
      </c>
      <c r="AI307" s="68" t="str">
        <f>IF(main!AU310="","",ROUND(main!AU310*100,6))</f>
        <v/>
      </c>
      <c r="AJ307" s="68" t="str">
        <f>IF(main!AV310="","",ROUND(main!AV310*100,6))</f>
        <v/>
      </c>
      <c r="AK307" s="68" t="str">
        <f>IF(main!AW310="","",ROUND(main!AW310*100,6))</f>
        <v/>
      </c>
      <c r="AL307" s="68" t="str">
        <f>IF(main!AX310="","",ROUND(main!AX310*100,6))</f>
        <v/>
      </c>
      <c r="AM307" s="68" t="str">
        <f>IF(main!AY310="","",ROUND(main!AY310*100,6))</f>
        <v/>
      </c>
      <c r="AN307" s="68" t="str">
        <f>IF(main!AZ310="","",ROUND(main!AZ310*100,6))</f>
        <v/>
      </c>
      <c r="AO307" s="68" t="str">
        <f>IF(main!BA310="","",ROUND(main!BA310*100,6))</f>
        <v/>
      </c>
      <c r="AP307" s="68" t="str">
        <f>IF(main!BB310="","",ROUND(main!BB310*100,6))</f>
        <v/>
      </c>
      <c r="AQ307" s="68" t="str">
        <f>IF(main!BC310="","",ROUND(main!BC310*100,6))</f>
        <v/>
      </c>
      <c r="AR307" s="68" t="str">
        <f>IF(main!BD310="","",ROUND(main!BD310*100,6))</f>
        <v/>
      </c>
      <c r="AS307" s="68" t="str">
        <f>IF(main!BE310="","",ROUND(main!BE310*100,6))</f>
        <v/>
      </c>
      <c r="AT307" s="68" t="str">
        <f>IF(main!BF310="","",ROUND(main!BF310*100,6))</f>
        <v/>
      </c>
      <c r="AU307" s="68" t="str">
        <f>IF(main!BG310="","",ROUND(main!BG310*100,6))</f>
        <v/>
      </c>
      <c r="AV307" s="68" t="str">
        <f>IF(main!BH310="","",ROUND(main!BH310*100,6))</f>
        <v/>
      </c>
      <c r="AW307" s="68" t="str">
        <f>IF(main!BI310="","",ROUND(main!BI310*100,6))</f>
        <v/>
      </c>
      <c r="AX307" s="68" t="str">
        <f>IF(main!BJ310="","",ROUND(main!BJ310*100,6))</f>
        <v/>
      </c>
      <c r="AY307" s="68" t="str">
        <f>IF(main!BK310="","",ROUND(main!BK310*100,6))</f>
        <v/>
      </c>
      <c r="AZ307" s="68" t="str">
        <f>IF(main!BL310="","",ROUND(main!BL310*100,6))</f>
        <v/>
      </c>
      <c r="BA307" s="68" t="str">
        <f>IF(main!BM310="","",ROUND(main!BM310*100,6))</f>
        <v/>
      </c>
      <c r="BB307" s="68" t="str">
        <f>IF(main!BN310="","",ROUND(main!BN310*100,6))</f>
        <v/>
      </c>
      <c r="BC307" s="68" t="str">
        <f>IF(main!BO310="","",ROUND(main!BO310*100,6))</f>
        <v/>
      </c>
      <c r="BD307" s="68" t="str">
        <f>IF(main!BP310="","",ROUND(main!BP310*100,6))</f>
        <v/>
      </c>
      <c r="BE307" s="68" t="str">
        <f>IF(main!BQ310="","",ROUND(main!BQ310*100,6))</f>
        <v/>
      </c>
      <c r="BF307" s="68" t="str">
        <f>IF(main!BR310="","",ROUND(main!BR310*100,6))</f>
        <v/>
      </c>
      <c r="BG307" s="68" t="str">
        <f>IF(main!BS310="","",ROUND(main!BS310*100,6))</f>
        <v/>
      </c>
      <c r="BH307" s="68" t="str">
        <f>IF(main!BT310="","",ROUND(main!BT310*100,6))</f>
        <v/>
      </c>
      <c r="BI307" s="68" t="str">
        <f>IF(main!BU310="","",ROUND(main!BU310*100,6))</f>
        <v/>
      </c>
      <c r="BJ307" s="68" t="str">
        <f>IF(main!BV310="","",ROUND(main!BV310*100,6))</f>
        <v/>
      </c>
      <c r="BK307" s="68" t="str">
        <f>IF(main!BW310="","",ROUND(main!BW310*100,6))</f>
        <v/>
      </c>
      <c r="BL307" s="68" t="str">
        <f>IF(main!BX310="","",ROUND(main!BX310*100,6))</f>
        <v/>
      </c>
      <c r="BM307" s="68" t="str">
        <f>IF(main!BY310="","",ROUND(main!BY310*100,6))</f>
        <v/>
      </c>
      <c r="BN307" s="68" t="str">
        <f>IF(main!BZ310="","",ROUND(main!BZ310*100,6))</f>
        <v/>
      </c>
      <c r="BO307" s="68" t="str">
        <f>IF(main!CA310="","",ROUND(main!CA310*100,6))</f>
        <v/>
      </c>
      <c r="BP307" s="68" t="str">
        <f>IF(main!CB310="","",ROUND(main!CB310*100,6))</f>
        <v/>
      </c>
      <c r="BQ307" s="68" t="str">
        <f>IF(main!CC310="","",ROUND(main!CC310*100,6))</f>
        <v/>
      </c>
      <c r="BR307" s="68" t="str">
        <f>IF(main!CD310="","",ROUND(main!CD310*100,6))</f>
        <v/>
      </c>
      <c r="BS307" s="68" t="str">
        <f>IF(main!CE310="","",ROUND(main!CE310*100,6))</f>
        <v/>
      </c>
      <c r="BT307" s="68" t="str">
        <f>IF(main!CF310="","",ROUND(main!CF310*100,6))</f>
        <v/>
      </c>
      <c r="BU307" s="68" t="str">
        <f>IF(main!CG310="","",ROUND(main!CG310*100,6))</f>
        <v/>
      </c>
      <c r="BV307" s="68" t="str">
        <f>IF(main!CH310="","",ROUND(main!CH310*100,6))</f>
        <v/>
      </c>
      <c r="BW307" s="68" t="str">
        <f>IF(main!CI310="","",ROUND(main!CI310*100,6))</f>
        <v/>
      </c>
      <c r="BX307" s="68" t="str">
        <f>IF(main!CJ310="","",ROUND(main!CJ310*100,6))</f>
        <v/>
      </c>
      <c r="BY307" s="68" t="str">
        <f>IF(main!CK310="","",ROUND(main!CK310*100,6))</f>
        <v/>
      </c>
      <c r="BZ307" s="68" t="str">
        <f>IF(main!CL310="","",ROUND(main!CL310*100,6))</f>
        <v/>
      </c>
      <c r="CA307" s="68" t="str">
        <f>IF(main!CM310="","",ROUND(main!CM310*100,6))</f>
        <v/>
      </c>
      <c r="CB307" s="68" t="str">
        <f>IF(main!CN310="","",ROUND(main!CN310*100,6))</f>
        <v/>
      </c>
      <c r="CC307" s="68" t="str">
        <f>IF(main!CO310="","",ROUND(main!CO310*100,6))</f>
        <v/>
      </c>
    </row>
    <row r="308" spans="1:81" x14ac:dyDescent="0.25">
      <c r="A308" s="65" t="s">
        <v>461</v>
      </c>
      <c r="B308" s="66" t="str">
        <f>main!C311</f>
        <v>งานติดตั้ง UPS and Communication Work</v>
      </c>
      <c r="C308" s="67">
        <f>main!O311</f>
        <v>100000</v>
      </c>
      <c r="D308" s="65" t="s">
        <v>110</v>
      </c>
      <c r="E308" s="68">
        <f t="shared" si="4"/>
        <v>100</v>
      </c>
      <c r="F308" s="68" t="str">
        <f>IF(main!R311="","",ROUND(main!R311*100,6))</f>
        <v/>
      </c>
      <c r="G308" s="68" t="str">
        <f>IF(main!S311="","",ROUND(main!S311*100,6))</f>
        <v/>
      </c>
      <c r="H308" s="68" t="str">
        <f>IF(main!T311="","",ROUND(main!T311*100,6))</f>
        <v/>
      </c>
      <c r="I308" s="68" t="str">
        <f>IF(main!U311="","",ROUND(main!U311*100,6))</f>
        <v/>
      </c>
      <c r="J308" s="68" t="str">
        <f>IF(main!V311="","",ROUND(main!V311*100,6))</f>
        <v/>
      </c>
      <c r="K308" s="68" t="str">
        <f>IF(main!W311="","",ROUND(main!W311*100,6))</f>
        <v/>
      </c>
      <c r="L308" s="68" t="str">
        <f>IF(main!X311="","",ROUND(main!X311*100,6))</f>
        <v/>
      </c>
      <c r="M308" s="68" t="str">
        <f>IF(main!Y311="","",ROUND(main!Y311*100,6))</f>
        <v/>
      </c>
      <c r="N308" s="68" t="str">
        <f>IF(main!Z311="","",ROUND(main!Z311*100,6))</f>
        <v/>
      </c>
      <c r="O308" s="68" t="str">
        <f>IF(main!AA311="","",ROUND(main!AA311*100,6))</f>
        <v/>
      </c>
      <c r="P308" s="68" t="str">
        <f>IF(main!AB311="","",ROUND(main!AB311*100,6))</f>
        <v/>
      </c>
      <c r="Q308" s="68" t="str">
        <f>IF(main!AC311="","",ROUND(main!AC311*100,6))</f>
        <v/>
      </c>
      <c r="R308" s="68" t="str">
        <f>IF(main!AD311="","",ROUND(main!AD311*100,6))</f>
        <v/>
      </c>
      <c r="S308" s="68" t="str">
        <f>IF(main!AE311="","",ROUND(main!AE311*100,6))</f>
        <v/>
      </c>
      <c r="T308" s="68" t="str">
        <f>IF(main!AF311="","",ROUND(main!AF311*100,6))</f>
        <v/>
      </c>
      <c r="U308" s="68" t="str">
        <f>IF(main!AG311="","",ROUND(main!AG311*100,6))</f>
        <v/>
      </c>
      <c r="V308" s="68" t="str">
        <f>IF(main!AH311="","",ROUND(main!AH311*100,6))</f>
        <v/>
      </c>
      <c r="W308" s="68" t="str">
        <f>IF(main!AI311="","",ROUND(main!AI311*100,6))</f>
        <v/>
      </c>
      <c r="X308" s="68" t="str">
        <f>IF(main!AJ311="","",ROUND(main!AJ311*100,6))</f>
        <v/>
      </c>
      <c r="Y308" s="68" t="str">
        <f>IF(main!AK311="","",ROUND(main!AK311*100,6))</f>
        <v/>
      </c>
      <c r="Z308" s="68" t="str">
        <f>IF(main!AL311="","",ROUND(main!AL311*100,6))</f>
        <v/>
      </c>
      <c r="AA308" s="68" t="str">
        <f>IF(main!AM311="","",ROUND(main!AM311*100,6))</f>
        <v/>
      </c>
      <c r="AB308" s="68" t="str">
        <f>IF(main!AN311="","",ROUND(main!AN311*100,6))</f>
        <v/>
      </c>
      <c r="AC308" s="68" t="str">
        <f>IF(main!AO311="","",ROUND(main!AO311*100,6))</f>
        <v/>
      </c>
      <c r="AD308" s="68" t="str">
        <f>IF(main!AP311="","",ROUND(main!AP311*100,6))</f>
        <v/>
      </c>
      <c r="AE308" s="68" t="str">
        <f>IF(main!AQ311="","",ROUND(main!AQ311*100,6))</f>
        <v/>
      </c>
      <c r="AF308" s="68" t="str">
        <f>IF(main!AR311="","",ROUND(main!AR311*100,6))</f>
        <v/>
      </c>
      <c r="AG308" s="68" t="str">
        <f>IF(main!AS311="","",ROUND(main!AS311*100,6))</f>
        <v/>
      </c>
      <c r="AH308" s="68" t="str">
        <f>IF(main!AT311="","",ROUND(main!AT311*100,6))</f>
        <v/>
      </c>
      <c r="AI308" s="68" t="str">
        <f>IF(main!AU311="","",ROUND(main!AU311*100,6))</f>
        <v/>
      </c>
      <c r="AJ308" s="68" t="str">
        <f>IF(main!AV311="","",ROUND(main!AV311*100,6))</f>
        <v/>
      </c>
      <c r="AK308" s="68" t="str">
        <f>IF(main!AW311="","",ROUND(main!AW311*100,6))</f>
        <v/>
      </c>
      <c r="AL308" s="68" t="str">
        <f>IF(main!AX311="","",ROUND(main!AX311*100,6))</f>
        <v/>
      </c>
      <c r="AM308" s="68" t="str">
        <f>IF(main!AY311="","",ROUND(main!AY311*100,6))</f>
        <v/>
      </c>
      <c r="AN308" s="68" t="str">
        <f>IF(main!AZ311="","",ROUND(main!AZ311*100,6))</f>
        <v/>
      </c>
      <c r="AO308" s="68" t="str">
        <f>IF(main!BA311="","",ROUND(main!BA311*100,6))</f>
        <v/>
      </c>
      <c r="AP308" s="68" t="str">
        <f>IF(main!BB311="","",ROUND(main!BB311*100,6))</f>
        <v/>
      </c>
      <c r="AQ308" s="68" t="str">
        <f>IF(main!BC311="","",ROUND(main!BC311*100,6))</f>
        <v/>
      </c>
      <c r="AR308" s="68" t="str">
        <f>IF(main!BD311="","",ROUND(main!BD311*100,6))</f>
        <v/>
      </c>
      <c r="AS308" s="68" t="str">
        <f>IF(main!BE311="","",ROUND(main!BE311*100,6))</f>
        <v/>
      </c>
      <c r="AT308" s="68" t="str">
        <f>IF(main!BF311="","",ROUND(main!BF311*100,6))</f>
        <v/>
      </c>
      <c r="AU308" s="68" t="str">
        <f>IF(main!BG311="","",ROUND(main!BG311*100,6))</f>
        <v/>
      </c>
      <c r="AV308" s="68" t="str">
        <f>IF(main!BH311="","",ROUND(main!BH311*100,6))</f>
        <v/>
      </c>
      <c r="AW308" s="68" t="str">
        <f>IF(main!BI311="","",ROUND(main!BI311*100,6))</f>
        <v/>
      </c>
      <c r="AX308" s="68" t="str">
        <f>IF(main!BJ311="","",ROUND(main!BJ311*100,6))</f>
        <v/>
      </c>
      <c r="AY308" s="68" t="str">
        <f>IF(main!BK311="","",ROUND(main!BK311*100,6))</f>
        <v/>
      </c>
      <c r="AZ308" s="68" t="str">
        <f>IF(main!BL311="","",ROUND(main!BL311*100,6))</f>
        <v/>
      </c>
      <c r="BA308" s="68" t="str">
        <f>IF(main!BM311="","",ROUND(main!BM311*100,6))</f>
        <v/>
      </c>
      <c r="BB308" s="68" t="str">
        <f>IF(main!BN311="","",ROUND(main!BN311*100,6))</f>
        <v/>
      </c>
      <c r="BC308" s="68" t="str">
        <f>IF(main!BO311="","",ROUND(main!BO311*100,6))</f>
        <v/>
      </c>
      <c r="BD308" s="68" t="str">
        <f>IF(main!BP311="","",ROUND(main!BP311*100,6))</f>
        <v/>
      </c>
      <c r="BE308" s="68" t="str">
        <f>IF(main!BQ311="","",ROUND(main!BQ311*100,6))</f>
        <v/>
      </c>
      <c r="BF308" s="68" t="str">
        <f>IF(main!BR311="","",ROUND(main!BR311*100,6))</f>
        <v/>
      </c>
      <c r="BG308" s="68" t="str">
        <f>IF(main!BS311="","",ROUND(main!BS311*100,6))</f>
        <v/>
      </c>
      <c r="BH308" s="68" t="str">
        <f>IF(main!BT311="","",ROUND(main!BT311*100,6))</f>
        <v/>
      </c>
      <c r="BI308" s="68" t="str">
        <f>IF(main!BU311="","",ROUND(main!BU311*100,6))</f>
        <v/>
      </c>
      <c r="BJ308" s="68" t="str">
        <f>IF(main!BV311="","",ROUND(main!BV311*100,6))</f>
        <v/>
      </c>
      <c r="BK308" s="68" t="str">
        <f>IF(main!BW311="","",ROUND(main!BW311*100,6))</f>
        <v/>
      </c>
      <c r="BL308" s="68" t="str">
        <f>IF(main!BX311="","",ROUND(main!BX311*100,6))</f>
        <v/>
      </c>
      <c r="BM308" s="68" t="str">
        <f>IF(main!BY311="","",ROUND(main!BY311*100,6))</f>
        <v/>
      </c>
      <c r="BN308" s="68" t="str">
        <f>IF(main!BZ311="","",ROUND(main!BZ311*100,6))</f>
        <v/>
      </c>
      <c r="BO308" s="68" t="str">
        <f>IF(main!CA311="","",ROUND(main!CA311*100,6))</f>
        <v/>
      </c>
      <c r="BP308" s="68" t="str">
        <f>IF(main!CB311="","",ROUND(main!CB311*100,6))</f>
        <v/>
      </c>
      <c r="BQ308" s="68">
        <f>IF(main!CC311="","",ROUND(main!CC311*100,6))</f>
        <v>12.5</v>
      </c>
      <c r="BR308" s="68">
        <f>IF(main!CD311="","",ROUND(main!CD311*100,6))</f>
        <v>17.5</v>
      </c>
      <c r="BS308" s="68">
        <f>IF(main!CE311="","",ROUND(main!CE311*100,6))</f>
        <v>17.5</v>
      </c>
      <c r="BT308" s="68">
        <f>IF(main!CF311="","",ROUND(main!CF311*100,6))</f>
        <v>17.5</v>
      </c>
      <c r="BU308" s="68">
        <f>IF(main!CG311="","",ROUND(main!CG311*100,6))</f>
        <v>17.5</v>
      </c>
      <c r="BV308" s="68">
        <f>IF(main!CH311="","",ROUND(main!CH311*100,6))</f>
        <v>17.5</v>
      </c>
      <c r="BW308" s="68" t="str">
        <f>IF(main!CI311="","",ROUND(main!CI311*100,6))</f>
        <v/>
      </c>
      <c r="BX308" s="68" t="str">
        <f>IF(main!CJ311="","",ROUND(main!CJ311*100,6))</f>
        <v/>
      </c>
      <c r="BY308" s="68" t="str">
        <f>IF(main!CK311="","",ROUND(main!CK311*100,6))</f>
        <v/>
      </c>
      <c r="BZ308" s="68" t="str">
        <f>IF(main!CL311="","",ROUND(main!CL311*100,6))</f>
        <v/>
      </c>
      <c r="CA308" s="68" t="str">
        <f>IF(main!CM311="","",ROUND(main!CM311*100,6))</f>
        <v/>
      </c>
      <c r="CB308" s="68" t="str">
        <f>IF(main!CN311="","",ROUND(main!CN311*100,6))</f>
        <v/>
      </c>
      <c r="CC308" s="68" t="str">
        <f>IF(main!CO311="","",ROUND(main!CO311*100,6))</f>
        <v/>
      </c>
    </row>
    <row r="309" spans="1:81" x14ac:dyDescent="0.25">
      <c r="A309" s="65" t="s">
        <v>461</v>
      </c>
      <c r="B309" s="66" t="str">
        <f>main!C311</f>
        <v>งานติดตั้ง UPS and Communication Work</v>
      </c>
      <c r="C309" s="67">
        <f>main!O311</f>
        <v>100000</v>
      </c>
      <c r="D309" s="65" t="s">
        <v>111</v>
      </c>
      <c r="E309" s="68" t="str">
        <f t="shared" si="4"/>
        <v/>
      </c>
      <c r="F309" s="68" t="str">
        <f>IF(main!R312="","",ROUND(main!R312*100,6))</f>
        <v/>
      </c>
      <c r="G309" s="68" t="str">
        <f>IF(main!S312="","",ROUND(main!S312*100,6))</f>
        <v/>
      </c>
      <c r="H309" s="68" t="str">
        <f>IF(main!T312="","",ROUND(main!T312*100,6))</f>
        <v/>
      </c>
      <c r="I309" s="68" t="str">
        <f>IF(main!U312="","",ROUND(main!U312*100,6))</f>
        <v/>
      </c>
      <c r="J309" s="68" t="str">
        <f>IF(main!V312="","",ROUND(main!V312*100,6))</f>
        <v/>
      </c>
      <c r="K309" s="68" t="str">
        <f>IF(main!W312="","",ROUND(main!W312*100,6))</f>
        <v/>
      </c>
      <c r="L309" s="68" t="str">
        <f>IF(main!X312="","",ROUND(main!X312*100,6))</f>
        <v/>
      </c>
      <c r="M309" s="68" t="str">
        <f>IF(main!Y312="","",ROUND(main!Y312*100,6))</f>
        <v/>
      </c>
      <c r="N309" s="68" t="str">
        <f>IF(main!Z312="","",ROUND(main!Z312*100,6))</f>
        <v/>
      </c>
      <c r="O309" s="68" t="str">
        <f>IF(main!AA312="","",ROUND(main!AA312*100,6))</f>
        <v/>
      </c>
      <c r="P309" s="68" t="str">
        <f>IF(main!AB312="","",ROUND(main!AB312*100,6))</f>
        <v/>
      </c>
      <c r="Q309" s="68" t="str">
        <f>IF(main!AC312="","",ROUND(main!AC312*100,6))</f>
        <v/>
      </c>
      <c r="R309" s="68" t="str">
        <f>IF(main!AD312="","",ROUND(main!AD312*100,6))</f>
        <v/>
      </c>
      <c r="S309" s="68" t="str">
        <f>IF(main!AE312="","",ROUND(main!AE312*100,6))</f>
        <v/>
      </c>
      <c r="T309" s="68" t="str">
        <f>IF(main!AF312="","",ROUND(main!AF312*100,6))</f>
        <v/>
      </c>
      <c r="U309" s="68" t="str">
        <f>IF(main!AG312="","",ROUND(main!AG312*100,6))</f>
        <v/>
      </c>
      <c r="V309" s="68" t="str">
        <f>IF(main!AH312="","",ROUND(main!AH312*100,6))</f>
        <v/>
      </c>
      <c r="W309" s="68" t="str">
        <f>IF(main!AI312="","",ROUND(main!AI312*100,6))</f>
        <v/>
      </c>
      <c r="X309" s="68" t="str">
        <f>IF(main!AJ312="","",ROUND(main!AJ312*100,6))</f>
        <v/>
      </c>
      <c r="Y309" s="68" t="str">
        <f>IF(main!AK312="","",ROUND(main!AK312*100,6))</f>
        <v/>
      </c>
      <c r="Z309" s="68" t="str">
        <f>IF(main!AL312="","",ROUND(main!AL312*100,6))</f>
        <v/>
      </c>
      <c r="AA309" s="68" t="str">
        <f>IF(main!AM312="","",ROUND(main!AM312*100,6))</f>
        <v/>
      </c>
      <c r="AB309" s="68" t="str">
        <f>IF(main!AN312="","",ROUND(main!AN312*100,6))</f>
        <v/>
      </c>
      <c r="AC309" s="68" t="str">
        <f>IF(main!AO312="","",ROUND(main!AO312*100,6))</f>
        <v/>
      </c>
      <c r="AD309" s="68" t="str">
        <f>IF(main!AP312="","",ROUND(main!AP312*100,6))</f>
        <v/>
      </c>
      <c r="AE309" s="68" t="str">
        <f>IF(main!AQ312="","",ROUND(main!AQ312*100,6))</f>
        <v/>
      </c>
      <c r="AF309" s="68" t="str">
        <f>IF(main!AR312="","",ROUND(main!AR312*100,6))</f>
        <v/>
      </c>
      <c r="AG309" s="68" t="str">
        <f>IF(main!AS312="","",ROUND(main!AS312*100,6))</f>
        <v/>
      </c>
      <c r="AH309" s="68" t="str">
        <f>IF(main!AT312="","",ROUND(main!AT312*100,6))</f>
        <v/>
      </c>
      <c r="AI309" s="68" t="str">
        <f>IF(main!AU312="","",ROUND(main!AU312*100,6))</f>
        <v/>
      </c>
      <c r="AJ309" s="68" t="str">
        <f>IF(main!AV312="","",ROUND(main!AV312*100,6))</f>
        <v/>
      </c>
      <c r="AK309" s="68" t="str">
        <f>IF(main!AW312="","",ROUND(main!AW312*100,6))</f>
        <v/>
      </c>
      <c r="AL309" s="68" t="str">
        <f>IF(main!AX312="","",ROUND(main!AX312*100,6))</f>
        <v/>
      </c>
      <c r="AM309" s="68" t="str">
        <f>IF(main!AY312="","",ROUND(main!AY312*100,6))</f>
        <v/>
      </c>
      <c r="AN309" s="68" t="str">
        <f>IF(main!AZ312="","",ROUND(main!AZ312*100,6))</f>
        <v/>
      </c>
      <c r="AO309" s="68" t="str">
        <f>IF(main!BA312="","",ROUND(main!BA312*100,6))</f>
        <v/>
      </c>
      <c r="AP309" s="68" t="str">
        <f>IF(main!BB312="","",ROUND(main!BB312*100,6))</f>
        <v/>
      </c>
      <c r="AQ309" s="68" t="str">
        <f>IF(main!BC312="","",ROUND(main!BC312*100,6))</f>
        <v/>
      </c>
      <c r="AR309" s="68" t="str">
        <f>IF(main!BD312="","",ROUND(main!BD312*100,6))</f>
        <v/>
      </c>
      <c r="AS309" s="68" t="str">
        <f>IF(main!BE312="","",ROUND(main!BE312*100,6))</f>
        <v/>
      </c>
      <c r="AT309" s="68" t="str">
        <f>IF(main!BF312="","",ROUND(main!BF312*100,6))</f>
        <v/>
      </c>
      <c r="AU309" s="68" t="str">
        <f>IF(main!BG312="","",ROUND(main!BG312*100,6))</f>
        <v/>
      </c>
      <c r="AV309" s="68" t="str">
        <f>IF(main!BH312="","",ROUND(main!BH312*100,6))</f>
        <v/>
      </c>
      <c r="AW309" s="68" t="str">
        <f>IF(main!BI312="","",ROUND(main!BI312*100,6))</f>
        <v/>
      </c>
      <c r="AX309" s="68" t="str">
        <f>IF(main!BJ312="","",ROUND(main!BJ312*100,6))</f>
        <v/>
      </c>
      <c r="AY309" s="68" t="str">
        <f>IF(main!BK312="","",ROUND(main!BK312*100,6))</f>
        <v/>
      </c>
      <c r="AZ309" s="68" t="str">
        <f>IF(main!BL312="","",ROUND(main!BL312*100,6))</f>
        <v/>
      </c>
      <c r="BA309" s="68" t="str">
        <f>IF(main!BM312="","",ROUND(main!BM312*100,6))</f>
        <v/>
      </c>
      <c r="BB309" s="68" t="str">
        <f>IF(main!BN312="","",ROUND(main!BN312*100,6))</f>
        <v/>
      </c>
      <c r="BC309" s="68" t="str">
        <f>IF(main!BO312="","",ROUND(main!BO312*100,6))</f>
        <v/>
      </c>
      <c r="BD309" s="68" t="str">
        <f>IF(main!BP312="","",ROUND(main!BP312*100,6))</f>
        <v/>
      </c>
      <c r="BE309" s="68" t="str">
        <f>IF(main!BQ312="","",ROUND(main!BQ312*100,6))</f>
        <v/>
      </c>
      <c r="BF309" s="68" t="str">
        <f>IF(main!BR312="","",ROUND(main!BR312*100,6))</f>
        <v/>
      </c>
      <c r="BG309" s="68" t="str">
        <f>IF(main!BS312="","",ROUND(main!BS312*100,6))</f>
        <v/>
      </c>
      <c r="BH309" s="68" t="str">
        <f>IF(main!BT312="","",ROUND(main!BT312*100,6))</f>
        <v/>
      </c>
      <c r="BI309" s="68" t="str">
        <f>IF(main!BU312="","",ROUND(main!BU312*100,6))</f>
        <v/>
      </c>
      <c r="BJ309" s="68" t="str">
        <f>IF(main!BV312="","",ROUND(main!BV312*100,6))</f>
        <v/>
      </c>
      <c r="BK309" s="68" t="str">
        <f>IF(main!BW312="","",ROUND(main!BW312*100,6))</f>
        <v/>
      </c>
      <c r="BL309" s="68" t="str">
        <f>IF(main!BX312="","",ROUND(main!BX312*100,6))</f>
        <v/>
      </c>
      <c r="BM309" s="68" t="str">
        <f>IF(main!BY312="","",ROUND(main!BY312*100,6))</f>
        <v/>
      </c>
      <c r="BN309" s="68" t="str">
        <f>IF(main!BZ312="","",ROUND(main!BZ312*100,6))</f>
        <v/>
      </c>
      <c r="BO309" s="68" t="str">
        <f>IF(main!CA312="","",ROUND(main!CA312*100,6))</f>
        <v/>
      </c>
      <c r="BP309" s="68" t="str">
        <f>IF(main!CB312="","",ROUND(main!CB312*100,6))</f>
        <v/>
      </c>
      <c r="BQ309" s="68" t="str">
        <f>IF(main!CC312="","",ROUND(main!CC312*100,6))</f>
        <v/>
      </c>
      <c r="BR309" s="68" t="str">
        <f>IF(main!CD312="","",ROUND(main!CD312*100,6))</f>
        <v/>
      </c>
      <c r="BS309" s="68" t="str">
        <f>IF(main!CE312="","",ROUND(main!CE312*100,6))</f>
        <v/>
      </c>
      <c r="BT309" s="68" t="str">
        <f>IF(main!CF312="","",ROUND(main!CF312*100,6))</f>
        <v/>
      </c>
      <c r="BU309" s="68" t="str">
        <f>IF(main!CG312="","",ROUND(main!CG312*100,6))</f>
        <v/>
      </c>
      <c r="BV309" s="68" t="str">
        <f>IF(main!CH312="","",ROUND(main!CH312*100,6))</f>
        <v/>
      </c>
      <c r="BW309" s="68" t="str">
        <f>IF(main!CI312="","",ROUND(main!CI312*100,6))</f>
        <v/>
      </c>
      <c r="BX309" s="68" t="str">
        <f>IF(main!CJ312="","",ROUND(main!CJ312*100,6))</f>
        <v/>
      </c>
      <c r="BY309" s="68" t="str">
        <f>IF(main!CK312="","",ROUND(main!CK312*100,6))</f>
        <v/>
      </c>
      <c r="BZ309" s="68" t="str">
        <f>IF(main!CL312="","",ROUND(main!CL312*100,6))</f>
        <v/>
      </c>
      <c r="CA309" s="68" t="str">
        <f>IF(main!CM312="","",ROUND(main!CM312*100,6))</f>
        <v/>
      </c>
      <c r="CB309" s="68" t="str">
        <f>IF(main!CN312="","",ROUND(main!CN312*100,6))</f>
        <v/>
      </c>
      <c r="CC309" s="68" t="str">
        <f>IF(main!CO312="","",ROUND(main!CO312*100,6))</f>
        <v/>
      </c>
    </row>
    <row r="310" spans="1:81" x14ac:dyDescent="0.25">
      <c r="A310" s="65" t="s">
        <v>464</v>
      </c>
      <c r="B310" s="66" t="str">
        <f>main!C313</f>
        <v>R Floor</v>
      </c>
      <c r="C310" s="67">
        <f>main!O313</f>
        <v>1100000</v>
      </c>
      <c r="D310" s="65" t="s">
        <v>110</v>
      </c>
      <c r="E310" s="68">
        <f t="shared" si="4"/>
        <v>100.00000199999999</v>
      </c>
      <c r="F310" s="68" t="str">
        <f>IF(main!R313="","",ROUND(main!R313*100,6))</f>
        <v/>
      </c>
      <c r="G310" s="68" t="str">
        <f>IF(main!S313="","",ROUND(main!S313*100,6))</f>
        <v/>
      </c>
      <c r="H310" s="68" t="str">
        <f>IF(main!T313="","",ROUND(main!T313*100,6))</f>
        <v/>
      </c>
      <c r="I310" s="68" t="str">
        <f>IF(main!U313="","",ROUND(main!U313*100,6))</f>
        <v/>
      </c>
      <c r="J310" s="68" t="str">
        <f>IF(main!V313="","",ROUND(main!V313*100,6))</f>
        <v/>
      </c>
      <c r="K310" s="68" t="str">
        <f>IF(main!W313="","",ROUND(main!W313*100,6))</f>
        <v/>
      </c>
      <c r="L310" s="68" t="str">
        <f>IF(main!X313="","",ROUND(main!X313*100,6))</f>
        <v/>
      </c>
      <c r="M310" s="68" t="str">
        <f>IF(main!Y313="","",ROUND(main!Y313*100,6))</f>
        <v/>
      </c>
      <c r="N310" s="68" t="str">
        <f>IF(main!Z313="","",ROUND(main!Z313*100,6))</f>
        <v/>
      </c>
      <c r="O310" s="68" t="str">
        <f>IF(main!AA313="","",ROUND(main!AA313*100,6))</f>
        <v/>
      </c>
      <c r="P310" s="68" t="str">
        <f>IF(main!AB313="","",ROUND(main!AB313*100,6))</f>
        <v/>
      </c>
      <c r="Q310" s="68" t="str">
        <f>IF(main!AC313="","",ROUND(main!AC313*100,6))</f>
        <v/>
      </c>
      <c r="R310" s="68" t="str">
        <f>IF(main!AD313="","",ROUND(main!AD313*100,6))</f>
        <v/>
      </c>
      <c r="S310" s="68" t="str">
        <f>IF(main!AE313="","",ROUND(main!AE313*100,6))</f>
        <v/>
      </c>
      <c r="T310" s="68" t="str">
        <f>IF(main!AF313="","",ROUND(main!AF313*100,6))</f>
        <v/>
      </c>
      <c r="U310" s="68" t="str">
        <f>IF(main!AG313="","",ROUND(main!AG313*100,6))</f>
        <v/>
      </c>
      <c r="V310" s="68" t="str">
        <f>IF(main!AH313="","",ROUND(main!AH313*100,6))</f>
        <v/>
      </c>
      <c r="W310" s="68" t="str">
        <f>IF(main!AI313="","",ROUND(main!AI313*100,6))</f>
        <v/>
      </c>
      <c r="X310" s="68" t="str">
        <f>IF(main!AJ313="","",ROUND(main!AJ313*100,6))</f>
        <v/>
      </c>
      <c r="Y310" s="68" t="str">
        <f>IF(main!AK313="","",ROUND(main!AK313*100,6))</f>
        <v/>
      </c>
      <c r="Z310" s="68" t="str">
        <f>IF(main!AL313="","",ROUND(main!AL313*100,6))</f>
        <v/>
      </c>
      <c r="AA310" s="68" t="str">
        <f>IF(main!AM313="","",ROUND(main!AM313*100,6))</f>
        <v/>
      </c>
      <c r="AB310" s="68" t="str">
        <f>IF(main!AN313="","",ROUND(main!AN313*100,6))</f>
        <v/>
      </c>
      <c r="AC310" s="68" t="str">
        <f>IF(main!AO313="","",ROUND(main!AO313*100,6))</f>
        <v/>
      </c>
      <c r="AD310" s="68" t="str">
        <f>IF(main!AP313="","",ROUND(main!AP313*100,6))</f>
        <v/>
      </c>
      <c r="AE310" s="68" t="str">
        <f>IF(main!AQ313="","",ROUND(main!AQ313*100,6))</f>
        <v/>
      </c>
      <c r="AF310" s="68" t="str">
        <f>IF(main!AR313="","",ROUND(main!AR313*100,6))</f>
        <v/>
      </c>
      <c r="AG310" s="68" t="str">
        <f>IF(main!AS313="","",ROUND(main!AS313*100,6))</f>
        <v/>
      </c>
      <c r="AH310" s="68" t="str">
        <f>IF(main!AT313="","",ROUND(main!AT313*100,6))</f>
        <v/>
      </c>
      <c r="AI310" s="68" t="str">
        <f>IF(main!AU313="","",ROUND(main!AU313*100,6))</f>
        <v/>
      </c>
      <c r="AJ310" s="68" t="str">
        <f>IF(main!AV313="","",ROUND(main!AV313*100,6))</f>
        <v/>
      </c>
      <c r="AK310" s="68" t="str">
        <f>IF(main!AW313="","",ROUND(main!AW313*100,6))</f>
        <v/>
      </c>
      <c r="AL310" s="68" t="str">
        <f>IF(main!AX313="","",ROUND(main!AX313*100,6))</f>
        <v/>
      </c>
      <c r="AM310" s="68" t="str">
        <f>IF(main!AY313="","",ROUND(main!AY313*100,6))</f>
        <v/>
      </c>
      <c r="AN310" s="68" t="str">
        <f>IF(main!AZ313="","",ROUND(main!AZ313*100,6))</f>
        <v/>
      </c>
      <c r="AO310" s="68" t="str">
        <f>IF(main!BA313="","",ROUND(main!BA313*100,6))</f>
        <v/>
      </c>
      <c r="AP310" s="68" t="str">
        <f>IF(main!BB313="","",ROUND(main!BB313*100,6))</f>
        <v/>
      </c>
      <c r="AQ310" s="68" t="str">
        <f>IF(main!BC313="","",ROUND(main!BC313*100,6))</f>
        <v/>
      </c>
      <c r="AR310" s="68" t="str">
        <f>IF(main!BD313="","",ROUND(main!BD313*100,6))</f>
        <v/>
      </c>
      <c r="AS310" s="68" t="str">
        <f>IF(main!BE313="","",ROUND(main!BE313*100,6))</f>
        <v/>
      </c>
      <c r="AT310" s="68" t="str">
        <f>IF(main!BF313="","",ROUND(main!BF313*100,6))</f>
        <v/>
      </c>
      <c r="AU310" s="68" t="str">
        <f>IF(main!BG313="","",ROUND(main!BG313*100,6))</f>
        <v/>
      </c>
      <c r="AV310" s="68" t="str">
        <f>IF(main!BH313="","",ROUND(main!BH313*100,6))</f>
        <v/>
      </c>
      <c r="AW310" s="68" t="str">
        <f>IF(main!BI313="","",ROUND(main!BI313*100,6))</f>
        <v/>
      </c>
      <c r="AX310" s="68" t="str">
        <f>IF(main!BJ313="","",ROUND(main!BJ313*100,6))</f>
        <v/>
      </c>
      <c r="AY310" s="68" t="str">
        <f>IF(main!BK313="","",ROUND(main!BK313*100,6))</f>
        <v/>
      </c>
      <c r="AZ310" s="68" t="str">
        <f>IF(main!BL313="","",ROUND(main!BL313*100,6))</f>
        <v/>
      </c>
      <c r="BA310" s="68" t="str">
        <f>IF(main!BM313="","",ROUND(main!BM313*100,6))</f>
        <v/>
      </c>
      <c r="BB310" s="68" t="str">
        <f>IF(main!BN313="","",ROUND(main!BN313*100,6))</f>
        <v/>
      </c>
      <c r="BC310" s="68" t="str">
        <f>IF(main!BO313="","",ROUND(main!BO313*100,6))</f>
        <v/>
      </c>
      <c r="BD310" s="68" t="str">
        <f>IF(main!BP313="","",ROUND(main!BP313*100,6))</f>
        <v/>
      </c>
      <c r="BE310" s="68" t="str">
        <f>IF(main!BQ313="","",ROUND(main!BQ313*100,6))</f>
        <v/>
      </c>
      <c r="BF310" s="68" t="str">
        <f>IF(main!BR313="","",ROUND(main!BR313*100,6))</f>
        <v/>
      </c>
      <c r="BG310" s="68" t="str">
        <f>IF(main!BS313="","",ROUND(main!BS313*100,6))</f>
        <v/>
      </c>
      <c r="BH310" s="68" t="str">
        <f>IF(main!BT313="","",ROUND(main!BT313*100,6))</f>
        <v/>
      </c>
      <c r="BI310" s="68" t="str">
        <f>IF(main!BU313="","",ROUND(main!BU313*100,6))</f>
        <v/>
      </c>
      <c r="BJ310" s="68">
        <f>IF(main!BV313="","",ROUND(main!BV313*100,6))</f>
        <v>0.64935100000000001</v>
      </c>
      <c r="BK310" s="68">
        <f>IF(main!BW313="","",ROUND(main!BW313*100,6))</f>
        <v>4.5454549999999996</v>
      </c>
      <c r="BL310" s="68">
        <f>IF(main!BX313="","",ROUND(main!BX313*100,6))</f>
        <v>8.4081759999999992</v>
      </c>
      <c r="BM310" s="68">
        <f>IF(main!BY313="","",ROUND(main!BY313*100,6))</f>
        <v>12.196434</v>
      </c>
      <c r="BN310" s="68">
        <f>IF(main!BZ313="","",ROUND(main!BZ313*100,6))</f>
        <v>12.204447</v>
      </c>
      <c r="BO310" s="68">
        <f>IF(main!CA313="","",ROUND(main!CA313*100,6))</f>
        <v>12.196434</v>
      </c>
      <c r="BP310" s="68">
        <f>IF(main!CB313="","",ROUND(main!CB313*100,6))</f>
        <v>5.21096</v>
      </c>
      <c r="BQ310" s="68">
        <f>IF(main!CC313="","",ROUND(main!CC313*100,6))</f>
        <v>6.0606059999999999</v>
      </c>
      <c r="BR310" s="68">
        <f>IF(main!CD313="","",ROUND(main!CD313*100,6))</f>
        <v>6.9264070000000002</v>
      </c>
      <c r="BS310" s="68">
        <f>IF(main!CE313="","",ROUND(main!CE313*100,6))</f>
        <v>6.7099570000000002</v>
      </c>
      <c r="BT310" s="68">
        <f>IF(main!CF313="","",ROUND(main!CF313*100,6))</f>
        <v>1.5151520000000001</v>
      </c>
      <c r="BU310" s="68">
        <f>IF(main!CG313="","",ROUND(main!CG313*100,6))</f>
        <v>2.5974029999999999</v>
      </c>
      <c r="BV310" s="68">
        <f>IF(main!CH313="","",ROUND(main!CH313*100,6))</f>
        <v>9.0909089999999999</v>
      </c>
      <c r="BW310" s="68">
        <f>IF(main!CI313="","",ROUND(main!CI313*100,6))</f>
        <v>8.4415580000000006</v>
      </c>
      <c r="BX310" s="68">
        <f>IF(main!CJ313="","",ROUND(main!CJ313*100,6))</f>
        <v>3.246753</v>
      </c>
      <c r="BY310" s="68" t="str">
        <f>IF(main!CK313="","",ROUND(main!CK313*100,6))</f>
        <v/>
      </c>
      <c r="BZ310" s="68" t="str">
        <f>IF(main!CL313="","",ROUND(main!CL313*100,6))</f>
        <v/>
      </c>
      <c r="CA310" s="68" t="str">
        <f>IF(main!CM313="","",ROUND(main!CM313*100,6))</f>
        <v/>
      </c>
      <c r="CB310" s="68" t="str">
        <f>IF(main!CN313="","",ROUND(main!CN313*100,6))</f>
        <v/>
      </c>
      <c r="CC310" s="68" t="str">
        <f>IF(main!CO313="","",ROUND(main!CO313*100,6))</f>
        <v/>
      </c>
    </row>
    <row r="311" spans="1:81" x14ac:dyDescent="0.25">
      <c r="A311" s="65" t="s">
        <v>464</v>
      </c>
      <c r="B311" s="66" t="str">
        <f>main!C313</f>
        <v>R Floor</v>
      </c>
      <c r="C311" s="67">
        <f>main!O313</f>
        <v>1100000</v>
      </c>
      <c r="D311" s="65" t="s">
        <v>111</v>
      </c>
      <c r="E311" s="68" t="str">
        <f t="shared" si="4"/>
        <v/>
      </c>
      <c r="F311" s="68" t="str">
        <f>IF(main!R314="","",ROUND(main!R314*100,6))</f>
        <v/>
      </c>
      <c r="G311" s="68" t="str">
        <f>IF(main!S314="","",ROUND(main!S314*100,6))</f>
        <v/>
      </c>
      <c r="H311" s="68" t="str">
        <f>IF(main!T314="","",ROUND(main!T314*100,6))</f>
        <v/>
      </c>
      <c r="I311" s="68" t="str">
        <f>IF(main!U314="","",ROUND(main!U314*100,6))</f>
        <v/>
      </c>
      <c r="J311" s="68" t="str">
        <f>IF(main!V314="","",ROUND(main!V314*100,6))</f>
        <v/>
      </c>
      <c r="K311" s="68" t="str">
        <f>IF(main!W314="","",ROUND(main!W314*100,6))</f>
        <v/>
      </c>
      <c r="L311" s="68" t="str">
        <f>IF(main!X314="","",ROUND(main!X314*100,6))</f>
        <v/>
      </c>
      <c r="M311" s="68" t="str">
        <f>IF(main!Y314="","",ROUND(main!Y314*100,6))</f>
        <v/>
      </c>
      <c r="N311" s="68" t="str">
        <f>IF(main!Z314="","",ROUND(main!Z314*100,6))</f>
        <v/>
      </c>
      <c r="O311" s="68" t="str">
        <f>IF(main!AA314="","",ROUND(main!AA314*100,6))</f>
        <v/>
      </c>
      <c r="P311" s="68" t="str">
        <f>IF(main!AB314="","",ROUND(main!AB314*100,6))</f>
        <v/>
      </c>
      <c r="Q311" s="68" t="str">
        <f>IF(main!AC314="","",ROUND(main!AC314*100,6))</f>
        <v/>
      </c>
      <c r="R311" s="68" t="str">
        <f>IF(main!AD314="","",ROUND(main!AD314*100,6))</f>
        <v/>
      </c>
      <c r="S311" s="68" t="str">
        <f>IF(main!AE314="","",ROUND(main!AE314*100,6))</f>
        <v/>
      </c>
      <c r="T311" s="68" t="str">
        <f>IF(main!AF314="","",ROUND(main!AF314*100,6))</f>
        <v/>
      </c>
      <c r="U311" s="68" t="str">
        <f>IF(main!AG314="","",ROUND(main!AG314*100,6))</f>
        <v/>
      </c>
      <c r="V311" s="68" t="str">
        <f>IF(main!AH314="","",ROUND(main!AH314*100,6))</f>
        <v/>
      </c>
      <c r="W311" s="68" t="str">
        <f>IF(main!AI314="","",ROUND(main!AI314*100,6))</f>
        <v/>
      </c>
      <c r="X311" s="68" t="str">
        <f>IF(main!AJ314="","",ROUND(main!AJ314*100,6))</f>
        <v/>
      </c>
      <c r="Y311" s="68" t="str">
        <f>IF(main!AK314="","",ROUND(main!AK314*100,6))</f>
        <v/>
      </c>
      <c r="Z311" s="68" t="str">
        <f>IF(main!AL314="","",ROUND(main!AL314*100,6))</f>
        <v/>
      </c>
      <c r="AA311" s="68" t="str">
        <f>IF(main!AM314="","",ROUND(main!AM314*100,6))</f>
        <v/>
      </c>
      <c r="AB311" s="68" t="str">
        <f>IF(main!AN314="","",ROUND(main!AN314*100,6))</f>
        <v/>
      </c>
      <c r="AC311" s="68" t="str">
        <f>IF(main!AO314="","",ROUND(main!AO314*100,6))</f>
        <v/>
      </c>
      <c r="AD311" s="68" t="str">
        <f>IF(main!AP314="","",ROUND(main!AP314*100,6))</f>
        <v/>
      </c>
      <c r="AE311" s="68" t="str">
        <f>IF(main!AQ314="","",ROUND(main!AQ314*100,6))</f>
        <v/>
      </c>
      <c r="AF311" s="68" t="str">
        <f>IF(main!AR314="","",ROUND(main!AR314*100,6))</f>
        <v/>
      </c>
      <c r="AG311" s="68" t="str">
        <f>IF(main!AS314="","",ROUND(main!AS314*100,6))</f>
        <v/>
      </c>
      <c r="AH311" s="68" t="str">
        <f>IF(main!AT314="","",ROUND(main!AT314*100,6))</f>
        <v/>
      </c>
      <c r="AI311" s="68" t="str">
        <f>IF(main!AU314="","",ROUND(main!AU314*100,6))</f>
        <v/>
      </c>
      <c r="AJ311" s="68" t="str">
        <f>IF(main!AV314="","",ROUND(main!AV314*100,6))</f>
        <v/>
      </c>
      <c r="AK311" s="68" t="str">
        <f>IF(main!AW314="","",ROUND(main!AW314*100,6))</f>
        <v/>
      </c>
      <c r="AL311" s="68" t="str">
        <f>IF(main!AX314="","",ROUND(main!AX314*100,6))</f>
        <v/>
      </c>
      <c r="AM311" s="68" t="str">
        <f>IF(main!AY314="","",ROUND(main!AY314*100,6))</f>
        <v/>
      </c>
      <c r="AN311" s="68" t="str">
        <f>IF(main!AZ314="","",ROUND(main!AZ314*100,6))</f>
        <v/>
      </c>
      <c r="AO311" s="68" t="str">
        <f>IF(main!BA314="","",ROUND(main!BA314*100,6))</f>
        <v/>
      </c>
      <c r="AP311" s="68" t="str">
        <f>IF(main!BB314="","",ROUND(main!BB314*100,6))</f>
        <v/>
      </c>
      <c r="AQ311" s="68" t="str">
        <f>IF(main!BC314="","",ROUND(main!BC314*100,6))</f>
        <v/>
      </c>
      <c r="AR311" s="68" t="str">
        <f>IF(main!BD314="","",ROUND(main!BD314*100,6))</f>
        <v/>
      </c>
      <c r="AS311" s="68" t="str">
        <f>IF(main!BE314="","",ROUND(main!BE314*100,6))</f>
        <v/>
      </c>
      <c r="AT311" s="68" t="str">
        <f>IF(main!BF314="","",ROUND(main!BF314*100,6))</f>
        <v/>
      </c>
      <c r="AU311" s="68" t="str">
        <f>IF(main!BG314="","",ROUND(main!BG314*100,6))</f>
        <v/>
      </c>
      <c r="AV311" s="68" t="str">
        <f>IF(main!BH314="","",ROUND(main!BH314*100,6))</f>
        <v/>
      </c>
      <c r="AW311" s="68" t="str">
        <f>IF(main!BI314="","",ROUND(main!BI314*100,6))</f>
        <v/>
      </c>
      <c r="AX311" s="68" t="str">
        <f>IF(main!BJ314="","",ROUND(main!BJ314*100,6))</f>
        <v/>
      </c>
      <c r="AY311" s="68" t="str">
        <f>IF(main!BK314="","",ROUND(main!BK314*100,6))</f>
        <v/>
      </c>
      <c r="AZ311" s="68" t="str">
        <f>IF(main!BL314="","",ROUND(main!BL314*100,6))</f>
        <v/>
      </c>
      <c r="BA311" s="68" t="str">
        <f>IF(main!BM314="","",ROUND(main!BM314*100,6))</f>
        <v/>
      </c>
      <c r="BB311" s="68" t="str">
        <f>IF(main!BN314="","",ROUND(main!BN314*100,6))</f>
        <v/>
      </c>
      <c r="BC311" s="68" t="str">
        <f>IF(main!BO314="","",ROUND(main!BO314*100,6))</f>
        <v/>
      </c>
      <c r="BD311" s="68" t="str">
        <f>IF(main!BP314="","",ROUND(main!BP314*100,6))</f>
        <v/>
      </c>
      <c r="BE311" s="68" t="str">
        <f>IF(main!BQ314="","",ROUND(main!BQ314*100,6))</f>
        <v/>
      </c>
      <c r="BF311" s="68" t="str">
        <f>IF(main!BR314="","",ROUND(main!BR314*100,6))</f>
        <v/>
      </c>
      <c r="BG311" s="68" t="str">
        <f>IF(main!BS314="","",ROUND(main!BS314*100,6))</f>
        <v/>
      </c>
      <c r="BH311" s="68" t="str">
        <f>IF(main!BT314="","",ROUND(main!BT314*100,6))</f>
        <v/>
      </c>
      <c r="BI311" s="68" t="str">
        <f>IF(main!BU314="","",ROUND(main!BU314*100,6))</f>
        <v/>
      </c>
      <c r="BJ311" s="68" t="str">
        <f>IF(main!BV314="","",ROUND(main!BV314*100,6))</f>
        <v/>
      </c>
      <c r="BK311" s="68" t="str">
        <f>IF(main!BW314="","",ROUND(main!BW314*100,6))</f>
        <v/>
      </c>
      <c r="BL311" s="68" t="str">
        <f>IF(main!BX314="","",ROUND(main!BX314*100,6))</f>
        <v/>
      </c>
      <c r="BM311" s="68" t="str">
        <f>IF(main!BY314="","",ROUND(main!BY314*100,6))</f>
        <v/>
      </c>
      <c r="BN311" s="68" t="str">
        <f>IF(main!BZ314="","",ROUND(main!BZ314*100,6))</f>
        <v/>
      </c>
      <c r="BO311" s="68" t="str">
        <f>IF(main!CA314="","",ROUND(main!CA314*100,6))</f>
        <v/>
      </c>
      <c r="BP311" s="68" t="str">
        <f>IF(main!CB314="","",ROUND(main!CB314*100,6))</f>
        <v/>
      </c>
      <c r="BQ311" s="68" t="str">
        <f>IF(main!CC314="","",ROUND(main!CC314*100,6))</f>
        <v/>
      </c>
      <c r="BR311" s="68" t="str">
        <f>IF(main!CD314="","",ROUND(main!CD314*100,6))</f>
        <v/>
      </c>
      <c r="BS311" s="68" t="str">
        <f>IF(main!CE314="","",ROUND(main!CE314*100,6))</f>
        <v/>
      </c>
      <c r="BT311" s="68" t="str">
        <f>IF(main!CF314="","",ROUND(main!CF314*100,6))</f>
        <v/>
      </c>
      <c r="BU311" s="68" t="str">
        <f>IF(main!CG314="","",ROUND(main!CG314*100,6))</f>
        <v/>
      </c>
      <c r="BV311" s="68" t="str">
        <f>IF(main!CH314="","",ROUND(main!CH314*100,6))</f>
        <v/>
      </c>
      <c r="BW311" s="68" t="str">
        <f>IF(main!CI314="","",ROUND(main!CI314*100,6))</f>
        <v/>
      </c>
      <c r="BX311" s="68" t="str">
        <f>IF(main!CJ314="","",ROUND(main!CJ314*100,6))</f>
        <v/>
      </c>
      <c r="BY311" s="68" t="str">
        <f>IF(main!CK314="","",ROUND(main!CK314*100,6))</f>
        <v/>
      </c>
      <c r="BZ311" s="68" t="str">
        <f>IF(main!CL314="","",ROUND(main!CL314*100,6))</f>
        <v/>
      </c>
      <c r="CA311" s="68" t="str">
        <f>IF(main!CM314="","",ROUND(main!CM314*100,6))</f>
        <v/>
      </c>
      <c r="CB311" s="68" t="str">
        <f>IF(main!CN314="","",ROUND(main!CN314*100,6))</f>
        <v/>
      </c>
      <c r="CC311" s="68" t="str">
        <f>IF(main!CO314="","",ROUND(main!CO314*100,6))</f>
        <v/>
      </c>
    </row>
    <row r="312" spans="1:81" x14ac:dyDescent="0.25">
      <c r="A312" s="65" t="s">
        <v>466</v>
      </c>
      <c r="B312" s="66" t="str">
        <f>main!C315</f>
        <v>Wall | Wall Fn.</v>
      </c>
      <c r="C312" s="67">
        <f>main!O315</f>
        <v>200000</v>
      </c>
      <c r="D312" s="65" t="s">
        <v>110</v>
      </c>
      <c r="E312" s="68">
        <f t="shared" si="4"/>
        <v>100.000001</v>
      </c>
      <c r="F312" s="68" t="str">
        <f>IF(main!R315="","",ROUND(main!R315*100,6))</f>
        <v/>
      </c>
      <c r="G312" s="68" t="str">
        <f>IF(main!S315="","",ROUND(main!S315*100,6))</f>
        <v/>
      </c>
      <c r="H312" s="68" t="str">
        <f>IF(main!T315="","",ROUND(main!T315*100,6))</f>
        <v/>
      </c>
      <c r="I312" s="68" t="str">
        <f>IF(main!U315="","",ROUND(main!U315*100,6))</f>
        <v/>
      </c>
      <c r="J312" s="68" t="str">
        <f>IF(main!V315="","",ROUND(main!V315*100,6))</f>
        <v/>
      </c>
      <c r="K312" s="68" t="str">
        <f>IF(main!W315="","",ROUND(main!W315*100,6))</f>
        <v/>
      </c>
      <c r="L312" s="68" t="str">
        <f>IF(main!X315="","",ROUND(main!X315*100,6))</f>
        <v/>
      </c>
      <c r="M312" s="68" t="str">
        <f>IF(main!Y315="","",ROUND(main!Y315*100,6))</f>
        <v/>
      </c>
      <c r="N312" s="68" t="str">
        <f>IF(main!Z315="","",ROUND(main!Z315*100,6))</f>
        <v/>
      </c>
      <c r="O312" s="68" t="str">
        <f>IF(main!AA315="","",ROUND(main!AA315*100,6))</f>
        <v/>
      </c>
      <c r="P312" s="68" t="str">
        <f>IF(main!AB315="","",ROUND(main!AB315*100,6))</f>
        <v/>
      </c>
      <c r="Q312" s="68" t="str">
        <f>IF(main!AC315="","",ROUND(main!AC315*100,6))</f>
        <v/>
      </c>
      <c r="R312" s="68" t="str">
        <f>IF(main!AD315="","",ROUND(main!AD315*100,6))</f>
        <v/>
      </c>
      <c r="S312" s="68" t="str">
        <f>IF(main!AE315="","",ROUND(main!AE315*100,6))</f>
        <v/>
      </c>
      <c r="T312" s="68" t="str">
        <f>IF(main!AF315="","",ROUND(main!AF315*100,6))</f>
        <v/>
      </c>
      <c r="U312" s="68" t="str">
        <f>IF(main!AG315="","",ROUND(main!AG315*100,6))</f>
        <v/>
      </c>
      <c r="V312" s="68" t="str">
        <f>IF(main!AH315="","",ROUND(main!AH315*100,6))</f>
        <v/>
      </c>
      <c r="W312" s="68" t="str">
        <f>IF(main!AI315="","",ROUND(main!AI315*100,6))</f>
        <v/>
      </c>
      <c r="X312" s="68" t="str">
        <f>IF(main!AJ315="","",ROUND(main!AJ315*100,6))</f>
        <v/>
      </c>
      <c r="Y312" s="68" t="str">
        <f>IF(main!AK315="","",ROUND(main!AK315*100,6))</f>
        <v/>
      </c>
      <c r="Z312" s="68" t="str">
        <f>IF(main!AL315="","",ROUND(main!AL315*100,6))</f>
        <v/>
      </c>
      <c r="AA312" s="68" t="str">
        <f>IF(main!AM315="","",ROUND(main!AM315*100,6))</f>
        <v/>
      </c>
      <c r="AB312" s="68" t="str">
        <f>IF(main!AN315="","",ROUND(main!AN315*100,6))</f>
        <v/>
      </c>
      <c r="AC312" s="68" t="str">
        <f>IF(main!AO315="","",ROUND(main!AO315*100,6))</f>
        <v/>
      </c>
      <c r="AD312" s="68" t="str">
        <f>IF(main!AP315="","",ROUND(main!AP315*100,6))</f>
        <v/>
      </c>
      <c r="AE312" s="68" t="str">
        <f>IF(main!AQ315="","",ROUND(main!AQ315*100,6))</f>
        <v/>
      </c>
      <c r="AF312" s="68" t="str">
        <f>IF(main!AR315="","",ROUND(main!AR315*100,6))</f>
        <v/>
      </c>
      <c r="AG312" s="68" t="str">
        <f>IF(main!AS315="","",ROUND(main!AS315*100,6))</f>
        <v/>
      </c>
      <c r="AH312" s="68" t="str">
        <f>IF(main!AT315="","",ROUND(main!AT315*100,6))</f>
        <v/>
      </c>
      <c r="AI312" s="68" t="str">
        <f>IF(main!AU315="","",ROUND(main!AU315*100,6))</f>
        <v/>
      </c>
      <c r="AJ312" s="68" t="str">
        <f>IF(main!AV315="","",ROUND(main!AV315*100,6))</f>
        <v/>
      </c>
      <c r="AK312" s="68" t="str">
        <f>IF(main!AW315="","",ROUND(main!AW315*100,6))</f>
        <v/>
      </c>
      <c r="AL312" s="68" t="str">
        <f>IF(main!AX315="","",ROUND(main!AX315*100,6))</f>
        <v/>
      </c>
      <c r="AM312" s="68" t="str">
        <f>IF(main!AY315="","",ROUND(main!AY315*100,6))</f>
        <v/>
      </c>
      <c r="AN312" s="68" t="str">
        <f>IF(main!AZ315="","",ROUND(main!AZ315*100,6))</f>
        <v/>
      </c>
      <c r="AO312" s="68" t="str">
        <f>IF(main!BA315="","",ROUND(main!BA315*100,6))</f>
        <v/>
      </c>
      <c r="AP312" s="68" t="str">
        <f>IF(main!BB315="","",ROUND(main!BB315*100,6))</f>
        <v/>
      </c>
      <c r="AQ312" s="68" t="str">
        <f>IF(main!BC315="","",ROUND(main!BC315*100,6))</f>
        <v/>
      </c>
      <c r="AR312" s="68" t="str">
        <f>IF(main!BD315="","",ROUND(main!BD315*100,6))</f>
        <v/>
      </c>
      <c r="AS312" s="68" t="str">
        <f>IF(main!BE315="","",ROUND(main!BE315*100,6))</f>
        <v/>
      </c>
      <c r="AT312" s="68" t="str">
        <f>IF(main!BF315="","",ROUND(main!BF315*100,6))</f>
        <v/>
      </c>
      <c r="AU312" s="68" t="str">
        <f>IF(main!BG315="","",ROUND(main!BG315*100,6))</f>
        <v/>
      </c>
      <c r="AV312" s="68" t="str">
        <f>IF(main!BH315="","",ROUND(main!BH315*100,6))</f>
        <v/>
      </c>
      <c r="AW312" s="68" t="str">
        <f>IF(main!BI315="","",ROUND(main!BI315*100,6))</f>
        <v/>
      </c>
      <c r="AX312" s="68" t="str">
        <f>IF(main!BJ315="","",ROUND(main!BJ315*100,6))</f>
        <v/>
      </c>
      <c r="AY312" s="68" t="str">
        <f>IF(main!BK315="","",ROUND(main!BK315*100,6))</f>
        <v/>
      </c>
      <c r="AZ312" s="68" t="str">
        <f>IF(main!BL315="","",ROUND(main!BL315*100,6))</f>
        <v/>
      </c>
      <c r="BA312" s="68" t="str">
        <f>IF(main!BM315="","",ROUND(main!BM315*100,6))</f>
        <v/>
      </c>
      <c r="BB312" s="68" t="str">
        <f>IF(main!BN315="","",ROUND(main!BN315*100,6))</f>
        <v/>
      </c>
      <c r="BC312" s="68" t="str">
        <f>IF(main!BO315="","",ROUND(main!BO315*100,6))</f>
        <v/>
      </c>
      <c r="BD312" s="68" t="str">
        <f>IF(main!BP315="","",ROUND(main!BP315*100,6))</f>
        <v/>
      </c>
      <c r="BE312" s="68" t="str">
        <f>IF(main!BQ315="","",ROUND(main!BQ315*100,6))</f>
        <v/>
      </c>
      <c r="BF312" s="68" t="str">
        <f>IF(main!BR315="","",ROUND(main!BR315*100,6))</f>
        <v/>
      </c>
      <c r="BG312" s="68" t="str">
        <f>IF(main!BS315="","",ROUND(main!BS315*100,6))</f>
        <v/>
      </c>
      <c r="BH312" s="68" t="str">
        <f>IF(main!BT315="","",ROUND(main!BT315*100,6))</f>
        <v/>
      </c>
      <c r="BI312" s="68" t="str">
        <f>IF(main!BU315="","",ROUND(main!BU315*100,6))</f>
        <v/>
      </c>
      <c r="BJ312" s="68">
        <f>IF(main!BV315="","",ROUND(main!BV315*100,6))</f>
        <v>3.5714290000000002</v>
      </c>
      <c r="BK312" s="68">
        <f>IF(main!BW315="","",ROUND(main!BW315*100,6))</f>
        <v>25</v>
      </c>
      <c r="BL312" s="68">
        <f>IF(main!BX315="","",ROUND(main!BX315*100,6))</f>
        <v>42.261904999999999</v>
      </c>
      <c r="BM312" s="68">
        <f>IF(main!BY315="","",ROUND(main!BY315*100,6))</f>
        <v>29.166667</v>
      </c>
      <c r="BN312" s="68" t="str">
        <f>IF(main!BZ315="","",ROUND(main!BZ315*100,6))</f>
        <v/>
      </c>
      <c r="BO312" s="68" t="str">
        <f>IF(main!CA315="","",ROUND(main!CA315*100,6))</f>
        <v/>
      </c>
      <c r="BP312" s="68" t="str">
        <f>IF(main!CB315="","",ROUND(main!CB315*100,6))</f>
        <v/>
      </c>
      <c r="BQ312" s="68" t="str">
        <f>IF(main!CC315="","",ROUND(main!CC315*100,6))</f>
        <v/>
      </c>
      <c r="BR312" s="68" t="str">
        <f>IF(main!CD315="","",ROUND(main!CD315*100,6))</f>
        <v/>
      </c>
      <c r="BS312" s="68" t="str">
        <f>IF(main!CE315="","",ROUND(main!CE315*100,6))</f>
        <v/>
      </c>
      <c r="BT312" s="68" t="str">
        <f>IF(main!CF315="","",ROUND(main!CF315*100,6))</f>
        <v/>
      </c>
      <c r="BU312" s="68" t="str">
        <f>IF(main!CG315="","",ROUND(main!CG315*100,6))</f>
        <v/>
      </c>
      <c r="BV312" s="68" t="str">
        <f>IF(main!CH315="","",ROUND(main!CH315*100,6))</f>
        <v/>
      </c>
      <c r="BW312" s="68" t="str">
        <f>IF(main!CI315="","",ROUND(main!CI315*100,6))</f>
        <v/>
      </c>
      <c r="BX312" s="68" t="str">
        <f>IF(main!CJ315="","",ROUND(main!CJ315*100,6))</f>
        <v/>
      </c>
      <c r="BY312" s="68" t="str">
        <f>IF(main!CK315="","",ROUND(main!CK315*100,6))</f>
        <v/>
      </c>
      <c r="BZ312" s="68" t="str">
        <f>IF(main!CL315="","",ROUND(main!CL315*100,6))</f>
        <v/>
      </c>
      <c r="CA312" s="68" t="str">
        <f>IF(main!CM315="","",ROUND(main!CM315*100,6))</f>
        <v/>
      </c>
      <c r="CB312" s="68" t="str">
        <f>IF(main!CN315="","",ROUND(main!CN315*100,6))</f>
        <v/>
      </c>
      <c r="CC312" s="68" t="str">
        <f>IF(main!CO315="","",ROUND(main!CO315*100,6))</f>
        <v/>
      </c>
    </row>
    <row r="313" spans="1:81" x14ac:dyDescent="0.25">
      <c r="A313" s="65" t="s">
        <v>466</v>
      </c>
      <c r="B313" s="66" t="str">
        <f>main!C315</f>
        <v>Wall | Wall Fn.</v>
      </c>
      <c r="C313" s="67">
        <f>main!O315</f>
        <v>200000</v>
      </c>
      <c r="D313" s="65" t="s">
        <v>111</v>
      </c>
      <c r="E313" s="68" t="str">
        <f t="shared" si="4"/>
        <v/>
      </c>
      <c r="F313" s="68" t="str">
        <f>IF(main!R316="","",ROUND(main!R316*100,6))</f>
        <v/>
      </c>
      <c r="G313" s="68" t="str">
        <f>IF(main!S316="","",ROUND(main!S316*100,6))</f>
        <v/>
      </c>
      <c r="H313" s="68" t="str">
        <f>IF(main!T316="","",ROUND(main!T316*100,6))</f>
        <v/>
      </c>
      <c r="I313" s="68" t="str">
        <f>IF(main!U316="","",ROUND(main!U316*100,6))</f>
        <v/>
      </c>
      <c r="J313" s="68" t="str">
        <f>IF(main!V316="","",ROUND(main!V316*100,6))</f>
        <v/>
      </c>
      <c r="K313" s="68" t="str">
        <f>IF(main!W316="","",ROUND(main!W316*100,6))</f>
        <v/>
      </c>
      <c r="L313" s="68" t="str">
        <f>IF(main!X316="","",ROUND(main!X316*100,6))</f>
        <v/>
      </c>
      <c r="M313" s="68" t="str">
        <f>IF(main!Y316="","",ROUND(main!Y316*100,6))</f>
        <v/>
      </c>
      <c r="N313" s="68" t="str">
        <f>IF(main!Z316="","",ROUND(main!Z316*100,6))</f>
        <v/>
      </c>
      <c r="O313" s="68" t="str">
        <f>IF(main!AA316="","",ROUND(main!AA316*100,6))</f>
        <v/>
      </c>
      <c r="P313" s="68" t="str">
        <f>IF(main!AB316="","",ROUND(main!AB316*100,6))</f>
        <v/>
      </c>
      <c r="Q313" s="68" t="str">
        <f>IF(main!AC316="","",ROUND(main!AC316*100,6))</f>
        <v/>
      </c>
      <c r="R313" s="68" t="str">
        <f>IF(main!AD316="","",ROUND(main!AD316*100,6))</f>
        <v/>
      </c>
      <c r="S313" s="68" t="str">
        <f>IF(main!AE316="","",ROUND(main!AE316*100,6))</f>
        <v/>
      </c>
      <c r="T313" s="68" t="str">
        <f>IF(main!AF316="","",ROUND(main!AF316*100,6))</f>
        <v/>
      </c>
      <c r="U313" s="68" t="str">
        <f>IF(main!AG316="","",ROUND(main!AG316*100,6))</f>
        <v/>
      </c>
      <c r="V313" s="68" t="str">
        <f>IF(main!AH316="","",ROUND(main!AH316*100,6))</f>
        <v/>
      </c>
      <c r="W313" s="68" t="str">
        <f>IF(main!AI316="","",ROUND(main!AI316*100,6))</f>
        <v/>
      </c>
      <c r="X313" s="68" t="str">
        <f>IF(main!AJ316="","",ROUND(main!AJ316*100,6))</f>
        <v/>
      </c>
      <c r="Y313" s="68" t="str">
        <f>IF(main!AK316="","",ROUND(main!AK316*100,6))</f>
        <v/>
      </c>
      <c r="Z313" s="68" t="str">
        <f>IF(main!AL316="","",ROUND(main!AL316*100,6))</f>
        <v/>
      </c>
      <c r="AA313" s="68" t="str">
        <f>IF(main!AM316="","",ROUND(main!AM316*100,6))</f>
        <v/>
      </c>
      <c r="AB313" s="68" t="str">
        <f>IF(main!AN316="","",ROUND(main!AN316*100,6))</f>
        <v/>
      </c>
      <c r="AC313" s="68" t="str">
        <f>IF(main!AO316="","",ROUND(main!AO316*100,6))</f>
        <v/>
      </c>
      <c r="AD313" s="68" t="str">
        <f>IF(main!AP316="","",ROUND(main!AP316*100,6))</f>
        <v/>
      </c>
      <c r="AE313" s="68" t="str">
        <f>IF(main!AQ316="","",ROUND(main!AQ316*100,6))</f>
        <v/>
      </c>
      <c r="AF313" s="68" t="str">
        <f>IF(main!AR316="","",ROUND(main!AR316*100,6))</f>
        <v/>
      </c>
      <c r="AG313" s="68" t="str">
        <f>IF(main!AS316="","",ROUND(main!AS316*100,6))</f>
        <v/>
      </c>
      <c r="AH313" s="68" t="str">
        <f>IF(main!AT316="","",ROUND(main!AT316*100,6))</f>
        <v/>
      </c>
      <c r="AI313" s="68" t="str">
        <f>IF(main!AU316="","",ROUND(main!AU316*100,6))</f>
        <v/>
      </c>
      <c r="AJ313" s="68" t="str">
        <f>IF(main!AV316="","",ROUND(main!AV316*100,6))</f>
        <v/>
      </c>
      <c r="AK313" s="68" t="str">
        <f>IF(main!AW316="","",ROUND(main!AW316*100,6))</f>
        <v/>
      </c>
      <c r="AL313" s="68" t="str">
        <f>IF(main!AX316="","",ROUND(main!AX316*100,6))</f>
        <v/>
      </c>
      <c r="AM313" s="68" t="str">
        <f>IF(main!AY316="","",ROUND(main!AY316*100,6))</f>
        <v/>
      </c>
      <c r="AN313" s="68" t="str">
        <f>IF(main!AZ316="","",ROUND(main!AZ316*100,6))</f>
        <v/>
      </c>
      <c r="AO313" s="68" t="str">
        <f>IF(main!BA316="","",ROUND(main!BA316*100,6))</f>
        <v/>
      </c>
      <c r="AP313" s="68" t="str">
        <f>IF(main!BB316="","",ROUND(main!BB316*100,6))</f>
        <v/>
      </c>
      <c r="AQ313" s="68" t="str">
        <f>IF(main!BC316="","",ROUND(main!BC316*100,6))</f>
        <v/>
      </c>
      <c r="AR313" s="68" t="str">
        <f>IF(main!BD316="","",ROUND(main!BD316*100,6))</f>
        <v/>
      </c>
      <c r="AS313" s="68" t="str">
        <f>IF(main!BE316="","",ROUND(main!BE316*100,6))</f>
        <v/>
      </c>
      <c r="AT313" s="68" t="str">
        <f>IF(main!BF316="","",ROUND(main!BF316*100,6))</f>
        <v/>
      </c>
      <c r="AU313" s="68" t="str">
        <f>IF(main!BG316="","",ROUND(main!BG316*100,6))</f>
        <v/>
      </c>
      <c r="AV313" s="68" t="str">
        <f>IF(main!BH316="","",ROUND(main!BH316*100,6))</f>
        <v/>
      </c>
      <c r="AW313" s="68" t="str">
        <f>IF(main!BI316="","",ROUND(main!BI316*100,6))</f>
        <v/>
      </c>
      <c r="AX313" s="68" t="str">
        <f>IF(main!BJ316="","",ROUND(main!BJ316*100,6))</f>
        <v/>
      </c>
      <c r="AY313" s="68" t="str">
        <f>IF(main!BK316="","",ROUND(main!BK316*100,6))</f>
        <v/>
      </c>
      <c r="AZ313" s="68" t="str">
        <f>IF(main!BL316="","",ROUND(main!BL316*100,6))</f>
        <v/>
      </c>
      <c r="BA313" s="68" t="str">
        <f>IF(main!BM316="","",ROUND(main!BM316*100,6))</f>
        <v/>
      </c>
      <c r="BB313" s="68" t="str">
        <f>IF(main!BN316="","",ROUND(main!BN316*100,6))</f>
        <v/>
      </c>
      <c r="BC313" s="68" t="str">
        <f>IF(main!BO316="","",ROUND(main!BO316*100,6))</f>
        <v/>
      </c>
      <c r="BD313" s="68" t="str">
        <f>IF(main!BP316="","",ROUND(main!BP316*100,6))</f>
        <v/>
      </c>
      <c r="BE313" s="68" t="str">
        <f>IF(main!BQ316="","",ROUND(main!BQ316*100,6))</f>
        <v/>
      </c>
      <c r="BF313" s="68" t="str">
        <f>IF(main!BR316="","",ROUND(main!BR316*100,6))</f>
        <v/>
      </c>
      <c r="BG313" s="68" t="str">
        <f>IF(main!BS316="","",ROUND(main!BS316*100,6))</f>
        <v/>
      </c>
      <c r="BH313" s="68" t="str">
        <f>IF(main!BT316="","",ROUND(main!BT316*100,6))</f>
        <v/>
      </c>
      <c r="BI313" s="68" t="str">
        <f>IF(main!BU316="","",ROUND(main!BU316*100,6))</f>
        <v/>
      </c>
      <c r="BJ313" s="68" t="str">
        <f>IF(main!BV316="","",ROUND(main!BV316*100,6))</f>
        <v/>
      </c>
      <c r="BK313" s="68" t="str">
        <f>IF(main!BW316="","",ROUND(main!BW316*100,6))</f>
        <v/>
      </c>
      <c r="BL313" s="68" t="str">
        <f>IF(main!BX316="","",ROUND(main!BX316*100,6))</f>
        <v/>
      </c>
      <c r="BM313" s="68" t="str">
        <f>IF(main!BY316="","",ROUND(main!BY316*100,6))</f>
        <v/>
      </c>
      <c r="BN313" s="68" t="str">
        <f>IF(main!BZ316="","",ROUND(main!BZ316*100,6))</f>
        <v/>
      </c>
      <c r="BO313" s="68" t="str">
        <f>IF(main!CA316="","",ROUND(main!CA316*100,6))</f>
        <v/>
      </c>
      <c r="BP313" s="68" t="str">
        <f>IF(main!CB316="","",ROUND(main!CB316*100,6))</f>
        <v/>
      </c>
      <c r="BQ313" s="68" t="str">
        <f>IF(main!CC316="","",ROUND(main!CC316*100,6))</f>
        <v/>
      </c>
      <c r="BR313" s="68" t="str">
        <f>IF(main!CD316="","",ROUND(main!CD316*100,6))</f>
        <v/>
      </c>
      <c r="BS313" s="68" t="str">
        <f>IF(main!CE316="","",ROUND(main!CE316*100,6))</f>
        <v/>
      </c>
      <c r="BT313" s="68" t="str">
        <f>IF(main!CF316="","",ROUND(main!CF316*100,6))</f>
        <v/>
      </c>
      <c r="BU313" s="68" t="str">
        <f>IF(main!CG316="","",ROUND(main!CG316*100,6))</f>
        <v/>
      </c>
      <c r="BV313" s="68" t="str">
        <f>IF(main!CH316="","",ROUND(main!CH316*100,6))</f>
        <v/>
      </c>
      <c r="BW313" s="68" t="str">
        <f>IF(main!CI316="","",ROUND(main!CI316*100,6))</f>
        <v/>
      </c>
      <c r="BX313" s="68" t="str">
        <f>IF(main!CJ316="","",ROUND(main!CJ316*100,6))</f>
        <v/>
      </c>
      <c r="BY313" s="68" t="str">
        <f>IF(main!CK316="","",ROUND(main!CK316*100,6))</f>
        <v/>
      </c>
      <c r="BZ313" s="68" t="str">
        <f>IF(main!CL316="","",ROUND(main!CL316*100,6))</f>
        <v/>
      </c>
      <c r="CA313" s="68" t="str">
        <f>IF(main!CM316="","",ROUND(main!CM316*100,6))</f>
        <v/>
      </c>
      <c r="CB313" s="68" t="str">
        <f>IF(main!CN316="","",ROUND(main!CN316*100,6))</f>
        <v/>
      </c>
      <c r="CC313" s="68" t="str">
        <f>IF(main!CO316="","",ROUND(main!CO316*100,6))</f>
        <v/>
      </c>
    </row>
    <row r="314" spans="1:81" x14ac:dyDescent="0.25">
      <c r="A314" s="65" t="s">
        <v>467</v>
      </c>
      <c r="B314" s="66" t="str">
        <f>main!C317</f>
        <v>งานก่ออิฐมวลเบา ฉาบเรียบ</v>
      </c>
      <c r="C314" s="67">
        <f>main!O317</f>
        <v>100000</v>
      </c>
      <c r="D314" s="65" t="s">
        <v>110</v>
      </c>
      <c r="E314" s="68">
        <f t="shared" si="4"/>
        <v>100</v>
      </c>
      <c r="F314" s="68" t="str">
        <f>IF(main!R317="","",ROUND(main!R317*100,6))</f>
        <v/>
      </c>
      <c r="G314" s="68" t="str">
        <f>IF(main!S317="","",ROUND(main!S317*100,6))</f>
        <v/>
      </c>
      <c r="H314" s="68" t="str">
        <f>IF(main!T317="","",ROUND(main!T317*100,6))</f>
        <v/>
      </c>
      <c r="I314" s="68" t="str">
        <f>IF(main!U317="","",ROUND(main!U317*100,6))</f>
        <v/>
      </c>
      <c r="J314" s="68" t="str">
        <f>IF(main!V317="","",ROUND(main!V317*100,6))</f>
        <v/>
      </c>
      <c r="K314" s="68" t="str">
        <f>IF(main!W317="","",ROUND(main!W317*100,6))</f>
        <v/>
      </c>
      <c r="L314" s="68" t="str">
        <f>IF(main!X317="","",ROUND(main!X317*100,6))</f>
        <v/>
      </c>
      <c r="M314" s="68" t="str">
        <f>IF(main!Y317="","",ROUND(main!Y317*100,6))</f>
        <v/>
      </c>
      <c r="N314" s="68" t="str">
        <f>IF(main!Z317="","",ROUND(main!Z317*100,6))</f>
        <v/>
      </c>
      <c r="O314" s="68" t="str">
        <f>IF(main!AA317="","",ROUND(main!AA317*100,6))</f>
        <v/>
      </c>
      <c r="P314" s="68" t="str">
        <f>IF(main!AB317="","",ROUND(main!AB317*100,6))</f>
        <v/>
      </c>
      <c r="Q314" s="68" t="str">
        <f>IF(main!AC317="","",ROUND(main!AC317*100,6))</f>
        <v/>
      </c>
      <c r="R314" s="68" t="str">
        <f>IF(main!AD317="","",ROUND(main!AD317*100,6))</f>
        <v/>
      </c>
      <c r="S314" s="68" t="str">
        <f>IF(main!AE317="","",ROUND(main!AE317*100,6))</f>
        <v/>
      </c>
      <c r="T314" s="68" t="str">
        <f>IF(main!AF317="","",ROUND(main!AF317*100,6))</f>
        <v/>
      </c>
      <c r="U314" s="68" t="str">
        <f>IF(main!AG317="","",ROUND(main!AG317*100,6))</f>
        <v/>
      </c>
      <c r="V314" s="68" t="str">
        <f>IF(main!AH317="","",ROUND(main!AH317*100,6))</f>
        <v/>
      </c>
      <c r="W314" s="68" t="str">
        <f>IF(main!AI317="","",ROUND(main!AI317*100,6))</f>
        <v/>
      </c>
      <c r="X314" s="68" t="str">
        <f>IF(main!AJ317="","",ROUND(main!AJ317*100,6))</f>
        <v/>
      </c>
      <c r="Y314" s="68" t="str">
        <f>IF(main!AK317="","",ROUND(main!AK317*100,6))</f>
        <v/>
      </c>
      <c r="Z314" s="68" t="str">
        <f>IF(main!AL317="","",ROUND(main!AL317*100,6))</f>
        <v/>
      </c>
      <c r="AA314" s="68" t="str">
        <f>IF(main!AM317="","",ROUND(main!AM317*100,6))</f>
        <v/>
      </c>
      <c r="AB314" s="68" t="str">
        <f>IF(main!AN317="","",ROUND(main!AN317*100,6))</f>
        <v/>
      </c>
      <c r="AC314" s="68" t="str">
        <f>IF(main!AO317="","",ROUND(main!AO317*100,6))</f>
        <v/>
      </c>
      <c r="AD314" s="68" t="str">
        <f>IF(main!AP317="","",ROUND(main!AP317*100,6))</f>
        <v/>
      </c>
      <c r="AE314" s="68" t="str">
        <f>IF(main!AQ317="","",ROUND(main!AQ317*100,6))</f>
        <v/>
      </c>
      <c r="AF314" s="68" t="str">
        <f>IF(main!AR317="","",ROUND(main!AR317*100,6))</f>
        <v/>
      </c>
      <c r="AG314" s="68" t="str">
        <f>IF(main!AS317="","",ROUND(main!AS317*100,6))</f>
        <v/>
      </c>
      <c r="AH314" s="68" t="str">
        <f>IF(main!AT317="","",ROUND(main!AT317*100,6))</f>
        <v/>
      </c>
      <c r="AI314" s="68" t="str">
        <f>IF(main!AU317="","",ROUND(main!AU317*100,6))</f>
        <v/>
      </c>
      <c r="AJ314" s="68" t="str">
        <f>IF(main!AV317="","",ROUND(main!AV317*100,6))</f>
        <v/>
      </c>
      <c r="AK314" s="68" t="str">
        <f>IF(main!AW317="","",ROUND(main!AW317*100,6))</f>
        <v/>
      </c>
      <c r="AL314" s="68" t="str">
        <f>IF(main!AX317="","",ROUND(main!AX317*100,6))</f>
        <v/>
      </c>
      <c r="AM314" s="68" t="str">
        <f>IF(main!AY317="","",ROUND(main!AY317*100,6))</f>
        <v/>
      </c>
      <c r="AN314" s="68" t="str">
        <f>IF(main!AZ317="","",ROUND(main!AZ317*100,6))</f>
        <v/>
      </c>
      <c r="AO314" s="68" t="str">
        <f>IF(main!BA317="","",ROUND(main!BA317*100,6))</f>
        <v/>
      </c>
      <c r="AP314" s="68" t="str">
        <f>IF(main!BB317="","",ROUND(main!BB317*100,6))</f>
        <v/>
      </c>
      <c r="AQ314" s="68" t="str">
        <f>IF(main!BC317="","",ROUND(main!BC317*100,6))</f>
        <v/>
      </c>
      <c r="AR314" s="68" t="str">
        <f>IF(main!BD317="","",ROUND(main!BD317*100,6))</f>
        <v/>
      </c>
      <c r="AS314" s="68" t="str">
        <f>IF(main!BE317="","",ROUND(main!BE317*100,6))</f>
        <v/>
      </c>
      <c r="AT314" s="68" t="str">
        <f>IF(main!BF317="","",ROUND(main!BF317*100,6))</f>
        <v/>
      </c>
      <c r="AU314" s="68" t="str">
        <f>IF(main!BG317="","",ROUND(main!BG317*100,6))</f>
        <v/>
      </c>
      <c r="AV314" s="68" t="str">
        <f>IF(main!BH317="","",ROUND(main!BH317*100,6))</f>
        <v/>
      </c>
      <c r="AW314" s="68" t="str">
        <f>IF(main!BI317="","",ROUND(main!BI317*100,6))</f>
        <v/>
      </c>
      <c r="AX314" s="68" t="str">
        <f>IF(main!BJ317="","",ROUND(main!BJ317*100,6))</f>
        <v/>
      </c>
      <c r="AY314" s="68" t="str">
        <f>IF(main!BK317="","",ROUND(main!BK317*100,6))</f>
        <v/>
      </c>
      <c r="AZ314" s="68" t="str">
        <f>IF(main!BL317="","",ROUND(main!BL317*100,6))</f>
        <v/>
      </c>
      <c r="BA314" s="68" t="str">
        <f>IF(main!BM317="","",ROUND(main!BM317*100,6))</f>
        <v/>
      </c>
      <c r="BB314" s="68" t="str">
        <f>IF(main!BN317="","",ROUND(main!BN317*100,6))</f>
        <v/>
      </c>
      <c r="BC314" s="68" t="str">
        <f>IF(main!BO317="","",ROUND(main!BO317*100,6))</f>
        <v/>
      </c>
      <c r="BD314" s="68" t="str">
        <f>IF(main!BP317="","",ROUND(main!BP317*100,6))</f>
        <v/>
      </c>
      <c r="BE314" s="68" t="str">
        <f>IF(main!BQ317="","",ROUND(main!BQ317*100,6))</f>
        <v/>
      </c>
      <c r="BF314" s="68" t="str">
        <f>IF(main!BR317="","",ROUND(main!BR317*100,6))</f>
        <v/>
      </c>
      <c r="BG314" s="68" t="str">
        <f>IF(main!BS317="","",ROUND(main!BS317*100,6))</f>
        <v/>
      </c>
      <c r="BH314" s="68" t="str">
        <f>IF(main!BT317="","",ROUND(main!BT317*100,6))</f>
        <v/>
      </c>
      <c r="BI314" s="68" t="str">
        <f>IF(main!BU317="","",ROUND(main!BU317*100,6))</f>
        <v/>
      </c>
      <c r="BJ314" s="68" t="str">
        <f>IF(main!BV317="","",ROUND(main!BV317*100,6))</f>
        <v/>
      </c>
      <c r="BK314" s="68" t="str">
        <f>IF(main!BW317="","",ROUND(main!BW317*100,6))</f>
        <v/>
      </c>
      <c r="BL314" s="68">
        <f>IF(main!BX317="","",ROUND(main!BX317*100,6))</f>
        <v>41.666666999999997</v>
      </c>
      <c r="BM314" s="68">
        <f>IF(main!BY317="","",ROUND(main!BY317*100,6))</f>
        <v>58.333333000000003</v>
      </c>
      <c r="BN314" s="68" t="str">
        <f>IF(main!BZ317="","",ROUND(main!BZ317*100,6))</f>
        <v/>
      </c>
      <c r="BO314" s="68" t="str">
        <f>IF(main!CA317="","",ROUND(main!CA317*100,6))</f>
        <v/>
      </c>
      <c r="BP314" s="68" t="str">
        <f>IF(main!CB317="","",ROUND(main!CB317*100,6))</f>
        <v/>
      </c>
      <c r="BQ314" s="68" t="str">
        <f>IF(main!CC317="","",ROUND(main!CC317*100,6))</f>
        <v/>
      </c>
      <c r="BR314" s="68" t="str">
        <f>IF(main!CD317="","",ROUND(main!CD317*100,6))</f>
        <v/>
      </c>
      <c r="BS314" s="68" t="str">
        <f>IF(main!CE317="","",ROUND(main!CE317*100,6))</f>
        <v/>
      </c>
      <c r="BT314" s="68" t="str">
        <f>IF(main!CF317="","",ROUND(main!CF317*100,6))</f>
        <v/>
      </c>
      <c r="BU314" s="68" t="str">
        <f>IF(main!CG317="","",ROUND(main!CG317*100,6))</f>
        <v/>
      </c>
      <c r="BV314" s="68" t="str">
        <f>IF(main!CH317="","",ROUND(main!CH317*100,6))</f>
        <v/>
      </c>
      <c r="BW314" s="68" t="str">
        <f>IF(main!CI317="","",ROUND(main!CI317*100,6))</f>
        <v/>
      </c>
      <c r="BX314" s="68" t="str">
        <f>IF(main!CJ317="","",ROUND(main!CJ317*100,6))</f>
        <v/>
      </c>
      <c r="BY314" s="68" t="str">
        <f>IF(main!CK317="","",ROUND(main!CK317*100,6))</f>
        <v/>
      </c>
      <c r="BZ314" s="68" t="str">
        <f>IF(main!CL317="","",ROUND(main!CL317*100,6))</f>
        <v/>
      </c>
      <c r="CA314" s="68" t="str">
        <f>IF(main!CM317="","",ROUND(main!CM317*100,6))</f>
        <v/>
      </c>
      <c r="CB314" s="68" t="str">
        <f>IF(main!CN317="","",ROUND(main!CN317*100,6))</f>
        <v/>
      </c>
      <c r="CC314" s="68" t="str">
        <f>IF(main!CO317="","",ROUND(main!CO317*100,6))</f>
        <v/>
      </c>
    </row>
    <row r="315" spans="1:81" x14ac:dyDescent="0.25">
      <c r="A315" s="65" t="s">
        <v>467</v>
      </c>
      <c r="B315" s="66" t="str">
        <f>main!C317</f>
        <v>งานก่ออิฐมวลเบา ฉาบเรียบ</v>
      </c>
      <c r="C315" s="67">
        <f>main!O317</f>
        <v>100000</v>
      </c>
      <c r="D315" s="65" t="s">
        <v>111</v>
      </c>
      <c r="E315" s="68" t="str">
        <f t="shared" si="4"/>
        <v/>
      </c>
      <c r="F315" s="68" t="str">
        <f>IF(main!R318="","",ROUND(main!R318*100,6))</f>
        <v/>
      </c>
      <c r="G315" s="68" t="str">
        <f>IF(main!S318="","",ROUND(main!S318*100,6))</f>
        <v/>
      </c>
      <c r="H315" s="68" t="str">
        <f>IF(main!T318="","",ROUND(main!T318*100,6))</f>
        <v/>
      </c>
      <c r="I315" s="68" t="str">
        <f>IF(main!U318="","",ROUND(main!U318*100,6))</f>
        <v/>
      </c>
      <c r="J315" s="68" t="str">
        <f>IF(main!V318="","",ROUND(main!V318*100,6))</f>
        <v/>
      </c>
      <c r="K315" s="68" t="str">
        <f>IF(main!W318="","",ROUND(main!W318*100,6))</f>
        <v/>
      </c>
      <c r="L315" s="68" t="str">
        <f>IF(main!X318="","",ROUND(main!X318*100,6))</f>
        <v/>
      </c>
      <c r="M315" s="68" t="str">
        <f>IF(main!Y318="","",ROUND(main!Y318*100,6))</f>
        <v/>
      </c>
      <c r="N315" s="68" t="str">
        <f>IF(main!Z318="","",ROUND(main!Z318*100,6))</f>
        <v/>
      </c>
      <c r="O315" s="68" t="str">
        <f>IF(main!AA318="","",ROUND(main!AA318*100,6))</f>
        <v/>
      </c>
      <c r="P315" s="68" t="str">
        <f>IF(main!AB318="","",ROUND(main!AB318*100,6))</f>
        <v/>
      </c>
      <c r="Q315" s="68" t="str">
        <f>IF(main!AC318="","",ROUND(main!AC318*100,6))</f>
        <v/>
      </c>
      <c r="R315" s="68" t="str">
        <f>IF(main!AD318="","",ROUND(main!AD318*100,6))</f>
        <v/>
      </c>
      <c r="S315" s="68" t="str">
        <f>IF(main!AE318="","",ROUND(main!AE318*100,6))</f>
        <v/>
      </c>
      <c r="T315" s="68" t="str">
        <f>IF(main!AF318="","",ROUND(main!AF318*100,6))</f>
        <v/>
      </c>
      <c r="U315" s="68" t="str">
        <f>IF(main!AG318="","",ROUND(main!AG318*100,6))</f>
        <v/>
      </c>
      <c r="V315" s="68" t="str">
        <f>IF(main!AH318="","",ROUND(main!AH318*100,6))</f>
        <v/>
      </c>
      <c r="W315" s="68" t="str">
        <f>IF(main!AI318="","",ROUND(main!AI318*100,6))</f>
        <v/>
      </c>
      <c r="X315" s="68" t="str">
        <f>IF(main!AJ318="","",ROUND(main!AJ318*100,6))</f>
        <v/>
      </c>
      <c r="Y315" s="68" t="str">
        <f>IF(main!AK318="","",ROUND(main!AK318*100,6))</f>
        <v/>
      </c>
      <c r="Z315" s="68" t="str">
        <f>IF(main!AL318="","",ROUND(main!AL318*100,6))</f>
        <v/>
      </c>
      <c r="AA315" s="68" t="str">
        <f>IF(main!AM318="","",ROUND(main!AM318*100,6))</f>
        <v/>
      </c>
      <c r="AB315" s="68" t="str">
        <f>IF(main!AN318="","",ROUND(main!AN318*100,6))</f>
        <v/>
      </c>
      <c r="AC315" s="68" t="str">
        <f>IF(main!AO318="","",ROUND(main!AO318*100,6))</f>
        <v/>
      </c>
      <c r="AD315" s="68" t="str">
        <f>IF(main!AP318="","",ROUND(main!AP318*100,6))</f>
        <v/>
      </c>
      <c r="AE315" s="68" t="str">
        <f>IF(main!AQ318="","",ROUND(main!AQ318*100,6))</f>
        <v/>
      </c>
      <c r="AF315" s="68" t="str">
        <f>IF(main!AR318="","",ROUND(main!AR318*100,6))</f>
        <v/>
      </c>
      <c r="AG315" s="68" t="str">
        <f>IF(main!AS318="","",ROUND(main!AS318*100,6))</f>
        <v/>
      </c>
      <c r="AH315" s="68" t="str">
        <f>IF(main!AT318="","",ROUND(main!AT318*100,6))</f>
        <v/>
      </c>
      <c r="AI315" s="68" t="str">
        <f>IF(main!AU318="","",ROUND(main!AU318*100,6))</f>
        <v/>
      </c>
      <c r="AJ315" s="68" t="str">
        <f>IF(main!AV318="","",ROUND(main!AV318*100,6))</f>
        <v/>
      </c>
      <c r="AK315" s="68" t="str">
        <f>IF(main!AW318="","",ROUND(main!AW318*100,6))</f>
        <v/>
      </c>
      <c r="AL315" s="68" t="str">
        <f>IF(main!AX318="","",ROUND(main!AX318*100,6))</f>
        <v/>
      </c>
      <c r="AM315" s="68" t="str">
        <f>IF(main!AY318="","",ROUND(main!AY318*100,6))</f>
        <v/>
      </c>
      <c r="AN315" s="68" t="str">
        <f>IF(main!AZ318="","",ROUND(main!AZ318*100,6))</f>
        <v/>
      </c>
      <c r="AO315" s="68" t="str">
        <f>IF(main!BA318="","",ROUND(main!BA318*100,6))</f>
        <v/>
      </c>
      <c r="AP315" s="68" t="str">
        <f>IF(main!BB318="","",ROUND(main!BB318*100,6))</f>
        <v/>
      </c>
      <c r="AQ315" s="68" t="str">
        <f>IF(main!BC318="","",ROUND(main!BC318*100,6))</f>
        <v/>
      </c>
      <c r="AR315" s="68" t="str">
        <f>IF(main!BD318="","",ROUND(main!BD318*100,6))</f>
        <v/>
      </c>
      <c r="AS315" s="68" t="str">
        <f>IF(main!BE318="","",ROUND(main!BE318*100,6))</f>
        <v/>
      </c>
      <c r="AT315" s="68" t="str">
        <f>IF(main!BF318="","",ROUND(main!BF318*100,6))</f>
        <v/>
      </c>
      <c r="AU315" s="68" t="str">
        <f>IF(main!BG318="","",ROUND(main!BG318*100,6))</f>
        <v/>
      </c>
      <c r="AV315" s="68" t="str">
        <f>IF(main!BH318="","",ROUND(main!BH318*100,6))</f>
        <v/>
      </c>
      <c r="AW315" s="68" t="str">
        <f>IF(main!BI318="","",ROUND(main!BI318*100,6))</f>
        <v/>
      </c>
      <c r="AX315" s="68" t="str">
        <f>IF(main!BJ318="","",ROUND(main!BJ318*100,6))</f>
        <v/>
      </c>
      <c r="AY315" s="68" t="str">
        <f>IF(main!BK318="","",ROUND(main!BK318*100,6))</f>
        <v/>
      </c>
      <c r="AZ315" s="68" t="str">
        <f>IF(main!BL318="","",ROUND(main!BL318*100,6))</f>
        <v/>
      </c>
      <c r="BA315" s="68" t="str">
        <f>IF(main!BM318="","",ROUND(main!BM318*100,6))</f>
        <v/>
      </c>
      <c r="BB315" s="68" t="str">
        <f>IF(main!BN318="","",ROUND(main!BN318*100,6))</f>
        <v/>
      </c>
      <c r="BC315" s="68" t="str">
        <f>IF(main!BO318="","",ROUND(main!BO318*100,6))</f>
        <v/>
      </c>
      <c r="BD315" s="68" t="str">
        <f>IF(main!BP318="","",ROUND(main!BP318*100,6))</f>
        <v/>
      </c>
      <c r="BE315" s="68" t="str">
        <f>IF(main!BQ318="","",ROUND(main!BQ318*100,6))</f>
        <v/>
      </c>
      <c r="BF315" s="68" t="str">
        <f>IF(main!BR318="","",ROUND(main!BR318*100,6))</f>
        <v/>
      </c>
      <c r="BG315" s="68" t="str">
        <f>IF(main!BS318="","",ROUND(main!BS318*100,6))</f>
        <v/>
      </c>
      <c r="BH315" s="68" t="str">
        <f>IF(main!BT318="","",ROUND(main!BT318*100,6))</f>
        <v/>
      </c>
      <c r="BI315" s="68" t="str">
        <f>IF(main!BU318="","",ROUND(main!BU318*100,6))</f>
        <v/>
      </c>
      <c r="BJ315" s="68" t="str">
        <f>IF(main!BV318="","",ROUND(main!BV318*100,6))</f>
        <v/>
      </c>
      <c r="BK315" s="68" t="str">
        <f>IF(main!BW318="","",ROUND(main!BW318*100,6))</f>
        <v/>
      </c>
      <c r="BL315" s="68" t="str">
        <f>IF(main!BX318="","",ROUND(main!BX318*100,6))</f>
        <v/>
      </c>
      <c r="BM315" s="68" t="str">
        <f>IF(main!BY318="","",ROUND(main!BY318*100,6))</f>
        <v/>
      </c>
      <c r="BN315" s="68" t="str">
        <f>IF(main!BZ318="","",ROUND(main!BZ318*100,6))</f>
        <v/>
      </c>
      <c r="BO315" s="68" t="str">
        <f>IF(main!CA318="","",ROUND(main!CA318*100,6))</f>
        <v/>
      </c>
      <c r="BP315" s="68" t="str">
        <f>IF(main!CB318="","",ROUND(main!CB318*100,6))</f>
        <v/>
      </c>
      <c r="BQ315" s="68" t="str">
        <f>IF(main!CC318="","",ROUND(main!CC318*100,6))</f>
        <v/>
      </c>
      <c r="BR315" s="68" t="str">
        <f>IF(main!CD318="","",ROUND(main!CD318*100,6))</f>
        <v/>
      </c>
      <c r="BS315" s="68" t="str">
        <f>IF(main!CE318="","",ROUND(main!CE318*100,6))</f>
        <v/>
      </c>
      <c r="BT315" s="68" t="str">
        <f>IF(main!CF318="","",ROUND(main!CF318*100,6))</f>
        <v/>
      </c>
      <c r="BU315" s="68" t="str">
        <f>IF(main!CG318="","",ROUND(main!CG318*100,6))</f>
        <v/>
      </c>
      <c r="BV315" s="68" t="str">
        <f>IF(main!CH318="","",ROUND(main!CH318*100,6))</f>
        <v/>
      </c>
      <c r="BW315" s="68" t="str">
        <f>IF(main!CI318="","",ROUND(main!CI318*100,6))</f>
        <v/>
      </c>
      <c r="BX315" s="68" t="str">
        <f>IF(main!CJ318="","",ROUND(main!CJ318*100,6))</f>
        <v/>
      </c>
      <c r="BY315" s="68" t="str">
        <f>IF(main!CK318="","",ROUND(main!CK318*100,6))</f>
        <v/>
      </c>
      <c r="BZ315" s="68" t="str">
        <f>IF(main!CL318="","",ROUND(main!CL318*100,6))</f>
        <v/>
      </c>
      <c r="CA315" s="68" t="str">
        <f>IF(main!CM318="","",ROUND(main!CM318*100,6))</f>
        <v/>
      </c>
      <c r="CB315" s="68" t="str">
        <f>IF(main!CN318="","",ROUND(main!CN318*100,6))</f>
        <v/>
      </c>
      <c r="CC315" s="68" t="str">
        <f>IF(main!CO318="","",ROUND(main!CO318*100,6))</f>
        <v/>
      </c>
    </row>
    <row r="316" spans="1:81" x14ac:dyDescent="0.25">
      <c r="A316" s="65" t="s">
        <v>469</v>
      </c>
      <c r="B316" s="66" t="str">
        <f>main!C319</f>
        <v>งานแต่งเรียบผนังภายในเดิม</v>
      </c>
      <c r="C316" s="67">
        <f>main!O319</f>
        <v>100000</v>
      </c>
      <c r="D316" s="65" t="s">
        <v>110</v>
      </c>
      <c r="E316" s="68">
        <f t="shared" si="4"/>
        <v>100</v>
      </c>
      <c r="F316" s="68" t="str">
        <f>IF(main!R319="","",ROUND(main!R319*100,6))</f>
        <v/>
      </c>
      <c r="G316" s="68" t="str">
        <f>IF(main!S319="","",ROUND(main!S319*100,6))</f>
        <v/>
      </c>
      <c r="H316" s="68" t="str">
        <f>IF(main!T319="","",ROUND(main!T319*100,6))</f>
        <v/>
      </c>
      <c r="I316" s="68" t="str">
        <f>IF(main!U319="","",ROUND(main!U319*100,6))</f>
        <v/>
      </c>
      <c r="J316" s="68" t="str">
        <f>IF(main!V319="","",ROUND(main!V319*100,6))</f>
        <v/>
      </c>
      <c r="K316" s="68" t="str">
        <f>IF(main!W319="","",ROUND(main!W319*100,6))</f>
        <v/>
      </c>
      <c r="L316" s="68" t="str">
        <f>IF(main!X319="","",ROUND(main!X319*100,6))</f>
        <v/>
      </c>
      <c r="M316" s="68" t="str">
        <f>IF(main!Y319="","",ROUND(main!Y319*100,6))</f>
        <v/>
      </c>
      <c r="N316" s="68" t="str">
        <f>IF(main!Z319="","",ROUND(main!Z319*100,6))</f>
        <v/>
      </c>
      <c r="O316" s="68" t="str">
        <f>IF(main!AA319="","",ROUND(main!AA319*100,6))</f>
        <v/>
      </c>
      <c r="P316" s="68" t="str">
        <f>IF(main!AB319="","",ROUND(main!AB319*100,6))</f>
        <v/>
      </c>
      <c r="Q316" s="68" t="str">
        <f>IF(main!AC319="","",ROUND(main!AC319*100,6))</f>
        <v/>
      </c>
      <c r="R316" s="68" t="str">
        <f>IF(main!AD319="","",ROUND(main!AD319*100,6))</f>
        <v/>
      </c>
      <c r="S316" s="68" t="str">
        <f>IF(main!AE319="","",ROUND(main!AE319*100,6))</f>
        <v/>
      </c>
      <c r="T316" s="68" t="str">
        <f>IF(main!AF319="","",ROUND(main!AF319*100,6))</f>
        <v/>
      </c>
      <c r="U316" s="68" t="str">
        <f>IF(main!AG319="","",ROUND(main!AG319*100,6))</f>
        <v/>
      </c>
      <c r="V316" s="68" t="str">
        <f>IF(main!AH319="","",ROUND(main!AH319*100,6))</f>
        <v/>
      </c>
      <c r="W316" s="68" t="str">
        <f>IF(main!AI319="","",ROUND(main!AI319*100,6))</f>
        <v/>
      </c>
      <c r="X316" s="68" t="str">
        <f>IF(main!AJ319="","",ROUND(main!AJ319*100,6))</f>
        <v/>
      </c>
      <c r="Y316" s="68" t="str">
        <f>IF(main!AK319="","",ROUND(main!AK319*100,6))</f>
        <v/>
      </c>
      <c r="Z316" s="68" t="str">
        <f>IF(main!AL319="","",ROUND(main!AL319*100,6))</f>
        <v/>
      </c>
      <c r="AA316" s="68" t="str">
        <f>IF(main!AM319="","",ROUND(main!AM319*100,6))</f>
        <v/>
      </c>
      <c r="AB316" s="68" t="str">
        <f>IF(main!AN319="","",ROUND(main!AN319*100,6))</f>
        <v/>
      </c>
      <c r="AC316" s="68" t="str">
        <f>IF(main!AO319="","",ROUND(main!AO319*100,6))</f>
        <v/>
      </c>
      <c r="AD316" s="68" t="str">
        <f>IF(main!AP319="","",ROUND(main!AP319*100,6))</f>
        <v/>
      </c>
      <c r="AE316" s="68" t="str">
        <f>IF(main!AQ319="","",ROUND(main!AQ319*100,6))</f>
        <v/>
      </c>
      <c r="AF316" s="68" t="str">
        <f>IF(main!AR319="","",ROUND(main!AR319*100,6))</f>
        <v/>
      </c>
      <c r="AG316" s="68" t="str">
        <f>IF(main!AS319="","",ROUND(main!AS319*100,6))</f>
        <v/>
      </c>
      <c r="AH316" s="68" t="str">
        <f>IF(main!AT319="","",ROUND(main!AT319*100,6))</f>
        <v/>
      </c>
      <c r="AI316" s="68" t="str">
        <f>IF(main!AU319="","",ROUND(main!AU319*100,6))</f>
        <v/>
      </c>
      <c r="AJ316" s="68" t="str">
        <f>IF(main!AV319="","",ROUND(main!AV319*100,6))</f>
        <v/>
      </c>
      <c r="AK316" s="68" t="str">
        <f>IF(main!AW319="","",ROUND(main!AW319*100,6))</f>
        <v/>
      </c>
      <c r="AL316" s="68" t="str">
        <f>IF(main!AX319="","",ROUND(main!AX319*100,6))</f>
        <v/>
      </c>
      <c r="AM316" s="68" t="str">
        <f>IF(main!AY319="","",ROUND(main!AY319*100,6))</f>
        <v/>
      </c>
      <c r="AN316" s="68" t="str">
        <f>IF(main!AZ319="","",ROUND(main!AZ319*100,6))</f>
        <v/>
      </c>
      <c r="AO316" s="68" t="str">
        <f>IF(main!BA319="","",ROUND(main!BA319*100,6))</f>
        <v/>
      </c>
      <c r="AP316" s="68" t="str">
        <f>IF(main!BB319="","",ROUND(main!BB319*100,6))</f>
        <v/>
      </c>
      <c r="AQ316" s="68" t="str">
        <f>IF(main!BC319="","",ROUND(main!BC319*100,6))</f>
        <v/>
      </c>
      <c r="AR316" s="68" t="str">
        <f>IF(main!BD319="","",ROUND(main!BD319*100,6))</f>
        <v/>
      </c>
      <c r="AS316" s="68" t="str">
        <f>IF(main!BE319="","",ROUND(main!BE319*100,6))</f>
        <v/>
      </c>
      <c r="AT316" s="68" t="str">
        <f>IF(main!BF319="","",ROUND(main!BF319*100,6))</f>
        <v/>
      </c>
      <c r="AU316" s="68" t="str">
        <f>IF(main!BG319="","",ROUND(main!BG319*100,6))</f>
        <v/>
      </c>
      <c r="AV316" s="68" t="str">
        <f>IF(main!BH319="","",ROUND(main!BH319*100,6))</f>
        <v/>
      </c>
      <c r="AW316" s="68" t="str">
        <f>IF(main!BI319="","",ROUND(main!BI319*100,6))</f>
        <v/>
      </c>
      <c r="AX316" s="68" t="str">
        <f>IF(main!BJ319="","",ROUND(main!BJ319*100,6))</f>
        <v/>
      </c>
      <c r="AY316" s="68" t="str">
        <f>IF(main!BK319="","",ROUND(main!BK319*100,6))</f>
        <v/>
      </c>
      <c r="AZ316" s="68" t="str">
        <f>IF(main!BL319="","",ROUND(main!BL319*100,6))</f>
        <v/>
      </c>
      <c r="BA316" s="68" t="str">
        <f>IF(main!BM319="","",ROUND(main!BM319*100,6))</f>
        <v/>
      </c>
      <c r="BB316" s="68" t="str">
        <f>IF(main!BN319="","",ROUND(main!BN319*100,6))</f>
        <v/>
      </c>
      <c r="BC316" s="68" t="str">
        <f>IF(main!BO319="","",ROUND(main!BO319*100,6))</f>
        <v/>
      </c>
      <c r="BD316" s="68" t="str">
        <f>IF(main!BP319="","",ROUND(main!BP319*100,6))</f>
        <v/>
      </c>
      <c r="BE316" s="68" t="str">
        <f>IF(main!BQ319="","",ROUND(main!BQ319*100,6))</f>
        <v/>
      </c>
      <c r="BF316" s="68" t="str">
        <f>IF(main!BR319="","",ROUND(main!BR319*100,6))</f>
        <v/>
      </c>
      <c r="BG316" s="68" t="str">
        <f>IF(main!BS319="","",ROUND(main!BS319*100,6))</f>
        <v/>
      </c>
      <c r="BH316" s="68" t="str">
        <f>IF(main!BT319="","",ROUND(main!BT319*100,6))</f>
        <v/>
      </c>
      <c r="BI316" s="68" t="str">
        <f>IF(main!BU319="","",ROUND(main!BU319*100,6))</f>
        <v/>
      </c>
      <c r="BJ316" s="68">
        <f>IF(main!BV319="","",ROUND(main!BV319*100,6))</f>
        <v>7.1428570000000002</v>
      </c>
      <c r="BK316" s="68">
        <f>IF(main!BW319="","",ROUND(main!BW319*100,6))</f>
        <v>50</v>
      </c>
      <c r="BL316" s="68">
        <f>IF(main!BX319="","",ROUND(main!BX319*100,6))</f>
        <v>42.857143000000001</v>
      </c>
      <c r="BM316" s="68" t="str">
        <f>IF(main!BY319="","",ROUND(main!BY319*100,6))</f>
        <v/>
      </c>
      <c r="BN316" s="68" t="str">
        <f>IF(main!BZ319="","",ROUND(main!BZ319*100,6))</f>
        <v/>
      </c>
      <c r="BO316" s="68" t="str">
        <f>IF(main!CA319="","",ROUND(main!CA319*100,6))</f>
        <v/>
      </c>
      <c r="BP316" s="68" t="str">
        <f>IF(main!CB319="","",ROUND(main!CB319*100,6))</f>
        <v/>
      </c>
      <c r="BQ316" s="68" t="str">
        <f>IF(main!CC319="","",ROUND(main!CC319*100,6))</f>
        <v/>
      </c>
      <c r="BR316" s="68" t="str">
        <f>IF(main!CD319="","",ROUND(main!CD319*100,6))</f>
        <v/>
      </c>
      <c r="BS316" s="68" t="str">
        <f>IF(main!CE319="","",ROUND(main!CE319*100,6))</f>
        <v/>
      </c>
      <c r="BT316" s="68" t="str">
        <f>IF(main!CF319="","",ROUND(main!CF319*100,6))</f>
        <v/>
      </c>
      <c r="BU316" s="68" t="str">
        <f>IF(main!CG319="","",ROUND(main!CG319*100,6))</f>
        <v/>
      </c>
      <c r="BV316" s="68" t="str">
        <f>IF(main!CH319="","",ROUND(main!CH319*100,6))</f>
        <v/>
      </c>
      <c r="BW316" s="68" t="str">
        <f>IF(main!CI319="","",ROUND(main!CI319*100,6))</f>
        <v/>
      </c>
      <c r="BX316" s="68" t="str">
        <f>IF(main!CJ319="","",ROUND(main!CJ319*100,6))</f>
        <v/>
      </c>
      <c r="BY316" s="68" t="str">
        <f>IF(main!CK319="","",ROUND(main!CK319*100,6))</f>
        <v/>
      </c>
      <c r="BZ316" s="68" t="str">
        <f>IF(main!CL319="","",ROUND(main!CL319*100,6))</f>
        <v/>
      </c>
      <c r="CA316" s="68" t="str">
        <f>IF(main!CM319="","",ROUND(main!CM319*100,6))</f>
        <v/>
      </c>
      <c r="CB316" s="68" t="str">
        <f>IF(main!CN319="","",ROUND(main!CN319*100,6))</f>
        <v/>
      </c>
      <c r="CC316" s="68" t="str">
        <f>IF(main!CO319="","",ROUND(main!CO319*100,6))</f>
        <v/>
      </c>
    </row>
    <row r="317" spans="1:81" x14ac:dyDescent="0.25">
      <c r="A317" s="65" t="s">
        <v>469</v>
      </c>
      <c r="B317" s="66" t="str">
        <f>main!C319</f>
        <v>งานแต่งเรียบผนังภายในเดิม</v>
      </c>
      <c r="C317" s="67">
        <f>main!O319</f>
        <v>100000</v>
      </c>
      <c r="D317" s="65" t="s">
        <v>111</v>
      </c>
      <c r="E317" s="68" t="str">
        <f t="shared" si="4"/>
        <v/>
      </c>
      <c r="F317" s="68" t="str">
        <f>IF(main!R320="","",ROUND(main!R320*100,6))</f>
        <v/>
      </c>
      <c r="G317" s="68" t="str">
        <f>IF(main!S320="","",ROUND(main!S320*100,6))</f>
        <v/>
      </c>
      <c r="H317" s="68" t="str">
        <f>IF(main!T320="","",ROUND(main!T320*100,6))</f>
        <v/>
      </c>
      <c r="I317" s="68" t="str">
        <f>IF(main!U320="","",ROUND(main!U320*100,6))</f>
        <v/>
      </c>
      <c r="J317" s="68" t="str">
        <f>IF(main!V320="","",ROUND(main!V320*100,6))</f>
        <v/>
      </c>
      <c r="K317" s="68" t="str">
        <f>IF(main!W320="","",ROUND(main!W320*100,6))</f>
        <v/>
      </c>
      <c r="L317" s="68" t="str">
        <f>IF(main!X320="","",ROUND(main!X320*100,6))</f>
        <v/>
      </c>
      <c r="M317" s="68" t="str">
        <f>IF(main!Y320="","",ROUND(main!Y320*100,6))</f>
        <v/>
      </c>
      <c r="N317" s="68" t="str">
        <f>IF(main!Z320="","",ROUND(main!Z320*100,6))</f>
        <v/>
      </c>
      <c r="O317" s="68" t="str">
        <f>IF(main!AA320="","",ROUND(main!AA320*100,6))</f>
        <v/>
      </c>
      <c r="P317" s="68" t="str">
        <f>IF(main!AB320="","",ROUND(main!AB320*100,6))</f>
        <v/>
      </c>
      <c r="Q317" s="68" t="str">
        <f>IF(main!AC320="","",ROUND(main!AC320*100,6))</f>
        <v/>
      </c>
      <c r="R317" s="68" t="str">
        <f>IF(main!AD320="","",ROUND(main!AD320*100,6))</f>
        <v/>
      </c>
      <c r="S317" s="68" t="str">
        <f>IF(main!AE320="","",ROUND(main!AE320*100,6))</f>
        <v/>
      </c>
      <c r="T317" s="68" t="str">
        <f>IF(main!AF320="","",ROUND(main!AF320*100,6))</f>
        <v/>
      </c>
      <c r="U317" s="68" t="str">
        <f>IF(main!AG320="","",ROUND(main!AG320*100,6))</f>
        <v/>
      </c>
      <c r="V317" s="68" t="str">
        <f>IF(main!AH320="","",ROUND(main!AH320*100,6))</f>
        <v/>
      </c>
      <c r="W317" s="68" t="str">
        <f>IF(main!AI320="","",ROUND(main!AI320*100,6))</f>
        <v/>
      </c>
      <c r="X317" s="68" t="str">
        <f>IF(main!AJ320="","",ROUND(main!AJ320*100,6))</f>
        <v/>
      </c>
      <c r="Y317" s="68" t="str">
        <f>IF(main!AK320="","",ROUND(main!AK320*100,6))</f>
        <v/>
      </c>
      <c r="Z317" s="68" t="str">
        <f>IF(main!AL320="","",ROUND(main!AL320*100,6))</f>
        <v/>
      </c>
      <c r="AA317" s="68" t="str">
        <f>IF(main!AM320="","",ROUND(main!AM320*100,6))</f>
        <v/>
      </c>
      <c r="AB317" s="68" t="str">
        <f>IF(main!AN320="","",ROUND(main!AN320*100,6))</f>
        <v/>
      </c>
      <c r="AC317" s="68" t="str">
        <f>IF(main!AO320="","",ROUND(main!AO320*100,6))</f>
        <v/>
      </c>
      <c r="AD317" s="68" t="str">
        <f>IF(main!AP320="","",ROUND(main!AP320*100,6))</f>
        <v/>
      </c>
      <c r="AE317" s="68" t="str">
        <f>IF(main!AQ320="","",ROUND(main!AQ320*100,6))</f>
        <v/>
      </c>
      <c r="AF317" s="68" t="str">
        <f>IF(main!AR320="","",ROUND(main!AR320*100,6))</f>
        <v/>
      </c>
      <c r="AG317" s="68" t="str">
        <f>IF(main!AS320="","",ROUND(main!AS320*100,6))</f>
        <v/>
      </c>
      <c r="AH317" s="68" t="str">
        <f>IF(main!AT320="","",ROUND(main!AT320*100,6))</f>
        <v/>
      </c>
      <c r="AI317" s="68" t="str">
        <f>IF(main!AU320="","",ROUND(main!AU320*100,6))</f>
        <v/>
      </c>
      <c r="AJ317" s="68" t="str">
        <f>IF(main!AV320="","",ROUND(main!AV320*100,6))</f>
        <v/>
      </c>
      <c r="AK317" s="68" t="str">
        <f>IF(main!AW320="","",ROUND(main!AW320*100,6))</f>
        <v/>
      </c>
      <c r="AL317" s="68" t="str">
        <f>IF(main!AX320="","",ROUND(main!AX320*100,6))</f>
        <v/>
      </c>
      <c r="AM317" s="68" t="str">
        <f>IF(main!AY320="","",ROUND(main!AY320*100,6))</f>
        <v/>
      </c>
      <c r="AN317" s="68" t="str">
        <f>IF(main!AZ320="","",ROUND(main!AZ320*100,6))</f>
        <v/>
      </c>
      <c r="AO317" s="68" t="str">
        <f>IF(main!BA320="","",ROUND(main!BA320*100,6))</f>
        <v/>
      </c>
      <c r="AP317" s="68" t="str">
        <f>IF(main!BB320="","",ROUND(main!BB320*100,6))</f>
        <v/>
      </c>
      <c r="AQ317" s="68" t="str">
        <f>IF(main!BC320="","",ROUND(main!BC320*100,6))</f>
        <v/>
      </c>
      <c r="AR317" s="68" t="str">
        <f>IF(main!BD320="","",ROUND(main!BD320*100,6))</f>
        <v/>
      </c>
      <c r="AS317" s="68" t="str">
        <f>IF(main!BE320="","",ROUND(main!BE320*100,6))</f>
        <v/>
      </c>
      <c r="AT317" s="68" t="str">
        <f>IF(main!BF320="","",ROUND(main!BF320*100,6))</f>
        <v/>
      </c>
      <c r="AU317" s="68" t="str">
        <f>IF(main!BG320="","",ROUND(main!BG320*100,6))</f>
        <v/>
      </c>
      <c r="AV317" s="68" t="str">
        <f>IF(main!BH320="","",ROUND(main!BH320*100,6))</f>
        <v/>
      </c>
      <c r="AW317" s="68" t="str">
        <f>IF(main!BI320="","",ROUND(main!BI320*100,6))</f>
        <v/>
      </c>
      <c r="AX317" s="68" t="str">
        <f>IF(main!BJ320="","",ROUND(main!BJ320*100,6))</f>
        <v/>
      </c>
      <c r="AY317" s="68" t="str">
        <f>IF(main!BK320="","",ROUND(main!BK320*100,6))</f>
        <v/>
      </c>
      <c r="AZ317" s="68" t="str">
        <f>IF(main!BL320="","",ROUND(main!BL320*100,6))</f>
        <v/>
      </c>
      <c r="BA317" s="68" t="str">
        <f>IF(main!BM320="","",ROUND(main!BM320*100,6))</f>
        <v/>
      </c>
      <c r="BB317" s="68" t="str">
        <f>IF(main!BN320="","",ROUND(main!BN320*100,6))</f>
        <v/>
      </c>
      <c r="BC317" s="68" t="str">
        <f>IF(main!BO320="","",ROUND(main!BO320*100,6))</f>
        <v/>
      </c>
      <c r="BD317" s="68" t="str">
        <f>IF(main!BP320="","",ROUND(main!BP320*100,6))</f>
        <v/>
      </c>
      <c r="BE317" s="68" t="str">
        <f>IF(main!BQ320="","",ROUND(main!BQ320*100,6))</f>
        <v/>
      </c>
      <c r="BF317" s="68" t="str">
        <f>IF(main!BR320="","",ROUND(main!BR320*100,6))</f>
        <v/>
      </c>
      <c r="BG317" s="68" t="str">
        <f>IF(main!BS320="","",ROUND(main!BS320*100,6))</f>
        <v/>
      </c>
      <c r="BH317" s="68" t="str">
        <f>IF(main!BT320="","",ROUND(main!BT320*100,6))</f>
        <v/>
      </c>
      <c r="BI317" s="68" t="str">
        <f>IF(main!BU320="","",ROUND(main!BU320*100,6))</f>
        <v/>
      </c>
      <c r="BJ317" s="68" t="str">
        <f>IF(main!BV320="","",ROUND(main!BV320*100,6))</f>
        <v/>
      </c>
      <c r="BK317" s="68" t="str">
        <f>IF(main!BW320="","",ROUND(main!BW320*100,6))</f>
        <v/>
      </c>
      <c r="BL317" s="68" t="str">
        <f>IF(main!BX320="","",ROUND(main!BX320*100,6))</f>
        <v/>
      </c>
      <c r="BM317" s="68" t="str">
        <f>IF(main!BY320="","",ROUND(main!BY320*100,6))</f>
        <v/>
      </c>
      <c r="BN317" s="68" t="str">
        <f>IF(main!BZ320="","",ROUND(main!BZ320*100,6))</f>
        <v/>
      </c>
      <c r="BO317" s="68" t="str">
        <f>IF(main!CA320="","",ROUND(main!CA320*100,6))</f>
        <v/>
      </c>
      <c r="BP317" s="68" t="str">
        <f>IF(main!CB320="","",ROUND(main!CB320*100,6))</f>
        <v/>
      </c>
      <c r="BQ317" s="68" t="str">
        <f>IF(main!CC320="","",ROUND(main!CC320*100,6))</f>
        <v/>
      </c>
      <c r="BR317" s="68" t="str">
        <f>IF(main!CD320="","",ROUND(main!CD320*100,6))</f>
        <v/>
      </c>
      <c r="BS317" s="68" t="str">
        <f>IF(main!CE320="","",ROUND(main!CE320*100,6))</f>
        <v/>
      </c>
      <c r="BT317" s="68" t="str">
        <f>IF(main!CF320="","",ROUND(main!CF320*100,6))</f>
        <v/>
      </c>
      <c r="BU317" s="68" t="str">
        <f>IF(main!CG320="","",ROUND(main!CG320*100,6))</f>
        <v/>
      </c>
      <c r="BV317" s="68" t="str">
        <f>IF(main!CH320="","",ROUND(main!CH320*100,6))</f>
        <v/>
      </c>
      <c r="BW317" s="68" t="str">
        <f>IF(main!CI320="","",ROUND(main!CI320*100,6))</f>
        <v/>
      </c>
      <c r="BX317" s="68" t="str">
        <f>IF(main!CJ320="","",ROUND(main!CJ320*100,6))</f>
        <v/>
      </c>
      <c r="BY317" s="68" t="str">
        <f>IF(main!CK320="","",ROUND(main!CK320*100,6))</f>
        <v/>
      </c>
      <c r="BZ317" s="68" t="str">
        <f>IF(main!CL320="","",ROUND(main!CL320*100,6))</f>
        <v/>
      </c>
      <c r="CA317" s="68" t="str">
        <f>IF(main!CM320="","",ROUND(main!CM320*100,6))</f>
        <v/>
      </c>
      <c r="CB317" s="68" t="str">
        <f>IF(main!CN320="","",ROUND(main!CN320*100,6))</f>
        <v/>
      </c>
      <c r="CC317" s="68" t="str">
        <f>IF(main!CO320="","",ROUND(main!CO320*100,6))</f>
        <v/>
      </c>
    </row>
    <row r="318" spans="1:81" x14ac:dyDescent="0.25">
      <c r="A318" s="65" t="s">
        <v>471</v>
      </c>
      <c r="B318" s="66" t="str">
        <f>main!C321</f>
        <v>Ceiling</v>
      </c>
      <c r="C318" s="67">
        <f>main!O321</f>
        <v>200000</v>
      </c>
      <c r="D318" s="65" t="s">
        <v>110</v>
      </c>
      <c r="E318" s="68">
        <f t="shared" si="4"/>
        <v>100.000001</v>
      </c>
      <c r="F318" s="68" t="str">
        <f>IF(main!R321="","",ROUND(main!R321*100,6))</f>
        <v/>
      </c>
      <c r="G318" s="68" t="str">
        <f>IF(main!S321="","",ROUND(main!S321*100,6))</f>
        <v/>
      </c>
      <c r="H318" s="68" t="str">
        <f>IF(main!T321="","",ROUND(main!T321*100,6))</f>
        <v/>
      </c>
      <c r="I318" s="68" t="str">
        <f>IF(main!U321="","",ROUND(main!U321*100,6))</f>
        <v/>
      </c>
      <c r="J318" s="68" t="str">
        <f>IF(main!V321="","",ROUND(main!V321*100,6))</f>
        <v/>
      </c>
      <c r="K318" s="68" t="str">
        <f>IF(main!W321="","",ROUND(main!W321*100,6))</f>
        <v/>
      </c>
      <c r="L318" s="68" t="str">
        <f>IF(main!X321="","",ROUND(main!X321*100,6))</f>
        <v/>
      </c>
      <c r="M318" s="68" t="str">
        <f>IF(main!Y321="","",ROUND(main!Y321*100,6))</f>
        <v/>
      </c>
      <c r="N318" s="68" t="str">
        <f>IF(main!Z321="","",ROUND(main!Z321*100,6))</f>
        <v/>
      </c>
      <c r="O318" s="68" t="str">
        <f>IF(main!AA321="","",ROUND(main!AA321*100,6))</f>
        <v/>
      </c>
      <c r="P318" s="68" t="str">
        <f>IF(main!AB321="","",ROUND(main!AB321*100,6))</f>
        <v/>
      </c>
      <c r="Q318" s="68" t="str">
        <f>IF(main!AC321="","",ROUND(main!AC321*100,6))</f>
        <v/>
      </c>
      <c r="R318" s="68" t="str">
        <f>IF(main!AD321="","",ROUND(main!AD321*100,6))</f>
        <v/>
      </c>
      <c r="S318" s="68" t="str">
        <f>IF(main!AE321="","",ROUND(main!AE321*100,6))</f>
        <v/>
      </c>
      <c r="T318" s="68" t="str">
        <f>IF(main!AF321="","",ROUND(main!AF321*100,6))</f>
        <v/>
      </c>
      <c r="U318" s="68" t="str">
        <f>IF(main!AG321="","",ROUND(main!AG321*100,6))</f>
        <v/>
      </c>
      <c r="V318" s="68" t="str">
        <f>IF(main!AH321="","",ROUND(main!AH321*100,6))</f>
        <v/>
      </c>
      <c r="W318" s="68" t="str">
        <f>IF(main!AI321="","",ROUND(main!AI321*100,6))</f>
        <v/>
      </c>
      <c r="X318" s="68" t="str">
        <f>IF(main!AJ321="","",ROUND(main!AJ321*100,6))</f>
        <v/>
      </c>
      <c r="Y318" s="68" t="str">
        <f>IF(main!AK321="","",ROUND(main!AK321*100,6))</f>
        <v/>
      </c>
      <c r="Z318" s="68" t="str">
        <f>IF(main!AL321="","",ROUND(main!AL321*100,6))</f>
        <v/>
      </c>
      <c r="AA318" s="68" t="str">
        <f>IF(main!AM321="","",ROUND(main!AM321*100,6))</f>
        <v/>
      </c>
      <c r="AB318" s="68" t="str">
        <f>IF(main!AN321="","",ROUND(main!AN321*100,6))</f>
        <v/>
      </c>
      <c r="AC318" s="68" t="str">
        <f>IF(main!AO321="","",ROUND(main!AO321*100,6))</f>
        <v/>
      </c>
      <c r="AD318" s="68" t="str">
        <f>IF(main!AP321="","",ROUND(main!AP321*100,6))</f>
        <v/>
      </c>
      <c r="AE318" s="68" t="str">
        <f>IF(main!AQ321="","",ROUND(main!AQ321*100,6))</f>
        <v/>
      </c>
      <c r="AF318" s="68" t="str">
        <f>IF(main!AR321="","",ROUND(main!AR321*100,6))</f>
        <v/>
      </c>
      <c r="AG318" s="68" t="str">
        <f>IF(main!AS321="","",ROUND(main!AS321*100,6))</f>
        <v/>
      </c>
      <c r="AH318" s="68" t="str">
        <f>IF(main!AT321="","",ROUND(main!AT321*100,6))</f>
        <v/>
      </c>
      <c r="AI318" s="68" t="str">
        <f>IF(main!AU321="","",ROUND(main!AU321*100,6))</f>
        <v/>
      </c>
      <c r="AJ318" s="68" t="str">
        <f>IF(main!AV321="","",ROUND(main!AV321*100,6))</f>
        <v/>
      </c>
      <c r="AK318" s="68" t="str">
        <f>IF(main!AW321="","",ROUND(main!AW321*100,6))</f>
        <v/>
      </c>
      <c r="AL318" s="68" t="str">
        <f>IF(main!AX321="","",ROUND(main!AX321*100,6))</f>
        <v/>
      </c>
      <c r="AM318" s="68" t="str">
        <f>IF(main!AY321="","",ROUND(main!AY321*100,6))</f>
        <v/>
      </c>
      <c r="AN318" s="68" t="str">
        <f>IF(main!AZ321="","",ROUND(main!AZ321*100,6))</f>
        <v/>
      </c>
      <c r="AO318" s="68" t="str">
        <f>IF(main!BA321="","",ROUND(main!BA321*100,6))</f>
        <v/>
      </c>
      <c r="AP318" s="68" t="str">
        <f>IF(main!BB321="","",ROUND(main!BB321*100,6))</f>
        <v/>
      </c>
      <c r="AQ318" s="68" t="str">
        <f>IF(main!BC321="","",ROUND(main!BC321*100,6))</f>
        <v/>
      </c>
      <c r="AR318" s="68" t="str">
        <f>IF(main!BD321="","",ROUND(main!BD321*100,6))</f>
        <v/>
      </c>
      <c r="AS318" s="68" t="str">
        <f>IF(main!BE321="","",ROUND(main!BE321*100,6))</f>
        <v/>
      </c>
      <c r="AT318" s="68" t="str">
        <f>IF(main!BF321="","",ROUND(main!BF321*100,6))</f>
        <v/>
      </c>
      <c r="AU318" s="68" t="str">
        <f>IF(main!BG321="","",ROUND(main!BG321*100,6))</f>
        <v/>
      </c>
      <c r="AV318" s="68" t="str">
        <f>IF(main!BH321="","",ROUND(main!BH321*100,6))</f>
        <v/>
      </c>
      <c r="AW318" s="68" t="str">
        <f>IF(main!BI321="","",ROUND(main!BI321*100,6))</f>
        <v/>
      </c>
      <c r="AX318" s="68" t="str">
        <f>IF(main!BJ321="","",ROUND(main!BJ321*100,6))</f>
        <v/>
      </c>
      <c r="AY318" s="68" t="str">
        <f>IF(main!BK321="","",ROUND(main!BK321*100,6))</f>
        <v/>
      </c>
      <c r="AZ318" s="68" t="str">
        <f>IF(main!BL321="","",ROUND(main!BL321*100,6))</f>
        <v/>
      </c>
      <c r="BA318" s="68" t="str">
        <f>IF(main!BM321="","",ROUND(main!BM321*100,6))</f>
        <v/>
      </c>
      <c r="BB318" s="68" t="str">
        <f>IF(main!BN321="","",ROUND(main!BN321*100,6))</f>
        <v/>
      </c>
      <c r="BC318" s="68" t="str">
        <f>IF(main!BO321="","",ROUND(main!BO321*100,6))</f>
        <v/>
      </c>
      <c r="BD318" s="68" t="str">
        <f>IF(main!BP321="","",ROUND(main!BP321*100,6))</f>
        <v/>
      </c>
      <c r="BE318" s="68" t="str">
        <f>IF(main!BQ321="","",ROUND(main!BQ321*100,6))</f>
        <v/>
      </c>
      <c r="BF318" s="68" t="str">
        <f>IF(main!BR321="","",ROUND(main!BR321*100,6))</f>
        <v/>
      </c>
      <c r="BG318" s="68" t="str">
        <f>IF(main!BS321="","",ROUND(main!BS321*100,6))</f>
        <v/>
      </c>
      <c r="BH318" s="68" t="str">
        <f>IF(main!BT321="","",ROUND(main!BT321*100,6))</f>
        <v/>
      </c>
      <c r="BI318" s="68" t="str">
        <f>IF(main!BU321="","",ROUND(main!BU321*100,6))</f>
        <v/>
      </c>
      <c r="BJ318" s="68" t="str">
        <f>IF(main!BV321="","",ROUND(main!BV321*100,6))</f>
        <v/>
      </c>
      <c r="BK318" s="68" t="str">
        <f>IF(main!BW321="","",ROUND(main!BW321*100,6))</f>
        <v/>
      </c>
      <c r="BL318" s="68">
        <f>IF(main!BX321="","",ROUND(main!BX321*100,6))</f>
        <v>3.5714290000000002</v>
      </c>
      <c r="BM318" s="68">
        <f>IF(main!BY321="","",ROUND(main!BY321*100,6))</f>
        <v>25</v>
      </c>
      <c r="BN318" s="68">
        <f>IF(main!BZ321="","",ROUND(main!BZ321*100,6))</f>
        <v>42.261904999999999</v>
      </c>
      <c r="BO318" s="68">
        <f>IF(main!CA321="","",ROUND(main!CA321*100,6))</f>
        <v>29.166667</v>
      </c>
      <c r="BP318" s="68" t="str">
        <f>IF(main!CB321="","",ROUND(main!CB321*100,6))</f>
        <v/>
      </c>
      <c r="BQ318" s="68" t="str">
        <f>IF(main!CC321="","",ROUND(main!CC321*100,6))</f>
        <v/>
      </c>
      <c r="BR318" s="68" t="str">
        <f>IF(main!CD321="","",ROUND(main!CD321*100,6))</f>
        <v/>
      </c>
      <c r="BS318" s="68" t="str">
        <f>IF(main!CE321="","",ROUND(main!CE321*100,6))</f>
        <v/>
      </c>
      <c r="BT318" s="68" t="str">
        <f>IF(main!CF321="","",ROUND(main!CF321*100,6))</f>
        <v/>
      </c>
      <c r="BU318" s="68" t="str">
        <f>IF(main!CG321="","",ROUND(main!CG321*100,6))</f>
        <v/>
      </c>
      <c r="BV318" s="68" t="str">
        <f>IF(main!CH321="","",ROUND(main!CH321*100,6))</f>
        <v/>
      </c>
      <c r="BW318" s="68" t="str">
        <f>IF(main!CI321="","",ROUND(main!CI321*100,6))</f>
        <v/>
      </c>
      <c r="BX318" s="68" t="str">
        <f>IF(main!CJ321="","",ROUND(main!CJ321*100,6))</f>
        <v/>
      </c>
      <c r="BY318" s="68" t="str">
        <f>IF(main!CK321="","",ROUND(main!CK321*100,6))</f>
        <v/>
      </c>
      <c r="BZ318" s="68" t="str">
        <f>IF(main!CL321="","",ROUND(main!CL321*100,6))</f>
        <v/>
      </c>
      <c r="CA318" s="68" t="str">
        <f>IF(main!CM321="","",ROUND(main!CM321*100,6))</f>
        <v/>
      </c>
      <c r="CB318" s="68" t="str">
        <f>IF(main!CN321="","",ROUND(main!CN321*100,6))</f>
        <v/>
      </c>
      <c r="CC318" s="68" t="str">
        <f>IF(main!CO321="","",ROUND(main!CO321*100,6))</f>
        <v/>
      </c>
    </row>
    <row r="319" spans="1:81" x14ac:dyDescent="0.25">
      <c r="A319" s="65" t="s">
        <v>471</v>
      </c>
      <c r="B319" s="66" t="str">
        <f>main!C321</f>
        <v>Ceiling</v>
      </c>
      <c r="C319" s="67">
        <f>main!O321</f>
        <v>200000</v>
      </c>
      <c r="D319" s="65" t="s">
        <v>111</v>
      </c>
      <c r="E319" s="68" t="str">
        <f t="shared" si="4"/>
        <v/>
      </c>
      <c r="F319" s="68" t="str">
        <f>IF(main!R322="","",ROUND(main!R322*100,6))</f>
        <v/>
      </c>
      <c r="G319" s="68" t="str">
        <f>IF(main!S322="","",ROUND(main!S322*100,6))</f>
        <v/>
      </c>
      <c r="H319" s="68" t="str">
        <f>IF(main!T322="","",ROUND(main!T322*100,6))</f>
        <v/>
      </c>
      <c r="I319" s="68" t="str">
        <f>IF(main!U322="","",ROUND(main!U322*100,6))</f>
        <v/>
      </c>
      <c r="J319" s="68" t="str">
        <f>IF(main!V322="","",ROUND(main!V322*100,6))</f>
        <v/>
      </c>
      <c r="K319" s="68" t="str">
        <f>IF(main!W322="","",ROUND(main!W322*100,6))</f>
        <v/>
      </c>
      <c r="L319" s="68" t="str">
        <f>IF(main!X322="","",ROUND(main!X322*100,6))</f>
        <v/>
      </c>
      <c r="M319" s="68" t="str">
        <f>IF(main!Y322="","",ROUND(main!Y322*100,6))</f>
        <v/>
      </c>
      <c r="N319" s="68" t="str">
        <f>IF(main!Z322="","",ROUND(main!Z322*100,6))</f>
        <v/>
      </c>
      <c r="O319" s="68" t="str">
        <f>IF(main!AA322="","",ROUND(main!AA322*100,6))</f>
        <v/>
      </c>
      <c r="P319" s="68" t="str">
        <f>IF(main!AB322="","",ROUND(main!AB322*100,6))</f>
        <v/>
      </c>
      <c r="Q319" s="68" t="str">
        <f>IF(main!AC322="","",ROUND(main!AC322*100,6))</f>
        <v/>
      </c>
      <c r="R319" s="68" t="str">
        <f>IF(main!AD322="","",ROUND(main!AD322*100,6))</f>
        <v/>
      </c>
      <c r="S319" s="68" t="str">
        <f>IF(main!AE322="","",ROUND(main!AE322*100,6))</f>
        <v/>
      </c>
      <c r="T319" s="68" t="str">
        <f>IF(main!AF322="","",ROUND(main!AF322*100,6))</f>
        <v/>
      </c>
      <c r="U319" s="68" t="str">
        <f>IF(main!AG322="","",ROUND(main!AG322*100,6))</f>
        <v/>
      </c>
      <c r="V319" s="68" t="str">
        <f>IF(main!AH322="","",ROUND(main!AH322*100,6))</f>
        <v/>
      </c>
      <c r="W319" s="68" t="str">
        <f>IF(main!AI322="","",ROUND(main!AI322*100,6))</f>
        <v/>
      </c>
      <c r="X319" s="68" t="str">
        <f>IF(main!AJ322="","",ROUND(main!AJ322*100,6))</f>
        <v/>
      </c>
      <c r="Y319" s="68" t="str">
        <f>IF(main!AK322="","",ROUND(main!AK322*100,6))</f>
        <v/>
      </c>
      <c r="Z319" s="68" t="str">
        <f>IF(main!AL322="","",ROUND(main!AL322*100,6))</f>
        <v/>
      </c>
      <c r="AA319" s="68" t="str">
        <f>IF(main!AM322="","",ROUND(main!AM322*100,6))</f>
        <v/>
      </c>
      <c r="AB319" s="68" t="str">
        <f>IF(main!AN322="","",ROUND(main!AN322*100,6))</f>
        <v/>
      </c>
      <c r="AC319" s="68" t="str">
        <f>IF(main!AO322="","",ROUND(main!AO322*100,6))</f>
        <v/>
      </c>
      <c r="AD319" s="68" t="str">
        <f>IF(main!AP322="","",ROUND(main!AP322*100,6))</f>
        <v/>
      </c>
      <c r="AE319" s="68" t="str">
        <f>IF(main!AQ322="","",ROUND(main!AQ322*100,6))</f>
        <v/>
      </c>
      <c r="AF319" s="68" t="str">
        <f>IF(main!AR322="","",ROUND(main!AR322*100,6))</f>
        <v/>
      </c>
      <c r="AG319" s="68" t="str">
        <f>IF(main!AS322="","",ROUND(main!AS322*100,6))</f>
        <v/>
      </c>
      <c r="AH319" s="68" t="str">
        <f>IF(main!AT322="","",ROUND(main!AT322*100,6))</f>
        <v/>
      </c>
      <c r="AI319" s="68" t="str">
        <f>IF(main!AU322="","",ROUND(main!AU322*100,6))</f>
        <v/>
      </c>
      <c r="AJ319" s="68" t="str">
        <f>IF(main!AV322="","",ROUND(main!AV322*100,6))</f>
        <v/>
      </c>
      <c r="AK319" s="68" t="str">
        <f>IF(main!AW322="","",ROUND(main!AW322*100,6))</f>
        <v/>
      </c>
      <c r="AL319" s="68" t="str">
        <f>IF(main!AX322="","",ROUND(main!AX322*100,6))</f>
        <v/>
      </c>
      <c r="AM319" s="68" t="str">
        <f>IF(main!AY322="","",ROUND(main!AY322*100,6))</f>
        <v/>
      </c>
      <c r="AN319" s="68" t="str">
        <f>IF(main!AZ322="","",ROUND(main!AZ322*100,6))</f>
        <v/>
      </c>
      <c r="AO319" s="68" t="str">
        <f>IF(main!BA322="","",ROUND(main!BA322*100,6))</f>
        <v/>
      </c>
      <c r="AP319" s="68" t="str">
        <f>IF(main!BB322="","",ROUND(main!BB322*100,6))</f>
        <v/>
      </c>
      <c r="AQ319" s="68" t="str">
        <f>IF(main!BC322="","",ROUND(main!BC322*100,6))</f>
        <v/>
      </c>
      <c r="AR319" s="68" t="str">
        <f>IF(main!BD322="","",ROUND(main!BD322*100,6))</f>
        <v/>
      </c>
      <c r="AS319" s="68" t="str">
        <f>IF(main!BE322="","",ROUND(main!BE322*100,6))</f>
        <v/>
      </c>
      <c r="AT319" s="68" t="str">
        <f>IF(main!BF322="","",ROUND(main!BF322*100,6))</f>
        <v/>
      </c>
      <c r="AU319" s="68" t="str">
        <f>IF(main!BG322="","",ROUND(main!BG322*100,6))</f>
        <v/>
      </c>
      <c r="AV319" s="68" t="str">
        <f>IF(main!BH322="","",ROUND(main!BH322*100,6))</f>
        <v/>
      </c>
      <c r="AW319" s="68" t="str">
        <f>IF(main!BI322="","",ROUND(main!BI322*100,6))</f>
        <v/>
      </c>
      <c r="AX319" s="68" t="str">
        <f>IF(main!BJ322="","",ROUND(main!BJ322*100,6))</f>
        <v/>
      </c>
      <c r="AY319" s="68" t="str">
        <f>IF(main!BK322="","",ROUND(main!BK322*100,6))</f>
        <v/>
      </c>
      <c r="AZ319" s="68" t="str">
        <f>IF(main!BL322="","",ROUND(main!BL322*100,6))</f>
        <v/>
      </c>
      <c r="BA319" s="68" t="str">
        <f>IF(main!BM322="","",ROUND(main!BM322*100,6))</f>
        <v/>
      </c>
      <c r="BB319" s="68" t="str">
        <f>IF(main!BN322="","",ROUND(main!BN322*100,6))</f>
        <v/>
      </c>
      <c r="BC319" s="68" t="str">
        <f>IF(main!BO322="","",ROUND(main!BO322*100,6))</f>
        <v/>
      </c>
      <c r="BD319" s="68" t="str">
        <f>IF(main!BP322="","",ROUND(main!BP322*100,6))</f>
        <v/>
      </c>
      <c r="BE319" s="68" t="str">
        <f>IF(main!BQ322="","",ROUND(main!BQ322*100,6))</f>
        <v/>
      </c>
      <c r="BF319" s="68" t="str">
        <f>IF(main!BR322="","",ROUND(main!BR322*100,6))</f>
        <v/>
      </c>
      <c r="BG319" s="68" t="str">
        <f>IF(main!BS322="","",ROUND(main!BS322*100,6))</f>
        <v/>
      </c>
      <c r="BH319" s="68" t="str">
        <f>IF(main!BT322="","",ROUND(main!BT322*100,6))</f>
        <v/>
      </c>
      <c r="BI319" s="68" t="str">
        <f>IF(main!BU322="","",ROUND(main!BU322*100,6))</f>
        <v/>
      </c>
      <c r="BJ319" s="68" t="str">
        <f>IF(main!BV322="","",ROUND(main!BV322*100,6))</f>
        <v/>
      </c>
      <c r="BK319" s="68" t="str">
        <f>IF(main!BW322="","",ROUND(main!BW322*100,6))</f>
        <v/>
      </c>
      <c r="BL319" s="68" t="str">
        <f>IF(main!BX322="","",ROUND(main!BX322*100,6))</f>
        <v/>
      </c>
      <c r="BM319" s="68" t="str">
        <f>IF(main!BY322="","",ROUND(main!BY322*100,6))</f>
        <v/>
      </c>
      <c r="BN319" s="68" t="str">
        <f>IF(main!BZ322="","",ROUND(main!BZ322*100,6))</f>
        <v/>
      </c>
      <c r="BO319" s="68" t="str">
        <f>IF(main!CA322="","",ROUND(main!CA322*100,6))</f>
        <v/>
      </c>
      <c r="BP319" s="68" t="str">
        <f>IF(main!CB322="","",ROUND(main!CB322*100,6))</f>
        <v/>
      </c>
      <c r="BQ319" s="68" t="str">
        <f>IF(main!CC322="","",ROUND(main!CC322*100,6))</f>
        <v/>
      </c>
      <c r="BR319" s="68" t="str">
        <f>IF(main!CD322="","",ROUND(main!CD322*100,6))</f>
        <v/>
      </c>
      <c r="BS319" s="68" t="str">
        <f>IF(main!CE322="","",ROUND(main!CE322*100,6))</f>
        <v/>
      </c>
      <c r="BT319" s="68" t="str">
        <f>IF(main!CF322="","",ROUND(main!CF322*100,6))</f>
        <v/>
      </c>
      <c r="BU319" s="68" t="str">
        <f>IF(main!CG322="","",ROUND(main!CG322*100,6))</f>
        <v/>
      </c>
      <c r="BV319" s="68" t="str">
        <f>IF(main!CH322="","",ROUND(main!CH322*100,6))</f>
        <v/>
      </c>
      <c r="BW319" s="68" t="str">
        <f>IF(main!CI322="","",ROUND(main!CI322*100,6))</f>
        <v/>
      </c>
      <c r="BX319" s="68" t="str">
        <f>IF(main!CJ322="","",ROUND(main!CJ322*100,6))</f>
        <v/>
      </c>
      <c r="BY319" s="68" t="str">
        <f>IF(main!CK322="","",ROUND(main!CK322*100,6))</f>
        <v/>
      </c>
      <c r="BZ319" s="68" t="str">
        <f>IF(main!CL322="","",ROUND(main!CL322*100,6))</f>
        <v/>
      </c>
      <c r="CA319" s="68" t="str">
        <f>IF(main!CM322="","",ROUND(main!CM322*100,6))</f>
        <v/>
      </c>
      <c r="CB319" s="68" t="str">
        <f>IF(main!CN322="","",ROUND(main!CN322*100,6))</f>
        <v/>
      </c>
      <c r="CC319" s="68" t="str">
        <f>IF(main!CO322="","",ROUND(main!CO322*100,6))</f>
        <v/>
      </c>
    </row>
    <row r="320" spans="1:81" x14ac:dyDescent="0.25">
      <c r="A320" s="65" t="s">
        <v>472</v>
      </c>
      <c r="B320" s="66" t="str">
        <f>main!C323</f>
        <v>งานฝ้ายิปซัมบอร์ด ฉาบเรียบทาสี</v>
      </c>
      <c r="C320" s="67">
        <f>main!O323</f>
        <v>100000</v>
      </c>
      <c r="D320" s="65" t="s">
        <v>110</v>
      </c>
      <c r="E320" s="68">
        <f t="shared" si="4"/>
        <v>100</v>
      </c>
      <c r="F320" s="68" t="str">
        <f>IF(main!R323="","",ROUND(main!R323*100,6))</f>
        <v/>
      </c>
      <c r="G320" s="68" t="str">
        <f>IF(main!S323="","",ROUND(main!S323*100,6))</f>
        <v/>
      </c>
      <c r="H320" s="68" t="str">
        <f>IF(main!T323="","",ROUND(main!T323*100,6))</f>
        <v/>
      </c>
      <c r="I320" s="68" t="str">
        <f>IF(main!U323="","",ROUND(main!U323*100,6))</f>
        <v/>
      </c>
      <c r="J320" s="68" t="str">
        <f>IF(main!V323="","",ROUND(main!V323*100,6))</f>
        <v/>
      </c>
      <c r="K320" s="68" t="str">
        <f>IF(main!W323="","",ROUND(main!W323*100,6))</f>
        <v/>
      </c>
      <c r="L320" s="68" t="str">
        <f>IF(main!X323="","",ROUND(main!X323*100,6))</f>
        <v/>
      </c>
      <c r="M320" s="68" t="str">
        <f>IF(main!Y323="","",ROUND(main!Y323*100,6))</f>
        <v/>
      </c>
      <c r="N320" s="68" t="str">
        <f>IF(main!Z323="","",ROUND(main!Z323*100,6))</f>
        <v/>
      </c>
      <c r="O320" s="68" t="str">
        <f>IF(main!AA323="","",ROUND(main!AA323*100,6))</f>
        <v/>
      </c>
      <c r="P320" s="68" t="str">
        <f>IF(main!AB323="","",ROUND(main!AB323*100,6))</f>
        <v/>
      </c>
      <c r="Q320" s="68" t="str">
        <f>IF(main!AC323="","",ROUND(main!AC323*100,6))</f>
        <v/>
      </c>
      <c r="R320" s="68" t="str">
        <f>IF(main!AD323="","",ROUND(main!AD323*100,6))</f>
        <v/>
      </c>
      <c r="S320" s="68" t="str">
        <f>IF(main!AE323="","",ROUND(main!AE323*100,6))</f>
        <v/>
      </c>
      <c r="T320" s="68" t="str">
        <f>IF(main!AF323="","",ROUND(main!AF323*100,6))</f>
        <v/>
      </c>
      <c r="U320" s="68" t="str">
        <f>IF(main!AG323="","",ROUND(main!AG323*100,6))</f>
        <v/>
      </c>
      <c r="V320" s="68" t="str">
        <f>IF(main!AH323="","",ROUND(main!AH323*100,6))</f>
        <v/>
      </c>
      <c r="W320" s="68" t="str">
        <f>IF(main!AI323="","",ROUND(main!AI323*100,6))</f>
        <v/>
      </c>
      <c r="X320" s="68" t="str">
        <f>IF(main!AJ323="","",ROUND(main!AJ323*100,6))</f>
        <v/>
      </c>
      <c r="Y320" s="68" t="str">
        <f>IF(main!AK323="","",ROUND(main!AK323*100,6))</f>
        <v/>
      </c>
      <c r="Z320" s="68" t="str">
        <f>IF(main!AL323="","",ROUND(main!AL323*100,6))</f>
        <v/>
      </c>
      <c r="AA320" s="68" t="str">
        <f>IF(main!AM323="","",ROUND(main!AM323*100,6))</f>
        <v/>
      </c>
      <c r="AB320" s="68" t="str">
        <f>IF(main!AN323="","",ROUND(main!AN323*100,6))</f>
        <v/>
      </c>
      <c r="AC320" s="68" t="str">
        <f>IF(main!AO323="","",ROUND(main!AO323*100,6))</f>
        <v/>
      </c>
      <c r="AD320" s="68" t="str">
        <f>IF(main!AP323="","",ROUND(main!AP323*100,6))</f>
        <v/>
      </c>
      <c r="AE320" s="68" t="str">
        <f>IF(main!AQ323="","",ROUND(main!AQ323*100,6))</f>
        <v/>
      </c>
      <c r="AF320" s="68" t="str">
        <f>IF(main!AR323="","",ROUND(main!AR323*100,6))</f>
        <v/>
      </c>
      <c r="AG320" s="68" t="str">
        <f>IF(main!AS323="","",ROUND(main!AS323*100,6))</f>
        <v/>
      </c>
      <c r="AH320" s="68" t="str">
        <f>IF(main!AT323="","",ROUND(main!AT323*100,6))</f>
        <v/>
      </c>
      <c r="AI320" s="68" t="str">
        <f>IF(main!AU323="","",ROUND(main!AU323*100,6))</f>
        <v/>
      </c>
      <c r="AJ320" s="68" t="str">
        <f>IF(main!AV323="","",ROUND(main!AV323*100,6))</f>
        <v/>
      </c>
      <c r="AK320" s="68" t="str">
        <f>IF(main!AW323="","",ROUND(main!AW323*100,6))</f>
        <v/>
      </c>
      <c r="AL320" s="68" t="str">
        <f>IF(main!AX323="","",ROUND(main!AX323*100,6))</f>
        <v/>
      </c>
      <c r="AM320" s="68" t="str">
        <f>IF(main!AY323="","",ROUND(main!AY323*100,6))</f>
        <v/>
      </c>
      <c r="AN320" s="68" t="str">
        <f>IF(main!AZ323="","",ROUND(main!AZ323*100,6))</f>
        <v/>
      </c>
      <c r="AO320" s="68" t="str">
        <f>IF(main!BA323="","",ROUND(main!BA323*100,6))</f>
        <v/>
      </c>
      <c r="AP320" s="68" t="str">
        <f>IF(main!BB323="","",ROUND(main!BB323*100,6))</f>
        <v/>
      </c>
      <c r="AQ320" s="68" t="str">
        <f>IF(main!BC323="","",ROUND(main!BC323*100,6))</f>
        <v/>
      </c>
      <c r="AR320" s="68" t="str">
        <f>IF(main!BD323="","",ROUND(main!BD323*100,6))</f>
        <v/>
      </c>
      <c r="AS320" s="68" t="str">
        <f>IF(main!BE323="","",ROUND(main!BE323*100,6))</f>
        <v/>
      </c>
      <c r="AT320" s="68" t="str">
        <f>IF(main!BF323="","",ROUND(main!BF323*100,6))</f>
        <v/>
      </c>
      <c r="AU320" s="68" t="str">
        <f>IF(main!BG323="","",ROUND(main!BG323*100,6))</f>
        <v/>
      </c>
      <c r="AV320" s="68" t="str">
        <f>IF(main!BH323="","",ROUND(main!BH323*100,6))</f>
        <v/>
      </c>
      <c r="AW320" s="68" t="str">
        <f>IF(main!BI323="","",ROUND(main!BI323*100,6))</f>
        <v/>
      </c>
      <c r="AX320" s="68" t="str">
        <f>IF(main!BJ323="","",ROUND(main!BJ323*100,6))</f>
        <v/>
      </c>
      <c r="AY320" s="68" t="str">
        <f>IF(main!BK323="","",ROUND(main!BK323*100,6))</f>
        <v/>
      </c>
      <c r="AZ320" s="68" t="str">
        <f>IF(main!BL323="","",ROUND(main!BL323*100,6))</f>
        <v/>
      </c>
      <c r="BA320" s="68" t="str">
        <f>IF(main!BM323="","",ROUND(main!BM323*100,6))</f>
        <v/>
      </c>
      <c r="BB320" s="68" t="str">
        <f>IF(main!BN323="","",ROUND(main!BN323*100,6))</f>
        <v/>
      </c>
      <c r="BC320" s="68" t="str">
        <f>IF(main!BO323="","",ROUND(main!BO323*100,6))</f>
        <v/>
      </c>
      <c r="BD320" s="68" t="str">
        <f>IF(main!BP323="","",ROUND(main!BP323*100,6))</f>
        <v/>
      </c>
      <c r="BE320" s="68" t="str">
        <f>IF(main!BQ323="","",ROUND(main!BQ323*100,6))</f>
        <v/>
      </c>
      <c r="BF320" s="68" t="str">
        <f>IF(main!BR323="","",ROUND(main!BR323*100,6))</f>
        <v/>
      </c>
      <c r="BG320" s="68" t="str">
        <f>IF(main!BS323="","",ROUND(main!BS323*100,6))</f>
        <v/>
      </c>
      <c r="BH320" s="68" t="str">
        <f>IF(main!BT323="","",ROUND(main!BT323*100,6))</f>
        <v/>
      </c>
      <c r="BI320" s="68" t="str">
        <f>IF(main!BU323="","",ROUND(main!BU323*100,6))</f>
        <v/>
      </c>
      <c r="BJ320" s="68" t="str">
        <f>IF(main!BV323="","",ROUND(main!BV323*100,6))</f>
        <v/>
      </c>
      <c r="BK320" s="68" t="str">
        <f>IF(main!BW323="","",ROUND(main!BW323*100,6))</f>
        <v/>
      </c>
      <c r="BL320" s="68" t="str">
        <f>IF(main!BX323="","",ROUND(main!BX323*100,6))</f>
        <v/>
      </c>
      <c r="BM320" s="68" t="str">
        <f>IF(main!BY323="","",ROUND(main!BY323*100,6))</f>
        <v/>
      </c>
      <c r="BN320" s="68">
        <f>IF(main!BZ323="","",ROUND(main!BZ323*100,6))</f>
        <v>41.666666999999997</v>
      </c>
      <c r="BO320" s="68">
        <f>IF(main!CA323="","",ROUND(main!CA323*100,6))</f>
        <v>58.333333000000003</v>
      </c>
      <c r="BP320" s="68" t="str">
        <f>IF(main!CB323="","",ROUND(main!CB323*100,6))</f>
        <v/>
      </c>
      <c r="BQ320" s="68" t="str">
        <f>IF(main!CC323="","",ROUND(main!CC323*100,6))</f>
        <v/>
      </c>
      <c r="BR320" s="68" t="str">
        <f>IF(main!CD323="","",ROUND(main!CD323*100,6))</f>
        <v/>
      </c>
      <c r="BS320" s="68" t="str">
        <f>IF(main!CE323="","",ROUND(main!CE323*100,6))</f>
        <v/>
      </c>
      <c r="BT320" s="68" t="str">
        <f>IF(main!CF323="","",ROUND(main!CF323*100,6))</f>
        <v/>
      </c>
      <c r="BU320" s="68" t="str">
        <f>IF(main!CG323="","",ROUND(main!CG323*100,6))</f>
        <v/>
      </c>
      <c r="BV320" s="68" t="str">
        <f>IF(main!CH323="","",ROUND(main!CH323*100,6))</f>
        <v/>
      </c>
      <c r="BW320" s="68" t="str">
        <f>IF(main!CI323="","",ROUND(main!CI323*100,6))</f>
        <v/>
      </c>
      <c r="BX320" s="68" t="str">
        <f>IF(main!CJ323="","",ROUND(main!CJ323*100,6))</f>
        <v/>
      </c>
      <c r="BY320" s="68" t="str">
        <f>IF(main!CK323="","",ROUND(main!CK323*100,6))</f>
        <v/>
      </c>
      <c r="BZ320" s="68" t="str">
        <f>IF(main!CL323="","",ROUND(main!CL323*100,6))</f>
        <v/>
      </c>
      <c r="CA320" s="68" t="str">
        <f>IF(main!CM323="","",ROUND(main!CM323*100,6))</f>
        <v/>
      </c>
      <c r="CB320" s="68" t="str">
        <f>IF(main!CN323="","",ROUND(main!CN323*100,6))</f>
        <v/>
      </c>
      <c r="CC320" s="68" t="str">
        <f>IF(main!CO323="","",ROUND(main!CO323*100,6))</f>
        <v/>
      </c>
    </row>
    <row r="321" spans="1:81" x14ac:dyDescent="0.25">
      <c r="A321" s="65" t="s">
        <v>472</v>
      </c>
      <c r="B321" s="66" t="str">
        <f>main!C323</f>
        <v>งานฝ้ายิปซัมบอร์ด ฉาบเรียบทาสี</v>
      </c>
      <c r="C321" s="67">
        <f>main!O323</f>
        <v>100000</v>
      </c>
      <c r="D321" s="65" t="s">
        <v>111</v>
      </c>
      <c r="E321" s="68" t="str">
        <f t="shared" si="4"/>
        <v/>
      </c>
      <c r="F321" s="68" t="str">
        <f>IF(main!R324="","",ROUND(main!R324*100,6))</f>
        <v/>
      </c>
      <c r="G321" s="68" t="str">
        <f>IF(main!S324="","",ROUND(main!S324*100,6))</f>
        <v/>
      </c>
      <c r="H321" s="68" t="str">
        <f>IF(main!T324="","",ROUND(main!T324*100,6))</f>
        <v/>
      </c>
      <c r="I321" s="68" t="str">
        <f>IF(main!U324="","",ROUND(main!U324*100,6))</f>
        <v/>
      </c>
      <c r="J321" s="68" t="str">
        <f>IF(main!V324="","",ROUND(main!V324*100,6))</f>
        <v/>
      </c>
      <c r="K321" s="68" t="str">
        <f>IF(main!W324="","",ROUND(main!W324*100,6))</f>
        <v/>
      </c>
      <c r="L321" s="68" t="str">
        <f>IF(main!X324="","",ROUND(main!X324*100,6))</f>
        <v/>
      </c>
      <c r="M321" s="68" t="str">
        <f>IF(main!Y324="","",ROUND(main!Y324*100,6))</f>
        <v/>
      </c>
      <c r="N321" s="68" t="str">
        <f>IF(main!Z324="","",ROUND(main!Z324*100,6))</f>
        <v/>
      </c>
      <c r="O321" s="68" t="str">
        <f>IF(main!AA324="","",ROUND(main!AA324*100,6))</f>
        <v/>
      </c>
      <c r="P321" s="68" t="str">
        <f>IF(main!AB324="","",ROUND(main!AB324*100,6))</f>
        <v/>
      </c>
      <c r="Q321" s="68" t="str">
        <f>IF(main!AC324="","",ROUND(main!AC324*100,6))</f>
        <v/>
      </c>
      <c r="R321" s="68" t="str">
        <f>IF(main!AD324="","",ROUND(main!AD324*100,6))</f>
        <v/>
      </c>
      <c r="S321" s="68" t="str">
        <f>IF(main!AE324="","",ROUND(main!AE324*100,6))</f>
        <v/>
      </c>
      <c r="T321" s="68" t="str">
        <f>IF(main!AF324="","",ROUND(main!AF324*100,6))</f>
        <v/>
      </c>
      <c r="U321" s="68" t="str">
        <f>IF(main!AG324="","",ROUND(main!AG324*100,6))</f>
        <v/>
      </c>
      <c r="V321" s="68" t="str">
        <f>IF(main!AH324="","",ROUND(main!AH324*100,6))</f>
        <v/>
      </c>
      <c r="W321" s="68" t="str">
        <f>IF(main!AI324="","",ROUND(main!AI324*100,6))</f>
        <v/>
      </c>
      <c r="X321" s="68" t="str">
        <f>IF(main!AJ324="","",ROUND(main!AJ324*100,6))</f>
        <v/>
      </c>
      <c r="Y321" s="68" t="str">
        <f>IF(main!AK324="","",ROUND(main!AK324*100,6))</f>
        <v/>
      </c>
      <c r="Z321" s="68" t="str">
        <f>IF(main!AL324="","",ROUND(main!AL324*100,6))</f>
        <v/>
      </c>
      <c r="AA321" s="68" t="str">
        <f>IF(main!AM324="","",ROUND(main!AM324*100,6))</f>
        <v/>
      </c>
      <c r="AB321" s="68" t="str">
        <f>IF(main!AN324="","",ROUND(main!AN324*100,6))</f>
        <v/>
      </c>
      <c r="AC321" s="68" t="str">
        <f>IF(main!AO324="","",ROUND(main!AO324*100,6))</f>
        <v/>
      </c>
      <c r="AD321" s="68" t="str">
        <f>IF(main!AP324="","",ROUND(main!AP324*100,6))</f>
        <v/>
      </c>
      <c r="AE321" s="68" t="str">
        <f>IF(main!AQ324="","",ROUND(main!AQ324*100,6))</f>
        <v/>
      </c>
      <c r="AF321" s="68" t="str">
        <f>IF(main!AR324="","",ROUND(main!AR324*100,6))</f>
        <v/>
      </c>
      <c r="AG321" s="68" t="str">
        <f>IF(main!AS324="","",ROUND(main!AS324*100,6))</f>
        <v/>
      </c>
      <c r="AH321" s="68" t="str">
        <f>IF(main!AT324="","",ROUND(main!AT324*100,6))</f>
        <v/>
      </c>
      <c r="AI321" s="68" t="str">
        <f>IF(main!AU324="","",ROUND(main!AU324*100,6))</f>
        <v/>
      </c>
      <c r="AJ321" s="68" t="str">
        <f>IF(main!AV324="","",ROUND(main!AV324*100,6))</f>
        <v/>
      </c>
      <c r="AK321" s="68" t="str">
        <f>IF(main!AW324="","",ROUND(main!AW324*100,6))</f>
        <v/>
      </c>
      <c r="AL321" s="68" t="str">
        <f>IF(main!AX324="","",ROUND(main!AX324*100,6))</f>
        <v/>
      </c>
      <c r="AM321" s="68" t="str">
        <f>IF(main!AY324="","",ROUND(main!AY324*100,6))</f>
        <v/>
      </c>
      <c r="AN321" s="68" t="str">
        <f>IF(main!AZ324="","",ROUND(main!AZ324*100,6))</f>
        <v/>
      </c>
      <c r="AO321" s="68" t="str">
        <f>IF(main!BA324="","",ROUND(main!BA324*100,6))</f>
        <v/>
      </c>
      <c r="AP321" s="68" t="str">
        <f>IF(main!BB324="","",ROUND(main!BB324*100,6))</f>
        <v/>
      </c>
      <c r="AQ321" s="68" t="str">
        <f>IF(main!BC324="","",ROUND(main!BC324*100,6))</f>
        <v/>
      </c>
      <c r="AR321" s="68" t="str">
        <f>IF(main!BD324="","",ROUND(main!BD324*100,6))</f>
        <v/>
      </c>
      <c r="AS321" s="68" t="str">
        <f>IF(main!BE324="","",ROUND(main!BE324*100,6))</f>
        <v/>
      </c>
      <c r="AT321" s="68" t="str">
        <f>IF(main!BF324="","",ROUND(main!BF324*100,6))</f>
        <v/>
      </c>
      <c r="AU321" s="68" t="str">
        <f>IF(main!BG324="","",ROUND(main!BG324*100,6))</f>
        <v/>
      </c>
      <c r="AV321" s="68" t="str">
        <f>IF(main!BH324="","",ROUND(main!BH324*100,6))</f>
        <v/>
      </c>
      <c r="AW321" s="68" t="str">
        <f>IF(main!BI324="","",ROUND(main!BI324*100,6))</f>
        <v/>
      </c>
      <c r="AX321" s="68" t="str">
        <f>IF(main!BJ324="","",ROUND(main!BJ324*100,6))</f>
        <v/>
      </c>
      <c r="AY321" s="68" t="str">
        <f>IF(main!BK324="","",ROUND(main!BK324*100,6))</f>
        <v/>
      </c>
      <c r="AZ321" s="68" t="str">
        <f>IF(main!BL324="","",ROUND(main!BL324*100,6))</f>
        <v/>
      </c>
      <c r="BA321" s="68" t="str">
        <f>IF(main!BM324="","",ROUND(main!BM324*100,6))</f>
        <v/>
      </c>
      <c r="BB321" s="68" t="str">
        <f>IF(main!BN324="","",ROUND(main!BN324*100,6))</f>
        <v/>
      </c>
      <c r="BC321" s="68" t="str">
        <f>IF(main!BO324="","",ROUND(main!BO324*100,6))</f>
        <v/>
      </c>
      <c r="BD321" s="68" t="str">
        <f>IF(main!BP324="","",ROUND(main!BP324*100,6))</f>
        <v/>
      </c>
      <c r="BE321" s="68" t="str">
        <f>IF(main!BQ324="","",ROUND(main!BQ324*100,6))</f>
        <v/>
      </c>
      <c r="BF321" s="68" t="str">
        <f>IF(main!BR324="","",ROUND(main!BR324*100,6))</f>
        <v/>
      </c>
      <c r="BG321" s="68" t="str">
        <f>IF(main!BS324="","",ROUND(main!BS324*100,6))</f>
        <v/>
      </c>
      <c r="BH321" s="68" t="str">
        <f>IF(main!BT324="","",ROUND(main!BT324*100,6))</f>
        <v/>
      </c>
      <c r="BI321" s="68" t="str">
        <f>IF(main!BU324="","",ROUND(main!BU324*100,6))</f>
        <v/>
      </c>
      <c r="BJ321" s="68" t="str">
        <f>IF(main!BV324="","",ROUND(main!BV324*100,6))</f>
        <v/>
      </c>
      <c r="BK321" s="68" t="str">
        <f>IF(main!BW324="","",ROUND(main!BW324*100,6))</f>
        <v/>
      </c>
      <c r="BL321" s="68" t="str">
        <f>IF(main!BX324="","",ROUND(main!BX324*100,6))</f>
        <v/>
      </c>
      <c r="BM321" s="68" t="str">
        <f>IF(main!BY324="","",ROUND(main!BY324*100,6))</f>
        <v/>
      </c>
      <c r="BN321" s="68" t="str">
        <f>IF(main!BZ324="","",ROUND(main!BZ324*100,6))</f>
        <v/>
      </c>
      <c r="BO321" s="68" t="str">
        <f>IF(main!CA324="","",ROUND(main!CA324*100,6))</f>
        <v/>
      </c>
      <c r="BP321" s="68" t="str">
        <f>IF(main!CB324="","",ROUND(main!CB324*100,6))</f>
        <v/>
      </c>
      <c r="BQ321" s="68" t="str">
        <f>IF(main!CC324="","",ROUND(main!CC324*100,6))</f>
        <v/>
      </c>
      <c r="BR321" s="68" t="str">
        <f>IF(main!CD324="","",ROUND(main!CD324*100,6))</f>
        <v/>
      </c>
      <c r="BS321" s="68" t="str">
        <f>IF(main!CE324="","",ROUND(main!CE324*100,6))</f>
        <v/>
      </c>
      <c r="BT321" s="68" t="str">
        <f>IF(main!CF324="","",ROUND(main!CF324*100,6))</f>
        <v/>
      </c>
      <c r="BU321" s="68" t="str">
        <f>IF(main!CG324="","",ROUND(main!CG324*100,6))</f>
        <v/>
      </c>
      <c r="BV321" s="68" t="str">
        <f>IF(main!CH324="","",ROUND(main!CH324*100,6))</f>
        <v/>
      </c>
      <c r="BW321" s="68" t="str">
        <f>IF(main!CI324="","",ROUND(main!CI324*100,6))</f>
        <v/>
      </c>
      <c r="BX321" s="68" t="str">
        <f>IF(main!CJ324="","",ROUND(main!CJ324*100,6))</f>
        <v/>
      </c>
      <c r="BY321" s="68" t="str">
        <f>IF(main!CK324="","",ROUND(main!CK324*100,6))</f>
        <v/>
      </c>
      <c r="BZ321" s="68" t="str">
        <f>IF(main!CL324="","",ROUND(main!CL324*100,6))</f>
        <v/>
      </c>
      <c r="CA321" s="68" t="str">
        <f>IF(main!CM324="","",ROUND(main!CM324*100,6))</f>
        <v/>
      </c>
      <c r="CB321" s="68" t="str">
        <f>IF(main!CN324="","",ROUND(main!CN324*100,6))</f>
        <v/>
      </c>
      <c r="CC321" s="68" t="str">
        <f>IF(main!CO324="","",ROUND(main!CO324*100,6))</f>
        <v/>
      </c>
    </row>
    <row r="322" spans="1:81" x14ac:dyDescent="0.25">
      <c r="A322" s="65" t="s">
        <v>475</v>
      </c>
      <c r="B322" s="66" t="str">
        <f>main!C325</f>
        <v>งานแต่งเรียบท้องพื้น ท้องคาน</v>
      </c>
      <c r="C322" s="67">
        <f>main!O325</f>
        <v>100000</v>
      </c>
      <c r="D322" s="65" t="s">
        <v>110</v>
      </c>
      <c r="E322" s="68">
        <f t="shared" ref="E322:E385" si="5">IF(COUNT(F322:CC322)=0,"",ROUND(SUM(F322:CC322),6))</f>
        <v>100</v>
      </c>
      <c r="F322" s="68" t="str">
        <f>IF(main!R325="","",ROUND(main!R325*100,6))</f>
        <v/>
      </c>
      <c r="G322" s="68" t="str">
        <f>IF(main!S325="","",ROUND(main!S325*100,6))</f>
        <v/>
      </c>
      <c r="H322" s="68" t="str">
        <f>IF(main!T325="","",ROUND(main!T325*100,6))</f>
        <v/>
      </c>
      <c r="I322" s="68" t="str">
        <f>IF(main!U325="","",ROUND(main!U325*100,6))</f>
        <v/>
      </c>
      <c r="J322" s="68" t="str">
        <f>IF(main!V325="","",ROUND(main!V325*100,6))</f>
        <v/>
      </c>
      <c r="K322" s="68" t="str">
        <f>IF(main!W325="","",ROUND(main!W325*100,6))</f>
        <v/>
      </c>
      <c r="L322" s="68" t="str">
        <f>IF(main!X325="","",ROUND(main!X325*100,6))</f>
        <v/>
      </c>
      <c r="M322" s="68" t="str">
        <f>IF(main!Y325="","",ROUND(main!Y325*100,6))</f>
        <v/>
      </c>
      <c r="N322" s="68" t="str">
        <f>IF(main!Z325="","",ROUND(main!Z325*100,6))</f>
        <v/>
      </c>
      <c r="O322" s="68" t="str">
        <f>IF(main!AA325="","",ROUND(main!AA325*100,6))</f>
        <v/>
      </c>
      <c r="P322" s="68" t="str">
        <f>IF(main!AB325="","",ROUND(main!AB325*100,6))</f>
        <v/>
      </c>
      <c r="Q322" s="68" t="str">
        <f>IF(main!AC325="","",ROUND(main!AC325*100,6))</f>
        <v/>
      </c>
      <c r="R322" s="68" t="str">
        <f>IF(main!AD325="","",ROUND(main!AD325*100,6))</f>
        <v/>
      </c>
      <c r="S322" s="68" t="str">
        <f>IF(main!AE325="","",ROUND(main!AE325*100,6))</f>
        <v/>
      </c>
      <c r="T322" s="68" t="str">
        <f>IF(main!AF325="","",ROUND(main!AF325*100,6))</f>
        <v/>
      </c>
      <c r="U322" s="68" t="str">
        <f>IF(main!AG325="","",ROUND(main!AG325*100,6))</f>
        <v/>
      </c>
      <c r="V322" s="68" t="str">
        <f>IF(main!AH325="","",ROUND(main!AH325*100,6))</f>
        <v/>
      </c>
      <c r="W322" s="68" t="str">
        <f>IF(main!AI325="","",ROUND(main!AI325*100,6))</f>
        <v/>
      </c>
      <c r="X322" s="68" t="str">
        <f>IF(main!AJ325="","",ROUND(main!AJ325*100,6))</f>
        <v/>
      </c>
      <c r="Y322" s="68" t="str">
        <f>IF(main!AK325="","",ROUND(main!AK325*100,6))</f>
        <v/>
      </c>
      <c r="Z322" s="68" t="str">
        <f>IF(main!AL325="","",ROUND(main!AL325*100,6))</f>
        <v/>
      </c>
      <c r="AA322" s="68" t="str">
        <f>IF(main!AM325="","",ROUND(main!AM325*100,6))</f>
        <v/>
      </c>
      <c r="AB322" s="68" t="str">
        <f>IF(main!AN325="","",ROUND(main!AN325*100,6))</f>
        <v/>
      </c>
      <c r="AC322" s="68" t="str">
        <f>IF(main!AO325="","",ROUND(main!AO325*100,6))</f>
        <v/>
      </c>
      <c r="AD322" s="68" t="str">
        <f>IF(main!AP325="","",ROUND(main!AP325*100,6))</f>
        <v/>
      </c>
      <c r="AE322" s="68" t="str">
        <f>IF(main!AQ325="","",ROUND(main!AQ325*100,6))</f>
        <v/>
      </c>
      <c r="AF322" s="68" t="str">
        <f>IF(main!AR325="","",ROUND(main!AR325*100,6))</f>
        <v/>
      </c>
      <c r="AG322" s="68" t="str">
        <f>IF(main!AS325="","",ROUND(main!AS325*100,6))</f>
        <v/>
      </c>
      <c r="AH322" s="68" t="str">
        <f>IF(main!AT325="","",ROUND(main!AT325*100,6))</f>
        <v/>
      </c>
      <c r="AI322" s="68" t="str">
        <f>IF(main!AU325="","",ROUND(main!AU325*100,6))</f>
        <v/>
      </c>
      <c r="AJ322" s="68" t="str">
        <f>IF(main!AV325="","",ROUND(main!AV325*100,6))</f>
        <v/>
      </c>
      <c r="AK322" s="68" t="str">
        <f>IF(main!AW325="","",ROUND(main!AW325*100,6))</f>
        <v/>
      </c>
      <c r="AL322" s="68" t="str">
        <f>IF(main!AX325="","",ROUND(main!AX325*100,6))</f>
        <v/>
      </c>
      <c r="AM322" s="68" t="str">
        <f>IF(main!AY325="","",ROUND(main!AY325*100,6))</f>
        <v/>
      </c>
      <c r="AN322" s="68" t="str">
        <f>IF(main!AZ325="","",ROUND(main!AZ325*100,6))</f>
        <v/>
      </c>
      <c r="AO322" s="68" t="str">
        <f>IF(main!BA325="","",ROUND(main!BA325*100,6))</f>
        <v/>
      </c>
      <c r="AP322" s="68" t="str">
        <f>IF(main!BB325="","",ROUND(main!BB325*100,6))</f>
        <v/>
      </c>
      <c r="AQ322" s="68" t="str">
        <f>IF(main!BC325="","",ROUND(main!BC325*100,6))</f>
        <v/>
      </c>
      <c r="AR322" s="68" t="str">
        <f>IF(main!BD325="","",ROUND(main!BD325*100,6))</f>
        <v/>
      </c>
      <c r="AS322" s="68" t="str">
        <f>IF(main!BE325="","",ROUND(main!BE325*100,6))</f>
        <v/>
      </c>
      <c r="AT322" s="68" t="str">
        <f>IF(main!BF325="","",ROUND(main!BF325*100,6))</f>
        <v/>
      </c>
      <c r="AU322" s="68" t="str">
        <f>IF(main!BG325="","",ROUND(main!BG325*100,6))</f>
        <v/>
      </c>
      <c r="AV322" s="68" t="str">
        <f>IF(main!BH325="","",ROUND(main!BH325*100,6))</f>
        <v/>
      </c>
      <c r="AW322" s="68" t="str">
        <f>IF(main!BI325="","",ROUND(main!BI325*100,6))</f>
        <v/>
      </c>
      <c r="AX322" s="68" t="str">
        <f>IF(main!BJ325="","",ROUND(main!BJ325*100,6))</f>
        <v/>
      </c>
      <c r="AY322" s="68" t="str">
        <f>IF(main!BK325="","",ROUND(main!BK325*100,6))</f>
        <v/>
      </c>
      <c r="AZ322" s="68" t="str">
        <f>IF(main!BL325="","",ROUND(main!BL325*100,6))</f>
        <v/>
      </c>
      <c r="BA322" s="68" t="str">
        <f>IF(main!BM325="","",ROUND(main!BM325*100,6))</f>
        <v/>
      </c>
      <c r="BB322" s="68" t="str">
        <f>IF(main!BN325="","",ROUND(main!BN325*100,6))</f>
        <v/>
      </c>
      <c r="BC322" s="68" t="str">
        <f>IF(main!BO325="","",ROUND(main!BO325*100,6))</f>
        <v/>
      </c>
      <c r="BD322" s="68" t="str">
        <f>IF(main!BP325="","",ROUND(main!BP325*100,6))</f>
        <v/>
      </c>
      <c r="BE322" s="68" t="str">
        <f>IF(main!BQ325="","",ROUND(main!BQ325*100,6))</f>
        <v/>
      </c>
      <c r="BF322" s="68" t="str">
        <f>IF(main!BR325="","",ROUND(main!BR325*100,6))</f>
        <v/>
      </c>
      <c r="BG322" s="68" t="str">
        <f>IF(main!BS325="","",ROUND(main!BS325*100,6))</f>
        <v/>
      </c>
      <c r="BH322" s="68" t="str">
        <f>IF(main!BT325="","",ROUND(main!BT325*100,6))</f>
        <v/>
      </c>
      <c r="BI322" s="68" t="str">
        <f>IF(main!BU325="","",ROUND(main!BU325*100,6))</f>
        <v/>
      </c>
      <c r="BJ322" s="68" t="str">
        <f>IF(main!BV325="","",ROUND(main!BV325*100,6))</f>
        <v/>
      </c>
      <c r="BK322" s="68" t="str">
        <f>IF(main!BW325="","",ROUND(main!BW325*100,6))</f>
        <v/>
      </c>
      <c r="BL322" s="68">
        <f>IF(main!BX325="","",ROUND(main!BX325*100,6))</f>
        <v>7.1428570000000002</v>
      </c>
      <c r="BM322" s="68">
        <f>IF(main!BY325="","",ROUND(main!BY325*100,6))</f>
        <v>50</v>
      </c>
      <c r="BN322" s="68">
        <f>IF(main!BZ325="","",ROUND(main!BZ325*100,6))</f>
        <v>42.857143000000001</v>
      </c>
      <c r="BO322" s="68" t="str">
        <f>IF(main!CA325="","",ROUND(main!CA325*100,6))</f>
        <v/>
      </c>
      <c r="BP322" s="68" t="str">
        <f>IF(main!CB325="","",ROUND(main!CB325*100,6))</f>
        <v/>
      </c>
      <c r="BQ322" s="68" t="str">
        <f>IF(main!CC325="","",ROUND(main!CC325*100,6))</f>
        <v/>
      </c>
      <c r="BR322" s="68" t="str">
        <f>IF(main!CD325="","",ROUND(main!CD325*100,6))</f>
        <v/>
      </c>
      <c r="BS322" s="68" t="str">
        <f>IF(main!CE325="","",ROUND(main!CE325*100,6))</f>
        <v/>
      </c>
      <c r="BT322" s="68" t="str">
        <f>IF(main!CF325="","",ROUND(main!CF325*100,6))</f>
        <v/>
      </c>
      <c r="BU322" s="68" t="str">
        <f>IF(main!CG325="","",ROUND(main!CG325*100,6))</f>
        <v/>
      </c>
      <c r="BV322" s="68" t="str">
        <f>IF(main!CH325="","",ROUND(main!CH325*100,6))</f>
        <v/>
      </c>
      <c r="BW322" s="68" t="str">
        <f>IF(main!CI325="","",ROUND(main!CI325*100,6))</f>
        <v/>
      </c>
      <c r="BX322" s="68" t="str">
        <f>IF(main!CJ325="","",ROUND(main!CJ325*100,6))</f>
        <v/>
      </c>
      <c r="BY322" s="68" t="str">
        <f>IF(main!CK325="","",ROUND(main!CK325*100,6))</f>
        <v/>
      </c>
      <c r="BZ322" s="68" t="str">
        <f>IF(main!CL325="","",ROUND(main!CL325*100,6))</f>
        <v/>
      </c>
      <c r="CA322" s="68" t="str">
        <f>IF(main!CM325="","",ROUND(main!CM325*100,6))</f>
        <v/>
      </c>
      <c r="CB322" s="68" t="str">
        <f>IF(main!CN325="","",ROUND(main!CN325*100,6))</f>
        <v/>
      </c>
      <c r="CC322" s="68" t="str">
        <f>IF(main!CO325="","",ROUND(main!CO325*100,6))</f>
        <v/>
      </c>
    </row>
    <row r="323" spans="1:81" x14ac:dyDescent="0.25">
      <c r="A323" s="65" t="s">
        <v>475</v>
      </c>
      <c r="B323" s="66" t="str">
        <f>main!C325</f>
        <v>งานแต่งเรียบท้องพื้น ท้องคาน</v>
      </c>
      <c r="C323" s="67">
        <f>main!O325</f>
        <v>100000</v>
      </c>
      <c r="D323" s="65" t="s">
        <v>111</v>
      </c>
      <c r="E323" s="68" t="str">
        <f t="shared" si="5"/>
        <v/>
      </c>
      <c r="F323" s="68" t="str">
        <f>IF(main!R326="","",ROUND(main!R326*100,6))</f>
        <v/>
      </c>
      <c r="G323" s="68" t="str">
        <f>IF(main!S326="","",ROUND(main!S326*100,6))</f>
        <v/>
      </c>
      <c r="H323" s="68" t="str">
        <f>IF(main!T326="","",ROUND(main!T326*100,6))</f>
        <v/>
      </c>
      <c r="I323" s="68" t="str">
        <f>IF(main!U326="","",ROUND(main!U326*100,6))</f>
        <v/>
      </c>
      <c r="J323" s="68" t="str">
        <f>IF(main!V326="","",ROUND(main!V326*100,6))</f>
        <v/>
      </c>
      <c r="K323" s="68" t="str">
        <f>IF(main!W326="","",ROUND(main!W326*100,6))</f>
        <v/>
      </c>
      <c r="L323" s="68" t="str">
        <f>IF(main!X326="","",ROUND(main!X326*100,6))</f>
        <v/>
      </c>
      <c r="M323" s="68" t="str">
        <f>IF(main!Y326="","",ROUND(main!Y326*100,6))</f>
        <v/>
      </c>
      <c r="N323" s="68" t="str">
        <f>IF(main!Z326="","",ROUND(main!Z326*100,6))</f>
        <v/>
      </c>
      <c r="O323" s="68" t="str">
        <f>IF(main!AA326="","",ROUND(main!AA326*100,6))</f>
        <v/>
      </c>
      <c r="P323" s="68" t="str">
        <f>IF(main!AB326="","",ROUND(main!AB326*100,6))</f>
        <v/>
      </c>
      <c r="Q323" s="68" t="str">
        <f>IF(main!AC326="","",ROUND(main!AC326*100,6))</f>
        <v/>
      </c>
      <c r="R323" s="68" t="str">
        <f>IF(main!AD326="","",ROUND(main!AD326*100,6))</f>
        <v/>
      </c>
      <c r="S323" s="68" t="str">
        <f>IF(main!AE326="","",ROUND(main!AE326*100,6))</f>
        <v/>
      </c>
      <c r="T323" s="68" t="str">
        <f>IF(main!AF326="","",ROUND(main!AF326*100,6))</f>
        <v/>
      </c>
      <c r="U323" s="68" t="str">
        <f>IF(main!AG326="","",ROUND(main!AG326*100,6))</f>
        <v/>
      </c>
      <c r="V323" s="68" t="str">
        <f>IF(main!AH326="","",ROUND(main!AH326*100,6))</f>
        <v/>
      </c>
      <c r="W323" s="68" t="str">
        <f>IF(main!AI326="","",ROUND(main!AI326*100,6))</f>
        <v/>
      </c>
      <c r="X323" s="68" t="str">
        <f>IF(main!AJ326="","",ROUND(main!AJ326*100,6))</f>
        <v/>
      </c>
      <c r="Y323" s="68" t="str">
        <f>IF(main!AK326="","",ROUND(main!AK326*100,6))</f>
        <v/>
      </c>
      <c r="Z323" s="68" t="str">
        <f>IF(main!AL326="","",ROUND(main!AL326*100,6))</f>
        <v/>
      </c>
      <c r="AA323" s="68" t="str">
        <f>IF(main!AM326="","",ROUND(main!AM326*100,6))</f>
        <v/>
      </c>
      <c r="AB323" s="68" t="str">
        <f>IF(main!AN326="","",ROUND(main!AN326*100,6))</f>
        <v/>
      </c>
      <c r="AC323" s="68" t="str">
        <f>IF(main!AO326="","",ROUND(main!AO326*100,6))</f>
        <v/>
      </c>
      <c r="AD323" s="68" t="str">
        <f>IF(main!AP326="","",ROUND(main!AP326*100,6))</f>
        <v/>
      </c>
      <c r="AE323" s="68" t="str">
        <f>IF(main!AQ326="","",ROUND(main!AQ326*100,6))</f>
        <v/>
      </c>
      <c r="AF323" s="68" t="str">
        <f>IF(main!AR326="","",ROUND(main!AR326*100,6))</f>
        <v/>
      </c>
      <c r="AG323" s="68" t="str">
        <f>IF(main!AS326="","",ROUND(main!AS326*100,6))</f>
        <v/>
      </c>
      <c r="AH323" s="68" t="str">
        <f>IF(main!AT326="","",ROUND(main!AT326*100,6))</f>
        <v/>
      </c>
      <c r="AI323" s="68" t="str">
        <f>IF(main!AU326="","",ROUND(main!AU326*100,6))</f>
        <v/>
      </c>
      <c r="AJ323" s="68" t="str">
        <f>IF(main!AV326="","",ROUND(main!AV326*100,6))</f>
        <v/>
      </c>
      <c r="AK323" s="68" t="str">
        <f>IF(main!AW326="","",ROUND(main!AW326*100,6))</f>
        <v/>
      </c>
      <c r="AL323" s="68" t="str">
        <f>IF(main!AX326="","",ROUND(main!AX326*100,6))</f>
        <v/>
      </c>
      <c r="AM323" s="68" t="str">
        <f>IF(main!AY326="","",ROUND(main!AY326*100,6))</f>
        <v/>
      </c>
      <c r="AN323" s="68" t="str">
        <f>IF(main!AZ326="","",ROUND(main!AZ326*100,6))</f>
        <v/>
      </c>
      <c r="AO323" s="68" t="str">
        <f>IF(main!BA326="","",ROUND(main!BA326*100,6))</f>
        <v/>
      </c>
      <c r="AP323" s="68" t="str">
        <f>IF(main!BB326="","",ROUND(main!BB326*100,6))</f>
        <v/>
      </c>
      <c r="AQ323" s="68" t="str">
        <f>IF(main!BC326="","",ROUND(main!BC326*100,6))</f>
        <v/>
      </c>
      <c r="AR323" s="68" t="str">
        <f>IF(main!BD326="","",ROUND(main!BD326*100,6))</f>
        <v/>
      </c>
      <c r="AS323" s="68" t="str">
        <f>IF(main!BE326="","",ROUND(main!BE326*100,6))</f>
        <v/>
      </c>
      <c r="AT323" s="68" t="str">
        <f>IF(main!BF326="","",ROUND(main!BF326*100,6))</f>
        <v/>
      </c>
      <c r="AU323" s="68" t="str">
        <f>IF(main!BG326="","",ROUND(main!BG326*100,6))</f>
        <v/>
      </c>
      <c r="AV323" s="68" t="str">
        <f>IF(main!BH326="","",ROUND(main!BH326*100,6))</f>
        <v/>
      </c>
      <c r="AW323" s="68" t="str">
        <f>IF(main!BI326="","",ROUND(main!BI326*100,6))</f>
        <v/>
      </c>
      <c r="AX323" s="68" t="str">
        <f>IF(main!BJ326="","",ROUND(main!BJ326*100,6))</f>
        <v/>
      </c>
      <c r="AY323" s="68" t="str">
        <f>IF(main!BK326="","",ROUND(main!BK326*100,6))</f>
        <v/>
      </c>
      <c r="AZ323" s="68" t="str">
        <f>IF(main!BL326="","",ROUND(main!BL326*100,6))</f>
        <v/>
      </c>
      <c r="BA323" s="68" t="str">
        <f>IF(main!BM326="","",ROUND(main!BM326*100,6))</f>
        <v/>
      </c>
      <c r="BB323" s="68" t="str">
        <f>IF(main!BN326="","",ROUND(main!BN326*100,6))</f>
        <v/>
      </c>
      <c r="BC323" s="68" t="str">
        <f>IF(main!BO326="","",ROUND(main!BO326*100,6))</f>
        <v/>
      </c>
      <c r="BD323" s="68" t="str">
        <f>IF(main!BP326="","",ROUND(main!BP326*100,6))</f>
        <v/>
      </c>
      <c r="BE323" s="68" t="str">
        <f>IF(main!BQ326="","",ROUND(main!BQ326*100,6))</f>
        <v/>
      </c>
      <c r="BF323" s="68" t="str">
        <f>IF(main!BR326="","",ROUND(main!BR326*100,6))</f>
        <v/>
      </c>
      <c r="BG323" s="68" t="str">
        <f>IF(main!BS326="","",ROUND(main!BS326*100,6))</f>
        <v/>
      </c>
      <c r="BH323" s="68" t="str">
        <f>IF(main!BT326="","",ROUND(main!BT326*100,6))</f>
        <v/>
      </c>
      <c r="BI323" s="68" t="str">
        <f>IF(main!BU326="","",ROUND(main!BU326*100,6))</f>
        <v/>
      </c>
      <c r="BJ323" s="68" t="str">
        <f>IF(main!BV326="","",ROUND(main!BV326*100,6))</f>
        <v/>
      </c>
      <c r="BK323" s="68" t="str">
        <f>IF(main!BW326="","",ROUND(main!BW326*100,6))</f>
        <v/>
      </c>
      <c r="BL323" s="68" t="str">
        <f>IF(main!BX326="","",ROUND(main!BX326*100,6))</f>
        <v/>
      </c>
      <c r="BM323" s="68" t="str">
        <f>IF(main!BY326="","",ROUND(main!BY326*100,6))</f>
        <v/>
      </c>
      <c r="BN323" s="68" t="str">
        <f>IF(main!BZ326="","",ROUND(main!BZ326*100,6))</f>
        <v/>
      </c>
      <c r="BO323" s="68" t="str">
        <f>IF(main!CA326="","",ROUND(main!CA326*100,6))</f>
        <v/>
      </c>
      <c r="BP323" s="68" t="str">
        <f>IF(main!CB326="","",ROUND(main!CB326*100,6))</f>
        <v/>
      </c>
      <c r="BQ323" s="68" t="str">
        <f>IF(main!CC326="","",ROUND(main!CC326*100,6))</f>
        <v/>
      </c>
      <c r="BR323" s="68" t="str">
        <f>IF(main!CD326="","",ROUND(main!CD326*100,6))</f>
        <v/>
      </c>
      <c r="BS323" s="68" t="str">
        <f>IF(main!CE326="","",ROUND(main!CE326*100,6))</f>
        <v/>
      </c>
      <c r="BT323" s="68" t="str">
        <f>IF(main!CF326="","",ROUND(main!CF326*100,6))</f>
        <v/>
      </c>
      <c r="BU323" s="68" t="str">
        <f>IF(main!CG326="","",ROUND(main!CG326*100,6))</f>
        <v/>
      </c>
      <c r="BV323" s="68" t="str">
        <f>IF(main!CH326="","",ROUND(main!CH326*100,6))</f>
        <v/>
      </c>
      <c r="BW323" s="68" t="str">
        <f>IF(main!CI326="","",ROUND(main!CI326*100,6))</f>
        <v/>
      </c>
      <c r="BX323" s="68" t="str">
        <f>IF(main!CJ326="","",ROUND(main!CJ326*100,6))</f>
        <v/>
      </c>
      <c r="BY323" s="68" t="str">
        <f>IF(main!CK326="","",ROUND(main!CK326*100,6))</f>
        <v/>
      </c>
      <c r="BZ323" s="68" t="str">
        <f>IF(main!CL326="","",ROUND(main!CL326*100,6))</f>
        <v/>
      </c>
      <c r="CA323" s="68" t="str">
        <f>IF(main!CM326="","",ROUND(main!CM326*100,6))</f>
        <v/>
      </c>
      <c r="CB323" s="68" t="str">
        <f>IF(main!CN326="","",ROUND(main!CN326*100,6))</f>
        <v/>
      </c>
      <c r="CC323" s="68" t="str">
        <f>IF(main!CO326="","",ROUND(main!CO326*100,6))</f>
        <v/>
      </c>
    </row>
    <row r="324" spans="1:81" x14ac:dyDescent="0.25">
      <c r="A324" s="65" t="s">
        <v>477</v>
      </c>
      <c r="B324" s="66" t="str">
        <f>main!C327</f>
        <v>Floor &amp; Floor Fn.</v>
      </c>
      <c r="C324" s="67">
        <f>main!O327</f>
        <v>300000</v>
      </c>
      <c r="D324" s="65" t="s">
        <v>110</v>
      </c>
      <c r="E324" s="68">
        <f t="shared" si="5"/>
        <v>100</v>
      </c>
      <c r="F324" s="68" t="str">
        <f>IF(main!R327="","",ROUND(main!R327*100,6))</f>
        <v/>
      </c>
      <c r="G324" s="68" t="str">
        <f>IF(main!S327="","",ROUND(main!S327*100,6))</f>
        <v/>
      </c>
      <c r="H324" s="68" t="str">
        <f>IF(main!T327="","",ROUND(main!T327*100,6))</f>
        <v/>
      </c>
      <c r="I324" s="68" t="str">
        <f>IF(main!U327="","",ROUND(main!U327*100,6))</f>
        <v/>
      </c>
      <c r="J324" s="68" t="str">
        <f>IF(main!V327="","",ROUND(main!V327*100,6))</f>
        <v/>
      </c>
      <c r="K324" s="68" t="str">
        <f>IF(main!W327="","",ROUND(main!W327*100,6))</f>
        <v/>
      </c>
      <c r="L324" s="68" t="str">
        <f>IF(main!X327="","",ROUND(main!X327*100,6))</f>
        <v/>
      </c>
      <c r="M324" s="68" t="str">
        <f>IF(main!Y327="","",ROUND(main!Y327*100,6))</f>
        <v/>
      </c>
      <c r="N324" s="68" t="str">
        <f>IF(main!Z327="","",ROUND(main!Z327*100,6))</f>
        <v/>
      </c>
      <c r="O324" s="68" t="str">
        <f>IF(main!AA327="","",ROUND(main!AA327*100,6))</f>
        <v/>
      </c>
      <c r="P324" s="68" t="str">
        <f>IF(main!AB327="","",ROUND(main!AB327*100,6))</f>
        <v/>
      </c>
      <c r="Q324" s="68" t="str">
        <f>IF(main!AC327="","",ROUND(main!AC327*100,6))</f>
        <v/>
      </c>
      <c r="R324" s="68" t="str">
        <f>IF(main!AD327="","",ROUND(main!AD327*100,6))</f>
        <v/>
      </c>
      <c r="S324" s="68" t="str">
        <f>IF(main!AE327="","",ROUND(main!AE327*100,6))</f>
        <v/>
      </c>
      <c r="T324" s="68" t="str">
        <f>IF(main!AF327="","",ROUND(main!AF327*100,6))</f>
        <v/>
      </c>
      <c r="U324" s="68" t="str">
        <f>IF(main!AG327="","",ROUND(main!AG327*100,6))</f>
        <v/>
      </c>
      <c r="V324" s="68" t="str">
        <f>IF(main!AH327="","",ROUND(main!AH327*100,6))</f>
        <v/>
      </c>
      <c r="W324" s="68" t="str">
        <f>IF(main!AI327="","",ROUND(main!AI327*100,6))</f>
        <v/>
      </c>
      <c r="X324" s="68" t="str">
        <f>IF(main!AJ327="","",ROUND(main!AJ327*100,6))</f>
        <v/>
      </c>
      <c r="Y324" s="68" t="str">
        <f>IF(main!AK327="","",ROUND(main!AK327*100,6))</f>
        <v/>
      </c>
      <c r="Z324" s="68" t="str">
        <f>IF(main!AL327="","",ROUND(main!AL327*100,6))</f>
        <v/>
      </c>
      <c r="AA324" s="68" t="str">
        <f>IF(main!AM327="","",ROUND(main!AM327*100,6))</f>
        <v/>
      </c>
      <c r="AB324" s="68" t="str">
        <f>IF(main!AN327="","",ROUND(main!AN327*100,6))</f>
        <v/>
      </c>
      <c r="AC324" s="68" t="str">
        <f>IF(main!AO327="","",ROUND(main!AO327*100,6))</f>
        <v/>
      </c>
      <c r="AD324" s="68" t="str">
        <f>IF(main!AP327="","",ROUND(main!AP327*100,6))</f>
        <v/>
      </c>
      <c r="AE324" s="68" t="str">
        <f>IF(main!AQ327="","",ROUND(main!AQ327*100,6))</f>
        <v/>
      </c>
      <c r="AF324" s="68" t="str">
        <f>IF(main!AR327="","",ROUND(main!AR327*100,6))</f>
        <v/>
      </c>
      <c r="AG324" s="68" t="str">
        <f>IF(main!AS327="","",ROUND(main!AS327*100,6))</f>
        <v/>
      </c>
      <c r="AH324" s="68" t="str">
        <f>IF(main!AT327="","",ROUND(main!AT327*100,6))</f>
        <v/>
      </c>
      <c r="AI324" s="68" t="str">
        <f>IF(main!AU327="","",ROUND(main!AU327*100,6))</f>
        <v/>
      </c>
      <c r="AJ324" s="68" t="str">
        <f>IF(main!AV327="","",ROUND(main!AV327*100,6))</f>
        <v/>
      </c>
      <c r="AK324" s="68" t="str">
        <f>IF(main!AW327="","",ROUND(main!AW327*100,6))</f>
        <v/>
      </c>
      <c r="AL324" s="68" t="str">
        <f>IF(main!AX327="","",ROUND(main!AX327*100,6))</f>
        <v/>
      </c>
      <c r="AM324" s="68" t="str">
        <f>IF(main!AY327="","",ROUND(main!AY327*100,6))</f>
        <v/>
      </c>
      <c r="AN324" s="68" t="str">
        <f>IF(main!AZ327="","",ROUND(main!AZ327*100,6))</f>
        <v/>
      </c>
      <c r="AO324" s="68" t="str">
        <f>IF(main!BA327="","",ROUND(main!BA327*100,6))</f>
        <v/>
      </c>
      <c r="AP324" s="68" t="str">
        <f>IF(main!BB327="","",ROUND(main!BB327*100,6))</f>
        <v/>
      </c>
      <c r="AQ324" s="68" t="str">
        <f>IF(main!BC327="","",ROUND(main!BC327*100,6))</f>
        <v/>
      </c>
      <c r="AR324" s="68" t="str">
        <f>IF(main!BD327="","",ROUND(main!BD327*100,6))</f>
        <v/>
      </c>
      <c r="AS324" s="68" t="str">
        <f>IF(main!BE327="","",ROUND(main!BE327*100,6))</f>
        <v/>
      </c>
      <c r="AT324" s="68" t="str">
        <f>IF(main!BF327="","",ROUND(main!BF327*100,6))</f>
        <v/>
      </c>
      <c r="AU324" s="68" t="str">
        <f>IF(main!BG327="","",ROUND(main!BG327*100,6))</f>
        <v/>
      </c>
      <c r="AV324" s="68" t="str">
        <f>IF(main!BH327="","",ROUND(main!BH327*100,6))</f>
        <v/>
      </c>
      <c r="AW324" s="68" t="str">
        <f>IF(main!BI327="","",ROUND(main!BI327*100,6))</f>
        <v/>
      </c>
      <c r="AX324" s="68" t="str">
        <f>IF(main!BJ327="","",ROUND(main!BJ327*100,6))</f>
        <v/>
      </c>
      <c r="AY324" s="68" t="str">
        <f>IF(main!BK327="","",ROUND(main!BK327*100,6))</f>
        <v/>
      </c>
      <c r="AZ324" s="68" t="str">
        <f>IF(main!BL327="","",ROUND(main!BL327*100,6))</f>
        <v/>
      </c>
      <c r="BA324" s="68" t="str">
        <f>IF(main!BM327="","",ROUND(main!BM327*100,6))</f>
        <v/>
      </c>
      <c r="BB324" s="68" t="str">
        <f>IF(main!BN327="","",ROUND(main!BN327*100,6))</f>
        <v/>
      </c>
      <c r="BC324" s="68" t="str">
        <f>IF(main!BO327="","",ROUND(main!BO327*100,6))</f>
        <v/>
      </c>
      <c r="BD324" s="68" t="str">
        <f>IF(main!BP327="","",ROUND(main!BP327*100,6))</f>
        <v/>
      </c>
      <c r="BE324" s="68" t="str">
        <f>IF(main!BQ327="","",ROUND(main!BQ327*100,6))</f>
        <v/>
      </c>
      <c r="BF324" s="68" t="str">
        <f>IF(main!BR327="","",ROUND(main!BR327*100,6))</f>
        <v/>
      </c>
      <c r="BG324" s="68" t="str">
        <f>IF(main!BS327="","",ROUND(main!BS327*100,6))</f>
        <v/>
      </c>
      <c r="BH324" s="68" t="str">
        <f>IF(main!BT327="","",ROUND(main!BT327*100,6))</f>
        <v/>
      </c>
      <c r="BI324" s="68" t="str">
        <f>IF(main!BU327="","",ROUND(main!BU327*100,6))</f>
        <v/>
      </c>
      <c r="BJ324" s="68" t="str">
        <f>IF(main!BV327="","",ROUND(main!BV327*100,6))</f>
        <v/>
      </c>
      <c r="BK324" s="68" t="str">
        <f>IF(main!BW327="","",ROUND(main!BW327*100,6))</f>
        <v/>
      </c>
      <c r="BL324" s="68" t="str">
        <f>IF(main!BX327="","",ROUND(main!BX327*100,6))</f>
        <v/>
      </c>
      <c r="BM324" s="68" t="str">
        <f>IF(main!BY327="","",ROUND(main!BY327*100,6))</f>
        <v/>
      </c>
      <c r="BN324" s="68">
        <f>IF(main!BZ327="","",ROUND(main!BZ327*100,6))</f>
        <v>2.3809520000000002</v>
      </c>
      <c r="BO324" s="68">
        <f>IF(main!CA327="","",ROUND(main!CA327*100,6))</f>
        <v>16.666667</v>
      </c>
      <c r="BP324" s="68">
        <f>IF(main!CB327="","",ROUND(main!CB327*100,6))</f>
        <v>14.285714</v>
      </c>
      <c r="BQ324" s="68" t="str">
        <f>IF(main!CC327="","",ROUND(main!CC327*100,6))</f>
        <v/>
      </c>
      <c r="BR324" s="68" t="str">
        <f>IF(main!CD327="","",ROUND(main!CD327*100,6))</f>
        <v/>
      </c>
      <c r="BS324" s="68" t="str">
        <f>IF(main!CE327="","",ROUND(main!CE327*100,6))</f>
        <v/>
      </c>
      <c r="BT324" s="68" t="str">
        <f>IF(main!CF327="","",ROUND(main!CF327*100,6))</f>
        <v/>
      </c>
      <c r="BU324" s="68">
        <f>IF(main!CG327="","",ROUND(main!CG327*100,6))</f>
        <v>3.9682539999999999</v>
      </c>
      <c r="BV324" s="68">
        <f>IF(main!CH327="","",ROUND(main!CH327*100,6))</f>
        <v>27.777778000000001</v>
      </c>
      <c r="BW324" s="68">
        <f>IF(main!CI327="","",ROUND(main!CI327*100,6))</f>
        <v>25.396825</v>
      </c>
      <c r="BX324" s="68">
        <f>IF(main!CJ327="","",ROUND(main!CJ327*100,6))</f>
        <v>9.5238099999999992</v>
      </c>
      <c r="BY324" s="68" t="str">
        <f>IF(main!CK327="","",ROUND(main!CK327*100,6))</f>
        <v/>
      </c>
      <c r="BZ324" s="68" t="str">
        <f>IF(main!CL327="","",ROUND(main!CL327*100,6))</f>
        <v/>
      </c>
      <c r="CA324" s="68" t="str">
        <f>IF(main!CM327="","",ROUND(main!CM327*100,6))</f>
        <v/>
      </c>
      <c r="CB324" s="68" t="str">
        <f>IF(main!CN327="","",ROUND(main!CN327*100,6))</f>
        <v/>
      </c>
      <c r="CC324" s="68" t="str">
        <f>IF(main!CO327="","",ROUND(main!CO327*100,6))</f>
        <v/>
      </c>
    </row>
    <row r="325" spans="1:81" x14ac:dyDescent="0.25">
      <c r="A325" s="65" t="s">
        <v>477</v>
      </c>
      <c r="B325" s="66" t="str">
        <f>main!C327</f>
        <v>Floor &amp; Floor Fn.</v>
      </c>
      <c r="C325" s="67">
        <f>main!O327</f>
        <v>300000</v>
      </c>
      <c r="D325" s="65" t="s">
        <v>111</v>
      </c>
      <c r="E325" s="68" t="str">
        <f t="shared" si="5"/>
        <v/>
      </c>
      <c r="F325" s="68" t="str">
        <f>IF(main!R328="","",ROUND(main!R328*100,6))</f>
        <v/>
      </c>
      <c r="G325" s="68" t="str">
        <f>IF(main!S328="","",ROUND(main!S328*100,6))</f>
        <v/>
      </c>
      <c r="H325" s="68" t="str">
        <f>IF(main!T328="","",ROUND(main!T328*100,6))</f>
        <v/>
      </c>
      <c r="I325" s="68" t="str">
        <f>IF(main!U328="","",ROUND(main!U328*100,6))</f>
        <v/>
      </c>
      <c r="J325" s="68" t="str">
        <f>IF(main!V328="","",ROUND(main!V328*100,6))</f>
        <v/>
      </c>
      <c r="K325" s="68" t="str">
        <f>IF(main!W328="","",ROUND(main!W328*100,6))</f>
        <v/>
      </c>
      <c r="L325" s="68" t="str">
        <f>IF(main!X328="","",ROUND(main!X328*100,6))</f>
        <v/>
      </c>
      <c r="M325" s="68" t="str">
        <f>IF(main!Y328="","",ROUND(main!Y328*100,6))</f>
        <v/>
      </c>
      <c r="N325" s="68" t="str">
        <f>IF(main!Z328="","",ROUND(main!Z328*100,6))</f>
        <v/>
      </c>
      <c r="O325" s="68" t="str">
        <f>IF(main!AA328="","",ROUND(main!AA328*100,6))</f>
        <v/>
      </c>
      <c r="P325" s="68" t="str">
        <f>IF(main!AB328="","",ROUND(main!AB328*100,6))</f>
        <v/>
      </c>
      <c r="Q325" s="68" t="str">
        <f>IF(main!AC328="","",ROUND(main!AC328*100,6))</f>
        <v/>
      </c>
      <c r="R325" s="68" t="str">
        <f>IF(main!AD328="","",ROUND(main!AD328*100,6))</f>
        <v/>
      </c>
      <c r="S325" s="68" t="str">
        <f>IF(main!AE328="","",ROUND(main!AE328*100,6))</f>
        <v/>
      </c>
      <c r="T325" s="68" t="str">
        <f>IF(main!AF328="","",ROUND(main!AF328*100,6))</f>
        <v/>
      </c>
      <c r="U325" s="68" t="str">
        <f>IF(main!AG328="","",ROUND(main!AG328*100,6))</f>
        <v/>
      </c>
      <c r="V325" s="68" t="str">
        <f>IF(main!AH328="","",ROUND(main!AH328*100,6))</f>
        <v/>
      </c>
      <c r="W325" s="68" t="str">
        <f>IF(main!AI328="","",ROUND(main!AI328*100,6))</f>
        <v/>
      </c>
      <c r="X325" s="68" t="str">
        <f>IF(main!AJ328="","",ROUND(main!AJ328*100,6))</f>
        <v/>
      </c>
      <c r="Y325" s="68" t="str">
        <f>IF(main!AK328="","",ROUND(main!AK328*100,6))</f>
        <v/>
      </c>
      <c r="Z325" s="68" t="str">
        <f>IF(main!AL328="","",ROUND(main!AL328*100,6))</f>
        <v/>
      </c>
      <c r="AA325" s="68" t="str">
        <f>IF(main!AM328="","",ROUND(main!AM328*100,6))</f>
        <v/>
      </c>
      <c r="AB325" s="68" t="str">
        <f>IF(main!AN328="","",ROUND(main!AN328*100,6))</f>
        <v/>
      </c>
      <c r="AC325" s="68" t="str">
        <f>IF(main!AO328="","",ROUND(main!AO328*100,6))</f>
        <v/>
      </c>
      <c r="AD325" s="68" t="str">
        <f>IF(main!AP328="","",ROUND(main!AP328*100,6))</f>
        <v/>
      </c>
      <c r="AE325" s="68" t="str">
        <f>IF(main!AQ328="","",ROUND(main!AQ328*100,6))</f>
        <v/>
      </c>
      <c r="AF325" s="68" t="str">
        <f>IF(main!AR328="","",ROUND(main!AR328*100,6))</f>
        <v/>
      </c>
      <c r="AG325" s="68" t="str">
        <f>IF(main!AS328="","",ROUND(main!AS328*100,6))</f>
        <v/>
      </c>
      <c r="AH325" s="68" t="str">
        <f>IF(main!AT328="","",ROUND(main!AT328*100,6))</f>
        <v/>
      </c>
      <c r="AI325" s="68" t="str">
        <f>IF(main!AU328="","",ROUND(main!AU328*100,6))</f>
        <v/>
      </c>
      <c r="AJ325" s="68" t="str">
        <f>IF(main!AV328="","",ROUND(main!AV328*100,6))</f>
        <v/>
      </c>
      <c r="AK325" s="68" t="str">
        <f>IF(main!AW328="","",ROUND(main!AW328*100,6))</f>
        <v/>
      </c>
      <c r="AL325" s="68" t="str">
        <f>IF(main!AX328="","",ROUND(main!AX328*100,6))</f>
        <v/>
      </c>
      <c r="AM325" s="68" t="str">
        <f>IF(main!AY328="","",ROUND(main!AY328*100,6))</f>
        <v/>
      </c>
      <c r="AN325" s="68" t="str">
        <f>IF(main!AZ328="","",ROUND(main!AZ328*100,6))</f>
        <v/>
      </c>
      <c r="AO325" s="68" t="str">
        <f>IF(main!BA328="","",ROUND(main!BA328*100,6))</f>
        <v/>
      </c>
      <c r="AP325" s="68" t="str">
        <f>IF(main!BB328="","",ROUND(main!BB328*100,6))</f>
        <v/>
      </c>
      <c r="AQ325" s="68" t="str">
        <f>IF(main!BC328="","",ROUND(main!BC328*100,6))</f>
        <v/>
      </c>
      <c r="AR325" s="68" t="str">
        <f>IF(main!BD328="","",ROUND(main!BD328*100,6))</f>
        <v/>
      </c>
      <c r="AS325" s="68" t="str">
        <f>IF(main!BE328="","",ROUND(main!BE328*100,6))</f>
        <v/>
      </c>
      <c r="AT325" s="68" t="str">
        <f>IF(main!BF328="","",ROUND(main!BF328*100,6))</f>
        <v/>
      </c>
      <c r="AU325" s="68" t="str">
        <f>IF(main!BG328="","",ROUND(main!BG328*100,6))</f>
        <v/>
      </c>
      <c r="AV325" s="68" t="str">
        <f>IF(main!BH328="","",ROUND(main!BH328*100,6))</f>
        <v/>
      </c>
      <c r="AW325" s="68" t="str">
        <f>IF(main!BI328="","",ROUND(main!BI328*100,6))</f>
        <v/>
      </c>
      <c r="AX325" s="68" t="str">
        <f>IF(main!BJ328="","",ROUND(main!BJ328*100,6))</f>
        <v/>
      </c>
      <c r="AY325" s="68" t="str">
        <f>IF(main!BK328="","",ROUND(main!BK328*100,6))</f>
        <v/>
      </c>
      <c r="AZ325" s="68" t="str">
        <f>IF(main!BL328="","",ROUND(main!BL328*100,6))</f>
        <v/>
      </c>
      <c r="BA325" s="68" t="str">
        <f>IF(main!BM328="","",ROUND(main!BM328*100,6))</f>
        <v/>
      </c>
      <c r="BB325" s="68" t="str">
        <f>IF(main!BN328="","",ROUND(main!BN328*100,6))</f>
        <v/>
      </c>
      <c r="BC325" s="68" t="str">
        <f>IF(main!BO328="","",ROUND(main!BO328*100,6))</f>
        <v/>
      </c>
      <c r="BD325" s="68" t="str">
        <f>IF(main!BP328="","",ROUND(main!BP328*100,6))</f>
        <v/>
      </c>
      <c r="BE325" s="68" t="str">
        <f>IF(main!BQ328="","",ROUND(main!BQ328*100,6))</f>
        <v/>
      </c>
      <c r="BF325" s="68" t="str">
        <f>IF(main!BR328="","",ROUND(main!BR328*100,6))</f>
        <v/>
      </c>
      <c r="BG325" s="68" t="str">
        <f>IF(main!BS328="","",ROUND(main!BS328*100,6))</f>
        <v/>
      </c>
      <c r="BH325" s="68" t="str">
        <f>IF(main!BT328="","",ROUND(main!BT328*100,6))</f>
        <v/>
      </c>
      <c r="BI325" s="68" t="str">
        <f>IF(main!BU328="","",ROUND(main!BU328*100,6))</f>
        <v/>
      </c>
      <c r="BJ325" s="68" t="str">
        <f>IF(main!BV328="","",ROUND(main!BV328*100,6))</f>
        <v/>
      </c>
      <c r="BK325" s="68" t="str">
        <f>IF(main!BW328="","",ROUND(main!BW328*100,6))</f>
        <v/>
      </c>
      <c r="BL325" s="68" t="str">
        <f>IF(main!BX328="","",ROUND(main!BX328*100,6))</f>
        <v/>
      </c>
      <c r="BM325" s="68" t="str">
        <f>IF(main!BY328="","",ROUND(main!BY328*100,6))</f>
        <v/>
      </c>
      <c r="BN325" s="68" t="str">
        <f>IF(main!BZ328="","",ROUND(main!BZ328*100,6))</f>
        <v/>
      </c>
      <c r="BO325" s="68" t="str">
        <f>IF(main!CA328="","",ROUND(main!CA328*100,6))</f>
        <v/>
      </c>
      <c r="BP325" s="68" t="str">
        <f>IF(main!CB328="","",ROUND(main!CB328*100,6))</f>
        <v/>
      </c>
      <c r="BQ325" s="68" t="str">
        <f>IF(main!CC328="","",ROUND(main!CC328*100,6))</f>
        <v/>
      </c>
      <c r="BR325" s="68" t="str">
        <f>IF(main!CD328="","",ROUND(main!CD328*100,6))</f>
        <v/>
      </c>
      <c r="BS325" s="68" t="str">
        <f>IF(main!CE328="","",ROUND(main!CE328*100,6))</f>
        <v/>
      </c>
      <c r="BT325" s="68" t="str">
        <f>IF(main!CF328="","",ROUND(main!CF328*100,6))</f>
        <v/>
      </c>
      <c r="BU325" s="68" t="str">
        <f>IF(main!CG328="","",ROUND(main!CG328*100,6))</f>
        <v/>
      </c>
      <c r="BV325" s="68" t="str">
        <f>IF(main!CH328="","",ROUND(main!CH328*100,6))</f>
        <v/>
      </c>
      <c r="BW325" s="68" t="str">
        <f>IF(main!CI328="","",ROUND(main!CI328*100,6))</f>
        <v/>
      </c>
      <c r="BX325" s="68" t="str">
        <f>IF(main!CJ328="","",ROUND(main!CJ328*100,6))</f>
        <v/>
      </c>
      <c r="BY325" s="68" t="str">
        <f>IF(main!CK328="","",ROUND(main!CK328*100,6))</f>
        <v/>
      </c>
      <c r="BZ325" s="68" t="str">
        <f>IF(main!CL328="","",ROUND(main!CL328*100,6))</f>
        <v/>
      </c>
      <c r="CA325" s="68" t="str">
        <f>IF(main!CM328="","",ROUND(main!CM328*100,6))</f>
        <v/>
      </c>
      <c r="CB325" s="68" t="str">
        <f>IF(main!CN328="","",ROUND(main!CN328*100,6))</f>
        <v/>
      </c>
      <c r="CC325" s="68" t="str">
        <f>IF(main!CO328="","",ROUND(main!CO328*100,6))</f>
        <v/>
      </c>
    </row>
    <row r="326" spans="1:81" x14ac:dyDescent="0.25">
      <c r="A326" s="65" t="s">
        <v>478</v>
      </c>
      <c r="B326" s="66" t="str">
        <f>main!C329</f>
        <v>งานปรับระดับพื้น</v>
      </c>
      <c r="C326" s="67">
        <f>main!O329</f>
        <v>100000</v>
      </c>
      <c r="D326" s="65" t="s">
        <v>110</v>
      </c>
      <c r="E326" s="68">
        <f t="shared" si="5"/>
        <v>100</v>
      </c>
      <c r="F326" s="68" t="str">
        <f>IF(main!R329="","",ROUND(main!R329*100,6))</f>
        <v/>
      </c>
      <c r="G326" s="68" t="str">
        <f>IF(main!S329="","",ROUND(main!S329*100,6))</f>
        <v/>
      </c>
      <c r="H326" s="68" t="str">
        <f>IF(main!T329="","",ROUND(main!T329*100,6))</f>
        <v/>
      </c>
      <c r="I326" s="68" t="str">
        <f>IF(main!U329="","",ROUND(main!U329*100,6))</f>
        <v/>
      </c>
      <c r="J326" s="68" t="str">
        <f>IF(main!V329="","",ROUND(main!V329*100,6))</f>
        <v/>
      </c>
      <c r="K326" s="68" t="str">
        <f>IF(main!W329="","",ROUND(main!W329*100,6))</f>
        <v/>
      </c>
      <c r="L326" s="68" t="str">
        <f>IF(main!X329="","",ROUND(main!X329*100,6))</f>
        <v/>
      </c>
      <c r="M326" s="68" t="str">
        <f>IF(main!Y329="","",ROUND(main!Y329*100,6))</f>
        <v/>
      </c>
      <c r="N326" s="68" t="str">
        <f>IF(main!Z329="","",ROUND(main!Z329*100,6))</f>
        <v/>
      </c>
      <c r="O326" s="68" t="str">
        <f>IF(main!AA329="","",ROUND(main!AA329*100,6))</f>
        <v/>
      </c>
      <c r="P326" s="68" t="str">
        <f>IF(main!AB329="","",ROUND(main!AB329*100,6))</f>
        <v/>
      </c>
      <c r="Q326" s="68" t="str">
        <f>IF(main!AC329="","",ROUND(main!AC329*100,6))</f>
        <v/>
      </c>
      <c r="R326" s="68" t="str">
        <f>IF(main!AD329="","",ROUND(main!AD329*100,6))</f>
        <v/>
      </c>
      <c r="S326" s="68" t="str">
        <f>IF(main!AE329="","",ROUND(main!AE329*100,6))</f>
        <v/>
      </c>
      <c r="T326" s="68" t="str">
        <f>IF(main!AF329="","",ROUND(main!AF329*100,6))</f>
        <v/>
      </c>
      <c r="U326" s="68" t="str">
        <f>IF(main!AG329="","",ROUND(main!AG329*100,6))</f>
        <v/>
      </c>
      <c r="V326" s="68" t="str">
        <f>IF(main!AH329="","",ROUND(main!AH329*100,6))</f>
        <v/>
      </c>
      <c r="W326" s="68" t="str">
        <f>IF(main!AI329="","",ROUND(main!AI329*100,6))</f>
        <v/>
      </c>
      <c r="X326" s="68" t="str">
        <f>IF(main!AJ329="","",ROUND(main!AJ329*100,6))</f>
        <v/>
      </c>
      <c r="Y326" s="68" t="str">
        <f>IF(main!AK329="","",ROUND(main!AK329*100,6))</f>
        <v/>
      </c>
      <c r="Z326" s="68" t="str">
        <f>IF(main!AL329="","",ROUND(main!AL329*100,6))</f>
        <v/>
      </c>
      <c r="AA326" s="68" t="str">
        <f>IF(main!AM329="","",ROUND(main!AM329*100,6))</f>
        <v/>
      </c>
      <c r="AB326" s="68" t="str">
        <f>IF(main!AN329="","",ROUND(main!AN329*100,6))</f>
        <v/>
      </c>
      <c r="AC326" s="68" t="str">
        <f>IF(main!AO329="","",ROUND(main!AO329*100,6))</f>
        <v/>
      </c>
      <c r="AD326" s="68" t="str">
        <f>IF(main!AP329="","",ROUND(main!AP329*100,6))</f>
        <v/>
      </c>
      <c r="AE326" s="68" t="str">
        <f>IF(main!AQ329="","",ROUND(main!AQ329*100,6))</f>
        <v/>
      </c>
      <c r="AF326" s="68" t="str">
        <f>IF(main!AR329="","",ROUND(main!AR329*100,6))</f>
        <v/>
      </c>
      <c r="AG326" s="68" t="str">
        <f>IF(main!AS329="","",ROUND(main!AS329*100,6))</f>
        <v/>
      </c>
      <c r="AH326" s="68" t="str">
        <f>IF(main!AT329="","",ROUND(main!AT329*100,6))</f>
        <v/>
      </c>
      <c r="AI326" s="68" t="str">
        <f>IF(main!AU329="","",ROUND(main!AU329*100,6))</f>
        <v/>
      </c>
      <c r="AJ326" s="68" t="str">
        <f>IF(main!AV329="","",ROUND(main!AV329*100,6))</f>
        <v/>
      </c>
      <c r="AK326" s="68" t="str">
        <f>IF(main!AW329="","",ROUND(main!AW329*100,6))</f>
        <v/>
      </c>
      <c r="AL326" s="68" t="str">
        <f>IF(main!AX329="","",ROUND(main!AX329*100,6))</f>
        <v/>
      </c>
      <c r="AM326" s="68" t="str">
        <f>IF(main!AY329="","",ROUND(main!AY329*100,6))</f>
        <v/>
      </c>
      <c r="AN326" s="68" t="str">
        <f>IF(main!AZ329="","",ROUND(main!AZ329*100,6))</f>
        <v/>
      </c>
      <c r="AO326" s="68" t="str">
        <f>IF(main!BA329="","",ROUND(main!BA329*100,6))</f>
        <v/>
      </c>
      <c r="AP326" s="68" t="str">
        <f>IF(main!BB329="","",ROUND(main!BB329*100,6))</f>
        <v/>
      </c>
      <c r="AQ326" s="68" t="str">
        <f>IF(main!BC329="","",ROUND(main!BC329*100,6))</f>
        <v/>
      </c>
      <c r="AR326" s="68" t="str">
        <f>IF(main!BD329="","",ROUND(main!BD329*100,6))</f>
        <v/>
      </c>
      <c r="AS326" s="68" t="str">
        <f>IF(main!BE329="","",ROUND(main!BE329*100,6))</f>
        <v/>
      </c>
      <c r="AT326" s="68" t="str">
        <f>IF(main!BF329="","",ROUND(main!BF329*100,6))</f>
        <v/>
      </c>
      <c r="AU326" s="68" t="str">
        <f>IF(main!BG329="","",ROUND(main!BG329*100,6))</f>
        <v/>
      </c>
      <c r="AV326" s="68" t="str">
        <f>IF(main!BH329="","",ROUND(main!BH329*100,6))</f>
        <v/>
      </c>
      <c r="AW326" s="68" t="str">
        <f>IF(main!BI329="","",ROUND(main!BI329*100,6))</f>
        <v/>
      </c>
      <c r="AX326" s="68" t="str">
        <f>IF(main!BJ329="","",ROUND(main!BJ329*100,6))</f>
        <v/>
      </c>
      <c r="AY326" s="68" t="str">
        <f>IF(main!BK329="","",ROUND(main!BK329*100,6))</f>
        <v/>
      </c>
      <c r="AZ326" s="68" t="str">
        <f>IF(main!BL329="","",ROUND(main!BL329*100,6))</f>
        <v/>
      </c>
      <c r="BA326" s="68" t="str">
        <f>IF(main!BM329="","",ROUND(main!BM329*100,6))</f>
        <v/>
      </c>
      <c r="BB326" s="68" t="str">
        <f>IF(main!BN329="","",ROUND(main!BN329*100,6))</f>
        <v/>
      </c>
      <c r="BC326" s="68" t="str">
        <f>IF(main!BO329="","",ROUND(main!BO329*100,6))</f>
        <v/>
      </c>
      <c r="BD326" s="68" t="str">
        <f>IF(main!BP329="","",ROUND(main!BP329*100,6))</f>
        <v/>
      </c>
      <c r="BE326" s="68" t="str">
        <f>IF(main!BQ329="","",ROUND(main!BQ329*100,6))</f>
        <v/>
      </c>
      <c r="BF326" s="68" t="str">
        <f>IF(main!BR329="","",ROUND(main!BR329*100,6))</f>
        <v/>
      </c>
      <c r="BG326" s="68" t="str">
        <f>IF(main!BS329="","",ROUND(main!BS329*100,6))</f>
        <v/>
      </c>
      <c r="BH326" s="68" t="str">
        <f>IF(main!BT329="","",ROUND(main!BT329*100,6))</f>
        <v/>
      </c>
      <c r="BI326" s="68" t="str">
        <f>IF(main!BU329="","",ROUND(main!BU329*100,6))</f>
        <v/>
      </c>
      <c r="BJ326" s="68" t="str">
        <f>IF(main!BV329="","",ROUND(main!BV329*100,6))</f>
        <v/>
      </c>
      <c r="BK326" s="68" t="str">
        <f>IF(main!BW329="","",ROUND(main!BW329*100,6))</f>
        <v/>
      </c>
      <c r="BL326" s="68" t="str">
        <f>IF(main!BX329="","",ROUND(main!BX329*100,6))</f>
        <v/>
      </c>
      <c r="BM326" s="68" t="str">
        <f>IF(main!BY329="","",ROUND(main!BY329*100,6))</f>
        <v/>
      </c>
      <c r="BN326" s="68">
        <f>IF(main!BZ329="","",ROUND(main!BZ329*100,6))</f>
        <v>7.1428570000000002</v>
      </c>
      <c r="BO326" s="68">
        <f>IF(main!CA329="","",ROUND(main!CA329*100,6))</f>
        <v>50</v>
      </c>
      <c r="BP326" s="68">
        <f>IF(main!CB329="","",ROUND(main!CB329*100,6))</f>
        <v>42.857143000000001</v>
      </c>
      <c r="BQ326" s="68" t="str">
        <f>IF(main!CC329="","",ROUND(main!CC329*100,6))</f>
        <v/>
      </c>
      <c r="BR326" s="68" t="str">
        <f>IF(main!CD329="","",ROUND(main!CD329*100,6))</f>
        <v/>
      </c>
      <c r="BS326" s="68" t="str">
        <f>IF(main!CE329="","",ROUND(main!CE329*100,6))</f>
        <v/>
      </c>
      <c r="BT326" s="68" t="str">
        <f>IF(main!CF329="","",ROUND(main!CF329*100,6))</f>
        <v/>
      </c>
      <c r="BU326" s="68" t="str">
        <f>IF(main!CG329="","",ROUND(main!CG329*100,6))</f>
        <v/>
      </c>
      <c r="BV326" s="68" t="str">
        <f>IF(main!CH329="","",ROUND(main!CH329*100,6))</f>
        <v/>
      </c>
      <c r="BW326" s="68" t="str">
        <f>IF(main!CI329="","",ROUND(main!CI329*100,6))</f>
        <v/>
      </c>
      <c r="BX326" s="68" t="str">
        <f>IF(main!CJ329="","",ROUND(main!CJ329*100,6))</f>
        <v/>
      </c>
      <c r="BY326" s="68" t="str">
        <f>IF(main!CK329="","",ROUND(main!CK329*100,6))</f>
        <v/>
      </c>
      <c r="BZ326" s="68" t="str">
        <f>IF(main!CL329="","",ROUND(main!CL329*100,6))</f>
        <v/>
      </c>
      <c r="CA326" s="68" t="str">
        <f>IF(main!CM329="","",ROUND(main!CM329*100,6))</f>
        <v/>
      </c>
      <c r="CB326" s="68" t="str">
        <f>IF(main!CN329="","",ROUND(main!CN329*100,6))</f>
        <v/>
      </c>
      <c r="CC326" s="68" t="str">
        <f>IF(main!CO329="","",ROUND(main!CO329*100,6))</f>
        <v/>
      </c>
    </row>
    <row r="327" spans="1:81" x14ac:dyDescent="0.25">
      <c r="A327" s="65" t="s">
        <v>478</v>
      </c>
      <c r="B327" s="66" t="str">
        <f>main!C329</f>
        <v>งานปรับระดับพื้น</v>
      </c>
      <c r="C327" s="67">
        <f>main!O329</f>
        <v>100000</v>
      </c>
      <c r="D327" s="65" t="s">
        <v>111</v>
      </c>
      <c r="E327" s="68" t="str">
        <f t="shared" si="5"/>
        <v/>
      </c>
      <c r="F327" s="68" t="str">
        <f>IF(main!R330="","",ROUND(main!R330*100,6))</f>
        <v/>
      </c>
      <c r="G327" s="68" t="str">
        <f>IF(main!S330="","",ROUND(main!S330*100,6))</f>
        <v/>
      </c>
      <c r="H327" s="68" t="str">
        <f>IF(main!T330="","",ROUND(main!T330*100,6))</f>
        <v/>
      </c>
      <c r="I327" s="68" t="str">
        <f>IF(main!U330="","",ROUND(main!U330*100,6))</f>
        <v/>
      </c>
      <c r="J327" s="68" t="str">
        <f>IF(main!V330="","",ROUND(main!V330*100,6))</f>
        <v/>
      </c>
      <c r="K327" s="68" t="str">
        <f>IF(main!W330="","",ROUND(main!W330*100,6))</f>
        <v/>
      </c>
      <c r="L327" s="68" t="str">
        <f>IF(main!X330="","",ROUND(main!X330*100,6))</f>
        <v/>
      </c>
      <c r="M327" s="68" t="str">
        <f>IF(main!Y330="","",ROUND(main!Y330*100,6))</f>
        <v/>
      </c>
      <c r="N327" s="68" t="str">
        <f>IF(main!Z330="","",ROUND(main!Z330*100,6))</f>
        <v/>
      </c>
      <c r="O327" s="68" t="str">
        <f>IF(main!AA330="","",ROUND(main!AA330*100,6))</f>
        <v/>
      </c>
      <c r="P327" s="68" t="str">
        <f>IF(main!AB330="","",ROUND(main!AB330*100,6))</f>
        <v/>
      </c>
      <c r="Q327" s="68" t="str">
        <f>IF(main!AC330="","",ROUND(main!AC330*100,6))</f>
        <v/>
      </c>
      <c r="R327" s="68" t="str">
        <f>IF(main!AD330="","",ROUND(main!AD330*100,6))</f>
        <v/>
      </c>
      <c r="S327" s="68" t="str">
        <f>IF(main!AE330="","",ROUND(main!AE330*100,6))</f>
        <v/>
      </c>
      <c r="T327" s="68" t="str">
        <f>IF(main!AF330="","",ROUND(main!AF330*100,6))</f>
        <v/>
      </c>
      <c r="U327" s="68" t="str">
        <f>IF(main!AG330="","",ROUND(main!AG330*100,6))</f>
        <v/>
      </c>
      <c r="V327" s="68" t="str">
        <f>IF(main!AH330="","",ROUND(main!AH330*100,6))</f>
        <v/>
      </c>
      <c r="W327" s="68" t="str">
        <f>IF(main!AI330="","",ROUND(main!AI330*100,6))</f>
        <v/>
      </c>
      <c r="X327" s="68" t="str">
        <f>IF(main!AJ330="","",ROUND(main!AJ330*100,6))</f>
        <v/>
      </c>
      <c r="Y327" s="68" t="str">
        <f>IF(main!AK330="","",ROUND(main!AK330*100,6))</f>
        <v/>
      </c>
      <c r="Z327" s="68" t="str">
        <f>IF(main!AL330="","",ROUND(main!AL330*100,6))</f>
        <v/>
      </c>
      <c r="AA327" s="68" t="str">
        <f>IF(main!AM330="","",ROUND(main!AM330*100,6))</f>
        <v/>
      </c>
      <c r="AB327" s="68" t="str">
        <f>IF(main!AN330="","",ROUND(main!AN330*100,6))</f>
        <v/>
      </c>
      <c r="AC327" s="68" t="str">
        <f>IF(main!AO330="","",ROUND(main!AO330*100,6))</f>
        <v/>
      </c>
      <c r="AD327" s="68" t="str">
        <f>IF(main!AP330="","",ROUND(main!AP330*100,6))</f>
        <v/>
      </c>
      <c r="AE327" s="68" t="str">
        <f>IF(main!AQ330="","",ROUND(main!AQ330*100,6))</f>
        <v/>
      </c>
      <c r="AF327" s="68" t="str">
        <f>IF(main!AR330="","",ROUND(main!AR330*100,6))</f>
        <v/>
      </c>
      <c r="AG327" s="68" t="str">
        <f>IF(main!AS330="","",ROUND(main!AS330*100,6))</f>
        <v/>
      </c>
      <c r="AH327" s="68" t="str">
        <f>IF(main!AT330="","",ROUND(main!AT330*100,6))</f>
        <v/>
      </c>
      <c r="AI327" s="68" t="str">
        <f>IF(main!AU330="","",ROUND(main!AU330*100,6))</f>
        <v/>
      </c>
      <c r="AJ327" s="68" t="str">
        <f>IF(main!AV330="","",ROUND(main!AV330*100,6))</f>
        <v/>
      </c>
      <c r="AK327" s="68" t="str">
        <f>IF(main!AW330="","",ROUND(main!AW330*100,6))</f>
        <v/>
      </c>
      <c r="AL327" s="68" t="str">
        <f>IF(main!AX330="","",ROUND(main!AX330*100,6))</f>
        <v/>
      </c>
      <c r="AM327" s="68" t="str">
        <f>IF(main!AY330="","",ROUND(main!AY330*100,6))</f>
        <v/>
      </c>
      <c r="AN327" s="68" t="str">
        <f>IF(main!AZ330="","",ROUND(main!AZ330*100,6))</f>
        <v/>
      </c>
      <c r="AO327" s="68" t="str">
        <f>IF(main!BA330="","",ROUND(main!BA330*100,6))</f>
        <v/>
      </c>
      <c r="AP327" s="68" t="str">
        <f>IF(main!BB330="","",ROUND(main!BB330*100,6))</f>
        <v/>
      </c>
      <c r="AQ327" s="68" t="str">
        <f>IF(main!BC330="","",ROUND(main!BC330*100,6))</f>
        <v/>
      </c>
      <c r="AR327" s="68" t="str">
        <f>IF(main!BD330="","",ROUND(main!BD330*100,6))</f>
        <v/>
      </c>
      <c r="AS327" s="68" t="str">
        <f>IF(main!BE330="","",ROUND(main!BE330*100,6))</f>
        <v/>
      </c>
      <c r="AT327" s="68" t="str">
        <f>IF(main!BF330="","",ROUND(main!BF330*100,6))</f>
        <v/>
      </c>
      <c r="AU327" s="68" t="str">
        <f>IF(main!BG330="","",ROUND(main!BG330*100,6))</f>
        <v/>
      </c>
      <c r="AV327" s="68" t="str">
        <f>IF(main!BH330="","",ROUND(main!BH330*100,6))</f>
        <v/>
      </c>
      <c r="AW327" s="68" t="str">
        <f>IF(main!BI330="","",ROUND(main!BI330*100,6))</f>
        <v/>
      </c>
      <c r="AX327" s="68" t="str">
        <f>IF(main!BJ330="","",ROUND(main!BJ330*100,6))</f>
        <v/>
      </c>
      <c r="AY327" s="68" t="str">
        <f>IF(main!BK330="","",ROUND(main!BK330*100,6))</f>
        <v/>
      </c>
      <c r="AZ327" s="68" t="str">
        <f>IF(main!BL330="","",ROUND(main!BL330*100,6))</f>
        <v/>
      </c>
      <c r="BA327" s="68" t="str">
        <f>IF(main!BM330="","",ROUND(main!BM330*100,6))</f>
        <v/>
      </c>
      <c r="BB327" s="68" t="str">
        <f>IF(main!BN330="","",ROUND(main!BN330*100,6))</f>
        <v/>
      </c>
      <c r="BC327" s="68" t="str">
        <f>IF(main!BO330="","",ROUND(main!BO330*100,6))</f>
        <v/>
      </c>
      <c r="BD327" s="68" t="str">
        <f>IF(main!BP330="","",ROUND(main!BP330*100,6))</f>
        <v/>
      </c>
      <c r="BE327" s="68" t="str">
        <f>IF(main!BQ330="","",ROUND(main!BQ330*100,6))</f>
        <v/>
      </c>
      <c r="BF327" s="68" t="str">
        <f>IF(main!BR330="","",ROUND(main!BR330*100,6))</f>
        <v/>
      </c>
      <c r="BG327" s="68" t="str">
        <f>IF(main!BS330="","",ROUND(main!BS330*100,6))</f>
        <v/>
      </c>
      <c r="BH327" s="68" t="str">
        <f>IF(main!BT330="","",ROUND(main!BT330*100,6))</f>
        <v/>
      </c>
      <c r="BI327" s="68" t="str">
        <f>IF(main!BU330="","",ROUND(main!BU330*100,6))</f>
        <v/>
      </c>
      <c r="BJ327" s="68" t="str">
        <f>IF(main!BV330="","",ROUND(main!BV330*100,6))</f>
        <v/>
      </c>
      <c r="BK327" s="68" t="str">
        <f>IF(main!BW330="","",ROUND(main!BW330*100,6))</f>
        <v/>
      </c>
      <c r="BL327" s="68" t="str">
        <f>IF(main!BX330="","",ROUND(main!BX330*100,6))</f>
        <v/>
      </c>
      <c r="BM327" s="68" t="str">
        <f>IF(main!BY330="","",ROUND(main!BY330*100,6))</f>
        <v/>
      </c>
      <c r="BN327" s="68" t="str">
        <f>IF(main!BZ330="","",ROUND(main!BZ330*100,6))</f>
        <v/>
      </c>
      <c r="BO327" s="68" t="str">
        <f>IF(main!CA330="","",ROUND(main!CA330*100,6))</f>
        <v/>
      </c>
      <c r="BP327" s="68" t="str">
        <f>IF(main!CB330="","",ROUND(main!CB330*100,6))</f>
        <v/>
      </c>
      <c r="BQ327" s="68" t="str">
        <f>IF(main!CC330="","",ROUND(main!CC330*100,6))</f>
        <v/>
      </c>
      <c r="BR327" s="68" t="str">
        <f>IF(main!CD330="","",ROUND(main!CD330*100,6))</f>
        <v/>
      </c>
      <c r="BS327" s="68" t="str">
        <f>IF(main!CE330="","",ROUND(main!CE330*100,6))</f>
        <v/>
      </c>
      <c r="BT327" s="68" t="str">
        <f>IF(main!CF330="","",ROUND(main!CF330*100,6))</f>
        <v/>
      </c>
      <c r="BU327" s="68" t="str">
        <f>IF(main!CG330="","",ROUND(main!CG330*100,6))</f>
        <v/>
      </c>
      <c r="BV327" s="68" t="str">
        <f>IF(main!CH330="","",ROUND(main!CH330*100,6))</f>
        <v/>
      </c>
      <c r="BW327" s="68" t="str">
        <f>IF(main!CI330="","",ROUND(main!CI330*100,6))</f>
        <v/>
      </c>
      <c r="BX327" s="68" t="str">
        <f>IF(main!CJ330="","",ROUND(main!CJ330*100,6))</f>
        <v/>
      </c>
      <c r="BY327" s="68" t="str">
        <f>IF(main!CK330="","",ROUND(main!CK330*100,6))</f>
        <v/>
      </c>
      <c r="BZ327" s="68" t="str">
        <f>IF(main!CL330="","",ROUND(main!CL330*100,6))</f>
        <v/>
      </c>
      <c r="CA327" s="68" t="str">
        <f>IF(main!CM330="","",ROUND(main!CM330*100,6))</f>
        <v/>
      </c>
      <c r="CB327" s="68" t="str">
        <f>IF(main!CN330="","",ROUND(main!CN330*100,6))</f>
        <v/>
      </c>
      <c r="CC327" s="68" t="str">
        <f>IF(main!CO330="","",ROUND(main!CO330*100,6))</f>
        <v/>
      </c>
    </row>
    <row r="328" spans="1:81" x14ac:dyDescent="0.25">
      <c r="A328" s="65" t="s">
        <v>480</v>
      </c>
      <c r="B328" s="66" t="str">
        <f>main!C331</f>
        <v>งานปูกระเบื้องยาง</v>
      </c>
      <c r="C328" s="67">
        <f>main!O331</f>
        <v>100000</v>
      </c>
      <c r="D328" s="65" t="s">
        <v>110</v>
      </c>
      <c r="E328" s="68">
        <f t="shared" si="5"/>
        <v>100</v>
      </c>
      <c r="F328" s="68" t="str">
        <f>IF(main!R331="","",ROUND(main!R331*100,6))</f>
        <v/>
      </c>
      <c r="G328" s="68" t="str">
        <f>IF(main!S331="","",ROUND(main!S331*100,6))</f>
        <v/>
      </c>
      <c r="H328" s="68" t="str">
        <f>IF(main!T331="","",ROUND(main!T331*100,6))</f>
        <v/>
      </c>
      <c r="I328" s="68" t="str">
        <f>IF(main!U331="","",ROUND(main!U331*100,6))</f>
        <v/>
      </c>
      <c r="J328" s="68" t="str">
        <f>IF(main!V331="","",ROUND(main!V331*100,6))</f>
        <v/>
      </c>
      <c r="K328" s="68" t="str">
        <f>IF(main!W331="","",ROUND(main!W331*100,6))</f>
        <v/>
      </c>
      <c r="L328" s="68" t="str">
        <f>IF(main!X331="","",ROUND(main!X331*100,6))</f>
        <v/>
      </c>
      <c r="M328" s="68" t="str">
        <f>IF(main!Y331="","",ROUND(main!Y331*100,6))</f>
        <v/>
      </c>
      <c r="N328" s="68" t="str">
        <f>IF(main!Z331="","",ROUND(main!Z331*100,6))</f>
        <v/>
      </c>
      <c r="O328" s="68" t="str">
        <f>IF(main!AA331="","",ROUND(main!AA331*100,6))</f>
        <v/>
      </c>
      <c r="P328" s="68" t="str">
        <f>IF(main!AB331="","",ROUND(main!AB331*100,6))</f>
        <v/>
      </c>
      <c r="Q328" s="68" t="str">
        <f>IF(main!AC331="","",ROUND(main!AC331*100,6))</f>
        <v/>
      </c>
      <c r="R328" s="68" t="str">
        <f>IF(main!AD331="","",ROUND(main!AD331*100,6))</f>
        <v/>
      </c>
      <c r="S328" s="68" t="str">
        <f>IF(main!AE331="","",ROUND(main!AE331*100,6))</f>
        <v/>
      </c>
      <c r="T328" s="68" t="str">
        <f>IF(main!AF331="","",ROUND(main!AF331*100,6))</f>
        <v/>
      </c>
      <c r="U328" s="68" t="str">
        <f>IF(main!AG331="","",ROUND(main!AG331*100,6))</f>
        <v/>
      </c>
      <c r="V328" s="68" t="str">
        <f>IF(main!AH331="","",ROUND(main!AH331*100,6))</f>
        <v/>
      </c>
      <c r="W328" s="68" t="str">
        <f>IF(main!AI331="","",ROUND(main!AI331*100,6))</f>
        <v/>
      </c>
      <c r="X328" s="68" t="str">
        <f>IF(main!AJ331="","",ROUND(main!AJ331*100,6))</f>
        <v/>
      </c>
      <c r="Y328" s="68" t="str">
        <f>IF(main!AK331="","",ROUND(main!AK331*100,6))</f>
        <v/>
      </c>
      <c r="Z328" s="68" t="str">
        <f>IF(main!AL331="","",ROUND(main!AL331*100,6))</f>
        <v/>
      </c>
      <c r="AA328" s="68" t="str">
        <f>IF(main!AM331="","",ROUND(main!AM331*100,6))</f>
        <v/>
      </c>
      <c r="AB328" s="68" t="str">
        <f>IF(main!AN331="","",ROUND(main!AN331*100,6))</f>
        <v/>
      </c>
      <c r="AC328" s="68" t="str">
        <f>IF(main!AO331="","",ROUND(main!AO331*100,6))</f>
        <v/>
      </c>
      <c r="AD328" s="68" t="str">
        <f>IF(main!AP331="","",ROUND(main!AP331*100,6))</f>
        <v/>
      </c>
      <c r="AE328" s="68" t="str">
        <f>IF(main!AQ331="","",ROUND(main!AQ331*100,6))</f>
        <v/>
      </c>
      <c r="AF328" s="68" t="str">
        <f>IF(main!AR331="","",ROUND(main!AR331*100,6))</f>
        <v/>
      </c>
      <c r="AG328" s="68" t="str">
        <f>IF(main!AS331="","",ROUND(main!AS331*100,6))</f>
        <v/>
      </c>
      <c r="AH328" s="68" t="str">
        <f>IF(main!AT331="","",ROUND(main!AT331*100,6))</f>
        <v/>
      </c>
      <c r="AI328" s="68" t="str">
        <f>IF(main!AU331="","",ROUND(main!AU331*100,6))</f>
        <v/>
      </c>
      <c r="AJ328" s="68" t="str">
        <f>IF(main!AV331="","",ROUND(main!AV331*100,6))</f>
        <v/>
      </c>
      <c r="AK328" s="68" t="str">
        <f>IF(main!AW331="","",ROUND(main!AW331*100,6))</f>
        <v/>
      </c>
      <c r="AL328" s="68" t="str">
        <f>IF(main!AX331="","",ROUND(main!AX331*100,6))</f>
        <v/>
      </c>
      <c r="AM328" s="68" t="str">
        <f>IF(main!AY331="","",ROUND(main!AY331*100,6))</f>
        <v/>
      </c>
      <c r="AN328" s="68" t="str">
        <f>IF(main!AZ331="","",ROUND(main!AZ331*100,6))</f>
        <v/>
      </c>
      <c r="AO328" s="68" t="str">
        <f>IF(main!BA331="","",ROUND(main!BA331*100,6))</f>
        <v/>
      </c>
      <c r="AP328" s="68" t="str">
        <f>IF(main!BB331="","",ROUND(main!BB331*100,6))</f>
        <v/>
      </c>
      <c r="AQ328" s="68" t="str">
        <f>IF(main!BC331="","",ROUND(main!BC331*100,6))</f>
        <v/>
      </c>
      <c r="AR328" s="68" t="str">
        <f>IF(main!BD331="","",ROUND(main!BD331*100,6))</f>
        <v/>
      </c>
      <c r="AS328" s="68" t="str">
        <f>IF(main!BE331="","",ROUND(main!BE331*100,6))</f>
        <v/>
      </c>
      <c r="AT328" s="68" t="str">
        <f>IF(main!BF331="","",ROUND(main!BF331*100,6))</f>
        <v/>
      </c>
      <c r="AU328" s="68" t="str">
        <f>IF(main!BG331="","",ROUND(main!BG331*100,6))</f>
        <v/>
      </c>
      <c r="AV328" s="68" t="str">
        <f>IF(main!BH331="","",ROUND(main!BH331*100,6))</f>
        <v/>
      </c>
      <c r="AW328" s="68" t="str">
        <f>IF(main!BI331="","",ROUND(main!BI331*100,6))</f>
        <v/>
      </c>
      <c r="AX328" s="68" t="str">
        <f>IF(main!BJ331="","",ROUND(main!BJ331*100,6))</f>
        <v/>
      </c>
      <c r="AY328" s="68" t="str">
        <f>IF(main!BK331="","",ROUND(main!BK331*100,6))</f>
        <v/>
      </c>
      <c r="AZ328" s="68" t="str">
        <f>IF(main!BL331="","",ROUND(main!BL331*100,6))</f>
        <v/>
      </c>
      <c r="BA328" s="68" t="str">
        <f>IF(main!BM331="","",ROUND(main!BM331*100,6))</f>
        <v/>
      </c>
      <c r="BB328" s="68" t="str">
        <f>IF(main!BN331="","",ROUND(main!BN331*100,6))</f>
        <v/>
      </c>
      <c r="BC328" s="68" t="str">
        <f>IF(main!BO331="","",ROUND(main!BO331*100,6))</f>
        <v/>
      </c>
      <c r="BD328" s="68" t="str">
        <f>IF(main!BP331="","",ROUND(main!BP331*100,6))</f>
        <v/>
      </c>
      <c r="BE328" s="68" t="str">
        <f>IF(main!BQ331="","",ROUND(main!BQ331*100,6))</f>
        <v/>
      </c>
      <c r="BF328" s="68" t="str">
        <f>IF(main!BR331="","",ROUND(main!BR331*100,6))</f>
        <v/>
      </c>
      <c r="BG328" s="68" t="str">
        <f>IF(main!BS331="","",ROUND(main!BS331*100,6))</f>
        <v/>
      </c>
      <c r="BH328" s="68" t="str">
        <f>IF(main!BT331="","",ROUND(main!BT331*100,6))</f>
        <v/>
      </c>
      <c r="BI328" s="68" t="str">
        <f>IF(main!BU331="","",ROUND(main!BU331*100,6))</f>
        <v/>
      </c>
      <c r="BJ328" s="68" t="str">
        <f>IF(main!BV331="","",ROUND(main!BV331*100,6))</f>
        <v/>
      </c>
      <c r="BK328" s="68" t="str">
        <f>IF(main!BW331="","",ROUND(main!BW331*100,6))</f>
        <v/>
      </c>
      <c r="BL328" s="68" t="str">
        <f>IF(main!BX331="","",ROUND(main!BX331*100,6))</f>
        <v/>
      </c>
      <c r="BM328" s="68" t="str">
        <f>IF(main!BY331="","",ROUND(main!BY331*100,6))</f>
        <v/>
      </c>
      <c r="BN328" s="68" t="str">
        <f>IF(main!BZ331="","",ROUND(main!BZ331*100,6))</f>
        <v/>
      </c>
      <c r="BO328" s="68" t="str">
        <f>IF(main!CA331="","",ROUND(main!CA331*100,6))</f>
        <v/>
      </c>
      <c r="BP328" s="68" t="str">
        <f>IF(main!CB331="","",ROUND(main!CB331*100,6))</f>
        <v/>
      </c>
      <c r="BQ328" s="68" t="str">
        <f>IF(main!CC331="","",ROUND(main!CC331*100,6))</f>
        <v/>
      </c>
      <c r="BR328" s="68" t="str">
        <f>IF(main!CD331="","",ROUND(main!CD331*100,6))</f>
        <v/>
      </c>
      <c r="BS328" s="68" t="str">
        <f>IF(main!CE331="","",ROUND(main!CE331*100,6))</f>
        <v/>
      </c>
      <c r="BT328" s="68" t="str">
        <f>IF(main!CF331="","",ROUND(main!CF331*100,6))</f>
        <v/>
      </c>
      <c r="BU328" s="68">
        <f>IF(main!CG331="","",ROUND(main!CG331*100,6))</f>
        <v>7.1428570000000002</v>
      </c>
      <c r="BV328" s="68">
        <f>IF(main!CH331="","",ROUND(main!CH331*100,6))</f>
        <v>50</v>
      </c>
      <c r="BW328" s="68">
        <f>IF(main!CI331="","",ROUND(main!CI331*100,6))</f>
        <v>42.857143000000001</v>
      </c>
      <c r="BX328" s="68" t="str">
        <f>IF(main!CJ331="","",ROUND(main!CJ331*100,6))</f>
        <v/>
      </c>
      <c r="BY328" s="68" t="str">
        <f>IF(main!CK331="","",ROUND(main!CK331*100,6))</f>
        <v/>
      </c>
      <c r="BZ328" s="68" t="str">
        <f>IF(main!CL331="","",ROUND(main!CL331*100,6))</f>
        <v/>
      </c>
      <c r="CA328" s="68" t="str">
        <f>IF(main!CM331="","",ROUND(main!CM331*100,6))</f>
        <v/>
      </c>
      <c r="CB328" s="68" t="str">
        <f>IF(main!CN331="","",ROUND(main!CN331*100,6))</f>
        <v/>
      </c>
      <c r="CC328" s="68" t="str">
        <f>IF(main!CO331="","",ROUND(main!CO331*100,6))</f>
        <v/>
      </c>
    </row>
    <row r="329" spans="1:81" x14ac:dyDescent="0.25">
      <c r="A329" s="65" t="s">
        <v>480</v>
      </c>
      <c r="B329" s="66" t="str">
        <f>main!C331</f>
        <v>งานปูกระเบื้องยาง</v>
      </c>
      <c r="C329" s="67">
        <f>main!O331</f>
        <v>100000</v>
      </c>
      <c r="D329" s="65" t="s">
        <v>111</v>
      </c>
      <c r="E329" s="68" t="str">
        <f t="shared" si="5"/>
        <v/>
      </c>
      <c r="F329" s="68" t="str">
        <f>IF(main!R332="","",ROUND(main!R332*100,6))</f>
        <v/>
      </c>
      <c r="G329" s="68" t="str">
        <f>IF(main!S332="","",ROUND(main!S332*100,6))</f>
        <v/>
      </c>
      <c r="H329" s="68" t="str">
        <f>IF(main!T332="","",ROUND(main!T332*100,6))</f>
        <v/>
      </c>
      <c r="I329" s="68" t="str">
        <f>IF(main!U332="","",ROUND(main!U332*100,6))</f>
        <v/>
      </c>
      <c r="J329" s="68" t="str">
        <f>IF(main!V332="","",ROUND(main!V332*100,6))</f>
        <v/>
      </c>
      <c r="K329" s="68" t="str">
        <f>IF(main!W332="","",ROUND(main!W332*100,6))</f>
        <v/>
      </c>
      <c r="L329" s="68" t="str">
        <f>IF(main!X332="","",ROUND(main!X332*100,6))</f>
        <v/>
      </c>
      <c r="M329" s="68" t="str">
        <f>IF(main!Y332="","",ROUND(main!Y332*100,6))</f>
        <v/>
      </c>
      <c r="N329" s="68" t="str">
        <f>IF(main!Z332="","",ROUND(main!Z332*100,6))</f>
        <v/>
      </c>
      <c r="O329" s="68" t="str">
        <f>IF(main!AA332="","",ROUND(main!AA332*100,6))</f>
        <v/>
      </c>
      <c r="P329" s="68" t="str">
        <f>IF(main!AB332="","",ROUND(main!AB332*100,6))</f>
        <v/>
      </c>
      <c r="Q329" s="68" t="str">
        <f>IF(main!AC332="","",ROUND(main!AC332*100,6))</f>
        <v/>
      </c>
      <c r="R329" s="68" t="str">
        <f>IF(main!AD332="","",ROUND(main!AD332*100,6))</f>
        <v/>
      </c>
      <c r="S329" s="68" t="str">
        <f>IF(main!AE332="","",ROUND(main!AE332*100,6))</f>
        <v/>
      </c>
      <c r="T329" s="68" t="str">
        <f>IF(main!AF332="","",ROUND(main!AF332*100,6))</f>
        <v/>
      </c>
      <c r="U329" s="68" t="str">
        <f>IF(main!AG332="","",ROUND(main!AG332*100,6))</f>
        <v/>
      </c>
      <c r="V329" s="68" t="str">
        <f>IF(main!AH332="","",ROUND(main!AH332*100,6))</f>
        <v/>
      </c>
      <c r="W329" s="68" t="str">
        <f>IF(main!AI332="","",ROUND(main!AI332*100,6))</f>
        <v/>
      </c>
      <c r="X329" s="68" t="str">
        <f>IF(main!AJ332="","",ROUND(main!AJ332*100,6))</f>
        <v/>
      </c>
      <c r="Y329" s="68" t="str">
        <f>IF(main!AK332="","",ROUND(main!AK332*100,6))</f>
        <v/>
      </c>
      <c r="Z329" s="68" t="str">
        <f>IF(main!AL332="","",ROUND(main!AL332*100,6))</f>
        <v/>
      </c>
      <c r="AA329" s="68" t="str">
        <f>IF(main!AM332="","",ROUND(main!AM332*100,6))</f>
        <v/>
      </c>
      <c r="AB329" s="68" t="str">
        <f>IF(main!AN332="","",ROUND(main!AN332*100,6))</f>
        <v/>
      </c>
      <c r="AC329" s="68" t="str">
        <f>IF(main!AO332="","",ROUND(main!AO332*100,6))</f>
        <v/>
      </c>
      <c r="AD329" s="68" t="str">
        <f>IF(main!AP332="","",ROUND(main!AP332*100,6))</f>
        <v/>
      </c>
      <c r="AE329" s="68" t="str">
        <f>IF(main!AQ332="","",ROUND(main!AQ332*100,6))</f>
        <v/>
      </c>
      <c r="AF329" s="68" t="str">
        <f>IF(main!AR332="","",ROUND(main!AR332*100,6))</f>
        <v/>
      </c>
      <c r="AG329" s="68" t="str">
        <f>IF(main!AS332="","",ROUND(main!AS332*100,6))</f>
        <v/>
      </c>
      <c r="AH329" s="68" t="str">
        <f>IF(main!AT332="","",ROUND(main!AT332*100,6))</f>
        <v/>
      </c>
      <c r="AI329" s="68" t="str">
        <f>IF(main!AU332="","",ROUND(main!AU332*100,6))</f>
        <v/>
      </c>
      <c r="AJ329" s="68" t="str">
        <f>IF(main!AV332="","",ROUND(main!AV332*100,6))</f>
        <v/>
      </c>
      <c r="AK329" s="68" t="str">
        <f>IF(main!AW332="","",ROUND(main!AW332*100,6))</f>
        <v/>
      </c>
      <c r="AL329" s="68" t="str">
        <f>IF(main!AX332="","",ROUND(main!AX332*100,6))</f>
        <v/>
      </c>
      <c r="AM329" s="68" t="str">
        <f>IF(main!AY332="","",ROUND(main!AY332*100,6))</f>
        <v/>
      </c>
      <c r="AN329" s="68" t="str">
        <f>IF(main!AZ332="","",ROUND(main!AZ332*100,6))</f>
        <v/>
      </c>
      <c r="AO329" s="68" t="str">
        <f>IF(main!BA332="","",ROUND(main!BA332*100,6))</f>
        <v/>
      </c>
      <c r="AP329" s="68" t="str">
        <f>IF(main!BB332="","",ROUND(main!BB332*100,6))</f>
        <v/>
      </c>
      <c r="AQ329" s="68" t="str">
        <f>IF(main!BC332="","",ROUND(main!BC332*100,6))</f>
        <v/>
      </c>
      <c r="AR329" s="68" t="str">
        <f>IF(main!BD332="","",ROUND(main!BD332*100,6))</f>
        <v/>
      </c>
      <c r="AS329" s="68" t="str">
        <f>IF(main!BE332="","",ROUND(main!BE332*100,6))</f>
        <v/>
      </c>
      <c r="AT329" s="68" t="str">
        <f>IF(main!BF332="","",ROUND(main!BF332*100,6))</f>
        <v/>
      </c>
      <c r="AU329" s="68" t="str">
        <f>IF(main!BG332="","",ROUND(main!BG332*100,6))</f>
        <v/>
      </c>
      <c r="AV329" s="68" t="str">
        <f>IF(main!BH332="","",ROUND(main!BH332*100,6))</f>
        <v/>
      </c>
      <c r="AW329" s="68" t="str">
        <f>IF(main!BI332="","",ROUND(main!BI332*100,6))</f>
        <v/>
      </c>
      <c r="AX329" s="68" t="str">
        <f>IF(main!BJ332="","",ROUND(main!BJ332*100,6))</f>
        <v/>
      </c>
      <c r="AY329" s="68" t="str">
        <f>IF(main!BK332="","",ROUND(main!BK332*100,6))</f>
        <v/>
      </c>
      <c r="AZ329" s="68" t="str">
        <f>IF(main!BL332="","",ROUND(main!BL332*100,6))</f>
        <v/>
      </c>
      <c r="BA329" s="68" t="str">
        <f>IF(main!BM332="","",ROUND(main!BM332*100,6))</f>
        <v/>
      </c>
      <c r="BB329" s="68" t="str">
        <f>IF(main!BN332="","",ROUND(main!BN332*100,6))</f>
        <v/>
      </c>
      <c r="BC329" s="68" t="str">
        <f>IF(main!BO332="","",ROUND(main!BO332*100,6))</f>
        <v/>
      </c>
      <c r="BD329" s="68" t="str">
        <f>IF(main!BP332="","",ROUND(main!BP332*100,6))</f>
        <v/>
      </c>
      <c r="BE329" s="68" t="str">
        <f>IF(main!BQ332="","",ROUND(main!BQ332*100,6))</f>
        <v/>
      </c>
      <c r="BF329" s="68" t="str">
        <f>IF(main!BR332="","",ROUND(main!BR332*100,6))</f>
        <v/>
      </c>
      <c r="BG329" s="68" t="str">
        <f>IF(main!BS332="","",ROUND(main!BS332*100,6))</f>
        <v/>
      </c>
      <c r="BH329" s="68" t="str">
        <f>IF(main!BT332="","",ROUND(main!BT332*100,6))</f>
        <v/>
      </c>
      <c r="BI329" s="68" t="str">
        <f>IF(main!BU332="","",ROUND(main!BU332*100,6))</f>
        <v/>
      </c>
      <c r="BJ329" s="68" t="str">
        <f>IF(main!BV332="","",ROUND(main!BV332*100,6))</f>
        <v/>
      </c>
      <c r="BK329" s="68" t="str">
        <f>IF(main!BW332="","",ROUND(main!BW332*100,6))</f>
        <v/>
      </c>
      <c r="BL329" s="68" t="str">
        <f>IF(main!BX332="","",ROUND(main!BX332*100,6))</f>
        <v/>
      </c>
      <c r="BM329" s="68" t="str">
        <f>IF(main!BY332="","",ROUND(main!BY332*100,6))</f>
        <v/>
      </c>
      <c r="BN329" s="68" t="str">
        <f>IF(main!BZ332="","",ROUND(main!BZ332*100,6))</f>
        <v/>
      </c>
      <c r="BO329" s="68" t="str">
        <f>IF(main!CA332="","",ROUND(main!CA332*100,6))</f>
        <v/>
      </c>
      <c r="BP329" s="68" t="str">
        <f>IF(main!CB332="","",ROUND(main!CB332*100,6))</f>
        <v/>
      </c>
      <c r="BQ329" s="68" t="str">
        <f>IF(main!CC332="","",ROUND(main!CC332*100,6))</f>
        <v/>
      </c>
      <c r="BR329" s="68" t="str">
        <f>IF(main!CD332="","",ROUND(main!CD332*100,6))</f>
        <v/>
      </c>
      <c r="BS329" s="68" t="str">
        <f>IF(main!CE332="","",ROUND(main!CE332*100,6))</f>
        <v/>
      </c>
      <c r="BT329" s="68" t="str">
        <f>IF(main!CF332="","",ROUND(main!CF332*100,6))</f>
        <v/>
      </c>
      <c r="BU329" s="68" t="str">
        <f>IF(main!CG332="","",ROUND(main!CG332*100,6))</f>
        <v/>
      </c>
      <c r="BV329" s="68" t="str">
        <f>IF(main!CH332="","",ROUND(main!CH332*100,6))</f>
        <v/>
      </c>
      <c r="BW329" s="68" t="str">
        <f>IF(main!CI332="","",ROUND(main!CI332*100,6))</f>
        <v/>
      </c>
      <c r="BX329" s="68" t="str">
        <f>IF(main!CJ332="","",ROUND(main!CJ332*100,6))</f>
        <v/>
      </c>
      <c r="BY329" s="68" t="str">
        <f>IF(main!CK332="","",ROUND(main!CK332*100,6))</f>
        <v/>
      </c>
      <c r="BZ329" s="68" t="str">
        <f>IF(main!CL332="","",ROUND(main!CL332*100,6))</f>
        <v/>
      </c>
      <c r="CA329" s="68" t="str">
        <f>IF(main!CM332="","",ROUND(main!CM332*100,6))</f>
        <v/>
      </c>
      <c r="CB329" s="68" t="str">
        <f>IF(main!CN332="","",ROUND(main!CN332*100,6))</f>
        <v/>
      </c>
      <c r="CC329" s="68" t="str">
        <f>IF(main!CO332="","",ROUND(main!CO332*100,6))</f>
        <v/>
      </c>
    </row>
    <row r="330" spans="1:81" x14ac:dyDescent="0.25">
      <c r="A330" s="65" t="s">
        <v>482</v>
      </c>
      <c r="B330" s="66" t="str">
        <f>main!C333</f>
        <v>งานพื้น Epoxy - Corridore, Lift Lobby, Office</v>
      </c>
      <c r="C330" s="67">
        <f>main!O333</f>
        <v>100000</v>
      </c>
      <c r="D330" s="65" t="s">
        <v>110</v>
      </c>
      <c r="E330" s="68">
        <f t="shared" si="5"/>
        <v>100</v>
      </c>
      <c r="F330" s="68" t="str">
        <f>IF(main!R333="","",ROUND(main!R333*100,6))</f>
        <v/>
      </c>
      <c r="G330" s="68" t="str">
        <f>IF(main!S333="","",ROUND(main!S333*100,6))</f>
        <v/>
      </c>
      <c r="H330" s="68" t="str">
        <f>IF(main!T333="","",ROUND(main!T333*100,6))</f>
        <v/>
      </c>
      <c r="I330" s="68" t="str">
        <f>IF(main!U333="","",ROUND(main!U333*100,6))</f>
        <v/>
      </c>
      <c r="J330" s="68" t="str">
        <f>IF(main!V333="","",ROUND(main!V333*100,6))</f>
        <v/>
      </c>
      <c r="K330" s="68" t="str">
        <f>IF(main!W333="","",ROUND(main!W333*100,6))</f>
        <v/>
      </c>
      <c r="L330" s="68" t="str">
        <f>IF(main!X333="","",ROUND(main!X333*100,6))</f>
        <v/>
      </c>
      <c r="M330" s="68" t="str">
        <f>IF(main!Y333="","",ROUND(main!Y333*100,6))</f>
        <v/>
      </c>
      <c r="N330" s="68" t="str">
        <f>IF(main!Z333="","",ROUND(main!Z333*100,6))</f>
        <v/>
      </c>
      <c r="O330" s="68" t="str">
        <f>IF(main!AA333="","",ROUND(main!AA333*100,6))</f>
        <v/>
      </c>
      <c r="P330" s="68" t="str">
        <f>IF(main!AB333="","",ROUND(main!AB333*100,6))</f>
        <v/>
      </c>
      <c r="Q330" s="68" t="str">
        <f>IF(main!AC333="","",ROUND(main!AC333*100,6))</f>
        <v/>
      </c>
      <c r="R330" s="68" t="str">
        <f>IF(main!AD333="","",ROUND(main!AD333*100,6))</f>
        <v/>
      </c>
      <c r="S330" s="68" t="str">
        <f>IF(main!AE333="","",ROUND(main!AE333*100,6))</f>
        <v/>
      </c>
      <c r="T330" s="68" t="str">
        <f>IF(main!AF333="","",ROUND(main!AF333*100,6))</f>
        <v/>
      </c>
      <c r="U330" s="68" t="str">
        <f>IF(main!AG333="","",ROUND(main!AG333*100,6))</f>
        <v/>
      </c>
      <c r="V330" s="68" t="str">
        <f>IF(main!AH333="","",ROUND(main!AH333*100,6))</f>
        <v/>
      </c>
      <c r="W330" s="68" t="str">
        <f>IF(main!AI333="","",ROUND(main!AI333*100,6))</f>
        <v/>
      </c>
      <c r="X330" s="68" t="str">
        <f>IF(main!AJ333="","",ROUND(main!AJ333*100,6))</f>
        <v/>
      </c>
      <c r="Y330" s="68" t="str">
        <f>IF(main!AK333="","",ROUND(main!AK333*100,6))</f>
        <v/>
      </c>
      <c r="Z330" s="68" t="str">
        <f>IF(main!AL333="","",ROUND(main!AL333*100,6))</f>
        <v/>
      </c>
      <c r="AA330" s="68" t="str">
        <f>IF(main!AM333="","",ROUND(main!AM333*100,6))</f>
        <v/>
      </c>
      <c r="AB330" s="68" t="str">
        <f>IF(main!AN333="","",ROUND(main!AN333*100,6))</f>
        <v/>
      </c>
      <c r="AC330" s="68" t="str">
        <f>IF(main!AO333="","",ROUND(main!AO333*100,6))</f>
        <v/>
      </c>
      <c r="AD330" s="68" t="str">
        <f>IF(main!AP333="","",ROUND(main!AP333*100,6))</f>
        <v/>
      </c>
      <c r="AE330" s="68" t="str">
        <f>IF(main!AQ333="","",ROUND(main!AQ333*100,6))</f>
        <v/>
      </c>
      <c r="AF330" s="68" t="str">
        <f>IF(main!AR333="","",ROUND(main!AR333*100,6))</f>
        <v/>
      </c>
      <c r="AG330" s="68" t="str">
        <f>IF(main!AS333="","",ROUND(main!AS333*100,6))</f>
        <v/>
      </c>
      <c r="AH330" s="68" t="str">
        <f>IF(main!AT333="","",ROUND(main!AT333*100,6))</f>
        <v/>
      </c>
      <c r="AI330" s="68" t="str">
        <f>IF(main!AU333="","",ROUND(main!AU333*100,6))</f>
        <v/>
      </c>
      <c r="AJ330" s="68" t="str">
        <f>IF(main!AV333="","",ROUND(main!AV333*100,6))</f>
        <v/>
      </c>
      <c r="AK330" s="68" t="str">
        <f>IF(main!AW333="","",ROUND(main!AW333*100,6))</f>
        <v/>
      </c>
      <c r="AL330" s="68" t="str">
        <f>IF(main!AX333="","",ROUND(main!AX333*100,6))</f>
        <v/>
      </c>
      <c r="AM330" s="68" t="str">
        <f>IF(main!AY333="","",ROUND(main!AY333*100,6))</f>
        <v/>
      </c>
      <c r="AN330" s="68" t="str">
        <f>IF(main!AZ333="","",ROUND(main!AZ333*100,6))</f>
        <v/>
      </c>
      <c r="AO330" s="68" t="str">
        <f>IF(main!BA333="","",ROUND(main!BA333*100,6))</f>
        <v/>
      </c>
      <c r="AP330" s="68" t="str">
        <f>IF(main!BB333="","",ROUND(main!BB333*100,6))</f>
        <v/>
      </c>
      <c r="AQ330" s="68" t="str">
        <f>IF(main!BC333="","",ROUND(main!BC333*100,6))</f>
        <v/>
      </c>
      <c r="AR330" s="68" t="str">
        <f>IF(main!BD333="","",ROUND(main!BD333*100,6))</f>
        <v/>
      </c>
      <c r="AS330" s="68" t="str">
        <f>IF(main!BE333="","",ROUND(main!BE333*100,6))</f>
        <v/>
      </c>
      <c r="AT330" s="68" t="str">
        <f>IF(main!BF333="","",ROUND(main!BF333*100,6))</f>
        <v/>
      </c>
      <c r="AU330" s="68" t="str">
        <f>IF(main!BG333="","",ROUND(main!BG333*100,6))</f>
        <v/>
      </c>
      <c r="AV330" s="68" t="str">
        <f>IF(main!BH333="","",ROUND(main!BH333*100,6))</f>
        <v/>
      </c>
      <c r="AW330" s="68" t="str">
        <f>IF(main!BI333="","",ROUND(main!BI333*100,6))</f>
        <v/>
      </c>
      <c r="AX330" s="68" t="str">
        <f>IF(main!BJ333="","",ROUND(main!BJ333*100,6))</f>
        <v/>
      </c>
      <c r="AY330" s="68" t="str">
        <f>IF(main!BK333="","",ROUND(main!BK333*100,6))</f>
        <v/>
      </c>
      <c r="AZ330" s="68" t="str">
        <f>IF(main!BL333="","",ROUND(main!BL333*100,6))</f>
        <v/>
      </c>
      <c r="BA330" s="68" t="str">
        <f>IF(main!BM333="","",ROUND(main!BM333*100,6))</f>
        <v/>
      </c>
      <c r="BB330" s="68" t="str">
        <f>IF(main!BN333="","",ROUND(main!BN333*100,6))</f>
        <v/>
      </c>
      <c r="BC330" s="68" t="str">
        <f>IF(main!BO333="","",ROUND(main!BO333*100,6))</f>
        <v/>
      </c>
      <c r="BD330" s="68" t="str">
        <f>IF(main!BP333="","",ROUND(main!BP333*100,6))</f>
        <v/>
      </c>
      <c r="BE330" s="68" t="str">
        <f>IF(main!BQ333="","",ROUND(main!BQ333*100,6))</f>
        <v/>
      </c>
      <c r="BF330" s="68" t="str">
        <f>IF(main!BR333="","",ROUND(main!BR333*100,6))</f>
        <v/>
      </c>
      <c r="BG330" s="68" t="str">
        <f>IF(main!BS333="","",ROUND(main!BS333*100,6))</f>
        <v/>
      </c>
      <c r="BH330" s="68" t="str">
        <f>IF(main!BT333="","",ROUND(main!BT333*100,6))</f>
        <v/>
      </c>
      <c r="BI330" s="68" t="str">
        <f>IF(main!BU333="","",ROUND(main!BU333*100,6))</f>
        <v/>
      </c>
      <c r="BJ330" s="68" t="str">
        <f>IF(main!BV333="","",ROUND(main!BV333*100,6))</f>
        <v/>
      </c>
      <c r="BK330" s="68" t="str">
        <f>IF(main!BW333="","",ROUND(main!BW333*100,6))</f>
        <v/>
      </c>
      <c r="BL330" s="68" t="str">
        <f>IF(main!BX333="","",ROUND(main!BX333*100,6))</f>
        <v/>
      </c>
      <c r="BM330" s="68" t="str">
        <f>IF(main!BY333="","",ROUND(main!BY333*100,6))</f>
        <v/>
      </c>
      <c r="BN330" s="68" t="str">
        <f>IF(main!BZ333="","",ROUND(main!BZ333*100,6))</f>
        <v/>
      </c>
      <c r="BO330" s="68" t="str">
        <f>IF(main!CA333="","",ROUND(main!CA333*100,6))</f>
        <v/>
      </c>
      <c r="BP330" s="68" t="str">
        <f>IF(main!CB333="","",ROUND(main!CB333*100,6))</f>
        <v/>
      </c>
      <c r="BQ330" s="68" t="str">
        <f>IF(main!CC333="","",ROUND(main!CC333*100,6))</f>
        <v/>
      </c>
      <c r="BR330" s="68" t="str">
        <f>IF(main!CD333="","",ROUND(main!CD333*100,6))</f>
        <v/>
      </c>
      <c r="BS330" s="68" t="str">
        <f>IF(main!CE333="","",ROUND(main!CE333*100,6))</f>
        <v/>
      </c>
      <c r="BT330" s="68" t="str">
        <f>IF(main!CF333="","",ROUND(main!CF333*100,6))</f>
        <v/>
      </c>
      <c r="BU330" s="68">
        <f>IF(main!CG333="","",ROUND(main!CG333*100,6))</f>
        <v>4.7619049999999996</v>
      </c>
      <c r="BV330" s="68">
        <f>IF(main!CH333="","",ROUND(main!CH333*100,6))</f>
        <v>33.333333000000003</v>
      </c>
      <c r="BW330" s="68">
        <f>IF(main!CI333="","",ROUND(main!CI333*100,6))</f>
        <v>33.333333000000003</v>
      </c>
      <c r="BX330" s="68">
        <f>IF(main!CJ333="","",ROUND(main!CJ333*100,6))</f>
        <v>28.571428999999998</v>
      </c>
      <c r="BY330" s="68" t="str">
        <f>IF(main!CK333="","",ROUND(main!CK333*100,6))</f>
        <v/>
      </c>
      <c r="BZ330" s="68" t="str">
        <f>IF(main!CL333="","",ROUND(main!CL333*100,6))</f>
        <v/>
      </c>
      <c r="CA330" s="68" t="str">
        <f>IF(main!CM333="","",ROUND(main!CM333*100,6))</f>
        <v/>
      </c>
      <c r="CB330" s="68" t="str">
        <f>IF(main!CN333="","",ROUND(main!CN333*100,6))</f>
        <v/>
      </c>
      <c r="CC330" s="68" t="str">
        <f>IF(main!CO333="","",ROUND(main!CO333*100,6))</f>
        <v/>
      </c>
    </row>
    <row r="331" spans="1:81" x14ac:dyDescent="0.25">
      <c r="A331" s="65" t="s">
        <v>482</v>
      </c>
      <c r="B331" s="66" t="str">
        <f>main!C333</f>
        <v>งานพื้น Epoxy - Corridore, Lift Lobby, Office</v>
      </c>
      <c r="C331" s="67">
        <f>main!O333</f>
        <v>100000</v>
      </c>
      <c r="D331" s="65" t="s">
        <v>111</v>
      </c>
      <c r="E331" s="68" t="str">
        <f t="shared" si="5"/>
        <v/>
      </c>
      <c r="F331" s="68" t="str">
        <f>IF(main!R334="","",ROUND(main!R334*100,6))</f>
        <v/>
      </c>
      <c r="G331" s="68" t="str">
        <f>IF(main!S334="","",ROUND(main!S334*100,6))</f>
        <v/>
      </c>
      <c r="H331" s="68" t="str">
        <f>IF(main!T334="","",ROUND(main!T334*100,6))</f>
        <v/>
      </c>
      <c r="I331" s="68" t="str">
        <f>IF(main!U334="","",ROUND(main!U334*100,6))</f>
        <v/>
      </c>
      <c r="J331" s="68" t="str">
        <f>IF(main!V334="","",ROUND(main!V334*100,6))</f>
        <v/>
      </c>
      <c r="K331" s="68" t="str">
        <f>IF(main!W334="","",ROUND(main!W334*100,6))</f>
        <v/>
      </c>
      <c r="L331" s="68" t="str">
        <f>IF(main!X334="","",ROUND(main!X334*100,6))</f>
        <v/>
      </c>
      <c r="M331" s="68" t="str">
        <f>IF(main!Y334="","",ROUND(main!Y334*100,6))</f>
        <v/>
      </c>
      <c r="N331" s="68" t="str">
        <f>IF(main!Z334="","",ROUND(main!Z334*100,6))</f>
        <v/>
      </c>
      <c r="O331" s="68" t="str">
        <f>IF(main!AA334="","",ROUND(main!AA334*100,6))</f>
        <v/>
      </c>
      <c r="P331" s="68" t="str">
        <f>IF(main!AB334="","",ROUND(main!AB334*100,6))</f>
        <v/>
      </c>
      <c r="Q331" s="68" t="str">
        <f>IF(main!AC334="","",ROUND(main!AC334*100,6))</f>
        <v/>
      </c>
      <c r="R331" s="68" t="str">
        <f>IF(main!AD334="","",ROUND(main!AD334*100,6))</f>
        <v/>
      </c>
      <c r="S331" s="68" t="str">
        <f>IF(main!AE334="","",ROUND(main!AE334*100,6))</f>
        <v/>
      </c>
      <c r="T331" s="68" t="str">
        <f>IF(main!AF334="","",ROUND(main!AF334*100,6))</f>
        <v/>
      </c>
      <c r="U331" s="68" t="str">
        <f>IF(main!AG334="","",ROUND(main!AG334*100,6))</f>
        <v/>
      </c>
      <c r="V331" s="68" t="str">
        <f>IF(main!AH334="","",ROUND(main!AH334*100,6))</f>
        <v/>
      </c>
      <c r="W331" s="68" t="str">
        <f>IF(main!AI334="","",ROUND(main!AI334*100,6))</f>
        <v/>
      </c>
      <c r="X331" s="68" t="str">
        <f>IF(main!AJ334="","",ROUND(main!AJ334*100,6))</f>
        <v/>
      </c>
      <c r="Y331" s="68" t="str">
        <f>IF(main!AK334="","",ROUND(main!AK334*100,6))</f>
        <v/>
      </c>
      <c r="Z331" s="68" t="str">
        <f>IF(main!AL334="","",ROUND(main!AL334*100,6))</f>
        <v/>
      </c>
      <c r="AA331" s="68" t="str">
        <f>IF(main!AM334="","",ROUND(main!AM334*100,6))</f>
        <v/>
      </c>
      <c r="AB331" s="68" t="str">
        <f>IF(main!AN334="","",ROUND(main!AN334*100,6))</f>
        <v/>
      </c>
      <c r="AC331" s="68" t="str">
        <f>IF(main!AO334="","",ROUND(main!AO334*100,6))</f>
        <v/>
      </c>
      <c r="AD331" s="68" t="str">
        <f>IF(main!AP334="","",ROUND(main!AP334*100,6))</f>
        <v/>
      </c>
      <c r="AE331" s="68" t="str">
        <f>IF(main!AQ334="","",ROUND(main!AQ334*100,6))</f>
        <v/>
      </c>
      <c r="AF331" s="68" t="str">
        <f>IF(main!AR334="","",ROUND(main!AR334*100,6))</f>
        <v/>
      </c>
      <c r="AG331" s="68" t="str">
        <f>IF(main!AS334="","",ROUND(main!AS334*100,6))</f>
        <v/>
      </c>
      <c r="AH331" s="68" t="str">
        <f>IF(main!AT334="","",ROUND(main!AT334*100,6))</f>
        <v/>
      </c>
      <c r="AI331" s="68" t="str">
        <f>IF(main!AU334="","",ROUND(main!AU334*100,6))</f>
        <v/>
      </c>
      <c r="AJ331" s="68" t="str">
        <f>IF(main!AV334="","",ROUND(main!AV334*100,6))</f>
        <v/>
      </c>
      <c r="AK331" s="68" t="str">
        <f>IF(main!AW334="","",ROUND(main!AW334*100,6))</f>
        <v/>
      </c>
      <c r="AL331" s="68" t="str">
        <f>IF(main!AX334="","",ROUND(main!AX334*100,6))</f>
        <v/>
      </c>
      <c r="AM331" s="68" t="str">
        <f>IF(main!AY334="","",ROUND(main!AY334*100,6))</f>
        <v/>
      </c>
      <c r="AN331" s="68" t="str">
        <f>IF(main!AZ334="","",ROUND(main!AZ334*100,6))</f>
        <v/>
      </c>
      <c r="AO331" s="68" t="str">
        <f>IF(main!BA334="","",ROUND(main!BA334*100,6))</f>
        <v/>
      </c>
      <c r="AP331" s="68" t="str">
        <f>IF(main!BB334="","",ROUND(main!BB334*100,6))</f>
        <v/>
      </c>
      <c r="AQ331" s="68" t="str">
        <f>IF(main!BC334="","",ROUND(main!BC334*100,6))</f>
        <v/>
      </c>
      <c r="AR331" s="68" t="str">
        <f>IF(main!BD334="","",ROUND(main!BD334*100,6))</f>
        <v/>
      </c>
      <c r="AS331" s="68" t="str">
        <f>IF(main!BE334="","",ROUND(main!BE334*100,6))</f>
        <v/>
      </c>
      <c r="AT331" s="68" t="str">
        <f>IF(main!BF334="","",ROUND(main!BF334*100,6))</f>
        <v/>
      </c>
      <c r="AU331" s="68" t="str">
        <f>IF(main!BG334="","",ROUND(main!BG334*100,6))</f>
        <v/>
      </c>
      <c r="AV331" s="68" t="str">
        <f>IF(main!BH334="","",ROUND(main!BH334*100,6))</f>
        <v/>
      </c>
      <c r="AW331" s="68" t="str">
        <f>IF(main!BI334="","",ROUND(main!BI334*100,6))</f>
        <v/>
      </c>
      <c r="AX331" s="68" t="str">
        <f>IF(main!BJ334="","",ROUND(main!BJ334*100,6))</f>
        <v/>
      </c>
      <c r="AY331" s="68" t="str">
        <f>IF(main!BK334="","",ROUND(main!BK334*100,6))</f>
        <v/>
      </c>
      <c r="AZ331" s="68" t="str">
        <f>IF(main!BL334="","",ROUND(main!BL334*100,6))</f>
        <v/>
      </c>
      <c r="BA331" s="68" t="str">
        <f>IF(main!BM334="","",ROUND(main!BM334*100,6))</f>
        <v/>
      </c>
      <c r="BB331" s="68" t="str">
        <f>IF(main!BN334="","",ROUND(main!BN334*100,6))</f>
        <v/>
      </c>
      <c r="BC331" s="68" t="str">
        <f>IF(main!BO334="","",ROUND(main!BO334*100,6))</f>
        <v/>
      </c>
      <c r="BD331" s="68" t="str">
        <f>IF(main!BP334="","",ROUND(main!BP334*100,6))</f>
        <v/>
      </c>
      <c r="BE331" s="68" t="str">
        <f>IF(main!BQ334="","",ROUND(main!BQ334*100,6))</f>
        <v/>
      </c>
      <c r="BF331" s="68" t="str">
        <f>IF(main!BR334="","",ROUND(main!BR334*100,6))</f>
        <v/>
      </c>
      <c r="BG331" s="68" t="str">
        <f>IF(main!BS334="","",ROUND(main!BS334*100,6))</f>
        <v/>
      </c>
      <c r="BH331" s="68" t="str">
        <f>IF(main!BT334="","",ROUND(main!BT334*100,6))</f>
        <v/>
      </c>
      <c r="BI331" s="68" t="str">
        <f>IF(main!BU334="","",ROUND(main!BU334*100,6))</f>
        <v/>
      </c>
      <c r="BJ331" s="68" t="str">
        <f>IF(main!BV334="","",ROUND(main!BV334*100,6))</f>
        <v/>
      </c>
      <c r="BK331" s="68" t="str">
        <f>IF(main!BW334="","",ROUND(main!BW334*100,6))</f>
        <v/>
      </c>
      <c r="BL331" s="68" t="str">
        <f>IF(main!BX334="","",ROUND(main!BX334*100,6))</f>
        <v/>
      </c>
      <c r="BM331" s="68" t="str">
        <f>IF(main!BY334="","",ROUND(main!BY334*100,6))</f>
        <v/>
      </c>
      <c r="BN331" s="68" t="str">
        <f>IF(main!BZ334="","",ROUND(main!BZ334*100,6))</f>
        <v/>
      </c>
      <c r="BO331" s="68" t="str">
        <f>IF(main!CA334="","",ROUND(main!CA334*100,6))</f>
        <v/>
      </c>
      <c r="BP331" s="68" t="str">
        <f>IF(main!CB334="","",ROUND(main!CB334*100,6))</f>
        <v/>
      </c>
      <c r="BQ331" s="68" t="str">
        <f>IF(main!CC334="","",ROUND(main!CC334*100,6))</f>
        <v/>
      </c>
      <c r="BR331" s="68" t="str">
        <f>IF(main!CD334="","",ROUND(main!CD334*100,6))</f>
        <v/>
      </c>
      <c r="BS331" s="68" t="str">
        <f>IF(main!CE334="","",ROUND(main!CE334*100,6))</f>
        <v/>
      </c>
      <c r="BT331" s="68" t="str">
        <f>IF(main!CF334="","",ROUND(main!CF334*100,6))</f>
        <v/>
      </c>
      <c r="BU331" s="68" t="str">
        <f>IF(main!CG334="","",ROUND(main!CG334*100,6))</f>
        <v/>
      </c>
      <c r="BV331" s="68" t="str">
        <f>IF(main!CH334="","",ROUND(main!CH334*100,6))</f>
        <v/>
      </c>
      <c r="BW331" s="68" t="str">
        <f>IF(main!CI334="","",ROUND(main!CI334*100,6))</f>
        <v/>
      </c>
      <c r="BX331" s="68" t="str">
        <f>IF(main!CJ334="","",ROUND(main!CJ334*100,6))</f>
        <v/>
      </c>
      <c r="BY331" s="68" t="str">
        <f>IF(main!CK334="","",ROUND(main!CK334*100,6))</f>
        <v/>
      </c>
      <c r="BZ331" s="68" t="str">
        <f>IF(main!CL334="","",ROUND(main!CL334*100,6))</f>
        <v/>
      </c>
      <c r="CA331" s="68" t="str">
        <f>IF(main!CM334="","",ROUND(main!CM334*100,6))</f>
        <v/>
      </c>
      <c r="CB331" s="68" t="str">
        <f>IF(main!CN334="","",ROUND(main!CN334*100,6))</f>
        <v/>
      </c>
      <c r="CC331" s="68" t="str">
        <f>IF(main!CO334="","",ROUND(main!CO334*100,6))</f>
        <v/>
      </c>
    </row>
    <row r="332" spans="1:81" x14ac:dyDescent="0.25">
      <c r="A332" s="65" t="s">
        <v>484</v>
      </c>
      <c r="B332" s="66" t="str">
        <f>main!C335</f>
        <v>Doors &amp; Windows</v>
      </c>
      <c r="C332" s="67">
        <f>main!O335</f>
        <v>100000</v>
      </c>
      <c r="D332" s="65" t="s">
        <v>110</v>
      </c>
      <c r="E332" s="68">
        <f t="shared" si="5"/>
        <v>100</v>
      </c>
      <c r="F332" s="68" t="str">
        <f>IF(main!R335="","",ROUND(main!R335*100,6))</f>
        <v/>
      </c>
      <c r="G332" s="68" t="str">
        <f>IF(main!S335="","",ROUND(main!S335*100,6))</f>
        <v/>
      </c>
      <c r="H332" s="68" t="str">
        <f>IF(main!T335="","",ROUND(main!T335*100,6))</f>
        <v/>
      </c>
      <c r="I332" s="68" t="str">
        <f>IF(main!U335="","",ROUND(main!U335*100,6))</f>
        <v/>
      </c>
      <c r="J332" s="68" t="str">
        <f>IF(main!V335="","",ROUND(main!V335*100,6))</f>
        <v/>
      </c>
      <c r="K332" s="68" t="str">
        <f>IF(main!W335="","",ROUND(main!W335*100,6))</f>
        <v/>
      </c>
      <c r="L332" s="68" t="str">
        <f>IF(main!X335="","",ROUND(main!X335*100,6))</f>
        <v/>
      </c>
      <c r="M332" s="68" t="str">
        <f>IF(main!Y335="","",ROUND(main!Y335*100,6))</f>
        <v/>
      </c>
      <c r="N332" s="68" t="str">
        <f>IF(main!Z335="","",ROUND(main!Z335*100,6))</f>
        <v/>
      </c>
      <c r="O332" s="68" t="str">
        <f>IF(main!AA335="","",ROUND(main!AA335*100,6))</f>
        <v/>
      </c>
      <c r="P332" s="68" t="str">
        <f>IF(main!AB335="","",ROUND(main!AB335*100,6))</f>
        <v/>
      </c>
      <c r="Q332" s="68" t="str">
        <f>IF(main!AC335="","",ROUND(main!AC335*100,6))</f>
        <v/>
      </c>
      <c r="R332" s="68" t="str">
        <f>IF(main!AD335="","",ROUND(main!AD335*100,6))</f>
        <v/>
      </c>
      <c r="S332" s="68" t="str">
        <f>IF(main!AE335="","",ROUND(main!AE335*100,6))</f>
        <v/>
      </c>
      <c r="T332" s="68" t="str">
        <f>IF(main!AF335="","",ROUND(main!AF335*100,6))</f>
        <v/>
      </c>
      <c r="U332" s="68" t="str">
        <f>IF(main!AG335="","",ROUND(main!AG335*100,6))</f>
        <v/>
      </c>
      <c r="V332" s="68" t="str">
        <f>IF(main!AH335="","",ROUND(main!AH335*100,6))</f>
        <v/>
      </c>
      <c r="W332" s="68" t="str">
        <f>IF(main!AI335="","",ROUND(main!AI335*100,6))</f>
        <v/>
      </c>
      <c r="X332" s="68" t="str">
        <f>IF(main!AJ335="","",ROUND(main!AJ335*100,6))</f>
        <v/>
      </c>
      <c r="Y332" s="68" t="str">
        <f>IF(main!AK335="","",ROUND(main!AK335*100,6))</f>
        <v/>
      </c>
      <c r="Z332" s="68" t="str">
        <f>IF(main!AL335="","",ROUND(main!AL335*100,6))</f>
        <v/>
      </c>
      <c r="AA332" s="68" t="str">
        <f>IF(main!AM335="","",ROUND(main!AM335*100,6))</f>
        <v/>
      </c>
      <c r="AB332" s="68" t="str">
        <f>IF(main!AN335="","",ROUND(main!AN335*100,6))</f>
        <v/>
      </c>
      <c r="AC332" s="68" t="str">
        <f>IF(main!AO335="","",ROUND(main!AO335*100,6))</f>
        <v/>
      </c>
      <c r="AD332" s="68" t="str">
        <f>IF(main!AP335="","",ROUND(main!AP335*100,6))</f>
        <v/>
      </c>
      <c r="AE332" s="68" t="str">
        <f>IF(main!AQ335="","",ROUND(main!AQ335*100,6))</f>
        <v/>
      </c>
      <c r="AF332" s="68" t="str">
        <f>IF(main!AR335="","",ROUND(main!AR335*100,6))</f>
        <v/>
      </c>
      <c r="AG332" s="68" t="str">
        <f>IF(main!AS335="","",ROUND(main!AS335*100,6))</f>
        <v/>
      </c>
      <c r="AH332" s="68" t="str">
        <f>IF(main!AT335="","",ROUND(main!AT335*100,6))</f>
        <v/>
      </c>
      <c r="AI332" s="68" t="str">
        <f>IF(main!AU335="","",ROUND(main!AU335*100,6))</f>
        <v/>
      </c>
      <c r="AJ332" s="68" t="str">
        <f>IF(main!AV335="","",ROUND(main!AV335*100,6))</f>
        <v/>
      </c>
      <c r="AK332" s="68" t="str">
        <f>IF(main!AW335="","",ROUND(main!AW335*100,6))</f>
        <v/>
      </c>
      <c r="AL332" s="68" t="str">
        <f>IF(main!AX335="","",ROUND(main!AX335*100,6))</f>
        <v/>
      </c>
      <c r="AM332" s="68" t="str">
        <f>IF(main!AY335="","",ROUND(main!AY335*100,6))</f>
        <v/>
      </c>
      <c r="AN332" s="68" t="str">
        <f>IF(main!AZ335="","",ROUND(main!AZ335*100,6))</f>
        <v/>
      </c>
      <c r="AO332" s="68" t="str">
        <f>IF(main!BA335="","",ROUND(main!BA335*100,6))</f>
        <v/>
      </c>
      <c r="AP332" s="68" t="str">
        <f>IF(main!BB335="","",ROUND(main!BB335*100,6))</f>
        <v/>
      </c>
      <c r="AQ332" s="68" t="str">
        <f>IF(main!BC335="","",ROUND(main!BC335*100,6))</f>
        <v/>
      </c>
      <c r="AR332" s="68" t="str">
        <f>IF(main!BD335="","",ROUND(main!BD335*100,6))</f>
        <v/>
      </c>
      <c r="AS332" s="68" t="str">
        <f>IF(main!BE335="","",ROUND(main!BE335*100,6))</f>
        <v/>
      </c>
      <c r="AT332" s="68" t="str">
        <f>IF(main!BF335="","",ROUND(main!BF335*100,6))</f>
        <v/>
      </c>
      <c r="AU332" s="68" t="str">
        <f>IF(main!BG335="","",ROUND(main!BG335*100,6))</f>
        <v/>
      </c>
      <c r="AV332" s="68" t="str">
        <f>IF(main!BH335="","",ROUND(main!BH335*100,6))</f>
        <v/>
      </c>
      <c r="AW332" s="68" t="str">
        <f>IF(main!BI335="","",ROUND(main!BI335*100,6))</f>
        <v/>
      </c>
      <c r="AX332" s="68" t="str">
        <f>IF(main!BJ335="","",ROUND(main!BJ335*100,6))</f>
        <v/>
      </c>
      <c r="AY332" s="68" t="str">
        <f>IF(main!BK335="","",ROUND(main!BK335*100,6))</f>
        <v/>
      </c>
      <c r="AZ332" s="68" t="str">
        <f>IF(main!BL335="","",ROUND(main!BL335*100,6))</f>
        <v/>
      </c>
      <c r="BA332" s="68" t="str">
        <f>IF(main!BM335="","",ROUND(main!BM335*100,6))</f>
        <v/>
      </c>
      <c r="BB332" s="68" t="str">
        <f>IF(main!BN335="","",ROUND(main!BN335*100,6))</f>
        <v/>
      </c>
      <c r="BC332" s="68" t="str">
        <f>IF(main!BO335="","",ROUND(main!BO335*100,6))</f>
        <v/>
      </c>
      <c r="BD332" s="68" t="str">
        <f>IF(main!BP335="","",ROUND(main!BP335*100,6))</f>
        <v/>
      </c>
      <c r="BE332" s="68" t="str">
        <f>IF(main!BQ335="","",ROUND(main!BQ335*100,6))</f>
        <v/>
      </c>
      <c r="BF332" s="68" t="str">
        <f>IF(main!BR335="","",ROUND(main!BR335*100,6))</f>
        <v/>
      </c>
      <c r="BG332" s="68" t="str">
        <f>IF(main!BS335="","",ROUND(main!BS335*100,6))</f>
        <v/>
      </c>
      <c r="BH332" s="68" t="str">
        <f>IF(main!BT335="","",ROUND(main!BT335*100,6))</f>
        <v/>
      </c>
      <c r="BI332" s="68" t="str">
        <f>IF(main!BU335="","",ROUND(main!BU335*100,6))</f>
        <v/>
      </c>
      <c r="BJ332" s="68" t="str">
        <f>IF(main!BV335="","",ROUND(main!BV335*100,6))</f>
        <v/>
      </c>
      <c r="BK332" s="68" t="str">
        <f>IF(main!BW335="","",ROUND(main!BW335*100,6))</f>
        <v/>
      </c>
      <c r="BL332" s="68" t="str">
        <f>IF(main!BX335="","",ROUND(main!BX335*100,6))</f>
        <v/>
      </c>
      <c r="BM332" s="68" t="str">
        <f>IF(main!BY335="","",ROUND(main!BY335*100,6))</f>
        <v/>
      </c>
      <c r="BN332" s="68" t="str">
        <f>IF(main!BZ335="","",ROUND(main!BZ335*100,6))</f>
        <v/>
      </c>
      <c r="BO332" s="68" t="str">
        <f>IF(main!CA335="","",ROUND(main!CA335*100,6))</f>
        <v/>
      </c>
      <c r="BP332" s="68">
        <f>IF(main!CB335="","",ROUND(main!CB335*100,6))</f>
        <v>4.7619049999999996</v>
      </c>
      <c r="BQ332" s="68">
        <f>IF(main!CC335="","",ROUND(main!CC335*100,6))</f>
        <v>33.333333000000003</v>
      </c>
      <c r="BR332" s="68">
        <f>IF(main!CD335="","",ROUND(main!CD335*100,6))</f>
        <v>33.333333000000003</v>
      </c>
      <c r="BS332" s="68">
        <f>IF(main!CE335="","",ROUND(main!CE335*100,6))</f>
        <v>28.571428999999998</v>
      </c>
      <c r="BT332" s="68" t="str">
        <f>IF(main!CF335="","",ROUND(main!CF335*100,6))</f>
        <v/>
      </c>
      <c r="BU332" s="68" t="str">
        <f>IF(main!CG335="","",ROUND(main!CG335*100,6))</f>
        <v/>
      </c>
      <c r="BV332" s="68" t="str">
        <f>IF(main!CH335="","",ROUND(main!CH335*100,6))</f>
        <v/>
      </c>
      <c r="BW332" s="68" t="str">
        <f>IF(main!CI335="","",ROUND(main!CI335*100,6))</f>
        <v/>
      </c>
      <c r="BX332" s="68" t="str">
        <f>IF(main!CJ335="","",ROUND(main!CJ335*100,6))</f>
        <v/>
      </c>
      <c r="BY332" s="68" t="str">
        <f>IF(main!CK335="","",ROUND(main!CK335*100,6))</f>
        <v/>
      </c>
      <c r="BZ332" s="68" t="str">
        <f>IF(main!CL335="","",ROUND(main!CL335*100,6))</f>
        <v/>
      </c>
      <c r="CA332" s="68" t="str">
        <f>IF(main!CM335="","",ROUND(main!CM335*100,6))</f>
        <v/>
      </c>
      <c r="CB332" s="68" t="str">
        <f>IF(main!CN335="","",ROUND(main!CN335*100,6))</f>
        <v/>
      </c>
      <c r="CC332" s="68" t="str">
        <f>IF(main!CO335="","",ROUND(main!CO335*100,6))</f>
        <v/>
      </c>
    </row>
    <row r="333" spans="1:81" x14ac:dyDescent="0.25">
      <c r="A333" s="65" t="s">
        <v>484</v>
      </c>
      <c r="B333" s="66" t="str">
        <f>main!C335</f>
        <v>Doors &amp; Windows</v>
      </c>
      <c r="C333" s="67">
        <f>main!O335</f>
        <v>100000</v>
      </c>
      <c r="D333" s="65" t="s">
        <v>111</v>
      </c>
      <c r="E333" s="68" t="str">
        <f t="shared" si="5"/>
        <v/>
      </c>
      <c r="F333" s="68" t="str">
        <f>IF(main!R336="","",ROUND(main!R336*100,6))</f>
        <v/>
      </c>
      <c r="G333" s="68" t="str">
        <f>IF(main!S336="","",ROUND(main!S336*100,6))</f>
        <v/>
      </c>
      <c r="H333" s="68" t="str">
        <f>IF(main!T336="","",ROUND(main!T336*100,6))</f>
        <v/>
      </c>
      <c r="I333" s="68" t="str">
        <f>IF(main!U336="","",ROUND(main!U336*100,6))</f>
        <v/>
      </c>
      <c r="J333" s="68" t="str">
        <f>IF(main!V336="","",ROUND(main!V336*100,6))</f>
        <v/>
      </c>
      <c r="K333" s="68" t="str">
        <f>IF(main!W336="","",ROUND(main!W336*100,6))</f>
        <v/>
      </c>
      <c r="L333" s="68" t="str">
        <f>IF(main!X336="","",ROUND(main!X336*100,6))</f>
        <v/>
      </c>
      <c r="M333" s="68" t="str">
        <f>IF(main!Y336="","",ROUND(main!Y336*100,6))</f>
        <v/>
      </c>
      <c r="N333" s="68" t="str">
        <f>IF(main!Z336="","",ROUND(main!Z336*100,6))</f>
        <v/>
      </c>
      <c r="O333" s="68" t="str">
        <f>IF(main!AA336="","",ROUND(main!AA336*100,6))</f>
        <v/>
      </c>
      <c r="P333" s="68" t="str">
        <f>IF(main!AB336="","",ROUND(main!AB336*100,6))</f>
        <v/>
      </c>
      <c r="Q333" s="68" t="str">
        <f>IF(main!AC336="","",ROUND(main!AC336*100,6))</f>
        <v/>
      </c>
      <c r="R333" s="68" t="str">
        <f>IF(main!AD336="","",ROUND(main!AD336*100,6))</f>
        <v/>
      </c>
      <c r="S333" s="68" t="str">
        <f>IF(main!AE336="","",ROUND(main!AE336*100,6))</f>
        <v/>
      </c>
      <c r="T333" s="68" t="str">
        <f>IF(main!AF336="","",ROUND(main!AF336*100,6))</f>
        <v/>
      </c>
      <c r="U333" s="68" t="str">
        <f>IF(main!AG336="","",ROUND(main!AG336*100,6))</f>
        <v/>
      </c>
      <c r="V333" s="68" t="str">
        <f>IF(main!AH336="","",ROUND(main!AH336*100,6))</f>
        <v/>
      </c>
      <c r="W333" s="68" t="str">
        <f>IF(main!AI336="","",ROUND(main!AI336*100,6))</f>
        <v/>
      </c>
      <c r="X333" s="68" t="str">
        <f>IF(main!AJ336="","",ROUND(main!AJ336*100,6))</f>
        <v/>
      </c>
      <c r="Y333" s="68" t="str">
        <f>IF(main!AK336="","",ROUND(main!AK336*100,6))</f>
        <v/>
      </c>
      <c r="Z333" s="68" t="str">
        <f>IF(main!AL336="","",ROUND(main!AL336*100,6))</f>
        <v/>
      </c>
      <c r="AA333" s="68" t="str">
        <f>IF(main!AM336="","",ROUND(main!AM336*100,6))</f>
        <v/>
      </c>
      <c r="AB333" s="68" t="str">
        <f>IF(main!AN336="","",ROUND(main!AN336*100,6))</f>
        <v/>
      </c>
      <c r="AC333" s="68" t="str">
        <f>IF(main!AO336="","",ROUND(main!AO336*100,6))</f>
        <v/>
      </c>
      <c r="AD333" s="68" t="str">
        <f>IF(main!AP336="","",ROUND(main!AP336*100,6))</f>
        <v/>
      </c>
      <c r="AE333" s="68" t="str">
        <f>IF(main!AQ336="","",ROUND(main!AQ336*100,6))</f>
        <v/>
      </c>
      <c r="AF333" s="68" t="str">
        <f>IF(main!AR336="","",ROUND(main!AR336*100,6))</f>
        <v/>
      </c>
      <c r="AG333" s="68" t="str">
        <f>IF(main!AS336="","",ROUND(main!AS336*100,6))</f>
        <v/>
      </c>
      <c r="AH333" s="68" t="str">
        <f>IF(main!AT336="","",ROUND(main!AT336*100,6))</f>
        <v/>
      </c>
      <c r="AI333" s="68" t="str">
        <f>IF(main!AU336="","",ROUND(main!AU336*100,6))</f>
        <v/>
      </c>
      <c r="AJ333" s="68" t="str">
        <f>IF(main!AV336="","",ROUND(main!AV336*100,6))</f>
        <v/>
      </c>
      <c r="AK333" s="68" t="str">
        <f>IF(main!AW336="","",ROUND(main!AW336*100,6))</f>
        <v/>
      </c>
      <c r="AL333" s="68" t="str">
        <f>IF(main!AX336="","",ROUND(main!AX336*100,6))</f>
        <v/>
      </c>
      <c r="AM333" s="68" t="str">
        <f>IF(main!AY336="","",ROUND(main!AY336*100,6))</f>
        <v/>
      </c>
      <c r="AN333" s="68" t="str">
        <f>IF(main!AZ336="","",ROUND(main!AZ336*100,6))</f>
        <v/>
      </c>
      <c r="AO333" s="68" t="str">
        <f>IF(main!BA336="","",ROUND(main!BA336*100,6))</f>
        <v/>
      </c>
      <c r="AP333" s="68" t="str">
        <f>IF(main!BB336="","",ROUND(main!BB336*100,6))</f>
        <v/>
      </c>
      <c r="AQ333" s="68" t="str">
        <f>IF(main!BC336="","",ROUND(main!BC336*100,6))</f>
        <v/>
      </c>
      <c r="AR333" s="68" t="str">
        <f>IF(main!BD336="","",ROUND(main!BD336*100,6))</f>
        <v/>
      </c>
      <c r="AS333" s="68" t="str">
        <f>IF(main!BE336="","",ROUND(main!BE336*100,6))</f>
        <v/>
      </c>
      <c r="AT333" s="68" t="str">
        <f>IF(main!BF336="","",ROUND(main!BF336*100,6))</f>
        <v/>
      </c>
      <c r="AU333" s="68" t="str">
        <f>IF(main!BG336="","",ROUND(main!BG336*100,6))</f>
        <v/>
      </c>
      <c r="AV333" s="68" t="str">
        <f>IF(main!BH336="","",ROUND(main!BH336*100,6))</f>
        <v/>
      </c>
      <c r="AW333" s="68" t="str">
        <f>IF(main!BI336="","",ROUND(main!BI336*100,6))</f>
        <v/>
      </c>
      <c r="AX333" s="68" t="str">
        <f>IF(main!BJ336="","",ROUND(main!BJ336*100,6))</f>
        <v/>
      </c>
      <c r="AY333" s="68" t="str">
        <f>IF(main!BK336="","",ROUND(main!BK336*100,6))</f>
        <v/>
      </c>
      <c r="AZ333" s="68" t="str">
        <f>IF(main!BL336="","",ROUND(main!BL336*100,6))</f>
        <v/>
      </c>
      <c r="BA333" s="68" t="str">
        <f>IF(main!BM336="","",ROUND(main!BM336*100,6))</f>
        <v/>
      </c>
      <c r="BB333" s="68" t="str">
        <f>IF(main!BN336="","",ROUND(main!BN336*100,6))</f>
        <v/>
      </c>
      <c r="BC333" s="68" t="str">
        <f>IF(main!BO336="","",ROUND(main!BO336*100,6))</f>
        <v/>
      </c>
      <c r="BD333" s="68" t="str">
        <f>IF(main!BP336="","",ROUND(main!BP336*100,6))</f>
        <v/>
      </c>
      <c r="BE333" s="68" t="str">
        <f>IF(main!BQ336="","",ROUND(main!BQ336*100,6))</f>
        <v/>
      </c>
      <c r="BF333" s="68" t="str">
        <f>IF(main!BR336="","",ROUND(main!BR336*100,6))</f>
        <v/>
      </c>
      <c r="BG333" s="68" t="str">
        <f>IF(main!BS336="","",ROUND(main!BS336*100,6))</f>
        <v/>
      </c>
      <c r="BH333" s="68" t="str">
        <f>IF(main!BT336="","",ROUND(main!BT336*100,6))</f>
        <v/>
      </c>
      <c r="BI333" s="68" t="str">
        <f>IF(main!BU336="","",ROUND(main!BU336*100,6))</f>
        <v/>
      </c>
      <c r="BJ333" s="68" t="str">
        <f>IF(main!BV336="","",ROUND(main!BV336*100,6))</f>
        <v/>
      </c>
      <c r="BK333" s="68" t="str">
        <f>IF(main!BW336="","",ROUND(main!BW336*100,6))</f>
        <v/>
      </c>
      <c r="BL333" s="68" t="str">
        <f>IF(main!BX336="","",ROUND(main!BX336*100,6))</f>
        <v/>
      </c>
      <c r="BM333" s="68" t="str">
        <f>IF(main!BY336="","",ROUND(main!BY336*100,6))</f>
        <v/>
      </c>
      <c r="BN333" s="68" t="str">
        <f>IF(main!BZ336="","",ROUND(main!BZ336*100,6))</f>
        <v/>
      </c>
      <c r="BO333" s="68" t="str">
        <f>IF(main!CA336="","",ROUND(main!CA336*100,6))</f>
        <v/>
      </c>
      <c r="BP333" s="68" t="str">
        <f>IF(main!CB336="","",ROUND(main!CB336*100,6))</f>
        <v/>
      </c>
      <c r="BQ333" s="68" t="str">
        <f>IF(main!CC336="","",ROUND(main!CC336*100,6))</f>
        <v/>
      </c>
      <c r="BR333" s="68" t="str">
        <f>IF(main!CD336="","",ROUND(main!CD336*100,6))</f>
        <v/>
      </c>
      <c r="BS333" s="68" t="str">
        <f>IF(main!CE336="","",ROUND(main!CE336*100,6))</f>
        <v/>
      </c>
      <c r="BT333" s="68" t="str">
        <f>IF(main!CF336="","",ROUND(main!CF336*100,6))</f>
        <v/>
      </c>
      <c r="BU333" s="68" t="str">
        <f>IF(main!CG336="","",ROUND(main!CG336*100,6))</f>
        <v/>
      </c>
      <c r="BV333" s="68" t="str">
        <f>IF(main!CH336="","",ROUND(main!CH336*100,6))</f>
        <v/>
      </c>
      <c r="BW333" s="68" t="str">
        <f>IF(main!CI336="","",ROUND(main!CI336*100,6))</f>
        <v/>
      </c>
      <c r="BX333" s="68" t="str">
        <f>IF(main!CJ336="","",ROUND(main!CJ336*100,6))</f>
        <v/>
      </c>
      <c r="BY333" s="68" t="str">
        <f>IF(main!CK336="","",ROUND(main!CK336*100,6))</f>
        <v/>
      </c>
      <c r="BZ333" s="68" t="str">
        <f>IF(main!CL336="","",ROUND(main!CL336*100,6))</f>
        <v/>
      </c>
      <c r="CA333" s="68" t="str">
        <f>IF(main!CM336="","",ROUND(main!CM336*100,6))</f>
        <v/>
      </c>
      <c r="CB333" s="68" t="str">
        <f>IF(main!CN336="","",ROUND(main!CN336*100,6))</f>
        <v/>
      </c>
      <c r="CC333" s="68" t="str">
        <f>IF(main!CO336="","",ROUND(main!CO336*100,6))</f>
        <v/>
      </c>
    </row>
    <row r="334" spans="1:81" x14ac:dyDescent="0.25">
      <c r="A334" s="65" t="s">
        <v>485</v>
      </c>
      <c r="B334" s="66" t="str">
        <f>main!C337</f>
        <v>งานติดตั้งผนังกระจก และประตูกระจกอลูมิเนียม</v>
      </c>
      <c r="C334" s="67">
        <f>main!O337</f>
        <v>100000</v>
      </c>
      <c r="D334" s="65" t="s">
        <v>110</v>
      </c>
      <c r="E334" s="68">
        <f t="shared" si="5"/>
        <v>100</v>
      </c>
      <c r="F334" s="68" t="str">
        <f>IF(main!R337="","",ROUND(main!R337*100,6))</f>
        <v/>
      </c>
      <c r="G334" s="68" t="str">
        <f>IF(main!S337="","",ROUND(main!S337*100,6))</f>
        <v/>
      </c>
      <c r="H334" s="68" t="str">
        <f>IF(main!T337="","",ROUND(main!T337*100,6))</f>
        <v/>
      </c>
      <c r="I334" s="68" t="str">
        <f>IF(main!U337="","",ROUND(main!U337*100,6))</f>
        <v/>
      </c>
      <c r="J334" s="68" t="str">
        <f>IF(main!V337="","",ROUND(main!V337*100,6))</f>
        <v/>
      </c>
      <c r="K334" s="68" t="str">
        <f>IF(main!W337="","",ROUND(main!W337*100,6))</f>
        <v/>
      </c>
      <c r="L334" s="68" t="str">
        <f>IF(main!X337="","",ROUND(main!X337*100,6))</f>
        <v/>
      </c>
      <c r="M334" s="68" t="str">
        <f>IF(main!Y337="","",ROUND(main!Y337*100,6))</f>
        <v/>
      </c>
      <c r="N334" s="68" t="str">
        <f>IF(main!Z337="","",ROUND(main!Z337*100,6))</f>
        <v/>
      </c>
      <c r="O334" s="68" t="str">
        <f>IF(main!AA337="","",ROUND(main!AA337*100,6))</f>
        <v/>
      </c>
      <c r="P334" s="68" t="str">
        <f>IF(main!AB337="","",ROUND(main!AB337*100,6))</f>
        <v/>
      </c>
      <c r="Q334" s="68" t="str">
        <f>IF(main!AC337="","",ROUND(main!AC337*100,6))</f>
        <v/>
      </c>
      <c r="R334" s="68" t="str">
        <f>IF(main!AD337="","",ROUND(main!AD337*100,6))</f>
        <v/>
      </c>
      <c r="S334" s="68" t="str">
        <f>IF(main!AE337="","",ROUND(main!AE337*100,6))</f>
        <v/>
      </c>
      <c r="T334" s="68" t="str">
        <f>IF(main!AF337="","",ROUND(main!AF337*100,6))</f>
        <v/>
      </c>
      <c r="U334" s="68" t="str">
        <f>IF(main!AG337="","",ROUND(main!AG337*100,6))</f>
        <v/>
      </c>
      <c r="V334" s="68" t="str">
        <f>IF(main!AH337="","",ROUND(main!AH337*100,6))</f>
        <v/>
      </c>
      <c r="W334" s="68" t="str">
        <f>IF(main!AI337="","",ROUND(main!AI337*100,6))</f>
        <v/>
      </c>
      <c r="X334" s="68" t="str">
        <f>IF(main!AJ337="","",ROUND(main!AJ337*100,6))</f>
        <v/>
      </c>
      <c r="Y334" s="68" t="str">
        <f>IF(main!AK337="","",ROUND(main!AK337*100,6))</f>
        <v/>
      </c>
      <c r="Z334" s="68" t="str">
        <f>IF(main!AL337="","",ROUND(main!AL337*100,6))</f>
        <v/>
      </c>
      <c r="AA334" s="68" t="str">
        <f>IF(main!AM337="","",ROUND(main!AM337*100,6))</f>
        <v/>
      </c>
      <c r="AB334" s="68" t="str">
        <f>IF(main!AN337="","",ROUND(main!AN337*100,6))</f>
        <v/>
      </c>
      <c r="AC334" s="68" t="str">
        <f>IF(main!AO337="","",ROUND(main!AO337*100,6))</f>
        <v/>
      </c>
      <c r="AD334" s="68" t="str">
        <f>IF(main!AP337="","",ROUND(main!AP337*100,6))</f>
        <v/>
      </c>
      <c r="AE334" s="68" t="str">
        <f>IF(main!AQ337="","",ROUND(main!AQ337*100,6))</f>
        <v/>
      </c>
      <c r="AF334" s="68" t="str">
        <f>IF(main!AR337="","",ROUND(main!AR337*100,6))</f>
        <v/>
      </c>
      <c r="AG334" s="68" t="str">
        <f>IF(main!AS337="","",ROUND(main!AS337*100,6))</f>
        <v/>
      </c>
      <c r="AH334" s="68" t="str">
        <f>IF(main!AT337="","",ROUND(main!AT337*100,6))</f>
        <v/>
      </c>
      <c r="AI334" s="68" t="str">
        <f>IF(main!AU337="","",ROUND(main!AU337*100,6))</f>
        <v/>
      </c>
      <c r="AJ334" s="68" t="str">
        <f>IF(main!AV337="","",ROUND(main!AV337*100,6))</f>
        <v/>
      </c>
      <c r="AK334" s="68" t="str">
        <f>IF(main!AW337="","",ROUND(main!AW337*100,6))</f>
        <v/>
      </c>
      <c r="AL334" s="68" t="str">
        <f>IF(main!AX337="","",ROUND(main!AX337*100,6))</f>
        <v/>
      </c>
      <c r="AM334" s="68" t="str">
        <f>IF(main!AY337="","",ROUND(main!AY337*100,6))</f>
        <v/>
      </c>
      <c r="AN334" s="68" t="str">
        <f>IF(main!AZ337="","",ROUND(main!AZ337*100,6))</f>
        <v/>
      </c>
      <c r="AO334" s="68" t="str">
        <f>IF(main!BA337="","",ROUND(main!BA337*100,6))</f>
        <v/>
      </c>
      <c r="AP334" s="68" t="str">
        <f>IF(main!BB337="","",ROUND(main!BB337*100,6))</f>
        <v/>
      </c>
      <c r="AQ334" s="68" t="str">
        <f>IF(main!BC337="","",ROUND(main!BC337*100,6))</f>
        <v/>
      </c>
      <c r="AR334" s="68" t="str">
        <f>IF(main!BD337="","",ROUND(main!BD337*100,6))</f>
        <v/>
      </c>
      <c r="AS334" s="68" t="str">
        <f>IF(main!BE337="","",ROUND(main!BE337*100,6))</f>
        <v/>
      </c>
      <c r="AT334" s="68" t="str">
        <f>IF(main!BF337="","",ROUND(main!BF337*100,6))</f>
        <v/>
      </c>
      <c r="AU334" s="68" t="str">
        <f>IF(main!BG337="","",ROUND(main!BG337*100,6))</f>
        <v/>
      </c>
      <c r="AV334" s="68" t="str">
        <f>IF(main!BH337="","",ROUND(main!BH337*100,6))</f>
        <v/>
      </c>
      <c r="AW334" s="68" t="str">
        <f>IF(main!BI337="","",ROUND(main!BI337*100,6))</f>
        <v/>
      </c>
      <c r="AX334" s="68" t="str">
        <f>IF(main!BJ337="","",ROUND(main!BJ337*100,6))</f>
        <v/>
      </c>
      <c r="AY334" s="68" t="str">
        <f>IF(main!BK337="","",ROUND(main!BK337*100,6))</f>
        <v/>
      </c>
      <c r="AZ334" s="68" t="str">
        <f>IF(main!BL337="","",ROUND(main!BL337*100,6))</f>
        <v/>
      </c>
      <c r="BA334" s="68" t="str">
        <f>IF(main!BM337="","",ROUND(main!BM337*100,6))</f>
        <v/>
      </c>
      <c r="BB334" s="68" t="str">
        <f>IF(main!BN337="","",ROUND(main!BN337*100,6))</f>
        <v/>
      </c>
      <c r="BC334" s="68" t="str">
        <f>IF(main!BO337="","",ROUND(main!BO337*100,6))</f>
        <v/>
      </c>
      <c r="BD334" s="68" t="str">
        <f>IF(main!BP337="","",ROUND(main!BP337*100,6))</f>
        <v/>
      </c>
      <c r="BE334" s="68" t="str">
        <f>IF(main!BQ337="","",ROUND(main!BQ337*100,6))</f>
        <v/>
      </c>
      <c r="BF334" s="68" t="str">
        <f>IF(main!BR337="","",ROUND(main!BR337*100,6))</f>
        <v/>
      </c>
      <c r="BG334" s="68" t="str">
        <f>IF(main!BS337="","",ROUND(main!BS337*100,6))</f>
        <v/>
      </c>
      <c r="BH334" s="68" t="str">
        <f>IF(main!BT337="","",ROUND(main!BT337*100,6))</f>
        <v/>
      </c>
      <c r="BI334" s="68" t="str">
        <f>IF(main!BU337="","",ROUND(main!BU337*100,6))</f>
        <v/>
      </c>
      <c r="BJ334" s="68" t="str">
        <f>IF(main!BV337="","",ROUND(main!BV337*100,6))</f>
        <v/>
      </c>
      <c r="BK334" s="68" t="str">
        <f>IF(main!BW337="","",ROUND(main!BW337*100,6))</f>
        <v/>
      </c>
      <c r="BL334" s="68" t="str">
        <f>IF(main!BX337="","",ROUND(main!BX337*100,6))</f>
        <v/>
      </c>
      <c r="BM334" s="68" t="str">
        <f>IF(main!BY337="","",ROUND(main!BY337*100,6))</f>
        <v/>
      </c>
      <c r="BN334" s="68" t="str">
        <f>IF(main!BZ337="","",ROUND(main!BZ337*100,6))</f>
        <v/>
      </c>
      <c r="BO334" s="68" t="str">
        <f>IF(main!CA337="","",ROUND(main!CA337*100,6))</f>
        <v/>
      </c>
      <c r="BP334" s="68">
        <f>IF(main!CB337="","",ROUND(main!CB337*100,6))</f>
        <v>4.7619049999999996</v>
      </c>
      <c r="BQ334" s="68">
        <f>IF(main!CC337="","",ROUND(main!CC337*100,6))</f>
        <v>33.333333000000003</v>
      </c>
      <c r="BR334" s="68">
        <f>IF(main!CD337="","",ROUND(main!CD337*100,6))</f>
        <v>33.333333000000003</v>
      </c>
      <c r="BS334" s="68">
        <f>IF(main!CE337="","",ROUND(main!CE337*100,6))</f>
        <v>28.571428999999998</v>
      </c>
      <c r="BT334" s="68" t="str">
        <f>IF(main!CF337="","",ROUND(main!CF337*100,6))</f>
        <v/>
      </c>
      <c r="BU334" s="68" t="str">
        <f>IF(main!CG337="","",ROUND(main!CG337*100,6))</f>
        <v/>
      </c>
      <c r="BV334" s="68" t="str">
        <f>IF(main!CH337="","",ROUND(main!CH337*100,6))</f>
        <v/>
      </c>
      <c r="BW334" s="68" t="str">
        <f>IF(main!CI337="","",ROUND(main!CI337*100,6))</f>
        <v/>
      </c>
      <c r="BX334" s="68" t="str">
        <f>IF(main!CJ337="","",ROUND(main!CJ337*100,6))</f>
        <v/>
      </c>
      <c r="BY334" s="68" t="str">
        <f>IF(main!CK337="","",ROUND(main!CK337*100,6))</f>
        <v/>
      </c>
      <c r="BZ334" s="68" t="str">
        <f>IF(main!CL337="","",ROUND(main!CL337*100,6))</f>
        <v/>
      </c>
      <c r="CA334" s="68" t="str">
        <f>IF(main!CM337="","",ROUND(main!CM337*100,6))</f>
        <v/>
      </c>
      <c r="CB334" s="68" t="str">
        <f>IF(main!CN337="","",ROUND(main!CN337*100,6))</f>
        <v/>
      </c>
      <c r="CC334" s="68" t="str">
        <f>IF(main!CO337="","",ROUND(main!CO337*100,6))</f>
        <v/>
      </c>
    </row>
    <row r="335" spans="1:81" x14ac:dyDescent="0.25">
      <c r="A335" s="65" t="s">
        <v>485</v>
      </c>
      <c r="B335" s="66" t="str">
        <f>main!C337</f>
        <v>งานติดตั้งผนังกระจก และประตูกระจกอลูมิเนียม</v>
      </c>
      <c r="C335" s="67">
        <f>main!O337</f>
        <v>100000</v>
      </c>
      <c r="D335" s="65" t="s">
        <v>111</v>
      </c>
      <c r="E335" s="68" t="str">
        <f t="shared" si="5"/>
        <v/>
      </c>
      <c r="F335" s="68" t="str">
        <f>IF(main!R338="","",ROUND(main!R338*100,6))</f>
        <v/>
      </c>
      <c r="G335" s="68" t="str">
        <f>IF(main!S338="","",ROUND(main!S338*100,6))</f>
        <v/>
      </c>
      <c r="H335" s="68" t="str">
        <f>IF(main!T338="","",ROUND(main!T338*100,6))</f>
        <v/>
      </c>
      <c r="I335" s="68" t="str">
        <f>IF(main!U338="","",ROUND(main!U338*100,6))</f>
        <v/>
      </c>
      <c r="J335" s="68" t="str">
        <f>IF(main!V338="","",ROUND(main!V338*100,6))</f>
        <v/>
      </c>
      <c r="K335" s="68" t="str">
        <f>IF(main!W338="","",ROUND(main!W338*100,6))</f>
        <v/>
      </c>
      <c r="L335" s="68" t="str">
        <f>IF(main!X338="","",ROUND(main!X338*100,6))</f>
        <v/>
      </c>
      <c r="M335" s="68" t="str">
        <f>IF(main!Y338="","",ROUND(main!Y338*100,6))</f>
        <v/>
      </c>
      <c r="N335" s="68" t="str">
        <f>IF(main!Z338="","",ROUND(main!Z338*100,6))</f>
        <v/>
      </c>
      <c r="O335" s="68" t="str">
        <f>IF(main!AA338="","",ROUND(main!AA338*100,6))</f>
        <v/>
      </c>
      <c r="P335" s="68" t="str">
        <f>IF(main!AB338="","",ROUND(main!AB338*100,6))</f>
        <v/>
      </c>
      <c r="Q335" s="68" t="str">
        <f>IF(main!AC338="","",ROUND(main!AC338*100,6))</f>
        <v/>
      </c>
      <c r="R335" s="68" t="str">
        <f>IF(main!AD338="","",ROUND(main!AD338*100,6))</f>
        <v/>
      </c>
      <c r="S335" s="68" t="str">
        <f>IF(main!AE338="","",ROUND(main!AE338*100,6))</f>
        <v/>
      </c>
      <c r="T335" s="68" t="str">
        <f>IF(main!AF338="","",ROUND(main!AF338*100,6))</f>
        <v/>
      </c>
      <c r="U335" s="68" t="str">
        <f>IF(main!AG338="","",ROUND(main!AG338*100,6))</f>
        <v/>
      </c>
      <c r="V335" s="68" t="str">
        <f>IF(main!AH338="","",ROUND(main!AH338*100,6))</f>
        <v/>
      </c>
      <c r="W335" s="68" t="str">
        <f>IF(main!AI338="","",ROUND(main!AI338*100,6))</f>
        <v/>
      </c>
      <c r="X335" s="68" t="str">
        <f>IF(main!AJ338="","",ROUND(main!AJ338*100,6))</f>
        <v/>
      </c>
      <c r="Y335" s="68" t="str">
        <f>IF(main!AK338="","",ROUND(main!AK338*100,6))</f>
        <v/>
      </c>
      <c r="Z335" s="68" t="str">
        <f>IF(main!AL338="","",ROUND(main!AL338*100,6))</f>
        <v/>
      </c>
      <c r="AA335" s="68" t="str">
        <f>IF(main!AM338="","",ROUND(main!AM338*100,6))</f>
        <v/>
      </c>
      <c r="AB335" s="68" t="str">
        <f>IF(main!AN338="","",ROUND(main!AN338*100,6))</f>
        <v/>
      </c>
      <c r="AC335" s="68" t="str">
        <f>IF(main!AO338="","",ROUND(main!AO338*100,6))</f>
        <v/>
      </c>
      <c r="AD335" s="68" t="str">
        <f>IF(main!AP338="","",ROUND(main!AP338*100,6))</f>
        <v/>
      </c>
      <c r="AE335" s="68" t="str">
        <f>IF(main!AQ338="","",ROUND(main!AQ338*100,6))</f>
        <v/>
      </c>
      <c r="AF335" s="68" t="str">
        <f>IF(main!AR338="","",ROUND(main!AR338*100,6))</f>
        <v/>
      </c>
      <c r="AG335" s="68" t="str">
        <f>IF(main!AS338="","",ROUND(main!AS338*100,6))</f>
        <v/>
      </c>
      <c r="AH335" s="68" t="str">
        <f>IF(main!AT338="","",ROUND(main!AT338*100,6))</f>
        <v/>
      </c>
      <c r="AI335" s="68" t="str">
        <f>IF(main!AU338="","",ROUND(main!AU338*100,6))</f>
        <v/>
      </c>
      <c r="AJ335" s="68" t="str">
        <f>IF(main!AV338="","",ROUND(main!AV338*100,6))</f>
        <v/>
      </c>
      <c r="AK335" s="68" t="str">
        <f>IF(main!AW338="","",ROUND(main!AW338*100,6))</f>
        <v/>
      </c>
      <c r="AL335" s="68" t="str">
        <f>IF(main!AX338="","",ROUND(main!AX338*100,6))</f>
        <v/>
      </c>
      <c r="AM335" s="68" t="str">
        <f>IF(main!AY338="","",ROUND(main!AY338*100,6))</f>
        <v/>
      </c>
      <c r="AN335" s="68" t="str">
        <f>IF(main!AZ338="","",ROUND(main!AZ338*100,6))</f>
        <v/>
      </c>
      <c r="AO335" s="68" t="str">
        <f>IF(main!BA338="","",ROUND(main!BA338*100,6))</f>
        <v/>
      </c>
      <c r="AP335" s="68" t="str">
        <f>IF(main!BB338="","",ROUND(main!BB338*100,6))</f>
        <v/>
      </c>
      <c r="AQ335" s="68" t="str">
        <f>IF(main!BC338="","",ROUND(main!BC338*100,6))</f>
        <v/>
      </c>
      <c r="AR335" s="68" t="str">
        <f>IF(main!BD338="","",ROUND(main!BD338*100,6))</f>
        <v/>
      </c>
      <c r="AS335" s="68" t="str">
        <f>IF(main!BE338="","",ROUND(main!BE338*100,6))</f>
        <v/>
      </c>
      <c r="AT335" s="68" t="str">
        <f>IF(main!BF338="","",ROUND(main!BF338*100,6))</f>
        <v/>
      </c>
      <c r="AU335" s="68" t="str">
        <f>IF(main!BG338="","",ROUND(main!BG338*100,6))</f>
        <v/>
      </c>
      <c r="AV335" s="68" t="str">
        <f>IF(main!BH338="","",ROUND(main!BH338*100,6))</f>
        <v/>
      </c>
      <c r="AW335" s="68" t="str">
        <f>IF(main!BI338="","",ROUND(main!BI338*100,6))</f>
        <v/>
      </c>
      <c r="AX335" s="68" t="str">
        <f>IF(main!BJ338="","",ROUND(main!BJ338*100,6))</f>
        <v/>
      </c>
      <c r="AY335" s="68" t="str">
        <f>IF(main!BK338="","",ROUND(main!BK338*100,6))</f>
        <v/>
      </c>
      <c r="AZ335" s="68" t="str">
        <f>IF(main!BL338="","",ROUND(main!BL338*100,6))</f>
        <v/>
      </c>
      <c r="BA335" s="68" t="str">
        <f>IF(main!BM338="","",ROUND(main!BM338*100,6))</f>
        <v/>
      </c>
      <c r="BB335" s="68" t="str">
        <f>IF(main!BN338="","",ROUND(main!BN338*100,6))</f>
        <v/>
      </c>
      <c r="BC335" s="68" t="str">
        <f>IF(main!BO338="","",ROUND(main!BO338*100,6))</f>
        <v/>
      </c>
      <c r="BD335" s="68" t="str">
        <f>IF(main!BP338="","",ROUND(main!BP338*100,6))</f>
        <v/>
      </c>
      <c r="BE335" s="68" t="str">
        <f>IF(main!BQ338="","",ROUND(main!BQ338*100,6))</f>
        <v/>
      </c>
      <c r="BF335" s="68" t="str">
        <f>IF(main!BR338="","",ROUND(main!BR338*100,6))</f>
        <v/>
      </c>
      <c r="BG335" s="68" t="str">
        <f>IF(main!BS338="","",ROUND(main!BS338*100,6))</f>
        <v/>
      </c>
      <c r="BH335" s="68" t="str">
        <f>IF(main!BT338="","",ROUND(main!BT338*100,6))</f>
        <v/>
      </c>
      <c r="BI335" s="68" t="str">
        <f>IF(main!BU338="","",ROUND(main!BU338*100,6))</f>
        <v/>
      </c>
      <c r="BJ335" s="68" t="str">
        <f>IF(main!BV338="","",ROUND(main!BV338*100,6))</f>
        <v/>
      </c>
      <c r="BK335" s="68" t="str">
        <f>IF(main!BW338="","",ROUND(main!BW338*100,6))</f>
        <v/>
      </c>
      <c r="BL335" s="68" t="str">
        <f>IF(main!BX338="","",ROUND(main!BX338*100,6))</f>
        <v/>
      </c>
      <c r="BM335" s="68" t="str">
        <f>IF(main!BY338="","",ROUND(main!BY338*100,6))</f>
        <v/>
      </c>
      <c r="BN335" s="68" t="str">
        <f>IF(main!BZ338="","",ROUND(main!BZ338*100,6))</f>
        <v/>
      </c>
      <c r="BO335" s="68" t="str">
        <f>IF(main!CA338="","",ROUND(main!CA338*100,6))</f>
        <v/>
      </c>
      <c r="BP335" s="68" t="str">
        <f>IF(main!CB338="","",ROUND(main!CB338*100,6))</f>
        <v/>
      </c>
      <c r="BQ335" s="68" t="str">
        <f>IF(main!CC338="","",ROUND(main!CC338*100,6))</f>
        <v/>
      </c>
      <c r="BR335" s="68" t="str">
        <f>IF(main!CD338="","",ROUND(main!CD338*100,6))</f>
        <v/>
      </c>
      <c r="BS335" s="68" t="str">
        <f>IF(main!CE338="","",ROUND(main!CE338*100,6))</f>
        <v/>
      </c>
      <c r="BT335" s="68" t="str">
        <f>IF(main!CF338="","",ROUND(main!CF338*100,6))</f>
        <v/>
      </c>
      <c r="BU335" s="68" t="str">
        <f>IF(main!CG338="","",ROUND(main!CG338*100,6))</f>
        <v/>
      </c>
      <c r="BV335" s="68" t="str">
        <f>IF(main!CH338="","",ROUND(main!CH338*100,6))</f>
        <v/>
      </c>
      <c r="BW335" s="68" t="str">
        <f>IF(main!CI338="","",ROUND(main!CI338*100,6))</f>
        <v/>
      </c>
      <c r="BX335" s="68" t="str">
        <f>IF(main!CJ338="","",ROUND(main!CJ338*100,6))</f>
        <v/>
      </c>
      <c r="BY335" s="68" t="str">
        <f>IF(main!CK338="","",ROUND(main!CK338*100,6))</f>
        <v/>
      </c>
      <c r="BZ335" s="68" t="str">
        <f>IF(main!CL338="","",ROUND(main!CL338*100,6))</f>
        <v/>
      </c>
      <c r="CA335" s="68" t="str">
        <f>IF(main!CM338="","",ROUND(main!CM338*100,6))</f>
        <v/>
      </c>
      <c r="CB335" s="68" t="str">
        <f>IF(main!CN338="","",ROUND(main!CN338*100,6))</f>
        <v/>
      </c>
      <c r="CC335" s="68" t="str">
        <f>IF(main!CO338="","",ROUND(main!CO338*100,6))</f>
        <v/>
      </c>
    </row>
    <row r="336" spans="1:81" x14ac:dyDescent="0.25">
      <c r="A336" s="65" t="s">
        <v>487</v>
      </c>
      <c r="B336" s="66" t="str">
        <f>main!C339</f>
        <v>MEP</v>
      </c>
      <c r="C336" s="67">
        <f>main!O339</f>
        <v>300000</v>
      </c>
      <c r="D336" s="65" t="s">
        <v>110</v>
      </c>
      <c r="E336" s="68">
        <f t="shared" si="5"/>
        <v>100.00000199999999</v>
      </c>
      <c r="F336" s="68" t="str">
        <f>IF(main!R339="","",ROUND(main!R339*100,6))</f>
        <v/>
      </c>
      <c r="G336" s="68" t="str">
        <f>IF(main!S339="","",ROUND(main!S339*100,6))</f>
        <v/>
      </c>
      <c r="H336" s="68" t="str">
        <f>IF(main!T339="","",ROUND(main!T339*100,6))</f>
        <v/>
      </c>
      <c r="I336" s="68" t="str">
        <f>IF(main!U339="","",ROUND(main!U339*100,6))</f>
        <v/>
      </c>
      <c r="J336" s="68" t="str">
        <f>IF(main!V339="","",ROUND(main!V339*100,6))</f>
        <v/>
      </c>
      <c r="K336" s="68" t="str">
        <f>IF(main!W339="","",ROUND(main!W339*100,6))</f>
        <v/>
      </c>
      <c r="L336" s="68" t="str">
        <f>IF(main!X339="","",ROUND(main!X339*100,6))</f>
        <v/>
      </c>
      <c r="M336" s="68" t="str">
        <f>IF(main!Y339="","",ROUND(main!Y339*100,6))</f>
        <v/>
      </c>
      <c r="N336" s="68" t="str">
        <f>IF(main!Z339="","",ROUND(main!Z339*100,6))</f>
        <v/>
      </c>
      <c r="O336" s="68" t="str">
        <f>IF(main!AA339="","",ROUND(main!AA339*100,6))</f>
        <v/>
      </c>
      <c r="P336" s="68" t="str">
        <f>IF(main!AB339="","",ROUND(main!AB339*100,6))</f>
        <v/>
      </c>
      <c r="Q336" s="68" t="str">
        <f>IF(main!AC339="","",ROUND(main!AC339*100,6))</f>
        <v/>
      </c>
      <c r="R336" s="68" t="str">
        <f>IF(main!AD339="","",ROUND(main!AD339*100,6))</f>
        <v/>
      </c>
      <c r="S336" s="68" t="str">
        <f>IF(main!AE339="","",ROUND(main!AE339*100,6))</f>
        <v/>
      </c>
      <c r="T336" s="68" t="str">
        <f>IF(main!AF339="","",ROUND(main!AF339*100,6))</f>
        <v/>
      </c>
      <c r="U336" s="68" t="str">
        <f>IF(main!AG339="","",ROUND(main!AG339*100,6))</f>
        <v/>
      </c>
      <c r="V336" s="68" t="str">
        <f>IF(main!AH339="","",ROUND(main!AH339*100,6))</f>
        <v/>
      </c>
      <c r="W336" s="68" t="str">
        <f>IF(main!AI339="","",ROUND(main!AI339*100,6))</f>
        <v/>
      </c>
      <c r="X336" s="68" t="str">
        <f>IF(main!AJ339="","",ROUND(main!AJ339*100,6))</f>
        <v/>
      </c>
      <c r="Y336" s="68" t="str">
        <f>IF(main!AK339="","",ROUND(main!AK339*100,6))</f>
        <v/>
      </c>
      <c r="Z336" s="68" t="str">
        <f>IF(main!AL339="","",ROUND(main!AL339*100,6))</f>
        <v/>
      </c>
      <c r="AA336" s="68" t="str">
        <f>IF(main!AM339="","",ROUND(main!AM339*100,6))</f>
        <v/>
      </c>
      <c r="AB336" s="68" t="str">
        <f>IF(main!AN339="","",ROUND(main!AN339*100,6))</f>
        <v/>
      </c>
      <c r="AC336" s="68" t="str">
        <f>IF(main!AO339="","",ROUND(main!AO339*100,6))</f>
        <v/>
      </c>
      <c r="AD336" s="68" t="str">
        <f>IF(main!AP339="","",ROUND(main!AP339*100,6))</f>
        <v/>
      </c>
      <c r="AE336" s="68" t="str">
        <f>IF(main!AQ339="","",ROUND(main!AQ339*100,6))</f>
        <v/>
      </c>
      <c r="AF336" s="68" t="str">
        <f>IF(main!AR339="","",ROUND(main!AR339*100,6))</f>
        <v/>
      </c>
      <c r="AG336" s="68" t="str">
        <f>IF(main!AS339="","",ROUND(main!AS339*100,6))</f>
        <v/>
      </c>
      <c r="AH336" s="68" t="str">
        <f>IF(main!AT339="","",ROUND(main!AT339*100,6))</f>
        <v/>
      </c>
      <c r="AI336" s="68" t="str">
        <f>IF(main!AU339="","",ROUND(main!AU339*100,6))</f>
        <v/>
      </c>
      <c r="AJ336" s="68" t="str">
        <f>IF(main!AV339="","",ROUND(main!AV339*100,6))</f>
        <v/>
      </c>
      <c r="AK336" s="68" t="str">
        <f>IF(main!AW339="","",ROUND(main!AW339*100,6))</f>
        <v/>
      </c>
      <c r="AL336" s="68" t="str">
        <f>IF(main!AX339="","",ROUND(main!AX339*100,6))</f>
        <v/>
      </c>
      <c r="AM336" s="68" t="str">
        <f>IF(main!AY339="","",ROUND(main!AY339*100,6))</f>
        <v/>
      </c>
      <c r="AN336" s="68" t="str">
        <f>IF(main!AZ339="","",ROUND(main!AZ339*100,6))</f>
        <v/>
      </c>
      <c r="AO336" s="68" t="str">
        <f>IF(main!BA339="","",ROUND(main!BA339*100,6))</f>
        <v/>
      </c>
      <c r="AP336" s="68" t="str">
        <f>IF(main!BB339="","",ROUND(main!BB339*100,6))</f>
        <v/>
      </c>
      <c r="AQ336" s="68" t="str">
        <f>IF(main!BC339="","",ROUND(main!BC339*100,6))</f>
        <v/>
      </c>
      <c r="AR336" s="68" t="str">
        <f>IF(main!BD339="","",ROUND(main!BD339*100,6))</f>
        <v/>
      </c>
      <c r="AS336" s="68" t="str">
        <f>IF(main!BE339="","",ROUND(main!BE339*100,6))</f>
        <v/>
      </c>
      <c r="AT336" s="68" t="str">
        <f>IF(main!BF339="","",ROUND(main!BF339*100,6))</f>
        <v/>
      </c>
      <c r="AU336" s="68" t="str">
        <f>IF(main!BG339="","",ROUND(main!BG339*100,6))</f>
        <v/>
      </c>
      <c r="AV336" s="68" t="str">
        <f>IF(main!BH339="","",ROUND(main!BH339*100,6))</f>
        <v/>
      </c>
      <c r="AW336" s="68" t="str">
        <f>IF(main!BI339="","",ROUND(main!BI339*100,6))</f>
        <v/>
      </c>
      <c r="AX336" s="68" t="str">
        <f>IF(main!BJ339="","",ROUND(main!BJ339*100,6))</f>
        <v/>
      </c>
      <c r="AY336" s="68" t="str">
        <f>IF(main!BK339="","",ROUND(main!BK339*100,6))</f>
        <v/>
      </c>
      <c r="AZ336" s="68" t="str">
        <f>IF(main!BL339="","",ROUND(main!BL339*100,6))</f>
        <v/>
      </c>
      <c r="BA336" s="68" t="str">
        <f>IF(main!BM339="","",ROUND(main!BM339*100,6))</f>
        <v/>
      </c>
      <c r="BB336" s="68" t="str">
        <f>IF(main!BN339="","",ROUND(main!BN339*100,6))</f>
        <v/>
      </c>
      <c r="BC336" s="68" t="str">
        <f>IF(main!BO339="","",ROUND(main!BO339*100,6))</f>
        <v/>
      </c>
      <c r="BD336" s="68" t="str">
        <f>IF(main!BP339="","",ROUND(main!BP339*100,6))</f>
        <v/>
      </c>
      <c r="BE336" s="68" t="str">
        <f>IF(main!BQ339="","",ROUND(main!BQ339*100,6))</f>
        <v/>
      </c>
      <c r="BF336" s="68" t="str">
        <f>IF(main!BR339="","",ROUND(main!BR339*100,6))</f>
        <v/>
      </c>
      <c r="BG336" s="68" t="str">
        <f>IF(main!BS339="","",ROUND(main!BS339*100,6))</f>
        <v/>
      </c>
      <c r="BH336" s="68" t="str">
        <f>IF(main!BT339="","",ROUND(main!BT339*100,6))</f>
        <v/>
      </c>
      <c r="BI336" s="68" t="str">
        <f>IF(main!BU339="","",ROUND(main!BU339*100,6))</f>
        <v/>
      </c>
      <c r="BJ336" s="68" t="str">
        <f>IF(main!BV339="","",ROUND(main!BV339*100,6))</f>
        <v/>
      </c>
      <c r="BK336" s="68" t="str">
        <f>IF(main!BW339="","",ROUND(main!BW339*100,6))</f>
        <v/>
      </c>
      <c r="BL336" s="68">
        <f>IF(main!BX339="","",ROUND(main!BX339*100,6))</f>
        <v>0.27442299999999997</v>
      </c>
      <c r="BM336" s="68">
        <f>IF(main!BY339="","",ROUND(main!BY339*100,6))</f>
        <v>8.6091460000000009</v>
      </c>
      <c r="BN336" s="68">
        <f>IF(main!BZ339="","",ROUND(main!BZ339*100,6))</f>
        <v>14.194082</v>
      </c>
      <c r="BO336" s="68">
        <f>IF(main!CA339="","",ROUND(main!CA339*100,6))</f>
        <v>8.6091460000000009</v>
      </c>
      <c r="BP336" s="68">
        <f>IF(main!CB339="","",ROUND(main!CB339*100,6))</f>
        <v>3.2338390000000001</v>
      </c>
      <c r="BQ336" s="68">
        <f>IF(main!CC339="","",ROUND(main!CC339*100,6))</f>
        <v>11.111110999999999</v>
      </c>
      <c r="BR336" s="68">
        <f>IF(main!CD339="","",ROUND(main!CD339*100,6))</f>
        <v>14.285714</v>
      </c>
      <c r="BS336" s="68">
        <f>IF(main!CE339="","",ROUND(main!CE339*100,6))</f>
        <v>15.079364999999999</v>
      </c>
      <c r="BT336" s="68">
        <f>IF(main!CF339="","",ROUND(main!CF339*100,6))</f>
        <v>5.5555560000000002</v>
      </c>
      <c r="BU336" s="68">
        <f>IF(main!CG339="","",ROUND(main!CG339*100,6))</f>
        <v>5.5555560000000002</v>
      </c>
      <c r="BV336" s="68">
        <f>IF(main!CH339="","",ROUND(main!CH339*100,6))</f>
        <v>5.5555560000000002</v>
      </c>
      <c r="BW336" s="68">
        <f>IF(main!CI339="","",ROUND(main!CI339*100,6))</f>
        <v>5.5555560000000002</v>
      </c>
      <c r="BX336" s="68">
        <f>IF(main!CJ339="","",ROUND(main!CJ339*100,6))</f>
        <v>2.3809520000000002</v>
      </c>
      <c r="BY336" s="68" t="str">
        <f>IF(main!CK339="","",ROUND(main!CK339*100,6))</f>
        <v/>
      </c>
      <c r="BZ336" s="68" t="str">
        <f>IF(main!CL339="","",ROUND(main!CL339*100,6))</f>
        <v/>
      </c>
      <c r="CA336" s="68" t="str">
        <f>IF(main!CM339="","",ROUND(main!CM339*100,6))</f>
        <v/>
      </c>
      <c r="CB336" s="68" t="str">
        <f>IF(main!CN339="","",ROUND(main!CN339*100,6))</f>
        <v/>
      </c>
      <c r="CC336" s="68" t="str">
        <f>IF(main!CO339="","",ROUND(main!CO339*100,6))</f>
        <v/>
      </c>
    </row>
    <row r="337" spans="1:81" x14ac:dyDescent="0.25">
      <c r="A337" s="65" t="s">
        <v>487</v>
      </c>
      <c r="B337" s="66" t="str">
        <f>main!C339</f>
        <v>MEP</v>
      </c>
      <c r="C337" s="67">
        <f>main!O339</f>
        <v>300000</v>
      </c>
      <c r="D337" s="65" t="s">
        <v>111</v>
      </c>
      <c r="E337" s="68" t="str">
        <f t="shared" si="5"/>
        <v/>
      </c>
      <c r="F337" s="68" t="str">
        <f>IF(main!R340="","",ROUND(main!R340*100,6))</f>
        <v/>
      </c>
      <c r="G337" s="68" t="str">
        <f>IF(main!S340="","",ROUND(main!S340*100,6))</f>
        <v/>
      </c>
      <c r="H337" s="68" t="str">
        <f>IF(main!T340="","",ROUND(main!T340*100,6))</f>
        <v/>
      </c>
      <c r="I337" s="68" t="str">
        <f>IF(main!U340="","",ROUND(main!U340*100,6))</f>
        <v/>
      </c>
      <c r="J337" s="68" t="str">
        <f>IF(main!V340="","",ROUND(main!V340*100,6))</f>
        <v/>
      </c>
      <c r="K337" s="68" t="str">
        <f>IF(main!W340="","",ROUND(main!W340*100,6))</f>
        <v/>
      </c>
      <c r="L337" s="68" t="str">
        <f>IF(main!X340="","",ROUND(main!X340*100,6))</f>
        <v/>
      </c>
      <c r="M337" s="68" t="str">
        <f>IF(main!Y340="","",ROUND(main!Y340*100,6))</f>
        <v/>
      </c>
      <c r="N337" s="68" t="str">
        <f>IF(main!Z340="","",ROUND(main!Z340*100,6))</f>
        <v/>
      </c>
      <c r="O337" s="68" t="str">
        <f>IF(main!AA340="","",ROUND(main!AA340*100,6))</f>
        <v/>
      </c>
      <c r="P337" s="68" t="str">
        <f>IF(main!AB340="","",ROUND(main!AB340*100,6))</f>
        <v/>
      </c>
      <c r="Q337" s="68" t="str">
        <f>IF(main!AC340="","",ROUND(main!AC340*100,6))</f>
        <v/>
      </c>
      <c r="R337" s="68" t="str">
        <f>IF(main!AD340="","",ROUND(main!AD340*100,6))</f>
        <v/>
      </c>
      <c r="S337" s="68" t="str">
        <f>IF(main!AE340="","",ROUND(main!AE340*100,6))</f>
        <v/>
      </c>
      <c r="T337" s="68" t="str">
        <f>IF(main!AF340="","",ROUND(main!AF340*100,6))</f>
        <v/>
      </c>
      <c r="U337" s="68" t="str">
        <f>IF(main!AG340="","",ROUND(main!AG340*100,6))</f>
        <v/>
      </c>
      <c r="V337" s="68" t="str">
        <f>IF(main!AH340="","",ROUND(main!AH340*100,6))</f>
        <v/>
      </c>
      <c r="W337" s="68" t="str">
        <f>IF(main!AI340="","",ROUND(main!AI340*100,6))</f>
        <v/>
      </c>
      <c r="X337" s="68" t="str">
        <f>IF(main!AJ340="","",ROUND(main!AJ340*100,6))</f>
        <v/>
      </c>
      <c r="Y337" s="68" t="str">
        <f>IF(main!AK340="","",ROUND(main!AK340*100,6))</f>
        <v/>
      </c>
      <c r="Z337" s="68" t="str">
        <f>IF(main!AL340="","",ROUND(main!AL340*100,6))</f>
        <v/>
      </c>
      <c r="AA337" s="68" t="str">
        <f>IF(main!AM340="","",ROUND(main!AM340*100,6))</f>
        <v/>
      </c>
      <c r="AB337" s="68" t="str">
        <f>IF(main!AN340="","",ROUND(main!AN340*100,6))</f>
        <v/>
      </c>
      <c r="AC337" s="68" t="str">
        <f>IF(main!AO340="","",ROUND(main!AO340*100,6))</f>
        <v/>
      </c>
      <c r="AD337" s="68" t="str">
        <f>IF(main!AP340="","",ROUND(main!AP340*100,6))</f>
        <v/>
      </c>
      <c r="AE337" s="68" t="str">
        <f>IF(main!AQ340="","",ROUND(main!AQ340*100,6))</f>
        <v/>
      </c>
      <c r="AF337" s="68" t="str">
        <f>IF(main!AR340="","",ROUND(main!AR340*100,6))</f>
        <v/>
      </c>
      <c r="AG337" s="68" t="str">
        <f>IF(main!AS340="","",ROUND(main!AS340*100,6))</f>
        <v/>
      </c>
      <c r="AH337" s="68" t="str">
        <f>IF(main!AT340="","",ROUND(main!AT340*100,6))</f>
        <v/>
      </c>
      <c r="AI337" s="68" t="str">
        <f>IF(main!AU340="","",ROUND(main!AU340*100,6))</f>
        <v/>
      </c>
      <c r="AJ337" s="68" t="str">
        <f>IF(main!AV340="","",ROUND(main!AV340*100,6))</f>
        <v/>
      </c>
      <c r="AK337" s="68" t="str">
        <f>IF(main!AW340="","",ROUND(main!AW340*100,6))</f>
        <v/>
      </c>
      <c r="AL337" s="68" t="str">
        <f>IF(main!AX340="","",ROUND(main!AX340*100,6))</f>
        <v/>
      </c>
      <c r="AM337" s="68" t="str">
        <f>IF(main!AY340="","",ROUND(main!AY340*100,6))</f>
        <v/>
      </c>
      <c r="AN337" s="68" t="str">
        <f>IF(main!AZ340="","",ROUND(main!AZ340*100,6))</f>
        <v/>
      </c>
      <c r="AO337" s="68" t="str">
        <f>IF(main!BA340="","",ROUND(main!BA340*100,6))</f>
        <v/>
      </c>
      <c r="AP337" s="68" t="str">
        <f>IF(main!BB340="","",ROUND(main!BB340*100,6))</f>
        <v/>
      </c>
      <c r="AQ337" s="68" t="str">
        <f>IF(main!BC340="","",ROUND(main!BC340*100,6))</f>
        <v/>
      </c>
      <c r="AR337" s="68" t="str">
        <f>IF(main!BD340="","",ROUND(main!BD340*100,6))</f>
        <v/>
      </c>
      <c r="AS337" s="68" t="str">
        <f>IF(main!BE340="","",ROUND(main!BE340*100,6))</f>
        <v/>
      </c>
      <c r="AT337" s="68" t="str">
        <f>IF(main!BF340="","",ROUND(main!BF340*100,6))</f>
        <v/>
      </c>
      <c r="AU337" s="68" t="str">
        <f>IF(main!BG340="","",ROUND(main!BG340*100,6))</f>
        <v/>
      </c>
      <c r="AV337" s="68" t="str">
        <f>IF(main!BH340="","",ROUND(main!BH340*100,6))</f>
        <v/>
      </c>
      <c r="AW337" s="68" t="str">
        <f>IF(main!BI340="","",ROUND(main!BI340*100,6))</f>
        <v/>
      </c>
      <c r="AX337" s="68" t="str">
        <f>IF(main!BJ340="","",ROUND(main!BJ340*100,6))</f>
        <v/>
      </c>
      <c r="AY337" s="68" t="str">
        <f>IF(main!BK340="","",ROUND(main!BK340*100,6))</f>
        <v/>
      </c>
      <c r="AZ337" s="68" t="str">
        <f>IF(main!BL340="","",ROUND(main!BL340*100,6))</f>
        <v/>
      </c>
      <c r="BA337" s="68" t="str">
        <f>IF(main!BM340="","",ROUND(main!BM340*100,6))</f>
        <v/>
      </c>
      <c r="BB337" s="68" t="str">
        <f>IF(main!BN340="","",ROUND(main!BN340*100,6))</f>
        <v/>
      </c>
      <c r="BC337" s="68" t="str">
        <f>IF(main!BO340="","",ROUND(main!BO340*100,6))</f>
        <v/>
      </c>
      <c r="BD337" s="68" t="str">
        <f>IF(main!BP340="","",ROUND(main!BP340*100,6))</f>
        <v/>
      </c>
      <c r="BE337" s="68" t="str">
        <f>IF(main!BQ340="","",ROUND(main!BQ340*100,6))</f>
        <v/>
      </c>
      <c r="BF337" s="68" t="str">
        <f>IF(main!BR340="","",ROUND(main!BR340*100,6))</f>
        <v/>
      </c>
      <c r="BG337" s="68" t="str">
        <f>IF(main!BS340="","",ROUND(main!BS340*100,6))</f>
        <v/>
      </c>
      <c r="BH337" s="68" t="str">
        <f>IF(main!BT340="","",ROUND(main!BT340*100,6))</f>
        <v/>
      </c>
      <c r="BI337" s="68" t="str">
        <f>IF(main!BU340="","",ROUND(main!BU340*100,6))</f>
        <v/>
      </c>
      <c r="BJ337" s="68" t="str">
        <f>IF(main!BV340="","",ROUND(main!BV340*100,6))</f>
        <v/>
      </c>
      <c r="BK337" s="68" t="str">
        <f>IF(main!BW340="","",ROUND(main!BW340*100,6))</f>
        <v/>
      </c>
      <c r="BL337" s="68" t="str">
        <f>IF(main!BX340="","",ROUND(main!BX340*100,6))</f>
        <v/>
      </c>
      <c r="BM337" s="68" t="str">
        <f>IF(main!BY340="","",ROUND(main!BY340*100,6))</f>
        <v/>
      </c>
      <c r="BN337" s="68" t="str">
        <f>IF(main!BZ340="","",ROUND(main!BZ340*100,6))</f>
        <v/>
      </c>
      <c r="BO337" s="68" t="str">
        <f>IF(main!CA340="","",ROUND(main!CA340*100,6))</f>
        <v/>
      </c>
      <c r="BP337" s="68" t="str">
        <f>IF(main!CB340="","",ROUND(main!CB340*100,6))</f>
        <v/>
      </c>
      <c r="BQ337" s="68" t="str">
        <f>IF(main!CC340="","",ROUND(main!CC340*100,6))</f>
        <v/>
      </c>
      <c r="BR337" s="68" t="str">
        <f>IF(main!CD340="","",ROUND(main!CD340*100,6))</f>
        <v/>
      </c>
      <c r="BS337" s="68" t="str">
        <f>IF(main!CE340="","",ROUND(main!CE340*100,6))</f>
        <v/>
      </c>
      <c r="BT337" s="68" t="str">
        <f>IF(main!CF340="","",ROUND(main!CF340*100,6))</f>
        <v/>
      </c>
      <c r="BU337" s="68" t="str">
        <f>IF(main!CG340="","",ROUND(main!CG340*100,6))</f>
        <v/>
      </c>
      <c r="BV337" s="68" t="str">
        <f>IF(main!CH340="","",ROUND(main!CH340*100,6))</f>
        <v/>
      </c>
      <c r="BW337" s="68" t="str">
        <f>IF(main!CI340="","",ROUND(main!CI340*100,6))</f>
        <v/>
      </c>
      <c r="BX337" s="68" t="str">
        <f>IF(main!CJ340="","",ROUND(main!CJ340*100,6))</f>
        <v/>
      </c>
      <c r="BY337" s="68" t="str">
        <f>IF(main!CK340="","",ROUND(main!CK340*100,6))</f>
        <v/>
      </c>
      <c r="BZ337" s="68" t="str">
        <f>IF(main!CL340="","",ROUND(main!CL340*100,6))</f>
        <v/>
      </c>
      <c r="CA337" s="68" t="str">
        <f>IF(main!CM340="","",ROUND(main!CM340*100,6))</f>
        <v/>
      </c>
      <c r="CB337" s="68" t="str">
        <f>IF(main!CN340="","",ROUND(main!CN340*100,6))</f>
        <v/>
      </c>
      <c r="CC337" s="68" t="str">
        <f>IF(main!CO340="","",ROUND(main!CO340*100,6))</f>
        <v/>
      </c>
    </row>
    <row r="338" spans="1:81" x14ac:dyDescent="0.25">
      <c r="A338" s="65" t="s">
        <v>488</v>
      </c>
      <c r="B338" s="66" t="str">
        <f>main!C341</f>
        <v>First Fix Wall and Ceiling</v>
      </c>
      <c r="C338" s="67">
        <f>main!O341</f>
        <v>100000</v>
      </c>
      <c r="D338" s="65" t="s">
        <v>110</v>
      </c>
      <c r="E338" s="68">
        <f t="shared" si="5"/>
        <v>100</v>
      </c>
      <c r="F338" s="68" t="str">
        <f>IF(main!R341="","",ROUND(main!R341*100,6))</f>
        <v/>
      </c>
      <c r="G338" s="68" t="str">
        <f>IF(main!S341="","",ROUND(main!S341*100,6))</f>
        <v/>
      </c>
      <c r="H338" s="68" t="str">
        <f>IF(main!T341="","",ROUND(main!T341*100,6))</f>
        <v/>
      </c>
      <c r="I338" s="68" t="str">
        <f>IF(main!U341="","",ROUND(main!U341*100,6))</f>
        <v/>
      </c>
      <c r="J338" s="68" t="str">
        <f>IF(main!V341="","",ROUND(main!V341*100,6))</f>
        <v/>
      </c>
      <c r="K338" s="68" t="str">
        <f>IF(main!W341="","",ROUND(main!W341*100,6))</f>
        <v/>
      </c>
      <c r="L338" s="68" t="str">
        <f>IF(main!X341="","",ROUND(main!X341*100,6))</f>
        <v/>
      </c>
      <c r="M338" s="68" t="str">
        <f>IF(main!Y341="","",ROUND(main!Y341*100,6))</f>
        <v/>
      </c>
      <c r="N338" s="68" t="str">
        <f>IF(main!Z341="","",ROUND(main!Z341*100,6))</f>
        <v/>
      </c>
      <c r="O338" s="68" t="str">
        <f>IF(main!AA341="","",ROUND(main!AA341*100,6))</f>
        <v/>
      </c>
      <c r="P338" s="68" t="str">
        <f>IF(main!AB341="","",ROUND(main!AB341*100,6))</f>
        <v/>
      </c>
      <c r="Q338" s="68" t="str">
        <f>IF(main!AC341="","",ROUND(main!AC341*100,6))</f>
        <v/>
      </c>
      <c r="R338" s="68" t="str">
        <f>IF(main!AD341="","",ROUND(main!AD341*100,6))</f>
        <v/>
      </c>
      <c r="S338" s="68" t="str">
        <f>IF(main!AE341="","",ROUND(main!AE341*100,6))</f>
        <v/>
      </c>
      <c r="T338" s="68" t="str">
        <f>IF(main!AF341="","",ROUND(main!AF341*100,6))</f>
        <v/>
      </c>
      <c r="U338" s="68" t="str">
        <f>IF(main!AG341="","",ROUND(main!AG341*100,6))</f>
        <v/>
      </c>
      <c r="V338" s="68" t="str">
        <f>IF(main!AH341="","",ROUND(main!AH341*100,6))</f>
        <v/>
      </c>
      <c r="W338" s="68" t="str">
        <f>IF(main!AI341="","",ROUND(main!AI341*100,6))</f>
        <v/>
      </c>
      <c r="X338" s="68" t="str">
        <f>IF(main!AJ341="","",ROUND(main!AJ341*100,6))</f>
        <v/>
      </c>
      <c r="Y338" s="68" t="str">
        <f>IF(main!AK341="","",ROUND(main!AK341*100,6))</f>
        <v/>
      </c>
      <c r="Z338" s="68" t="str">
        <f>IF(main!AL341="","",ROUND(main!AL341*100,6))</f>
        <v/>
      </c>
      <c r="AA338" s="68" t="str">
        <f>IF(main!AM341="","",ROUND(main!AM341*100,6))</f>
        <v/>
      </c>
      <c r="AB338" s="68" t="str">
        <f>IF(main!AN341="","",ROUND(main!AN341*100,6))</f>
        <v/>
      </c>
      <c r="AC338" s="68" t="str">
        <f>IF(main!AO341="","",ROUND(main!AO341*100,6))</f>
        <v/>
      </c>
      <c r="AD338" s="68" t="str">
        <f>IF(main!AP341="","",ROUND(main!AP341*100,6))</f>
        <v/>
      </c>
      <c r="AE338" s="68" t="str">
        <f>IF(main!AQ341="","",ROUND(main!AQ341*100,6))</f>
        <v/>
      </c>
      <c r="AF338" s="68" t="str">
        <f>IF(main!AR341="","",ROUND(main!AR341*100,6))</f>
        <v/>
      </c>
      <c r="AG338" s="68" t="str">
        <f>IF(main!AS341="","",ROUND(main!AS341*100,6))</f>
        <v/>
      </c>
      <c r="AH338" s="68" t="str">
        <f>IF(main!AT341="","",ROUND(main!AT341*100,6))</f>
        <v/>
      </c>
      <c r="AI338" s="68" t="str">
        <f>IF(main!AU341="","",ROUND(main!AU341*100,6))</f>
        <v/>
      </c>
      <c r="AJ338" s="68" t="str">
        <f>IF(main!AV341="","",ROUND(main!AV341*100,6))</f>
        <v/>
      </c>
      <c r="AK338" s="68" t="str">
        <f>IF(main!AW341="","",ROUND(main!AW341*100,6))</f>
        <v/>
      </c>
      <c r="AL338" s="68" t="str">
        <f>IF(main!AX341="","",ROUND(main!AX341*100,6))</f>
        <v/>
      </c>
      <c r="AM338" s="68" t="str">
        <f>IF(main!AY341="","",ROUND(main!AY341*100,6))</f>
        <v/>
      </c>
      <c r="AN338" s="68" t="str">
        <f>IF(main!AZ341="","",ROUND(main!AZ341*100,6))</f>
        <v/>
      </c>
      <c r="AO338" s="68" t="str">
        <f>IF(main!BA341="","",ROUND(main!BA341*100,6))</f>
        <v/>
      </c>
      <c r="AP338" s="68" t="str">
        <f>IF(main!BB341="","",ROUND(main!BB341*100,6))</f>
        <v/>
      </c>
      <c r="AQ338" s="68" t="str">
        <f>IF(main!BC341="","",ROUND(main!BC341*100,6))</f>
        <v/>
      </c>
      <c r="AR338" s="68" t="str">
        <f>IF(main!BD341="","",ROUND(main!BD341*100,6))</f>
        <v/>
      </c>
      <c r="AS338" s="68" t="str">
        <f>IF(main!BE341="","",ROUND(main!BE341*100,6))</f>
        <v/>
      </c>
      <c r="AT338" s="68" t="str">
        <f>IF(main!BF341="","",ROUND(main!BF341*100,6))</f>
        <v/>
      </c>
      <c r="AU338" s="68" t="str">
        <f>IF(main!BG341="","",ROUND(main!BG341*100,6))</f>
        <v/>
      </c>
      <c r="AV338" s="68" t="str">
        <f>IF(main!BH341="","",ROUND(main!BH341*100,6))</f>
        <v/>
      </c>
      <c r="AW338" s="68" t="str">
        <f>IF(main!BI341="","",ROUND(main!BI341*100,6))</f>
        <v/>
      </c>
      <c r="AX338" s="68" t="str">
        <f>IF(main!BJ341="","",ROUND(main!BJ341*100,6))</f>
        <v/>
      </c>
      <c r="AY338" s="68" t="str">
        <f>IF(main!BK341="","",ROUND(main!BK341*100,6))</f>
        <v/>
      </c>
      <c r="AZ338" s="68" t="str">
        <f>IF(main!BL341="","",ROUND(main!BL341*100,6))</f>
        <v/>
      </c>
      <c r="BA338" s="68" t="str">
        <f>IF(main!BM341="","",ROUND(main!BM341*100,6))</f>
        <v/>
      </c>
      <c r="BB338" s="68" t="str">
        <f>IF(main!BN341="","",ROUND(main!BN341*100,6))</f>
        <v/>
      </c>
      <c r="BC338" s="68" t="str">
        <f>IF(main!BO341="","",ROUND(main!BO341*100,6))</f>
        <v/>
      </c>
      <c r="BD338" s="68" t="str">
        <f>IF(main!BP341="","",ROUND(main!BP341*100,6))</f>
        <v/>
      </c>
      <c r="BE338" s="68" t="str">
        <f>IF(main!BQ341="","",ROUND(main!BQ341*100,6))</f>
        <v/>
      </c>
      <c r="BF338" s="68" t="str">
        <f>IF(main!BR341="","",ROUND(main!BR341*100,6))</f>
        <v/>
      </c>
      <c r="BG338" s="68" t="str">
        <f>IF(main!BS341="","",ROUND(main!BS341*100,6))</f>
        <v/>
      </c>
      <c r="BH338" s="68" t="str">
        <f>IF(main!BT341="","",ROUND(main!BT341*100,6))</f>
        <v/>
      </c>
      <c r="BI338" s="68" t="str">
        <f>IF(main!BU341="","",ROUND(main!BU341*100,6))</f>
        <v/>
      </c>
      <c r="BJ338" s="68" t="str">
        <f>IF(main!BV341="","",ROUND(main!BV341*100,6))</f>
        <v/>
      </c>
      <c r="BK338" s="68" t="str">
        <f>IF(main!BW341="","",ROUND(main!BW341*100,6))</f>
        <v/>
      </c>
      <c r="BL338" s="68">
        <f>IF(main!BX341="","",ROUND(main!BX341*100,6))</f>
        <v>0.82326900000000003</v>
      </c>
      <c r="BM338" s="68">
        <f>IF(main!BY341="","",ROUND(main!BY341*100,6))</f>
        <v>25.827437</v>
      </c>
      <c r="BN338" s="68">
        <f>IF(main!BZ341="","",ROUND(main!BZ341*100,6))</f>
        <v>42.582245</v>
      </c>
      <c r="BO338" s="68">
        <f>IF(main!CA341="","",ROUND(main!CA341*100,6))</f>
        <v>25.827437</v>
      </c>
      <c r="BP338" s="68">
        <f>IF(main!CB341="","",ROUND(main!CB341*100,6))</f>
        <v>4.9396120000000003</v>
      </c>
      <c r="BQ338" s="68" t="str">
        <f>IF(main!CC341="","",ROUND(main!CC341*100,6))</f>
        <v/>
      </c>
      <c r="BR338" s="68" t="str">
        <f>IF(main!CD341="","",ROUND(main!CD341*100,6))</f>
        <v/>
      </c>
      <c r="BS338" s="68" t="str">
        <f>IF(main!CE341="","",ROUND(main!CE341*100,6))</f>
        <v/>
      </c>
      <c r="BT338" s="68" t="str">
        <f>IF(main!CF341="","",ROUND(main!CF341*100,6))</f>
        <v/>
      </c>
      <c r="BU338" s="68" t="str">
        <f>IF(main!CG341="","",ROUND(main!CG341*100,6))</f>
        <v/>
      </c>
      <c r="BV338" s="68" t="str">
        <f>IF(main!CH341="","",ROUND(main!CH341*100,6))</f>
        <v/>
      </c>
      <c r="BW338" s="68" t="str">
        <f>IF(main!CI341="","",ROUND(main!CI341*100,6))</f>
        <v/>
      </c>
      <c r="BX338" s="68" t="str">
        <f>IF(main!CJ341="","",ROUND(main!CJ341*100,6))</f>
        <v/>
      </c>
      <c r="BY338" s="68" t="str">
        <f>IF(main!CK341="","",ROUND(main!CK341*100,6))</f>
        <v/>
      </c>
      <c r="BZ338" s="68" t="str">
        <f>IF(main!CL341="","",ROUND(main!CL341*100,6))</f>
        <v/>
      </c>
      <c r="CA338" s="68" t="str">
        <f>IF(main!CM341="","",ROUND(main!CM341*100,6))</f>
        <v/>
      </c>
      <c r="CB338" s="68" t="str">
        <f>IF(main!CN341="","",ROUND(main!CN341*100,6))</f>
        <v/>
      </c>
      <c r="CC338" s="68" t="str">
        <f>IF(main!CO341="","",ROUND(main!CO341*100,6))</f>
        <v/>
      </c>
    </row>
    <row r="339" spans="1:81" x14ac:dyDescent="0.25">
      <c r="A339" s="65" t="s">
        <v>488</v>
      </c>
      <c r="B339" s="66" t="str">
        <f>main!C341</f>
        <v>First Fix Wall and Ceiling</v>
      </c>
      <c r="C339" s="67">
        <f>main!O341</f>
        <v>100000</v>
      </c>
      <c r="D339" s="65" t="s">
        <v>111</v>
      </c>
      <c r="E339" s="68" t="str">
        <f t="shared" si="5"/>
        <v/>
      </c>
      <c r="F339" s="68" t="str">
        <f>IF(main!R342="","",ROUND(main!R342*100,6))</f>
        <v/>
      </c>
      <c r="G339" s="68" t="str">
        <f>IF(main!S342="","",ROUND(main!S342*100,6))</f>
        <v/>
      </c>
      <c r="H339" s="68" t="str">
        <f>IF(main!T342="","",ROUND(main!T342*100,6))</f>
        <v/>
      </c>
      <c r="I339" s="68" t="str">
        <f>IF(main!U342="","",ROUND(main!U342*100,6))</f>
        <v/>
      </c>
      <c r="J339" s="68" t="str">
        <f>IF(main!V342="","",ROUND(main!V342*100,6))</f>
        <v/>
      </c>
      <c r="K339" s="68" t="str">
        <f>IF(main!W342="","",ROUND(main!W342*100,6))</f>
        <v/>
      </c>
      <c r="L339" s="68" t="str">
        <f>IF(main!X342="","",ROUND(main!X342*100,6))</f>
        <v/>
      </c>
      <c r="M339" s="68" t="str">
        <f>IF(main!Y342="","",ROUND(main!Y342*100,6))</f>
        <v/>
      </c>
      <c r="N339" s="68" t="str">
        <f>IF(main!Z342="","",ROUND(main!Z342*100,6))</f>
        <v/>
      </c>
      <c r="O339" s="68" t="str">
        <f>IF(main!AA342="","",ROUND(main!AA342*100,6))</f>
        <v/>
      </c>
      <c r="P339" s="68" t="str">
        <f>IF(main!AB342="","",ROUND(main!AB342*100,6))</f>
        <v/>
      </c>
      <c r="Q339" s="68" t="str">
        <f>IF(main!AC342="","",ROUND(main!AC342*100,6))</f>
        <v/>
      </c>
      <c r="R339" s="68" t="str">
        <f>IF(main!AD342="","",ROUND(main!AD342*100,6))</f>
        <v/>
      </c>
      <c r="S339" s="68" t="str">
        <f>IF(main!AE342="","",ROUND(main!AE342*100,6))</f>
        <v/>
      </c>
      <c r="T339" s="68" t="str">
        <f>IF(main!AF342="","",ROUND(main!AF342*100,6))</f>
        <v/>
      </c>
      <c r="U339" s="68" t="str">
        <f>IF(main!AG342="","",ROUND(main!AG342*100,6))</f>
        <v/>
      </c>
      <c r="V339" s="68" t="str">
        <f>IF(main!AH342="","",ROUND(main!AH342*100,6))</f>
        <v/>
      </c>
      <c r="W339" s="68" t="str">
        <f>IF(main!AI342="","",ROUND(main!AI342*100,6))</f>
        <v/>
      </c>
      <c r="X339" s="68" t="str">
        <f>IF(main!AJ342="","",ROUND(main!AJ342*100,6))</f>
        <v/>
      </c>
      <c r="Y339" s="68" t="str">
        <f>IF(main!AK342="","",ROUND(main!AK342*100,6))</f>
        <v/>
      </c>
      <c r="Z339" s="68" t="str">
        <f>IF(main!AL342="","",ROUND(main!AL342*100,6))</f>
        <v/>
      </c>
      <c r="AA339" s="68" t="str">
        <f>IF(main!AM342="","",ROUND(main!AM342*100,6))</f>
        <v/>
      </c>
      <c r="AB339" s="68" t="str">
        <f>IF(main!AN342="","",ROUND(main!AN342*100,6))</f>
        <v/>
      </c>
      <c r="AC339" s="68" t="str">
        <f>IF(main!AO342="","",ROUND(main!AO342*100,6))</f>
        <v/>
      </c>
      <c r="AD339" s="68" t="str">
        <f>IF(main!AP342="","",ROUND(main!AP342*100,6))</f>
        <v/>
      </c>
      <c r="AE339" s="68" t="str">
        <f>IF(main!AQ342="","",ROUND(main!AQ342*100,6))</f>
        <v/>
      </c>
      <c r="AF339" s="68" t="str">
        <f>IF(main!AR342="","",ROUND(main!AR342*100,6))</f>
        <v/>
      </c>
      <c r="AG339" s="68" t="str">
        <f>IF(main!AS342="","",ROUND(main!AS342*100,6))</f>
        <v/>
      </c>
      <c r="AH339" s="68" t="str">
        <f>IF(main!AT342="","",ROUND(main!AT342*100,6))</f>
        <v/>
      </c>
      <c r="AI339" s="68" t="str">
        <f>IF(main!AU342="","",ROUND(main!AU342*100,6))</f>
        <v/>
      </c>
      <c r="AJ339" s="68" t="str">
        <f>IF(main!AV342="","",ROUND(main!AV342*100,6))</f>
        <v/>
      </c>
      <c r="AK339" s="68" t="str">
        <f>IF(main!AW342="","",ROUND(main!AW342*100,6))</f>
        <v/>
      </c>
      <c r="AL339" s="68" t="str">
        <f>IF(main!AX342="","",ROUND(main!AX342*100,6))</f>
        <v/>
      </c>
      <c r="AM339" s="68" t="str">
        <f>IF(main!AY342="","",ROUND(main!AY342*100,6))</f>
        <v/>
      </c>
      <c r="AN339" s="68" t="str">
        <f>IF(main!AZ342="","",ROUND(main!AZ342*100,6))</f>
        <v/>
      </c>
      <c r="AO339" s="68" t="str">
        <f>IF(main!BA342="","",ROUND(main!BA342*100,6))</f>
        <v/>
      </c>
      <c r="AP339" s="68" t="str">
        <f>IF(main!BB342="","",ROUND(main!BB342*100,6))</f>
        <v/>
      </c>
      <c r="AQ339" s="68" t="str">
        <f>IF(main!BC342="","",ROUND(main!BC342*100,6))</f>
        <v/>
      </c>
      <c r="AR339" s="68" t="str">
        <f>IF(main!BD342="","",ROUND(main!BD342*100,6))</f>
        <v/>
      </c>
      <c r="AS339" s="68" t="str">
        <f>IF(main!BE342="","",ROUND(main!BE342*100,6))</f>
        <v/>
      </c>
      <c r="AT339" s="68" t="str">
        <f>IF(main!BF342="","",ROUND(main!BF342*100,6))</f>
        <v/>
      </c>
      <c r="AU339" s="68" t="str">
        <f>IF(main!BG342="","",ROUND(main!BG342*100,6))</f>
        <v/>
      </c>
      <c r="AV339" s="68" t="str">
        <f>IF(main!BH342="","",ROUND(main!BH342*100,6))</f>
        <v/>
      </c>
      <c r="AW339" s="68" t="str">
        <f>IF(main!BI342="","",ROUND(main!BI342*100,6))</f>
        <v/>
      </c>
      <c r="AX339" s="68" t="str">
        <f>IF(main!BJ342="","",ROUND(main!BJ342*100,6))</f>
        <v/>
      </c>
      <c r="AY339" s="68" t="str">
        <f>IF(main!BK342="","",ROUND(main!BK342*100,6))</f>
        <v/>
      </c>
      <c r="AZ339" s="68" t="str">
        <f>IF(main!BL342="","",ROUND(main!BL342*100,6))</f>
        <v/>
      </c>
      <c r="BA339" s="68" t="str">
        <f>IF(main!BM342="","",ROUND(main!BM342*100,6))</f>
        <v/>
      </c>
      <c r="BB339" s="68" t="str">
        <f>IF(main!BN342="","",ROUND(main!BN342*100,6))</f>
        <v/>
      </c>
      <c r="BC339" s="68" t="str">
        <f>IF(main!BO342="","",ROUND(main!BO342*100,6))</f>
        <v/>
      </c>
      <c r="BD339" s="68" t="str">
        <f>IF(main!BP342="","",ROUND(main!BP342*100,6))</f>
        <v/>
      </c>
      <c r="BE339" s="68" t="str">
        <f>IF(main!BQ342="","",ROUND(main!BQ342*100,6))</f>
        <v/>
      </c>
      <c r="BF339" s="68" t="str">
        <f>IF(main!BR342="","",ROUND(main!BR342*100,6))</f>
        <v/>
      </c>
      <c r="BG339" s="68" t="str">
        <f>IF(main!BS342="","",ROUND(main!BS342*100,6))</f>
        <v/>
      </c>
      <c r="BH339" s="68" t="str">
        <f>IF(main!BT342="","",ROUND(main!BT342*100,6))</f>
        <v/>
      </c>
      <c r="BI339" s="68" t="str">
        <f>IF(main!BU342="","",ROUND(main!BU342*100,6))</f>
        <v/>
      </c>
      <c r="BJ339" s="68" t="str">
        <f>IF(main!BV342="","",ROUND(main!BV342*100,6))</f>
        <v/>
      </c>
      <c r="BK339" s="68" t="str">
        <f>IF(main!BW342="","",ROUND(main!BW342*100,6))</f>
        <v/>
      </c>
      <c r="BL339" s="68" t="str">
        <f>IF(main!BX342="","",ROUND(main!BX342*100,6))</f>
        <v/>
      </c>
      <c r="BM339" s="68" t="str">
        <f>IF(main!BY342="","",ROUND(main!BY342*100,6))</f>
        <v/>
      </c>
      <c r="BN339" s="68" t="str">
        <f>IF(main!BZ342="","",ROUND(main!BZ342*100,6))</f>
        <v/>
      </c>
      <c r="BO339" s="68" t="str">
        <f>IF(main!CA342="","",ROUND(main!CA342*100,6))</f>
        <v/>
      </c>
      <c r="BP339" s="68" t="str">
        <f>IF(main!CB342="","",ROUND(main!CB342*100,6))</f>
        <v/>
      </c>
      <c r="BQ339" s="68" t="str">
        <f>IF(main!CC342="","",ROUND(main!CC342*100,6))</f>
        <v/>
      </c>
      <c r="BR339" s="68" t="str">
        <f>IF(main!CD342="","",ROUND(main!CD342*100,6))</f>
        <v/>
      </c>
      <c r="BS339" s="68" t="str">
        <f>IF(main!CE342="","",ROUND(main!CE342*100,6))</f>
        <v/>
      </c>
      <c r="BT339" s="68" t="str">
        <f>IF(main!CF342="","",ROUND(main!CF342*100,6))</f>
        <v/>
      </c>
      <c r="BU339" s="68" t="str">
        <f>IF(main!CG342="","",ROUND(main!CG342*100,6))</f>
        <v/>
      </c>
      <c r="BV339" s="68" t="str">
        <f>IF(main!CH342="","",ROUND(main!CH342*100,6))</f>
        <v/>
      </c>
      <c r="BW339" s="68" t="str">
        <f>IF(main!CI342="","",ROUND(main!CI342*100,6))</f>
        <v/>
      </c>
      <c r="BX339" s="68" t="str">
        <f>IF(main!CJ342="","",ROUND(main!CJ342*100,6))</f>
        <v/>
      </c>
      <c r="BY339" s="68" t="str">
        <f>IF(main!CK342="","",ROUND(main!CK342*100,6))</f>
        <v/>
      </c>
      <c r="BZ339" s="68" t="str">
        <f>IF(main!CL342="","",ROUND(main!CL342*100,6))</f>
        <v/>
      </c>
      <c r="CA339" s="68" t="str">
        <f>IF(main!CM342="","",ROUND(main!CM342*100,6))</f>
        <v/>
      </c>
      <c r="CB339" s="68" t="str">
        <f>IF(main!CN342="","",ROUND(main!CN342*100,6))</f>
        <v/>
      </c>
      <c r="CC339" s="68" t="str">
        <f>IF(main!CO342="","",ROUND(main!CO342*100,6))</f>
        <v/>
      </c>
    </row>
    <row r="340" spans="1:81" x14ac:dyDescent="0.25">
      <c r="A340" s="65" t="s">
        <v>490</v>
      </c>
      <c r="B340" s="66" t="str">
        <f>main!C343</f>
        <v>งานติดอุปกรณ์ Second Fix</v>
      </c>
      <c r="C340" s="67">
        <f>main!O343</f>
        <v>100000</v>
      </c>
      <c r="D340" s="65" t="s">
        <v>110</v>
      </c>
      <c r="E340" s="68">
        <f t="shared" si="5"/>
        <v>100</v>
      </c>
      <c r="F340" s="68" t="str">
        <f>IF(main!R343="","",ROUND(main!R343*100,6))</f>
        <v/>
      </c>
      <c r="G340" s="68" t="str">
        <f>IF(main!S343="","",ROUND(main!S343*100,6))</f>
        <v/>
      </c>
      <c r="H340" s="68" t="str">
        <f>IF(main!T343="","",ROUND(main!T343*100,6))</f>
        <v/>
      </c>
      <c r="I340" s="68" t="str">
        <f>IF(main!U343="","",ROUND(main!U343*100,6))</f>
        <v/>
      </c>
      <c r="J340" s="68" t="str">
        <f>IF(main!V343="","",ROUND(main!V343*100,6))</f>
        <v/>
      </c>
      <c r="K340" s="68" t="str">
        <f>IF(main!W343="","",ROUND(main!W343*100,6))</f>
        <v/>
      </c>
      <c r="L340" s="68" t="str">
        <f>IF(main!X343="","",ROUND(main!X343*100,6))</f>
        <v/>
      </c>
      <c r="M340" s="68" t="str">
        <f>IF(main!Y343="","",ROUND(main!Y343*100,6))</f>
        <v/>
      </c>
      <c r="N340" s="68" t="str">
        <f>IF(main!Z343="","",ROUND(main!Z343*100,6))</f>
        <v/>
      </c>
      <c r="O340" s="68" t="str">
        <f>IF(main!AA343="","",ROUND(main!AA343*100,6))</f>
        <v/>
      </c>
      <c r="P340" s="68" t="str">
        <f>IF(main!AB343="","",ROUND(main!AB343*100,6))</f>
        <v/>
      </c>
      <c r="Q340" s="68" t="str">
        <f>IF(main!AC343="","",ROUND(main!AC343*100,6))</f>
        <v/>
      </c>
      <c r="R340" s="68" t="str">
        <f>IF(main!AD343="","",ROUND(main!AD343*100,6))</f>
        <v/>
      </c>
      <c r="S340" s="68" t="str">
        <f>IF(main!AE343="","",ROUND(main!AE343*100,6))</f>
        <v/>
      </c>
      <c r="T340" s="68" t="str">
        <f>IF(main!AF343="","",ROUND(main!AF343*100,6))</f>
        <v/>
      </c>
      <c r="U340" s="68" t="str">
        <f>IF(main!AG343="","",ROUND(main!AG343*100,6))</f>
        <v/>
      </c>
      <c r="V340" s="68" t="str">
        <f>IF(main!AH343="","",ROUND(main!AH343*100,6))</f>
        <v/>
      </c>
      <c r="W340" s="68" t="str">
        <f>IF(main!AI343="","",ROUND(main!AI343*100,6))</f>
        <v/>
      </c>
      <c r="X340" s="68" t="str">
        <f>IF(main!AJ343="","",ROUND(main!AJ343*100,6))</f>
        <v/>
      </c>
      <c r="Y340" s="68" t="str">
        <f>IF(main!AK343="","",ROUND(main!AK343*100,6))</f>
        <v/>
      </c>
      <c r="Z340" s="68" t="str">
        <f>IF(main!AL343="","",ROUND(main!AL343*100,6))</f>
        <v/>
      </c>
      <c r="AA340" s="68" t="str">
        <f>IF(main!AM343="","",ROUND(main!AM343*100,6))</f>
        <v/>
      </c>
      <c r="AB340" s="68" t="str">
        <f>IF(main!AN343="","",ROUND(main!AN343*100,6))</f>
        <v/>
      </c>
      <c r="AC340" s="68" t="str">
        <f>IF(main!AO343="","",ROUND(main!AO343*100,6))</f>
        <v/>
      </c>
      <c r="AD340" s="68" t="str">
        <f>IF(main!AP343="","",ROUND(main!AP343*100,6))</f>
        <v/>
      </c>
      <c r="AE340" s="68" t="str">
        <f>IF(main!AQ343="","",ROUND(main!AQ343*100,6))</f>
        <v/>
      </c>
      <c r="AF340" s="68" t="str">
        <f>IF(main!AR343="","",ROUND(main!AR343*100,6))</f>
        <v/>
      </c>
      <c r="AG340" s="68" t="str">
        <f>IF(main!AS343="","",ROUND(main!AS343*100,6))</f>
        <v/>
      </c>
      <c r="AH340" s="68" t="str">
        <f>IF(main!AT343="","",ROUND(main!AT343*100,6))</f>
        <v/>
      </c>
      <c r="AI340" s="68" t="str">
        <f>IF(main!AU343="","",ROUND(main!AU343*100,6))</f>
        <v/>
      </c>
      <c r="AJ340" s="68" t="str">
        <f>IF(main!AV343="","",ROUND(main!AV343*100,6))</f>
        <v/>
      </c>
      <c r="AK340" s="68" t="str">
        <f>IF(main!AW343="","",ROUND(main!AW343*100,6))</f>
        <v/>
      </c>
      <c r="AL340" s="68" t="str">
        <f>IF(main!AX343="","",ROUND(main!AX343*100,6))</f>
        <v/>
      </c>
      <c r="AM340" s="68" t="str">
        <f>IF(main!AY343="","",ROUND(main!AY343*100,6))</f>
        <v/>
      </c>
      <c r="AN340" s="68" t="str">
        <f>IF(main!AZ343="","",ROUND(main!AZ343*100,6))</f>
        <v/>
      </c>
      <c r="AO340" s="68" t="str">
        <f>IF(main!BA343="","",ROUND(main!BA343*100,6))</f>
        <v/>
      </c>
      <c r="AP340" s="68" t="str">
        <f>IF(main!BB343="","",ROUND(main!BB343*100,6))</f>
        <v/>
      </c>
      <c r="AQ340" s="68" t="str">
        <f>IF(main!BC343="","",ROUND(main!BC343*100,6))</f>
        <v/>
      </c>
      <c r="AR340" s="68" t="str">
        <f>IF(main!BD343="","",ROUND(main!BD343*100,6))</f>
        <v/>
      </c>
      <c r="AS340" s="68" t="str">
        <f>IF(main!BE343="","",ROUND(main!BE343*100,6))</f>
        <v/>
      </c>
      <c r="AT340" s="68" t="str">
        <f>IF(main!BF343="","",ROUND(main!BF343*100,6))</f>
        <v/>
      </c>
      <c r="AU340" s="68" t="str">
        <f>IF(main!BG343="","",ROUND(main!BG343*100,6))</f>
        <v/>
      </c>
      <c r="AV340" s="68" t="str">
        <f>IF(main!BH343="","",ROUND(main!BH343*100,6))</f>
        <v/>
      </c>
      <c r="AW340" s="68" t="str">
        <f>IF(main!BI343="","",ROUND(main!BI343*100,6))</f>
        <v/>
      </c>
      <c r="AX340" s="68" t="str">
        <f>IF(main!BJ343="","",ROUND(main!BJ343*100,6))</f>
        <v/>
      </c>
      <c r="AY340" s="68" t="str">
        <f>IF(main!BK343="","",ROUND(main!BK343*100,6))</f>
        <v/>
      </c>
      <c r="AZ340" s="68" t="str">
        <f>IF(main!BL343="","",ROUND(main!BL343*100,6))</f>
        <v/>
      </c>
      <c r="BA340" s="68" t="str">
        <f>IF(main!BM343="","",ROUND(main!BM343*100,6))</f>
        <v/>
      </c>
      <c r="BB340" s="68" t="str">
        <f>IF(main!BN343="","",ROUND(main!BN343*100,6))</f>
        <v/>
      </c>
      <c r="BC340" s="68" t="str">
        <f>IF(main!BO343="","",ROUND(main!BO343*100,6))</f>
        <v/>
      </c>
      <c r="BD340" s="68" t="str">
        <f>IF(main!BP343="","",ROUND(main!BP343*100,6))</f>
        <v/>
      </c>
      <c r="BE340" s="68" t="str">
        <f>IF(main!BQ343="","",ROUND(main!BQ343*100,6))</f>
        <v/>
      </c>
      <c r="BF340" s="68" t="str">
        <f>IF(main!BR343="","",ROUND(main!BR343*100,6))</f>
        <v/>
      </c>
      <c r="BG340" s="68" t="str">
        <f>IF(main!BS343="","",ROUND(main!BS343*100,6))</f>
        <v/>
      </c>
      <c r="BH340" s="68" t="str">
        <f>IF(main!BT343="","",ROUND(main!BT343*100,6))</f>
        <v/>
      </c>
      <c r="BI340" s="68" t="str">
        <f>IF(main!BU343="","",ROUND(main!BU343*100,6))</f>
        <v/>
      </c>
      <c r="BJ340" s="68" t="str">
        <f>IF(main!BV343="","",ROUND(main!BV343*100,6))</f>
        <v/>
      </c>
      <c r="BK340" s="68" t="str">
        <f>IF(main!BW343="","",ROUND(main!BW343*100,6))</f>
        <v/>
      </c>
      <c r="BL340" s="68" t="str">
        <f>IF(main!BX343="","",ROUND(main!BX343*100,6))</f>
        <v/>
      </c>
      <c r="BM340" s="68" t="str">
        <f>IF(main!BY343="","",ROUND(main!BY343*100,6))</f>
        <v/>
      </c>
      <c r="BN340" s="68" t="str">
        <f>IF(main!BZ343="","",ROUND(main!BZ343*100,6))</f>
        <v/>
      </c>
      <c r="BO340" s="68" t="str">
        <f>IF(main!CA343="","",ROUND(main!CA343*100,6))</f>
        <v/>
      </c>
      <c r="BP340" s="68">
        <f>IF(main!CB343="","",ROUND(main!CB343*100,6))</f>
        <v>4.7619049999999996</v>
      </c>
      <c r="BQ340" s="68">
        <f>IF(main!CC343="","",ROUND(main!CC343*100,6))</f>
        <v>33.333333000000003</v>
      </c>
      <c r="BR340" s="68">
        <f>IF(main!CD343="","",ROUND(main!CD343*100,6))</f>
        <v>33.333333000000003</v>
      </c>
      <c r="BS340" s="68">
        <f>IF(main!CE343="","",ROUND(main!CE343*100,6))</f>
        <v>28.571428999999998</v>
      </c>
      <c r="BT340" s="68" t="str">
        <f>IF(main!CF343="","",ROUND(main!CF343*100,6))</f>
        <v/>
      </c>
      <c r="BU340" s="68" t="str">
        <f>IF(main!CG343="","",ROUND(main!CG343*100,6))</f>
        <v/>
      </c>
      <c r="BV340" s="68" t="str">
        <f>IF(main!CH343="","",ROUND(main!CH343*100,6))</f>
        <v/>
      </c>
      <c r="BW340" s="68" t="str">
        <f>IF(main!CI343="","",ROUND(main!CI343*100,6))</f>
        <v/>
      </c>
      <c r="BX340" s="68" t="str">
        <f>IF(main!CJ343="","",ROUND(main!CJ343*100,6))</f>
        <v/>
      </c>
      <c r="BY340" s="68" t="str">
        <f>IF(main!CK343="","",ROUND(main!CK343*100,6))</f>
        <v/>
      </c>
      <c r="BZ340" s="68" t="str">
        <f>IF(main!CL343="","",ROUND(main!CL343*100,6))</f>
        <v/>
      </c>
      <c r="CA340" s="68" t="str">
        <f>IF(main!CM343="","",ROUND(main!CM343*100,6))</f>
        <v/>
      </c>
      <c r="CB340" s="68" t="str">
        <f>IF(main!CN343="","",ROUND(main!CN343*100,6))</f>
        <v/>
      </c>
      <c r="CC340" s="68" t="str">
        <f>IF(main!CO343="","",ROUND(main!CO343*100,6))</f>
        <v/>
      </c>
    </row>
    <row r="341" spans="1:81" x14ac:dyDescent="0.25">
      <c r="A341" s="65" t="s">
        <v>490</v>
      </c>
      <c r="B341" s="66" t="str">
        <f>main!C343</f>
        <v>งานติดอุปกรณ์ Second Fix</v>
      </c>
      <c r="C341" s="67">
        <f>main!O343</f>
        <v>100000</v>
      </c>
      <c r="D341" s="65" t="s">
        <v>111</v>
      </c>
      <c r="E341" s="68" t="str">
        <f t="shared" si="5"/>
        <v/>
      </c>
      <c r="F341" s="68" t="str">
        <f>IF(main!R344="","",ROUND(main!R344*100,6))</f>
        <v/>
      </c>
      <c r="G341" s="68" t="str">
        <f>IF(main!S344="","",ROUND(main!S344*100,6))</f>
        <v/>
      </c>
      <c r="H341" s="68" t="str">
        <f>IF(main!T344="","",ROUND(main!T344*100,6))</f>
        <v/>
      </c>
      <c r="I341" s="68" t="str">
        <f>IF(main!U344="","",ROUND(main!U344*100,6))</f>
        <v/>
      </c>
      <c r="J341" s="68" t="str">
        <f>IF(main!V344="","",ROUND(main!V344*100,6))</f>
        <v/>
      </c>
      <c r="K341" s="68" t="str">
        <f>IF(main!W344="","",ROUND(main!W344*100,6))</f>
        <v/>
      </c>
      <c r="L341" s="68" t="str">
        <f>IF(main!X344="","",ROUND(main!X344*100,6))</f>
        <v/>
      </c>
      <c r="M341" s="68" t="str">
        <f>IF(main!Y344="","",ROUND(main!Y344*100,6))</f>
        <v/>
      </c>
      <c r="N341" s="68" t="str">
        <f>IF(main!Z344="","",ROUND(main!Z344*100,6))</f>
        <v/>
      </c>
      <c r="O341" s="68" t="str">
        <f>IF(main!AA344="","",ROUND(main!AA344*100,6))</f>
        <v/>
      </c>
      <c r="P341" s="68" t="str">
        <f>IF(main!AB344="","",ROUND(main!AB344*100,6))</f>
        <v/>
      </c>
      <c r="Q341" s="68" t="str">
        <f>IF(main!AC344="","",ROUND(main!AC344*100,6))</f>
        <v/>
      </c>
      <c r="R341" s="68" t="str">
        <f>IF(main!AD344="","",ROUND(main!AD344*100,6))</f>
        <v/>
      </c>
      <c r="S341" s="68" t="str">
        <f>IF(main!AE344="","",ROUND(main!AE344*100,6))</f>
        <v/>
      </c>
      <c r="T341" s="68" t="str">
        <f>IF(main!AF344="","",ROUND(main!AF344*100,6))</f>
        <v/>
      </c>
      <c r="U341" s="68" t="str">
        <f>IF(main!AG344="","",ROUND(main!AG344*100,6))</f>
        <v/>
      </c>
      <c r="V341" s="68" t="str">
        <f>IF(main!AH344="","",ROUND(main!AH344*100,6))</f>
        <v/>
      </c>
      <c r="W341" s="68" t="str">
        <f>IF(main!AI344="","",ROUND(main!AI344*100,6))</f>
        <v/>
      </c>
      <c r="X341" s="68" t="str">
        <f>IF(main!AJ344="","",ROUND(main!AJ344*100,6))</f>
        <v/>
      </c>
      <c r="Y341" s="68" t="str">
        <f>IF(main!AK344="","",ROUND(main!AK344*100,6))</f>
        <v/>
      </c>
      <c r="Z341" s="68" t="str">
        <f>IF(main!AL344="","",ROUND(main!AL344*100,6))</f>
        <v/>
      </c>
      <c r="AA341" s="68" t="str">
        <f>IF(main!AM344="","",ROUND(main!AM344*100,6))</f>
        <v/>
      </c>
      <c r="AB341" s="68" t="str">
        <f>IF(main!AN344="","",ROUND(main!AN344*100,6))</f>
        <v/>
      </c>
      <c r="AC341" s="68" t="str">
        <f>IF(main!AO344="","",ROUND(main!AO344*100,6))</f>
        <v/>
      </c>
      <c r="AD341" s="68" t="str">
        <f>IF(main!AP344="","",ROUND(main!AP344*100,6))</f>
        <v/>
      </c>
      <c r="AE341" s="68" t="str">
        <f>IF(main!AQ344="","",ROUND(main!AQ344*100,6))</f>
        <v/>
      </c>
      <c r="AF341" s="68" t="str">
        <f>IF(main!AR344="","",ROUND(main!AR344*100,6))</f>
        <v/>
      </c>
      <c r="AG341" s="68" t="str">
        <f>IF(main!AS344="","",ROUND(main!AS344*100,6))</f>
        <v/>
      </c>
      <c r="AH341" s="68" t="str">
        <f>IF(main!AT344="","",ROUND(main!AT344*100,6))</f>
        <v/>
      </c>
      <c r="AI341" s="68" t="str">
        <f>IF(main!AU344="","",ROUND(main!AU344*100,6))</f>
        <v/>
      </c>
      <c r="AJ341" s="68" t="str">
        <f>IF(main!AV344="","",ROUND(main!AV344*100,6))</f>
        <v/>
      </c>
      <c r="AK341" s="68" t="str">
        <f>IF(main!AW344="","",ROUND(main!AW344*100,6))</f>
        <v/>
      </c>
      <c r="AL341" s="68" t="str">
        <f>IF(main!AX344="","",ROUND(main!AX344*100,6))</f>
        <v/>
      </c>
      <c r="AM341" s="68" t="str">
        <f>IF(main!AY344="","",ROUND(main!AY344*100,6))</f>
        <v/>
      </c>
      <c r="AN341" s="68" t="str">
        <f>IF(main!AZ344="","",ROUND(main!AZ344*100,6))</f>
        <v/>
      </c>
      <c r="AO341" s="68" t="str">
        <f>IF(main!BA344="","",ROUND(main!BA344*100,6))</f>
        <v/>
      </c>
      <c r="AP341" s="68" t="str">
        <f>IF(main!BB344="","",ROUND(main!BB344*100,6))</f>
        <v/>
      </c>
      <c r="AQ341" s="68" t="str">
        <f>IF(main!BC344="","",ROUND(main!BC344*100,6))</f>
        <v/>
      </c>
      <c r="AR341" s="68" t="str">
        <f>IF(main!BD344="","",ROUND(main!BD344*100,6))</f>
        <v/>
      </c>
      <c r="AS341" s="68" t="str">
        <f>IF(main!BE344="","",ROUND(main!BE344*100,6))</f>
        <v/>
      </c>
      <c r="AT341" s="68" t="str">
        <f>IF(main!BF344="","",ROUND(main!BF344*100,6))</f>
        <v/>
      </c>
      <c r="AU341" s="68" t="str">
        <f>IF(main!BG344="","",ROUND(main!BG344*100,6))</f>
        <v/>
      </c>
      <c r="AV341" s="68" t="str">
        <f>IF(main!BH344="","",ROUND(main!BH344*100,6))</f>
        <v/>
      </c>
      <c r="AW341" s="68" t="str">
        <f>IF(main!BI344="","",ROUND(main!BI344*100,6))</f>
        <v/>
      </c>
      <c r="AX341" s="68" t="str">
        <f>IF(main!BJ344="","",ROUND(main!BJ344*100,6))</f>
        <v/>
      </c>
      <c r="AY341" s="68" t="str">
        <f>IF(main!BK344="","",ROUND(main!BK344*100,6))</f>
        <v/>
      </c>
      <c r="AZ341" s="68" t="str">
        <f>IF(main!BL344="","",ROUND(main!BL344*100,6))</f>
        <v/>
      </c>
      <c r="BA341" s="68" t="str">
        <f>IF(main!BM344="","",ROUND(main!BM344*100,6))</f>
        <v/>
      </c>
      <c r="BB341" s="68" t="str">
        <f>IF(main!BN344="","",ROUND(main!BN344*100,6))</f>
        <v/>
      </c>
      <c r="BC341" s="68" t="str">
        <f>IF(main!BO344="","",ROUND(main!BO344*100,6))</f>
        <v/>
      </c>
      <c r="BD341" s="68" t="str">
        <f>IF(main!BP344="","",ROUND(main!BP344*100,6))</f>
        <v/>
      </c>
      <c r="BE341" s="68" t="str">
        <f>IF(main!BQ344="","",ROUND(main!BQ344*100,6))</f>
        <v/>
      </c>
      <c r="BF341" s="68" t="str">
        <f>IF(main!BR344="","",ROUND(main!BR344*100,6))</f>
        <v/>
      </c>
      <c r="BG341" s="68" t="str">
        <f>IF(main!BS344="","",ROUND(main!BS344*100,6))</f>
        <v/>
      </c>
      <c r="BH341" s="68" t="str">
        <f>IF(main!BT344="","",ROUND(main!BT344*100,6))</f>
        <v/>
      </c>
      <c r="BI341" s="68" t="str">
        <f>IF(main!BU344="","",ROUND(main!BU344*100,6))</f>
        <v/>
      </c>
      <c r="BJ341" s="68" t="str">
        <f>IF(main!BV344="","",ROUND(main!BV344*100,6))</f>
        <v/>
      </c>
      <c r="BK341" s="68" t="str">
        <f>IF(main!BW344="","",ROUND(main!BW344*100,6))</f>
        <v/>
      </c>
      <c r="BL341" s="68" t="str">
        <f>IF(main!BX344="","",ROUND(main!BX344*100,6))</f>
        <v/>
      </c>
      <c r="BM341" s="68" t="str">
        <f>IF(main!BY344="","",ROUND(main!BY344*100,6))</f>
        <v/>
      </c>
      <c r="BN341" s="68" t="str">
        <f>IF(main!BZ344="","",ROUND(main!BZ344*100,6))</f>
        <v/>
      </c>
      <c r="BO341" s="68" t="str">
        <f>IF(main!CA344="","",ROUND(main!CA344*100,6))</f>
        <v/>
      </c>
      <c r="BP341" s="68" t="str">
        <f>IF(main!CB344="","",ROUND(main!CB344*100,6))</f>
        <v/>
      </c>
      <c r="BQ341" s="68" t="str">
        <f>IF(main!CC344="","",ROUND(main!CC344*100,6))</f>
        <v/>
      </c>
      <c r="BR341" s="68" t="str">
        <f>IF(main!CD344="","",ROUND(main!CD344*100,6))</f>
        <v/>
      </c>
      <c r="BS341" s="68" t="str">
        <f>IF(main!CE344="","",ROUND(main!CE344*100,6))</f>
        <v/>
      </c>
      <c r="BT341" s="68" t="str">
        <f>IF(main!CF344="","",ROUND(main!CF344*100,6))</f>
        <v/>
      </c>
      <c r="BU341" s="68" t="str">
        <f>IF(main!CG344="","",ROUND(main!CG344*100,6))</f>
        <v/>
      </c>
      <c r="BV341" s="68" t="str">
        <f>IF(main!CH344="","",ROUND(main!CH344*100,6))</f>
        <v/>
      </c>
      <c r="BW341" s="68" t="str">
        <f>IF(main!CI344="","",ROUND(main!CI344*100,6))</f>
        <v/>
      </c>
      <c r="BX341" s="68" t="str">
        <f>IF(main!CJ344="","",ROUND(main!CJ344*100,6))</f>
        <v/>
      </c>
      <c r="BY341" s="68" t="str">
        <f>IF(main!CK344="","",ROUND(main!CK344*100,6))</f>
        <v/>
      </c>
      <c r="BZ341" s="68" t="str">
        <f>IF(main!CL344="","",ROUND(main!CL344*100,6))</f>
        <v/>
      </c>
      <c r="CA341" s="68" t="str">
        <f>IF(main!CM344="","",ROUND(main!CM344*100,6))</f>
        <v/>
      </c>
      <c r="CB341" s="68" t="str">
        <f>IF(main!CN344="","",ROUND(main!CN344*100,6))</f>
        <v/>
      </c>
      <c r="CC341" s="68" t="str">
        <f>IF(main!CO344="","",ROUND(main!CO344*100,6))</f>
        <v/>
      </c>
    </row>
    <row r="342" spans="1:81" x14ac:dyDescent="0.25">
      <c r="A342" s="65" t="s">
        <v>492</v>
      </c>
      <c r="B342" s="66" t="str">
        <f>main!C345</f>
        <v>งานติดตั้ง CDU VRF</v>
      </c>
      <c r="C342" s="67">
        <f>main!O345</f>
        <v>100000</v>
      </c>
      <c r="D342" s="65" t="s">
        <v>110</v>
      </c>
      <c r="E342" s="68">
        <f t="shared" si="5"/>
        <v>100.00000199999999</v>
      </c>
      <c r="F342" s="68" t="str">
        <f>IF(main!R345="","",ROUND(main!R345*100,6))</f>
        <v/>
      </c>
      <c r="G342" s="68" t="str">
        <f>IF(main!S345="","",ROUND(main!S345*100,6))</f>
        <v/>
      </c>
      <c r="H342" s="68" t="str">
        <f>IF(main!T345="","",ROUND(main!T345*100,6))</f>
        <v/>
      </c>
      <c r="I342" s="68" t="str">
        <f>IF(main!U345="","",ROUND(main!U345*100,6))</f>
        <v/>
      </c>
      <c r="J342" s="68" t="str">
        <f>IF(main!V345="","",ROUND(main!V345*100,6))</f>
        <v/>
      </c>
      <c r="K342" s="68" t="str">
        <f>IF(main!W345="","",ROUND(main!W345*100,6))</f>
        <v/>
      </c>
      <c r="L342" s="68" t="str">
        <f>IF(main!X345="","",ROUND(main!X345*100,6))</f>
        <v/>
      </c>
      <c r="M342" s="68" t="str">
        <f>IF(main!Y345="","",ROUND(main!Y345*100,6))</f>
        <v/>
      </c>
      <c r="N342" s="68" t="str">
        <f>IF(main!Z345="","",ROUND(main!Z345*100,6))</f>
        <v/>
      </c>
      <c r="O342" s="68" t="str">
        <f>IF(main!AA345="","",ROUND(main!AA345*100,6))</f>
        <v/>
      </c>
      <c r="P342" s="68" t="str">
        <f>IF(main!AB345="","",ROUND(main!AB345*100,6))</f>
        <v/>
      </c>
      <c r="Q342" s="68" t="str">
        <f>IF(main!AC345="","",ROUND(main!AC345*100,6))</f>
        <v/>
      </c>
      <c r="R342" s="68" t="str">
        <f>IF(main!AD345="","",ROUND(main!AD345*100,6))</f>
        <v/>
      </c>
      <c r="S342" s="68" t="str">
        <f>IF(main!AE345="","",ROUND(main!AE345*100,6))</f>
        <v/>
      </c>
      <c r="T342" s="68" t="str">
        <f>IF(main!AF345="","",ROUND(main!AF345*100,6))</f>
        <v/>
      </c>
      <c r="U342" s="68" t="str">
        <f>IF(main!AG345="","",ROUND(main!AG345*100,6))</f>
        <v/>
      </c>
      <c r="V342" s="68" t="str">
        <f>IF(main!AH345="","",ROUND(main!AH345*100,6))</f>
        <v/>
      </c>
      <c r="W342" s="68" t="str">
        <f>IF(main!AI345="","",ROUND(main!AI345*100,6))</f>
        <v/>
      </c>
      <c r="X342" s="68" t="str">
        <f>IF(main!AJ345="","",ROUND(main!AJ345*100,6))</f>
        <v/>
      </c>
      <c r="Y342" s="68" t="str">
        <f>IF(main!AK345="","",ROUND(main!AK345*100,6))</f>
        <v/>
      </c>
      <c r="Z342" s="68" t="str">
        <f>IF(main!AL345="","",ROUND(main!AL345*100,6))</f>
        <v/>
      </c>
      <c r="AA342" s="68" t="str">
        <f>IF(main!AM345="","",ROUND(main!AM345*100,6))</f>
        <v/>
      </c>
      <c r="AB342" s="68" t="str">
        <f>IF(main!AN345="","",ROUND(main!AN345*100,6))</f>
        <v/>
      </c>
      <c r="AC342" s="68" t="str">
        <f>IF(main!AO345="","",ROUND(main!AO345*100,6))</f>
        <v/>
      </c>
      <c r="AD342" s="68" t="str">
        <f>IF(main!AP345="","",ROUND(main!AP345*100,6))</f>
        <v/>
      </c>
      <c r="AE342" s="68" t="str">
        <f>IF(main!AQ345="","",ROUND(main!AQ345*100,6))</f>
        <v/>
      </c>
      <c r="AF342" s="68" t="str">
        <f>IF(main!AR345="","",ROUND(main!AR345*100,6))</f>
        <v/>
      </c>
      <c r="AG342" s="68" t="str">
        <f>IF(main!AS345="","",ROUND(main!AS345*100,6))</f>
        <v/>
      </c>
      <c r="AH342" s="68" t="str">
        <f>IF(main!AT345="","",ROUND(main!AT345*100,6))</f>
        <v/>
      </c>
      <c r="AI342" s="68" t="str">
        <f>IF(main!AU345="","",ROUND(main!AU345*100,6))</f>
        <v/>
      </c>
      <c r="AJ342" s="68" t="str">
        <f>IF(main!AV345="","",ROUND(main!AV345*100,6))</f>
        <v/>
      </c>
      <c r="AK342" s="68" t="str">
        <f>IF(main!AW345="","",ROUND(main!AW345*100,6))</f>
        <v/>
      </c>
      <c r="AL342" s="68" t="str">
        <f>IF(main!AX345="","",ROUND(main!AX345*100,6))</f>
        <v/>
      </c>
      <c r="AM342" s="68" t="str">
        <f>IF(main!AY345="","",ROUND(main!AY345*100,6))</f>
        <v/>
      </c>
      <c r="AN342" s="68" t="str">
        <f>IF(main!AZ345="","",ROUND(main!AZ345*100,6))</f>
        <v/>
      </c>
      <c r="AO342" s="68" t="str">
        <f>IF(main!BA345="","",ROUND(main!BA345*100,6))</f>
        <v/>
      </c>
      <c r="AP342" s="68" t="str">
        <f>IF(main!BB345="","",ROUND(main!BB345*100,6))</f>
        <v/>
      </c>
      <c r="AQ342" s="68" t="str">
        <f>IF(main!BC345="","",ROUND(main!BC345*100,6))</f>
        <v/>
      </c>
      <c r="AR342" s="68" t="str">
        <f>IF(main!BD345="","",ROUND(main!BD345*100,6))</f>
        <v/>
      </c>
      <c r="AS342" s="68" t="str">
        <f>IF(main!BE345="","",ROUND(main!BE345*100,6))</f>
        <v/>
      </c>
      <c r="AT342" s="68" t="str">
        <f>IF(main!BF345="","",ROUND(main!BF345*100,6))</f>
        <v/>
      </c>
      <c r="AU342" s="68" t="str">
        <f>IF(main!BG345="","",ROUND(main!BG345*100,6))</f>
        <v/>
      </c>
      <c r="AV342" s="68" t="str">
        <f>IF(main!BH345="","",ROUND(main!BH345*100,6))</f>
        <v/>
      </c>
      <c r="AW342" s="68" t="str">
        <f>IF(main!BI345="","",ROUND(main!BI345*100,6))</f>
        <v/>
      </c>
      <c r="AX342" s="68" t="str">
        <f>IF(main!BJ345="","",ROUND(main!BJ345*100,6))</f>
        <v/>
      </c>
      <c r="AY342" s="68" t="str">
        <f>IF(main!BK345="","",ROUND(main!BK345*100,6))</f>
        <v/>
      </c>
      <c r="AZ342" s="68" t="str">
        <f>IF(main!BL345="","",ROUND(main!BL345*100,6))</f>
        <v/>
      </c>
      <c r="BA342" s="68" t="str">
        <f>IF(main!BM345="","",ROUND(main!BM345*100,6))</f>
        <v/>
      </c>
      <c r="BB342" s="68" t="str">
        <f>IF(main!BN345="","",ROUND(main!BN345*100,6))</f>
        <v/>
      </c>
      <c r="BC342" s="68" t="str">
        <f>IF(main!BO345="","",ROUND(main!BO345*100,6))</f>
        <v/>
      </c>
      <c r="BD342" s="68" t="str">
        <f>IF(main!BP345="","",ROUND(main!BP345*100,6))</f>
        <v/>
      </c>
      <c r="BE342" s="68" t="str">
        <f>IF(main!BQ345="","",ROUND(main!BQ345*100,6))</f>
        <v/>
      </c>
      <c r="BF342" s="68" t="str">
        <f>IF(main!BR345="","",ROUND(main!BR345*100,6))</f>
        <v/>
      </c>
      <c r="BG342" s="68" t="str">
        <f>IF(main!BS345="","",ROUND(main!BS345*100,6))</f>
        <v/>
      </c>
      <c r="BH342" s="68" t="str">
        <f>IF(main!BT345="","",ROUND(main!BT345*100,6))</f>
        <v/>
      </c>
      <c r="BI342" s="68" t="str">
        <f>IF(main!BU345="","",ROUND(main!BU345*100,6))</f>
        <v/>
      </c>
      <c r="BJ342" s="68" t="str">
        <f>IF(main!BV345="","",ROUND(main!BV345*100,6))</f>
        <v/>
      </c>
      <c r="BK342" s="68" t="str">
        <f>IF(main!BW345="","",ROUND(main!BW345*100,6))</f>
        <v/>
      </c>
      <c r="BL342" s="68" t="str">
        <f>IF(main!BX345="","",ROUND(main!BX345*100,6))</f>
        <v/>
      </c>
      <c r="BM342" s="68" t="str">
        <f>IF(main!BY345="","",ROUND(main!BY345*100,6))</f>
        <v/>
      </c>
      <c r="BN342" s="68" t="str">
        <f>IF(main!BZ345="","",ROUND(main!BZ345*100,6))</f>
        <v/>
      </c>
      <c r="BO342" s="68" t="str">
        <f>IF(main!CA345="","",ROUND(main!CA345*100,6))</f>
        <v/>
      </c>
      <c r="BP342" s="68" t="str">
        <f>IF(main!CB345="","",ROUND(main!CB345*100,6))</f>
        <v/>
      </c>
      <c r="BQ342" s="68" t="str">
        <f>IF(main!CC345="","",ROUND(main!CC345*100,6))</f>
        <v/>
      </c>
      <c r="BR342" s="68">
        <f>IF(main!CD345="","",ROUND(main!CD345*100,6))</f>
        <v>9.5238099999999992</v>
      </c>
      <c r="BS342" s="68">
        <f>IF(main!CE345="","",ROUND(main!CE345*100,6))</f>
        <v>16.666667</v>
      </c>
      <c r="BT342" s="68">
        <f>IF(main!CF345="","",ROUND(main!CF345*100,6))</f>
        <v>16.666667</v>
      </c>
      <c r="BU342" s="68">
        <f>IF(main!CG345="","",ROUND(main!CG345*100,6))</f>
        <v>16.666667</v>
      </c>
      <c r="BV342" s="68">
        <f>IF(main!CH345="","",ROUND(main!CH345*100,6))</f>
        <v>16.666667</v>
      </c>
      <c r="BW342" s="68">
        <f>IF(main!CI345="","",ROUND(main!CI345*100,6))</f>
        <v>16.666667</v>
      </c>
      <c r="BX342" s="68">
        <f>IF(main!CJ345="","",ROUND(main!CJ345*100,6))</f>
        <v>7.1428570000000002</v>
      </c>
      <c r="BY342" s="68" t="str">
        <f>IF(main!CK345="","",ROUND(main!CK345*100,6))</f>
        <v/>
      </c>
      <c r="BZ342" s="68" t="str">
        <f>IF(main!CL345="","",ROUND(main!CL345*100,6))</f>
        <v/>
      </c>
      <c r="CA342" s="68" t="str">
        <f>IF(main!CM345="","",ROUND(main!CM345*100,6))</f>
        <v/>
      </c>
      <c r="CB342" s="68" t="str">
        <f>IF(main!CN345="","",ROUND(main!CN345*100,6))</f>
        <v/>
      </c>
      <c r="CC342" s="68" t="str">
        <f>IF(main!CO345="","",ROUND(main!CO345*100,6))</f>
        <v/>
      </c>
    </row>
    <row r="343" spans="1:81" x14ac:dyDescent="0.25">
      <c r="A343" s="65" t="s">
        <v>492</v>
      </c>
      <c r="B343" s="66" t="str">
        <f>main!C345</f>
        <v>งานติดตั้ง CDU VRF</v>
      </c>
      <c r="C343" s="67">
        <f>main!O345</f>
        <v>100000</v>
      </c>
      <c r="D343" s="65" t="s">
        <v>111</v>
      </c>
      <c r="E343" s="68" t="str">
        <f t="shared" si="5"/>
        <v/>
      </c>
      <c r="F343" s="68" t="str">
        <f>IF(main!R346="","",ROUND(main!R346*100,6))</f>
        <v/>
      </c>
      <c r="G343" s="68" t="str">
        <f>IF(main!S346="","",ROUND(main!S346*100,6))</f>
        <v/>
      </c>
      <c r="H343" s="68" t="str">
        <f>IF(main!T346="","",ROUND(main!T346*100,6))</f>
        <v/>
      </c>
      <c r="I343" s="68" t="str">
        <f>IF(main!U346="","",ROUND(main!U346*100,6))</f>
        <v/>
      </c>
      <c r="J343" s="68" t="str">
        <f>IF(main!V346="","",ROUND(main!V346*100,6))</f>
        <v/>
      </c>
      <c r="K343" s="68" t="str">
        <f>IF(main!W346="","",ROUND(main!W346*100,6))</f>
        <v/>
      </c>
      <c r="L343" s="68" t="str">
        <f>IF(main!X346="","",ROUND(main!X346*100,6))</f>
        <v/>
      </c>
      <c r="M343" s="68" t="str">
        <f>IF(main!Y346="","",ROUND(main!Y346*100,6))</f>
        <v/>
      </c>
      <c r="N343" s="68" t="str">
        <f>IF(main!Z346="","",ROUND(main!Z346*100,6))</f>
        <v/>
      </c>
      <c r="O343" s="68" t="str">
        <f>IF(main!AA346="","",ROUND(main!AA346*100,6))</f>
        <v/>
      </c>
      <c r="P343" s="68" t="str">
        <f>IF(main!AB346="","",ROUND(main!AB346*100,6))</f>
        <v/>
      </c>
      <c r="Q343" s="68" t="str">
        <f>IF(main!AC346="","",ROUND(main!AC346*100,6))</f>
        <v/>
      </c>
      <c r="R343" s="68" t="str">
        <f>IF(main!AD346="","",ROUND(main!AD346*100,6))</f>
        <v/>
      </c>
      <c r="S343" s="68" t="str">
        <f>IF(main!AE346="","",ROUND(main!AE346*100,6))</f>
        <v/>
      </c>
      <c r="T343" s="68" t="str">
        <f>IF(main!AF346="","",ROUND(main!AF346*100,6))</f>
        <v/>
      </c>
      <c r="U343" s="68" t="str">
        <f>IF(main!AG346="","",ROUND(main!AG346*100,6))</f>
        <v/>
      </c>
      <c r="V343" s="68" t="str">
        <f>IF(main!AH346="","",ROUND(main!AH346*100,6))</f>
        <v/>
      </c>
      <c r="W343" s="68" t="str">
        <f>IF(main!AI346="","",ROUND(main!AI346*100,6))</f>
        <v/>
      </c>
      <c r="X343" s="68" t="str">
        <f>IF(main!AJ346="","",ROUND(main!AJ346*100,6))</f>
        <v/>
      </c>
      <c r="Y343" s="68" t="str">
        <f>IF(main!AK346="","",ROUND(main!AK346*100,6))</f>
        <v/>
      </c>
      <c r="Z343" s="68" t="str">
        <f>IF(main!AL346="","",ROUND(main!AL346*100,6))</f>
        <v/>
      </c>
      <c r="AA343" s="68" t="str">
        <f>IF(main!AM346="","",ROUND(main!AM346*100,6))</f>
        <v/>
      </c>
      <c r="AB343" s="68" t="str">
        <f>IF(main!AN346="","",ROUND(main!AN346*100,6))</f>
        <v/>
      </c>
      <c r="AC343" s="68" t="str">
        <f>IF(main!AO346="","",ROUND(main!AO346*100,6))</f>
        <v/>
      </c>
      <c r="AD343" s="68" t="str">
        <f>IF(main!AP346="","",ROUND(main!AP346*100,6))</f>
        <v/>
      </c>
      <c r="AE343" s="68" t="str">
        <f>IF(main!AQ346="","",ROUND(main!AQ346*100,6))</f>
        <v/>
      </c>
      <c r="AF343" s="68" t="str">
        <f>IF(main!AR346="","",ROUND(main!AR346*100,6))</f>
        <v/>
      </c>
      <c r="AG343" s="68" t="str">
        <f>IF(main!AS346="","",ROUND(main!AS346*100,6))</f>
        <v/>
      </c>
      <c r="AH343" s="68" t="str">
        <f>IF(main!AT346="","",ROUND(main!AT346*100,6))</f>
        <v/>
      </c>
      <c r="AI343" s="68" t="str">
        <f>IF(main!AU346="","",ROUND(main!AU346*100,6))</f>
        <v/>
      </c>
      <c r="AJ343" s="68" t="str">
        <f>IF(main!AV346="","",ROUND(main!AV346*100,6))</f>
        <v/>
      </c>
      <c r="AK343" s="68" t="str">
        <f>IF(main!AW346="","",ROUND(main!AW346*100,6))</f>
        <v/>
      </c>
      <c r="AL343" s="68" t="str">
        <f>IF(main!AX346="","",ROUND(main!AX346*100,6))</f>
        <v/>
      </c>
      <c r="AM343" s="68" t="str">
        <f>IF(main!AY346="","",ROUND(main!AY346*100,6))</f>
        <v/>
      </c>
      <c r="AN343" s="68" t="str">
        <f>IF(main!AZ346="","",ROUND(main!AZ346*100,6))</f>
        <v/>
      </c>
      <c r="AO343" s="68" t="str">
        <f>IF(main!BA346="","",ROUND(main!BA346*100,6))</f>
        <v/>
      </c>
      <c r="AP343" s="68" t="str">
        <f>IF(main!BB346="","",ROUND(main!BB346*100,6))</f>
        <v/>
      </c>
      <c r="AQ343" s="68" t="str">
        <f>IF(main!BC346="","",ROUND(main!BC346*100,6))</f>
        <v/>
      </c>
      <c r="AR343" s="68" t="str">
        <f>IF(main!BD346="","",ROUND(main!BD346*100,6))</f>
        <v/>
      </c>
      <c r="AS343" s="68" t="str">
        <f>IF(main!BE346="","",ROUND(main!BE346*100,6))</f>
        <v/>
      </c>
      <c r="AT343" s="68" t="str">
        <f>IF(main!BF346="","",ROUND(main!BF346*100,6))</f>
        <v/>
      </c>
      <c r="AU343" s="68" t="str">
        <f>IF(main!BG346="","",ROUND(main!BG346*100,6))</f>
        <v/>
      </c>
      <c r="AV343" s="68" t="str">
        <f>IF(main!BH346="","",ROUND(main!BH346*100,6))</f>
        <v/>
      </c>
      <c r="AW343" s="68" t="str">
        <f>IF(main!BI346="","",ROUND(main!BI346*100,6))</f>
        <v/>
      </c>
      <c r="AX343" s="68" t="str">
        <f>IF(main!BJ346="","",ROUND(main!BJ346*100,6))</f>
        <v/>
      </c>
      <c r="AY343" s="68" t="str">
        <f>IF(main!BK346="","",ROUND(main!BK346*100,6))</f>
        <v/>
      </c>
      <c r="AZ343" s="68" t="str">
        <f>IF(main!BL346="","",ROUND(main!BL346*100,6))</f>
        <v/>
      </c>
      <c r="BA343" s="68" t="str">
        <f>IF(main!BM346="","",ROUND(main!BM346*100,6))</f>
        <v/>
      </c>
      <c r="BB343" s="68" t="str">
        <f>IF(main!BN346="","",ROUND(main!BN346*100,6))</f>
        <v/>
      </c>
      <c r="BC343" s="68" t="str">
        <f>IF(main!BO346="","",ROUND(main!BO346*100,6))</f>
        <v/>
      </c>
      <c r="BD343" s="68" t="str">
        <f>IF(main!BP346="","",ROUND(main!BP346*100,6))</f>
        <v/>
      </c>
      <c r="BE343" s="68" t="str">
        <f>IF(main!BQ346="","",ROUND(main!BQ346*100,6))</f>
        <v/>
      </c>
      <c r="BF343" s="68" t="str">
        <f>IF(main!BR346="","",ROUND(main!BR346*100,6))</f>
        <v/>
      </c>
      <c r="BG343" s="68" t="str">
        <f>IF(main!BS346="","",ROUND(main!BS346*100,6))</f>
        <v/>
      </c>
      <c r="BH343" s="68" t="str">
        <f>IF(main!BT346="","",ROUND(main!BT346*100,6))</f>
        <v/>
      </c>
      <c r="BI343" s="68" t="str">
        <f>IF(main!BU346="","",ROUND(main!BU346*100,6))</f>
        <v/>
      </c>
      <c r="BJ343" s="68" t="str">
        <f>IF(main!BV346="","",ROUND(main!BV346*100,6))</f>
        <v/>
      </c>
      <c r="BK343" s="68" t="str">
        <f>IF(main!BW346="","",ROUND(main!BW346*100,6))</f>
        <v/>
      </c>
      <c r="BL343" s="68" t="str">
        <f>IF(main!BX346="","",ROUND(main!BX346*100,6))</f>
        <v/>
      </c>
      <c r="BM343" s="68" t="str">
        <f>IF(main!BY346="","",ROUND(main!BY346*100,6))</f>
        <v/>
      </c>
      <c r="BN343" s="68" t="str">
        <f>IF(main!BZ346="","",ROUND(main!BZ346*100,6))</f>
        <v/>
      </c>
      <c r="BO343" s="68" t="str">
        <f>IF(main!CA346="","",ROUND(main!CA346*100,6))</f>
        <v/>
      </c>
      <c r="BP343" s="68" t="str">
        <f>IF(main!CB346="","",ROUND(main!CB346*100,6))</f>
        <v/>
      </c>
      <c r="BQ343" s="68" t="str">
        <f>IF(main!CC346="","",ROUND(main!CC346*100,6))</f>
        <v/>
      </c>
      <c r="BR343" s="68" t="str">
        <f>IF(main!CD346="","",ROUND(main!CD346*100,6))</f>
        <v/>
      </c>
      <c r="BS343" s="68" t="str">
        <f>IF(main!CE346="","",ROUND(main!CE346*100,6))</f>
        <v/>
      </c>
      <c r="BT343" s="68" t="str">
        <f>IF(main!CF346="","",ROUND(main!CF346*100,6))</f>
        <v/>
      </c>
      <c r="BU343" s="68" t="str">
        <f>IF(main!CG346="","",ROUND(main!CG346*100,6))</f>
        <v/>
      </c>
      <c r="BV343" s="68" t="str">
        <f>IF(main!CH346="","",ROUND(main!CH346*100,6))</f>
        <v/>
      </c>
      <c r="BW343" s="68" t="str">
        <f>IF(main!CI346="","",ROUND(main!CI346*100,6))</f>
        <v/>
      </c>
      <c r="BX343" s="68" t="str">
        <f>IF(main!CJ346="","",ROUND(main!CJ346*100,6))</f>
        <v/>
      </c>
      <c r="BY343" s="68" t="str">
        <f>IF(main!CK346="","",ROUND(main!CK346*100,6))</f>
        <v/>
      </c>
      <c r="BZ343" s="68" t="str">
        <f>IF(main!CL346="","",ROUND(main!CL346*100,6))</f>
        <v/>
      </c>
      <c r="CA343" s="68" t="str">
        <f>IF(main!CM346="","",ROUND(main!CM346*100,6))</f>
        <v/>
      </c>
      <c r="CB343" s="68" t="str">
        <f>IF(main!CN346="","",ROUND(main!CN346*100,6))</f>
        <v/>
      </c>
      <c r="CC343" s="68" t="str">
        <f>IF(main!CO346="","",ROUND(main!CO346*100,6))</f>
        <v/>
      </c>
    </row>
    <row r="344" spans="1:81" x14ac:dyDescent="0.25">
      <c r="A344" s="65" t="s">
        <v>495</v>
      </c>
      <c r="B344" s="66" t="str">
        <f>main!C347</f>
        <v>Roof Finish</v>
      </c>
      <c r="C344" s="67">
        <f>main!O347</f>
        <v>500000</v>
      </c>
      <c r="D344" s="65" t="s">
        <v>110</v>
      </c>
      <c r="E344" s="68">
        <f t="shared" si="5"/>
        <v>99.999999000000003</v>
      </c>
      <c r="F344" s="68" t="str">
        <f>IF(main!R347="","",ROUND(main!R347*100,6))</f>
        <v/>
      </c>
      <c r="G344" s="68" t="str">
        <f>IF(main!S347="","",ROUND(main!S347*100,6))</f>
        <v/>
      </c>
      <c r="H344" s="68" t="str">
        <f>IF(main!T347="","",ROUND(main!T347*100,6))</f>
        <v/>
      </c>
      <c r="I344" s="68" t="str">
        <f>IF(main!U347="","",ROUND(main!U347*100,6))</f>
        <v/>
      </c>
      <c r="J344" s="68" t="str">
        <f>IF(main!V347="","",ROUND(main!V347*100,6))</f>
        <v/>
      </c>
      <c r="K344" s="68" t="str">
        <f>IF(main!W347="","",ROUND(main!W347*100,6))</f>
        <v/>
      </c>
      <c r="L344" s="68" t="str">
        <f>IF(main!X347="","",ROUND(main!X347*100,6))</f>
        <v/>
      </c>
      <c r="M344" s="68" t="str">
        <f>IF(main!Y347="","",ROUND(main!Y347*100,6))</f>
        <v/>
      </c>
      <c r="N344" s="68" t="str">
        <f>IF(main!Z347="","",ROUND(main!Z347*100,6))</f>
        <v/>
      </c>
      <c r="O344" s="68" t="str">
        <f>IF(main!AA347="","",ROUND(main!AA347*100,6))</f>
        <v/>
      </c>
      <c r="P344" s="68" t="str">
        <f>IF(main!AB347="","",ROUND(main!AB347*100,6))</f>
        <v/>
      </c>
      <c r="Q344" s="68" t="str">
        <f>IF(main!AC347="","",ROUND(main!AC347*100,6))</f>
        <v/>
      </c>
      <c r="R344" s="68" t="str">
        <f>IF(main!AD347="","",ROUND(main!AD347*100,6))</f>
        <v/>
      </c>
      <c r="S344" s="68" t="str">
        <f>IF(main!AE347="","",ROUND(main!AE347*100,6))</f>
        <v/>
      </c>
      <c r="T344" s="68" t="str">
        <f>IF(main!AF347="","",ROUND(main!AF347*100,6))</f>
        <v/>
      </c>
      <c r="U344" s="68" t="str">
        <f>IF(main!AG347="","",ROUND(main!AG347*100,6))</f>
        <v/>
      </c>
      <c r="V344" s="68" t="str">
        <f>IF(main!AH347="","",ROUND(main!AH347*100,6))</f>
        <v/>
      </c>
      <c r="W344" s="68" t="str">
        <f>IF(main!AI347="","",ROUND(main!AI347*100,6))</f>
        <v/>
      </c>
      <c r="X344" s="68" t="str">
        <f>IF(main!AJ347="","",ROUND(main!AJ347*100,6))</f>
        <v/>
      </c>
      <c r="Y344" s="68" t="str">
        <f>IF(main!AK347="","",ROUND(main!AK347*100,6))</f>
        <v/>
      </c>
      <c r="Z344" s="68" t="str">
        <f>IF(main!AL347="","",ROUND(main!AL347*100,6))</f>
        <v/>
      </c>
      <c r="AA344" s="68" t="str">
        <f>IF(main!AM347="","",ROUND(main!AM347*100,6))</f>
        <v/>
      </c>
      <c r="AB344" s="68" t="str">
        <f>IF(main!AN347="","",ROUND(main!AN347*100,6))</f>
        <v/>
      </c>
      <c r="AC344" s="68" t="str">
        <f>IF(main!AO347="","",ROUND(main!AO347*100,6))</f>
        <v/>
      </c>
      <c r="AD344" s="68" t="str">
        <f>IF(main!AP347="","",ROUND(main!AP347*100,6))</f>
        <v/>
      </c>
      <c r="AE344" s="68" t="str">
        <f>IF(main!AQ347="","",ROUND(main!AQ347*100,6))</f>
        <v/>
      </c>
      <c r="AF344" s="68" t="str">
        <f>IF(main!AR347="","",ROUND(main!AR347*100,6))</f>
        <v/>
      </c>
      <c r="AG344" s="68" t="str">
        <f>IF(main!AS347="","",ROUND(main!AS347*100,6))</f>
        <v/>
      </c>
      <c r="AH344" s="68" t="str">
        <f>IF(main!AT347="","",ROUND(main!AT347*100,6))</f>
        <v/>
      </c>
      <c r="AI344" s="68" t="str">
        <f>IF(main!AU347="","",ROUND(main!AU347*100,6))</f>
        <v/>
      </c>
      <c r="AJ344" s="68" t="str">
        <f>IF(main!AV347="","",ROUND(main!AV347*100,6))</f>
        <v/>
      </c>
      <c r="AK344" s="68" t="str">
        <f>IF(main!AW347="","",ROUND(main!AW347*100,6))</f>
        <v/>
      </c>
      <c r="AL344" s="68" t="str">
        <f>IF(main!AX347="","",ROUND(main!AX347*100,6))</f>
        <v/>
      </c>
      <c r="AM344" s="68" t="str">
        <f>IF(main!AY347="","",ROUND(main!AY347*100,6))</f>
        <v/>
      </c>
      <c r="AN344" s="68" t="str">
        <f>IF(main!AZ347="","",ROUND(main!AZ347*100,6))</f>
        <v/>
      </c>
      <c r="AO344" s="68" t="str">
        <f>IF(main!BA347="","",ROUND(main!BA347*100,6))</f>
        <v/>
      </c>
      <c r="AP344" s="68" t="str">
        <f>IF(main!BB347="","",ROUND(main!BB347*100,6))</f>
        <v/>
      </c>
      <c r="AQ344" s="68" t="str">
        <f>IF(main!BC347="","",ROUND(main!BC347*100,6))</f>
        <v/>
      </c>
      <c r="AR344" s="68" t="str">
        <f>IF(main!BD347="","",ROUND(main!BD347*100,6))</f>
        <v/>
      </c>
      <c r="AS344" s="68" t="str">
        <f>IF(main!BE347="","",ROUND(main!BE347*100,6))</f>
        <v/>
      </c>
      <c r="AT344" s="68" t="str">
        <f>IF(main!BF347="","",ROUND(main!BF347*100,6))</f>
        <v/>
      </c>
      <c r="AU344" s="68" t="str">
        <f>IF(main!BG347="","",ROUND(main!BG347*100,6))</f>
        <v/>
      </c>
      <c r="AV344" s="68">
        <f>IF(main!BH347="","",ROUND(main!BH347*100,6))</f>
        <v>5.2631579999999998</v>
      </c>
      <c r="AW344" s="68">
        <f>IF(main!BI347="","",ROUND(main!BI347*100,6))</f>
        <v>7.3684209999999997</v>
      </c>
      <c r="AX344" s="68">
        <f>IF(main!BJ347="","",ROUND(main!BJ347*100,6))</f>
        <v>7.3684209999999997</v>
      </c>
      <c r="AY344" s="68">
        <f>IF(main!BK347="","",ROUND(main!BK347*100,6))</f>
        <v>7.7631579999999998</v>
      </c>
      <c r="AZ344" s="68">
        <f>IF(main!BL347="","",ROUND(main!BL347*100,6))</f>
        <v>10.868421</v>
      </c>
      <c r="BA344" s="68">
        <f>IF(main!BM347="","",ROUND(main!BM347*100,6))</f>
        <v>10.868421</v>
      </c>
      <c r="BB344" s="68">
        <f>IF(main!BN347="","",ROUND(main!BN347*100,6))</f>
        <v>11.833333</v>
      </c>
      <c r="BC344" s="68">
        <f>IF(main!BO347="","",ROUND(main!BO347*100,6))</f>
        <v>15.166667</v>
      </c>
      <c r="BD344" s="68">
        <f>IF(main!BP347="","",ROUND(main!BP347*100,6))</f>
        <v>6.530303</v>
      </c>
      <c r="BE344" s="68">
        <f>IF(main!BQ347="","",ROUND(main!BQ347*100,6))</f>
        <v>4.2424239999999998</v>
      </c>
      <c r="BF344" s="68">
        <f>IF(main!BR347="","",ROUND(main!BR347*100,6))</f>
        <v>4.2424239999999998</v>
      </c>
      <c r="BG344" s="68">
        <f>IF(main!BS347="","",ROUND(main!BS347*100,6))</f>
        <v>4.2424239999999998</v>
      </c>
      <c r="BH344" s="68">
        <f>IF(main!BT347="","",ROUND(main!BT347*100,6))</f>
        <v>4.2424239999999998</v>
      </c>
      <c r="BI344" s="68" t="str">
        <f>IF(main!BU347="","",ROUND(main!BU347*100,6))</f>
        <v/>
      </c>
      <c r="BJ344" s="68" t="str">
        <f>IF(main!BV347="","",ROUND(main!BV347*100,6))</f>
        <v/>
      </c>
      <c r="BK344" s="68" t="str">
        <f>IF(main!BW347="","",ROUND(main!BW347*100,6))</f>
        <v/>
      </c>
      <c r="BL344" s="68" t="str">
        <f>IF(main!BX347="","",ROUND(main!BX347*100,6))</f>
        <v/>
      </c>
      <c r="BM344" s="68" t="str">
        <f>IF(main!BY347="","",ROUND(main!BY347*100,6))</f>
        <v/>
      </c>
      <c r="BN344" s="68" t="str">
        <f>IF(main!BZ347="","",ROUND(main!BZ347*100,6))</f>
        <v/>
      </c>
      <c r="BO344" s="68" t="str">
        <f>IF(main!CA347="","",ROUND(main!CA347*100,6))</f>
        <v/>
      </c>
      <c r="BP344" s="68" t="str">
        <f>IF(main!CB347="","",ROUND(main!CB347*100,6))</f>
        <v/>
      </c>
      <c r="BQ344" s="68" t="str">
        <f>IF(main!CC347="","",ROUND(main!CC347*100,6))</f>
        <v/>
      </c>
      <c r="BR344" s="68" t="str">
        <f>IF(main!CD347="","",ROUND(main!CD347*100,6))</f>
        <v/>
      </c>
      <c r="BS344" s="68" t="str">
        <f>IF(main!CE347="","",ROUND(main!CE347*100,6))</f>
        <v/>
      </c>
      <c r="BT344" s="68" t="str">
        <f>IF(main!CF347="","",ROUND(main!CF347*100,6))</f>
        <v/>
      </c>
      <c r="BU344" s="68" t="str">
        <f>IF(main!CG347="","",ROUND(main!CG347*100,6))</f>
        <v/>
      </c>
      <c r="BV344" s="68" t="str">
        <f>IF(main!CH347="","",ROUND(main!CH347*100,6))</f>
        <v/>
      </c>
      <c r="BW344" s="68" t="str">
        <f>IF(main!CI347="","",ROUND(main!CI347*100,6))</f>
        <v/>
      </c>
      <c r="BX344" s="68" t="str">
        <f>IF(main!CJ347="","",ROUND(main!CJ347*100,6))</f>
        <v/>
      </c>
      <c r="BY344" s="68" t="str">
        <f>IF(main!CK347="","",ROUND(main!CK347*100,6))</f>
        <v/>
      </c>
      <c r="BZ344" s="68" t="str">
        <f>IF(main!CL347="","",ROUND(main!CL347*100,6))</f>
        <v/>
      </c>
      <c r="CA344" s="68" t="str">
        <f>IF(main!CM347="","",ROUND(main!CM347*100,6))</f>
        <v/>
      </c>
      <c r="CB344" s="68" t="str">
        <f>IF(main!CN347="","",ROUND(main!CN347*100,6))</f>
        <v/>
      </c>
      <c r="CC344" s="68" t="str">
        <f>IF(main!CO347="","",ROUND(main!CO347*100,6))</f>
        <v/>
      </c>
    </row>
    <row r="345" spans="1:81" x14ac:dyDescent="0.25">
      <c r="A345" s="65" t="s">
        <v>495</v>
      </c>
      <c r="B345" s="66" t="str">
        <f>main!C347</f>
        <v>Roof Finish</v>
      </c>
      <c r="C345" s="67">
        <f>main!O347</f>
        <v>500000</v>
      </c>
      <c r="D345" s="65" t="s">
        <v>111</v>
      </c>
      <c r="E345" s="68" t="str">
        <f t="shared" si="5"/>
        <v/>
      </c>
      <c r="F345" s="68" t="str">
        <f>IF(main!R348="","",ROUND(main!R348*100,6))</f>
        <v/>
      </c>
      <c r="G345" s="68" t="str">
        <f>IF(main!S348="","",ROUND(main!S348*100,6))</f>
        <v/>
      </c>
      <c r="H345" s="68" t="str">
        <f>IF(main!T348="","",ROUND(main!T348*100,6))</f>
        <v/>
      </c>
      <c r="I345" s="68" t="str">
        <f>IF(main!U348="","",ROUND(main!U348*100,6))</f>
        <v/>
      </c>
      <c r="J345" s="68" t="str">
        <f>IF(main!V348="","",ROUND(main!V348*100,6))</f>
        <v/>
      </c>
      <c r="K345" s="68" t="str">
        <f>IF(main!W348="","",ROUND(main!W348*100,6))</f>
        <v/>
      </c>
      <c r="L345" s="68" t="str">
        <f>IF(main!X348="","",ROUND(main!X348*100,6))</f>
        <v/>
      </c>
      <c r="M345" s="68" t="str">
        <f>IF(main!Y348="","",ROUND(main!Y348*100,6))</f>
        <v/>
      </c>
      <c r="N345" s="68" t="str">
        <f>IF(main!Z348="","",ROUND(main!Z348*100,6))</f>
        <v/>
      </c>
      <c r="O345" s="68" t="str">
        <f>IF(main!AA348="","",ROUND(main!AA348*100,6))</f>
        <v/>
      </c>
      <c r="P345" s="68" t="str">
        <f>IF(main!AB348="","",ROUND(main!AB348*100,6))</f>
        <v/>
      </c>
      <c r="Q345" s="68" t="str">
        <f>IF(main!AC348="","",ROUND(main!AC348*100,6))</f>
        <v/>
      </c>
      <c r="R345" s="68" t="str">
        <f>IF(main!AD348="","",ROUND(main!AD348*100,6))</f>
        <v/>
      </c>
      <c r="S345" s="68" t="str">
        <f>IF(main!AE348="","",ROUND(main!AE348*100,6))</f>
        <v/>
      </c>
      <c r="T345" s="68" t="str">
        <f>IF(main!AF348="","",ROUND(main!AF348*100,6))</f>
        <v/>
      </c>
      <c r="U345" s="68" t="str">
        <f>IF(main!AG348="","",ROUND(main!AG348*100,6))</f>
        <v/>
      </c>
      <c r="V345" s="68" t="str">
        <f>IF(main!AH348="","",ROUND(main!AH348*100,6))</f>
        <v/>
      </c>
      <c r="W345" s="68" t="str">
        <f>IF(main!AI348="","",ROUND(main!AI348*100,6))</f>
        <v/>
      </c>
      <c r="X345" s="68" t="str">
        <f>IF(main!AJ348="","",ROUND(main!AJ348*100,6))</f>
        <v/>
      </c>
      <c r="Y345" s="68" t="str">
        <f>IF(main!AK348="","",ROUND(main!AK348*100,6))</f>
        <v/>
      </c>
      <c r="Z345" s="68" t="str">
        <f>IF(main!AL348="","",ROUND(main!AL348*100,6))</f>
        <v/>
      </c>
      <c r="AA345" s="68" t="str">
        <f>IF(main!AM348="","",ROUND(main!AM348*100,6))</f>
        <v/>
      </c>
      <c r="AB345" s="68" t="str">
        <f>IF(main!AN348="","",ROUND(main!AN348*100,6))</f>
        <v/>
      </c>
      <c r="AC345" s="68" t="str">
        <f>IF(main!AO348="","",ROUND(main!AO348*100,6))</f>
        <v/>
      </c>
      <c r="AD345" s="68" t="str">
        <f>IF(main!AP348="","",ROUND(main!AP348*100,6))</f>
        <v/>
      </c>
      <c r="AE345" s="68" t="str">
        <f>IF(main!AQ348="","",ROUND(main!AQ348*100,6))</f>
        <v/>
      </c>
      <c r="AF345" s="68" t="str">
        <f>IF(main!AR348="","",ROUND(main!AR348*100,6))</f>
        <v/>
      </c>
      <c r="AG345" s="68" t="str">
        <f>IF(main!AS348="","",ROUND(main!AS348*100,6))</f>
        <v/>
      </c>
      <c r="AH345" s="68" t="str">
        <f>IF(main!AT348="","",ROUND(main!AT348*100,6))</f>
        <v/>
      </c>
      <c r="AI345" s="68" t="str">
        <f>IF(main!AU348="","",ROUND(main!AU348*100,6))</f>
        <v/>
      </c>
      <c r="AJ345" s="68" t="str">
        <f>IF(main!AV348="","",ROUND(main!AV348*100,6))</f>
        <v/>
      </c>
      <c r="AK345" s="68" t="str">
        <f>IF(main!AW348="","",ROUND(main!AW348*100,6))</f>
        <v/>
      </c>
      <c r="AL345" s="68" t="str">
        <f>IF(main!AX348="","",ROUND(main!AX348*100,6))</f>
        <v/>
      </c>
      <c r="AM345" s="68" t="str">
        <f>IF(main!AY348="","",ROUND(main!AY348*100,6))</f>
        <v/>
      </c>
      <c r="AN345" s="68" t="str">
        <f>IF(main!AZ348="","",ROUND(main!AZ348*100,6))</f>
        <v/>
      </c>
      <c r="AO345" s="68" t="str">
        <f>IF(main!BA348="","",ROUND(main!BA348*100,6))</f>
        <v/>
      </c>
      <c r="AP345" s="68" t="str">
        <f>IF(main!BB348="","",ROUND(main!BB348*100,6))</f>
        <v/>
      </c>
      <c r="AQ345" s="68" t="str">
        <f>IF(main!BC348="","",ROUND(main!BC348*100,6))</f>
        <v/>
      </c>
      <c r="AR345" s="68" t="str">
        <f>IF(main!BD348="","",ROUND(main!BD348*100,6))</f>
        <v/>
      </c>
      <c r="AS345" s="68" t="str">
        <f>IF(main!BE348="","",ROUND(main!BE348*100,6))</f>
        <v/>
      </c>
      <c r="AT345" s="68" t="str">
        <f>IF(main!BF348="","",ROUND(main!BF348*100,6))</f>
        <v/>
      </c>
      <c r="AU345" s="68" t="str">
        <f>IF(main!BG348="","",ROUND(main!BG348*100,6))</f>
        <v/>
      </c>
      <c r="AV345" s="68" t="str">
        <f>IF(main!BH348="","",ROUND(main!BH348*100,6))</f>
        <v/>
      </c>
      <c r="AW345" s="68" t="str">
        <f>IF(main!BI348="","",ROUND(main!BI348*100,6))</f>
        <v/>
      </c>
      <c r="AX345" s="68" t="str">
        <f>IF(main!BJ348="","",ROUND(main!BJ348*100,6))</f>
        <v/>
      </c>
      <c r="AY345" s="68" t="str">
        <f>IF(main!BK348="","",ROUND(main!BK348*100,6))</f>
        <v/>
      </c>
      <c r="AZ345" s="68" t="str">
        <f>IF(main!BL348="","",ROUND(main!BL348*100,6))</f>
        <v/>
      </c>
      <c r="BA345" s="68" t="str">
        <f>IF(main!BM348="","",ROUND(main!BM348*100,6))</f>
        <v/>
      </c>
      <c r="BB345" s="68" t="str">
        <f>IF(main!BN348="","",ROUND(main!BN348*100,6))</f>
        <v/>
      </c>
      <c r="BC345" s="68" t="str">
        <f>IF(main!BO348="","",ROUND(main!BO348*100,6))</f>
        <v/>
      </c>
      <c r="BD345" s="68" t="str">
        <f>IF(main!BP348="","",ROUND(main!BP348*100,6))</f>
        <v/>
      </c>
      <c r="BE345" s="68" t="str">
        <f>IF(main!BQ348="","",ROUND(main!BQ348*100,6))</f>
        <v/>
      </c>
      <c r="BF345" s="68" t="str">
        <f>IF(main!BR348="","",ROUND(main!BR348*100,6))</f>
        <v/>
      </c>
      <c r="BG345" s="68" t="str">
        <f>IF(main!BS348="","",ROUND(main!BS348*100,6))</f>
        <v/>
      </c>
      <c r="BH345" s="68" t="str">
        <f>IF(main!BT348="","",ROUND(main!BT348*100,6))</f>
        <v/>
      </c>
      <c r="BI345" s="68" t="str">
        <f>IF(main!BU348="","",ROUND(main!BU348*100,6))</f>
        <v/>
      </c>
      <c r="BJ345" s="68" t="str">
        <f>IF(main!BV348="","",ROUND(main!BV348*100,6))</f>
        <v/>
      </c>
      <c r="BK345" s="68" t="str">
        <f>IF(main!BW348="","",ROUND(main!BW348*100,6))</f>
        <v/>
      </c>
      <c r="BL345" s="68" t="str">
        <f>IF(main!BX348="","",ROUND(main!BX348*100,6))</f>
        <v/>
      </c>
      <c r="BM345" s="68" t="str">
        <f>IF(main!BY348="","",ROUND(main!BY348*100,6))</f>
        <v/>
      </c>
      <c r="BN345" s="68" t="str">
        <f>IF(main!BZ348="","",ROUND(main!BZ348*100,6))</f>
        <v/>
      </c>
      <c r="BO345" s="68" t="str">
        <f>IF(main!CA348="","",ROUND(main!CA348*100,6))</f>
        <v/>
      </c>
      <c r="BP345" s="68" t="str">
        <f>IF(main!CB348="","",ROUND(main!CB348*100,6))</f>
        <v/>
      </c>
      <c r="BQ345" s="68" t="str">
        <f>IF(main!CC348="","",ROUND(main!CC348*100,6))</f>
        <v/>
      </c>
      <c r="BR345" s="68" t="str">
        <f>IF(main!CD348="","",ROUND(main!CD348*100,6))</f>
        <v/>
      </c>
      <c r="BS345" s="68" t="str">
        <f>IF(main!CE348="","",ROUND(main!CE348*100,6))</f>
        <v/>
      </c>
      <c r="BT345" s="68" t="str">
        <f>IF(main!CF348="","",ROUND(main!CF348*100,6))</f>
        <v/>
      </c>
      <c r="BU345" s="68" t="str">
        <f>IF(main!CG348="","",ROUND(main!CG348*100,6))</f>
        <v/>
      </c>
      <c r="BV345" s="68" t="str">
        <f>IF(main!CH348="","",ROUND(main!CH348*100,6))</f>
        <v/>
      </c>
      <c r="BW345" s="68" t="str">
        <f>IF(main!CI348="","",ROUND(main!CI348*100,6))</f>
        <v/>
      </c>
      <c r="BX345" s="68" t="str">
        <f>IF(main!CJ348="","",ROUND(main!CJ348*100,6))</f>
        <v/>
      </c>
      <c r="BY345" s="68" t="str">
        <f>IF(main!CK348="","",ROUND(main!CK348*100,6))</f>
        <v/>
      </c>
      <c r="BZ345" s="68" t="str">
        <f>IF(main!CL348="","",ROUND(main!CL348*100,6))</f>
        <v/>
      </c>
      <c r="CA345" s="68" t="str">
        <f>IF(main!CM348="","",ROUND(main!CM348*100,6))</f>
        <v/>
      </c>
      <c r="CB345" s="68" t="str">
        <f>IF(main!CN348="","",ROUND(main!CN348*100,6))</f>
        <v/>
      </c>
      <c r="CC345" s="68" t="str">
        <f>IF(main!CO348="","",ROUND(main!CO348*100,6))</f>
        <v/>
      </c>
    </row>
    <row r="346" spans="1:81" x14ac:dyDescent="0.25">
      <c r="A346" s="65" t="s">
        <v>497</v>
      </c>
      <c r="B346" s="66" t="str">
        <f>main!C349</f>
        <v>งานระบบกันซึม</v>
      </c>
      <c r="C346" s="67">
        <f>main!O349</f>
        <v>200000</v>
      </c>
      <c r="D346" s="65" t="s">
        <v>110</v>
      </c>
      <c r="E346" s="68">
        <f t="shared" si="5"/>
        <v>100.000001</v>
      </c>
      <c r="F346" s="68" t="str">
        <f>IF(main!R349="","",ROUND(main!R349*100,6))</f>
        <v/>
      </c>
      <c r="G346" s="68" t="str">
        <f>IF(main!S349="","",ROUND(main!S349*100,6))</f>
        <v/>
      </c>
      <c r="H346" s="68" t="str">
        <f>IF(main!T349="","",ROUND(main!T349*100,6))</f>
        <v/>
      </c>
      <c r="I346" s="68" t="str">
        <f>IF(main!U349="","",ROUND(main!U349*100,6))</f>
        <v/>
      </c>
      <c r="J346" s="68" t="str">
        <f>IF(main!V349="","",ROUND(main!V349*100,6))</f>
        <v/>
      </c>
      <c r="K346" s="68" t="str">
        <f>IF(main!W349="","",ROUND(main!W349*100,6))</f>
        <v/>
      </c>
      <c r="L346" s="68" t="str">
        <f>IF(main!X349="","",ROUND(main!X349*100,6))</f>
        <v/>
      </c>
      <c r="M346" s="68" t="str">
        <f>IF(main!Y349="","",ROUND(main!Y349*100,6))</f>
        <v/>
      </c>
      <c r="N346" s="68" t="str">
        <f>IF(main!Z349="","",ROUND(main!Z349*100,6))</f>
        <v/>
      </c>
      <c r="O346" s="68" t="str">
        <f>IF(main!AA349="","",ROUND(main!AA349*100,6))</f>
        <v/>
      </c>
      <c r="P346" s="68" t="str">
        <f>IF(main!AB349="","",ROUND(main!AB349*100,6))</f>
        <v/>
      </c>
      <c r="Q346" s="68" t="str">
        <f>IF(main!AC349="","",ROUND(main!AC349*100,6))</f>
        <v/>
      </c>
      <c r="R346" s="68" t="str">
        <f>IF(main!AD349="","",ROUND(main!AD349*100,6))</f>
        <v/>
      </c>
      <c r="S346" s="68" t="str">
        <f>IF(main!AE349="","",ROUND(main!AE349*100,6))</f>
        <v/>
      </c>
      <c r="T346" s="68" t="str">
        <f>IF(main!AF349="","",ROUND(main!AF349*100,6))</f>
        <v/>
      </c>
      <c r="U346" s="68" t="str">
        <f>IF(main!AG349="","",ROUND(main!AG349*100,6))</f>
        <v/>
      </c>
      <c r="V346" s="68" t="str">
        <f>IF(main!AH349="","",ROUND(main!AH349*100,6))</f>
        <v/>
      </c>
      <c r="W346" s="68" t="str">
        <f>IF(main!AI349="","",ROUND(main!AI349*100,6))</f>
        <v/>
      </c>
      <c r="X346" s="68" t="str">
        <f>IF(main!AJ349="","",ROUND(main!AJ349*100,6))</f>
        <v/>
      </c>
      <c r="Y346" s="68" t="str">
        <f>IF(main!AK349="","",ROUND(main!AK349*100,6))</f>
        <v/>
      </c>
      <c r="Z346" s="68" t="str">
        <f>IF(main!AL349="","",ROUND(main!AL349*100,6))</f>
        <v/>
      </c>
      <c r="AA346" s="68" t="str">
        <f>IF(main!AM349="","",ROUND(main!AM349*100,6))</f>
        <v/>
      </c>
      <c r="AB346" s="68" t="str">
        <f>IF(main!AN349="","",ROUND(main!AN349*100,6))</f>
        <v/>
      </c>
      <c r="AC346" s="68" t="str">
        <f>IF(main!AO349="","",ROUND(main!AO349*100,6))</f>
        <v/>
      </c>
      <c r="AD346" s="68" t="str">
        <f>IF(main!AP349="","",ROUND(main!AP349*100,6))</f>
        <v/>
      </c>
      <c r="AE346" s="68" t="str">
        <f>IF(main!AQ349="","",ROUND(main!AQ349*100,6))</f>
        <v/>
      </c>
      <c r="AF346" s="68" t="str">
        <f>IF(main!AR349="","",ROUND(main!AR349*100,6))</f>
        <v/>
      </c>
      <c r="AG346" s="68" t="str">
        <f>IF(main!AS349="","",ROUND(main!AS349*100,6))</f>
        <v/>
      </c>
      <c r="AH346" s="68" t="str">
        <f>IF(main!AT349="","",ROUND(main!AT349*100,6))</f>
        <v/>
      </c>
      <c r="AI346" s="68" t="str">
        <f>IF(main!AU349="","",ROUND(main!AU349*100,6))</f>
        <v/>
      </c>
      <c r="AJ346" s="68" t="str">
        <f>IF(main!AV349="","",ROUND(main!AV349*100,6))</f>
        <v/>
      </c>
      <c r="AK346" s="68" t="str">
        <f>IF(main!AW349="","",ROUND(main!AW349*100,6))</f>
        <v/>
      </c>
      <c r="AL346" s="68" t="str">
        <f>IF(main!AX349="","",ROUND(main!AX349*100,6))</f>
        <v/>
      </c>
      <c r="AM346" s="68" t="str">
        <f>IF(main!AY349="","",ROUND(main!AY349*100,6))</f>
        <v/>
      </c>
      <c r="AN346" s="68" t="str">
        <f>IF(main!AZ349="","",ROUND(main!AZ349*100,6))</f>
        <v/>
      </c>
      <c r="AO346" s="68" t="str">
        <f>IF(main!BA349="","",ROUND(main!BA349*100,6))</f>
        <v/>
      </c>
      <c r="AP346" s="68" t="str">
        <f>IF(main!BB349="","",ROUND(main!BB349*100,6))</f>
        <v/>
      </c>
      <c r="AQ346" s="68" t="str">
        <f>IF(main!BC349="","",ROUND(main!BC349*100,6))</f>
        <v/>
      </c>
      <c r="AR346" s="68" t="str">
        <f>IF(main!BD349="","",ROUND(main!BD349*100,6))</f>
        <v/>
      </c>
      <c r="AS346" s="68" t="str">
        <f>IF(main!BE349="","",ROUND(main!BE349*100,6))</f>
        <v/>
      </c>
      <c r="AT346" s="68" t="str">
        <f>IF(main!BF349="","",ROUND(main!BF349*100,6))</f>
        <v/>
      </c>
      <c r="AU346" s="68" t="str">
        <f>IF(main!BG349="","",ROUND(main!BG349*100,6))</f>
        <v/>
      </c>
      <c r="AV346" s="68">
        <f>IF(main!BH349="","",ROUND(main!BH349*100,6))</f>
        <v>13.157895</v>
      </c>
      <c r="AW346" s="68">
        <f>IF(main!BI349="","",ROUND(main!BI349*100,6))</f>
        <v>18.421053000000001</v>
      </c>
      <c r="AX346" s="68">
        <f>IF(main!BJ349="","",ROUND(main!BJ349*100,6))</f>
        <v>18.421053000000001</v>
      </c>
      <c r="AY346" s="68">
        <f>IF(main!BK349="","",ROUND(main!BK349*100,6))</f>
        <v>6.25</v>
      </c>
      <c r="AZ346" s="68">
        <f>IF(main!BL349="","",ROUND(main!BL349*100,6))</f>
        <v>8.75</v>
      </c>
      <c r="BA346" s="68">
        <f>IF(main!BM349="","",ROUND(main!BM349*100,6))</f>
        <v>8.75</v>
      </c>
      <c r="BB346" s="68">
        <f>IF(main!BN349="","",ROUND(main!BN349*100,6))</f>
        <v>8.75</v>
      </c>
      <c r="BC346" s="68">
        <f>IF(main!BO349="","",ROUND(main!BO349*100,6))</f>
        <v>8.75</v>
      </c>
      <c r="BD346" s="68">
        <f>IF(main!BP349="","",ROUND(main!BP349*100,6))</f>
        <v>8.75</v>
      </c>
      <c r="BE346" s="68" t="str">
        <f>IF(main!BQ349="","",ROUND(main!BQ349*100,6))</f>
        <v/>
      </c>
      <c r="BF346" s="68" t="str">
        <f>IF(main!BR349="","",ROUND(main!BR349*100,6))</f>
        <v/>
      </c>
      <c r="BG346" s="68" t="str">
        <f>IF(main!BS349="","",ROUND(main!BS349*100,6))</f>
        <v/>
      </c>
      <c r="BH346" s="68" t="str">
        <f>IF(main!BT349="","",ROUND(main!BT349*100,6))</f>
        <v/>
      </c>
      <c r="BI346" s="68" t="str">
        <f>IF(main!BU349="","",ROUND(main!BU349*100,6))</f>
        <v/>
      </c>
      <c r="BJ346" s="68" t="str">
        <f>IF(main!BV349="","",ROUND(main!BV349*100,6))</f>
        <v/>
      </c>
      <c r="BK346" s="68" t="str">
        <f>IF(main!BW349="","",ROUND(main!BW349*100,6))</f>
        <v/>
      </c>
      <c r="BL346" s="68" t="str">
        <f>IF(main!BX349="","",ROUND(main!BX349*100,6))</f>
        <v/>
      </c>
      <c r="BM346" s="68" t="str">
        <f>IF(main!BY349="","",ROUND(main!BY349*100,6))</f>
        <v/>
      </c>
      <c r="BN346" s="68" t="str">
        <f>IF(main!BZ349="","",ROUND(main!BZ349*100,6))</f>
        <v/>
      </c>
      <c r="BO346" s="68" t="str">
        <f>IF(main!CA349="","",ROUND(main!CA349*100,6))</f>
        <v/>
      </c>
      <c r="BP346" s="68" t="str">
        <f>IF(main!CB349="","",ROUND(main!CB349*100,6))</f>
        <v/>
      </c>
      <c r="BQ346" s="68" t="str">
        <f>IF(main!CC349="","",ROUND(main!CC349*100,6))</f>
        <v/>
      </c>
      <c r="BR346" s="68" t="str">
        <f>IF(main!CD349="","",ROUND(main!CD349*100,6))</f>
        <v/>
      </c>
      <c r="BS346" s="68" t="str">
        <f>IF(main!CE349="","",ROUND(main!CE349*100,6))</f>
        <v/>
      </c>
      <c r="BT346" s="68" t="str">
        <f>IF(main!CF349="","",ROUND(main!CF349*100,6))</f>
        <v/>
      </c>
      <c r="BU346" s="68" t="str">
        <f>IF(main!CG349="","",ROUND(main!CG349*100,6))</f>
        <v/>
      </c>
      <c r="BV346" s="68" t="str">
        <f>IF(main!CH349="","",ROUND(main!CH349*100,6))</f>
        <v/>
      </c>
      <c r="BW346" s="68" t="str">
        <f>IF(main!CI349="","",ROUND(main!CI349*100,6))</f>
        <v/>
      </c>
      <c r="BX346" s="68" t="str">
        <f>IF(main!CJ349="","",ROUND(main!CJ349*100,6))</f>
        <v/>
      </c>
      <c r="BY346" s="68" t="str">
        <f>IF(main!CK349="","",ROUND(main!CK349*100,6))</f>
        <v/>
      </c>
      <c r="BZ346" s="68" t="str">
        <f>IF(main!CL349="","",ROUND(main!CL349*100,6))</f>
        <v/>
      </c>
      <c r="CA346" s="68" t="str">
        <f>IF(main!CM349="","",ROUND(main!CM349*100,6))</f>
        <v/>
      </c>
      <c r="CB346" s="68" t="str">
        <f>IF(main!CN349="","",ROUND(main!CN349*100,6))</f>
        <v/>
      </c>
      <c r="CC346" s="68" t="str">
        <f>IF(main!CO349="","",ROUND(main!CO349*100,6))</f>
        <v/>
      </c>
    </row>
    <row r="347" spans="1:81" x14ac:dyDescent="0.25">
      <c r="A347" s="65" t="s">
        <v>497</v>
      </c>
      <c r="B347" s="66" t="str">
        <f>main!C349</f>
        <v>งานระบบกันซึม</v>
      </c>
      <c r="C347" s="67">
        <f>main!O349</f>
        <v>200000</v>
      </c>
      <c r="D347" s="65" t="s">
        <v>111</v>
      </c>
      <c r="E347" s="68" t="str">
        <f t="shared" si="5"/>
        <v/>
      </c>
      <c r="F347" s="68" t="str">
        <f>IF(main!R350="","",ROUND(main!R350*100,6))</f>
        <v/>
      </c>
      <c r="G347" s="68" t="str">
        <f>IF(main!S350="","",ROUND(main!S350*100,6))</f>
        <v/>
      </c>
      <c r="H347" s="68" t="str">
        <f>IF(main!T350="","",ROUND(main!T350*100,6))</f>
        <v/>
      </c>
      <c r="I347" s="68" t="str">
        <f>IF(main!U350="","",ROUND(main!U350*100,6))</f>
        <v/>
      </c>
      <c r="J347" s="68" t="str">
        <f>IF(main!V350="","",ROUND(main!V350*100,6))</f>
        <v/>
      </c>
      <c r="K347" s="68" t="str">
        <f>IF(main!W350="","",ROUND(main!W350*100,6))</f>
        <v/>
      </c>
      <c r="L347" s="68" t="str">
        <f>IF(main!X350="","",ROUND(main!X350*100,6))</f>
        <v/>
      </c>
      <c r="M347" s="68" t="str">
        <f>IF(main!Y350="","",ROUND(main!Y350*100,6))</f>
        <v/>
      </c>
      <c r="N347" s="68" t="str">
        <f>IF(main!Z350="","",ROUND(main!Z350*100,6))</f>
        <v/>
      </c>
      <c r="O347" s="68" t="str">
        <f>IF(main!AA350="","",ROUND(main!AA350*100,6))</f>
        <v/>
      </c>
      <c r="P347" s="68" t="str">
        <f>IF(main!AB350="","",ROUND(main!AB350*100,6))</f>
        <v/>
      </c>
      <c r="Q347" s="68" t="str">
        <f>IF(main!AC350="","",ROUND(main!AC350*100,6))</f>
        <v/>
      </c>
      <c r="R347" s="68" t="str">
        <f>IF(main!AD350="","",ROUND(main!AD350*100,6))</f>
        <v/>
      </c>
      <c r="S347" s="68" t="str">
        <f>IF(main!AE350="","",ROUND(main!AE350*100,6))</f>
        <v/>
      </c>
      <c r="T347" s="68" t="str">
        <f>IF(main!AF350="","",ROUND(main!AF350*100,6))</f>
        <v/>
      </c>
      <c r="U347" s="68" t="str">
        <f>IF(main!AG350="","",ROUND(main!AG350*100,6))</f>
        <v/>
      </c>
      <c r="V347" s="68" t="str">
        <f>IF(main!AH350="","",ROUND(main!AH350*100,6))</f>
        <v/>
      </c>
      <c r="W347" s="68" t="str">
        <f>IF(main!AI350="","",ROUND(main!AI350*100,6))</f>
        <v/>
      </c>
      <c r="X347" s="68" t="str">
        <f>IF(main!AJ350="","",ROUND(main!AJ350*100,6))</f>
        <v/>
      </c>
      <c r="Y347" s="68" t="str">
        <f>IF(main!AK350="","",ROUND(main!AK350*100,6))</f>
        <v/>
      </c>
      <c r="Z347" s="68" t="str">
        <f>IF(main!AL350="","",ROUND(main!AL350*100,6))</f>
        <v/>
      </c>
      <c r="AA347" s="68" t="str">
        <f>IF(main!AM350="","",ROUND(main!AM350*100,6))</f>
        <v/>
      </c>
      <c r="AB347" s="68" t="str">
        <f>IF(main!AN350="","",ROUND(main!AN350*100,6))</f>
        <v/>
      </c>
      <c r="AC347" s="68" t="str">
        <f>IF(main!AO350="","",ROUND(main!AO350*100,6))</f>
        <v/>
      </c>
      <c r="AD347" s="68" t="str">
        <f>IF(main!AP350="","",ROUND(main!AP350*100,6))</f>
        <v/>
      </c>
      <c r="AE347" s="68" t="str">
        <f>IF(main!AQ350="","",ROUND(main!AQ350*100,6))</f>
        <v/>
      </c>
      <c r="AF347" s="68" t="str">
        <f>IF(main!AR350="","",ROUND(main!AR350*100,6))</f>
        <v/>
      </c>
      <c r="AG347" s="68" t="str">
        <f>IF(main!AS350="","",ROUND(main!AS350*100,6))</f>
        <v/>
      </c>
      <c r="AH347" s="68" t="str">
        <f>IF(main!AT350="","",ROUND(main!AT350*100,6))</f>
        <v/>
      </c>
      <c r="AI347" s="68" t="str">
        <f>IF(main!AU350="","",ROUND(main!AU350*100,6))</f>
        <v/>
      </c>
      <c r="AJ347" s="68" t="str">
        <f>IF(main!AV350="","",ROUND(main!AV350*100,6))</f>
        <v/>
      </c>
      <c r="AK347" s="68" t="str">
        <f>IF(main!AW350="","",ROUND(main!AW350*100,6))</f>
        <v/>
      </c>
      <c r="AL347" s="68" t="str">
        <f>IF(main!AX350="","",ROUND(main!AX350*100,6))</f>
        <v/>
      </c>
      <c r="AM347" s="68" t="str">
        <f>IF(main!AY350="","",ROUND(main!AY350*100,6))</f>
        <v/>
      </c>
      <c r="AN347" s="68" t="str">
        <f>IF(main!AZ350="","",ROUND(main!AZ350*100,6))</f>
        <v/>
      </c>
      <c r="AO347" s="68" t="str">
        <f>IF(main!BA350="","",ROUND(main!BA350*100,6))</f>
        <v/>
      </c>
      <c r="AP347" s="68" t="str">
        <f>IF(main!BB350="","",ROUND(main!BB350*100,6))</f>
        <v/>
      </c>
      <c r="AQ347" s="68" t="str">
        <f>IF(main!BC350="","",ROUND(main!BC350*100,6))</f>
        <v/>
      </c>
      <c r="AR347" s="68" t="str">
        <f>IF(main!BD350="","",ROUND(main!BD350*100,6))</f>
        <v/>
      </c>
      <c r="AS347" s="68" t="str">
        <f>IF(main!BE350="","",ROUND(main!BE350*100,6))</f>
        <v/>
      </c>
      <c r="AT347" s="68" t="str">
        <f>IF(main!BF350="","",ROUND(main!BF350*100,6))</f>
        <v/>
      </c>
      <c r="AU347" s="68" t="str">
        <f>IF(main!BG350="","",ROUND(main!BG350*100,6))</f>
        <v/>
      </c>
      <c r="AV347" s="68" t="str">
        <f>IF(main!BH350="","",ROUND(main!BH350*100,6))</f>
        <v/>
      </c>
      <c r="AW347" s="68" t="str">
        <f>IF(main!BI350="","",ROUND(main!BI350*100,6))</f>
        <v/>
      </c>
      <c r="AX347" s="68" t="str">
        <f>IF(main!BJ350="","",ROUND(main!BJ350*100,6))</f>
        <v/>
      </c>
      <c r="AY347" s="68" t="str">
        <f>IF(main!BK350="","",ROUND(main!BK350*100,6))</f>
        <v/>
      </c>
      <c r="AZ347" s="68" t="str">
        <f>IF(main!BL350="","",ROUND(main!BL350*100,6))</f>
        <v/>
      </c>
      <c r="BA347" s="68" t="str">
        <f>IF(main!BM350="","",ROUND(main!BM350*100,6))</f>
        <v/>
      </c>
      <c r="BB347" s="68" t="str">
        <f>IF(main!BN350="","",ROUND(main!BN350*100,6))</f>
        <v/>
      </c>
      <c r="BC347" s="68" t="str">
        <f>IF(main!BO350="","",ROUND(main!BO350*100,6))</f>
        <v/>
      </c>
      <c r="BD347" s="68" t="str">
        <f>IF(main!BP350="","",ROUND(main!BP350*100,6))</f>
        <v/>
      </c>
      <c r="BE347" s="68" t="str">
        <f>IF(main!BQ350="","",ROUND(main!BQ350*100,6))</f>
        <v/>
      </c>
      <c r="BF347" s="68" t="str">
        <f>IF(main!BR350="","",ROUND(main!BR350*100,6))</f>
        <v/>
      </c>
      <c r="BG347" s="68" t="str">
        <f>IF(main!BS350="","",ROUND(main!BS350*100,6))</f>
        <v/>
      </c>
      <c r="BH347" s="68" t="str">
        <f>IF(main!BT350="","",ROUND(main!BT350*100,6))</f>
        <v/>
      </c>
      <c r="BI347" s="68" t="str">
        <f>IF(main!BU350="","",ROUND(main!BU350*100,6))</f>
        <v/>
      </c>
      <c r="BJ347" s="68" t="str">
        <f>IF(main!BV350="","",ROUND(main!BV350*100,6))</f>
        <v/>
      </c>
      <c r="BK347" s="68" t="str">
        <f>IF(main!BW350="","",ROUND(main!BW350*100,6))</f>
        <v/>
      </c>
      <c r="BL347" s="68" t="str">
        <f>IF(main!BX350="","",ROUND(main!BX350*100,6))</f>
        <v/>
      </c>
      <c r="BM347" s="68" t="str">
        <f>IF(main!BY350="","",ROUND(main!BY350*100,6))</f>
        <v/>
      </c>
      <c r="BN347" s="68" t="str">
        <f>IF(main!BZ350="","",ROUND(main!BZ350*100,6))</f>
        <v/>
      </c>
      <c r="BO347" s="68" t="str">
        <f>IF(main!CA350="","",ROUND(main!CA350*100,6))</f>
        <v/>
      </c>
      <c r="BP347" s="68" t="str">
        <f>IF(main!CB350="","",ROUND(main!CB350*100,6))</f>
        <v/>
      </c>
      <c r="BQ347" s="68" t="str">
        <f>IF(main!CC350="","",ROUND(main!CC350*100,6))</f>
        <v/>
      </c>
      <c r="BR347" s="68" t="str">
        <f>IF(main!CD350="","",ROUND(main!CD350*100,6))</f>
        <v/>
      </c>
      <c r="BS347" s="68" t="str">
        <f>IF(main!CE350="","",ROUND(main!CE350*100,6))</f>
        <v/>
      </c>
      <c r="BT347" s="68" t="str">
        <f>IF(main!CF350="","",ROUND(main!CF350*100,6))</f>
        <v/>
      </c>
      <c r="BU347" s="68" t="str">
        <f>IF(main!CG350="","",ROUND(main!CG350*100,6))</f>
        <v/>
      </c>
      <c r="BV347" s="68" t="str">
        <f>IF(main!CH350="","",ROUND(main!CH350*100,6))</f>
        <v/>
      </c>
      <c r="BW347" s="68" t="str">
        <f>IF(main!CI350="","",ROUND(main!CI350*100,6))</f>
        <v/>
      </c>
      <c r="BX347" s="68" t="str">
        <f>IF(main!CJ350="","",ROUND(main!CJ350*100,6))</f>
        <v/>
      </c>
      <c r="BY347" s="68" t="str">
        <f>IF(main!CK350="","",ROUND(main!CK350*100,6))</f>
        <v/>
      </c>
      <c r="BZ347" s="68" t="str">
        <f>IF(main!CL350="","",ROUND(main!CL350*100,6))</f>
        <v/>
      </c>
      <c r="CA347" s="68" t="str">
        <f>IF(main!CM350="","",ROUND(main!CM350*100,6))</f>
        <v/>
      </c>
      <c r="CB347" s="68" t="str">
        <f>IF(main!CN350="","",ROUND(main!CN350*100,6))</f>
        <v/>
      </c>
      <c r="CC347" s="68" t="str">
        <f>IF(main!CO350="","",ROUND(main!CO350*100,6))</f>
        <v/>
      </c>
    </row>
    <row r="348" spans="1:81" x14ac:dyDescent="0.25">
      <c r="A348" s="65" t="s">
        <v>499</v>
      </c>
      <c r="B348" s="66" t="str">
        <f>main!C351</f>
        <v>งานระบบกันซึมรางน้ำ</v>
      </c>
      <c r="C348" s="67">
        <f>main!O351</f>
        <v>100000</v>
      </c>
      <c r="D348" s="65" t="s">
        <v>110</v>
      </c>
      <c r="E348" s="68">
        <f t="shared" si="5"/>
        <v>99.999999000000003</v>
      </c>
      <c r="F348" s="68" t="str">
        <f>IF(main!R351="","",ROUND(main!R351*100,6))</f>
        <v/>
      </c>
      <c r="G348" s="68" t="str">
        <f>IF(main!S351="","",ROUND(main!S351*100,6))</f>
        <v/>
      </c>
      <c r="H348" s="68" t="str">
        <f>IF(main!T351="","",ROUND(main!T351*100,6))</f>
        <v/>
      </c>
      <c r="I348" s="68" t="str">
        <f>IF(main!U351="","",ROUND(main!U351*100,6))</f>
        <v/>
      </c>
      <c r="J348" s="68" t="str">
        <f>IF(main!V351="","",ROUND(main!V351*100,6))</f>
        <v/>
      </c>
      <c r="K348" s="68" t="str">
        <f>IF(main!W351="","",ROUND(main!W351*100,6))</f>
        <v/>
      </c>
      <c r="L348" s="68" t="str">
        <f>IF(main!X351="","",ROUND(main!X351*100,6))</f>
        <v/>
      </c>
      <c r="M348" s="68" t="str">
        <f>IF(main!Y351="","",ROUND(main!Y351*100,6))</f>
        <v/>
      </c>
      <c r="N348" s="68" t="str">
        <f>IF(main!Z351="","",ROUND(main!Z351*100,6))</f>
        <v/>
      </c>
      <c r="O348" s="68" t="str">
        <f>IF(main!AA351="","",ROUND(main!AA351*100,6))</f>
        <v/>
      </c>
      <c r="P348" s="68" t="str">
        <f>IF(main!AB351="","",ROUND(main!AB351*100,6))</f>
        <v/>
      </c>
      <c r="Q348" s="68" t="str">
        <f>IF(main!AC351="","",ROUND(main!AC351*100,6))</f>
        <v/>
      </c>
      <c r="R348" s="68" t="str">
        <f>IF(main!AD351="","",ROUND(main!AD351*100,6))</f>
        <v/>
      </c>
      <c r="S348" s="68" t="str">
        <f>IF(main!AE351="","",ROUND(main!AE351*100,6))</f>
        <v/>
      </c>
      <c r="T348" s="68" t="str">
        <f>IF(main!AF351="","",ROUND(main!AF351*100,6))</f>
        <v/>
      </c>
      <c r="U348" s="68" t="str">
        <f>IF(main!AG351="","",ROUND(main!AG351*100,6))</f>
        <v/>
      </c>
      <c r="V348" s="68" t="str">
        <f>IF(main!AH351="","",ROUND(main!AH351*100,6))</f>
        <v/>
      </c>
      <c r="W348" s="68" t="str">
        <f>IF(main!AI351="","",ROUND(main!AI351*100,6))</f>
        <v/>
      </c>
      <c r="X348" s="68" t="str">
        <f>IF(main!AJ351="","",ROUND(main!AJ351*100,6))</f>
        <v/>
      </c>
      <c r="Y348" s="68" t="str">
        <f>IF(main!AK351="","",ROUND(main!AK351*100,6))</f>
        <v/>
      </c>
      <c r="Z348" s="68" t="str">
        <f>IF(main!AL351="","",ROUND(main!AL351*100,6))</f>
        <v/>
      </c>
      <c r="AA348" s="68" t="str">
        <f>IF(main!AM351="","",ROUND(main!AM351*100,6))</f>
        <v/>
      </c>
      <c r="AB348" s="68" t="str">
        <f>IF(main!AN351="","",ROUND(main!AN351*100,6))</f>
        <v/>
      </c>
      <c r="AC348" s="68" t="str">
        <f>IF(main!AO351="","",ROUND(main!AO351*100,6))</f>
        <v/>
      </c>
      <c r="AD348" s="68" t="str">
        <f>IF(main!AP351="","",ROUND(main!AP351*100,6))</f>
        <v/>
      </c>
      <c r="AE348" s="68" t="str">
        <f>IF(main!AQ351="","",ROUND(main!AQ351*100,6))</f>
        <v/>
      </c>
      <c r="AF348" s="68" t="str">
        <f>IF(main!AR351="","",ROUND(main!AR351*100,6))</f>
        <v/>
      </c>
      <c r="AG348" s="68" t="str">
        <f>IF(main!AS351="","",ROUND(main!AS351*100,6))</f>
        <v/>
      </c>
      <c r="AH348" s="68" t="str">
        <f>IF(main!AT351="","",ROUND(main!AT351*100,6))</f>
        <v/>
      </c>
      <c r="AI348" s="68" t="str">
        <f>IF(main!AU351="","",ROUND(main!AU351*100,6))</f>
        <v/>
      </c>
      <c r="AJ348" s="68" t="str">
        <f>IF(main!AV351="","",ROUND(main!AV351*100,6))</f>
        <v/>
      </c>
      <c r="AK348" s="68" t="str">
        <f>IF(main!AW351="","",ROUND(main!AW351*100,6))</f>
        <v/>
      </c>
      <c r="AL348" s="68" t="str">
        <f>IF(main!AX351="","",ROUND(main!AX351*100,6))</f>
        <v/>
      </c>
      <c r="AM348" s="68" t="str">
        <f>IF(main!AY351="","",ROUND(main!AY351*100,6))</f>
        <v/>
      </c>
      <c r="AN348" s="68" t="str">
        <f>IF(main!AZ351="","",ROUND(main!AZ351*100,6))</f>
        <v/>
      </c>
      <c r="AO348" s="68" t="str">
        <f>IF(main!BA351="","",ROUND(main!BA351*100,6))</f>
        <v/>
      </c>
      <c r="AP348" s="68" t="str">
        <f>IF(main!BB351="","",ROUND(main!BB351*100,6))</f>
        <v/>
      </c>
      <c r="AQ348" s="68" t="str">
        <f>IF(main!BC351="","",ROUND(main!BC351*100,6))</f>
        <v/>
      </c>
      <c r="AR348" s="68" t="str">
        <f>IF(main!BD351="","",ROUND(main!BD351*100,6))</f>
        <v/>
      </c>
      <c r="AS348" s="68" t="str">
        <f>IF(main!BE351="","",ROUND(main!BE351*100,6))</f>
        <v/>
      </c>
      <c r="AT348" s="68" t="str">
        <f>IF(main!BF351="","",ROUND(main!BF351*100,6))</f>
        <v/>
      </c>
      <c r="AU348" s="68" t="str">
        <f>IF(main!BG351="","",ROUND(main!BG351*100,6))</f>
        <v/>
      </c>
      <c r="AV348" s="68">
        <f>IF(main!BH351="","",ROUND(main!BH351*100,6))</f>
        <v>26.315788999999999</v>
      </c>
      <c r="AW348" s="68">
        <f>IF(main!BI351="","",ROUND(main!BI351*100,6))</f>
        <v>36.842104999999997</v>
      </c>
      <c r="AX348" s="68">
        <f>IF(main!BJ351="","",ROUND(main!BJ351*100,6))</f>
        <v>36.842104999999997</v>
      </c>
      <c r="AY348" s="68" t="str">
        <f>IF(main!BK351="","",ROUND(main!BK351*100,6))</f>
        <v/>
      </c>
      <c r="AZ348" s="68" t="str">
        <f>IF(main!BL351="","",ROUND(main!BL351*100,6))</f>
        <v/>
      </c>
      <c r="BA348" s="68" t="str">
        <f>IF(main!BM351="","",ROUND(main!BM351*100,6))</f>
        <v/>
      </c>
      <c r="BB348" s="68" t="str">
        <f>IF(main!BN351="","",ROUND(main!BN351*100,6))</f>
        <v/>
      </c>
      <c r="BC348" s="68" t="str">
        <f>IF(main!BO351="","",ROUND(main!BO351*100,6))</f>
        <v/>
      </c>
      <c r="BD348" s="68" t="str">
        <f>IF(main!BP351="","",ROUND(main!BP351*100,6))</f>
        <v/>
      </c>
      <c r="BE348" s="68" t="str">
        <f>IF(main!BQ351="","",ROUND(main!BQ351*100,6))</f>
        <v/>
      </c>
      <c r="BF348" s="68" t="str">
        <f>IF(main!BR351="","",ROUND(main!BR351*100,6))</f>
        <v/>
      </c>
      <c r="BG348" s="68" t="str">
        <f>IF(main!BS351="","",ROUND(main!BS351*100,6))</f>
        <v/>
      </c>
      <c r="BH348" s="68" t="str">
        <f>IF(main!BT351="","",ROUND(main!BT351*100,6))</f>
        <v/>
      </c>
      <c r="BI348" s="68" t="str">
        <f>IF(main!BU351="","",ROUND(main!BU351*100,6))</f>
        <v/>
      </c>
      <c r="BJ348" s="68" t="str">
        <f>IF(main!BV351="","",ROUND(main!BV351*100,6))</f>
        <v/>
      </c>
      <c r="BK348" s="68" t="str">
        <f>IF(main!BW351="","",ROUND(main!BW351*100,6))</f>
        <v/>
      </c>
      <c r="BL348" s="68" t="str">
        <f>IF(main!BX351="","",ROUND(main!BX351*100,6))</f>
        <v/>
      </c>
      <c r="BM348" s="68" t="str">
        <f>IF(main!BY351="","",ROUND(main!BY351*100,6))</f>
        <v/>
      </c>
      <c r="BN348" s="68" t="str">
        <f>IF(main!BZ351="","",ROUND(main!BZ351*100,6))</f>
        <v/>
      </c>
      <c r="BO348" s="68" t="str">
        <f>IF(main!CA351="","",ROUND(main!CA351*100,6))</f>
        <v/>
      </c>
      <c r="BP348" s="68" t="str">
        <f>IF(main!CB351="","",ROUND(main!CB351*100,6))</f>
        <v/>
      </c>
      <c r="BQ348" s="68" t="str">
        <f>IF(main!CC351="","",ROUND(main!CC351*100,6))</f>
        <v/>
      </c>
      <c r="BR348" s="68" t="str">
        <f>IF(main!CD351="","",ROUND(main!CD351*100,6))</f>
        <v/>
      </c>
      <c r="BS348" s="68" t="str">
        <f>IF(main!CE351="","",ROUND(main!CE351*100,6))</f>
        <v/>
      </c>
      <c r="BT348" s="68" t="str">
        <f>IF(main!CF351="","",ROUND(main!CF351*100,6))</f>
        <v/>
      </c>
      <c r="BU348" s="68" t="str">
        <f>IF(main!CG351="","",ROUND(main!CG351*100,6))</f>
        <v/>
      </c>
      <c r="BV348" s="68" t="str">
        <f>IF(main!CH351="","",ROUND(main!CH351*100,6))</f>
        <v/>
      </c>
      <c r="BW348" s="68" t="str">
        <f>IF(main!CI351="","",ROUND(main!CI351*100,6))</f>
        <v/>
      </c>
      <c r="BX348" s="68" t="str">
        <f>IF(main!CJ351="","",ROUND(main!CJ351*100,6))</f>
        <v/>
      </c>
      <c r="BY348" s="68" t="str">
        <f>IF(main!CK351="","",ROUND(main!CK351*100,6))</f>
        <v/>
      </c>
      <c r="BZ348" s="68" t="str">
        <f>IF(main!CL351="","",ROUND(main!CL351*100,6))</f>
        <v/>
      </c>
      <c r="CA348" s="68" t="str">
        <f>IF(main!CM351="","",ROUND(main!CM351*100,6))</f>
        <v/>
      </c>
      <c r="CB348" s="68" t="str">
        <f>IF(main!CN351="","",ROUND(main!CN351*100,6))</f>
        <v/>
      </c>
      <c r="CC348" s="68" t="str">
        <f>IF(main!CO351="","",ROUND(main!CO351*100,6))</f>
        <v/>
      </c>
    </row>
    <row r="349" spans="1:81" x14ac:dyDescent="0.25">
      <c r="A349" s="65" t="s">
        <v>499</v>
      </c>
      <c r="B349" s="66" t="str">
        <f>main!C351</f>
        <v>งานระบบกันซึมรางน้ำ</v>
      </c>
      <c r="C349" s="67">
        <f>main!O351</f>
        <v>100000</v>
      </c>
      <c r="D349" s="65" t="s">
        <v>111</v>
      </c>
      <c r="E349" s="68" t="str">
        <f t="shared" si="5"/>
        <v/>
      </c>
      <c r="F349" s="68" t="str">
        <f>IF(main!R352="","",ROUND(main!R352*100,6))</f>
        <v/>
      </c>
      <c r="G349" s="68" t="str">
        <f>IF(main!S352="","",ROUND(main!S352*100,6))</f>
        <v/>
      </c>
      <c r="H349" s="68" t="str">
        <f>IF(main!T352="","",ROUND(main!T352*100,6))</f>
        <v/>
      </c>
      <c r="I349" s="68" t="str">
        <f>IF(main!U352="","",ROUND(main!U352*100,6))</f>
        <v/>
      </c>
      <c r="J349" s="68" t="str">
        <f>IF(main!V352="","",ROUND(main!V352*100,6))</f>
        <v/>
      </c>
      <c r="K349" s="68" t="str">
        <f>IF(main!W352="","",ROUND(main!W352*100,6))</f>
        <v/>
      </c>
      <c r="L349" s="68" t="str">
        <f>IF(main!X352="","",ROUND(main!X352*100,6))</f>
        <v/>
      </c>
      <c r="M349" s="68" t="str">
        <f>IF(main!Y352="","",ROUND(main!Y352*100,6))</f>
        <v/>
      </c>
      <c r="N349" s="68" t="str">
        <f>IF(main!Z352="","",ROUND(main!Z352*100,6))</f>
        <v/>
      </c>
      <c r="O349" s="68" t="str">
        <f>IF(main!AA352="","",ROUND(main!AA352*100,6))</f>
        <v/>
      </c>
      <c r="P349" s="68" t="str">
        <f>IF(main!AB352="","",ROUND(main!AB352*100,6))</f>
        <v/>
      </c>
      <c r="Q349" s="68" t="str">
        <f>IF(main!AC352="","",ROUND(main!AC352*100,6))</f>
        <v/>
      </c>
      <c r="R349" s="68" t="str">
        <f>IF(main!AD352="","",ROUND(main!AD352*100,6))</f>
        <v/>
      </c>
      <c r="S349" s="68" t="str">
        <f>IF(main!AE352="","",ROUND(main!AE352*100,6))</f>
        <v/>
      </c>
      <c r="T349" s="68" t="str">
        <f>IF(main!AF352="","",ROUND(main!AF352*100,6))</f>
        <v/>
      </c>
      <c r="U349" s="68" t="str">
        <f>IF(main!AG352="","",ROUND(main!AG352*100,6))</f>
        <v/>
      </c>
      <c r="V349" s="68" t="str">
        <f>IF(main!AH352="","",ROUND(main!AH352*100,6))</f>
        <v/>
      </c>
      <c r="W349" s="68" t="str">
        <f>IF(main!AI352="","",ROUND(main!AI352*100,6))</f>
        <v/>
      </c>
      <c r="X349" s="68" t="str">
        <f>IF(main!AJ352="","",ROUND(main!AJ352*100,6))</f>
        <v/>
      </c>
      <c r="Y349" s="68" t="str">
        <f>IF(main!AK352="","",ROUND(main!AK352*100,6))</f>
        <v/>
      </c>
      <c r="Z349" s="68" t="str">
        <f>IF(main!AL352="","",ROUND(main!AL352*100,6))</f>
        <v/>
      </c>
      <c r="AA349" s="68" t="str">
        <f>IF(main!AM352="","",ROUND(main!AM352*100,6))</f>
        <v/>
      </c>
      <c r="AB349" s="68" t="str">
        <f>IF(main!AN352="","",ROUND(main!AN352*100,6))</f>
        <v/>
      </c>
      <c r="AC349" s="68" t="str">
        <f>IF(main!AO352="","",ROUND(main!AO352*100,6))</f>
        <v/>
      </c>
      <c r="AD349" s="68" t="str">
        <f>IF(main!AP352="","",ROUND(main!AP352*100,6))</f>
        <v/>
      </c>
      <c r="AE349" s="68" t="str">
        <f>IF(main!AQ352="","",ROUND(main!AQ352*100,6))</f>
        <v/>
      </c>
      <c r="AF349" s="68" t="str">
        <f>IF(main!AR352="","",ROUND(main!AR352*100,6))</f>
        <v/>
      </c>
      <c r="AG349" s="68" t="str">
        <f>IF(main!AS352="","",ROUND(main!AS352*100,6))</f>
        <v/>
      </c>
      <c r="AH349" s="68" t="str">
        <f>IF(main!AT352="","",ROUND(main!AT352*100,6))</f>
        <v/>
      </c>
      <c r="AI349" s="68" t="str">
        <f>IF(main!AU352="","",ROUND(main!AU352*100,6))</f>
        <v/>
      </c>
      <c r="AJ349" s="68" t="str">
        <f>IF(main!AV352="","",ROUND(main!AV352*100,6))</f>
        <v/>
      </c>
      <c r="AK349" s="68" t="str">
        <f>IF(main!AW352="","",ROUND(main!AW352*100,6))</f>
        <v/>
      </c>
      <c r="AL349" s="68" t="str">
        <f>IF(main!AX352="","",ROUND(main!AX352*100,6))</f>
        <v/>
      </c>
      <c r="AM349" s="68" t="str">
        <f>IF(main!AY352="","",ROUND(main!AY352*100,6))</f>
        <v/>
      </c>
      <c r="AN349" s="68" t="str">
        <f>IF(main!AZ352="","",ROUND(main!AZ352*100,6))</f>
        <v/>
      </c>
      <c r="AO349" s="68" t="str">
        <f>IF(main!BA352="","",ROUND(main!BA352*100,6))</f>
        <v/>
      </c>
      <c r="AP349" s="68" t="str">
        <f>IF(main!BB352="","",ROUND(main!BB352*100,6))</f>
        <v/>
      </c>
      <c r="AQ349" s="68" t="str">
        <f>IF(main!BC352="","",ROUND(main!BC352*100,6))</f>
        <v/>
      </c>
      <c r="AR349" s="68" t="str">
        <f>IF(main!BD352="","",ROUND(main!BD352*100,6))</f>
        <v/>
      </c>
      <c r="AS349" s="68" t="str">
        <f>IF(main!BE352="","",ROUND(main!BE352*100,6))</f>
        <v/>
      </c>
      <c r="AT349" s="68" t="str">
        <f>IF(main!BF352="","",ROUND(main!BF352*100,6))</f>
        <v/>
      </c>
      <c r="AU349" s="68" t="str">
        <f>IF(main!BG352="","",ROUND(main!BG352*100,6))</f>
        <v/>
      </c>
      <c r="AV349" s="68" t="str">
        <f>IF(main!BH352="","",ROUND(main!BH352*100,6))</f>
        <v/>
      </c>
      <c r="AW349" s="68" t="str">
        <f>IF(main!BI352="","",ROUND(main!BI352*100,6))</f>
        <v/>
      </c>
      <c r="AX349" s="68" t="str">
        <f>IF(main!BJ352="","",ROUND(main!BJ352*100,6))</f>
        <v/>
      </c>
      <c r="AY349" s="68" t="str">
        <f>IF(main!BK352="","",ROUND(main!BK352*100,6))</f>
        <v/>
      </c>
      <c r="AZ349" s="68" t="str">
        <f>IF(main!BL352="","",ROUND(main!BL352*100,6))</f>
        <v/>
      </c>
      <c r="BA349" s="68" t="str">
        <f>IF(main!BM352="","",ROUND(main!BM352*100,6))</f>
        <v/>
      </c>
      <c r="BB349" s="68" t="str">
        <f>IF(main!BN352="","",ROUND(main!BN352*100,6))</f>
        <v/>
      </c>
      <c r="BC349" s="68" t="str">
        <f>IF(main!BO352="","",ROUND(main!BO352*100,6))</f>
        <v/>
      </c>
      <c r="BD349" s="68" t="str">
        <f>IF(main!BP352="","",ROUND(main!BP352*100,6))</f>
        <v/>
      </c>
      <c r="BE349" s="68" t="str">
        <f>IF(main!BQ352="","",ROUND(main!BQ352*100,6))</f>
        <v/>
      </c>
      <c r="BF349" s="68" t="str">
        <f>IF(main!BR352="","",ROUND(main!BR352*100,6))</f>
        <v/>
      </c>
      <c r="BG349" s="68" t="str">
        <f>IF(main!BS352="","",ROUND(main!BS352*100,6))</f>
        <v/>
      </c>
      <c r="BH349" s="68" t="str">
        <f>IF(main!BT352="","",ROUND(main!BT352*100,6))</f>
        <v/>
      </c>
      <c r="BI349" s="68" t="str">
        <f>IF(main!BU352="","",ROUND(main!BU352*100,6))</f>
        <v/>
      </c>
      <c r="BJ349" s="68" t="str">
        <f>IF(main!BV352="","",ROUND(main!BV352*100,6))</f>
        <v/>
      </c>
      <c r="BK349" s="68" t="str">
        <f>IF(main!BW352="","",ROUND(main!BW352*100,6))</f>
        <v/>
      </c>
      <c r="BL349" s="68" t="str">
        <f>IF(main!BX352="","",ROUND(main!BX352*100,6))</f>
        <v/>
      </c>
      <c r="BM349" s="68" t="str">
        <f>IF(main!BY352="","",ROUND(main!BY352*100,6))</f>
        <v/>
      </c>
      <c r="BN349" s="68" t="str">
        <f>IF(main!BZ352="","",ROUND(main!BZ352*100,6))</f>
        <v/>
      </c>
      <c r="BO349" s="68" t="str">
        <f>IF(main!CA352="","",ROUND(main!CA352*100,6))</f>
        <v/>
      </c>
      <c r="BP349" s="68" t="str">
        <f>IF(main!CB352="","",ROUND(main!CB352*100,6))</f>
        <v/>
      </c>
      <c r="BQ349" s="68" t="str">
        <f>IF(main!CC352="","",ROUND(main!CC352*100,6))</f>
        <v/>
      </c>
      <c r="BR349" s="68" t="str">
        <f>IF(main!CD352="","",ROUND(main!CD352*100,6))</f>
        <v/>
      </c>
      <c r="BS349" s="68" t="str">
        <f>IF(main!CE352="","",ROUND(main!CE352*100,6))</f>
        <v/>
      </c>
      <c r="BT349" s="68" t="str">
        <f>IF(main!CF352="","",ROUND(main!CF352*100,6))</f>
        <v/>
      </c>
      <c r="BU349" s="68" t="str">
        <f>IF(main!CG352="","",ROUND(main!CG352*100,6))</f>
        <v/>
      </c>
      <c r="BV349" s="68" t="str">
        <f>IF(main!CH352="","",ROUND(main!CH352*100,6))</f>
        <v/>
      </c>
      <c r="BW349" s="68" t="str">
        <f>IF(main!CI352="","",ROUND(main!CI352*100,6))</f>
        <v/>
      </c>
      <c r="BX349" s="68" t="str">
        <f>IF(main!CJ352="","",ROUND(main!CJ352*100,6))</f>
        <v/>
      </c>
      <c r="BY349" s="68" t="str">
        <f>IF(main!CK352="","",ROUND(main!CK352*100,6))</f>
        <v/>
      </c>
      <c r="BZ349" s="68" t="str">
        <f>IF(main!CL352="","",ROUND(main!CL352*100,6))</f>
        <v/>
      </c>
      <c r="CA349" s="68" t="str">
        <f>IF(main!CM352="","",ROUND(main!CM352*100,6))</f>
        <v/>
      </c>
      <c r="CB349" s="68" t="str">
        <f>IF(main!CN352="","",ROUND(main!CN352*100,6))</f>
        <v/>
      </c>
      <c r="CC349" s="68" t="str">
        <f>IF(main!CO352="","",ROUND(main!CO352*100,6))</f>
        <v/>
      </c>
    </row>
    <row r="350" spans="1:81" x14ac:dyDescent="0.25">
      <c r="A350" s="65" t="s">
        <v>502</v>
      </c>
      <c r="B350" s="66" t="str">
        <f>main!C353</f>
        <v>งานระบบกันซึมพื้นดาดฟ้า</v>
      </c>
      <c r="C350" s="67">
        <f>main!O353</f>
        <v>100000</v>
      </c>
      <c r="D350" s="65" t="s">
        <v>110</v>
      </c>
      <c r="E350" s="68">
        <f t="shared" si="5"/>
        <v>100</v>
      </c>
      <c r="F350" s="68" t="str">
        <f>IF(main!R353="","",ROUND(main!R353*100,6))</f>
        <v/>
      </c>
      <c r="G350" s="68" t="str">
        <f>IF(main!S353="","",ROUND(main!S353*100,6))</f>
        <v/>
      </c>
      <c r="H350" s="68" t="str">
        <f>IF(main!T353="","",ROUND(main!T353*100,6))</f>
        <v/>
      </c>
      <c r="I350" s="68" t="str">
        <f>IF(main!U353="","",ROUND(main!U353*100,6))</f>
        <v/>
      </c>
      <c r="J350" s="68" t="str">
        <f>IF(main!V353="","",ROUND(main!V353*100,6))</f>
        <v/>
      </c>
      <c r="K350" s="68" t="str">
        <f>IF(main!W353="","",ROUND(main!W353*100,6))</f>
        <v/>
      </c>
      <c r="L350" s="68" t="str">
        <f>IF(main!X353="","",ROUND(main!X353*100,6))</f>
        <v/>
      </c>
      <c r="M350" s="68" t="str">
        <f>IF(main!Y353="","",ROUND(main!Y353*100,6))</f>
        <v/>
      </c>
      <c r="N350" s="68" t="str">
        <f>IF(main!Z353="","",ROUND(main!Z353*100,6))</f>
        <v/>
      </c>
      <c r="O350" s="68" t="str">
        <f>IF(main!AA353="","",ROUND(main!AA353*100,6))</f>
        <v/>
      </c>
      <c r="P350" s="68" t="str">
        <f>IF(main!AB353="","",ROUND(main!AB353*100,6))</f>
        <v/>
      </c>
      <c r="Q350" s="68" t="str">
        <f>IF(main!AC353="","",ROUND(main!AC353*100,6))</f>
        <v/>
      </c>
      <c r="R350" s="68" t="str">
        <f>IF(main!AD353="","",ROUND(main!AD353*100,6))</f>
        <v/>
      </c>
      <c r="S350" s="68" t="str">
        <f>IF(main!AE353="","",ROUND(main!AE353*100,6))</f>
        <v/>
      </c>
      <c r="T350" s="68" t="str">
        <f>IF(main!AF353="","",ROUND(main!AF353*100,6))</f>
        <v/>
      </c>
      <c r="U350" s="68" t="str">
        <f>IF(main!AG353="","",ROUND(main!AG353*100,6))</f>
        <v/>
      </c>
      <c r="V350" s="68" t="str">
        <f>IF(main!AH353="","",ROUND(main!AH353*100,6))</f>
        <v/>
      </c>
      <c r="W350" s="68" t="str">
        <f>IF(main!AI353="","",ROUND(main!AI353*100,6))</f>
        <v/>
      </c>
      <c r="X350" s="68" t="str">
        <f>IF(main!AJ353="","",ROUND(main!AJ353*100,6))</f>
        <v/>
      </c>
      <c r="Y350" s="68" t="str">
        <f>IF(main!AK353="","",ROUND(main!AK353*100,6))</f>
        <v/>
      </c>
      <c r="Z350" s="68" t="str">
        <f>IF(main!AL353="","",ROUND(main!AL353*100,6))</f>
        <v/>
      </c>
      <c r="AA350" s="68" t="str">
        <f>IF(main!AM353="","",ROUND(main!AM353*100,6))</f>
        <v/>
      </c>
      <c r="AB350" s="68" t="str">
        <f>IF(main!AN353="","",ROUND(main!AN353*100,6))</f>
        <v/>
      </c>
      <c r="AC350" s="68" t="str">
        <f>IF(main!AO353="","",ROUND(main!AO353*100,6))</f>
        <v/>
      </c>
      <c r="AD350" s="68" t="str">
        <f>IF(main!AP353="","",ROUND(main!AP353*100,6))</f>
        <v/>
      </c>
      <c r="AE350" s="68" t="str">
        <f>IF(main!AQ353="","",ROUND(main!AQ353*100,6))</f>
        <v/>
      </c>
      <c r="AF350" s="68" t="str">
        <f>IF(main!AR353="","",ROUND(main!AR353*100,6))</f>
        <v/>
      </c>
      <c r="AG350" s="68" t="str">
        <f>IF(main!AS353="","",ROUND(main!AS353*100,6))</f>
        <v/>
      </c>
      <c r="AH350" s="68" t="str">
        <f>IF(main!AT353="","",ROUND(main!AT353*100,6))</f>
        <v/>
      </c>
      <c r="AI350" s="68" t="str">
        <f>IF(main!AU353="","",ROUND(main!AU353*100,6))</f>
        <v/>
      </c>
      <c r="AJ350" s="68" t="str">
        <f>IF(main!AV353="","",ROUND(main!AV353*100,6))</f>
        <v/>
      </c>
      <c r="AK350" s="68" t="str">
        <f>IF(main!AW353="","",ROUND(main!AW353*100,6))</f>
        <v/>
      </c>
      <c r="AL350" s="68" t="str">
        <f>IF(main!AX353="","",ROUND(main!AX353*100,6))</f>
        <v/>
      </c>
      <c r="AM350" s="68" t="str">
        <f>IF(main!AY353="","",ROUND(main!AY353*100,6))</f>
        <v/>
      </c>
      <c r="AN350" s="68" t="str">
        <f>IF(main!AZ353="","",ROUND(main!AZ353*100,6))</f>
        <v/>
      </c>
      <c r="AO350" s="68" t="str">
        <f>IF(main!BA353="","",ROUND(main!BA353*100,6))</f>
        <v/>
      </c>
      <c r="AP350" s="68" t="str">
        <f>IF(main!BB353="","",ROUND(main!BB353*100,6))</f>
        <v/>
      </c>
      <c r="AQ350" s="68" t="str">
        <f>IF(main!BC353="","",ROUND(main!BC353*100,6))</f>
        <v/>
      </c>
      <c r="AR350" s="68" t="str">
        <f>IF(main!BD353="","",ROUND(main!BD353*100,6))</f>
        <v/>
      </c>
      <c r="AS350" s="68" t="str">
        <f>IF(main!BE353="","",ROUND(main!BE353*100,6))</f>
        <v/>
      </c>
      <c r="AT350" s="68" t="str">
        <f>IF(main!BF353="","",ROUND(main!BF353*100,6))</f>
        <v/>
      </c>
      <c r="AU350" s="68" t="str">
        <f>IF(main!BG353="","",ROUND(main!BG353*100,6))</f>
        <v/>
      </c>
      <c r="AV350" s="68" t="str">
        <f>IF(main!BH353="","",ROUND(main!BH353*100,6))</f>
        <v/>
      </c>
      <c r="AW350" s="68" t="str">
        <f>IF(main!BI353="","",ROUND(main!BI353*100,6))</f>
        <v/>
      </c>
      <c r="AX350" s="68" t="str">
        <f>IF(main!BJ353="","",ROUND(main!BJ353*100,6))</f>
        <v/>
      </c>
      <c r="AY350" s="68">
        <f>IF(main!BK353="","",ROUND(main!BK353*100,6))</f>
        <v>12.5</v>
      </c>
      <c r="AZ350" s="68">
        <f>IF(main!BL353="","",ROUND(main!BL353*100,6))</f>
        <v>17.5</v>
      </c>
      <c r="BA350" s="68">
        <f>IF(main!BM353="","",ROUND(main!BM353*100,6))</f>
        <v>17.5</v>
      </c>
      <c r="BB350" s="68">
        <f>IF(main!BN353="","",ROUND(main!BN353*100,6))</f>
        <v>17.5</v>
      </c>
      <c r="BC350" s="68">
        <f>IF(main!BO353="","",ROUND(main!BO353*100,6))</f>
        <v>17.5</v>
      </c>
      <c r="BD350" s="68">
        <f>IF(main!BP353="","",ROUND(main!BP353*100,6))</f>
        <v>17.5</v>
      </c>
      <c r="BE350" s="68" t="str">
        <f>IF(main!BQ353="","",ROUND(main!BQ353*100,6))</f>
        <v/>
      </c>
      <c r="BF350" s="68" t="str">
        <f>IF(main!BR353="","",ROUND(main!BR353*100,6))</f>
        <v/>
      </c>
      <c r="BG350" s="68" t="str">
        <f>IF(main!BS353="","",ROUND(main!BS353*100,6))</f>
        <v/>
      </c>
      <c r="BH350" s="68" t="str">
        <f>IF(main!BT353="","",ROUND(main!BT353*100,6))</f>
        <v/>
      </c>
      <c r="BI350" s="68" t="str">
        <f>IF(main!BU353="","",ROUND(main!BU353*100,6))</f>
        <v/>
      </c>
      <c r="BJ350" s="68" t="str">
        <f>IF(main!BV353="","",ROUND(main!BV353*100,6))</f>
        <v/>
      </c>
      <c r="BK350" s="68" t="str">
        <f>IF(main!BW353="","",ROUND(main!BW353*100,6))</f>
        <v/>
      </c>
      <c r="BL350" s="68" t="str">
        <f>IF(main!BX353="","",ROUND(main!BX353*100,6))</f>
        <v/>
      </c>
      <c r="BM350" s="68" t="str">
        <f>IF(main!BY353="","",ROUND(main!BY353*100,6))</f>
        <v/>
      </c>
      <c r="BN350" s="68" t="str">
        <f>IF(main!BZ353="","",ROUND(main!BZ353*100,6))</f>
        <v/>
      </c>
      <c r="BO350" s="68" t="str">
        <f>IF(main!CA353="","",ROUND(main!CA353*100,6))</f>
        <v/>
      </c>
      <c r="BP350" s="68" t="str">
        <f>IF(main!CB353="","",ROUND(main!CB353*100,6))</f>
        <v/>
      </c>
      <c r="BQ350" s="68" t="str">
        <f>IF(main!CC353="","",ROUND(main!CC353*100,6))</f>
        <v/>
      </c>
      <c r="BR350" s="68" t="str">
        <f>IF(main!CD353="","",ROUND(main!CD353*100,6))</f>
        <v/>
      </c>
      <c r="BS350" s="68" t="str">
        <f>IF(main!CE353="","",ROUND(main!CE353*100,6))</f>
        <v/>
      </c>
      <c r="BT350" s="68" t="str">
        <f>IF(main!CF353="","",ROUND(main!CF353*100,6))</f>
        <v/>
      </c>
      <c r="BU350" s="68" t="str">
        <f>IF(main!CG353="","",ROUND(main!CG353*100,6))</f>
        <v/>
      </c>
      <c r="BV350" s="68" t="str">
        <f>IF(main!CH353="","",ROUND(main!CH353*100,6))</f>
        <v/>
      </c>
      <c r="BW350" s="68" t="str">
        <f>IF(main!CI353="","",ROUND(main!CI353*100,6))</f>
        <v/>
      </c>
      <c r="BX350" s="68" t="str">
        <f>IF(main!CJ353="","",ROUND(main!CJ353*100,6))</f>
        <v/>
      </c>
      <c r="BY350" s="68" t="str">
        <f>IF(main!CK353="","",ROUND(main!CK353*100,6))</f>
        <v/>
      </c>
      <c r="BZ350" s="68" t="str">
        <f>IF(main!CL353="","",ROUND(main!CL353*100,6))</f>
        <v/>
      </c>
      <c r="CA350" s="68" t="str">
        <f>IF(main!CM353="","",ROUND(main!CM353*100,6))</f>
        <v/>
      </c>
      <c r="CB350" s="68" t="str">
        <f>IF(main!CN353="","",ROUND(main!CN353*100,6))</f>
        <v/>
      </c>
      <c r="CC350" s="68" t="str">
        <f>IF(main!CO353="","",ROUND(main!CO353*100,6))</f>
        <v/>
      </c>
    </row>
    <row r="351" spans="1:81" x14ac:dyDescent="0.25">
      <c r="A351" s="65" t="s">
        <v>502</v>
      </c>
      <c r="B351" s="66" t="str">
        <f>main!C353</f>
        <v>งานระบบกันซึมพื้นดาดฟ้า</v>
      </c>
      <c r="C351" s="67">
        <f>main!O353</f>
        <v>100000</v>
      </c>
      <c r="D351" s="65" t="s">
        <v>111</v>
      </c>
      <c r="E351" s="68" t="str">
        <f t="shared" si="5"/>
        <v/>
      </c>
      <c r="F351" s="68" t="str">
        <f>IF(main!R354="","",ROUND(main!R354*100,6))</f>
        <v/>
      </c>
      <c r="G351" s="68" t="str">
        <f>IF(main!S354="","",ROUND(main!S354*100,6))</f>
        <v/>
      </c>
      <c r="H351" s="68" t="str">
        <f>IF(main!T354="","",ROUND(main!T354*100,6))</f>
        <v/>
      </c>
      <c r="I351" s="68" t="str">
        <f>IF(main!U354="","",ROUND(main!U354*100,6))</f>
        <v/>
      </c>
      <c r="J351" s="68" t="str">
        <f>IF(main!V354="","",ROUND(main!V354*100,6))</f>
        <v/>
      </c>
      <c r="K351" s="68" t="str">
        <f>IF(main!W354="","",ROUND(main!W354*100,6))</f>
        <v/>
      </c>
      <c r="L351" s="68" t="str">
        <f>IF(main!X354="","",ROUND(main!X354*100,6))</f>
        <v/>
      </c>
      <c r="M351" s="68" t="str">
        <f>IF(main!Y354="","",ROUND(main!Y354*100,6))</f>
        <v/>
      </c>
      <c r="N351" s="68" t="str">
        <f>IF(main!Z354="","",ROUND(main!Z354*100,6))</f>
        <v/>
      </c>
      <c r="O351" s="68" t="str">
        <f>IF(main!AA354="","",ROUND(main!AA354*100,6))</f>
        <v/>
      </c>
      <c r="P351" s="68" t="str">
        <f>IF(main!AB354="","",ROUND(main!AB354*100,6))</f>
        <v/>
      </c>
      <c r="Q351" s="68" t="str">
        <f>IF(main!AC354="","",ROUND(main!AC354*100,6))</f>
        <v/>
      </c>
      <c r="R351" s="68" t="str">
        <f>IF(main!AD354="","",ROUND(main!AD354*100,6))</f>
        <v/>
      </c>
      <c r="S351" s="68" t="str">
        <f>IF(main!AE354="","",ROUND(main!AE354*100,6))</f>
        <v/>
      </c>
      <c r="T351" s="68" t="str">
        <f>IF(main!AF354="","",ROUND(main!AF354*100,6))</f>
        <v/>
      </c>
      <c r="U351" s="68" t="str">
        <f>IF(main!AG354="","",ROUND(main!AG354*100,6))</f>
        <v/>
      </c>
      <c r="V351" s="68" t="str">
        <f>IF(main!AH354="","",ROUND(main!AH354*100,6))</f>
        <v/>
      </c>
      <c r="W351" s="68" t="str">
        <f>IF(main!AI354="","",ROUND(main!AI354*100,6))</f>
        <v/>
      </c>
      <c r="X351" s="68" t="str">
        <f>IF(main!AJ354="","",ROUND(main!AJ354*100,6))</f>
        <v/>
      </c>
      <c r="Y351" s="68" t="str">
        <f>IF(main!AK354="","",ROUND(main!AK354*100,6))</f>
        <v/>
      </c>
      <c r="Z351" s="68" t="str">
        <f>IF(main!AL354="","",ROUND(main!AL354*100,6))</f>
        <v/>
      </c>
      <c r="AA351" s="68" t="str">
        <f>IF(main!AM354="","",ROUND(main!AM354*100,6))</f>
        <v/>
      </c>
      <c r="AB351" s="68" t="str">
        <f>IF(main!AN354="","",ROUND(main!AN354*100,6))</f>
        <v/>
      </c>
      <c r="AC351" s="68" t="str">
        <f>IF(main!AO354="","",ROUND(main!AO354*100,6))</f>
        <v/>
      </c>
      <c r="AD351" s="68" t="str">
        <f>IF(main!AP354="","",ROUND(main!AP354*100,6))</f>
        <v/>
      </c>
      <c r="AE351" s="68" t="str">
        <f>IF(main!AQ354="","",ROUND(main!AQ354*100,6))</f>
        <v/>
      </c>
      <c r="AF351" s="68" t="str">
        <f>IF(main!AR354="","",ROUND(main!AR354*100,6))</f>
        <v/>
      </c>
      <c r="AG351" s="68" t="str">
        <f>IF(main!AS354="","",ROUND(main!AS354*100,6))</f>
        <v/>
      </c>
      <c r="AH351" s="68" t="str">
        <f>IF(main!AT354="","",ROUND(main!AT354*100,6))</f>
        <v/>
      </c>
      <c r="AI351" s="68" t="str">
        <f>IF(main!AU354="","",ROUND(main!AU354*100,6))</f>
        <v/>
      </c>
      <c r="AJ351" s="68" t="str">
        <f>IF(main!AV354="","",ROUND(main!AV354*100,6))</f>
        <v/>
      </c>
      <c r="AK351" s="68" t="str">
        <f>IF(main!AW354="","",ROUND(main!AW354*100,6))</f>
        <v/>
      </c>
      <c r="AL351" s="68" t="str">
        <f>IF(main!AX354="","",ROUND(main!AX354*100,6))</f>
        <v/>
      </c>
      <c r="AM351" s="68" t="str">
        <f>IF(main!AY354="","",ROUND(main!AY354*100,6))</f>
        <v/>
      </c>
      <c r="AN351" s="68" t="str">
        <f>IF(main!AZ354="","",ROUND(main!AZ354*100,6))</f>
        <v/>
      </c>
      <c r="AO351" s="68" t="str">
        <f>IF(main!BA354="","",ROUND(main!BA354*100,6))</f>
        <v/>
      </c>
      <c r="AP351" s="68" t="str">
        <f>IF(main!BB354="","",ROUND(main!BB354*100,6))</f>
        <v/>
      </c>
      <c r="AQ351" s="68" t="str">
        <f>IF(main!BC354="","",ROUND(main!BC354*100,6))</f>
        <v/>
      </c>
      <c r="AR351" s="68" t="str">
        <f>IF(main!BD354="","",ROUND(main!BD354*100,6))</f>
        <v/>
      </c>
      <c r="AS351" s="68" t="str">
        <f>IF(main!BE354="","",ROUND(main!BE354*100,6))</f>
        <v/>
      </c>
      <c r="AT351" s="68" t="str">
        <f>IF(main!BF354="","",ROUND(main!BF354*100,6))</f>
        <v/>
      </c>
      <c r="AU351" s="68" t="str">
        <f>IF(main!BG354="","",ROUND(main!BG354*100,6))</f>
        <v/>
      </c>
      <c r="AV351" s="68" t="str">
        <f>IF(main!BH354="","",ROUND(main!BH354*100,6))</f>
        <v/>
      </c>
      <c r="AW351" s="68" t="str">
        <f>IF(main!BI354="","",ROUND(main!BI354*100,6))</f>
        <v/>
      </c>
      <c r="AX351" s="68" t="str">
        <f>IF(main!BJ354="","",ROUND(main!BJ354*100,6))</f>
        <v/>
      </c>
      <c r="AY351" s="68" t="str">
        <f>IF(main!BK354="","",ROUND(main!BK354*100,6))</f>
        <v/>
      </c>
      <c r="AZ351" s="68" t="str">
        <f>IF(main!BL354="","",ROUND(main!BL354*100,6))</f>
        <v/>
      </c>
      <c r="BA351" s="68" t="str">
        <f>IF(main!BM354="","",ROUND(main!BM354*100,6))</f>
        <v/>
      </c>
      <c r="BB351" s="68" t="str">
        <f>IF(main!BN354="","",ROUND(main!BN354*100,6))</f>
        <v/>
      </c>
      <c r="BC351" s="68" t="str">
        <f>IF(main!BO354="","",ROUND(main!BO354*100,6))</f>
        <v/>
      </c>
      <c r="BD351" s="68" t="str">
        <f>IF(main!BP354="","",ROUND(main!BP354*100,6))</f>
        <v/>
      </c>
      <c r="BE351" s="68" t="str">
        <f>IF(main!BQ354="","",ROUND(main!BQ354*100,6))</f>
        <v/>
      </c>
      <c r="BF351" s="68" t="str">
        <f>IF(main!BR354="","",ROUND(main!BR354*100,6))</f>
        <v/>
      </c>
      <c r="BG351" s="68" t="str">
        <f>IF(main!BS354="","",ROUND(main!BS354*100,6))</f>
        <v/>
      </c>
      <c r="BH351" s="68" t="str">
        <f>IF(main!BT354="","",ROUND(main!BT354*100,6))</f>
        <v/>
      </c>
      <c r="BI351" s="68" t="str">
        <f>IF(main!BU354="","",ROUND(main!BU354*100,6))</f>
        <v/>
      </c>
      <c r="BJ351" s="68" t="str">
        <f>IF(main!BV354="","",ROUND(main!BV354*100,6))</f>
        <v/>
      </c>
      <c r="BK351" s="68" t="str">
        <f>IF(main!BW354="","",ROUND(main!BW354*100,6))</f>
        <v/>
      </c>
      <c r="BL351" s="68" t="str">
        <f>IF(main!BX354="","",ROUND(main!BX354*100,6))</f>
        <v/>
      </c>
      <c r="BM351" s="68" t="str">
        <f>IF(main!BY354="","",ROUND(main!BY354*100,6))</f>
        <v/>
      </c>
      <c r="BN351" s="68" t="str">
        <f>IF(main!BZ354="","",ROUND(main!BZ354*100,6))</f>
        <v/>
      </c>
      <c r="BO351" s="68" t="str">
        <f>IF(main!CA354="","",ROUND(main!CA354*100,6))</f>
        <v/>
      </c>
      <c r="BP351" s="68" t="str">
        <f>IF(main!CB354="","",ROUND(main!CB354*100,6))</f>
        <v/>
      </c>
      <c r="BQ351" s="68" t="str">
        <f>IF(main!CC354="","",ROUND(main!CC354*100,6))</f>
        <v/>
      </c>
      <c r="BR351" s="68" t="str">
        <f>IF(main!CD354="","",ROUND(main!CD354*100,6))</f>
        <v/>
      </c>
      <c r="BS351" s="68" t="str">
        <f>IF(main!CE354="","",ROUND(main!CE354*100,6))</f>
        <v/>
      </c>
      <c r="BT351" s="68" t="str">
        <f>IF(main!CF354="","",ROUND(main!CF354*100,6))</f>
        <v/>
      </c>
      <c r="BU351" s="68" t="str">
        <f>IF(main!CG354="","",ROUND(main!CG354*100,6))</f>
        <v/>
      </c>
      <c r="BV351" s="68" t="str">
        <f>IF(main!CH354="","",ROUND(main!CH354*100,6))</f>
        <v/>
      </c>
      <c r="BW351" s="68" t="str">
        <f>IF(main!CI354="","",ROUND(main!CI354*100,6))</f>
        <v/>
      </c>
      <c r="BX351" s="68" t="str">
        <f>IF(main!CJ354="","",ROUND(main!CJ354*100,6))</f>
        <v/>
      </c>
      <c r="BY351" s="68" t="str">
        <f>IF(main!CK354="","",ROUND(main!CK354*100,6))</f>
        <v/>
      </c>
      <c r="BZ351" s="68" t="str">
        <f>IF(main!CL354="","",ROUND(main!CL354*100,6))</f>
        <v/>
      </c>
      <c r="CA351" s="68" t="str">
        <f>IF(main!CM354="","",ROUND(main!CM354*100,6))</f>
        <v/>
      </c>
      <c r="CB351" s="68" t="str">
        <f>IF(main!CN354="","",ROUND(main!CN354*100,6))</f>
        <v/>
      </c>
      <c r="CC351" s="68" t="str">
        <f>IF(main!CO354="","",ROUND(main!CO354*100,6))</f>
        <v/>
      </c>
    </row>
    <row r="352" spans="1:81" x14ac:dyDescent="0.25">
      <c r="A352" s="65" t="s">
        <v>505</v>
      </c>
      <c r="B352" s="66" t="str">
        <f>main!C355</f>
        <v>งานมุงหลังคา</v>
      </c>
      <c r="C352" s="67">
        <f>main!O355</f>
        <v>300000</v>
      </c>
      <c r="D352" s="65" t="s">
        <v>110</v>
      </c>
      <c r="E352" s="68">
        <f t="shared" si="5"/>
        <v>100</v>
      </c>
      <c r="F352" s="68" t="str">
        <f>IF(main!R355="","",ROUND(main!R355*100,6))</f>
        <v/>
      </c>
      <c r="G352" s="68" t="str">
        <f>IF(main!S355="","",ROUND(main!S355*100,6))</f>
        <v/>
      </c>
      <c r="H352" s="68" t="str">
        <f>IF(main!T355="","",ROUND(main!T355*100,6))</f>
        <v/>
      </c>
      <c r="I352" s="68" t="str">
        <f>IF(main!U355="","",ROUND(main!U355*100,6))</f>
        <v/>
      </c>
      <c r="J352" s="68" t="str">
        <f>IF(main!V355="","",ROUND(main!V355*100,6))</f>
        <v/>
      </c>
      <c r="K352" s="68" t="str">
        <f>IF(main!W355="","",ROUND(main!W355*100,6))</f>
        <v/>
      </c>
      <c r="L352" s="68" t="str">
        <f>IF(main!X355="","",ROUND(main!X355*100,6))</f>
        <v/>
      </c>
      <c r="M352" s="68" t="str">
        <f>IF(main!Y355="","",ROUND(main!Y355*100,6))</f>
        <v/>
      </c>
      <c r="N352" s="68" t="str">
        <f>IF(main!Z355="","",ROUND(main!Z355*100,6))</f>
        <v/>
      </c>
      <c r="O352" s="68" t="str">
        <f>IF(main!AA355="","",ROUND(main!AA355*100,6))</f>
        <v/>
      </c>
      <c r="P352" s="68" t="str">
        <f>IF(main!AB355="","",ROUND(main!AB355*100,6))</f>
        <v/>
      </c>
      <c r="Q352" s="68" t="str">
        <f>IF(main!AC355="","",ROUND(main!AC355*100,6))</f>
        <v/>
      </c>
      <c r="R352" s="68" t="str">
        <f>IF(main!AD355="","",ROUND(main!AD355*100,6))</f>
        <v/>
      </c>
      <c r="S352" s="68" t="str">
        <f>IF(main!AE355="","",ROUND(main!AE355*100,6))</f>
        <v/>
      </c>
      <c r="T352" s="68" t="str">
        <f>IF(main!AF355="","",ROUND(main!AF355*100,6))</f>
        <v/>
      </c>
      <c r="U352" s="68" t="str">
        <f>IF(main!AG355="","",ROUND(main!AG355*100,6))</f>
        <v/>
      </c>
      <c r="V352" s="68" t="str">
        <f>IF(main!AH355="","",ROUND(main!AH355*100,6))</f>
        <v/>
      </c>
      <c r="W352" s="68" t="str">
        <f>IF(main!AI355="","",ROUND(main!AI355*100,6))</f>
        <v/>
      </c>
      <c r="X352" s="68" t="str">
        <f>IF(main!AJ355="","",ROUND(main!AJ355*100,6))</f>
        <v/>
      </c>
      <c r="Y352" s="68" t="str">
        <f>IF(main!AK355="","",ROUND(main!AK355*100,6))</f>
        <v/>
      </c>
      <c r="Z352" s="68" t="str">
        <f>IF(main!AL355="","",ROUND(main!AL355*100,6))</f>
        <v/>
      </c>
      <c r="AA352" s="68" t="str">
        <f>IF(main!AM355="","",ROUND(main!AM355*100,6))</f>
        <v/>
      </c>
      <c r="AB352" s="68" t="str">
        <f>IF(main!AN355="","",ROUND(main!AN355*100,6))</f>
        <v/>
      </c>
      <c r="AC352" s="68" t="str">
        <f>IF(main!AO355="","",ROUND(main!AO355*100,6))</f>
        <v/>
      </c>
      <c r="AD352" s="68" t="str">
        <f>IF(main!AP355="","",ROUND(main!AP355*100,6))</f>
        <v/>
      </c>
      <c r="AE352" s="68" t="str">
        <f>IF(main!AQ355="","",ROUND(main!AQ355*100,6))</f>
        <v/>
      </c>
      <c r="AF352" s="68" t="str">
        <f>IF(main!AR355="","",ROUND(main!AR355*100,6))</f>
        <v/>
      </c>
      <c r="AG352" s="68" t="str">
        <f>IF(main!AS355="","",ROUND(main!AS355*100,6))</f>
        <v/>
      </c>
      <c r="AH352" s="68" t="str">
        <f>IF(main!AT355="","",ROUND(main!AT355*100,6))</f>
        <v/>
      </c>
      <c r="AI352" s="68" t="str">
        <f>IF(main!AU355="","",ROUND(main!AU355*100,6))</f>
        <v/>
      </c>
      <c r="AJ352" s="68" t="str">
        <f>IF(main!AV355="","",ROUND(main!AV355*100,6))</f>
        <v/>
      </c>
      <c r="AK352" s="68" t="str">
        <f>IF(main!AW355="","",ROUND(main!AW355*100,6))</f>
        <v/>
      </c>
      <c r="AL352" s="68" t="str">
        <f>IF(main!AX355="","",ROUND(main!AX355*100,6))</f>
        <v/>
      </c>
      <c r="AM352" s="68" t="str">
        <f>IF(main!AY355="","",ROUND(main!AY355*100,6))</f>
        <v/>
      </c>
      <c r="AN352" s="68" t="str">
        <f>IF(main!AZ355="","",ROUND(main!AZ355*100,6))</f>
        <v/>
      </c>
      <c r="AO352" s="68" t="str">
        <f>IF(main!BA355="","",ROUND(main!BA355*100,6))</f>
        <v/>
      </c>
      <c r="AP352" s="68" t="str">
        <f>IF(main!BB355="","",ROUND(main!BB355*100,6))</f>
        <v/>
      </c>
      <c r="AQ352" s="68" t="str">
        <f>IF(main!BC355="","",ROUND(main!BC355*100,6))</f>
        <v/>
      </c>
      <c r="AR352" s="68" t="str">
        <f>IF(main!BD355="","",ROUND(main!BD355*100,6))</f>
        <v/>
      </c>
      <c r="AS352" s="68" t="str">
        <f>IF(main!BE355="","",ROUND(main!BE355*100,6))</f>
        <v/>
      </c>
      <c r="AT352" s="68" t="str">
        <f>IF(main!BF355="","",ROUND(main!BF355*100,6))</f>
        <v/>
      </c>
      <c r="AU352" s="68" t="str">
        <f>IF(main!BG355="","",ROUND(main!BG355*100,6))</f>
        <v/>
      </c>
      <c r="AV352" s="68" t="str">
        <f>IF(main!BH355="","",ROUND(main!BH355*100,6))</f>
        <v/>
      </c>
      <c r="AW352" s="68" t="str">
        <f>IF(main!BI355="","",ROUND(main!BI355*100,6))</f>
        <v/>
      </c>
      <c r="AX352" s="68" t="str">
        <f>IF(main!BJ355="","",ROUND(main!BJ355*100,6))</f>
        <v/>
      </c>
      <c r="AY352" s="68">
        <f>IF(main!BK355="","",ROUND(main!BK355*100,6))</f>
        <v>8.7719299999999993</v>
      </c>
      <c r="AZ352" s="68">
        <f>IF(main!BL355="","",ROUND(main!BL355*100,6))</f>
        <v>12.280702</v>
      </c>
      <c r="BA352" s="68">
        <f>IF(main!BM355="","",ROUND(main!BM355*100,6))</f>
        <v>12.280702</v>
      </c>
      <c r="BB352" s="68">
        <f>IF(main!BN355="","",ROUND(main!BN355*100,6))</f>
        <v>13.888889000000001</v>
      </c>
      <c r="BC352" s="68">
        <f>IF(main!BO355="","",ROUND(main!BO355*100,6))</f>
        <v>19.444444000000001</v>
      </c>
      <c r="BD352" s="68">
        <f>IF(main!BP355="","",ROUND(main!BP355*100,6))</f>
        <v>5.0505050000000002</v>
      </c>
      <c r="BE352" s="68">
        <f>IF(main!BQ355="","",ROUND(main!BQ355*100,6))</f>
        <v>7.0707069999999996</v>
      </c>
      <c r="BF352" s="68">
        <f>IF(main!BR355="","",ROUND(main!BR355*100,6))</f>
        <v>7.0707069999999996</v>
      </c>
      <c r="BG352" s="68">
        <f>IF(main!BS355="","",ROUND(main!BS355*100,6))</f>
        <v>7.0707069999999996</v>
      </c>
      <c r="BH352" s="68">
        <f>IF(main!BT355="","",ROUND(main!BT355*100,6))</f>
        <v>7.0707069999999996</v>
      </c>
      <c r="BI352" s="68" t="str">
        <f>IF(main!BU355="","",ROUND(main!BU355*100,6))</f>
        <v/>
      </c>
      <c r="BJ352" s="68" t="str">
        <f>IF(main!BV355="","",ROUND(main!BV355*100,6))</f>
        <v/>
      </c>
      <c r="BK352" s="68" t="str">
        <f>IF(main!BW355="","",ROUND(main!BW355*100,6))</f>
        <v/>
      </c>
      <c r="BL352" s="68" t="str">
        <f>IF(main!BX355="","",ROUND(main!BX355*100,6))</f>
        <v/>
      </c>
      <c r="BM352" s="68" t="str">
        <f>IF(main!BY355="","",ROUND(main!BY355*100,6))</f>
        <v/>
      </c>
      <c r="BN352" s="68" t="str">
        <f>IF(main!BZ355="","",ROUND(main!BZ355*100,6))</f>
        <v/>
      </c>
      <c r="BO352" s="68" t="str">
        <f>IF(main!CA355="","",ROUND(main!CA355*100,6))</f>
        <v/>
      </c>
      <c r="BP352" s="68" t="str">
        <f>IF(main!CB355="","",ROUND(main!CB355*100,6))</f>
        <v/>
      </c>
      <c r="BQ352" s="68" t="str">
        <f>IF(main!CC355="","",ROUND(main!CC355*100,6))</f>
        <v/>
      </c>
      <c r="BR352" s="68" t="str">
        <f>IF(main!CD355="","",ROUND(main!CD355*100,6))</f>
        <v/>
      </c>
      <c r="BS352" s="68" t="str">
        <f>IF(main!CE355="","",ROUND(main!CE355*100,6))</f>
        <v/>
      </c>
      <c r="BT352" s="68" t="str">
        <f>IF(main!CF355="","",ROUND(main!CF355*100,6))</f>
        <v/>
      </c>
      <c r="BU352" s="68" t="str">
        <f>IF(main!CG355="","",ROUND(main!CG355*100,6))</f>
        <v/>
      </c>
      <c r="BV352" s="68" t="str">
        <f>IF(main!CH355="","",ROUND(main!CH355*100,6))</f>
        <v/>
      </c>
      <c r="BW352" s="68" t="str">
        <f>IF(main!CI355="","",ROUND(main!CI355*100,6))</f>
        <v/>
      </c>
      <c r="BX352" s="68" t="str">
        <f>IF(main!CJ355="","",ROUND(main!CJ355*100,6))</f>
        <v/>
      </c>
      <c r="BY352" s="68" t="str">
        <f>IF(main!CK355="","",ROUND(main!CK355*100,6))</f>
        <v/>
      </c>
      <c r="BZ352" s="68" t="str">
        <f>IF(main!CL355="","",ROUND(main!CL355*100,6))</f>
        <v/>
      </c>
      <c r="CA352" s="68" t="str">
        <f>IF(main!CM355="","",ROUND(main!CM355*100,6))</f>
        <v/>
      </c>
      <c r="CB352" s="68" t="str">
        <f>IF(main!CN355="","",ROUND(main!CN355*100,6))</f>
        <v/>
      </c>
      <c r="CC352" s="68" t="str">
        <f>IF(main!CO355="","",ROUND(main!CO355*100,6))</f>
        <v/>
      </c>
    </row>
    <row r="353" spans="1:81" x14ac:dyDescent="0.25">
      <c r="A353" s="65" t="s">
        <v>505</v>
      </c>
      <c r="B353" s="66" t="str">
        <f>main!C355</f>
        <v>งานมุงหลังคา</v>
      </c>
      <c r="C353" s="67">
        <f>main!O355</f>
        <v>300000</v>
      </c>
      <c r="D353" s="65" t="s">
        <v>111</v>
      </c>
      <c r="E353" s="68" t="str">
        <f t="shared" si="5"/>
        <v/>
      </c>
      <c r="F353" s="68" t="str">
        <f>IF(main!R356="","",ROUND(main!R356*100,6))</f>
        <v/>
      </c>
      <c r="G353" s="68" t="str">
        <f>IF(main!S356="","",ROUND(main!S356*100,6))</f>
        <v/>
      </c>
      <c r="H353" s="68" t="str">
        <f>IF(main!T356="","",ROUND(main!T356*100,6))</f>
        <v/>
      </c>
      <c r="I353" s="68" t="str">
        <f>IF(main!U356="","",ROUND(main!U356*100,6))</f>
        <v/>
      </c>
      <c r="J353" s="68" t="str">
        <f>IF(main!V356="","",ROUND(main!V356*100,6))</f>
        <v/>
      </c>
      <c r="K353" s="68" t="str">
        <f>IF(main!W356="","",ROUND(main!W356*100,6))</f>
        <v/>
      </c>
      <c r="L353" s="68" t="str">
        <f>IF(main!X356="","",ROUND(main!X356*100,6))</f>
        <v/>
      </c>
      <c r="M353" s="68" t="str">
        <f>IF(main!Y356="","",ROUND(main!Y356*100,6))</f>
        <v/>
      </c>
      <c r="N353" s="68" t="str">
        <f>IF(main!Z356="","",ROUND(main!Z356*100,6))</f>
        <v/>
      </c>
      <c r="O353" s="68" t="str">
        <f>IF(main!AA356="","",ROUND(main!AA356*100,6))</f>
        <v/>
      </c>
      <c r="P353" s="68" t="str">
        <f>IF(main!AB356="","",ROUND(main!AB356*100,6))</f>
        <v/>
      </c>
      <c r="Q353" s="68" t="str">
        <f>IF(main!AC356="","",ROUND(main!AC356*100,6))</f>
        <v/>
      </c>
      <c r="R353" s="68" t="str">
        <f>IF(main!AD356="","",ROUND(main!AD356*100,6))</f>
        <v/>
      </c>
      <c r="S353" s="68" t="str">
        <f>IF(main!AE356="","",ROUND(main!AE356*100,6))</f>
        <v/>
      </c>
      <c r="T353" s="68" t="str">
        <f>IF(main!AF356="","",ROUND(main!AF356*100,6))</f>
        <v/>
      </c>
      <c r="U353" s="68" t="str">
        <f>IF(main!AG356="","",ROUND(main!AG356*100,6))</f>
        <v/>
      </c>
      <c r="V353" s="68" t="str">
        <f>IF(main!AH356="","",ROUND(main!AH356*100,6))</f>
        <v/>
      </c>
      <c r="W353" s="68" t="str">
        <f>IF(main!AI356="","",ROUND(main!AI356*100,6))</f>
        <v/>
      </c>
      <c r="X353" s="68" t="str">
        <f>IF(main!AJ356="","",ROUND(main!AJ356*100,6))</f>
        <v/>
      </c>
      <c r="Y353" s="68" t="str">
        <f>IF(main!AK356="","",ROUND(main!AK356*100,6))</f>
        <v/>
      </c>
      <c r="Z353" s="68" t="str">
        <f>IF(main!AL356="","",ROUND(main!AL356*100,6))</f>
        <v/>
      </c>
      <c r="AA353" s="68" t="str">
        <f>IF(main!AM356="","",ROUND(main!AM356*100,6))</f>
        <v/>
      </c>
      <c r="AB353" s="68" t="str">
        <f>IF(main!AN356="","",ROUND(main!AN356*100,6))</f>
        <v/>
      </c>
      <c r="AC353" s="68" t="str">
        <f>IF(main!AO356="","",ROUND(main!AO356*100,6))</f>
        <v/>
      </c>
      <c r="AD353" s="68" t="str">
        <f>IF(main!AP356="","",ROUND(main!AP356*100,6))</f>
        <v/>
      </c>
      <c r="AE353" s="68" t="str">
        <f>IF(main!AQ356="","",ROUND(main!AQ356*100,6))</f>
        <v/>
      </c>
      <c r="AF353" s="68" t="str">
        <f>IF(main!AR356="","",ROUND(main!AR356*100,6))</f>
        <v/>
      </c>
      <c r="AG353" s="68" t="str">
        <f>IF(main!AS356="","",ROUND(main!AS356*100,6))</f>
        <v/>
      </c>
      <c r="AH353" s="68" t="str">
        <f>IF(main!AT356="","",ROUND(main!AT356*100,6))</f>
        <v/>
      </c>
      <c r="AI353" s="68" t="str">
        <f>IF(main!AU356="","",ROUND(main!AU356*100,6))</f>
        <v/>
      </c>
      <c r="AJ353" s="68" t="str">
        <f>IF(main!AV356="","",ROUND(main!AV356*100,6))</f>
        <v/>
      </c>
      <c r="AK353" s="68" t="str">
        <f>IF(main!AW356="","",ROUND(main!AW356*100,6))</f>
        <v/>
      </c>
      <c r="AL353" s="68" t="str">
        <f>IF(main!AX356="","",ROUND(main!AX356*100,6))</f>
        <v/>
      </c>
      <c r="AM353" s="68" t="str">
        <f>IF(main!AY356="","",ROUND(main!AY356*100,6))</f>
        <v/>
      </c>
      <c r="AN353" s="68" t="str">
        <f>IF(main!AZ356="","",ROUND(main!AZ356*100,6))</f>
        <v/>
      </c>
      <c r="AO353" s="68" t="str">
        <f>IF(main!BA356="","",ROUND(main!BA356*100,6))</f>
        <v/>
      </c>
      <c r="AP353" s="68" t="str">
        <f>IF(main!BB356="","",ROUND(main!BB356*100,6))</f>
        <v/>
      </c>
      <c r="AQ353" s="68" t="str">
        <f>IF(main!BC356="","",ROUND(main!BC356*100,6))</f>
        <v/>
      </c>
      <c r="AR353" s="68" t="str">
        <f>IF(main!BD356="","",ROUND(main!BD356*100,6))</f>
        <v/>
      </c>
      <c r="AS353" s="68" t="str">
        <f>IF(main!BE356="","",ROUND(main!BE356*100,6))</f>
        <v/>
      </c>
      <c r="AT353" s="68" t="str">
        <f>IF(main!BF356="","",ROUND(main!BF356*100,6))</f>
        <v/>
      </c>
      <c r="AU353" s="68" t="str">
        <f>IF(main!BG356="","",ROUND(main!BG356*100,6))</f>
        <v/>
      </c>
      <c r="AV353" s="68" t="str">
        <f>IF(main!BH356="","",ROUND(main!BH356*100,6))</f>
        <v/>
      </c>
      <c r="AW353" s="68" t="str">
        <f>IF(main!BI356="","",ROUND(main!BI356*100,6))</f>
        <v/>
      </c>
      <c r="AX353" s="68" t="str">
        <f>IF(main!BJ356="","",ROUND(main!BJ356*100,6))</f>
        <v/>
      </c>
      <c r="AY353" s="68" t="str">
        <f>IF(main!BK356="","",ROUND(main!BK356*100,6))</f>
        <v/>
      </c>
      <c r="AZ353" s="68" t="str">
        <f>IF(main!BL356="","",ROUND(main!BL356*100,6))</f>
        <v/>
      </c>
      <c r="BA353" s="68" t="str">
        <f>IF(main!BM356="","",ROUND(main!BM356*100,6))</f>
        <v/>
      </c>
      <c r="BB353" s="68" t="str">
        <f>IF(main!BN356="","",ROUND(main!BN356*100,6))</f>
        <v/>
      </c>
      <c r="BC353" s="68" t="str">
        <f>IF(main!BO356="","",ROUND(main!BO356*100,6))</f>
        <v/>
      </c>
      <c r="BD353" s="68" t="str">
        <f>IF(main!BP356="","",ROUND(main!BP356*100,6))</f>
        <v/>
      </c>
      <c r="BE353" s="68" t="str">
        <f>IF(main!BQ356="","",ROUND(main!BQ356*100,6))</f>
        <v/>
      </c>
      <c r="BF353" s="68" t="str">
        <f>IF(main!BR356="","",ROUND(main!BR356*100,6))</f>
        <v/>
      </c>
      <c r="BG353" s="68" t="str">
        <f>IF(main!BS356="","",ROUND(main!BS356*100,6))</f>
        <v/>
      </c>
      <c r="BH353" s="68" t="str">
        <f>IF(main!BT356="","",ROUND(main!BT356*100,6))</f>
        <v/>
      </c>
      <c r="BI353" s="68" t="str">
        <f>IF(main!BU356="","",ROUND(main!BU356*100,6))</f>
        <v/>
      </c>
      <c r="BJ353" s="68" t="str">
        <f>IF(main!BV356="","",ROUND(main!BV356*100,6))</f>
        <v/>
      </c>
      <c r="BK353" s="68" t="str">
        <f>IF(main!BW356="","",ROUND(main!BW356*100,6))</f>
        <v/>
      </c>
      <c r="BL353" s="68" t="str">
        <f>IF(main!BX356="","",ROUND(main!BX356*100,6))</f>
        <v/>
      </c>
      <c r="BM353" s="68" t="str">
        <f>IF(main!BY356="","",ROUND(main!BY356*100,6))</f>
        <v/>
      </c>
      <c r="BN353" s="68" t="str">
        <f>IF(main!BZ356="","",ROUND(main!BZ356*100,6))</f>
        <v/>
      </c>
      <c r="BO353" s="68" t="str">
        <f>IF(main!CA356="","",ROUND(main!CA356*100,6))</f>
        <v/>
      </c>
      <c r="BP353" s="68" t="str">
        <f>IF(main!CB356="","",ROUND(main!CB356*100,6))</f>
        <v/>
      </c>
      <c r="BQ353" s="68" t="str">
        <f>IF(main!CC356="","",ROUND(main!CC356*100,6))</f>
        <v/>
      </c>
      <c r="BR353" s="68" t="str">
        <f>IF(main!CD356="","",ROUND(main!CD356*100,6))</f>
        <v/>
      </c>
      <c r="BS353" s="68" t="str">
        <f>IF(main!CE356="","",ROUND(main!CE356*100,6))</f>
        <v/>
      </c>
      <c r="BT353" s="68" t="str">
        <f>IF(main!CF356="","",ROUND(main!CF356*100,6))</f>
        <v/>
      </c>
      <c r="BU353" s="68" t="str">
        <f>IF(main!CG356="","",ROUND(main!CG356*100,6))</f>
        <v/>
      </c>
      <c r="BV353" s="68" t="str">
        <f>IF(main!CH356="","",ROUND(main!CH356*100,6))</f>
        <v/>
      </c>
      <c r="BW353" s="68" t="str">
        <f>IF(main!CI356="","",ROUND(main!CI356*100,6))</f>
        <v/>
      </c>
      <c r="BX353" s="68" t="str">
        <f>IF(main!CJ356="","",ROUND(main!CJ356*100,6))</f>
        <v/>
      </c>
      <c r="BY353" s="68" t="str">
        <f>IF(main!CK356="","",ROUND(main!CK356*100,6))</f>
        <v/>
      </c>
      <c r="BZ353" s="68" t="str">
        <f>IF(main!CL356="","",ROUND(main!CL356*100,6))</f>
        <v/>
      </c>
      <c r="CA353" s="68" t="str">
        <f>IF(main!CM356="","",ROUND(main!CM356*100,6))</f>
        <v/>
      </c>
      <c r="CB353" s="68" t="str">
        <f>IF(main!CN356="","",ROUND(main!CN356*100,6))</f>
        <v/>
      </c>
      <c r="CC353" s="68" t="str">
        <f>IF(main!CO356="","",ROUND(main!CO356*100,6))</f>
        <v/>
      </c>
    </row>
    <row r="354" spans="1:81" x14ac:dyDescent="0.25">
      <c r="A354" s="65" t="s">
        <v>507</v>
      </c>
      <c r="B354" s="66" t="str">
        <f>main!C357</f>
        <v>Metal Sheet Roof</v>
      </c>
      <c r="C354" s="67">
        <f>main!O357</f>
        <v>100000</v>
      </c>
      <c r="D354" s="65" t="s">
        <v>110</v>
      </c>
      <c r="E354" s="68">
        <f t="shared" si="5"/>
        <v>99.999999000000003</v>
      </c>
      <c r="F354" s="68" t="str">
        <f>IF(main!R357="","",ROUND(main!R357*100,6))</f>
        <v/>
      </c>
      <c r="G354" s="68" t="str">
        <f>IF(main!S357="","",ROUND(main!S357*100,6))</f>
        <v/>
      </c>
      <c r="H354" s="68" t="str">
        <f>IF(main!T357="","",ROUND(main!T357*100,6))</f>
        <v/>
      </c>
      <c r="I354" s="68" t="str">
        <f>IF(main!U357="","",ROUND(main!U357*100,6))</f>
        <v/>
      </c>
      <c r="J354" s="68" t="str">
        <f>IF(main!V357="","",ROUND(main!V357*100,6))</f>
        <v/>
      </c>
      <c r="K354" s="68" t="str">
        <f>IF(main!W357="","",ROUND(main!W357*100,6))</f>
        <v/>
      </c>
      <c r="L354" s="68" t="str">
        <f>IF(main!X357="","",ROUND(main!X357*100,6))</f>
        <v/>
      </c>
      <c r="M354" s="68" t="str">
        <f>IF(main!Y357="","",ROUND(main!Y357*100,6))</f>
        <v/>
      </c>
      <c r="N354" s="68" t="str">
        <f>IF(main!Z357="","",ROUND(main!Z357*100,6))</f>
        <v/>
      </c>
      <c r="O354" s="68" t="str">
        <f>IF(main!AA357="","",ROUND(main!AA357*100,6))</f>
        <v/>
      </c>
      <c r="P354" s="68" t="str">
        <f>IF(main!AB357="","",ROUND(main!AB357*100,6))</f>
        <v/>
      </c>
      <c r="Q354" s="68" t="str">
        <f>IF(main!AC357="","",ROUND(main!AC357*100,6))</f>
        <v/>
      </c>
      <c r="R354" s="68" t="str">
        <f>IF(main!AD357="","",ROUND(main!AD357*100,6))</f>
        <v/>
      </c>
      <c r="S354" s="68" t="str">
        <f>IF(main!AE357="","",ROUND(main!AE357*100,6))</f>
        <v/>
      </c>
      <c r="T354" s="68" t="str">
        <f>IF(main!AF357="","",ROUND(main!AF357*100,6))</f>
        <v/>
      </c>
      <c r="U354" s="68" t="str">
        <f>IF(main!AG357="","",ROUND(main!AG357*100,6))</f>
        <v/>
      </c>
      <c r="V354" s="68" t="str">
        <f>IF(main!AH357="","",ROUND(main!AH357*100,6))</f>
        <v/>
      </c>
      <c r="W354" s="68" t="str">
        <f>IF(main!AI357="","",ROUND(main!AI357*100,6))</f>
        <v/>
      </c>
      <c r="X354" s="68" t="str">
        <f>IF(main!AJ357="","",ROUND(main!AJ357*100,6))</f>
        <v/>
      </c>
      <c r="Y354" s="68" t="str">
        <f>IF(main!AK357="","",ROUND(main!AK357*100,6))</f>
        <v/>
      </c>
      <c r="Z354" s="68" t="str">
        <f>IF(main!AL357="","",ROUND(main!AL357*100,6))</f>
        <v/>
      </c>
      <c r="AA354" s="68" t="str">
        <f>IF(main!AM357="","",ROUND(main!AM357*100,6))</f>
        <v/>
      </c>
      <c r="AB354" s="68" t="str">
        <f>IF(main!AN357="","",ROUND(main!AN357*100,6))</f>
        <v/>
      </c>
      <c r="AC354" s="68" t="str">
        <f>IF(main!AO357="","",ROUND(main!AO357*100,6))</f>
        <v/>
      </c>
      <c r="AD354" s="68" t="str">
        <f>IF(main!AP357="","",ROUND(main!AP357*100,6))</f>
        <v/>
      </c>
      <c r="AE354" s="68" t="str">
        <f>IF(main!AQ357="","",ROUND(main!AQ357*100,6))</f>
        <v/>
      </c>
      <c r="AF354" s="68" t="str">
        <f>IF(main!AR357="","",ROUND(main!AR357*100,6))</f>
        <v/>
      </c>
      <c r="AG354" s="68" t="str">
        <f>IF(main!AS357="","",ROUND(main!AS357*100,6))</f>
        <v/>
      </c>
      <c r="AH354" s="68" t="str">
        <f>IF(main!AT357="","",ROUND(main!AT357*100,6))</f>
        <v/>
      </c>
      <c r="AI354" s="68" t="str">
        <f>IF(main!AU357="","",ROUND(main!AU357*100,6))</f>
        <v/>
      </c>
      <c r="AJ354" s="68" t="str">
        <f>IF(main!AV357="","",ROUND(main!AV357*100,6))</f>
        <v/>
      </c>
      <c r="AK354" s="68" t="str">
        <f>IF(main!AW357="","",ROUND(main!AW357*100,6))</f>
        <v/>
      </c>
      <c r="AL354" s="68" t="str">
        <f>IF(main!AX357="","",ROUND(main!AX357*100,6))</f>
        <v/>
      </c>
      <c r="AM354" s="68" t="str">
        <f>IF(main!AY357="","",ROUND(main!AY357*100,6))</f>
        <v/>
      </c>
      <c r="AN354" s="68" t="str">
        <f>IF(main!AZ357="","",ROUND(main!AZ357*100,6))</f>
        <v/>
      </c>
      <c r="AO354" s="68" t="str">
        <f>IF(main!BA357="","",ROUND(main!BA357*100,6))</f>
        <v/>
      </c>
      <c r="AP354" s="68" t="str">
        <f>IF(main!BB357="","",ROUND(main!BB357*100,6))</f>
        <v/>
      </c>
      <c r="AQ354" s="68" t="str">
        <f>IF(main!BC357="","",ROUND(main!BC357*100,6))</f>
        <v/>
      </c>
      <c r="AR354" s="68" t="str">
        <f>IF(main!BD357="","",ROUND(main!BD357*100,6))</f>
        <v/>
      </c>
      <c r="AS354" s="68" t="str">
        <f>IF(main!BE357="","",ROUND(main!BE357*100,6))</f>
        <v/>
      </c>
      <c r="AT354" s="68" t="str">
        <f>IF(main!BF357="","",ROUND(main!BF357*100,6))</f>
        <v/>
      </c>
      <c r="AU354" s="68" t="str">
        <f>IF(main!BG357="","",ROUND(main!BG357*100,6))</f>
        <v/>
      </c>
      <c r="AV354" s="68" t="str">
        <f>IF(main!BH357="","",ROUND(main!BH357*100,6))</f>
        <v/>
      </c>
      <c r="AW354" s="68" t="str">
        <f>IF(main!BI357="","",ROUND(main!BI357*100,6))</f>
        <v/>
      </c>
      <c r="AX354" s="68" t="str">
        <f>IF(main!BJ357="","",ROUND(main!BJ357*100,6))</f>
        <v/>
      </c>
      <c r="AY354" s="68">
        <f>IF(main!BK357="","",ROUND(main!BK357*100,6))</f>
        <v>26.315788999999999</v>
      </c>
      <c r="AZ354" s="68">
        <f>IF(main!BL357="","",ROUND(main!BL357*100,6))</f>
        <v>36.842104999999997</v>
      </c>
      <c r="BA354" s="68">
        <f>IF(main!BM357="","",ROUND(main!BM357*100,6))</f>
        <v>36.842104999999997</v>
      </c>
      <c r="BB354" s="68" t="str">
        <f>IF(main!BN357="","",ROUND(main!BN357*100,6))</f>
        <v/>
      </c>
      <c r="BC354" s="68" t="str">
        <f>IF(main!BO357="","",ROUND(main!BO357*100,6))</f>
        <v/>
      </c>
      <c r="BD354" s="68" t="str">
        <f>IF(main!BP357="","",ROUND(main!BP357*100,6))</f>
        <v/>
      </c>
      <c r="BE354" s="68" t="str">
        <f>IF(main!BQ357="","",ROUND(main!BQ357*100,6))</f>
        <v/>
      </c>
      <c r="BF354" s="68" t="str">
        <f>IF(main!BR357="","",ROUND(main!BR357*100,6))</f>
        <v/>
      </c>
      <c r="BG354" s="68" t="str">
        <f>IF(main!BS357="","",ROUND(main!BS357*100,6))</f>
        <v/>
      </c>
      <c r="BH354" s="68" t="str">
        <f>IF(main!BT357="","",ROUND(main!BT357*100,6))</f>
        <v/>
      </c>
      <c r="BI354" s="68" t="str">
        <f>IF(main!BU357="","",ROUND(main!BU357*100,6))</f>
        <v/>
      </c>
      <c r="BJ354" s="68" t="str">
        <f>IF(main!BV357="","",ROUND(main!BV357*100,6))</f>
        <v/>
      </c>
      <c r="BK354" s="68" t="str">
        <f>IF(main!BW357="","",ROUND(main!BW357*100,6))</f>
        <v/>
      </c>
      <c r="BL354" s="68" t="str">
        <f>IF(main!BX357="","",ROUND(main!BX357*100,6))</f>
        <v/>
      </c>
      <c r="BM354" s="68" t="str">
        <f>IF(main!BY357="","",ROUND(main!BY357*100,6))</f>
        <v/>
      </c>
      <c r="BN354" s="68" t="str">
        <f>IF(main!BZ357="","",ROUND(main!BZ357*100,6))</f>
        <v/>
      </c>
      <c r="BO354" s="68" t="str">
        <f>IF(main!CA357="","",ROUND(main!CA357*100,6))</f>
        <v/>
      </c>
      <c r="BP354" s="68" t="str">
        <f>IF(main!CB357="","",ROUND(main!CB357*100,6))</f>
        <v/>
      </c>
      <c r="BQ354" s="68" t="str">
        <f>IF(main!CC357="","",ROUND(main!CC357*100,6))</f>
        <v/>
      </c>
      <c r="BR354" s="68" t="str">
        <f>IF(main!CD357="","",ROUND(main!CD357*100,6))</f>
        <v/>
      </c>
      <c r="BS354" s="68" t="str">
        <f>IF(main!CE357="","",ROUND(main!CE357*100,6))</f>
        <v/>
      </c>
      <c r="BT354" s="68" t="str">
        <f>IF(main!CF357="","",ROUND(main!CF357*100,6))</f>
        <v/>
      </c>
      <c r="BU354" s="68" t="str">
        <f>IF(main!CG357="","",ROUND(main!CG357*100,6))</f>
        <v/>
      </c>
      <c r="BV354" s="68" t="str">
        <f>IF(main!CH357="","",ROUND(main!CH357*100,6))</f>
        <v/>
      </c>
      <c r="BW354" s="68" t="str">
        <f>IF(main!CI357="","",ROUND(main!CI357*100,6))</f>
        <v/>
      </c>
      <c r="BX354" s="68" t="str">
        <f>IF(main!CJ357="","",ROUND(main!CJ357*100,6))</f>
        <v/>
      </c>
      <c r="BY354" s="68" t="str">
        <f>IF(main!CK357="","",ROUND(main!CK357*100,6))</f>
        <v/>
      </c>
      <c r="BZ354" s="68" t="str">
        <f>IF(main!CL357="","",ROUND(main!CL357*100,6))</f>
        <v/>
      </c>
      <c r="CA354" s="68" t="str">
        <f>IF(main!CM357="","",ROUND(main!CM357*100,6))</f>
        <v/>
      </c>
      <c r="CB354" s="68" t="str">
        <f>IF(main!CN357="","",ROUND(main!CN357*100,6))</f>
        <v/>
      </c>
      <c r="CC354" s="68" t="str">
        <f>IF(main!CO357="","",ROUND(main!CO357*100,6))</f>
        <v/>
      </c>
    </row>
    <row r="355" spans="1:81" x14ac:dyDescent="0.25">
      <c r="A355" s="65" t="s">
        <v>507</v>
      </c>
      <c r="B355" s="66" t="str">
        <f>main!C357</f>
        <v>Metal Sheet Roof</v>
      </c>
      <c r="C355" s="67">
        <f>main!O357</f>
        <v>100000</v>
      </c>
      <c r="D355" s="65" t="s">
        <v>111</v>
      </c>
      <c r="E355" s="68" t="str">
        <f t="shared" si="5"/>
        <v/>
      </c>
      <c r="F355" s="68" t="str">
        <f>IF(main!R358="","",ROUND(main!R358*100,6))</f>
        <v/>
      </c>
      <c r="G355" s="68" t="str">
        <f>IF(main!S358="","",ROUND(main!S358*100,6))</f>
        <v/>
      </c>
      <c r="H355" s="68" t="str">
        <f>IF(main!T358="","",ROUND(main!T358*100,6))</f>
        <v/>
      </c>
      <c r="I355" s="68" t="str">
        <f>IF(main!U358="","",ROUND(main!U358*100,6))</f>
        <v/>
      </c>
      <c r="J355" s="68" t="str">
        <f>IF(main!V358="","",ROUND(main!V358*100,6))</f>
        <v/>
      </c>
      <c r="K355" s="68" t="str">
        <f>IF(main!W358="","",ROUND(main!W358*100,6))</f>
        <v/>
      </c>
      <c r="L355" s="68" t="str">
        <f>IF(main!X358="","",ROUND(main!X358*100,6))</f>
        <v/>
      </c>
      <c r="M355" s="68" t="str">
        <f>IF(main!Y358="","",ROUND(main!Y358*100,6))</f>
        <v/>
      </c>
      <c r="N355" s="68" t="str">
        <f>IF(main!Z358="","",ROUND(main!Z358*100,6))</f>
        <v/>
      </c>
      <c r="O355" s="68" t="str">
        <f>IF(main!AA358="","",ROUND(main!AA358*100,6))</f>
        <v/>
      </c>
      <c r="P355" s="68" t="str">
        <f>IF(main!AB358="","",ROUND(main!AB358*100,6))</f>
        <v/>
      </c>
      <c r="Q355" s="68" t="str">
        <f>IF(main!AC358="","",ROUND(main!AC358*100,6))</f>
        <v/>
      </c>
      <c r="R355" s="68" t="str">
        <f>IF(main!AD358="","",ROUND(main!AD358*100,6))</f>
        <v/>
      </c>
      <c r="S355" s="68" t="str">
        <f>IF(main!AE358="","",ROUND(main!AE358*100,6))</f>
        <v/>
      </c>
      <c r="T355" s="68" t="str">
        <f>IF(main!AF358="","",ROUND(main!AF358*100,6))</f>
        <v/>
      </c>
      <c r="U355" s="68" t="str">
        <f>IF(main!AG358="","",ROUND(main!AG358*100,6))</f>
        <v/>
      </c>
      <c r="V355" s="68" t="str">
        <f>IF(main!AH358="","",ROUND(main!AH358*100,6))</f>
        <v/>
      </c>
      <c r="W355" s="68" t="str">
        <f>IF(main!AI358="","",ROUND(main!AI358*100,6))</f>
        <v/>
      </c>
      <c r="X355" s="68" t="str">
        <f>IF(main!AJ358="","",ROUND(main!AJ358*100,6))</f>
        <v/>
      </c>
      <c r="Y355" s="68" t="str">
        <f>IF(main!AK358="","",ROUND(main!AK358*100,6))</f>
        <v/>
      </c>
      <c r="Z355" s="68" t="str">
        <f>IF(main!AL358="","",ROUND(main!AL358*100,6))</f>
        <v/>
      </c>
      <c r="AA355" s="68" t="str">
        <f>IF(main!AM358="","",ROUND(main!AM358*100,6))</f>
        <v/>
      </c>
      <c r="AB355" s="68" t="str">
        <f>IF(main!AN358="","",ROUND(main!AN358*100,6))</f>
        <v/>
      </c>
      <c r="AC355" s="68" t="str">
        <f>IF(main!AO358="","",ROUND(main!AO358*100,6))</f>
        <v/>
      </c>
      <c r="AD355" s="68" t="str">
        <f>IF(main!AP358="","",ROUND(main!AP358*100,6))</f>
        <v/>
      </c>
      <c r="AE355" s="68" t="str">
        <f>IF(main!AQ358="","",ROUND(main!AQ358*100,6))</f>
        <v/>
      </c>
      <c r="AF355" s="68" t="str">
        <f>IF(main!AR358="","",ROUND(main!AR358*100,6))</f>
        <v/>
      </c>
      <c r="AG355" s="68" t="str">
        <f>IF(main!AS358="","",ROUND(main!AS358*100,6))</f>
        <v/>
      </c>
      <c r="AH355" s="68" t="str">
        <f>IF(main!AT358="","",ROUND(main!AT358*100,6))</f>
        <v/>
      </c>
      <c r="AI355" s="68" t="str">
        <f>IF(main!AU358="","",ROUND(main!AU358*100,6))</f>
        <v/>
      </c>
      <c r="AJ355" s="68" t="str">
        <f>IF(main!AV358="","",ROUND(main!AV358*100,6))</f>
        <v/>
      </c>
      <c r="AK355" s="68" t="str">
        <f>IF(main!AW358="","",ROUND(main!AW358*100,6))</f>
        <v/>
      </c>
      <c r="AL355" s="68" t="str">
        <f>IF(main!AX358="","",ROUND(main!AX358*100,6))</f>
        <v/>
      </c>
      <c r="AM355" s="68" t="str">
        <f>IF(main!AY358="","",ROUND(main!AY358*100,6))</f>
        <v/>
      </c>
      <c r="AN355" s="68" t="str">
        <f>IF(main!AZ358="","",ROUND(main!AZ358*100,6))</f>
        <v/>
      </c>
      <c r="AO355" s="68" t="str">
        <f>IF(main!BA358="","",ROUND(main!BA358*100,6))</f>
        <v/>
      </c>
      <c r="AP355" s="68" t="str">
        <f>IF(main!BB358="","",ROUND(main!BB358*100,6))</f>
        <v/>
      </c>
      <c r="AQ355" s="68" t="str">
        <f>IF(main!BC358="","",ROUND(main!BC358*100,6))</f>
        <v/>
      </c>
      <c r="AR355" s="68" t="str">
        <f>IF(main!BD358="","",ROUND(main!BD358*100,6))</f>
        <v/>
      </c>
      <c r="AS355" s="68" t="str">
        <f>IF(main!BE358="","",ROUND(main!BE358*100,6))</f>
        <v/>
      </c>
      <c r="AT355" s="68" t="str">
        <f>IF(main!BF358="","",ROUND(main!BF358*100,6))</f>
        <v/>
      </c>
      <c r="AU355" s="68" t="str">
        <f>IF(main!BG358="","",ROUND(main!BG358*100,6))</f>
        <v/>
      </c>
      <c r="AV355" s="68" t="str">
        <f>IF(main!BH358="","",ROUND(main!BH358*100,6))</f>
        <v/>
      </c>
      <c r="AW355" s="68" t="str">
        <f>IF(main!BI358="","",ROUND(main!BI358*100,6))</f>
        <v/>
      </c>
      <c r="AX355" s="68" t="str">
        <f>IF(main!BJ358="","",ROUND(main!BJ358*100,6))</f>
        <v/>
      </c>
      <c r="AY355" s="68" t="str">
        <f>IF(main!BK358="","",ROUND(main!BK358*100,6))</f>
        <v/>
      </c>
      <c r="AZ355" s="68" t="str">
        <f>IF(main!BL358="","",ROUND(main!BL358*100,6))</f>
        <v/>
      </c>
      <c r="BA355" s="68" t="str">
        <f>IF(main!BM358="","",ROUND(main!BM358*100,6))</f>
        <v/>
      </c>
      <c r="BB355" s="68" t="str">
        <f>IF(main!BN358="","",ROUND(main!BN358*100,6))</f>
        <v/>
      </c>
      <c r="BC355" s="68" t="str">
        <f>IF(main!BO358="","",ROUND(main!BO358*100,6))</f>
        <v/>
      </c>
      <c r="BD355" s="68" t="str">
        <f>IF(main!BP358="","",ROUND(main!BP358*100,6))</f>
        <v/>
      </c>
      <c r="BE355" s="68" t="str">
        <f>IF(main!BQ358="","",ROUND(main!BQ358*100,6))</f>
        <v/>
      </c>
      <c r="BF355" s="68" t="str">
        <f>IF(main!BR358="","",ROUND(main!BR358*100,6))</f>
        <v/>
      </c>
      <c r="BG355" s="68" t="str">
        <f>IF(main!BS358="","",ROUND(main!BS358*100,6))</f>
        <v/>
      </c>
      <c r="BH355" s="68" t="str">
        <f>IF(main!BT358="","",ROUND(main!BT358*100,6))</f>
        <v/>
      </c>
      <c r="BI355" s="68" t="str">
        <f>IF(main!BU358="","",ROUND(main!BU358*100,6))</f>
        <v/>
      </c>
      <c r="BJ355" s="68" t="str">
        <f>IF(main!BV358="","",ROUND(main!BV358*100,6))</f>
        <v/>
      </c>
      <c r="BK355" s="68" t="str">
        <f>IF(main!BW358="","",ROUND(main!BW358*100,6))</f>
        <v/>
      </c>
      <c r="BL355" s="68" t="str">
        <f>IF(main!BX358="","",ROUND(main!BX358*100,6))</f>
        <v/>
      </c>
      <c r="BM355" s="68" t="str">
        <f>IF(main!BY358="","",ROUND(main!BY358*100,6))</f>
        <v/>
      </c>
      <c r="BN355" s="68" t="str">
        <f>IF(main!BZ358="","",ROUND(main!BZ358*100,6))</f>
        <v/>
      </c>
      <c r="BO355" s="68" t="str">
        <f>IF(main!CA358="","",ROUND(main!CA358*100,6))</f>
        <v/>
      </c>
      <c r="BP355" s="68" t="str">
        <f>IF(main!CB358="","",ROUND(main!CB358*100,6))</f>
        <v/>
      </c>
      <c r="BQ355" s="68" t="str">
        <f>IF(main!CC358="","",ROUND(main!CC358*100,6))</f>
        <v/>
      </c>
      <c r="BR355" s="68" t="str">
        <f>IF(main!CD358="","",ROUND(main!CD358*100,6))</f>
        <v/>
      </c>
      <c r="BS355" s="68" t="str">
        <f>IF(main!CE358="","",ROUND(main!CE358*100,6))</f>
        <v/>
      </c>
      <c r="BT355" s="68" t="str">
        <f>IF(main!CF358="","",ROUND(main!CF358*100,6))</f>
        <v/>
      </c>
      <c r="BU355" s="68" t="str">
        <f>IF(main!CG358="","",ROUND(main!CG358*100,6))</f>
        <v/>
      </c>
      <c r="BV355" s="68" t="str">
        <f>IF(main!CH358="","",ROUND(main!CH358*100,6))</f>
        <v/>
      </c>
      <c r="BW355" s="68" t="str">
        <f>IF(main!CI358="","",ROUND(main!CI358*100,6))</f>
        <v/>
      </c>
      <c r="BX355" s="68" t="str">
        <f>IF(main!CJ358="","",ROUND(main!CJ358*100,6))</f>
        <v/>
      </c>
      <c r="BY355" s="68" t="str">
        <f>IF(main!CK358="","",ROUND(main!CK358*100,6))</f>
        <v/>
      </c>
      <c r="BZ355" s="68" t="str">
        <f>IF(main!CL358="","",ROUND(main!CL358*100,6))</f>
        <v/>
      </c>
      <c r="CA355" s="68" t="str">
        <f>IF(main!CM358="","",ROUND(main!CM358*100,6))</f>
        <v/>
      </c>
      <c r="CB355" s="68" t="str">
        <f>IF(main!CN358="","",ROUND(main!CN358*100,6))</f>
        <v/>
      </c>
      <c r="CC355" s="68" t="str">
        <f>IF(main!CO358="","",ROUND(main!CO358*100,6))</f>
        <v/>
      </c>
    </row>
    <row r="356" spans="1:81" x14ac:dyDescent="0.25">
      <c r="A356" s="65" t="s">
        <v>510</v>
      </c>
      <c r="B356" s="66" t="str">
        <f>main!C359</f>
        <v>Fiber Glass Roof</v>
      </c>
      <c r="C356" s="67">
        <f>main!O359</f>
        <v>100000</v>
      </c>
      <c r="D356" s="65" t="s">
        <v>110</v>
      </c>
      <c r="E356" s="68">
        <f t="shared" si="5"/>
        <v>100</v>
      </c>
      <c r="F356" s="68" t="str">
        <f>IF(main!R359="","",ROUND(main!R359*100,6))</f>
        <v/>
      </c>
      <c r="G356" s="68" t="str">
        <f>IF(main!S359="","",ROUND(main!S359*100,6))</f>
        <v/>
      </c>
      <c r="H356" s="68" t="str">
        <f>IF(main!T359="","",ROUND(main!T359*100,6))</f>
        <v/>
      </c>
      <c r="I356" s="68" t="str">
        <f>IF(main!U359="","",ROUND(main!U359*100,6))</f>
        <v/>
      </c>
      <c r="J356" s="68" t="str">
        <f>IF(main!V359="","",ROUND(main!V359*100,6))</f>
        <v/>
      </c>
      <c r="K356" s="68" t="str">
        <f>IF(main!W359="","",ROUND(main!W359*100,6))</f>
        <v/>
      </c>
      <c r="L356" s="68" t="str">
        <f>IF(main!X359="","",ROUND(main!X359*100,6))</f>
        <v/>
      </c>
      <c r="M356" s="68" t="str">
        <f>IF(main!Y359="","",ROUND(main!Y359*100,6))</f>
        <v/>
      </c>
      <c r="N356" s="68" t="str">
        <f>IF(main!Z359="","",ROUND(main!Z359*100,6))</f>
        <v/>
      </c>
      <c r="O356" s="68" t="str">
        <f>IF(main!AA359="","",ROUND(main!AA359*100,6))</f>
        <v/>
      </c>
      <c r="P356" s="68" t="str">
        <f>IF(main!AB359="","",ROUND(main!AB359*100,6))</f>
        <v/>
      </c>
      <c r="Q356" s="68" t="str">
        <f>IF(main!AC359="","",ROUND(main!AC359*100,6))</f>
        <v/>
      </c>
      <c r="R356" s="68" t="str">
        <f>IF(main!AD359="","",ROUND(main!AD359*100,6))</f>
        <v/>
      </c>
      <c r="S356" s="68" t="str">
        <f>IF(main!AE359="","",ROUND(main!AE359*100,6))</f>
        <v/>
      </c>
      <c r="T356" s="68" t="str">
        <f>IF(main!AF359="","",ROUND(main!AF359*100,6))</f>
        <v/>
      </c>
      <c r="U356" s="68" t="str">
        <f>IF(main!AG359="","",ROUND(main!AG359*100,6))</f>
        <v/>
      </c>
      <c r="V356" s="68" t="str">
        <f>IF(main!AH359="","",ROUND(main!AH359*100,6))</f>
        <v/>
      </c>
      <c r="W356" s="68" t="str">
        <f>IF(main!AI359="","",ROUND(main!AI359*100,6))</f>
        <v/>
      </c>
      <c r="X356" s="68" t="str">
        <f>IF(main!AJ359="","",ROUND(main!AJ359*100,6))</f>
        <v/>
      </c>
      <c r="Y356" s="68" t="str">
        <f>IF(main!AK359="","",ROUND(main!AK359*100,6))</f>
        <v/>
      </c>
      <c r="Z356" s="68" t="str">
        <f>IF(main!AL359="","",ROUND(main!AL359*100,6))</f>
        <v/>
      </c>
      <c r="AA356" s="68" t="str">
        <f>IF(main!AM359="","",ROUND(main!AM359*100,6))</f>
        <v/>
      </c>
      <c r="AB356" s="68" t="str">
        <f>IF(main!AN359="","",ROUND(main!AN359*100,6))</f>
        <v/>
      </c>
      <c r="AC356" s="68" t="str">
        <f>IF(main!AO359="","",ROUND(main!AO359*100,6))</f>
        <v/>
      </c>
      <c r="AD356" s="68" t="str">
        <f>IF(main!AP359="","",ROUND(main!AP359*100,6))</f>
        <v/>
      </c>
      <c r="AE356" s="68" t="str">
        <f>IF(main!AQ359="","",ROUND(main!AQ359*100,6))</f>
        <v/>
      </c>
      <c r="AF356" s="68" t="str">
        <f>IF(main!AR359="","",ROUND(main!AR359*100,6))</f>
        <v/>
      </c>
      <c r="AG356" s="68" t="str">
        <f>IF(main!AS359="","",ROUND(main!AS359*100,6))</f>
        <v/>
      </c>
      <c r="AH356" s="68" t="str">
        <f>IF(main!AT359="","",ROUND(main!AT359*100,6))</f>
        <v/>
      </c>
      <c r="AI356" s="68" t="str">
        <f>IF(main!AU359="","",ROUND(main!AU359*100,6))</f>
        <v/>
      </c>
      <c r="AJ356" s="68" t="str">
        <f>IF(main!AV359="","",ROUND(main!AV359*100,6))</f>
        <v/>
      </c>
      <c r="AK356" s="68" t="str">
        <f>IF(main!AW359="","",ROUND(main!AW359*100,6))</f>
        <v/>
      </c>
      <c r="AL356" s="68" t="str">
        <f>IF(main!AX359="","",ROUND(main!AX359*100,6))</f>
        <v/>
      </c>
      <c r="AM356" s="68" t="str">
        <f>IF(main!AY359="","",ROUND(main!AY359*100,6))</f>
        <v/>
      </c>
      <c r="AN356" s="68" t="str">
        <f>IF(main!AZ359="","",ROUND(main!AZ359*100,6))</f>
        <v/>
      </c>
      <c r="AO356" s="68" t="str">
        <f>IF(main!BA359="","",ROUND(main!BA359*100,6))</f>
        <v/>
      </c>
      <c r="AP356" s="68" t="str">
        <f>IF(main!BB359="","",ROUND(main!BB359*100,6))</f>
        <v/>
      </c>
      <c r="AQ356" s="68" t="str">
        <f>IF(main!BC359="","",ROUND(main!BC359*100,6))</f>
        <v/>
      </c>
      <c r="AR356" s="68" t="str">
        <f>IF(main!BD359="","",ROUND(main!BD359*100,6))</f>
        <v/>
      </c>
      <c r="AS356" s="68" t="str">
        <f>IF(main!BE359="","",ROUND(main!BE359*100,6))</f>
        <v/>
      </c>
      <c r="AT356" s="68" t="str">
        <f>IF(main!BF359="","",ROUND(main!BF359*100,6))</f>
        <v/>
      </c>
      <c r="AU356" s="68" t="str">
        <f>IF(main!BG359="","",ROUND(main!BG359*100,6))</f>
        <v/>
      </c>
      <c r="AV356" s="68" t="str">
        <f>IF(main!BH359="","",ROUND(main!BH359*100,6))</f>
        <v/>
      </c>
      <c r="AW356" s="68" t="str">
        <f>IF(main!BI359="","",ROUND(main!BI359*100,6))</f>
        <v/>
      </c>
      <c r="AX356" s="68" t="str">
        <f>IF(main!BJ359="","",ROUND(main!BJ359*100,6))</f>
        <v/>
      </c>
      <c r="AY356" s="68" t="str">
        <f>IF(main!BK359="","",ROUND(main!BK359*100,6))</f>
        <v/>
      </c>
      <c r="AZ356" s="68" t="str">
        <f>IF(main!BL359="","",ROUND(main!BL359*100,6))</f>
        <v/>
      </c>
      <c r="BA356" s="68" t="str">
        <f>IF(main!BM359="","",ROUND(main!BM359*100,6))</f>
        <v/>
      </c>
      <c r="BB356" s="68">
        <f>IF(main!BN359="","",ROUND(main!BN359*100,6))</f>
        <v>41.666666999999997</v>
      </c>
      <c r="BC356" s="68">
        <f>IF(main!BO359="","",ROUND(main!BO359*100,6))</f>
        <v>58.333333000000003</v>
      </c>
      <c r="BD356" s="68" t="str">
        <f>IF(main!BP359="","",ROUND(main!BP359*100,6))</f>
        <v/>
      </c>
      <c r="BE356" s="68" t="str">
        <f>IF(main!BQ359="","",ROUND(main!BQ359*100,6))</f>
        <v/>
      </c>
      <c r="BF356" s="68" t="str">
        <f>IF(main!BR359="","",ROUND(main!BR359*100,6))</f>
        <v/>
      </c>
      <c r="BG356" s="68" t="str">
        <f>IF(main!BS359="","",ROUND(main!BS359*100,6))</f>
        <v/>
      </c>
      <c r="BH356" s="68" t="str">
        <f>IF(main!BT359="","",ROUND(main!BT359*100,6))</f>
        <v/>
      </c>
      <c r="BI356" s="68" t="str">
        <f>IF(main!BU359="","",ROUND(main!BU359*100,6))</f>
        <v/>
      </c>
      <c r="BJ356" s="68" t="str">
        <f>IF(main!BV359="","",ROUND(main!BV359*100,6))</f>
        <v/>
      </c>
      <c r="BK356" s="68" t="str">
        <f>IF(main!BW359="","",ROUND(main!BW359*100,6))</f>
        <v/>
      </c>
      <c r="BL356" s="68" t="str">
        <f>IF(main!BX359="","",ROUND(main!BX359*100,6))</f>
        <v/>
      </c>
      <c r="BM356" s="68" t="str">
        <f>IF(main!BY359="","",ROUND(main!BY359*100,6))</f>
        <v/>
      </c>
      <c r="BN356" s="68" t="str">
        <f>IF(main!BZ359="","",ROUND(main!BZ359*100,6))</f>
        <v/>
      </c>
      <c r="BO356" s="68" t="str">
        <f>IF(main!CA359="","",ROUND(main!CA359*100,6))</f>
        <v/>
      </c>
      <c r="BP356" s="68" t="str">
        <f>IF(main!CB359="","",ROUND(main!CB359*100,6))</f>
        <v/>
      </c>
      <c r="BQ356" s="68" t="str">
        <f>IF(main!CC359="","",ROUND(main!CC359*100,6))</f>
        <v/>
      </c>
      <c r="BR356" s="68" t="str">
        <f>IF(main!CD359="","",ROUND(main!CD359*100,6))</f>
        <v/>
      </c>
      <c r="BS356" s="68" t="str">
        <f>IF(main!CE359="","",ROUND(main!CE359*100,6))</f>
        <v/>
      </c>
      <c r="BT356" s="68" t="str">
        <f>IF(main!CF359="","",ROUND(main!CF359*100,6))</f>
        <v/>
      </c>
      <c r="BU356" s="68" t="str">
        <f>IF(main!CG359="","",ROUND(main!CG359*100,6))</f>
        <v/>
      </c>
      <c r="BV356" s="68" t="str">
        <f>IF(main!CH359="","",ROUND(main!CH359*100,6))</f>
        <v/>
      </c>
      <c r="BW356" s="68" t="str">
        <f>IF(main!CI359="","",ROUND(main!CI359*100,6))</f>
        <v/>
      </c>
      <c r="BX356" s="68" t="str">
        <f>IF(main!CJ359="","",ROUND(main!CJ359*100,6))</f>
        <v/>
      </c>
      <c r="BY356" s="68" t="str">
        <f>IF(main!CK359="","",ROUND(main!CK359*100,6))</f>
        <v/>
      </c>
      <c r="BZ356" s="68" t="str">
        <f>IF(main!CL359="","",ROUND(main!CL359*100,6))</f>
        <v/>
      </c>
      <c r="CA356" s="68" t="str">
        <f>IF(main!CM359="","",ROUND(main!CM359*100,6))</f>
        <v/>
      </c>
      <c r="CB356" s="68" t="str">
        <f>IF(main!CN359="","",ROUND(main!CN359*100,6))</f>
        <v/>
      </c>
      <c r="CC356" s="68" t="str">
        <f>IF(main!CO359="","",ROUND(main!CO359*100,6))</f>
        <v/>
      </c>
    </row>
    <row r="357" spans="1:81" x14ac:dyDescent="0.25">
      <c r="A357" s="65" t="s">
        <v>510</v>
      </c>
      <c r="B357" s="66" t="str">
        <f>main!C359</f>
        <v>Fiber Glass Roof</v>
      </c>
      <c r="C357" s="67">
        <f>main!O359</f>
        <v>100000</v>
      </c>
      <c r="D357" s="65" t="s">
        <v>111</v>
      </c>
      <c r="E357" s="68" t="str">
        <f t="shared" si="5"/>
        <v/>
      </c>
      <c r="F357" s="68" t="str">
        <f>IF(main!R360="","",ROUND(main!R360*100,6))</f>
        <v/>
      </c>
      <c r="G357" s="68" t="str">
        <f>IF(main!S360="","",ROUND(main!S360*100,6))</f>
        <v/>
      </c>
      <c r="H357" s="68" t="str">
        <f>IF(main!T360="","",ROUND(main!T360*100,6))</f>
        <v/>
      </c>
      <c r="I357" s="68" t="str">
        <f>IF(main!U360="","",ROUND(main!U360*100,6))</f>
        <v/>
      </c>
      <c r="J357" s="68" t="str">
        <f>IF(main!V360="","",ROUND(main!V360*100,6))</f>
        <v/>
      </c>
      <c r="K357" s="68" t="str">
        <f>IF(main!W360="","",ROUND(main!W360*100,6))</f>
        <v/>
      </c>
      <c r="L357" s="68" t="str">
        <f>IF(main!X360="","",ROUND(main!X360*100,6))</f>
        <v/>
      </c>
      <c r="M357" s="68" t="str">
        <f>IF(main!Y360="","",ROUND(main!Y360*100,6))</f>
        <v/>
      </c>
      <c r="N357" s="68" t="str">
        <f>IF(main!Z360="","",ROUND(main!Z360*100,6))</f>
        <v/>
      </c>
      <c r="O357" s="68" t="str">
        <f>IF(main!AA360="","",ROUND(main!AA360*100,6))</f>
        <v/>
      </c>
      <c r="P357" s="68" t="str">
        <f>IF(main!AB360="","",ROUND(main!AB360*100,6))</f>
        <v/>
      </c>
      <c r="Q357" s="68" t="str">
        <f>IF(main!AC360="","",ROUND(main!AC360*100,6))</f>
        <v/>
      </c>
      <c r="R357" s="68" t="str">
        <f>IF(main!AD360="","",ROUND(main!AD360*100,6))</f>
        <v/>
      </c>
      <c r="S357" s="68" t="str">
        <f>IF(main!AE360="","",ROUND(main!AE360*100,6))</f>
        <v/>
      </c>
      <c r="T357" s="68" t="str">
        <f>IF(main!AF360="","",ROUND(main!AF360*100,6))</f>
        <v/>
      </c>
      <c r="U357" s="68" t="str">
        <f>IF(main!AG360="","",ROUND(main!AG360*100,6))</f>
        <v/>
      </c>
      <c r="V357" s="68" t="str">
        <f>IF(main!AH360="","",ROUND(main!AH360*100,6))</f>
        <v/>
      </c>
      <c r="W357" s="68" t="str">
        <f>IF(main!AI360="","",ROUND(main!AI360*100,6))</f>
        <v/>
      </c>
      <c r="X357" s="68" t="str">
        <f>IF(main!AJ360="","",ROUND(main!AJ360*100,6))</f>
        <v/>
      </c>
      <c r="Y357" s="68" t="str">
        <f>IF(main!AK360="","",ROUND(main!AK360*100,6))</f>
        <v/>
      </c>
      <c r="Z357" s="68" t="str">
        <f>IF(main!AL360="","",ROUND(main!AL360*100,6))</f>
        <v/>
      </c>
      <c r="AA357" s="68" t="str">
        <f>IF(main!AM360="","",ROUND(main!AM360*100,6))</f>
        <v/>
      </c>
      <c r="AB357" s="68" t="str">
        <f>IF(main!AN360="","",ROUND(main!AN360*100,6))</f>
        <v/>
      </c>
      <c r="AC357" s="68" t="str">
        <f>IF(main!AO360="","",ROUND(main!AO360*100,6))</f>
        <v/>
      </c>
      <c r="AD357" s="68" t="str">
        <f>IF(main!AP360="","",ROUND(main!AP360*100,6))</f>
        <v/>
      </c>
      <c r="AE357" s="68" t="str">
        <f>IF(main!AQ360="","",ROUND(main!AQ360*100,6))</f>
        <v/>
      </c>
      <c r="AF357" s="68" t="str">
        <f>IF(main!AR360="","",ROUND(main!AR360*100,6))</f>
        <v/>
      </c>
      <c r="AG357" s="68" t="str">
        <f>IF(main!AS360="","",ROUND(main!AS360*100,6))</f>
        <v/>
      </c>
      <c r="AH357" s="68" t="str">
        <f>IF(main!AT360="","",ROUND(main!AT360*100,6))</f>
        <v/>
      </c>
      <c r="AI357" s="68" t="str">
        <f>IF(main!AU360="","",ROUND(main!AU360*100,6))</f>
        <v/>
      </c>
      <c r="AJ357" s="68" t="str">
        <f>IF(main!AV360="","",ROUND(main!AV360*100,6))</f>
        <v/>
      </c>
      <c r="AK357" s="68" t="str">
        <f>IF(main!AW360="","",ROUND(main!AW360*100,6))</f>
        <v/>
      </c>
      <c r="AL357" s="68" t="str">
        <f>IF(main!AX360="","",ROUND(main!AX360*100,6))</f>
        <v/>
      </c>
      <c r="AM357" s="68" t="str">
        <f>IF(main!AY360="","",ROUND(main!AY360*100,6))</f>
        <v/>
      </c>
      <c r="AN357" s="68" t="str">
        <f>IF(main!AZ360="","",ROUND(main!AZ360*100,6))</f>
        <v/>
      </c>
      <c r="AO357" s="68" t="str">
        <f>IF(main!BA360="","",ROUND(main!BA360*100,6))</f>
        <v/>
      </c>
      <c r="AP357" s="68" t="str">
        <f>IF(main!BB360="","",ROUND(main!BB360*100,6))</f>
        <v/>
      </c>
      <c r="AQ357" s="68" t="str">
        <f>IF(main!BC360="","",ROUND(main!BC360*100,6))</f>
        <v/>
      </c>
      <c r="AR357" s="68" t="str">
        <f>IF(main!BD360="","",ROUND(main!BD360*100,6))</f>
        <v/>
      </c>
      <c r="AS357" s="68" t="str">
        <f>IF(main!BE360="","",ROUND(main!BE360*100,6))</f>
        <v/>
      </c>
      <c r="AT357" s="68" t="str">
        <f>IF(main!BF360="","",ROUND(main!BF360*100,6))</f>
        <v/>
      </c>
      <c r="AU357" s="68" t="str">
        <f>IF(main!BG360="","",ROUND(main!BG360*100,6))</f>
        <v/>
      </c>
      <c r="AV357" s="68" t="str">
        <f>IF(main!BH360="","",ROUND(main!BH360*100,6))</f>
        <v/>
      </c>
      <c r="AW357" s="68" t="str">
        <f>IF(main!BI360="","",ROUND(main!BI360*100,6))</f>
        <v/>
      </c>
      <c r="AX357" s="68" t="str">
        <f>IF(main!BJ360="","",ROUND(main!BJ360*100,6))</f>
        <v/>
      </c>
      <c r="AY357" s="68" t="str">
        <f>IF(main!BK360="","",ROUND(main!BK360*100,6))</f>
        <v/>
      </c>
      <c r="AZ357" s="68" t="str">
        <f>IF(main!BL360="","",ROUND(main!BL360*100,6))</f>
        <v/>
      </c>
      <c r="BA357" s="68" t="str">
        <f>IF(main!BM360="","",ROUND(main!BM360*100,6))</f>
        <v/>
      </c>
      <c r="BB357" s="68" t="str">
        <f>IF(main!BN360="","",ROUND(main!BN360*100,6))</f>
        <v/>
      </c>
      <c r="BC357" s="68" t="str">
        <f>IF(main!BO360="","",ROUND(main!BO360*100,6))</f>
        <v/>
      </c>
      <c r="BD357" s="68" t="str">
        <f>IF(main!BP360="","",ROUND(main!BP360*100,6))</f>
        <v/>
      </c>
      <c r="BE357" s="68" t="str">
        <f>IF(main!BQ360="","",ROUND(main!BQ360*100,6))</f>
        <v/>
      </c>
      <c r="BF357" s="68" t="str">
        <f>IF(main!BR360="","",ROUND(main!BR360*100,6))</f>
        <v/>
      </c>
      <c r="BG357" s="68" t="str">
        <f>IF(main!BS360="","",ROUND(main!BS360*100,6))</f>
        <v/>
      </c>
      <c r="BH357" s="68" t="str">
        <f>IF(main!BT360="","",ROUND(main!BT360*100,6))</f>
        <v/>
      </c>
      <c r="BI357" s="68" t="str">
        <f>IF(main!BU360="","",ROUND(main!BU360*100,6))</f>
        <v/>
      </c>
      <c r="BJ357" s="68" t="str">
        <f>IF(main!BV360="","",ROUND(main!BV360*100,6))</f>
        <v/>
      </c>
      <c r="BK357" s="68" t="str">
        <f>IF(main!BW360="","",ROUND(main!BW360*100,6))</f>
        <v/>
      </c>
      <c r="BL357" s="68" t="str">
        <f>IF(main!BX360="","",ROUND(main!BX360*100,6))</f>
        <v/>
      </c>
      <c r="BM357" s="68" t="str">
        <f>IF(main!BY360="","",ROUND(main!BY360*100,6))</f>
        <v/>
      </c>
      <c r="BN357" s="68" t="str">
        <f>IF(main!BZ360="","",ROUND(main!BZ360*100,6))</f>
        <v/>
      </c>
      <c r="BO357" s="68" t="str">
        <f>IF(main!CA360="","",ROUND(main!CA360*100,6))</f>
        <v/>
      </c>
      <c r="BP357" s="68" t="str">
        <f>IF(main!CB360="","",ROUND(main!CB360*100,6))</f>
        <v/>
      </c>
      <c r="BQ357" s="68" t="str">
        <f>IF(main!CC360="","",ROUND(main!CC360*100,6))</f>
        <v/>
      </c>
      <c r="BR357" s="68" t="str">
        <f>IF(main!CD360="","",ROUND(main!CD360*100,6))</f>
        <v/>
      </c>
      <c r="BS357" s="68" t="str">
        <f>IF(main!CE360="","",ROUND(main!CE360*100,6))</f>
        <v/>
      </c>
      <c r="BT357" s="68" t="str">
        <f>IF(main!CF360="","",ROUND(main!CF360*100,6))</f>
        <v/>
      </c>
      <c r="BU357" s="68" t="str">
        <f>IF(main!CG360="","",ROUND(main!CG360*100,6))</f>
        <v/>
      </c>
      <c r="BV357" s="68" t="str">
        <f>IF(main!CH360="","",ROUND(main!CH360*100,6))</f>
        <v/>
      </c>
      <c r="BW357" s="68" t="str">
        <f>IF(main!CI360="","",ROUND(main!CI360*100,6))</f>
        <v/>
      </c>
      <c r="BX357" s="68" t="str">
        <f>IF(main!CJ360="","",ROUND(main!CJ360*100,6))</f>
        <v/>
      </c>
      <c r="BY357" s="68" t="str">
        <f>IF(main!CK360="","",ROUND(main!CK360*100,6))</f>
        <v/>
      </c>
      <c r="BZ357" s="68" t="str">
        <f>IF(main!CL360="","",ROUND(main!CL360*100,6))</f>
        <v/>
      </c>
      <c r="CA357" s="68" t="str">
        <f>IF(main!CM360="","",ROUND(main!CM360*100,6))</f>
        <v/>
      </c>
      <c r="CB357" s="68" t="str">
        <f>IF(main!CN360="","",ROUND(main!CN360*100,6))</f>
        <v/>
      </c>
      <c r="CC357" s="68" t="str">
        <f>IF(main!CO360="","",ROUND(main!CO360*100,6))</f>
        <v/>
      </c>
    </row>
    <row r="358" spans="1:81" x14ac:dyDescent="0.25">
      <c r="A358" s="65" t="s">
        <v>513</v>
      </c>
      <c r="B358" s="66" t="str">
        <f>main!C361</f>
        <v>Sky Light</v>
      </c>
      <c r="C358" s="67">
        <f>main!O361</f>
        <v>100000</v>
      </c>
      <c r="D358" s="65" t="s">
        <v>110</v>
      </c>
      <c r="E358" s="68">
        <f t="shared" si="5"/>
        <v>99.999999000000003</v>
      </c>
      <c r="F358" s="68" t="str">
        <f>IF(main!R361="","",ROUND(main!R361*100,6))</f>
        <v/>
      </c>
      <c r="G358" s="68" t="str">
        <f>IF(main!S361="","",ROUND(main!S361*100,6))</f>
        <v/>
      </c>
      <c r="H358" s="68" t="str">
        <f>IF(main!T361="","",ROUND(main!T361*100,6))</f>
        <v/>
      </c>
      <c r="I358" s="68" t="str">
        <f>IF(main!U361="","",ROUND(main!U361*100,6))</f>
        <v/>
      </c>
      <c r="J358" s="68" t="str">
        <f>IF(main!V361="","",ROUND(main!V361*100,6))</f>
        <v/>
      </c>
      <c r="K358" s="68" t="str">
        <f>IF(main!W361="","",ROUND(main!W361*100,6))</f>
        <v/>
      </c>
      <c r="L358" s="68" t="str">
        <f>IF(main!X361="","",ROUND(main!X361*100,6))</f>
        <v/>
      </c>
      <c r="M358" s="68" t="str">
        <f>IF(main!Y361="","",ROUND(main!Y361*100,6))</f>
        <v/>
      </c>
      <c r="N358" s="68" t="str">
        <f>IF(main!Z361="","",ROUND(main!Z361*100,6))</f>
        <v/>
      </c>
      <c r="O358" s="68" t="str">
        <f>IF(main!AA361="","",ROUND(main!AA361*100,6))</f>
        <v/>
      </c>
      <c r="P358" s="68" t="str">
        <f>IF(main!AB361="","",ROUND(main!AB361*100,6))</f>
        <v/>
      </c>
      <c r="Q358" s="68" t="str">
        <f>IF(main!AC361="","",ROUND(main!AC361*100,6))</f>
        <v/>
      </c>
      <c r="R358" s="68" t="str">
        <f>IF(main!AD361="","",ROUND(main!AD361*100,6))</f>
        <v/>
      </c>
      <c r="S358" s="68" t="str">
        <f>IF(main!AE361="","",ROUND(main!AE361*100,6))</f>
        <v/>
      </c>
      <c r="T358" s="68" t="str">
        <f>IF(main!AF361="","",ROUND(main!AF361*100,6))</f>
        <v/>
      </c>
      <c r="U358" s="68" t="str">
        <f>IF(main!AG361="","",ROUND(main!AG361*100,6))</f>
        <v/>
      </c>
      <c r="V358" s="68" t="str">
        <f>IF(main!AH361="","",ROUND(main!AH361*100,6))</f>
        <v/>
      </c>
      <c r="W358" s="68" t="str">
        <f>IF(main!AI361="","",ROUND(main!AI361*100,6))</f>
        <v/>
      </c>
      <c r="X358" s="68" t="str">
        <f>IF(main!AJ361="","",ROUND(main!AJ361*100,6))</f>
        <v/>
      </c>
      <c r="Y358" s="68" t="str">
        <f>IF(main!AK361="","",ROUND(main!AK361*100,6))</f>
        <v/>
      </c>
      <c r="Z358" s="68" t="str">
        <f>IF(main!AL361="","",ROUND(main!AL361*100,6))</f>
        <v/>
      </c>
      <c r="AA358" s="68" t="str">
        <f>IF(main!AM361="","",ROUND(main!AM361*100,6))</f>
        <v/>
      </c>
      <c r="AB358" s="68" t="str">
        <f>IF(main!AN361="","",ROUND(main!AN361*100,6))</f>
        <v/>
      </c>
      <c r="AC358" s="68" t="str">
        <f>IF(main!AO361="","",ROUND(main!AO361*100,6))</f>
        <v/>
      </c>
      <c r="AD358" s="68" t="str">
        <f>IF(main!AP361="","",ROUND(main!AP361*100,6))</f>
        <v/>
      </c>
      <c r="AE358" s="68" t="str">
        <f>IF(main!AQ361="","",ROUND(main!AQ361*100,6))</f>
        <v/>
      </c>
      <c r="AF358" s="68" t="str">
        <f>IF(main!AR361="","",ROUND(main!AR361*100,6))</f>
        <v/>
      </c>
      <c r="AG358" s="68" t="str">
        <f>IF(main!AS361="","",ROUND(main!AS361*100,6))</f>
        <v/>
      </c>
      <c r="AH358" s="68" t="str">
        <f>IF(main!AT361="","",ROUND(main!AT361*100,6))</f>
        <v/>
      </c>
      <c r="AI358" s="68" t="str">
        <f>IF(main!AU361="","",ROUND(main!AU361*100,6))</f>
        <v/>
      </c>
      <c r="AJ358" s="68" t="str">
        <f>IF(main!AV361="","",ROUND(main!AV361*100,6))</f>
        <v/>
      </c>
      <c r="AK358" s="68" t="str">
        <f>IF(main!AW361="","",ROUND(main!AW361*100,6))</f>
        <v/>
      </c>
      <c r="AL358" s="68" t="str">
        <f>IF(main!AX361="","",ROUND(main!AX361*100,6))</f>
        <v/>
      </c>
      <c r="AM358" s="68" t="str">
        <f>IF(main!AY361="","",ROUND(main!AY361*100,6))</f>
        <v/>
      </c>
      <c r="AN358" s="68" t="str">
        <f>IF(main!AZ361="","",ROUND(main!AZ361*100,6))</f>
        <v/>
      </c>
      <c r="AO358" s="68" t="str">
        <f>IF(main!BA361="","",ROUND(main!BA361*100,6))</f>
        <v/>
      </c>
      <c r="AP358" s="68" t="str">
        <f>IF(main!BB361="","",ROUND(main!BB361*100,6))</f>
        <v/>
      </c>
      <c r="AQ358" s="68" t="str">
        <f>IF(main!BC361="","",ROUND(main!BC361*100,6))</f>
        <v/>
      </c>
      <c r="AR358" s="68" t="str">
        <f>IF(main!BD361="","",ROUND(main!BD361*100,6))</f>
        <v/>
      </c>
      <c r="AS358" s="68" t="str">
        <f>IF(main!BE361="","",ROUND(main!BE361*100,6))</f>
        <v/>
      </c>
      <c r="AT358" s="68" t="str">
        <f>IF(main!BF361="","",ROUND(main!BF361*100,6))</f>
        <v/>
      </c>
      <c r="AU358" s="68" t="str">
        <f>IF(main!BG361="","",ROUND(main!BG361*100,6))</f>
        <v/>
      </c>
      <c r="AV358" s="68" t="str">
        <f>IF(main!BH361="","",ROUND(main!BH361*100,6))</f>
        <v/>
      </c>
      <c r="AW358" s="68" t="str">
        <f>IF(main!BI361="","",ROUND(main!BI361*100,6))</f>
        <v/>
      </c>
      <c r="AX358" s="68" t="str">
        <f>IF(main!BJ361="","",ROUND(main!BJ361*100,6))</f>
        <v/>
      </c>
      <c r="AY358" s="68" t="str">
        <f>IF(main!BK361="","",ROUND(main!BK361*100,6))</f>
        <v/>
      </c>
      <c r="AZ358" s="68" t="str">
        <f>IF(main!BL361="","",ROUND(main!BL361*100,6))</f>
        <v/>
      </c>
      <c r="BA358" s="68" t="str">
        <f>IF(main!BM361="","",ROUND(main!BM361*100,6))</f>
        <v/>
      </c>
      <c r="BB358" s="68" t="str">
        <f>IF(main!BN361="","",ROUND(main!BN361*100,6))</f>
        <v/>
      </c>
      <c r="BC358" s="68" t="str">
        <f>IF(main!BO361="","",ROUND(main!BO361*100,6))</f>
        <v/>
      </c>
      <c r="BD358" s="68">
        <f>IF(main!BP361="","",ROUND(main!BP361*100,6))</f>
        <v>15.151515</v>
      </c>
      <c r="BE358" s="68">
        <f>IF(main!BQ361="","",ROUND(main!BQ361*100,6))</f>
        <v>21.212121</v>
      </c>
      <c r="BF358" s="68">
        <f>IF(main!BR361="","",ROUND(main!BR361*100,6))</f>
        <v>21.212121</v>
      </c>
      <c r="BG358" s="68">
        <f>IF(main!BS361="","",ROUND(main!BS361*100,6))</f>
        <v>21.212121</v>
      </c>
      <c r="BH358" s="68">
        <f>IF(main!BT361="","",ROUND(main!BT361*100,6))</f>
        <v>21.212121</v>
      </c>
      <c r="BI358" s="68" t="str">
        <f>IF(main!BU361="","",ROUND(main!BU361*100,6))</f>
        <v/>
      </c>
      <c r="BJ358" s="68" t="str">
        <f>IF(main!BV361="","",ROUND(main!BV361*100,6))</f>
        <v/>
      </c>
      <c r="BK358" s="68" t="str">
        <f>IF(main!BW361="","",ROUND(main!BW361*100,6))</f>
        <v/>
      </c>
      <c r="BL358" s="68" t="str">
        <f>IF(main!BX361="","",ROUND(main!BX361*100,6))</f>
        <v/>
      </c>
      <c r="BM358" s="68" t="str">
        <f>IF(main!BY361="","",ROUND(main!BY361*100,6))</f>
        <v/>
      </c>
      <c r="BN358" s="68" t="str">
        <f>IF(main!BZ361="","",ROUND(main!BZ361*100,6))</f>
        <v/>
      </c>
      <c r="BO358" s="68" t="str">
        <f>IF(main!CA361="","",ROUND(main!CA361*100,6))</f>
        <v/>
      </c>
      <c r="BP358" s="68" t="str">
        <f>IF(main!CB361="","",ROUND(main!CB361*100,6))</f>
        <v/>
      </c>
      <c r="BQ358" s="68" t="str">
        <f>IF(main!CC361="","",ROUND(main!CC361*100,6))</f>
        <v/>
      </c>
      <c r="BR358" s="68" t="str">
        <f>IF(main!CD361="","",ROUND(main!CD361*100,6))</f>
        <v/>
      </c>
      <c r="BS358" s="68" t="str">
        <f>IF(main!CE361="","",ROUND(main!CE361*100,6))</f>
        <v/>
      </c>
      <c r="BT358" s="68" t="str">
        <f>IF(main!CF361="","",ROUND(main!CF361*100,6))</f>
        <v/>
      </c>
      <c r="BU358" s="68" t="str">
        <f>IF(main!CG361="","",ROUND(main!CG361*100,6))</f>
        <v/>
      </c>
      <c r="BV358" s="68" t="str">
        <f>IF(main!CH361="","",ROUND(main!CH361*100,6))</f>
        <v/>
      </c>
      <c r="BW358" s="68" t="str">
        <f>IF(main!CI361="","",ROUND(main!CI361*100,6))</f>
        <v/>
      </c>
      <c r="BX358" s="68" t="str">
        <f>IF(main!CJ361="","",ROUND(main!CJ361*100,6))</f>
        <v/>
      </c>
      <c r="BY358" s="68" t="str">
        <f>IF(main!CK361="","",ROUND(main!CK361*100,6))</f>
        <v/>
      </c>
      <c r="BZ358" s="68" t="str">
        <f>IF(main!CL361="","",ROUND(main!CL361*100,6))</f>
        <v/>
      </c>
      <c r="CA358" s="68" t="str">
        <f>IF(main!CM361="","",ROUND(main!CM361*100,6))</f>
        <v/>
      </c>
      <c r="CB358" s="68" t="str">
        <f>IF(main!CN361="","",ROUND(main!CN361*100,6))</f>
        <v/>
      </c>
      <c r="CC358" s="68" t="str">
        <f>IF(main!CO361="","",ROUND(main!CO361*100,6))</f>
        <v/>
      </c>
    </row>
    <row r="359" spans="1:81" x14ac:dyDescent="0.25">
      <c r="A359" s="65" t="s">
        <v>513</v>
      </c>
      <c r="B359" s="66" t="str">
        <f>main!C361</f>
        <v>Sky Light</v>
      </c>
      <c r="C359" s="67">
        <f>main!O361</f>
        <v>100000</v>
      </c>
      <c r="D359" s="65" t="s">
        <v>111</v>
      </c>
      <c r="E359" s="68" t="str">
        <f t="shared" si="5"/>
        <v/>
      </c>
      <c r="F359" s="68" t="str">
        <f>IF(main!R362="","",ROUND(main!R362*100,6))</f>
        <v/>
      </c>
      <c r="G359" s="68" t="str">
        <f>IF(main!S362="","",ROUND(main!S362*100,6))</f>
        <v/>
      </c>
      <c r="H359" s="68" t="str">
        <f>IF(main!T362="","",ROUND(main!T362*100,6))</f>
        <v/>
      </c>
      <c r="I359" s="68" t="str">
        <f>IF(main!U362="","",ROUND(main!U362*100,6))</f>
        <v/>
      </c>
      <c r="J359" s="68" t="str">
        <f>IF(main!V362="","",ROUND(main!V362*100,6))</f>
        <v/>
      </c>
      <c r="K359" s="68" t="str">
        <f>IF(main!W362="","",ROUND(main!W362*100,6))</f>
        <v/>
      </c>
      <c r="L359" s="68" t="str">
        <f>IF(main!X362="","",ROUND(main!X362*100,6))</f>
        <v/>
      </c>
      <c r="M359" s="68" t="str">
        <f>IF(main!Y362="","",ROUND(main!Y362*100,6))</f>
        <v/>
      </c>
      <c r="N359" s="68" t="str">
        <f>IF(main!Z362="","",ROUND(main!Z362*100,6))</f>
        <v/>
      </c>
      <c r="O359" s="68" t="str">
        <f>IF(main!AA362="","",ROUND(main!AA362*100,6))</f>
        <v/>
      </c>
      <c r="P359" s="68" t="str">
        <f>IF(main!AB362="","",ROUND(main!AB362*100,6))</f>
        <v/>
      </c>
      <c r="Q359" s="68" t="str">
        <f>IF(main!AC362="","",ROUND(main!AC362*100,6))</f>
        <v/>
      </c>
      <c r="R359" s="68" t="str">
        <f>IF(main!AD362="","",ROUND(main!AD362*100,6))</f>
        <v/>
      </c>
      <c r="S359" s="68" t="str">
        <f>IF(main!AE362="","",ROUND(main!AE362*100,6))</f>
        <v/>
      </c>
      <c r="T359" s="68" t="str">
        <f>IF(main!AF362="","",ROUND(main!AF362*100,6))</f>
        <v/>
      </c>
      <c r="U359" s="68" t="str">
        <f>IF(main!AG362="","",ROUND(main!AG362*100,6))</f>
        <v/>
      </c>
      <c r="V359" s="68" t="str">
        <f>IF(main!AH362="","",ROUND(main!AH362*100,6))</f>
        <v/>
      </c>
      <c r="W359" s="68" t="str">
        <f>IF(main!AI362="","",ROUND(main!AI362*100,6))</f>
        <v/>
      </c>
      <c r="X359" s="68" t="str">
        <f>IF(main!AJ362="","",ROUND(main!AJ362*100,6))</f>
        <v/>
      </c>
      <c r="Y359" s="68" t="str">
        <f>IF(main!AK362="","",ROUND(main!AK362*100,6))</f>
        <v/>
      </c>
      <c r="Z359" s="68" t="str">
        <f>IF(main!AL362="","",ROUND(main!AL362*100,6))</f>
        <v/>
      </c>
      <c r="AA359" s="68" t="str">
        <f>IF(main!AM362="","",ROUND(main!AM362*100,6))</f>
        <v/>
      </c>
      <c r="AB359" s="68" t="str">
        <f>IF(main!AN362="","",ROUND(main!AN362*100,6))</f>
        <v/>
      </c>
      <c r="AC359" s="68" t="str">
        <f>IF(main!AO362="","",ROUND(main!AO362*100,6))</f>
        <v/>
      </c>
      <c r="AD359" s="68" t="str">
        <f>IF(main!AP362="","",ROUND(main!AP362*100,6))</f>
        <v/>
      </c>
      <c r="AE359" s="68" t="str">
        <f>IF(main!AQ362="","",ROUND(main!AQ362*100,6))</f>
        <v/>
      </c>
      <c r="AF359" s="68" t="str">
        <f>IF(main!AR362="","",ROUND(main!AR362*100,6))</f>
        <v/>
      </c>
      <c r="AG359" s="68" t="str">
        <f>IF(main!AS362="","",ROUND(main!AS362*100,6))</f>
        <v/>
      </c>
      <c r="AH359" s="68" t="str">
        <f>IF(main!AT362="","",ROUND(main!AT362*100,6))</f>
        <v/>
      </c>
      <c r="AI359" s="68" t="str">
        <f>IF(main!AU362="","",ROUND(main!AU362*100,6))</f>
        <v/>
      </c>
      <c r="AJ359" s="68" t="str">
        <f>IF(main!AV362="","",ROUND(main!AV362*100,6))</f>
        <v/>
      </c>
      <c r="AK359" s="68" t="str">
        <f>IF(main!AW362="","",ROUND(main!AW362*100,6))</f>
        <v/>
      </c>
      <c r="AL359" s="68" t="str">
        <f>IF(main!AX362="","",ROUND(main!AX362*100,6))</f>
        <v/>
      </c>
      <c r="AM359" s="68" t="str">
        <f>IF(main!AY362="","",ROUND(main!AY362*100,6))</f>
        <v/>
      </c>
      <c r="AN359" s="68" t="str">
        <f>IF(main!AZ362="","",ROUND(main!AZ362*100,6))</f>
        <v/>
      </c>
      <c r="AO359" s="68" t="str">
        <f>IF(main!BA362="","",ROUND(main!BA362*100,6))</f>
        <v/>
      </c>
      <c r="AP359" s="68" t="str">
        <f>IF(main!BB362="","",ROUND(main!BB362*100,6))</f>
        <v/>
      </c>
      <c r="AQ359" s="68" t="str">
        <f>IF(main!BC362="","",ROUND(main!BC362*100,6))</f>
        <v/>
      </c>
      <c r="AR359" s="68" t="str">
        <f>IF(main!BD362="","",ROUND(main!BD362*100,6))</f>
        <v/>
      </c>
      <c r="AS359" s="68" t="str">
        <f>IF(main!BE362="","",ROUND(main!BE362*100,6))</f>
        <v/>
      </c>
      <c r="AT359" s="68" t="str">
        <f>IF(main!BF362="","",ROUND(main!BF362*100,6))</f>
        <v/>
      </c>
      <c r="AU359" s="68" t="str">
        <f>IF(main!BG362="","",ROUND(main!BG362*100,6))</f>
        <v/>
      </c>
      <c r="AV359" s="68" t="str">
        <f>IF(main!BH362="","",ROUND(main!BH362*100,6))</f>
        <v/>
      </c>
      <c r="AW359" s="68" t="str">
        <f>IF(main!BI362="","",ROUND(main!BI362*100,6))</f>
        <v/>
      </c>
      <c r="AX359" s="68" t="str">
        <f>IF(main!BJ362="","",ROUND(main!BJ362*100,6))</f>
        <v/>
      </c>
      <c r="AY359" s="68" t="str">
        <f>IF(main!BK362="","",ROUND(main!BK362*100,6))</f>
        <v/>
      </c>
      <c r="AZ359" s="68" t="str">
        <f>IF(main!BL362="","",ROUND(main!BL362*100,6))</f>
        <v/>
      </c>
      <c r="BA359" s="68" t="str">
        <f>IF(main!BM362="","",ROUND(main!BM362*100,6))</f>
        <v/>
      </c>
      <c r="BB359" s="68" t="str">
        <f>IF(main!BN362="","",ROUND(main!BN362*100,6))</f>
        <v/>
      </c>
      <c r="BC359" s="68" t="str">
        <f>IF(main!BO362="","",ROUND(main!BO362*100,6))</f>
        <v/>
      </c>
      <c r="BD359" s="68" t="str">
        <f>IF(main!BP362="","",ROUND(main!BP362*100,6))</f>
        <v/>
      </c>
      <c r="BE359" s="68" t="str">
        <f>IF(main!BQ362="","",ROUND(main!BQ362*100,6))</f>
        <v/>
      </c>
      <c r="BF359" s="68" t="str">
        <f>IF(main!BR362="","",ROUND(main!BR362*100,6))</f>
        <v/>
      </c>
      <c r="BG359" s="68" t="str">
        <f>IF(main!BS362="","",ROUND(main!BS362*100,6))</f>
        <v/>
      </c>
      <c r="BH359" s="68" t="str">
        <f>IF(main!BT362="","",ROUND(main!BT362*100,6))</f>
        <v/>
      </c>
      <c r="BI359" s="68" t="str">
        <f>IF(main!BU362="","",ROUND(main!BU362*100,6))</f>
        <v/>
      </c>
      <c r="BJ359" s="68" t="str">
        <f>IF(main!BV362="","",ROUND(main!BV362*100,6))</f>
        <v/>
      </c>
      <c r="BK359" s="68" t="str">
        <f>IF(main!BW362="","",ROUND(main!BW362*100,6))</f>
        <v/>
      </c>
      <c r="BL359" s="68" t="str">
        <f>IF(main!BX362="","",ROUND(main!BX362*100,6))</f>
        <v/>
      </c>
      <c r="BM359" s="68" t="str">
        <f>IF(main!BY362="","",ROUND(main!BY362*100,6))</f>
        <v/>
      </c>
      <c r="BN359" s="68" t="str">
        <f>IF(main!BZ362="","",ROUND(main!BZ362*100,6))</f>
        <v/>
      </c>
      <c r="BO359" s="68" t="str">
        <f>IF(main!CA362="","",ROUND(main!CA362*100,6))</f>
        <v/>
      </c>
      <c r="BP359" s="68" t="str">
        <f>IF(main!CB362="","",ROUND(main!CB362*100,6))</f>
        <v/>
      </c>
      <c r="BQ359" s="68" t="str">
        <f>IF(main!CC362="","",ROUND(main!CC362*100,6))</f>
        <v/>
      </c>
      <c r="BR359" s="68" t="str">
        <f>IF(main!CD362="","",ROUND(main!CD362*100,6))</f>
        <v/>
      </c>
      <c r="BS359" s="68" t="str">
        <f>IF(main!CE362="","",ROUND(main!CE362*100,6))</f>
        <v/>
      </c>
      <c r="BT359" s="68" t="str">
        <f>IF(main!CF362="","",ROUND(main!CF362*100,6))</f>
        <v/>
      </c>
      <c r="BU359" s="68" t="str">
        <f>IF(main!CG362="","",ROUND(main!CG362*100,6))</f>
        <v/>
      </c>
      <c r="BV359" s="68" t="str">
        <f>IF(main!CH362="","",ROUND(main!CH362*100,6))</f>
        <v/>
      </c>
      <c r="BW359" s="68" t="str">
        <f>IF(main!CI362="","",ROUND(main!CI362*100,6))</f>
        <v/>
      </c>
      <c r="BX359" s="68" t="str">
        <f>IF(main!CJ362="","",ROUND(main!CJ362*100,6))</f>
        <v/>
      </c>
      <c r="BY359" s="68" t="str">
        <f>IF(main!CK362="","",ROUND(main!CK362*100,6))</f>
        <v/>
      </c>
      <c r="BZ359" s="68" t="str">
        <f>IF(main!CL362="","",ROUND(main!CL362*100,6))</f>
        <v/>
      </c>
      <c r="CA359" s="68" t="str">
        <f>IF(main!CM362="","",ROUND(main!CM362*100,6))</f>
        <v/>
      </c>
      <c r="CB359" s="68" t="str">
        <f>IF(main!CN362="","",ROUND(main!CN362*100,6))</f>
        <v/>
      </c>
      <c r="CC359" s="68" t="str">
        <f>IF(main!CO362="","",ROUND(main!CO362*100,6))</f>
        <v/>
      </c>
    </row>
    <row r="360" spans="1:81" x14ac:dyDescent="0.25">
      <c r="A360" s="65" t="s">
        <v>516</v>
      </c>
      <c r="B360" s="66" t="str">
        <f>main!C363</f>
        <v>Stair Finish</v>
      </c>
      <c r="C360" s="67">
        <f>main!O363</f>
        <v>900000</v>
      </c>
      <c r="D360" s="65" t="s">
        <v>110</v>
      </c>
      <c r="E360" s="68">
        <f t="shared" si="5"/>
        <v>100.00000199999999</v>
      </c>
      <c r="F360" s="68" t="str">
        <f>IF(main!R363="","",ROUND(main!R363*100,6))</f>
        <v/>
      </c>
      <c r="G360" s="68" t="str">
        <f>IF(main!S363="","",ROUND(main!S363*100,6))</f>
        <v/>
      </c>
      <c r="H360" s="68" t="str">
        <f>IF(main!T363="","",ROUND(main!T363*100,6))</f>
        <v/>
      </c>
      <c r="I360" s="68" t="str">
        <f>IF(main!U363="","",ROUND(main!U363*100,6))</f>
        <v/>
      </c>
      <c r="J360" s="68" t="str">
        <f>IF(main!V363="","",ROUND(main!V363*100,6))</f>
        <v/>
      </c>
      <c r="K360" s="68" t="str">
        <f>IF(main!W363="","",ROUND(main!W363*100,6))</f>
        <v/>
      </c>
      <c r="L360" s="68" t="str">
        <f>IF(main!X363="","",ROUND(main!X363*100,6))</f>
        <v/>
      </c>
      <c r="M360" s="68" t="str">
        <f>IF(main!Y363="","",ROUND(main!Y363*100,6))</f>
        <v/>
      </c>
      <c r="N360" s="68" t="str">
        <f>IF(main!Z363="","",ROUND(main!Z363*100,6))</f>
        <v/>
      </c>
      <c r="O360" s="68" t="str">
        <f>IF(main!AA363="","",ROUND(main!AA363*100,6))</f>
        <v/>
      </c>
      <c r="P360" s="68" t="str">
        <f>IF(main!AB363="","",ROUND(main!AB363*100,6))</f>
        <v/>
      </c>
      <c r="Q360" s="68" t="str">
        <f>IF(main!AC363="","",ROUND(main!AC363*100,6))</f>
        <v/>
      </c>
      <c r="R360" s="68" t="str">
        <f>IF(main!AD363="","",ROUND(main!AD363*100,6))</f>
        <v/>
      </c>
      <c r="S360" s="68" t="str">
        <f>IF(main!AE363="","",ROUND(main!AE363*100,6))</f>
        <v/>
      </c>
      <c r="T360" s="68" t="str">
        <f>IF(main!AF363="","",ROUND(main!AF363*100,6))</f>
        <v/>
      </c>
      <c r="U360" s="68" t="str">
        <f>IF(main!AG363="","",ROUND(main!AG363*100,6))</f>
        <v/>
      </c>
      <c r="V360" s="68" t="str">
        <f>IF(main!AH363="","",ROUND(main!AH363*100,6))</f>
        <v/>
      </c>
      <c r="W360" s="68" t="str">
        <f>IF(main!AI363="","",ROUND(main!AI363*100,6))</f>
        <v/>
      </c>
      <c r="X360" s="68" t="str">
        <f>IF(main!AJ363="","",ROUND(main!AJ363*100,6))</f>
        <v/>
      </c>
      <c r="Y360" s="68" t="str">
        <f>IF(main!AK363="","",ROUND(main!AK363*100,6))</f>
        <v/>
      </c>
      <c r="Z360" s="68" t="str">
        <f>IF(main!AL363="","",ROUND(main!AL363*100,6))</f>
        <v/>
      </c>
      <c r="AA360" s="68" t="str">
        <f>IF(main!AM363="","",ROUND(main!AM363*100,6))</f>
        <v/>
      </c>
      <c r="AB360" s="68" t="str">
        <f>IF(main!AN363="","",ROUND(main!AN363*100,6))</f>
        <v/>
      </c>
      <c r="AC360" s="68" t="str">
        <f>IF(main!AO363="","",ROUND(main!AO363*100,6))</f>
        <v/>
      </c>
      <c r="AD360" s="68" t="str">
        <f>IF(main!AP363="","",ROUND(main!AP363*100,6))</f>
        <v/>
      </c>
      <c r="AE360" s="68" t="str">
        <f>IF(main!AQ363="","",ROUND(main!AQ363*100,6))</f>
        <v/>
      </c>
      <c r="AF360" s="68" t="str">
        <f>IF(main!AR363="","",ROUND(main!AR363*100,6))</f>
        <v/>
      </c>
      <c r="AG360" s="68" t="str">
        <f>IF(main!AS363="","",ROUND(main!AS363*100,6))</f>
        <v/>
      </c>
      <c r="AH360" s="68" t="str">
        <f>IF(main!AT363="","",ROUND(main!AT363*100,6))</f>
        <v/>
      </c>
      <c r="AI360" s="68" t="str">
        <f>IF(main!AU363="","",ROUND(main!AU363*100,6))</f>
        <v/>
      </c>
      <c r="AJ360" s="68" t="str">
        <f>IF(main!AV363="","",ROUND(main!AV363*100,6))</f>
        <v/>
      </c>
      <c r="AK360" s="68" t="str">
        <f>IF(main!AW363="","",ROUND(main!AW363*100,6))</f>
        <v/>
      </c>
      <c r="AL360" s="68" t="str">
        <f>IF(main!AX363="","",ROUND(main!AX363*100,6))</f>
        <v/>
      </c>
      <c r="AM360" s="68" t="str">
        <f>IF(main!AY363="","",ROUND(main!AY363*100,6))</f>
        <v/>
      </c>
      <c r="AN360" s="68" t="str">
        <f>IF(main!AZ363="","",ROUND(main!AZ363*100,6))</f>
        <v/>
      </c>
      <c r="AO360" s="68" t="str">
        <f>IF(main!BA363="","",ROUND(main!BA363*100,6))</f>
        <v/>
      </c>
      <c r="AP360" s="68" t="str">
        <f>IF(main!BB363="","",ROUND(main!BB363*100,6))</f>
        <v/>
      </c>
      <c r="AQ360" s="68" t="str">
        <f>IF(main!BC363="","",ROUND(main!BC363*100,6))</f>
        <v/>
      </c>
      <c r="AR360" s="68" t="str">
        <f>IF(main!BD363="","",ROUND(main!BD363*100,6))</f>
        <v/>
      </c>
      <c r="AS360" s="68" t="str">
        <f>IF(main!BE363="","",ROUND(main!BE363*100,6))</f>
        <v/>
      </c>
      <c r="AT360" s="68" t="str">
        <f>IF(main!BF363="","",ROUND(main!BF363*100,6))</f>
        <v/>
      </c>
      <c r="AU360" s="68" t="str">
        <f>IF(main!BG363="","",ROUND(main!BG363*100,6))</f>
        <v/>
      </c>
      <c r="AV360" s="68" t="str">
        <f>IF(main!BH363="","",ROUND(main!BH363*100,6))</f>
        <v/>
      </c>
      <c r="AW360" s="68" t="str">
        <f>IF(main!BI363="","",ROUND(main!BI363*100,6))</f>
        <v/>
      </c>
      <c r="AX360" s="68" t="str">
        <f>IF(main!BJ363="","",ROUND(main!BJ363*100,6))</f>
        <v/>
      </c>
      <c r="AY360" s="68" t="str">
        <f>IF(main!BK363="","",ROUND(main!BK363*100,6))</f>
        <v/>
      </c>
      <c r="AZ360" s="68" t="str">
        <f>IF(main!BL363="","",ROUND(main!BL363*100,6))</f>
        <v/>
      </c>
      <c r="BA360" s="68" t="str">
        <f>IF(main!BM363="","",ROUND(main!BM363*100,6))</f>
        <v/>
      </c>
      <c r="BB360" s="68" t="str">
        <f>IF(main!BN363="","",ROUND(main!BN363*100,6))</f>
        <v/>
      </c>
      <c r="BC360" s="68" t="str">
        <f>IF(main!BO363="","",ROUND(main!BO363*100,6))</f>
        <v/>
      </c>
      <c r="BD360" s="68" t="str">
        <f>IF(main!BP363="","",ROUND(main!BP363*100,6))</f>
        <v/>
      </c>
      <c r="BE360" s="68" t="str">
        <f>IF(main!BQ363="","",ROUND(main!BQ363*100,6))</f>
        <v/>
      </c>
      <c r="BF360" s="68" t="str">
        <f>IF(main!BR363="","",ROUND(main!BR363*100,6))</f>
        <v/>
      </c>
      <c r="BG360" s="68" t="str">
        <f>IF(main!BS363="","",ROUND(main!BS363*100,6))</f>
        <v/>
      </c>
      <c r="BH360" s="68" t="str">
        <f>IF(main!BT363="","",ROUND(main!BT363*100,6))</f>
        <v/>
      </c>
      <c r="BI360" s="68" t="str">
        <f>IF(main!BU363="","",ROUND(main!BU363*100,6))</f>
        <v/>
      </c>
      <c r="BJ360" s="68" t="str">
        <f>IF(main!BV363="","",ROUND(main!BV363*100,6))</f>
        <v/>
      </c>
      <c r="BK360" s="68" t="str">
        <f>IF(main!BW363="","",ROUND(main!BW363*100,6))</f>
        <v/>
      </c>
      <c r="BL360" s="68" t="str">
        <f>IF(main!BX363="","",ROUND(main!BX363*100,6))</f>
        <v/>
      </c>
      <c r="BM360" s="68" t="str">
        <f>IF(main!BY363="","",ROUND(main!BY363*100,6))</f>
        <v/>
      </c>
      <c r="BN360" s="68">
        <f>IF(main!BZ363="","",ROUND(main!BZ363*100,6))</f>
        <v>0.793651</v>
      </c>
      <c r="BO360" s="68">
        <f>IF(main!CA363="","",ROUND(main!CA363*100,6))</f>
        <v>5.5555560000000002</v>
      </c>
      <c r="BP360" s="68">
        <f>IF(main!CB363="","",ROUND(main!CB363*100,6))</f>
        <v>6.7460319999999996</v>
      </c>
      <c r="BQ360" s="68">
        <f>IF(main!CC363="","",ROUND(main!CC363*100,6))</f>
        <v>5.5555560000000002</v>
      </c>
      <c r="BR360" s="68">
        <f>IF(main!CD363="","",ROUND(main!CD363*100,6))</f>
        <v>5.5555560000000002</v>
      </c>
      <c r="BS360" s="68">
        <f>IF(main!CE363="","",ROUND(main!CE363*100,6))</f>
        <v>5.5555560000000002</v>
      </c>
      <c r="BT360" s="68">
        <f>IF(main!CF363="","",ROUND(main!CF363*100,6))</f>
        <v>11.243385999999999</v>
      </c>
      <c r="BU360" s="68">
        <f>IF(main!CG363="","",ROUND(main!CG363*100,6))</f>
        <v>20.370370000000001</v>
      </c>
      <c r="BV360" s="68">
        <f>IF(main!CH363="","",ROUND(main!CH363*100,6))</f>
        <v>16.402115999999999</v>
      </c>
      <c r="BW360" s="68">
        <f>IF(main!CI363="","",ROUND(main!CI363*100,6))</f>
        <v>8.7301590000000004</v>
      </c>
      <c r="BX360" s="68">
        <f>IF(main!CJ363="","",ROUND(main!CJ363*100,6))</f>
        <v>8.7301590000000004</v>
      </c>
      <c r="BY360" s="68">
        <f>IF(main!CK363="","",ROUND(main!CK363*100,6))</f>
        <v>4.7619049999999996</v>
      </c>
      <c r="BZ360" s="68" t="str">
        <f>IF(main!CL363="","",ROUND(main!CL363*100,6))</f>
        <v/>
      </c>
      <c r="CA360" s="68" t="str">
        <f>IF(main!CM363="","",ROUND(main!CM363*100,6))</f>
        <v/>
      </c>
      <c r="CB360" s="68" t="str">
        <f>IF(main!CN363="","",ROUND(main!CN363*100,6))</f>
        <v/>
      </c>
      <c r="CC360" s="68" t="str">
        <f>IF(main!CO363="","",ROUND(main!CO363*100,6))</f>
        <v/>
      </c>
    </row>
    <row r="361" spans="1:81" x14ac:dyDescent="0.25">
      <c r="A361" s="65" t="s">
        <v>516</v>
      </c>
      <c r="B361" s="66" t="str">
        <f>main!C363</f>
        <v>Stair Finish</v>
      </c>
      <c r="C361" s="67">
        <f>main!O363</f>
        <v>900000</v>
      </c>
      <c r="D361" s="65" t="s">
        <v>111</v>
      </c>
      <c r="E361" s="68" t="str">
        <f t="shared" si="5"/>
        <v/>
      </c>
      <c r="F361" s="68" t="str">
        <f>IF(main!R364="","",ROUND(main!R364*100,6))</f>
        <v/>
      </c>
      <c r="G361" s="68" t="str">
        <f>IF(main!S364="","",ROUND(main!S364*100,6))</f>
        <v/>
      </c>
      <c r="H361" s="68" t="str">
        <f>IF(main!T364="","",ROUND(main!T364*100,6))</f>
        <v/>
      </c>
      <c r="I361" s="68" t="str">
        <f>IF(main!U364="","",ROUND(main!U364*100,6))</f>
        <v/>
      </c>
      <c r="J361" s="68" t="str">
        <f>IF(main!V364="","",ROUND(main!V364*100,6))</f>
        <v/>
      </c>
      <c r="K361" s="68" t="str">
        <f>IF(main!W364="","",ROUND(main!W364*100,6))</f>
        <v/>
      </c>
      <c r="L361" s="68" t="str">
        <f>IF(main!X364="","",ROUND(main!X364*100,6))</f>
        <v/>
      </c>
      <c r="M361" s="68" t="str">
        <f>IF(main!Y364="","",ROUND(main!Y364*100,6))</f>
        <v/>
      </c>
      <c r="N361" s="68" t="str">
        <f>IF(main!Z364="","",ROUND(main!Z364*100,6))</f>
        <v/>
      </c>
      <c r="O361" s="68" t="str">
        <f>IF(main!AA364="","",ROUND(main!AA364*100,6))</f>
        <v/>
      </c>
      <c r="P361" s="68" t="str">
        <f>IF(main!AB364="","",ROUND(main!AB364*100,6))</f>
        <v/>
      </c>
      <c r="Q361" s="68" t="str">
        <f>IF(main!AC364="","",ROUND(main!AC364*100,6))</f>
        <v/>
      </c>
      <c r="R361" s="68" t="str">
        <f>IF(main!AD364="","",ROUND(main!AD364*100,6))</f>
        <v/>
      </c>
      <c r="S361" s="68" t="str">
        <f>IF(main!AE364="","",ROUND(main!AE364*100,6))</f>
        <v/>
      </c>
      <c r="T361" s="68" t="str">
        <f>IF(main!AF364="","",ROUND(main!AF364*100,6))</f>
        <v/>
      </c>
      <c r="U361" s="68" t="str">
        <f>IF(main!AG364="","",ROUND(main!AG364*100,6))</f>
        <v/>
      </c>
      <c r="V361" s="68" t="str">
        <f>IF(main!AH364="","",ROUND(main!AH364*100,6))</f>
        <v/>
      </c>
      <c r="W361" s="68" t="str">
        <f>IF(main!AI364="","",ROUND(main!AI364*100,6))</f>
        <v/>
      </c>
      <c r="X361" s="68" t="str">
        <f>IF(main!AJ364="","",ROUND(main!AJ364*100,6))</f>
        <v/>
      </c>
      <c r="Y361" s="68" t="str">
        <f>IF(main!AK364="","",ROUND(main!AK364*100,6))</f>
        <v/>
      </c>
      <c r="Z361" s="68" t="str">
        <f>IF(main!AL364="","",ROUND(main!AL364*100,6))</f>
        <v/>
      </c>
      <c r="AA361" s="68" t="str">
        <f>IF(main!AM364="","",ROUND(main!AM364*100,6))</f>
        <v/>
      </c>
      <c r="AB361" s="68" t="str">
        <f>IF(main!AN364="","",ROUND(main!AN364*100,6))</f>
        <v/>
      </c>
      <c r="AC361" s="68" t="str">
        <f>IF(main!AO364="","",ROUND(main!AO364*100,6))</f>
        <v/>
      </c>
      <c r="AD361" s="68" t="str">
        <f>IF(main!AP364="","",ROUND(main!AP364*100,6))</f>
        <v/>
      </c>
      <c r="AE361" s="68" t="str">
        <f>IF(main!AQ364="","",ROUND(main!AQ364*100,6))</f>
        <v/>
      </c>
      <c r="AF361" s="68" t="str">
        <f>IF(main!AR364="","",ROUND(main!AR364*100,6))</f>
        <v/>
      </c>
      <c r="AG361" s="68" t="str">
        <f>IF(main!AS364="","",ROUND(main!AS364*100,6))</f>
        <v/>
      </c>
      <c r="AH361" s="68" t="str">
        <f>IF(main!AT364="","",ROUND(main!AT364*100,6))</f>
        <v/>
      </c>
      <c r="AI361" s="68" t="str">
        <f>IF(main!AU364="","",ROUND(main!AU364*100,6))</f>
        <v/>
      </c>
      <c r="AJ361" s="68" t="str">
        <f>IF(main!AV364="","",ROUND(main!AV364*100,6))</f>
        <v/>
      </c>
      <c r="AK361" s="68" t="str">
        <f>IF(main!AW364="","",ROUND(main!AW364*100,6))</f>
        <v/>
      </c>
      <c r="AL361" s="68" t="str">
        <f>IF(main!AX364="","",ROUND(main!AX364*100,6))</f>
        <v/>
      </c>
      <c r="AM361" s="68" t="str">
        <f>IF(main!AY364="","",ROUND(main!AY364*100,6))</f>
        <v/>
      </c>
      <c r="AN361" s="68" t="str">
        <f>IF(main!AZ364="","",ROUND(main!AZ364*100,6))</f>
        <v/>
      </c>
      <c r="AO361" s="68" t="str">
        <f>IF(main!BA364="","",ROUND(main!BA364*100,6))</f>
        <v/>
      </c>
      <c r="AP361" s="68" t="str">
        <f>IF(main!BB364="","",ROUND(main!BB364*100,6))</f>
        <v/>
      </c>
      <c r="AQ361" s="68" t="str">
        <f>IF(main!BC364="","",ROUND(main!BC364*100,6))</f>
        <v/>
      </c>
      <c r="AR361" s="68" t="str">
        <f>IF(main!BD364="","",ROUND(main!BD364*100,6))</f>
        <v/>
      </c>
      <c r="AS361" s="68" t="str">
        <f>IF(main!BE364="","",ROUND(main!BE364*100,6))</f>
        <v/>
      </c>
      <c r="AT361" s="68" t="str">
        <f>IF(main!BF364="","",ROUND(main!BF364*100,6))</f>
        <v/>
      </c>
      <c r="AU361" s="68" t="str">
        <f>IF(main!BG364="","",ROUND(main!BG364*100,6))</f>
        <v/>
      </c>
      <c r="AV361" s="68" t="str">
        <f>IF(main!BH364="","",ROUND(main!BH364*100,6))</f>
        <v/>
      </c>
      <c r="AW361" s="68" t="str">
        <f>IF(main!BI364="","",ROUND(main!BI364*100,6))</f>
        <v/>
      </c>
      <c r="AX361" s="68" t="str">
        <f>IF(main!BJ364="","",ROUND(main!BJ364*100,6))</f>
        <v/>
      </c>
      <c r="AY361" s="68" t="str">
        <f>IF(main!BK364="","",ROUND(main!BK364*100,6))</f>
        <v/>
      </c>
      <c r="AZ361" s="68" t="str">
        <f>IF(main!BL364="","",ROUND(main!BL364*100,6))</f>
        <v/>
      </c>
      <c r="BA361" s="68" t="str">
        <f>IF(main!BM364="","",ROUND(main!BM364*100,6))</f>
        <v/>
      </c>
      <c r="BB361" s="68" t="str">
        <f>IF(main!BN364="","",ROUND(main!BN364*100,6))</f>
        <v/>
      </c>
      <c r="BC361" s="68" t="str">
        <f>IF(main!BO364="","",ROUND(main!BO364*100,6))</f>
        <v/>
      </c>
      <c r="BD361" s="68" t="str">
        <f>IF(main!BP364="","",ROUND(main!BP364*100,6))</f>
        <v/>
      </c>
      <c r="BE361" s="68" t="str">
        <f>IF(main!BQ364="","",ROUND(main!BQ364*100,6))</f>
        <v/>
      </c>
      <c r="BF361" s="68" t="str">
        <f>IF(main!BR364="","",ROUND(main!BR364*100,6))</f>
        <v/>
      </c>
      <c r="BG361" s="68" t="str">
        <f>IF(main!BS364="","",ROUND(main!BS364*100,6))</f>
        <v/>
      </c>
      <c r="BH361" s="68" t="str">
        <f>IF(main!BT364="","",ROUND(main!BT364*100,6))</f>
        <v/>
      </c>
      <c r="BI361" s="68" t="str">
        <f>IF(main!BU364="","",ROUND(main!BU364*100,6))</f>
        <v/>
      </c>
      <c r="BJ361" s="68" t="str">
        <f>IF(main!BV364="","",ROUND(main!BV364*100,6))</f>
        <v/>
      </c>
      <c r="BK361" s="68" t="str">
        <f>IF(main!BW364="","",ROUND(main!BW364*100,6))</f>
        <v/>
      </c>
      <c r="BL361" s="68" t="str">
        <f>IF(main!BX364="","",ROUND(main!BX364*100,6))</f>
        <v/>
      </c>
      <c r="BM361" s="68" t="str">
        <f>IF(main!BY364="","",ROUND(main!BY364*100,6))</f>
        <v/>
      </c>
      <c r="BN361" s="68" t="str">
        <f>IF(main!BZ364="","",ROUND(main!BZ364*100,6))</f>
        <v/>
      </c>
      <c r="BO361" s="68" t="str">
        <f>IF(main!CA364="","",ROUND(main!CA364*100,6))</f>
        <v/>
      </c>
      <c r="BP361" s="68" t="str">
        <f>IF(main!CB364="","",ROUND(main!CB364*100,6))</f>
        <v/>
      </c>
      <c r="BQ361" s="68" t="str">
        <f>IF(main!CC364="","",ROUND(main!CC364*100,6))</f>
        <v/>
      </c>
      <c r="BR361" s="68" t="str">
        <f>IF(main!CD364="","",ROUND(main!CD364*100,6))</f>
        <v/>
      </c>
      <c r="BS361" s="68" t="str">
        <f>IF(main!CE364="","",ROUND(main!CE364*100,6))</f>
        <v/>
      </c>
      <c r="BT361" s="68" t="str">
        <f>IF(main!CF364="","",ROUND(main!CF364*100,6))</f>
        <v/>
      </c>
      <c r="BU361" s="68" t="str">
        <f>IF(main!CG364="","",ROUND(main!CG364*100,6))</f>
        <v/>
      </c>
      <c r="BV361" s="68" t="str">
        <f>IF(main!CH364="","",ROUND(main!CH364*100,6))</f>
        <v/>
      </c>
      <c r="BW361" s="68" t="str">
        <f>IF(main!CI364="","",ROUND(main!CI364*100,6))</f>
        <v/>
      </c>
      <c r="BX361" s="68" t="str">
        <f>IF(main!CJ364="","",ROUND(main!CJ364*100,6))</f>
        <v/>
      </c>
      <c r="BY361" s="68" t="str">
        <f>IF(main!CK364="","",ROUND(main!CK364*100,6))</f>
        <v/>
      </c>
      <c r="BZ361" s="68" t="str">
        <f>IF(main!CL364="","",ROUND(main!CL364*100,6))</f>
        <v/>
      </c>
      <c r="CA361" s="68" t="str">
        <f>IF(main!CM364="","",ROUND(main!CM364*100,6))</f>
        <v/>
      </c>
      <c r="CB361" s="68" t="str">
        <f>IF(main!CN364="","",ROUND(main!CN364*100,6))</f>
        <v/>
      </c>
      <c r="CC361" s="68" t="str">
        <f>IF(main!CO364="","",ROUND(main!CO364*100,6))</f>
        <v/>
      </c>
    </row>
    <row r="362" spans="1:81" x14ac:dyDescent="0.25">
      <c r="A362" s="65" t="s">
        <v>518</v>
      </c>
      <c r="B362" s="66" t="str">
        <f>main!C365</f>
        <v>ST1</v>
      </c>
      <c r="C362" s="67">
        <f>main!O365</f>
        <v>400000</v>
      </c>
      <c r="D362" s="65" t="s">
        <v>110</v>
      </c>
      <c r="E362" s="68">
        <f t="shared" si="5"/>
        <v>99.999999000000003</v>
      </c>
      <c r="F362" s="68" t="str">
        <f>IF(main!R365="","",ROUND(main!R365*100,6))</f>
        <v/>
      </c>
      <c r="G362" s="68" t="str">
        <f>IF(main!S365="","",ROUND(main!S365*100,6))</f>
        <v/>
      </c>
      <c r="H362" s="68" t="str">
        <f>IF(main!T365="","",ROUND(main!T365*100,6))</f>
        <v/>
      </c>
      <c r="I362" s="68" t="str">
        <f>IF(main!U365="","",ROUND(main!U365*100,6))</f>
        <v/>
      </c>
      <c r="J362" s="68" t="str">
        <f>IF(main!V365="","",ROUND(main!V365*100,6))</f>
        <v/>
      </c>
      <c r="K362" s="68" t="str">
        <f>IF(main!W365="","",ROUND(main!W365*100,6))</f>
        <v/>
      </c>
      <c r="L362" s="68" t="str">
        <f>IF(main!X365="","",ROUND(main!X365*100,6))</f>
        <v/>
      </c>
      <c r="M362" s="68" t="str">
        <f>IF(main!Y365="","",ROUND(main!Y365*100,6))</f>
        <v/>
      </c>
      <c r="N362" s="68" t="str">
        <f>IF(main!Z365="","",ROUND(main!Z365*100,6))</f>
        <v/>
      </c>
      <c r="O362" s="68" t="str">
        <f>IF(main!AA365="","",ROUND(main!AA365*100,6))</f>
        <v/>
      </c>
      <c r="P362" s="68" t="str">
        <f>IF(main!AB365="","",ROUND(main!AB365*100,6))</f>
        <v/>
      </c>
      <c r="Q362" s="68" t="str">
        <f>IF(main!AC365="","",ROUND(main!AC365*100,6))</f>
        <v/>
      </c>
      <c r="R362" s="68" t="str">
        <f>IF(main!AD365="","",ROUND(main!AD365*100,6))</f>
        <v/>
      </c>
      <c r="S362" s="68" t="str">
        <f>IF(main!AE365="","",ROUND(main!AE365*100,6))</f>
        <v/>
      </c>
      <c r="T362" s="68" t="str">
        <f>IF(main!AF365="","",ROUND(main!AF365*100,6))</f>
        <v/>
      </c>
      <c r="U362" s="68" t="str">
        <f>IF(main!AG365="","",ROUND(main!AG365*100,6))</f>
        <v/>
      </c>
      <c r="V362" s="68" t="str">
        <f>IF(main!AH365="","",ROUND(main!AH365*100,6))</f>
        <v/>
      </c>
      <c r="W362" s="68" t="str">
        <f>IF(main!AI365="","",ROUND(main!AI365*100,6))</f>
        <v/>
      </c>
      <c r="X362" s="68" t="str">
        <f>IF(main!AJ365="","",ROUND(main!AJ365*100,6))</f>
        <v/>
      </c>
      <c r="Y362" s="68" t="str">
        <f>IF(main!AK365="","",ROUND(main!AK365*100,6))</f>
        <v/>
      </c>
      <c r="Z362" s="68" t="str">
        <f>IF(main!AL365="","",ROUND(main!AL365*100,6))</f>
        <v/>
      </c>
      <c r="AA362" s="68" t="str">
        <f>IF(main!AM365="","",ROUND(main!AM365*100,6))</f>
        <v/>
      </c>
      <c r="AB362" s="68" t="str">
        <f>IF(main!AN365="","",ROUND(main!AN365*100,6))</f>
        <v/>
      </c>
      <c r="AC362" s="68" t="str">
        <f>IF(main!AO365="","",ROUND(main!AO365*100,6))</f>
        <v/>
      </c>
      <c r="AD362" s="68" t="str">
        <f>IF(main!AP365="","",ROUND(main!AP365*100,6))</f>
        <v/>
      </c>
      <c r="AE362" s="68" t="str">
        <f>IF(main!AQ365="","",ROUND(main!AQ365*100,6))</f>
        <v/>
      </c>
      <c r="AF362" s="68" t="str">
        <f>IF(main!AR365="","",ROUND(main!AR365*100,6))</f>
        <v/>
      </c>
      <c r="AG362" s="68" t="str">
        <f>IF(main!AS365="","",ROUND(main!AS365*100,6))</f>
        <v/>
      </c>
      <c r="AH362" s="68" t="str">
        <f>IF(main!AT365="","",ROUND(main!AT365*100,6))</f>
        <v/>
      </c>
      <c r="AI362" s="68" t="str">
        <f>IF(main!AU365="","",ROUND(main!AU365*100,6))</f>
        <v/>
      </c>
      <c r="AJ362" s="68" t="str">
        <f>IF(main!AV365="","",ROUND(main!AV365*100,6))</f>
        <v/>
      </c>
      <c r="AK362" s="68" t="str">
        <f>IF(main!AW365="","",ROUND(main!AW365*100,6))</f>
        <v/>
      </c>
      <c r="AL362" s="68" t="str">
        <f>IF(main!AX365="","",ROUND(main!AX365*100,6))</f>
        <v/>
      </c>
      <c r="AM362" s="68" t="str">
        <f>IF(main!AY365="","",ROUND(main!AY365*100,6))</f>
        <v/>
      </c>
      <c r="AN362" s="68" t="str">
        <f>IF(main!AZ365="","",ROUND(main!AZ365*100,6))</f>
        <v/>
      </c>
      <c r="AO362" s="68" t="str">
        <f>IF(main!BA365="","",ROUND(main!BA365*100,6))</f>
        <v/>
      </c>
      <c r="AP362" s="68" t="str">
        <f>IF(main!BB365="","",ROUND(main!BB365*100,6))</f>
        <v/>
      </c>
      <c r="AQ362" s="68" t="str">
        <f>IF(main!BC365="","",ROUND(main!BC365*100,6))</f>
        <v/>
      </c>
      <c r="AR362" s="68" t="str">
        <f>IF(main!BD365="","",ROUND(main!BD365*100,6))</f>
        <v/>
      </c>
      <c r="AS362" s="68" t="str">
        <f>IF(main!BE365="","",ROUND(main!BE365*100,6))</f>
        <v/>
      </c>
      <c r="AT362" s="68" t="str">
        <f>IF(main!BF365="","",ROUND(main!BF365*100,6))</f>
        <v/>
      </c>
      <c r="AU362" s="68" t="str">
        <f>IF(main!BG365="","",ROUND(main!BG365*100,6))</f>
        <v/>
      </c>
      <c r="AV362" s="68" t="str">
        <f>IF(main!BH365="","",ROUND(main!BH365*100,6))</f>
        <v/>
      </c>
      <c r="AW362" s="68" t="str">
        <f>IF(main!BI365="","",ROUND(main!BI365*100,6))</f>
        <v/>
      </c>
      <c r="AX362" s="68" t="str">
        <f>IF(main!BJ365="","",ROUND(main!BJ365*100,6))</f>
        <v/>
      </c>
      <c r="AY362" s="68" t="str">
        <f>IF(main!BK365="","",ROUND(main!BK365*100,6))</f>
        <v/>
      </c>
      <c r="AZ362" s="68" t="str">
        <f>IF(main!BL365="","",ROUND(main!BL365*100,6))</f>
        <v/>
      </c>
      <c r="BA362" s="68" t="str">
        <f>IF(main!BM365="","",ROUND(main!BM365*100,6))</f>
        <v/>
      </c>
      <c r="BB362" s="68" t="str">
        <f>IF(main!BN365="","",ROUND(main!BN365*100,6))</f>
        <v/>
      </c>
      <c r="BC362" s="68" t="str">
        <f>IF(main!BO365="","",ROUND(main!BO365*100,6))</f>
        <v/>
      </c>
      <c r="BD362" s="68" t="str">
        <f>IF(main!BP365="","",ROUND(main!BP365*100,6))</f>
        <v/>
      </c>
      <c r="BE362" s="68" t="str">
        <f>IF(main!BQ365="","",ROUND(main!BQ365*100,6))</f>
        <v/>
      </c>
      <c r="BF362" s="68" t="str">
        <f>IF(main!BR365="","",ROUND(main!BR365*100,6))</f>
        <v/>
      </c>
      <c r="BG362" s="68" t="str">
        <f>IF(main!BS365="","",ROUND(main!BS365*100,6))</f>
        <v/>
      </c>
      <c r="BH362" s="68" t="str">
        <f>IF(main!BT365="","",ROUND(main!BT365*100,6))</f>
        <v/>
      </c>
      <c r="BI362" s="68" t="str">
        <f>IF(main!BU365="","",ROUND(main!BU365*100,6))</f>
        <v/>
      </c>
      <c r="BJ362" s="68" t="str">
        <f>IF(main!BV365="","",ROUND(main!BV365*100,6))</f>
        <v/>
      </c>
      <c r="BK362" s="68" t="str">
        <f>IF(main!BW365="","",ROUND(main!BW365*100,6))</f>
        <v/>
      </c>
      <c r="BL362" s="68" t="str">
        <f>IF(main!BX365="","",ROUND(main!BX365*100,6))</f>
        <v/>
      </c>
      <c r="BM362" s="68" t="str">
        <f>IF(main!BY365="","",ROUND(main!BY365*100,6))</f>
        <v/>
      </c>
      <c r="BN362" s="68">
        <f>IF(main!BZ365="","",ROUND(main!BZ365*100,6))</f>
        <v>1.785714</v>
      </c>
      <c r="BO362" s="68">
        <f>IF(main!CA365="","",ROUND(main!CA365*100,6))</f>
        <v>12.5</v>
      </c>
      <c r="BP362" s="68">
        <f>IF(main!CB365="","",ROUND(main!CB365*100,6))</f>
        <v>11.607143000000001</v>
      </c>
      <c r="BQ362" s="68">
        <f>IF(main!CC365="","",ROUND(main!CC365*100,6))</f>
        <v>6.25</v>
      </c>
      <c r="BR362" s="68">
        <f>IF(main!CD365="","",ROUND(main!CD365*100,6))</f>
        <v>6.25</v>
      </c>
      <c r="BS362" s="68">
        <f>IF(main!CE365="","",ROUND(main!CE365*100,6))</f>
        <v>6.25</v>
      </c>
      <c r="BT362" s="68">
        <f>IF(main!CF365="","",ROUND(main!CF365*100,6))</f>
        <v>8.3333329999999997</v>
      </c>
      <c r="BU362" s="68">
        <f>IF(main!CG365="","",ROUND(main!CG365*100,6))</f>
        <v>20.833333</v>
      </c>
      <c r="BV362" s="68">
        <f>IF(main!CH365="","",ROUND(main!CH365*100,6))</f>
        <v>19.047619000000001</v>
      </c>
      <c r="BW362" s="68">
        <f>IF(main!CI365="","",ROUND(main!CI365*100,6))</f>
        <v>7.1428570000000002</v>
      </c>
      <c r="BX362" s="68" t="str">
        <f>IF(main!CJ365="","",ROUND(main!CJ365*100,6))</f>
        <v/>
      </c>
      <c r="BY362" s="68" t="str">
        <f>IF(main!CK365="","",ROUND(main!CK365*100,6))</f>
        <v/>
      </c>
      <c r="BZ362" s="68" t="str">
        <f>IF(main!CL365="","",ROUND(main!CL365*100,6))</f>
        <v/>
      </c>
      <c r="CA362" s="68" t="str">
        <f>IF(main!CM365="","",ROUND(main!CM365*100,6))</f>
        <v/>
      </c>
      <c r="CB362" s="68" t="str">
        <f>IF(main!CN365="","",ROUND(main!CN365*100,6))</f>
        <v/>
      </c>
      <c r="CC362" s="68" t="str">
        <f>IF(main!CO365="","",ROUND(main!CO365*100,6))</f>
        <v/>
      </c>
    </row>
    <row r="363" spans="1:81" x14ac:dyDescent="0.25">
      <c r="A363" s="65" t="s">
        <v>518</v>
      </c>
      <c r="B363" s="66" t="str">
        <f>main!C365</f>
        <v>ST1</v>
      </c>
      <c r="C363" s="67">
        <f>main!O365</f>
        <v>400000</v>
      </c>
      <c r="D363" s="65" t="s">
        <v>111</v>
      </c>
      <c r="E363" s="68" t="str">
        <f t="shared" si="5"/>
        <v/>
      </c>
      <c r="F363" s="68" t="str">
        <f>IF(main!R366="","",ROUND(main!R366*100,6))</f>
        <v/>
      </c>
      <c r="G363" s="68" t="str">
        <f>IF(main!S366="","",ROUND(main!S366*100,6))</f>
        <v/>
      </c>
      <c r="H363" s="68" t="str">
        <f>IF(main!T366="","",ROUND(main!T366*100,6))</f>
        <v/>
      </c>
      <c r="I363" s="68" t="str">
        <f>IF(main!U366="","",ROUND(main!U366*100,6))</f>
        <v/>
      </c>
      <c r="J363" s="68" t="str">
        <f>IF(main!V366="","",ROUND(main!V366*100,6))</f>
        <v/>
      </c>
      <c r="K363" s="68" t="str">
        <f>IF(main!W366="","",ROUND(main!W366*100,6))</f>
        <v/>
      </c>
      <c r="L363" s="68" t="str">
        <f>IF(main!X366="","",ROUND(main!X366*100,6))</f>
        <v/>
      </c>
      <c r="M363" s="68" t="str">
        <f>IF(main!Y366="","",ROUND(main!Y366*100,6))</f>
        <v/>
      </c>
      <c r="N363" s="68" t="str">
        <f>IF(main!Z366="","",ROUND(main!Z366*100,6))</f>
        <v/>
      </c>
      <c r="O363" s="68" t="str">
        <f>IF(main!AA366="","",ROUND(main!AA366*100,6))</f>
        <v/>
      </c>
      <c r="P363" s="68" t="str">
        <f>IF(main!AB366="","",ROUND(main!AB366*100,6))</f>
        <v/>
      </c>
      <c r="Q363" s="68" t="str">
        <f>IF(main!AC366="","",ROUND(main!AC366*100,6))</f>
        <v/>
      </c>
      <c r="R363" s="68" t="str">
        <f>IF(main!AD366="","",ROUND(main!AD366*100,6))</f>
        <v/>
      </c>
      <c r="S363" s="68" t="str">
        <f>IF(main!AE366="","",ROUND(main!AE366*100,6))</f>
        <v/>
      </c>
      <c r="T363" s="68" t="str">
        <f>IF(main!AF366="","",ROUND(main!AF366*100,6))</f>
        <v/>
      </c>
      <c r="U363" s="68" t="str">
        <f>IF(main!AG366="","",ROUND(main!AG366*100,6))</f>
        <v/>
      </c>
      <c r="V363" s="68" t="str">
        <f>IF(main!AH366="","",ROUND(main!AH366*100,6))</f>
        <v/>
      </c>
      <c r="W363" s="68" t="str">
        <f>IF(main!AI366="","",ROUND(main!AI366*100,6))</f>
        <v/>
      </c>
      <c r="X363" s="68" t="str">
        <f>IF(main!AJ366="","",ROUND(main!AJ366*100,6))</f>
        <v/>
      </c>
      <c r="Y363" s="68" t="str">
        <f>IF(main!AK366="","",ROUND(main!AK366*100,6))</f>
        <v/>
      </c>
      <c r="Z363" s="68" t="str">
        <f>IF(main!AL366="","",ROUND(main!AL366*100,6))</f>
        <v/>
      </c>
      <c r="AA363" s="68" t="str">
        <f>IF(main!AM366="","",ROUND(main!AM366*100,6))</f>
        <v/>
      </c>
      <c r="AB363" s="68" t="str">
        <f>IF(main!AN366="","",ROUND(main!AN366*100,6))</f>
        <v/>
      </c>
      <c r="AC363" s="68" t="str">
        <f>IF(main!AO366="","",ROUND(main!AO366*100,6))</f>
        <v/>
      </c>
      <c r="AD363" s="68" t="str">
        <f>IF(main!AP366="","",ROUND(main!AP366*100,6))</f>
        <v/>
      </c>
      <c r="AE363" s="68" t="str">
        <f>IF(main!AQ366="","",ROUND(main!AQ366*100,6))</f>
        <v/>
      </c>
      <c r="AF363" s="68" t="str">
        <f>IF(main!AR366="","",ROUND(main!AR366*100,6))</f>
        <v/>
      </c>
      <c r="AG363" s="68" t="str">
        <f>IF(main!AS366="","",ROUND(main!AS366*100,6))</f>
        <v/>
      </c>
      <c r="AH363" s="68" t="str">
        <f>IF(main!AT366="","",ROUND(main!AT366*100,6))</f>
        <v/>
      </c>
      <c r="AI363" s="68" t="str">
        <f>IF(main!AU366="","",ROUND(main!AU366*100,6))</f>
        <v/>
      </c>
      <c r="AJ363" s="68" t="str">
        <f>IF(main!AV366="","",ROUND(main!AV366*100,6))</f>
        <v/>
      </c>
      <c r="AK363" s="68" t="str">
        <f>IF(main!AW366="","",ROUND(main!AW366*100,6))</f>
        <v/>
      </c>
      <c r="AL363" s="68" t="str">
        <f>IF(main!AX366="","",ROUND(main!AX366*100,6))</f>
        <v/>
      </c>
      <c r="AM363" s="68" t="str">
        <f>IF(main!AY366="","",ROUND(main!AY366*100,6))</f>
        <v/>
      </c>
      <c r="AN363" s="68" t="str">
        <f>IF(main!AZ366="","",ROUND(main!AZ366*100,6))</f>
        <v/>
      </c>
      <c r="AO363" s="68" t="str">
        <f>IF(main!BA366="","",ROUND(main!BA366*100,6))</f>
        <v/>
      </c>
      <c r="AP363" s="68" t="str">
        <f>IF(main!BB366="","",ROUND(main!BB366*100,6))</f>
        <v/>
      </c>
      <c r="AQ363" s="68" t="str">
        <f>IF(main!BC366="","",ROUND(main!BC366*100,6))</f>
        <v/>
      </c>
      <c r="AR363" s="68" t="str">
        <f>IF(main!BD366="","",ROUND(main!BD366*100,6))</f>
        <v/>
      </c>
      <c r="AS363" s="68" t="str">
        <f>IF(main!BE366="","",ROUND(main!BE366*100,6))</f>
        <v/>
      </c>
      <c r="AT363" s="68" t="str">
        <f>IF(main!BF366="","",ROUND(main!BF366*100,6))</f>
        <v/>
      </c>
      <c r="AU363" s="68" t="str">
        <f>IF(main!BG366="","",ROUND(main!BG366*100,6))</f>
        <v/>
      </c>
      <c r="AV363" s="68" t="str">
        <f>IF(main!BH366="","",ROUND(main!BH366*100,6))</f>
        <v/>
      </c>
      <c r="AW363" s="68" t="str">
        <f>IF(main!BI366="","",ROUND(main!BI366*100,6))</f>
        <v/>
      </c>
      <c r="AX363" s="68" t="str">
        <f>IF(main!BJ366="","",ROUND(main!BJ366*100,6))</f>
        <v/>
      </c>
      <c r="AY363" s="68" t="str">
        <f>IF(main!BK366="","",ROUND(main!BK366*100,6))</f>
        <v/>
      </c>
      <c r="AZ363" s="68" t="str">
        <f>IF(main!BL366="","",ROUND(main!BL366*100,6))</f>
        <v/>
      </c>
      <c r="BA363" s="68" t="str">
        <f>IF(main!BM366="","",ROUND(main!BM366*100,6))</f>
        <v/>
      </c>
      <c r="BB363" s="68" t="str">
        <f>IF(main!BN366="","",ROUND(main!BN366*100,6))</f>
        <v/>
      </c>
      <c r="BC363" s="68" t="str">
        <f>IF(main!BO366="","",ROUND(main!BO366*100,6))</f>
        <v/>
      </c>
      <c r="BD363" s="68" t="str">
        <f>IF(main!BP366="","",ROUND(main!BP366*100,6))</f>
        <v/>
      </c>
      <c r="BE363" s="68" t="str">
        <f>IF(main!BQ366="","",ROUND(main!BQ366*100,6))</f>
        <v/>
      </c>
      <c r="BF363" s="68" t="str">
        <f>IF(main!BR366="","",ROUND(main!BR366*100,6))</f>
        <v/>
      </c>
      <c r="BG363" s="68" t="str">
        <f>IF(main!BS366="","",ROUND(main!BS366*100,6))</f>
        <v/>
      </c>
      <c r="BH363" s="68" t="str">
        <f>IF(main!BT366="","",ROUND(main!BT366*100,6))</f>
        <v/>
      </c>
      <c r="BI363" s="68" t="str">
        <f>IF(main!BU366="","",ROUND(main!BU366*100,6))</f>
        <v/>
      </c>
      <c r="BJ363" s="68" t="str">
        <f>IF(main!BV366="","",ROUND(main!BV366*100,6))</f>
        <v/>
      </c>
      <c r="BK363" s="68" t="str">
        <f>IF(main!BW366="","",ROUND(main!BW366*100,6))</f>
        <v/>
      </c>
      <c r="BL363" s="68" t="str">
        <f>IF(main!BX366="","",ROUND(main!BX366*100,6))</f>
        <v/>
      </c>
      <c r="BM363" s="68" t="str">
        <f>IF(main!BY366="","",ROUND(main!BY366*100,6))</f>
        <v/>
      </c>
      <c r="BN363" s="68" t="str">
        <f>IF(main!BZ366="","",ROUND(main!BZ366*100,6))</f>
        <v/>
      </c>
      <c r="BO363" s="68" t="str">
        <f>IF(main!CA366="","",ROUND(main!CA366*100,6))</f>
        <v/>
      </c>
      <c r="BP363" s="68" t="str">
        <f>IF(main!CB366="","",ROUND(main!CB366*100,6))</f>
        <v/>
      </c>
      <c r="BQ363" s="68" t="str">
        <f>IF(main!CC366="","",ROUND(main!CC366*100,6))</f>
        <v/>
      </c>
      <c r="BR363" s="68" t="str">
        <f>IF(main!CD366="","",ROUND(main!CD366*100,6))</f>
        <v/>
      </c>
      <c r="BS363" s="68" t="str">
        <f>IF(main!CE366="","",ROUND(main!CE366*100,6))</f>
        <v/>
      </c>
      <c r="BT363" s="68" t="str">
        <f>IF(main!CF366="","",ROUND(main!CF366*100,6))</f>
        <v/>
      </c>
      <c r="BU363" s="68" t="str">
        <f>IF(main!CG366="","",ROUND(main!CG366*100,6))</f>
        <v/>
      </c>
      <c r="BV363" s="68" t="str">
        <f>IF(main!CH366="","",ROUND(main!CH366*100,6))</f>
        <v/>
      </c>
      <c r="BW363" s="68" t="str">
        <f>IF(main!CI366="","",ROUND(main!CI366*100,6))</f>
        <v/>
      </c>
      <c r="BX363" s="68" t="str">
        <f>IF(main!CJ366="","",ROUND(main!CJ366*100,6))</f>
        <v/>
      </c>
      <c r="BY363" s="68" t="str">
        <f>IF(main!CK366="","",ROUND(main!CK366*100,6))</f>
        <v/>
      </c>
      <c r="BZ363" s="68" t="str">
        <f>IF(main!CL366="","",ROUND(main!CL366*100,6))</f>
        <v/>
      </c>
      <c r="CA363" s="68" t="str">
        <f>IF(main!CM366="","",ROUND(main!CM366*100,6))</f>
        <v/>
      </c>
      <c r="CB363" s="68" t="str">
        <f>IF(main!CN366="","",ROUND(main!CN366*100,6))</f>
        <v/>
      </c>
      <c r="CC363" s="68" t="str">
        <f>IF(main!CO366="","",ROUND(main!CO366*100,6))</f>
        <v/>
      </c>
    </row>
    <row r="364" spans="1:81" x14ac:dyDescent="0.25">
      <c r="A364" s="65" t="s">
        <v>520</v>
      </c>
      <c r="B364" s="66" t="str">
        <f>main!C367</f>
        <v>งานแต่งผิวผนัง ท้องบันไดเดิม</v>
      </c>
      <c r="C364" s="67">
        <f>main!O367</f>
        <v>100000</v>
      </c>
      <c r="D364" s="65" t="s">
        <v>110</v>
      </c>
      <c r="E364" s="68">
        <f t="shared" si="5"/>
        <v>100</v>
      </c>
      <c r="F364" s="68" t="str">
        <f>IF(main!R367="","",ROUND(main!R367*100,6))</f>
        <v/>
      </c>
      <c r="G364" s="68" t="str">
        <f>IF(main!S367="","",ROUND(main!S367*100,6))</f>
        <v/>
      </c>
      <c r="H364" s="68" t="str">
        <f>IF(main!T367="","",ROUND(main!T367*100,6))</f>
        <v/>
      </c>
      <c r="I364" s="68" t="str">
        <f>IF(main!U367="","",ROUND(main!U367*100,6))</f>
        <v/>
      </c>
      <c r="J364" s="68" t="str">
        <f>IF(main!V367="","",ROUND(main!V367*100,6))</f>
        <v/>
      </c>
      <c r="K364" s="68" t="str">
        <f>IF(main!W367="","",ROUND(main!W367*100,6))</f>
        <v/>
      </c>
      <c r="L364" s="68" t="str">
        <f>IF(main!X367="","",ROUND(main!X367*100,6))</f>
        <v/>
      </c>
      <c r="M364" s="68" t="str">
        <f>IF(main!Y367="","",ROUND(main!Y367*100,6))</f>
        <v/>
      </c>
      <c r="N364" s="68" t="str">
        <f>IF(main!Z367="","",ROUND(main!Z367*100,6))</f>
        <v/>
      </c>
      <c r="O364" s="68" t="str">
        <f>IF(main!AA367="","",ROUND(main!AA367*100,6))</f>
        <v/>
      </c>
      <c r="P364" s="68" t="str">
        <f>IF(main!AB367="","",ROUND(main!AB367*100,6))</f>
        <v/>
      </c>
      <c r="Q364" s="68" t="str">
        <f>IF(main!AC367="","",ROUND(main!AC367*100,6))</f>
        <v/>
      </c>
      <c r="R364" s="68" t="str">
        <f>IF(main!AD367="","",ROUND(main!AD367*100,6))</f>
        <v/>
      </c>
      <c r="S364" s="68" t="str">
        <f>IF(main!AE367="","",ROUND(main!AE367*100,6))</f>
        <v/>
      </c>
      <c r="T364" s="68" t="str">
        <f>IF(main!AF367="","",ROUND(main!AF367*100,6))</f>
        <v/>
      </c>
      <c r="U364" s="68" t="str">
        <f>IF(main!AG367="","",ROUND(main!AG367*100,6))</f>
        <v/>
      </c>
      <c r="V364" s="68" t="str">
        <f>IF(main!AH367="","",ROUND(main!AH367*100,6))</f>
        <v/>
      </c>
      <c r="W364" s="68" t="str">
        <f>IF(main!AI367="","",ROUND(main!AI367*100,6))</f>
        <v/>
      </c>
      <c r="X364" s="68" t="str">
        <f>IF(main!AJ367="","",ROUND(main!AJ367*100,6))</f>
        <v/>
      </c>
      <c r="Y364" s="68" t="str">
        <f>IF(main!AK367="","",ROUND(main!AK367*100,6))</f>
        <v/>
      </c>
      <c r="Z364" s="68" t="str">
        <f>IF(main!AL367="","",ROUND(main!AL367*100,6))</f>
        <v/>
      </c>
      <c r="AA364" s="68" t="str">
        <f>IF(main!AM367="","",ROUND(main!AM367*100,6))</f>
        <v/>
      </c>
      <c r="AB364" s="68" t="str">
        <f>IF(main!AN367="","",ROUND(main!AN367*100,6))</f>
        <v/>
      </c>
      <c r="AC364" s="68" t="str">
        <f>IF(main!AO367="","",ROUND(main!AO367*100,6))</f>
        <v/>
      </c>
      <c r="AD364" s="68" t="str">
        <f>IF(main!AP367="","",ROUND(main!AP367*100,6))</f>
        <v/>
      </c>
      <c r="AE364" s="68" t="str">
        <f>IF(main!AQ367="","",ROUND(main!AQ367*100,6))</f>
        <v/>
      </c>
      <c r="AF364" s="68" t="str">
        <f>IF(main!AR367="","",ROUND(main!AR367*100,6))</f>
        <v/>
      </c>
      <c r="AG364" s="68" t="str">
        <f>IF(main!AS367="","",ROUND(main!AS367*100,6))</f>
        <v/>
      </c>
      <c r="AH364" s="68" t="str">
        <f>IF(main!AT367="","",ROUND(main!AT367*100,6))</f>
        <v/>
      </c>
      <c r="AI364" s="68" t="str">
        <f>IF(main!AU367="","",ROUND(main!AU367*100,6))</f>
        <v/>
      </c>
      <c r="AJ364" s="68" t="str">
        <f>IF(main!AV367="","",ROUND(main!AV367*100,6))</f>
        <v/>
      </c>
      <c r="AK364" s="68" t="str">
        <f>IF(main!AW367="","",ROUND(main!AW367*100,6))</f>
        <v/>
      </c>
      <c r="AL364" s="68" t="str">
        <f>IF(main!AX367="","",ROUND(main!AX367*100,6))</f>
        <v/>
      </c>
      <c r="AM364" s="68" t="str">
        <f>IF(main!AY367="","",ROUND(main!AY367*100,6))</f>
        <v/>
      </c>
      <c r="AN364" s="68" t="str">
        <f>IF(main!AZ367="","",ROUND(main!AZ367*100,6))</f>
        <v/>
      </c>
      <c r="AO364" s="68" t="str">
        <f>IF(main!BA367="","",ROUND(main!BA367*100,6))</f>
        <v/>
      </c>
      <c r="AP364" s="68" t="str">
        <f>IF(main!BB367="","",ROUND(main!BB367*100,6))</f>
        <v/>
      </c>
      <c r="AQ364" s="68" t="str">
        <f>IF(main!BC367="","",ROUND(main!BC367*100,6))</f>
        <v/>
      </c>
      <c r="AR364" s="68" t="str">
        <f>IF(main!BD367="","",ROUND(main!BD367*100,6))</f>
        <v/>
      </c>
      <c r="AS364" s="68" t="str">
        <f>IF(main!BE367="","",ROUND(main!BE367*100,6))</f>
        <v/>
      </c>
      <c r="AT364" s="68" t="str">
        <f>IF(main!BF367="","",ROUND(main!BF367*100,6))</f>
        <v/>
      </c>
      <c r="AU364" s="68" t="str">
        <f>IF(main!BG367="","",ROUND(main!BG367*100,6))</f>
        <v/>
      </c>
      <c r="AV364" s="68" t="str">
        <f>IF(main!BH367="","",ROUND(main!BH367*100,6))</f>
        <v/>
      </c>
      <c r="AW364" s="68" t="str">
        <f>IF(main!BI367="","",ROUND(main!BI367*100,6))</f>
        <v/>
      </c>
      <c r="AX364" s="68" t="str">
        <f>IF(main!BJ367="","",ROUND(main!BJ367*100,6))</f>
        <v/>
      </c>
      <c r="AY364" s="68" t="str">
        <f>IF(main!BK367="","",ROUND(main!BK367*100,6))</f>
        <v/>
      </c>
      <c r="AZ364" s="68" t="str">
        <f>IF(main!BL367="","",ROUND(main!BL367*100,6))</f>
        <v/>
      </c>
      <c r="BA364" s="68" t="str">
        <f>IF(main!BM367="","",ROUND(main!BM367*100,6))</f>
        <v/>
      </c>
      <c r="BB364" s="68" t="str">
        <f>IF(main!BN367="","",ROUND(main!BN367*100,6))</f>
        <v/>
      </c>
      <c r="BC364" s="68" t="str">
        <f>IF(main!BO367="","",ROUND(main!BO367*100,6))</f>
        <v/>
      </c>
      <c r="BD364" s="68" t="str">
        <f>IF(main!BP367="","",ROUND(main!BP367*100,6))</f>
        <v/>
      </c>
      <c r="BE364" s="68" t="str">
        <f>IF(main!BQ367="","",ROUND(main!BQ367*100,6))</f>
        <v/>
      </c>
      <c r="BF364" s="68" t="str">
        <f>IF(main!BR367="","",ROUND(main!BR367*100,6))</f>
        <v/>
      </c>
      <c r="BG364" s="68" t="str">
        <f>IF(main!BS367="","",ROUND(main!BS367*100,6))</f>
        <v/>
      </c>
      <c r="BH364" s="68" t="str">
        <f>IF(main!BT367="","",ROUND(main!BT367*100,6))</f>
        <v/>
      </c>
      <c r="BI364" s="68" t="str">
        <f>IF(main!BU367="","",ROUND(main!BU367*100,6))</f>
        <v/>
      </c>
      <c r="BJ364" s="68" t="str">
        <f>IF(main!BV367="","",ROUND(main!BV367*100,6))</f>
        <v/>
      </c>
      <c r="BK364" s="68" t="str">
        <f>IF(main!BW367="","",ROUND(main!BW367*100,6))</f>
        <v/>
      </c>
      <c r="BL364" s="68" t="str">
        <f>IF(main!BX367="","",ROUND(main!BX367*100,6))</f>
        <v/>
      </c>
      <c r="BM364" s="68" t="str">
        <f>IF(main!BY367="","",ROUND(main!BY367*100,6))</f>
        <v/>
      </c>
      <c r="BN364" s="68">
        <f>IF(main!BZ367="","",ROUND(main!BZ367*100,6))</f>
        <v>7.1428570000000002</v>
      </c>
      <c r="BO364" s="68">
        <f>IF(main!CA367="","",ROUND(main!CA367*100,6))</f>
        <v>50</v>
      </c>
      <c r="BP364" s="68">
        <f>IF(main!CB367="","",ROUND(main!CB367*100,6))</f>
        <v>42.857143000000001</v>
      </c>
      <c r="BQ364" s="68" t="str">
        <f>IF(main!CC367="","",ROUND(main!CC367*100,6))</f>
        <v/>
      </c>
      <c r="BR364" s="68" t="str">
        <f>IF(main!CD367="","",ROUND(main!CD367*100,6))</f>
        <v/>
      </c>
      <c r="BS364" s="68" t="str">
        <f>IF(main!CE367="","",ROUND(main!CE367*100,6))</f>
        <v/>
      </c>
      <c r="BT364" s="68" t="str">
        <f>IF(main!CF367="","",ROUND(main!CF367*100,6))</f>
        <v/>
      </c>
      <c r="BU364" s="68" t="str">
        <f>IF(main!CG367="","",ROUND(main!CG367*100,6))</f>
        <v/>
      </c>
      <c r="BV364" s="68" t="str">
        <f>IF(main!CH367="","",ROUND(main!CH367*100,6))</f>
        <v/>
      </c>
      <c r="BW364" s="68" t="str">
        <f>IF(main!CI367="","",ROUND(main!CI367*100,6))</f>
        <v/>
      </c>
      <c r="BX364" s="68" t="str">
        <f>IF(main!CJ367="","",ROUND(main!CJ367*100,6))</f>
        <v/>
      </c>
      <c r="BY364" s="68" t="str">
        <f>IF(main!CK367="","",ROUND(main!CK367*100,6))</f>
        <v/>
      </c>
      <c r="BZ364" s="68" t="str">
        <f>IF(main!CL367="","",ROUND(main!CL367*100,6))</f>
        <v/>
      </c>
      <c r="CA364" s="68" t="str">
        <f>IF(main!CM367="","",ROUND(main!CM367*100,6))</f>
        <v/>
      </c>
      <c r="CB364" s="68" t="str">
        <f>IF(main!CN367="","",ROUND(main!CN367*100,6))</f>
        <v/>
      </c>
      <c r="CC364" s="68" t="str">
        <f>IF(main!CO367="","",ROUND(main!CO367*100,6))</f>
        <v/>
      </c>
    </row>
    <row r="365" spans="1:81" x14ac:dyDescent="0.25">
      <c r="A365" s="65" t="s">
        <v>520</v>
      </c>
      <c r="B365" s="66" t="str">
        <f>main!C367</f>
        <v>งานแต่งผิวผนัง ท้องบันไดเดิม</v>
      </c>
      <c r="C365" s="67">
        <f>main!O367</f>
        <v>100000</v>
      </c>
      <c r="D365" s="65" t="s">
        <v>111</v>
      </c>
      <c r="E365" s="68" t="str">
        <f t="shared" si="5"/>
        <v/>
      </c>
      <c r="F365" s="68" t="str">
        <f>IF(main!R368="","",ROUND(main!R368*100,6))</f>
        <v/>
      </c>
      <c r="G365" s="68" t="str">
        <f>IF(main!S368="","",ROUND(main!S368*100,6))</f>
        <v/>
      </c>
      <c r="H365" s="68" t="str">
        <f>IF(main!T368="","",ROUND(main!T368*100,6))</f>
        <v/>
      </c>
      <c r="I365" s="68" t="str">
        <f>IF(main!U368="","",ROUND(main!U368*100,6))</f>
        <v/>
      </c>
      <c r="J365" s="68" t="str">
        <f>IF(main!V368="","",ROUND(main!V368*100,6))</f>
        <v/>
      </c>
      <c r="K365" s="68" t="str">
        <f>IF(main!W368="","",ROUND(main!W368*100,6))</f>
        <v/>
      </c>
      <c r="L365" s="68" t="str">
        <f>IF(main!X368="","",ROUND(main!X368*100,6))</f>
        <v/>
      </c>
      <c r="M365" s="68" t="str">
        <f>IF(main!Y368="","",ROUND(main!Y368*100,6))</f>
        <v/>
      </c>
      <c r="N365" s="68" t="str">
        <f>IF(main!Z368="","",ROUND(main!Z368*100,6))</f>
        <v/>
      </c>
      <c r="O365" s="68" t="str">
        <f>IF(main!AA368="","",ROUND(main!AA368*100,6))</f>
        <v/>
      </c>
      <c r="P365" s="68" t="str">
        <f>IF(main!AB368="","",ROUND(main!AB368*100,6))</f>
        <v/>
      </c>
      <c r="Q365" s="68" t="str">
        <f>IF(main!AC368="","",ROUND(main!AC368*100,6))</f>
        <v/>
      </c>
      <c r="R365" s="68" t="str">
        <f>IF(main!AD368="","",ROUND(main!AD368*100,6))</f>
        <v/>
      </c>
      <c r="S365" s="68" t="str">
        <f>IF(main!AE368="","",ROUND(main!AE368*100,6))</f>
        <v/>
      </c>
      <c r="T365" s="68" t="str">
        <f>IF(main!AF368="","",ROUND(main!AF368*100,6))</f>
        <v/>
      </c>
      <c r="U365" s="68" t="str">
        <f>IF(main!AG368="","",ROUND(main!AG368*100,6))</f>
        <v/>
      </c>
      <c r="V365" s="68" t="str">
        <f>IF(main!AH368="","",ROUND(main!AH368*100,6))</f>
        <v/>
      </c>
      <c r="W365" s="68" t="str">
        <f>IF(main!AI368="","",ROUND(main!AI368*100,6))</f>
        <v/>
      </c>
      <c r="X365" s="68" t="str">
        <f>IF(main!AJ368="","",ROUND(main!AJ368*100,6))</f>
        <v/>
      </c>
      <c r="Y365" s="68" t="str">
        <f>IF(main!AK368="","",ROUND(main!AK368*100,6))</f>
        <v/>
      </c>
      <c r="Z365" s="68" t="str">
        <f>IF(main!AL368="","",ROUND(main!AL368*100,6))</f>
        <v/>
      </c>
      <c r="AA365" s="68" t="str">
        <f>IF(main!AM368="","",ROUND(main!AM368*100,6))</f>
        <v/>
      </c>
      <c r="AB365" s="68" t="str">
        <f>IF(main!AN368="","",ROUND(main!AN368*100,6))</f>
        <v/>
      </c>
      <c r="AC365" s="68" t="str">
        <f>IF(main!AO368="","",ROUND(main!AO368*100,6))</f>
        <v/>
      </c>
      <c r="AD365" s="68" t="str">
        <f>IF(main!AP368="","",ROUND(main!AP368*100,6))</f>
        <v/>
      </c>
      <c r="AE365" s="68" t="str">
        <f>IF(main!AQ368="","",ROUND(main!AQ368*100,6))</f>
        <v/>
      </c>
      <c r="AF365" s="68" t="str">
        <f>IF(main!AR368="","",ROUND(main!AR368*100,6))</f>
        <v/>
      </c>
      <c r="AG365" s="68" t="str">
        <f>IF(main!AS368="","",ROUND(main!AS368*100,6))</f>
        <v/>
      </c>
      <c r="AH365" s="68" t="str">
        <f>IF(main!AT368="","",ROUND(main!AT368*100,6))</f>
        <v/>
      </c>
      <c r="AI365" s="68" t="str">
        <f>IF(main!AU368="","",ROUND(main!AU368*100,6))</f>
        <v/>
      </c>
      <c r="AJ365" s="68" t="str">
        <f>IF(main!AV368="","",ROUND(main!AV368*100,6))</f>
        <v/>
      </c>
      <c r="AK365" s="68" t="str">
        <f>IF(main!AW368="","",ROUND(main!AW368*100,6))</f>
        <v/>
      </c>
      <c r="AL365" s="68" t="str">
        <f>IF(main!AX368="","",ROUND(main!AX368*100,6))</f>
        <v/>
      </c>
      <c r="AM365" s="68" t="str">
        <f>IF(main!AY368="","",ROUND(main!AY368*100,6))</f>
        <v/>
      </c>
      <c r="AN365" s="68" t="str">
        <f>IF(main!AZ368="","",ROUND(main!AZ368*100,6))</f>
        <v/>
      </c>
      <c r="AO365" s="68" t="str">
        <f>IF(main!BA368="","",ROUND(main!BA368*100,6))</f>
        <v/>
      </c>
      <c r="AP365" s="68" t="str">
        <f>IF(main!BB368="","",ROUND(main!BB368*100,6))</f>
        <v/>
      </c>
      <c r="AQ365" s="68" t="str">
        <f>IF(main!BC368="","",ROUND(main!BC368*100,6))</f>
        <v/>
      </c>
      <c r="AR365" s="68" t="str">
        <f>IF(main!BD368="","",ROUND(main!BD368*100,6))</f>
        <v/>
      </c>
      <c r="AS365" s="68" t="str">
        <f>IF(main!BE368="","",ROUND(main!BE368*100,6))</f>
        <v/>
      </c>
      <c r="AT365" s="68" t="str">
        <f>IF(main!BF368="","",ROUND(main!BF368*100,6))</f>
        <v/>
      </c>
      <c r="AU365" s="68" t="str">
        <f>IF(main!BG368="","",ROUND(main!BG368*100,6))</f>
        <v/>
      </c>
      <c r="AV365" s="68" t="str">
        <f>IF(main!BH368="","",ROUND(main!BH368*100,6))</f>
        <v/>
      </c>
      <c r="AW365" s="68" t="str">
        <f>IF(main!BI368="","",ROUND(main!BI368*100,6))</f>
        <v/>
      </c>
      <c r="AX365" s="68" t="str">
        <f>IF(main!BJ368="","",ROUND(main!BJ368*100,6))</f>
        <v/>
      </c>
      <c r="AY365" s="68" t="str">
        <f>IF(main!BK368="","",ROUND(main!BK368*100,6))</f>
        <v/>
      </c>
      <c r="AZ365" s="68" t="str">
        <f>IF(main!BL368="","",ROUND(main!BL368*100,6))</f>
        <v/>
      </c>
      <c r="BA365" s="68" t="str">
        <f>IF(main!BM368="","",ROUND(main!BM368*100,6))</f>
        <v/>
      </c>
      <c r="BB365" s="68" t="str">
        <f>IF(main!BN368="","",ROUND(main!BN368*100,6))</f>
        <v/>
      </c>
      <c r="BC365" s="68" t="str">
        <f>IF(main!BO368="","",ROUND(main!BO368*100,6))</f>
        <v/>
      </c>
      <c r="BD365" s="68" t="str">
        <f>IF(main!BP368="","",ROUND(main!BP368*100,6))</f>
        <v/>
      </c>
      <c r="BE365" s="68" t="str">
        <f>IF(main!BQ368="","",ROUND(main!BQ368*100,6))</f>
        <v/>
      </c>
      <c r="BF365" s="68" t="str">
        <f>IF(main!BR368="","",ROUND(main!BR368*100,6))</f>
        <v/>
      </c>
      <c r="BG365" s="68" t="str">
        <f>IF(main!BS368="","",ROUND(main!BS368*100,6))</f>
        <v/>
      </c>
      <c r="BH365" s="68" t="str">
        <f>IF(main!BT368="","",ROUND(main!BT368*100,6))</f>
        <v/>
      </c>
      <c r="BI365" s="68" t="str">
        <f>IF(main!BU368="","",ROUND(main!BU368*100,6))</f>
        <v/>
      </c>
      <c r="BJ365" s="68" t="str">
        <f>IF(main!BV368="","",ROUND(main!BV368*100,6))</f>
        <v/>
      </c>
      <c r="BK365" s="68" t="str">
        <f>IF(main!BW368="","",ROUND(main!BW368*100,6))</f>
        <v/>
      </c>
      <c r="BL365" s="68" t="str">
        <f>IF(main!BX368="","",ROUND(main!BX368*100,6))</f>
        <v/>
      </c>
      <c r="BM365" s="68" t="str">
        <f>IF(main!BY368="","",ROUND(main!BY368*100,6))</f>
        <v/>
      </c>
      <c r="BN365" s="68" t="str">
        <f>IF(main!BZ368="","",ROUND(main!BZ368*100,6))</f>
        <v/>
      </c>
      <c r="BO365" s="68" t="str">
        <f>IF(main!CA368="","",ROUND(main!CA368*100,6))</f>
        <v/>
      </c>
      <c r="BP365" s="68" t="str">
        <f>IF(main!CB368="","",ROUND(main!CB368*100,6))</f>
        <v/>
      </c>
      <c r="BQ365" s="68" t="str">
        <f>IF(main!CC368="","",ROUND(main!CC368*100,6))</f>
        <v/>
      </c>
      <c r="BR365" s="68" t="str">
        <f>IF(main!CD368="","",ROUND(main!CD368*100,6))</f>
        <v/>
      </c>
      <c r="BS365" s="68" t="str">
        <f>IF(main!CE368="","",ROUND(main!CE368*100,6))</f>
        <v/>
      </c>
      <c r="BT365" s="68" t="str">
        <f>IF(main!CF368="","",ROUND(main!CF368*100,6))</f>
        <v/>
      </c>
      <c r="BU365" s="68" t="str">
        <f>IF(main!CG368="","",ROUND(main!CG368*100,6))</f>
        <v/>
      </c>
      <c r="BV365" s="68" t="str">
        <f>IF(main!CH368="","",ROUND(main!CH368*100,6))</f>
        <v/>
      </c>
      <c r="BW365" s="68" t="str">
        <f>IF(main!CI368="","",ROUND(main!CI368*100,6))</f>
        <v/>
      </c>
      <c r="BX365" s="68" t="str">
        <f>IF(main!CJ368="","",ROUND(main!CJ368*100,6))</f>
        <v/>
      </c>
      <c r="BY365" s="68" t="str">
        <f>IF(main!CK368="","",ROUND(main!CK368*100,6))</f>
        <v/>
      </c>
      <c r="BZ365" s="68" t="str">
        <f>IF(main!CL368="","",ROUND(main!CL368*100,6))</f>
        <v/>
      </c>
      <c r="CA365" s="68" t="str">
        <f>IF(main!CM368="","",ROUND(main!CM368*100,6))</f>
        <v/>
      </c>
      <c r="CB365" s="68" t="str">
        <f>IF(main!CN368="","",ROUND(main!CN368*100,6))</f>
        <v/>
      </c>
      <c r="CC365" s="68" t="str">
        <f>IF(main!CO368="","",ROUND(main!CO368*100,6))</f>
        <v/>
      </c>
    </row>
    <row r="366" spans="1:81" x14ac:dyDescent="0.25">
      <c r="A366" s="65" t="s">
        <v>523</v>
      </c>
      <c r="B366" s="66" t="str">
        <f>main!C369</f>
        <v>พื้นหินอ่อน</v>
      </c>
      <c r="C366" s="67">
        <f>main!O369</f>
        <v>100000</v>
      </c>
      <c r="D366" s="65" t="s">
        <v>110</v>
      </c>
      <c r="E366" s="68">
        <f t="shared" si="5"/>
        <v>100</v>
      </c>
      <c r="F366" s="68" t="str">
        <f>IF(main!R369="","",ROUND(main!R369*100,6))</f>
        <v/>
      </c>
      <c r="G366" s="68" t="str">
        <f>IF(main!S369="","",ROUND(main!S369*100,6))</f>
        <v/>
      </c>
      <c r="H366" s="68" t="str">
        <f>IF(main!T369="","",ROUND(main!T369*100,6))</f>
        <v/>
      </c>
      <c r="I366" s="68" t="str">
        <f>IF(main!U369="","",ROUND(main!U369*100,6))</f>
        <v/>
      </c>
      <c r="J366" s="68" t="str">
        <f>IF(main!V369="","",ROUND(main!V369*100,6))</f>
        <v/>
      </c>
      <c r="K366" s="68" t="str">
        <f>IF(main!W369="","",ROUND(main!W369*100,6))</f>
        <v/>
      </c>
      <c r="L366" s="68" t="str">
        <f>IF(main!X369="","",ROUND(main!X369*100,6))</f>
        <v/>
      </c>
      <c r="M366" s="68" t="str">
        <f>IF(main!Y369="","",ROUND(main!Y369*100,6))</f>
        <v/>
      </c>
      <c r="N366" s="68" t="str">
        <f>IF(main!Z369="","",ROUND(main!Z369*100,6))</f>
        <v/>
      </c>
      <c r="O366" s="68" t="str">
        <f>IF(main!AA369="","",ROUND(main!AA369*100,6))</f>
        <v/>
      </c>
      <c r="P366" s="68" t="str">
        <f>IF(main!AB369="","",ROUND(main!AB369*100,6))</f>
        <v/>
      </c>
      <c r="Q366" s="68" t="str">
        <f>IF(main!AC369="","",ROUND(main!AC369*100,6))</f>
        <v/>
      </c>
      <c r="R366" s="68" t="str">
        <f>IF(main!AD369="","",ROUND(main!AD369*100,6))</f>
        <v/>
      </c>
      <c r="S366" s="68" t="str">
        <f>IF(main!AE369="","",ROUND(main!AE369*100,6))</f>
        <v/>
      </c>
      <c r="T366" s="68" t="str">
        <f>IF(main!AF369="","",ROUND(main!AF369*100,6))</f>
        <v/>
      </c>
      <c r="U366" s="68" t="str">
        <f>IF(main!AG369="","",ROUND(main!AG369*100,6))</f>
        <v/>
      </c>
      <c r="V366" s="68" t="str">
        <f>IF(main!AH369="","",ROUND(main!AH369*100,6))</f>
        <v/>
      </c>
      <c r="W366" s="68" t="str">
        <f>IF(main!AI369="","",ROUND(main!AI369*100,6))</f>
        <v/>
      </c>
      <c r="X366" s="68" t="str">
        <f>IF(main!AJ369="","",ROUND(main!AJ369*100,6))</f>
        <v/>
      </c>
      <c r="Y366" s="68" t="str">
        <f>IF(main!AK369="","",ROUND(main!AK369*100,6))</f>
        <v/>
      </c>
      <c r="Z366" s="68" t="str">
        <f>IF(main!AL369="","",ROUND(main!AL369*100,6))</f>
        <v/>
      </c>
      <c r="AA366" s="68" t="str">
        <f>IF(main!AM369="","",ROUND(main!AM369*100,6))</f>
        <v/>
      </c>
      <c r="AB366" s="68" t="str">
        <f>IF(main!AN369="","",ROUND(main!AN369*100,6))</f>
        <v/>
      </c>
      <c r="AC366" s="68" t="str">
        <f>IF(main!AO369="","",ROUND(main!AO369*100,6))</f>
        <v/>
      </c>
      <c r="AD366" s="68" t="str">
        <f>IF(main!AP369="","",ROUND(main!AP369*100,6))</f>
        <v/>
      </c>
      <c r="AE366" s="68" t="str">
        <f>IF(main!AQ369="","",ROUND(main!AQ369*100,6))</f>
        <v/>
      </c>
      <c r="AF366" s="68" t="str">
        <f>IF(main!AR369="","",ROUND(main!AR369*100,6))</f>
        <v/>
      </c>
      <c r="AG366" s="68" t="str">
        <f>IF(main!AS369="","",ROUND(main!AS369*100,6))</f>
        <v/>
      </c>
      <c r="AH366" s="68" t="str">
        <f>IF(main!AT369="","",ROUND(main!AT369*100,6))</f>
        <v/>
      </c>
      <c r="AI366" s="68" t="str">
        <f>IF(main!AU369="","",ROUND(main!AU369*100,6))</f>
        <v/>
      </c>
      <c r="AJ366" s="68" t="str">
        <f>IF(main!AV369="","",ROUND(main!AV369*100,6))</f>
        <v/>
      </c>
      <c r="AK366" s="68" t="str">
        <f>IF(main!AW369="","",ROUND(main!AW369*100,6))</f>
        <v/>
      </c>
      <c r="AL366" s="68" t="str">
        <f>IF(main!AX369="","",ROUND(main!AX369*100,6))</f>
        <v/>
      </c>
      <c r="AM366" s="68" t="str">
        <f>IF(main!AY369="","",ROUND(main!AY369*100,6))</f>
        <v/>
      </c>
      <c r="AN366" s="68" t="str">
        <f>IF(main!AZ369="","",ROUND(main!AZ369*100,6))</f>
        <v/>
      </c>
      <c r="AO366" s="68" t="str">
        <f>IF(main!BA369="","",ROUND(main!BA369*100,6))</f>
        <v/>
      </c>
      <c r="AP366" s="68" t="str">
        <f>IF(main!BB369="","",ROUND(main!BB369*100,6))</f>
        <v/>
      </c>
      <c r="AQ366" s="68" t="str">
        <f>IF(main!BC369="","",ROUND(main!BC369*100,6))</f>
        <v/>
      </c>
      <c r="AR366" s="68" t="str">
        <f>IF(main!BD369="","",ROUND(main!BD369*100,6))</f>
        <v/>
      </c>
      <c r="AS366" s="68" t="str">
        <f>IF(main!BE369="","",ROUND(main!BE369*100,6))</f>
        <v/>
      </c>
      <c r="AT366" s="68" t="str">
        <f>IF(main!BF369="","",ROUND(main!BF369*100,6))</f>
        <v/>
      </c>
      <c r="AU366" s="68" t="str">
        <f>IF(main!BG369="","",ROUND(main!BG369*100,6))</f>
        <v/>
      </c>
      <c r="AV366" s="68" t="str">
        <f>IF(main!BH369="","",ROUND(main!BH369*100,6))</f>
        <v/>
      </c>
      <c r="AW366" s="68" t="str">
        <f>IF(main!BI369="","",ROUND(main!BI369*100,6))</f>
        <v/>
      </c>
      <c r="AX366" s="68" t="str">
        <f>IF(main!BJ369="","",ROUND(main!BJ369*100,6))</f>
        <v/>
      </c>
      <c r="AY366" s="68" t="str">
        <f>IF(main!BK369="","",ROUND(main!BK369*100,6))</f>
        <v/>
      </c>
      <c r="AZ366" s="68" t="str">
        <f>IF(main!BL369="","",ROUND(main!BL369*100,6))</f>
        <v/>
      </c>
      <c r="BA366" s="68" t="str">
        <f>IF(main!BM369="","",ROUND(main!BM369*100,6))</f>
        <v/>
      </c>
      <c r="BB366" s="68" t="str">
        <f>IF(main!BN369="","",ROUND(main!BN369*100,6))</f>
        <v/>
      </c>
      <c r="BC366" s="68" t="str">
        <f>IF(main!BO369="","",ROUND(main!BO369*100,6))</f>
        <v/>
      </c>
      <c r="BD366" s="68" t="str">
        <f>IF(main!BP369="","",ROUND(main!BP369*100,6))</f>
        <v/>
      </c>
      <c r="BE366" s="68" t="str">
        <f>IF(main!BQ369="","",ROUND(main!BQ369*100,6))</f>
        <v/>
      </c>
      <c r="BF366" s="68" t="str">
        <f>IF(main!BR369="","",ROUND(main!BR369*100,6))</f>
        <v/>
      </c>
      <c r="BG366" s="68" t="str">
        <f>IF(main!BS369="","",ROUND(main!BS369*100,6))</f>
        <v/>
      </c>
      <c r="BH366" s="68" t="str">
        <f>IF(main!BT369="","",ROUND(main!BT369*100,6))</f>
        <v/>
      </c>
      <c r="BI366" s="68" t="str">
        <f>IF(main!BU369="","",ROUND(main!BU369*100,6))</f>
        <v/>
      </c>
      <c r="BJ366" s="68" t="str">
        <f>IF(main!BV369="","",ROUND(main!BV369*100,6))</f>
        <v/>
      </c>
      <c r="BK366" s="68" t="str">
        <f>IF(main!BW369="","",ROUND(main!BW369*100,6))</f>
        <v/>
      </c>
      <c r="BL366" s="68" t="str">
        <f>IF(main!BX369="","",ROUND(main!BX369*100,6))</f>
        <v/>
      </c>
      <c r="BM366" s="68" t="str">
        <f>IF(main!BY369="","",ROUND(main!BY369*100,6))</f>
        <v/>
      </c>
      <c r="BN366" s="68" t="str">
        <f>IF(main!BZ369="","",ROUND(main!BZ369*100,6))</f>
        <v/>
      </c>
      <c r="BO366" s="68" t="str">
        <f>IF(main!CA369="","",ROUND(main!CA369*100,6))</f>
        <v/>
      </c>
      <c r="BP366" s="68">
        <f>IF(main!CB369="","",ROUND(main!CB369*100,6))</f>
        <v>3.5714290000000002</v>
      </c>
      <c r="BQ366" s="68">
        <f>IF(main!CC369="","",ROUND(main!CC369*100,6))</f>
        <v>25</v>
      </c>
      <c r="BR366" s="68">
        <f>IF(main!CD369="","",ROUND(main!CD369*100,6))</f>
        <v>25</v>
      </c>
      <c r="BS366" s="68">
        <f>IF(main!CE369="","",ROUND(main!CE369*100,6))</f>
        <v>25</v>
      </c>
      <c r="BT366" s="68">
        <f>IF(main!CF369="","",ROUND(main!CF369*100,6))</f>
        <v>21.428571000000002</v>
      </c>
      <c r="BU366" s="68" t="str">
        <f>IF(main!CG369="","",ROUND(main!CG369*100,6))</f>
        <v/>
      </c>
      <c r="BV366" s="68" t="str">
        <f>IF(main!CH369="","",ROUND(main!CH369*100,6))</f>
        <v/>
      </c>
      <c r="BW366" s="68" t="str">
        <f>IF(main!CI369="","",ROUND(main!CI369*100,6))</f>
        <v/>
      </c>
      <c r="BX366" s="68" t="str">
        <f>IF(main!CJ369="","",ROUND(main!CJ369*100,6))</f>
        <v/>
      </c>
      <c r="BY366" s="68" t="str">
        <f>IF(main!CK369="","",ROUND(main!CK369*100,6))</f>
        <v/>
      </c>
      <c r="BZ366" s="68" t="str">
        <f>IF(main!CL369="","",ROUND(main!CL369*100,6))</f>
        <v/>
      </c>
      <c r="CA366" s="68" t="str">
        <f>IF(main!CM369="","",ROUND(main!CM369*100,6))</f>
        <v/>
      </c>
      <c r="CB366" s="68" t="str">
        <f>IF(main!CN369="","",ROUND(main!CN369*100,6))</f>
        <v/>
      </c>
      <c r="CC366" s="68" t="str">
        <f>IF(main!CO369="","",ROUND(main!CO369*100,6))</f>
        <v/>
      </c>
    </row>
    <row r="367" spans="1:81" x14ac:dyDescent="0.25">
      <c r="A367" s="65" t="s">
        <v>523</v>
      </c>
      <c r="B367" s="66" t="str">
        <f>main!C369</f>
        <v>พื้นหินอ่อน</v>
      </c>
      <c r="C367" s="67">
        <f>main!O369</f>
        <v>100000</v>
      </c>
      <c r="D367" s="65" t="s">
        <v>111</v>
      </c>
      <c r="E367" s="68" t="str">
        <f t="shared" si="5"/>
        <v/>
      </c>
      <c r="F367" s="68" t="str">
        <f>IF(main!R370="","",ROUND(main!R370*100,6))</f>
        <v/>
      </c>
      <c r="G367" s="68" t="str">
        <f>IF(main!S370="","",ROUND(main!S370*100,6))</f>
        <v/>
      </c>
      <c r="H367" s="68" t="str">
        <f>IF(main!T370="","",ROUND(main!T370*100,6))</f>
        <v/>
      </c>
      <c r="I367" s="68" t="str">
        <f>IF(main!U370="","",ROUND(main!U370*100,6))</f>
        <v/>
      </c>
      <c r="J367" s="68" t="str">
        <f>IF(main!V370="","",ROUND(main!V370*100,6))</f>
        <v/>
      </c>
      <c r="K367" s="68" t="str">
        <f>IF(main!W370="","",ROUND(main!W370*100,6))</f>
        <v/>
      </c>
      <c r="L367" s="68" t="str">
        <f>IF(main!X370="","",ROUND(main!X370*100,6))</f>
        <v/>
      </c>
      <c r="M367" s="68" t="str">
        <f>IF(main!Y370="","",ROUND(main!Y370*100,6))</f>
        <v/>
      </c>
      <c r="N367" s="68" t="str">
        <f>IF(main!Z370="","",ROUND(main!Z370*100,6))</f>
        <v/>
      </c>
      <c r="O367" s="68" t="str">
        <f>IF(main!AA370="","",ROUND(main!AA370*100,6))</f>
        <v/>
      </c>
      <c r="P367" s="68" t="str">
        <f>IF(main!AB370="","",ROUND(main!AB370*100,6))</f>
        <v/>
      </c>
      <c r="Q367" s="68" t="str">
        <f>IF(main!AC370="","",ROUND(main!AC370*100,6))</f>
        <v/>
      </c>
      <c r="R367" s="68" t="str">
        <f>IF(main!AD370="","",ROUND(main!AD370*100,6))</f>
        <v/>
      </c>
      <c r="S367" s="68" t="str">
        <f>IF(main!AE370="","",ROUND(main!AE370*100,6))</f>
        <v/>
      </c>
      <c r="T367" s="68" t="str">
        <f>IF(main!AF370="","",ROUND(main!AF370*100,6))</f>
        <v/>
      </c>
      <c r="U367" s="68" t="str">
        <f>IF(main!AG370="","",ROUND(main!AG370*100,6))</f>
        <v/>
      </c>
      <c r="V367" s="68" t="str">
        <f>IF(main!AH370="","",ROUND(main!AH370*100,6))</f>
        <v/>
      </c>
      <c r="W367" s="68" t="str">
        <f>IF(main!AI370="","",ROUND(main!AI370*100,6))</f>
        <v/>
      </c>
      <c r="X367" s="68" t="str">
        <f>IF(main!AJ370="","",ROUND(main!AJ370*100,6))</f>
        <v/>
      </c>
      <c r="Y367" s="68" t="str">
        <f>IF(main!AK370="","",ROUND(main!AK370*100,6))</f>
        <v/>
      </c>
      <c r="Z367" s="68" t="str">
        <f>IF(main!AL370="","",ROUND(main!AL370*100,6))</f>
        <v/>
      </c>
      <c r="AA367" s="68" t="str">
        <f>IF(main!AM370="","",ROUND(main!AM370*100,6))</f>
        <v/>
      </c>
      <c r="AB367" s="68" t="str">
        <f>IF(main!AN370="","",ROUND(main!AN370*100,6))</f>
        <v/>
      </c>
      <c r="AC367" s="68" t="str">
        <f>IF(main!AO370="","",ROUND(main!AO370*100,6))</f>
        <v/>
      </c>
      <c r="AD367" s="68" t="str">
        <f>IF(main!AP370="","",ROUND(main!AP370*100,6))</f>
        <v/>
      </c>
      <c r="AE367" s="68" t="str">
        <f>IF(main!AQ370="","",ROUND(main!AQ370*100,6))</f>
        <v/>
      </c>
      <c r="AF367" s="68" t="str">
        <f>IF(main!AR370="","",ROUND(main!AR370*100,6))</f>
        <v/>
      </c>
      <c r="AG367" s="68" t="str">
        <f>IF(main!AS370="","",ROUND(main!AS370*100,6))</f>
        <v/>
      </c>
      <c r="AH367" s="68" t="str">
        <f>IF(main!AT370="","",ROUND(main!AT370*100,6))</f>
        <v/>
      </c>
      <c r="AI367" s="68" t="str">
        <f>IF(main!AU370="","",ROUND(main!AU370*100,6))</f>
        <v/>
      </c>
      <c r="AJ367" s="68" t="str">
        <f>IF(main!AV370="","",ROUND(main!AV370*100,6))</f>
        <v/>
      </c>
      <c r="AK367" s="68" t="str">
        <f>IF(main!AW370="","",ROUND(main!AW370*100,6))</f>
        <v/>
      </c>
      <c r="AL367" s="68" t="str">
        <f>IF(main!AX370="","",ROUND(main!AX370*100,6))</f>
        <v/>
      </c>
      <c r="AM367" s="68" t="str">
        <f>IF(main!AY370="","",ROUND(main!AY370*100,6))</f>
        <v/>
      </c>
      <c r="AN367" s="68" t="str">
        <f>IF(main!AZ370="","",ROUND(main!AZ370*100,6))</f>
        <v/>
      </c>
      <c r="AO367" s="68" t="str">
        <f>IF(main!BA370="","",ROUND(main!BA370*100,6))</f>
        <v/>
      </c>
      <c r="AP367" s="68" t="str">
        <f>IF(main!BB370="","",ROUND(main!BB370*100,6))</f>
        <v/>
      </c>
      <c r="AQ367" s="68" t="str">
        <f>IF(main!BC370="","",ROUND(main!BC370*100,6))</f>
        <v/>
      </c>
      <c r="AR367" s="68" t="str">
        <f>IF(main!BD370="","",ROUND(main!BD370*100,6))</f>
        <v/>
      </c>
      <c r="AS367" s="68" t="str">
        <f>IF(main!BE370="","",ROUND(main!BE370*100,6))</f>
        <v/>
      </c>
      <c r="AT367" s="68" t="str">
        <f>IF(main!BF370="","",ROUND(main!BF370*100,6))</f>
        <v/>
      </c>
      <c r="AU367" s="68" t="str">
        <f>IF(main!BG370="","",ROUND(main!BG370*100,6))</f>
        <v/>
      </c>
      <c r="AV367" s="68" t="str">
        <f>IF(main!BH370="","",ROUND(main!BH370*100,6))</f>
        <v/>
      </c>
      <c r="AW367" s="68" t="str">
        <f>IF(main!BI370="","",ROUND(main!BI370*100,6))</f>
        <v/>
      </c>
      <c r="AX367" s="68" t="str">
        <f>IF(main!BJ370="","",ROUND(main!BJ370*100,6))</f>
        <v/>
      </c>
      <c r="AY367" s="68" t="str">
        <f>IF(main!BK370="","",ROUND(main!BK370*100,6))</f>
        <v/>
      </c>
      <c r="AZ367" s="68" t="str">
        <f>IF(main!BL370="","",ROUND(main!BL370*100,6))</f>
        <v/>
      </c>
      <c r="BA367" s="68" t="str">
        <f>IF(main!BM370="","",ROUND(main!BM370*100,6))</f>
        <v/>
      </c>
      <c r="BB367" s="68" t="str">
        <f>IF(main!BN370="","",ROUND(main!BN370*100,6))</f>
        <v/>
      </c>
      <c r="BC367" s="68" t="str">
        <f>IF(main!BO370="","",ROUND(main!BO370*100,6))</f>
        <v/>
      </c>
      <c r="BD367" s="68" t="str">
        <f>IF(main!BP370="","",ROUND(main!BP370*100,6))</f>
        <v/>
      </c>
      <c r="BE367" s="68" t="str">
        <f>IF(main!BQ370="","",ROUND(main!BQ370*100,6))</f>
        <v/>
      </c>
      <c r="BF367" s="68" t="str">
        <f>IF(main!BR370="","",ROUND(main!BR370*100,6))</f>
        <v/>
      </c>
      <c r="BG367" s="68" t="str">
        <f>IF(main!BS370="","",ROUND(main!BS370*100,6))</f>
        <v/>
      </c>
      <c r="BH367" s="68" t="str">
        <f>IF(main!BT370="","",ROUND(main!BT370*100,6))</f>
        <v/>
      </c>
      <c r="BI367" s="68" t="str">
        <f>IF(main!BU370="","",ROUND(main!BU370*100,6))</f>
        <v/>
      </c>
      <c r="BJ367" s="68" t="str">
        <f>IF(main!BV370="","",ROUND(main!BV370*100,6))</f>
        <v/>
      </c>
      <c r="BK367" s="68" t="str">
        <f>IF(main!BW370="","",ROUND(main!BW370*100,6))</f>
        <v/>
      </c>
      <c r="BL367" s="68" t="str">
        <f>IF(main!BX370="","",ROUND(main!BX370*100,6))</f>
        <v/>
      </c>
      <c r="BM367" s="68" t="str">
        <f>IF(main!BY370="","",ROUND(main!BY370*100,6))</f>
        <v/>
      </c>
      <c r="BN367" s="68" t="str">
        <f>IF(main!BZ370="","",ROUND(main!BZ370*100,6))</f>
        <v/>
      </c>
      <c r="BO367" s="68" t="str">
        <f>IF(main!CA370="","",ROUND(main!CA370*100,6))</f>
        <v/>
      </c>
      <c r="BP367" s="68" t="str">
        <f>IF(main!CB370="","",ROUND(main!CB370*100,6))</f>
        <v/>
      </c>
      <c r="BQ367" s="68" t="str">
        <f>IF(main!CC370="","",ROUND(main!CC370*100,6))</f>
        <v/>
      </c>
      <c r="BR367" s="68" t="str">
        <f>IF(main!CD370="","",ROUND(main!CD370*100,6))</f>
        <v/>
      </c>
      <c r="BS367" s="68" t="str">
        <f>IF(main!CE370="","",ROUND(main!CE370*100,6))</f>
        <v/>
      </c>
      <c r="BT367" s="68" t="str">
        <f>IF(main!CF370="","",ROUND(main!CF370*100,6))</f>
        <v/>
      </c>
      <c r="BU367" s="68" t="str">
        <f>IF(main!CG370="","",ROUND(main!CG370*100,6))</f>
        <v/>
      </c>
      <c r="BV367" s="68" t="str">
        <f>IF(main!CH370="","",ROUND(main!CH370*100,6))</f>
        <v/>
      </c>
      <c r="BW367" s="68" t="str">
        <f>IF(main!CI370="","",ROUND(main!CI370*100,6))</f>
        <v/>
      </c>
      <c r="BX367" s="68" t="str">
        <f>IF(main!CJ370="","",ROUND(main!CJ370*100,6))</f>
        <v/>
      </c>
      <c r="BY367" s="68" t="str">
        <f>IF(main!CK370="","",ROUND(main!CK370*100,6))</f>
        <v/>
      </c>
      <c r="BZ367" s="68" t="str">
        <f>IF(main!CL370="","",ROUND(main!CL370*100,6))</f>
        <v/>
      </c>
      <c r="CA367" s="68" t="str">
        <f>IF(main!CM370="","",ROUND(main!CM370*100,6))</f>
        <v/>
      </c>
      <c r="CB367" s="68" t="str">
        <f>IF(main!CN370="","",ROUND(main!CN370*100,6))</f>
        <v/>
      </c>
      <c r="CC367" s="68" t="str">
        <f>IF(main!CO370="","",ROUND(main!CO370*100,6))</f>
        <v/>
      </c>
    </row>
    <row r="368" spans="1:81" x14ac:dyDescent="0.25">
      <c r="A368" s="65" t="s">
        <v>526</v>
      </c>
      <c r="B368" s="66" t="str">
        <f>main!C371</f>
        <v>ราวจับสแตนเลส</v>
      </c>
      <c r="C368" s="67">
        <f>main!O371</f>
        <v>100000</v>
      </c>
      <c r="D368" s="65" t="s">
        <v>110</v>
      </c>
      <c r="E368" s="68">
        <f t="shared" si="5"/>
        <v>100</v>
      </c>
      <c r="F368" s="68" t="str">
        <f>IF(main!R371="","",ROUND(main!R371*100,6))</f>
        <v/>
      </c>
      <c r="G368" s="68" t="str">
        <f>IF(main!S371="","",ROUND(main!S371*100,6))</f>
        <v/>
      </c>
      <c r="H368" s="68" t="str">
        <f>IF(main!T371="","",ROUND(main!T371*100,6))</f>
        <v/>
      </c>
      <c r="I368" s="68" t="str">
        <f>IF(main!U371="","",ROUND(main!U371*100,6))</f>
        <v/>
      </c>
      <c r="J368" s="68" t="str">
        <f>IF(main!V371="","",ROUND(main!V371*100,6))</f>
        <v/>
      </c>
      <c r="K368" s="68" t="str">
        <f>IF(main!W371="","",ROUND(main!W371*100,6))</f>
        <v/>
      </c>
      <c r="L368" s="68" t="str">
        <f>IF(main!X371="","",ROUND(main!X371*100,6))</f>
        <v/>
      </c>
      <c r="M368" s="68" t="str">
        <f>IF(main!Y371="","",ROUND(main!Y371*100,6))</f>
        <v/>
      </c>
      <c r="N368" s="68" t="str">
        <f>IF(main!Z371="","",ROUND(main!Z371*100,6))</f>
        <v/>
      </c>
      <c r="O368" s="68" t="str">
        <f>IF(main!AA371="","",ROUND(main!AA371*100,6))</f>
        <v/>
      </c>
      <c r="P368" s="68" t="str">
        <f>IF(main!AB371="","",ROUND(main!AB371*100,6))</f>
        <v/>
      </c>
      <c r="Q368" s="68" t="str">
        <f>IF(main!AC371="","",ROUND(main!AC371*100,6))</f>
        <v/>
      </c>
      <c r="R368" s="68" t="str">
        <f>IF(main!AD371="","",ROUND(main!AD371*100,6))</f>
        <v/>
      </c>
      <c r="S368" s="68" t="str">
        <f>IF(main!AE371="","",ROUND(main!AE371*100,6))</f>
        <v/>
      </c>
      <c r="T368" s="68" t="str">
        <f>IF(main!AF371="","",ROUND(main!AF371*100,6))</f>
        <v/>
      </c>
      <c r="U368" s="68" t="str">
        <f>IF(main!AG371="","",ROUND(main!AG371*100,6))</f>
        <v/>
      </c>
      <c r="V368" s="68" t="str">
        <f>IF(main!AH371="","",ROUND(main!AH371*100,6))</f>
        <v/>
      </c>
      <c r="W368" s="68" t="str">
        <f>IF(main!AI371="","",ROUND(main!AI371*100,6))</f>
        <v/>
      </c>
      <c r="X368" s="68" t="str">
        <f>IF(main!AJ371="","",ROUND(main!AJ371*100,6))</f>
        <v/>
      </c>
      <c r="Y368" s="68" t="str">
        <f>IF(main!AK371="","",ROUND(main!AK371*100,6))</f>
        <v/>
      </c>
      <c r="Z368" s="68" t="str">
        <f>IF(main!AL371="","",ROUND(main!AL371*100,6))</f>
        <v/>
      </c>
      <c r="AA368" s="68" t="str">
        <f>IF(main!AM371="","",ROUND(main!AM371*100,6))</f>
        <v/>
      </c>
      <c r="AB368" s="68" t="str">
        <f>IF(main!AN371="","",ROUND(main!AN371*100,6))</f>
        <v/>
      </c>
      <c r="AC368" s="68" t="str">
        <f>IF(main!AO371="","",ROUND(main!AO371*100,6))</f>
        <v/>
      </c>
      <c r="AD368" s="68" t="str">
        <f>IF(main!AP371="","",ROUND(main!AP371*100,6))</f>
        <v/>
      </c>
      <c r="AE368" s="68" t="str">
        <f>IF(main!AQ371="","",ROUND(main!AQ371*100,6))</f>
        <v/>
      </c>
      <c r="AF368" s="68" t="str">
        <f>IF(main!AR371="","",ROUND(main!AR371*100,6))</f>
        <v/>
      </c>
      <c r="AG368" s="68" t="str">
        <f>IF(main!AS371="","",ROUND(main!AS371*100,6))</f>
        <v/>
      </c>
      <c r="AH368" s="68" t="str">
        <f>IF(main!AT371="","",ROUND(main!AT371*100,6))</f>
        <v/>
      </c>
      <c r="AI368" s="68" t="str">
        <f>IF(main!AU371="","",ROUND(main!AU371*100,6))</f>
        <v/>
      </c>
      <c r="AJ368" s="68" t="str">
        <f>IF(main!AV371="","",ROUND(main!AV371*100,6))</f>
        <v/>
      </c>
      <c r="AK368" s="68" t="str">
        <f>IF(main!AW371="","",ROUND(main!AW371*100,6))</f>
        <v/>
      </c>
      <c r="AL368" s="68" t="str">
        <f>IF(main!AX371="","",ROUND(main!AX371*100,6))</f>
        <v/>
      </c>
      <c r="AM368" s="68" t="str">
        <f>IF(main!AY371="","",ROUND(main!AY371*100,6))</f>
        <v/>
      </c>
      <c r="AN368" s="68" t="str">
        <f>IF(main!AZ371="","",ROUND(main!AZ371*100,6))</f>
        <v/>
      </c>
      <c r="AO368" s="68" t="str">
        <f>IF(main!BA371="","",ROUND(main!BA371*100,6))</f>
        <v/>
      </c>
      <c r="AP368" s="68" t="str">
        <f>IF(main!BB371="","",ROUND(main!BB371*100,6))</f>
        <v/>
      </c>
      <c r="AQ368" s="68" t="str">
        <f>IF(main!BC371="","",ROUND(main!BC371*100,6))</f>
        <v/>
      </c>
      <c r="AR368" s="68" t="str">
        <f>IF(main!BD371="","",ROUND(main!BD371*100,6))</f>
        <v/>
      </c>
      <c r="AS368" s="68" t="str">
        <f>IF(main!BE371="","",ROUND(main!BE371*100,6))</f>
        <v/>
      </c>
      <c r="AT368" s="68" t="str">
        <f>IF(main!BF371="","",ROUND(main!BF371*100,6))</f>
        <v/>
      </c>
      <c r="AU368" s="68" t="str">
        <f>IF(main!BG371="","",ROUND(main!BG371*100,6))</f>
        <v/>
      </c>
      <c r="AV368" s="68" t="str">
        <f>IF(main!BH371="","",ROUND(main!BH371*100,6))</f>
        <v/>
      </c>
      <c r="AW368" s="68" t="str">
        <f>IF(main!BI371="","",ROUND(main!BI371*100,6))</f>
        <v/>
      </c>
      <c r="AX368" s="68" t="str">
        <f>IF(main!BJ371="","",ROUND(main!BJ371*100,6))</f>
        <v/>
      </c>
      <c r="AY368" s="68" t="str">
        <f>IF(main!BK371="","",ROUND(main!BK371*100,6))</f>
        <v/>
      </c>
      <c r="AZ368" s="68" t="str">
        <f>IF(main!BL371="","",ROUND(main!BL371*100,6))</f>
        <v/>
      </c>
      <c r="BA368" s="68" t="str">
        <f>IF(main!BM371="","",ROUND(main!BM371*100,6))</f>
        <v/>
      </c>
      <c r="BB368" s="68" t="str">
        <f>IF(main!BN371="","",ROUND(main!BN371*100,6))</f>
        <v/>
      </c>
      <c r="BC368" s="68" t="str">
        <f>IF(main!BO371="","",ROUND(main!BO371*100,6))</f>
        <v/>
      </c>
      <c r="BD368" s="68" t="str">
        <f>IF(main!BP371="","",ROUND(main!BP371*100,6))</f>
        <v/>
      </c>
      <c r="BE368" s="68" t="str">
        <f>IF(main!BQ371="","",ROUND(main!BQ371*100,6))</f>
        <v/>
      </c>
      <c r="BF368" s="68" t="str">
        <f>IF(main!BR371="","",ROUND(main!BR371*100,6))</f>
        <v/>
      </c>
      <c r="BG368" s="68" t="str">
        <f>IF(main!BS371="","",ROUND(main!BS371*100,6))</f>
        <v/>
      </c>
      <c r="BH368" s="68" t="str">
        <f>IF(main!BT371="","",ROUND(main!BT371*100,6))</f>
        <v/>
      </c>
      <c r="BI368" s="68" t="str">
        <f>IF(main!BU371="","",ROUND(main!BU371*100,6))</f>
        <v/>
      </c>
      <c r="BJ368" s="68" t="str">
        <f>IF(main!BV371="","",ROUND(main!BV371*100,6))</f>
        <v/>
      </c>
      <c r="BK368" s="68" t="str">
        <f>IF(main!BW371="","",ROUND(main!BW371*100,6))</f>
        <v/>
      </c>
      <c r="BL368" s="68" t="str">
        <f>IF(main!BX371="","",ROUND(main!BX371*100,6))</f>
        <v/>
      </c>
      <c r="BM368" s="68" t="str">
        <f>IF(main!BY371="","",ROUND(main!BY371*100,6))</f>
        <v/>
      </c>
      <c r="BN368" s="68" t="str">
        <f>IF(main!BZ371="","",ROUND(main!BZ371*100,6))</f>
        <v/>
      </c>
      <c r="BO368" s="68" t="str">
        <f>IF(main!CA371="","",ROUND(main!CA371*100,6))</f>
        <v/>
      </c>
      <c r="BP368" s="68" t="str">
        <f>IF(main!CB371="","",ROUND(main!CB371*100,6))</f>
        <v/>
      </c>
      <c r="BQ368" s="68" t="str">
        <f>IF(main!CC371="","",ROUND(main!CC371*100,6))</f>
        <v/>
      </c>
      <c r="BR368" s="68" t="str">
        <f>IF(main!CD371="","",ROUND(main!CD371*100,6))</f>
        <v/>
      </c>
      <c r="BS368" s="68" t="str">
        <f>IF(main!CE371="","",ROUND(main!CE371*100,6))</f>
        <v/>
      </c>
      <c r="BT368" s="68">
        <f>IF(main!CF371="","",ROUND(main!CF371*100,6))</f>
        <v>4.7619049999999996</v>
      </c>
      <c r="BU368" s="68">
        <f>IF(main!CG371="","",ROUND(main!CG371*100,6))</f>
        <v>33.333333000000003</v>
      </c>
      <c r="BV368" s="68">
        <f>IF(main!CH371="","",ROUND(main!CH371*100,6))</f>
        <v>33.333333000000003</v>
      </c>
      <c r="BW368" s="68">
        <f>IF(main!CI371="","",ROUND(main!CI371*100,6))</f>
        <v>28.571428999999998</v>
      </c>
      <c r="BX368" s="68" t="str">
        <f>IF(main!CJ371="","",ROUND(main!CJ371*100,6))</f>
        <v/>
      </c>
      <c r="BY368" s="68" t="str">
        <f>IF(main!CK371="","",ROUND(main!CK371*100,6))</f>
        <v/>
      </c>
      <c r="BZ368" s="68" t="str">
        <f>IF(main!CL371="","",ROUND(main!CL371*100,6))</f>
        <v/>
      </c>
      <c r="CA368" s="68" t="str">
        <f>IF(main!CM371="","",ROUND(main!CM371*100,6))</f>
        <v/>
      </c>
      <c r="CB368" s="68" t="str">
        <f>IF(main!CN371="","",ROUND(main!CN371*100,6))</f>
        <v/>
      </c>
      <c r="CC368" s="68" t="str">
        <f>IF(main!CO371="","",ROUND(main!CO371*100,6))</f>
        <v/>
      </c>
    </row>
    <row r="369" spans="1:81" x14ac:dyDescent="0.25">
      <c r="A369" s="65" t="s">
        <v>526</v>
      </c>
      <c r="B369" s="66" t="str">
        <f>main!C371</f>
        <v>ราวจับสแตนเลส</v>
      </c>
      <c r="C369" s="67">
        <f>main!O371</f>
        <v>100000</v>
      </c>
      <c r="D369" s="65" t="s">
        <v>111</v>
      </c>
      <c r="E369" s="68" t="str">
        <f t="shared" si="5"/>
        <v/>
      </c>
      <c r="F369" s="68" t="str">
        <f>IF(main!R372="","",ROUND(main!R372*100,6))</f>
        <v/>
      </c>
      <c r="G369" s="68" t="str">
        <f>IF(main!S372="","",ROUND(main!S372*100,6))</f>
        <v/>
      </c>
      <c r="H369" s="68" t="str">
        <f>IF(main!T372="","",ROUND(main!T372*100,6))</f>
        <v/>
      </c>
      <c r="I369" s="68" t="str">
        <f>IF(main!U372="","",ROUND(main!U372*100,6))</f>
        <v/>
      </c>
      <c r="J369" s="68" t="str">
        <f>IF(main!V372="","",ROUND(main!V372*100,6))</f>
        <v/>
      </c>
      <c r="K369" s="68" t="str">
        <f>IF(main!W372="","",ROUND(main!W372*100,6))</f>
        <v/>
      </c>
      <c r="L369" s="68" t="str">
        <f>IF(main!X372="","",ROUND(main!X372*100,6))</f>
        <v/>
      </c>
      <c r="M369" s="68" t="str">
        <f>IF(main!Y372="","",ROUND(main!Y372*100,6))</f>
        <v/>
      </c>
      <c r="N369" s="68" t="str">
        <f>IF(main!Z372="","",ROUND(main!Z372*100,6))</f>
        <v/>
      </c>
      <c r="O369" s="68" t="str">
        <f>IF(main!AA372="","",ROUND(main!AA372*100,6))</f>
        <v/>
      </c>
      <c r="P369" s="68" t="str">
        <f>IF(main!AB372="","",ROUND(main!AB372*100,6))</f>
        <v/>
      </c>
      <c r="Q369" s="68" t="str">
        <f>IF(main!AC372="","",ROUND(main!AC372*100,6))</f>
        <v/>
      </c>
      <c r="R369" s="68" t="str">
        <f>IF(main!AD372="","",ROUND(main!AD372*100,6))</f>
        <v/>
      </c>
      <c r="S369" s="68" t="str">
        <f>IF(main!AE372="","",ROUND(main!AE372*100,6))</f>
        <v/>
      </c>
      <c r="T369" s="68" t="str">
        <f>IF(main!AF372="","",ROUND(main!AF372*100,6))</f>
        <v/>
      </c>
      <c r="U369" s="68" t="str">
        <f>IF(main!AG372="","",ROUND(main!AG372*100,6))</f>
        <v/>
      </c>
      <c r="V369" s="68" t="str">
        <f>IF(main!AH372="","",ROUND(main!AH372*100,6))</f>
        <v/>
      </c>
      <c r="W369" s="68" t="str">
        <f>IF(main!AI372="","",ROUND(main!AI372*100,6))</f>
        <v/>
      </c>
      <c r="X369" s="68" t="str">
        <f>IF(main!AJ372="","",ROUND(main!AJ372*100,6))</f>
        <v/>
      </c>
      <c r="Y369" s="68" t="str">
        <f>IF(main!AK372="","",ROUND(main!AK372*100,6))</f>
        <v/>
      </c>
      <c r="Z369" s="68" t="str">
        <f>IF(main!AL372="","",ROUND(main!AL372*100,6))</f>
        <v/>
      </c>
      <c r="AA369" s="68" t="str">
        <f>IF(main!AM372="","",ROUND(main!AM372*100,6))</f>
        <v/>
      </c>
      <c r="AB369" s="68" t="str">
        <f>IF(main!AN372="","",ROUND(main!AN372*100,6))</f>
        <v/>
      </c>
      <c r="AC369" s="68" t="str">
        <f>IF(main!AO372="","",ROUND(main!AO372*100,6))</f>
        <v/>
      </c>
      <c r="AD369" s="68" t="str">
        <f>IF(main!AP372="","",ROUND(main!AP372*100,6))</f>
        <v/>
      </c>
      <c r="AE369" s="68" t="str">
        <f>IF(main!AQ372="","",ROUND(main!AQ372*100,6))</f>
        <v/>
      </c>
      <c r="AF369" s="68" t="str">
        <f>IF(main!AR372="","",ROUND(main!AR372*100,6))</f>
        <v/>
      </c>
      <c r="AG369" s="68" t="str">
        <f>IF(main!AS372="","",ROUND(main!AS372*100,6))</f>
        <v/>
      </c>
      <c r="AH369" s="68" t="str">
        <f>IF(main!AT372="","",ROUND(main!AT372*100,6))</f>
        <v/>
      </c>
      <c r="AI369" s="68" t="str">
        <f>IF(main!AU372="","",ROUND(main!AU372*100,6))</f>
        <v/>
      </c>
      <c r="AJ369" s="68" t="str">
        <f>IF(main!AV372="","",ROUND(main!AV372*100,6))</f>
        <v/>
      </c>
      <c r="AK369" s="68" t="str">
        <f>IF(main!AW372="","",ROUND(main!AW372*100,6))</f>
        <v/>
      </c>
      <c r="AL369" s="68" t="str">
        <f>IF(main!AX372="","",ROUND(main!AX372*100,6))</f>
        <v/>
      </c>
      <c r="AM369" s="68" t="str">
        <f>IF(main!AY372="","",ROUND(main!AY372*100,6))</f>
        <v/>
      </c>
      <c r="AN369" s="68" t="str">
        <f>IF(main!AZ372="","",ROUND(main!AZ372*100,6))</f>
        <v/>
      </c>
      <c r="AO369" s="68" t="str">
        <f>IF(main!BA372="","",ROUND(main!BA372*100,6))</f>
        <v/>
      </c>
      <c r="AP369" s="68" t="str">
        <f>IF(main!BB372="","",ROUND(main!BB372*100,6))</f>
        <v/>
      </c>
      <c r="AQ369" s="68" t="str">
        <f>IF(main!BC372="","",ROUND(main!BC372*100,6))</f>
        <v/>
      </c>
      <c r="AR369" s="68" t="str">
        <f>IF(main!BD372="","",ROUND(main!BD372*100,6))</f>
        <v/>
      </c>
      <c r="AS369" s="68" t="str">
        <f>IF(main!BE372="","",ROUND(main!BE372*100,6))</f>
        <v/>
      </c>
      <c r="AT369" s="68" t="str">
        <f>IF(main!BF372="","",ROUND(main!BF372*100,6))</f>
        <v/>
      </c>
      <c r="AU369" s="68" t="str">
        <f>IF(main!BG372="","",ROUND(main!BG372*100,6))</f>
        <v/>
      </c>
      <c r="AV369" s="68" t="str">
        <f>IF(main!BH372="","",ROUND(main!BH372*100,6))</f>
        <v/>
      </c>
      <c r="AW369" s="68" t="str">
        <f>IF(main!BI372="","",ROUND(main!BI372*100,6))</f>
        <v/>
      </c>
      <c r="AX369" s="68" t="str">
        <f>IF(main!BJ372="","",ROUND(main!BJ372*100,6))</f>
        <v/>
      </c>
      <c r="AY369" s="68" t="str">
        <f>IF(main!BK372="","",ROUND(main!BK372*100,6))</f>
        <v/>
      </c>
      <c r="AZ369" s="68" t="str">
        <f>IF(main!BL372="","",ROUND(main!BL372*100,6))</f>
        <v/>
      </c>
      <c r="BA369" s="68" t="str">
        <f>IF(main!BM372="","",ROUND(main!BM372*100,6))</f>
        <v/>
      </c>
      <c r="BB369" s="68" t="str">
        <f>IF(main!BN372="","",ROUND(main!BN372*100,6))</f>
        <v/>
      </c>
      <c r="BC369" s="68" t="str">
        <f>IF(main!BO372="","",ROUND(main!BO372*100,6))</f>
        <v/>
      </c>
      <c r="BD369" s="68" t="str">
        <f>IF(main!BP372="","",ROUND(main!BP372*100,6))</f>
        <v/>
      </c>
      <c r="BE369" s="68" t="str">
        <f>IF(main!BQ372="","",ROUND(main!BQ372*100,6))</f>
        <v/>
      </c>
      <c r="BF369" s="68" t="str">
        <f>IF(main!BR372="","",ROUND(main!BR372*100,6))</f>
        <v/>
      </c>
      <c r="BG369" s="68" t="str">
        <f>IF(main!BS372="","",ROUND(main!BS372*100,6))</f>
        <v/>
      </c>
      <c r="BH369" s="68" t="str">
        <f>IF(main!BT372="","",ROUND(main!BT372*100,6))</f>
        <v/>
      </c>
      <c r="BI369" s="68" t="str">
        <f>IF(main!BU372="","",ROUND(main!BU372*100,6))</f>
        <v/>
      </c>
      <c r="BJ369" s="68" t="str">
        <f>IF(main!BV372="","",ROUND(main!BV372*100,6))</f>
        <v/>
      </c>
      <c r="BK369" s="68" t="str">
        <f>IF(main!BW372="","",ROUND(main!BW372*100,6))</f>
        <v/>
      </c>
      <c r="BL369" s="68" t="str">
        <f>IF(main!BX372="","",ROUND(main!BX372*100,6))</f>
        <v/>
      </c>
      <c r="BM369" s="68" t="str">
        <f>IF(main!BY372="","",ROUND(main!BY372*100,6))</f>
        <v/>
      </c>
      <c r="BN369" s="68" t="str">
        <f>IF(main!BZ372="","",ROUND(main!BZ372*100,6))</f>
        <v/>
      </c>
      <c r="BO369" s="68" t="str">
        <f>IF(main!CA372="","",ROUND(main!CA372*100,6))</f>
        <v/>
      </c>
      <c r="BP369" s="68" t="str">
        <f>IF(main!CB372="","",ROUND(main!CB372*100,6))</f>
        <v/>
      </c>
      <c r="BQ369" s="68" t="str">
        <f>IF(main!CC372="","",ROUND(main!CC372*100,6))</f>
        <v/>
      </c>
      <c r="BR369" s="68" t="str">
        <f>IF(main!CD372="","",ROUND(main!CD372*100,6))</f>
        <v/>
      </c>
      <c r="BS369" s="68" t="str">
        <f>IF(main!CE372="","",ROUND(main!CE372*100,6))</f>
        <v/>
      </c>
      <c r="BT369" s="68" t="str">
        <f>IF(main!CF372="","",ROUND(main!CF372*100,6))</f>
        <v/>
      </c>
      <c r="BU369" s="68" t="str">
        <f>IF(main!CG372="","",ROUND(main!CG372*100,6))</f>
        <v/>
      </c>
      <c r="BV369" s="68" t="str">
        <f>IF(main!CH372="","",ROUND(main!CH372*100,6))</f>
        <v/>
      </c>
      <c r="BW369" s="68" t="str">
        <f>IF(main!CI372="","",ROUND(main!CI372*100,6))</f>
        <v/>
      </c>
      <c r="BX369" s="68" t="str">
        <f>IF(main!CJ372="","",ROUND(main!CJ372*100,6))</f>
        <v/>
      </c>
      <c r="BY369" s="68" t="str">
        <f>IF(main!CK372="","",ROUND(main!CK372*100,6))</f>
        <v/>
      </c>
      <c r="BZ369" s="68" t="str">
        <f>IF(main!CL372="","",ROUND(main!CL372*100,6))</f>
        <v/>
      </c>
      <c r="CA369" s="68" t="str">
        <f>IF(main!CM372="","",ROUND(main!CM372*100,6))</f>
        <v/>
      </c>
      <c r="CB369" s="68" t="str">
        <f>IF(main!CN372="","",ROUND(main!CN372*100,6))</f>
        <v/>
      </c>
      <c r="CC369" s="68" t="str">
        <f>IF(main!CO372="","",ROUND(main!CO372*100,6))</f>
        <v/>
      </c>
    </row>
    <row r="370" spans="1:81" x14ac:dyDescent="0.25">
      <c r="A370" s="65" t="s">
        <v>529</v>
      </c>
      <c r="B370" s="66" t="str">
        <f>main!C373</f>
        <v>งานสีผนัง ท้องบันได</v>
      </c>
      <c r="C370" s="67">
        <f>main!O373</f>
        <v>100000</v>
      </c>
      <c r="D370" s="65" t="s">
        <v>110</v>
      </c>
      <c r="E370" s="68">
        <f t="shared" si="5"/>
        <v>100</v>
      </c>
      <c r="F370" s="68" t="str">
        <f>IF(main!R373="","",ROUND(main!R373*100,6))</f>
        <v/>
      </c>
      <c r="G370" s="68" t="str">
        <f>IF(main!S373="","",ROUND(main!S373*100,6))</f>
        <v/>
      </c>
      <c r="H370" s="68" t="str">
        <f>IF(main!T373="","",ROUND(main!T373*100,6))</f>
        <v/>
      </c>
      <c r="I370" s="68" t="str">
        <f>IF(main!U373="","",ROUND(main!U373*100,6))</f>
        <v/>
      </c>
      <c r="J370" s="68" t="str">
        <f>IF(main!V373="","",ROUND(main!V373*100,6))</f>
        <v/>
      </c>
      <c r="K370" s="68" t="str">
        <f>IF(main!W373="","",ROUND(main!W373*100,6))</f>
        <v/>
      </c>
      <c r="L370" s="68" t="str">
        <f>IF(main!X373="","",ROUND(main!X373*100,6))</f>
        <v/>
      </c>
      <c r="M370" s="68" t="str">
        <f>IF(main!Y373="","",ROUND(main!Y373*100,6))</f>
        <v/>
      </c>
      <c r="N370" s="68" t="str">
        <f>IF(main!Z373="","",ROUND(main!Z373*100,6))</f>
        <v/>
      </c>
      <c r="O370" s="68" t="str">
        <f>IF(main!AA373="","",ROUND(main!AA373*100,6))</f>
        <v/>
      </c>
      <c r="P370" s="68" t="str">
        <f>IF(main!AB373="","",ROUND(main!AB373*100,6))</f>
        <v/>
      </c>
      <c r="Q370" s="68" t="str">
        <f>IF(main!AC373="","",ROUND(main!AC373*100,6))</f>
        <v/>
      </c>
      <c r="R370" s="68" t="str">
        <f>IF(main!AD373="","",ROUND(main!AD373*100,6))</f>
        <v/>
      </c>
      <c r="S370" s="68" t="str">
        <f>IF(main!AE373="","",ROUND(main!AE373*100,6))</f>
        <v/>
      </c>
      <c r="T370" s="68" t="str">
        <f>IF(main!AF373="","",ROUND(main!AF373*100,6))</f>
        <v/>
      </c>
      <c r="U370" s="68" t="str">
        <f>IF(main!AG373="","",ROUND(main!AG373*100,6))</f>
        <v/>
      </c>
      <c r="V370" s="68" t="str">
        <f>IF(main!AH373="","",ROUND(main!AH373*100,6))</f>
        <v/>
      </c>
      <c r="W370" s="68" t="str">
        <f>IF(main!AI373="","",ROUND(main!AI373*100,6))</f>
        <v/>
      </c>
      <c r="X370" s="68" t="str">
        <f>IF(main!AJ373="","",ROUND(main!AJ373*100,6))</f>
        <v/>
      </c>
      <c r="Y370" s="68" t="str">
        <f>IF(main!AK373="","",ROUND(main!AK373*100,6))</f>
        <v/>
      </c>
      <c r="Z370" s="68" t="str">
        <f>IF(main!AL373="","",ROUND(main!AL373*100,6))</f>
        <v/>
      </c>
      <c r="AA370" s="68" t="str">
        <f>IF(main!AM373="","",ROUND(main!AM373*100,6))</f>
        <v/>
      </c>
      <c r="AB370" s="68" t="str">
        <f>IF(main!AN373="","",ROUND(main!AN373*100,6))</f>
        <v/>
      </c>
      <c r="AC370" s="68" t="str">
        <f>IF(main!AO373="","",ROUND(main!AO373*100,6))</f>
        <v/>
      </c>
      <c r="AD370" s="68" t="str">
        <f>IF(main!AP373="","",ROUND(main!AP373*100,6))</f>
        <v/>
      </c>
      <c r="AE370" s="68" t="str">
        <f>IF(main!AQ373="","",ROUND(main!AQ373*100,6))</f>
        <v/>
      </c>
      <c r="AF370" s="68" t="str">
        <f>IF(main!AR373="","",ROUND(main!AR373*100,6))</f>
        <v/>
      </c>
      <c r="AG370" s="68" t="str">
        <f>IF(main!AS373="","",ROUND(main!AS373*100,6))</f>
        <v/>
      </c>
      <c r="AH370" s="68" t="str">
        <f>IF(main!AT373="","",ROUND(main!AT373*100,6))</f>
        <v/>
      </c>
      <c r="AI370" s="68" t="str">
        <f>IF(main!AU373="","",ROUND(main!AU373*100,6))</f>
        <v/>
      </c>
      <c r="AJ370" s="68" t="str">
        <f>IF(main!AV373="","",ROUND(main!AV373*100,6))</f>
        <v/>
      </c>
      <c r="AK370" s="68" t="str">
        <f>IF(main!AW373="","",ROUND(main!AW373*100,6))</f>
        <v/>
      </c>
      <c r="AL370" s="68" t="str">
        <f>IF(main!AX373="","",ROUND(main!AX373*100,6))</f>
        <v/>
      </c>
      <c r="AM370" s="68" t="str">
        <f>IF(main!AY373="","",ROUND(main!AY373*100,6))</f>
        <v/>
      </c>
      <c r="AN370" s="68" t="str">
        <f>IF(main!AZ373="","",ROUND(main!AZ373*100,6))</f>
        <v/>
      </c>
      <c r="AO370" s="68" t="str">
        <f>IF(main!BA373="","",ROUND(main!BA373*100,6))</f>
        <v/>
      </c>
      <c r="AP370" s="68" t="str">
        <f>IF(main!BB373="","",ROUND(main!BB373*100,6))</f>
        <v/>
      </c>
      <c r="AQ370" s="68" t="str">
        <f>IF(main!BC373="","",ROUND(main!BC373*100,6))</f>
        <v/>
      </c>
      <c r="AR370" s="68" t="str">
        <f>IF(main!BD373="","",ROUND(main!BD373*100,6))</f>
        <v/>
      </c>
      <c r="AS370" s="68" t="str">
        <f>IF(main!BE373="","",ROUND(main!BE373*100,6))</f>
        <v/>
      </c>
      <c r="AT370" s="68" t="str">
        <f>IF(main!BF373="","",ROUND(main!BF373*100,6))</f>
        <v/>
      </c>
      <c r="AU370" s="68" t="str">
        <f>IF(main!BG373="","",ROUND(main!BG373*100,6))</f>
        <v/>
      </c>
      <c r="AV370" s="68" t="str">
        <f>IF(main!BH373="","",ROUND(main!BH373*100,6))</f>
        <v/>
      </c>
      <c r="AW370" s="68" t="str">
        <f>IF(main!BI373="","",ROUND(main!BI373*100,6))</f>
        <v/>
      </c>
      <c r="AX370" s="68" t="str">
        <f>IF(main!BJ373="","",ROUND(main!BJ373*100,6))</f>
        <v/>
      </c>
      <c r="AY370" s="68" t="str">
        <f>IF(main!BK373="","",ROUND(main!BK373*100,6))</f>
        <v/>
      </c>
      <c r="AZ370" s="68" t="str">
        <f>IF(main!BL373="","",ROUND(main!BL373*100,6))</f>
        <v/>
      </c>
      <c r="BA370" s="68" t="str">
        <f>IF(main!BM373="","",ROUND(main!BM373*100,6))</f>
        <v/>
      </c>
      <c r="BB370" s="68" t="str">
        <f>IF(main!BN373="","",ROUND(main!BN373*100,6))</f>
        <v/>
      </c>
      <c r="BC370" s="68" t="str">
        <f>IF(main!BO373="","",ROUND(main!BO373*100,6))</f>
        <v/>
      </c>
      <c r="BD370" s="68" t="str">
        <f>IF(main!BP373="","",ROUND(main!BP373*100,6))</f>
        <v/>
      </c>
      <c r="BE370" s="68" t="str">
        <f>IF(main!BQ373="","",ROUND(main!BQ373*100,6))</f>
        <v/>
      </c>
      <c r="BF370" s="68" t="str">
        <f>IF(main!BR373="","",ROUND(main!BR373*100,6))</f>
        <v/>
      </c>
      <c r="BG370" s="68" t="str">
        <f>IF(main!BS373="","",ROUND(main!BS373*100,6))</f>
        <v/>
      </c>
      <c r="BH370" s="68" t="str">
        <f>IF(main!BT373="","",ROUND(main!BT373*100,6))</f>
        <v/>
      </c>
      <c r="BI370" s="68" t="str">
        <f>IF(main!BU373="","",ROUND(main!BU373*100,6))</f>
        <v/>
      </c>
      <c r="BJ370" s="68" t="str">
        <f>IF(main!BV373="","",ROUND(main!BV373*100,6))</f>
        <v/>
      </c>
      <c r="BK370" s="68" t="str">
        <f>IF(main!BW373="","",ROUND(main!BW373*100,6))</f>
        <v/>
      </c>
      <c r="BL370" s="68" t="str">
        <f>IF(main!BX373="","",ROUND(main!BX373*100,6))</f>
        <v/>
      </c>
      <c r="BM370" s="68" t="str">
        <f>IF(main!BY373="","",ROUND(main!BY373*100,6))</f>
        <v/>
      </c>
      <c r="BN370" s="68" t="str">
        <f>IF(main!BZ373="","",ROUND(main!BZ373*100,6))</f>
        <v/>
      </c>
      <c r="BO370" s="68" t="str">
        <f>IF(main!CA373="","",ROUND(main!CA373*100,6))</f>
        <v/>
      </c>
      <c r="BP370" s="68" t="str">
        <f>IF(main!CB373="","",ROUND(main!CB373*100,6))</f>
        <v/>
      </c>
      <c r="BQ370" s="68" t="str">
        <f>IF(main!CC373="","",ROUND(main!CC373*100,6))</f>
        <v/>
      </c>
      <c r="BR370" s="68" t="str">
        <f>IF(main!CD373="","",ROUND(main!CD373*100,6))</f>
        <v/>
      </c>
      <c r="BS370" s="68" t="str">
        <f>IF(main!CE373="","",ROUND(main!CE373*100,6))</f>
        <v/>
      </c>
      <c r="BT370" s="68">
        <f>IF(main!CF373="","",ROUND(main!CF373*100,6))</f>
        <v>7.1428570000000002</v>
      </c>
      <c r="BU370" s="68">
        <f>IF(main!CG373="","",ROUND(main!CG373*100,6))</f>
        <v>50</v>
      </c>
      <c r="BV370" s="68">
        <f>IF(main!CH373="","",ROUND(main!CH373*100,6))</f>
        <v>42.857143000000001</v>
      </c>
      <c r="BW370" s="68" t="str">
        <f>IF(main!CI373="","",ROUND(main!CI373*100,6))</f>
        <v/>
      </c>
      <c r="BX370" s="68" t="str">
        <f>IF(main!CJ373="","",ROUND(main!CJ373*100,6))</f>
        <v/>
      </c>
      <c r="BY370" s="68" t="str">
        <f>IF(main!CK373="","",ROUND(main!CK373*100,6))</f>
        <v/>
      </c>
      <c r="BZ370" s="68" t="str">
        <f>IF(main!CL373="","",ROUND(main!CL373*100,6))</f>
        <v/>
      </c>
      <c r="CA370" s="68" t="str">
        <f>IF(main!CM373="","",ROUND(main!CM373*100,6))</f>
        <v/>
      </c>
      <c r="CB370" s="68" t="str">
        <f>IF(main!CN373="","",ROUND(main!CN373*100,6))</f>
        <v/>
      </c>
      <c r="CC370" s="68" t="str">
        <f>IF(main!CO373="","",ROUND(main!CO373*100,6))</f>
        <v/>
      </c>
    </row>
    <row r="371" spans="1:81" x14ac:dyDescent="0.25">
      <c r="A371" s="65" t="s">
        <v>529</v>
      </c>
      <c r="B371" s="66" t="str">
        <f>main!C373</f>
        <v>งานสีผนัง ท้องบันได</v>
      </c>
      <c r="C371" s="67">
        <f>main!O373</f>
        <v>100000</v>
      </c>
      <c r="D371" s="65" t="s">
        <v>111</v>
      </c>
      <c r="E371" s="68" t="str">
        <f t="shared" si="5"/>
        <v/>
      </c>
      <c r="F371" s="68" t="str">
        <f>IF(main!R374="","",ROUND(main!R374*100,6))</f>
        <v/>
      </c>
      <c r="G371" s="68" t="str">
        <f>IF(main!S374="","",ROUND(main!S374*100,6))</f>
        <v/>
      </c>
      <c r="H371" s="68" t="str">
        <f>IF(main!T374="","",ROUND(main!T374*100,6))</f>
        <v/>
      </c>
      <c r="I371" s="68" t="str">
        <f>IF(main!U374="","",ROUND(main!U374*100,6))</f>
        <v/>
      </c>
      <c r="J371" s="68" t="str">
        <f>IF(main!V374="","",ROUND(main!V374*100,6))</f>
        <v/>
      </c>
      <c r="K371" s="68" t="str">
        <f>IF(main!W374="","",ROUND(main!W374*100,6))</f>
        <v/>
      </c>
      <c r="L371" s="68" t="str">
        <f>IF(main!X374="","",ROUND(main!X374*100,6))</f>
        <v/>
      </c>
      <c r="M371" s="68" t="str">
        <f>IF(main!Y374="","",ROUND(main!Y374*100,6))</f>
        <v/>
      </c>
      <c r="N371" s="68" t="str">
        <f>IF(main!Z374="","",ROUND(main!Z374*100,6))</f>
        <v/>
      </c>
      <c r="O371" s="68" t="str">
        <f>IF(main!AA374="","",ROUND(main!AA374*100,6))</f>
        <v/>
      </c>
      <c r="P371" s="68" t="str">
        <f>IF(main!AB374="","",ROUND(main!AB374*100,6))</f>
        <v/>
      </c>
      <c r="Q371" s="68" t="str">
        <f>IF(main!AC374="","",ROUND(main!AC374*100,6))</f>
        <v/>
      </c>
      <c r="R371" s="68" t="str">
        <f>IF(main!AD374="","",ROUND(main!AD374*100,6))</f>
        <v/>
      </c>
      <c r="S371" s="68" t="str">
        <f>IF(main!AE374="","",ROUND(main!AE374*100,6))</f>
        <v/>
      </c>
      <c r="T371" s="68" t="str">
        <f>IF(main!AF374="","",ROUND(main!AF374*100,6))</f>
        <v/>
      </c>
      <c r="U371" s="68" t="str">
        <f>IF(main!AG374="","",ROUND(main!AG374*100,6))</f>
        <v/>
      </c>
      <c r="V371" s="68" t="str">
        <f>IF(main!AH374="","",ROUND(main!AH374*100,6))</f>
        <v/>
      </c>
      <c r="W371" s="68" t="str">
        <f>IF(main!AI374="","",ROUND(main!AI374*100,6))</f>
        <v/>
      </c>
      <c r="X371" s="68" t="str">
        <f>IF(main!AJ374="","",ROUND(main!AJ374*100,6))</f>
        <v/>
      </c>
      <c r="Y371" s="68" t="str">
        <f>IF(main!AK374="","",ROUND(main!AK374*100,6))</f>
        <v/>
      </c>
      <c r="Z371" s="68" t="str">
        <f>IF(main!AL374="","",ROUND(main!AL374*100,6))</f>
        <v/>
      </c>
      <c r="AA371" s="68" t="str">
        <f>IF(main!AM374="","",ROUND(main!AM374*100,6))</f>
        <v/>
      </c>
      <c r="AB371" s="68" t="str">
        <f>IF(main!AN374="","",ROUND(main!AN374*100,6))</f>
        <v/>
      </c>
      <c r="AC371" s="68" t="str">
        <f>IF(main!AO374="","",ROUND(main!AO374*100,6))</f>
        <v/>
      </c>
      <c r="AD371" s="68" t="str">
        <f>IF(main!AP374="","",ROUND(main!AP374*100,6))</f>
        <v/>
      </c>
      <c r="AE371" s="68" t="str">
        <f>IF(main!AQ374="","",ROUND(main!AQ374*100,6))</f>
        <v/>
      </c>
      <c r="AF371" s="68" t="str">
        <f>IF(main!AR374="","",ROUND(main!AR374*100,6))</f>
        <v/>
      </c>
      <c r="AG371" s="68" t="str">
        <f>IF(main!AS374="","",ROUND(main!AS374*100,6))</f>
        <v/>
      </c>
      <c r="AH371" s="68" t="str">
        <f>IF(main!AT374="","",ROUND(main!AT374*100,6))</f>
        <v/>
      </c>
      <c r="AI371" s="68" t="str">
        <f>IF(main!AU374="","",ROUND(main!AU374*100,6))</f>
        <v/>
      </c>
      <c r="AJ371" s="68" t="str">
        <f>IF(main!AV374="","",ROUND(main!AV374*100,6))</f>
        <v/>
      </c>
      <c r="AK371" s="68" t="str">
        <f>IF(main!AW374="","",ROUND(main!AW374*100,6))</f>
        <v/>
      </c>
      <c r="AL371" s="68" t="str">
        <f>IF(main!AX374="","",ROUND(main!AX374*100,6))</f>
        <v/>
      </c>
      <c r="AM371" s="68" t="str">
        <f>IF(main!AY374="","",ROUND(main!AY374*100,6))</f>
        <v/>
      </c>
      <c r="AN371" s="68" t="str">
        <f>IF(main!AZ374="","",ROUND(main!AZ374*100,6))</f>
        <v/>
      </c>
      <c r="AO371" s="68" t="str">
        <f>IF(main!BA374="","",ROUND(main!BA374*100,6))</f>
        <v/>
      </c>
      <c r="AP371" s="68" t="str">
        <f>IF(main!BB374="","",ROUND(main!BB374*100,6))</f>
        <v/>
      </c>
      <c r="AQ371" s="68" t="str">
        <f>IF(main!BC374="","",ROUND(main!BC374*100,6))</f>
        <v/>
      </c>
      <c r="AR371" s="68" t="str">
        <f>IF(main!BD374="","",ROUND(main!BD374*100,6))</f>
        <v/>
      </c>
      <c r="AS371" s="68" t="str">
        <f>IF(main!BE374="","",ROUND(main!BE374*100,6))</f>
        <v/>
      </c>
      <c r="AT371" s="68" t="str">
        <f>IF(main!BF374="","",ROUND(main!BF374*100,6))</f>
        <v/>
      </c>
      <c r="AU371" s="68" t="str">
        <f>IF(main!BG374="","",ROUND(main!BG374*100,6))</f>
        <v/>
      </c>
      <c r="AV371" s="68" t="str">
        <f>IF(main!BH374="","",ROUND(main!BH374*100,6))</f>
        <v/>
      </c>
      <c r="AW371" s="68" t="str">
        <f>IF(main!BI374="","",ROUND(main!BI374*100,6))</f>
        <v/>
      </c>
      <c r="AX371" s="68" t="str">
        <f>IF(main!BJ374="","",ROUND(main!BJ374*100,6))</f>
        <v/>
      </c>
      <c r="AY371" s="68" t="str">
        <f>IF(main!BK374="","",ROUND(main!BK374*100,6))</f>
        <v/>
      </c>
      <c r="AZ371" s="68" t="str">
        <f>IF(main!BL374="","",ROUND(main!BL374*100,6))</f>
        <v/>
      </c>
      <c r="BA371" s="68" t="str">
        <f>IF(main!BM374="","",ROUND(main!BM374*100,6))</f>
        <v/>
      </c>
      <c r="BB371" s="68" t="str">
        <f>IF(main!BN374="","",ROUND(main!BN374*100,6))</f>
        <v/>
      </c>
      <c r="BC371" s="68" t="str">
        <f>IF(main!BO374="","",ROUND(main!BO374*100,6))</f>
        <v/>
      </c>
      <c r="BD371" s="68" t="str">
        <f>IF(main!BP374="","",ROUND(main!BP374*100,6))</f>
        <v/>
      </c>
      <c r="BE371" s="68" t="str">
        <f>IF(main!BQ374="","",ROUND(main!BQ374*100,6))</f>
        <v/>
      </c>
      <c r="BF371" s="68" t="str">
        <f>IF(main!BR374="","",ROUND(main!BR374*100,6))</f>
        <v/>
      </c>
      <c r="BG371" s="68" t="str">
        <f>IF(main!BS374="","",ROUND(main!BS374*100,6))</f>
        <v/>
      </c>
      <c r="BH371" s="68" t="str">
        <f>IF(main!BT374="","",ROUND(main!BT374*100,6))</f>
        <v/>
      </c>
      <c r="BI371" s="68" t="str">
        <f>IF(main!BU374="","",ROUND(main!BU374*100,6))</f>
        <v/>
      </c>
      <c r="BJ371" s="68" t="str">
        <f>IF(main!BV374="","",ROUND(main!BV374*100,6))</f>
        <v/>
      </c>
      <c r="BK371" s="68" t="str">
        <f>IF(main!BW374="","",ROUND(main!BW374*100,6))</f>
        <v/>
      </c>
      <c r="BL371" s="68" t="str">
        <f>IF(main!BX374="","",ROUND(main!BX374*100,6))</f>
        <v/>
      </c>
      <c r="BM371" s="68" t="str">
        <f>IF(main!BY374="","",ROUND(main!BY374*100,6))</f>
        <v/>
      </c>
      <c r="BN371" s="68" t="str">
        <f>IF(main!BZ374="","",ROUND(main!BZ374*100,6))</f>
        <v/>
      </c>
      <c r="BO371" s="68" t="str">
        <f>IF(main!CA374="","",ROUND(main!CA374*100,6))</f>
        <v/>
      </c>
      <c r="BP371" s="68" t="str">
        <f>IF(main!CB374="","",ROUND(main!CB374*100,6))</f>
        <v/>
      </c>
      <c r="BQ371" s="68" t="str">
        <f>IF(main!CC374="","",ROUND(main!CC374*100,6))</f>
        <v/>
      </c>
      <c r="BR371" s="68" t="str">
        <f>IF(main!CD374="","",ROUND(main!CD374*100,6))</f>
        <v/>
      </c>
      <c r="BS371" s="68" t="str">
        <f>IF(main!CE374="","",ROUND(main!CE374*100,6))</f>
        <v/>
      </c>
      <c r="BT371" s="68" t="str">
        <f>IF(main!CF374="","",ROUND(main!CF374*100,6))</f>
        <v/>
      </c>
      <c r="BU371" s="68" t="str">
        <f>IF(main!CG374="","",ROUND(main!CG374*100,6))</f>
        <v/>
      </c>
      <c r="BV371" s="68" t="str">
        <f>IF(main!CH374="","",ROUND(main!CH374*100,6))</f>
        <v/>
      </c>
      <c r="BW371" s="68" t="str">
        <f>IF(main!CI374="","",ROUND(main!CI374*100,6))</f>
        <v/>
      </c>
      <c r="BX371" s="68" t="str">
        <f>IF(main!CJ374="","",ROUND(main!CJ374*100,6))</f>
        <v/>
      </c>
      <c r="BY371" s="68" t="str">
        <f>IF(main!CK374="","",ROUND(main!CK374*100,6))</f>
        <v/>
      </c>
      <c r="BZ371" s="68" t="str">
        <f>IF(main!CL374="","",ROUND(main!CL374*100,6))</f>
        <v/>
      </c>
      <c r="CA371" s="68" t="str">
        <f>IF(main!CM374="","",ROUND(main!CM374*100,6))</f>
        <v/>
      </c>
      <c r="CB371" s="68" t="str">
        <f>IF(main!CN374="","",ROUND(main!CN374*100,6))</f>
        <v/>
      </c>
      <c r="CC371" s="68" t="str">
        <f>IF(main!CO374="","",ROUND(main!CO374*100,6))</f>
        <v/>
      </c>
    </row>
    <row r="372" spans="1:81" x14ac:dyDescent="0.25">
      <c r="A372" s="65" t="s">
        <v>532</v>
      </c>
      <c r="B372" s="66" t="str">
        <f>main!C375</f>
        <v>ST2, ST3, ST4</v>
      </c>
      <c r="C372" s="67">
        <f>main!O375</f>
        <v>200000</v>
      </c>
      <c r="D372" s="65" t="s">
        <v>110</v>
      </c>
      <c r="E372" s="68">
        <f t="shared" si="5"/>
        <v>100</v>
      </c>
      <c r="F372" s="68" t="str">
        <f>IF(main!R375="","",ROUND(main!R375*100,6))</f>
        <v/>
      </c>
      <c r="G372" s="68" t="str">
        <f>IF(main!S375="","",ROUND(main!S375*100,6))</f>
        <v/>
      </c>
      <c r="H372" s="68" t="str">
        <f>IF(main!T375="","",ROUND(main!T375*100,6))</f>
        <v/>
      </c>
      <c r="I372" s="68" t="str">
        <f>IF(main!U375="","",ROUND(main!U375*100,6))</f>
        <v/>
      </c>
      <c r="J372" s="68" t="str">
        <f>IF(main!V375="","",ROUND(main!V375*100,6))</f>
        <v/>
      </c>
      <c r="K372" s="68" t="str">
        <f>IF(main!W375="","",ROUND(main!W375*100,6))</f>
        <v/>
      </c>
      <c r="L372" s="68" t="str">
        <f>IF(main!X375="","",ROUND(main!X375*100,6))</f>
        <v/>
      </c>
      <c r="M372" s="68" t="str">
        <f>IF(main!Y375="","",ROUND(main!Y375*100,6))</f>
        <v/>
      </c>
      <c r="N372" s="68" t="str">
        <f>IF(main!Z375="","",ROUND(main!Z375*100,6))</f>
        <v/>
      </c>
      <c r="O372" s="68" t="str">
        <f>IF(main!AA375="","",ROUND(main!AA375*100,6))</f>
        <v/>
      </c>
      <c r="P372" s="68" t="str">
        <f>IF(main!AB375="","",ROUND(main!AB375*100,6))</f>
        <v/>
      </c>
      <c r="Q372" s="68" t="str">
        <f>IF(main!AC375="","",ROUND(main!AC375*100,6))</f>
        <v/>
      </c>
      <c r="R372" s="68" t="str">
        <f>IF(main!AD375="","",ROUND(main!AD375*100,6))</f>
        <v/>
      </c>
      <c r="S372" s="68" t="str">
        <f>IF(main!AE375="","",ROUND(main!AE375*100,6))</f>
        <v/>
      </c>
      <c r="T372" s="68" t="str">
        <f>IF(main!AF375="","",ROUND(main!AF375*100,6))</f>
        <v/>
      </c>
      <c r="U372" s="68" t="str">
        <f>IF(main!AG375="","",ROUND(main!AG375*100,6))</f>
        <v/>
      </c>
      <c r="V372" s="68" t="str">
        <f>IF(main!AH375="","",ROUND(main!AH375*100,6))</f>
        <v/>
      </c>
      <c r="W372" s="68" t="str">
        <f>IF(main!AI375="","",ROUND(main!AI375*100,6))</f>
        <v/>
      </c>
      <c r="X372" s="68" t="str">
        <f>IF(main!AJ375="","",ROUND(main!AJ375*100,6))</f>
        <v/>
      </c>
      <c r="Y372" s="68" t="str">
        <f>IF(main!AK375="","",ROUND(main!AK375*100,6))</f>
        <v/>
      </c>
      <c r="Z372" s="68" t="str">
        <f>IF(main!AL375="","",ROUND(main!AL375*100,6))</f>
        <v/>
      </c>
      <c r="AA372" s="68" t="str">
        <f>IF(main!AM375="","",ROUND(main!AM375*100,6))</f>
        <v/>
      </c>
      <c r="AB372" s="68" t="str">
        <f>IF(main!AN375="","",ROUND(main!AN375*100,6))</f>
        <v/>
      </c>
      <c r="AC372" s="68" t="str">
        <f>IF(main!AO375="","",ROUND(main!AO375*100,6))</f>
        <v/>
      </c>
      <c r="AD372" s="68" t="str">
        <f>IF(main!AP375="","",ROUND(main!AP375*100,6))</f>
        <v/>
      </c>
      <c r="AE372" s="68" t="str">
        <f>IF(main!AQ375="","",ROUND(main!AQ375*100,6))</f>
        <v/>
      </c>
      <c r="AF372" s="68" t="str">
        <f>IF(main!AR375="","",ROUND(main!AR375*100,6))</f>
        <v/>
      </c>
      <c r="AG372" s="68" t="str">
        <f>IF(main!AS375="","",ROUND(main!AS375*100,6))</f>
        <v/>
      </c>
      <c r="AH372" s="68" t="str">
        <f>IF(main!AT375="","",ROUND(main!AT375*100,6))</f>
        <v/>
      </c>
      <c r="AI372" s="68" t="str">
        <f>IF(main!AU375="","",ROUND(main!AU375*100,6))</f>
        <v/>
      </c>
      <c r="AJ372" s="68" t="str">
        <f>IF(main!AV375="","",ROUND(main!AV375*100,6))</f>
        <v/>
      </c>
      <c r="AK372" s="68" t="str">
        <f>IF(main!AW375="","",ROUND(main!AW375*100,6))</f>
        <v/>
      </c>
      <c r="AL372" s="68" t="str">
        <f>IF(main!AX375="","",ROUND(main!AX375*100,6))</f>
        <v/>
      </c>
      <c r="AM372" s="68" t="str">
        <f>IF(main!AY375="","",ROUND(main!AY375*100,6))</f>
        <v/>
      </c>
      <c r="AN372" s="68" t="str">
        <f>IF(main!AZ375="","",ROUND(main!AZ375*100,6))</f>
        <v/>
      </c>
      <c r="AO372" s="68" t="str">
        <f>IF(main!BA375="","",ROUND(main!BA375*100,6))</f>
        <v/>
      </c>
      <c r="AP372" s="68" t="str">
        <f>IF(main!BB375="","",ROUND(main!BB375*100,6))</f>
        <v/>
      </c>
      <c r="AQ372" s="68" t="str">
        <f>IF(main!BC375="","",ROUND(main!BC375*100,6))</f>
        <v/>
      </c>
      <c r="AR372" s="68" t="str">
        <f>IF(main!BD375="","",ROUND(main!BD375*100,6))</f>
        <v/>
      </c>
      <c r="AS372" s="68" t="str">
        <f>IF(main!BE375="","",ROUND(main!BE375*100,6))</f>
        <v/>
      </c>
      <c r="AT372" s="68" t="str">
        <f>IF(main!BF375="","",ROUND(main!BF375*100,6))</f>
        <v/>
      </c>
      <c r="AU372" s="68" t="str">
        <f>IF(main!BG375="","",ROUND(main!BG375*100,6))</f>
        <v/>
      </c>
      <c r="AV372" s="68" t="str">
        <f>IF(main!BH375="","",ROUND(main!BH375*100,6))</f>
        <v/>
      </c>
      <c r="AW372" s="68" t="str">
        <f>IF(main!BI375="","",ROUND(main!BI375*100,6))</f>
        <v/>
      </c>
      <c r="AX372" s="68" t="str">
        <f>IF(main!BJ375="","",ROUND(main!BJ375*100,6))</f>
        <v/>
      </c>
      <c r="AY372" s="68" t="str">
        <f>IF(main!BK375="","",ROUND(main!BK375*100,6))</f>
        <v/>
      </c>
      <c r="AZ372" s="68" t="str">
        <f>IF(main!BL375="","",ROUND(main!BL375*100,6))</f>
        <v/>
      </c>
      <c r="BA372" s="68" t="str">
        <f>IF(main!BM375="","",ROUND(main!BM375*100,6))</f>
        <v/>
      </c>
      <c r="BB372" s="68" t="str">
        <f>IF(main!BN375="","",ROUND(main!BN375*100,6))</f>
        <v/>
      </c>
      <c r="BC372" s="68" t="str">
        <f>IF(main!BO375="","",ROUND(main!BO375*100,6))</f>
        <v/>
      </c>
      <c r="BD372" s="68" t="str">
        <f>IF(main!BP375="","",ROUND(main!BP375*100,6))</f>
        <v/>
      </c>
      <c r="BE372" s="68" t="str">
        <f>IF(main!BQ375="","",ROUND(main!BQ375*100,6))</f>
        <v/>
      </c>
      <c r="BF372" s="68" t="str">
        <f>IF(main!BR375="","",ROUND(main!BR375*100,6))</f>
        <v/>
      </c>
      <c r="BG372" s="68" t="str">
        <f>IF(main!BS375="","",ROUND(main!BS375*100,6))</f>
        <v/>
      </c>
      <c r="BH372" s="68" t="str">
        <f>IF(main!BT375="","",ROUND(main!BT375*100,6))</f>
        <v/>
      </c>
      <c r="BI372" s="68" t="str">
        <f>IF(main!BU375="","",ROUND(main!BU375*100,6))</f>
        <v/>
      </c>
      <c r="BJ372" s="68" t="str">
        <f>IF(main!BV375="","",ROUND(main!BV375*100,6))</f>
        <v/>
      </c>
      <c r="BK372" s="68" t="str">
        <f>IF(main!BW375="","",ROUND(main!BW375*100,6))</f>
        <v/>
      </c>
      <c r="BL372" s="68" t="str">
        <f>IF(main!BX375="","",ROUND(main!BX375*100,6))</f>
        <v/>
      </c>
      <c r="BM372" s="68" t="str">
        <f>IF(main!BY375="","",ROUND(main!BY375*100,6))</f>
        <v/>
      </c>
      <c r="BN372" s="68" t="str">
        <f>IF(main!BZ375="","",ROUND(main!BZ375*100,6))</f>
        <v/>
      </c>
      <c r="BO372" s="68" t="str">
        <f>IF(main!CA375="","",ROUND(main!CA375*100,6))</f>
        <v/>
      </c>
      <c r="BP372" s="68">
        <f>IF(main!CB375="","",ROUND(main!CB375*100,6))</f>
        <v>7.1428570000000002</v>
      </c>
      <c r="BQ372" s="68">
        <f>IF(main!CC375="","",ROUND(main!CC375*100,6))</f>
        <v>12.5</v>
      </c>
      <c r="BR372" s="68">
        <f>IF(main!CD375="","",ROUND(main!CD375*100,6))</f>
        <v>12.5</v>
      </c>
      <c r="BS372" s="68">
        <f>IF(main!CE375="","",ROUND(main!CE375*100,6))</f>
        <v>12.5</v>
      </c>
      <c r="BT372" s="68">
        <f>IF(main!CF375="","",ROUND(main!CF375*100,6))</f>
        <v>19.642856999999999</v>
      </c>
      <c r="BU372" s="68">
        <f>IF(main!CG375="","",ROUND(main!CG375*100,6))</f>
        <v>25</v>
      </c>
      <c r="BV372" s="68">
        <f>IF(main!CH375="","",ROUND(main!CH375*100,6))</f>
        <v>10.714286</v>
      </c>
      <c r="BW372" s="68" t="str">
        <f>IF(main!CI375="","",ROUND(main!CI375*100,6))</f>
        <v/>
      </c>
      <c r="BX372" s="68" t="str">
        <f>IF(main!CJ375="","",ROUND(main!CJ375*100,6))</f>
        <v/>
      </c>
      <c r="BY372" s="68" t="str">
        <f>IF(main!CK375="","",ROUND(main!CK375*100,6))</f>
        <v/>
      </c>
      <c r="BZ372" s="68" t="str">
        <f>IF(main!CL375="","",ROUND(main!CL375*100,6))</f>
        <v/>
      </c>
      <c r="CA372" s="68" t="str">
        <f>IF(main!CM375="","",ROUND(main!CM375*100,6))</f>
        <v/>
      </c>
      <c r="CB372" s="68" t="str">
        <f>IF(main!CN375="","",ROUND(main!CN375*100,6))</f>
        <v/>
      </c>
      <c r="CC372" s="68" t="str">
        <f>IF(main!CO375="","",ROUND(main!CO375*100,6))</f>
        <v/>
      </c>
    </row>
    <row r="373" spans="1:81" x14ac:dyDescent="0.25">
      <c r="A373" s="65" t="s">
        <v>532</v>
      </c>
      <c r="B373" s="66" t="str">
        <f>main!C375</f>
        <v>ST2, ST3, ST4</v>
      </c>
      <c r="C373" s="67">
        <f>main!O375</f>
        <v>200000</v>
      </c>
      <c r="D373" s="65" t="s">
        <v>111</v>
      </c>
      <c r="E373" s="68" t="str">
        <f t="shared" si="5"/>
        <v/>
      </c>
      <c r="F373" s="68" t="str">
        <f>IF(main!R376="","",ROUND(main!R376*100,6))</f>
        <v/>
      </c>
      <c r="G373" s="68" t="str">
        <f>IF(main!S376="","",ROUND(main!S376*100,6))</f>
        <v/>
      </c>
      <c r="H373" s="68" t="str">
        <f>IF(main!T376="","",ROUND(main!T376*100,6))</f>
        <v/>
      </c>
      <c r="I373" s="68" t="str">
        <f>IF(main!U376="","",ROUND(main!U376*100,6))</f>
        <v/>
      </c>
      <c r="J373" s="68" t="str">
        <f>IF(main!V376="","",ROUND(main!V376*100,6))</f>
        <v/>
      </c>
      <c r="K373" s="68" t="str">
        <f>IF(main!W376="","",ROUND(main!W376*100,6))</f>
        <v/>
      </c>
      <c r="L373" s="68" t="str">
        <f>IF(main!X376="","",ROUND(main!X376*100,6))</f>
        <v/>
      </c>
      <c r="M373" s="68" t="str">
        <f>IF(main!Y376="","",ROUND(main!Y376*100,6))</f>
        <v/>
      </c>
      <c r="N373" s="68" t="str">
        <f>IF(main!Z376="","",ROUND(main!Z376*100,6))</f>
        <v/>
      </c>
      <c r="O373" s="68" t="str">
        <f>IF(main!AA376="","",ROUND(main!AA376*100,6))</f>
        <v/>
      </c>
      <c r="P373" s="68" t="str">
        <f>IF(main!AB376="","",ROUND(main!AB376*100,6))</f>
        <v/>
      </c>
      <c r="Q373" s="68" t="str">
        <f>IF(main!AC376="","",ROUND(main!AC376*100,6))</f>
        <v/>
      </c>
      <c r="R373" s="68" t="str">
        <f>IF(main!AD376="","",ROUND(main!AD376*100,6))</f>
        <v/>
      </c>
      <c r="S373" s="68" t="str">
        <f>IF(main!AE376="","",ROUND(main!AE376*100,6))</f>
        <v/>
      </c>
      <c r="T373" s="68" t="str">
        <f>IF(main!AF376="","",ROUND(main!AF376*100,6))</f>
        <v/>
      </c>
      <c r="U373" s="68" t="str">
        <f>IF(main!AG376="","",ROUND(main!AG376*100,6))</f>
        <v/>
      </c>
      <c r="V373" s="68" t="str">
        <f>IF(main!AH376="","",ROUND(main!AH376*100,6))</f>
        <v/>
      </c>
      <c r="W373" s="68" t="str">
        <f>IF(main!AI376="","",ROUND(main!AI376*100,6))</f>
        <v/>
      </c>
      <c r="X373" s="68" t="str">
        <f>IF(main!AJ376="","",ROUND(main!AJ376*100,6))</f>
        <v/>
      </c>
      <c r="Y373" s="68" t="str">
        <f>IF(main!AK376="","",ROUND(main!AK376*100,6))</f>
        <v/>
      </c>
      <c r="Z373" s="68" t="str">
        <f>IF(main!AL376="","",ROUND(main!AL376*100,6))</f>
        <v/>
      </c>
      <c r="AA373" s="68" t="str">
        <f>IF(main!AM376="","",ROUND(main!AM376*100,6))</f>
        <v/>
      </c>
      <c r="AB373" s="68" t="str">
        <f>IF(main!AN376="","",ROUND(main!AN376*100,6))</f>
        <v/>
      </c>
      <c r="AC373" s="68" t="str">
        <f>IF(main!AO376="","",ROUND(main!AO376*100,6))</f>
        <v/>
      </c>
      <c r="AD373" s="68" t="str">
        <f>IF(main!AP376="","",ROUND(main!AP376*100,6))</f>
        <v/>
      </c>
      <c r="AE373" s="68" t="str">
        <f>IF(main!AQ376="","",ROUND(main!AQ376*100,6))</f>
        <v/>
      </c>
      <c r="AF373" s="68" t="str">
        <f>IF(main!AR376="","",ROUND(main!AR376*100,6))</f>
        <v/>
      </c>
      <c r="AG373" s="68" t="str">
        <f>IF(main!AS376="","",ROUND(main!AS376*100,6))</f>
        <v/>
      </c>
      <c r="AH373" s="68" t="str">
        <f>IF(main!AT376="","",ROUND(main!AT376*100,6))</f>
        <v/>
      </c>
      <c r="AI373" s="68" t="str">
        <f>IF(main!AU376="","",ROUND(main!AU376*100,6))</f>
        <v/>
      </c>
      <c r="AJ373" s="68" t="str">
        <f>IF(main!AV376="","",ROUND(main!AV376*100,6))</f>
        <v/>
      </c>
      <c r="AK373" s="68" t="str">
        <f>IF(main!AW376="","",ROUND(main!AW376*100,6))</f>
        <v/>
      </c>
      <c r="AL373" s="68" t="str">
        <f>IF(main!AX376="","",ROUND(main!AX376*100,6))</f>
        <v/>
      </c>
      <c r="AM373" s="68" t="str">
        <f>IF(main!AY376="","",ROUND(main!AY376*100,6))</f>
        <v/>
      </c>
      <c r="AN373" s="68" t="str">
        <f>IF(main!AZ376="","",ROUND(main!AZ376*100,6))</f>
        <v/>
      </c>
      <c r="AO373" s="68" t="str">
        <f>IF(main!BA376="","",ROUND(main!BA376*100,6))</f>
        <v/>
      </c>
      <c r="AP373" s="68" t="str">
        <f>IF(main!BB376="","",ROUND(main!BB376*100,6))</f>
        <v/>
      </c>
      <c r="AQ373" s="68" t="str">
        <f>IF(main!BC376="","",ROUND(main!BC376*100,6))</f>
        <v/>
      </c>
      <c r="AR373" s="68" t="str">
        <f>IF(main!BD376="","",ROUND(main!BD376*100,6))</f>
        <v/>
      </c>
      <c r="AS373" s="68" t="str">
        <f>IF(main!BE376="","",ROUND(main!BE376*100,6))</f>
        <v/>
      </c>
      <c r="AT373" s="68" t="str">
        <f>IF(main!BF376="","",ROUND(main!BF376*100,6))</f>
        <v/>
      </c>
      <c r="AU373" s="68" t="str">
        <f>IF(main!BG376="","",ROUND(main!BG376*100,6))</f>
        <v/>
      </c>
      <c r="AV373" s="68" t="str">
        <f>IF(main!BH376="","",ROUND(main!BH376*100,6))</f>
        <v/>
      </c>
      <c r="AW373" s="68" t="str">
        <f>IF(main!BI376="","",ROUND(main!BI376*100,6))</f>
        <v/>
      </c>
      <c r="AX373" s="68" t="str">
        <f>IF(main!BJ376="","",ROUND(main!BJ376*100,6))</f>
        <v/>
      </c>
      <c r="AY373" s="68" t="str">
        <f>IF(main!BK376="","",ROUND(main!BK376*100,6))</f>
        <v/>
      </c>
      <c r="AZ373" s="68" t="str">
        <f>IF(main!BL376="","",ROUND(main!BL376*100,6))</f>
        <v/>
      </c>
      <c r="BA373" s="68" t="str">
        <f>IF(main!BM376="","",ROUND(main!BM376*100,6))</f>
        <v/>
      </c>
      <c r="BB373" s="68" t="str">
        <f>IF(main!BN376="","",ROUND(main!BN376*100,6))</f>
        <v/>
      </c>
      <c r="BC373" s="68" t="str">
        <f>IF(main!BO376="","",ROUND(main!BO376*100,6))</f>
        <v/>
      </c>
      <c r="BD373" s="68" t="str">
        <f>IF(main!BP376="","",ROUND(main!BP376*100,6))</f>
        <v/>
      </c>
      <c r="BE373" s="68" t="str">
        <f>IF(main!BQ376="","",ROUND(main!BQ376*100,6))</f>
        <v/>
      </c>
      <c r="BF373" s="68" t="str">
        <f>IF(main!BR376="","",ROUND(main!BR376*100,6))</f>
        <v/>
      </c>
      <c r="BG373" s="68" t="str">
        <f>IF(main!BS376="","",ROUND(main!BS376*100,6))</f>
        <v/>
      </c>
      <c r="BH373" s="68" t="str">
        <f>IF(main!BT376="","",ROUND(main!BT376*100,6))</f>
        <v/>
      </c>
      <c r="BI373" s="68" t="str">
        <f>IF(main!BU376="","",ROUND(main!BU376*100,6))</f>
        <v/>
      </c>
      <c r="BJ373" s="68" t="str">
        <f>IF(main!BV376="","",ROUND(main!BV376*100,6))</f>
        <v/>
      </c>
      <c r="BK373" s="68" t="str">
        <f>IF(main!BW376="","",ROUND(main!BW376*100,6))</f>
        <v/>
      </c>
      <c r="BL373" s="68" t="str">
        <f>IF(main!BX376="","",ROUND(main!BX376*100,6))</f>
        <v/>
      </c>
      <c r="BM373" s="68" t="str">
        <f>IF(main!BY376="","",ROUND(main!BY376*100,6))</f>
        <v/>
      </c>
      <c r="BN373" s="68" t="str">
        <f>IF(main!BZ376="","",ROUND(main!BZ376*100,6))</f>
        <v/>
      </c>
      <c r="BO373" s="68" t="str">
        <f>IF(main!CA376="","",ROUND(main!CA376*100,6))</f>
        <v/>
      </c>
      <c r="BP373" s="68" t="str">
        <f>IF(main!CB376="","",ROUND(main!CB376*100,6))</f>
        <v/>
      </c>
      <c r="BQ373" s="68" t="str">
        <f>IF(main!CC376="","",ROUND(main!CC376*100,6))</f>
        <v/>
      </c>
      <c r="BR373" s="68" t="str">
        <f>IF(main!CD376="","",ROUND(main!CD376*100,6))</f>
        <v/>
      </c>
      <c r="BS373" s="68" t="str">
        <f>IF(main!CE376="","",ROUND(main!CE376*100,6))</f>
        <v/>
      </c>
      <c r="BT373" s="68" t="str">
        <f>IF(main!CF376="","",ROUND(main!CF376*100,6))</f>
        <v/>
      </c>
      <c r="BU373" s="68" t="str">
        <f>IF(main!CG376="","",ROUND(main!CG376*100,6))</f>
        <v/>
      </c>
      <c r="BV373" s="68" t="str">
        <f>IF(main!CH376="","",ROUND(main!CH376*100,6))</f>
        <v/>
      </c>
      <c r="BW373" s="68" t="str">
        <f>IF(main!CI376="","",ROUND(main!CI376*100,6))</f>
        <v/>
      </c>
      <c r="BX373" s="68" t="str">
        <f>IF(main!CJ376="","",ROUND(main!CJ376*100,6))</f>
        <v/>
      </c>
      <c r="BY373" s="68" t="str">
        <f>IF(main!CK376="","",ROUND(main!CK376*100,6))</f>
        <v/>
      </c>
      <c r="BZ373" s="68" t="str">
        <f>IF(main!CL376="","",ROUND(main!CL376*100,6))</f>
        <v/>
      </c>
      <c r="CA373" s="68" t="str">
        <f>IF(main!CM376="","",ROUND(main!CM376*100,6))</f>
        <v/>
      </c>
      <c r="CB373" s="68" t="str">
        <f>IF(main!CN376="","",ROUND(main!CN376*100,6))</f>
        <v/>
      </c>
      <c r="CC373" s="68" t="str">
        <f>IF(main!CO376="","",ROUND(main!CO376*100,6))</f>
        <v/>
      </c>
    </row>
    <row r="374" spans="1:81" x14ac:dyDescent="0.25">
      <c r="A374" s="65" t="s">
        <v>534</v>
      </c>
      <c r="B374" s="66" t="str">
        <f>main!C377</f>
        <v>งานแต่งผิวผนัง ท้องบันไดเดิม</v>
      </c>
      <c r="C374" s="67">
        <f>main!O377</f>
        <v>100000</v>
      </c>
      <c r="D374" s="65" t="s">
        <v>110</v>
      </c>
      <c r="E374" s="68">
        <f t="shared" si="5"/>
        <v>100</v>
      </c>
      <c r="F374" s="68" t="str">
        <f>IF(main!R377="","",ROUND(main!R377*100,6))</f>
        <v/>
      </c>
      <c r="G374" s="68" t="str">
        <f>IF(main!S377="","",ROUND(main!S377*100,6))</f>
        <v/>
      </c>
      <c r="H374" s="68" t="str">
        <f>IF(main!T377="","",ROUND(main!T377*100,6))</f>
        <v/>
      </c>
      <c r="I374" s="68" t="str">
        <f>IF(main!U377="","",ROUND(main!U377*100,6))</f>
        <v/>
      </c>
      <c r="J374" s="68" t="str">
        <f>IF(main!V377="","",ROUND(main!V377*100,6))</f>
        <v/>
      </c>
      <c r="K374" s="68" t="str">
        <f>IF(main!W377="","",ROUND(main!W377*100,6))</f>
        <v/>
      </c>
      <c r="L374" s="68" t="str">
        <f>IF(main!X377="","",ROUND(main!X377*100,6))</f>
        <v/>
      </c>
      <c r="M374" s="68" t="str">
        <f>IF(main!Y377="","",ROUND(main!Y377*100,6))</f>
        <v/>
      </c>
      <c r="N374" s="68" t="str">
        <f>IF(main!Z377="","",ROUND(main!Z377*100,6))</f>
        <v/>
      </c>
      <c r="O374" s="68" t="str">
        <f>IF(main!AA377="","",ROUND(main!AA377*100,6))</f>
        <v/>
      </c>
      <c r="P374" s="68" t="str">
        <f>IF(main!AB377="","",ROUND(main!AB377*100,6))</f>
        <v/>
      </c>
      <c r="Q374" s="68" t="str">
        <f>IF(main!AC377="","",ROUND(main!AC377*100,6))</f>
        <v/>
      </c>
      <c r="R374" s="68" t="str">
        <f>IF(main!AD377="","",ROUND(main!AD377*100,6))</f>
        <v/>
      </c>
      <c r="S374" s="68" t="str">
        <f>IF(main!AE377="","",ROUND(main!AE377*100,6))</f>
        <v/>
      </c>
      <c r="T374" s="68" t="str">
        <f>IF(main!AF377="","",ROUND(main!AF377*100,6))</f>
        <v/>
      </c>
      <c r="U374" s="68" t="str">
        <f>IF(main!AG377="","",ROUND(main!AG377*100,6))</f>
        <v/>
      </c>
      <c r="V374" s="68" t="str">
        <f>IF(main!AH377="","",ROUND(main!AH377*100,6))</f>
        <v/>
      </c>
      <c r="W374" s="68" t="str">
        <f>IF(main!AI377="","",ROUND(main!AI377*100,6))</f>
        <v/>
      </c>
      <c r="X374" s="68" t="str">
        <f>IF(main!AJ377="","",ROUND(main!AJ377*100,6))</f>
        <v/>
      </c>
      <c r="Y374" s="68" t="str">
        <f>IF(main!AK377="","",ROUND(main!AK377*100,6))</f>
        <v/>
      </c>
      <c r="Z374" s="68" t="str">
        <f>IF(main!AL377="","",ROUND(main!AL377*100,6))</f>
        <v/>
      </c>
      <c r="AA374" s="68" t="str">
        <f>IF(main!AM377="","",ROUND(main!AM377*100,6))</f>
        <v/>
      </c>
      <c r="AB374" s="68" t="str">
        <f>IF(main!AN377="","",ROUND(main!AN377*100,6))</f>
        <v/>
      </c>
      <c r="AC374" s="68" t="str">
        <f>IF(main!AO377="","",ROUND(main!AO377*100,6))</f>
        <v/>
      </c>
      <c r="AD374" s="68" t="str">
        <f>IF(main!AP377="","",ROUND(main!AP377*100,6))</f>
        <v/>
      </c>
      <c r="AE374" s="68" t="str">
        <f>IF(main!AQ377="","",ROUND(main!AQ377*100,6))</f>
        <v/>
      </c>
      <c r="AF374" s="68" t="str">
        <f>IF(main!AR377="","",ROUND(main!AR377*100,6))</f>
        <v/>
      </c>
      <c r="AG374" s="68" t="str">
        <f>IF(main!AS377="","",ROUND(main!AS377*100,6))</f>
        <v/>
      </c>
      <c r="AH374" s="68" t="str">
        <f>IF(main!AT377="","",ROUND(main!AT377*100,6))</f>
        <v/>
      </c>
      <c r="AI374" s="68" t="str">
        <f>IF(main!AU377="","",ROUND(main!AU377*100,6))</f>
        <v/>
      </c>
      <c r="AJ374" s="68" t="str">
        <f>IF(main!AV377="","",ROUND(main!AV377*100,6))</f>
        <v/>
      </c>
      <c r="AK374" s="68" t="str">
        <f>IF(main!AW377="","",ROUND(main!AW377*100,6))</f>
        <v/>
      </c>
      <c r="AL374" s="68" t="str">
        <f>IF(main!AX377="","",ROUND(main!AX377*100,6))</f>
        <v/>
      </c>
      <c r="AM374" s="68" t="str">
        <f>IF(main!AY377="","",ROUND(main!AY377*100,6))</f>
        <v/>
      </c>
      <c r="AN374" s="68" t="str">
        <f>IF(main!AZ377="","",ROUND(main!AZ377*100,6))</f>
        <v/>
      </c>
      <c r="AO374" s="68" t="str">
        <f>IF(main!BA377="","",ROUND(main!BA377*100,6))</f>
        <v/>
      </c>
      <c r="AP374" s="68" t="str">
        <f>IF(main!BB377="","",ROUND(main!BB377*100,6))</f>
        <v/>
      </c>
      <c r="AQ374" s="68" t="str">
        <f>IF(main!BC377="","",ROUND(main!BC377*100,6))</f>
        <v/>
      </c>
      <c r="AR374" s="68" t="str">
        <f>IF(main!BD377="","",ROUND(main!BD377*100,6))</f>
        <v/>
      </c>
      <c r="AS374" s="68" t="str">
        <f>IF(main!BE377="","",ROUND(main!BE377*100,6))</f>
        <v/>
      </c>
      <c r="AT374" s="68" t="str">
        <f>IF(main!BF377="","",ROUND(main!BF377*100,6))</f>
        <v/>
      </c>
      <c r="AU374" s="68" t="str">
        <f>IF(main!BG377="","",ROUND(main!BG377*100,6))</f>
        <v/>
      </c>
      <c r="AV374" s="68" t="str">
        <f>IF(main!BH377="","",ROUND(main!BH377*100,6))</f>
        <v/>
      </c>
      <c r="AW374" s="68" t="str">
        <f>IF(main!BI377="","",ROUND(main!BI377*100,6))</f>
        <v/>
      </c>
      <c r="AX374" s="68" t="str">
        <f>IF(main!BJ377="","",ROUND(main!BJ377*100,6))</f>
        <v/>
      </c>
      <c r="AY374" s="68" t="str">
        <f>IF(main!BK377="","",ROUND(main!BK377*100,6))</f>
        <v/>
      </c>
      <c r="AZ374" s="68" t="str">
        <f>IF(main!BL377="","",ROUND(main!BL377*100,6))</f>
        <v/>
      </c>
      <c r="BA374" s="68" t="str">
        <f>IF(main!BM377="","",ROUND(main!BM377*100,6))</f>
        <v/>
      </c>
      <c r="BB374" s="68" t="str">
        <f>IF(main!BN377="","",ROUND(main!BN377*100,6))</f>
        <v/>
      </c>
      <c r="BC374" s="68" t="str">
        <f>IF(main!BO377="","",ROUND(main!BO377*100,6))</f>
        <v/>
      </c>
      <c r="BD374" s="68" t="str">
        <f>IF(main!BP377="","",ROUND(main!BP377*100,6))</f>
        <v/>
      </c>
      <c r="BE374" s="68" t="str">
        <f>IF(main!BQ377="","",ROUND(main!BQ377*100,6))</f>
        <v/>
      </c>
      <c r="BF374" s="68" t="str">
        <f>IF(main!BR377="","",ROUND(main!BR377*100,6))</f>
        <v/>
      </c>
      <c r="BG374" s="68" t="str">
        <f>IF(main!BS377="","",ROUND(main!BS377*100,6))</f>
        <v/>
      </c>
      <c r="BH374" s="68" t="str">
        <f>IF(main!BT377="","",ROUND(main!BT377*100,6))</f>
        <v/>
      </c>
      <c r="BI374" s="68" t="str">
        <f>IF(main!BU377="","",ROUND(main!BU377*100,6))</f>
        <v/>
      </c>
      <c r="BJ374" s="68" t="str">
        <f>IF(main!BV377="","",ROUND(main!BV377*100,6))</f>
        <v/>
      </c>
      <c r="BK374" s="68" t="str">
        <f>IF(main!BW377="","",ROUND(main!BW377*100,6))</f>
        <v/>
      </c>
      <c r="BL374" s="68" t="str">
        <f>IF(main!BX377="","",ROUND(main!BX377*100,6))</f>
        <v/>
      </c>
      <c r="BM374" s="68" t="str">
        <f>IF(main!BY377="","",ROUND(main!BY377*100,6))</f>
        <v/>
      </c>
      <c r="BN374" s="68" t="str">
        <f>IF(main!BZ377="","",ROUND(main!BZ377*100,6))</f>
        <v/>
      </c>
      <c r="BO374" s="68" t="str">
        <f>IF(main!CA377="","",ROUND(main!CA377*100,6))</f>
        <v/>
      </c>
      <c r="BP374" s="68">
        <f>IF(main!CB377="","",ROUND(main!CB377*100,6))</f>
        <v>14.285714</v>
      </c>
      <c r="BQ374" s="68">
        <f>IF(main!CC377="","",ROUND(main!CC377*100,6))</f>
        <v>25</v>
      </c>
      <c r="BR374" s="68">
        <f>IF(main!CD377="","",ROUND(main!CD377*100,6))</f>
        <v>25</v>
      </c>
      <c r="BS374" s="68">
        <f>IF(main!CE377="","",ROUND(main!CE377*100,6))</f>
        <v>25</v>
      </c>
      <c r="BT374" s="68">
        <f>IF(main!CF377="","",ROUND(main!CF377*100,6))</f>
        <v>10.714286</v>
      </c>
      <c r="BU374" s="68" t="str">
        <f>IF(main!CG377="","",ROUND(main!CG377*100,6))</f>
        <v/>
      </c>
      <c r="BV374" s="68" t="str">
        <f>IF(main!CH377="","",ROUND(main!CH377*100,6))</f>
        <v/>
      </c>
      <c r="BW374" s="68" t="str">
        <f>IF(main!CI377="","",ROUND(main!CI377*100,6))</f>
        <v/>
      </c>
      <c r="BX374" s="68" t="str">
        <f>IF(main!CJ377="","",ROUND(main!CJ377*100,6))</f>
        <v/>
      </c>
      <c r="BY374" s="68" t="str">
        <f>IF(main!CK377="","",ROUND(main!CK377*100,6))</f>
        <v/>
      </c>
      <c r="BZ374" s="68" t="str">
        <f>IF(main!CL377="","",ROUND(main!CL377*100,6))</f>
        <v/>
      </c>
      <c r="CA374" s="68" t="str">
        <f>IF(main!CM377="","",ROUND(main!CM377*100,6))</f>
        <v/>
      </c>
      <c r="CB374" s="68" t="str">
        <f>IF(main!CN377="","",ROUND(main!CN377*100,6))</f>
        <v/>
      </c>
      <c r="CC374" s="68" t="str">
        <f>IF(main!CO377="","",ROUND(main!CO377*100,6))</f>
        <v/>
      </c>
    </row>
    <row r="375" spans="1:81" x14ac:dyDescent="0.25">
      <c r="A375" s="65" t="s">
        <v>534</v>
      </c>
      <c r="B375" s="66" t="str">
        <f>main!C377</f>
        <v>งานแต่งผิวผนัง ท้องบันไดเดิม</v>
      </c>
      <c r="C375" s="67">
        <f>main!O377</f>
        <v>100000</v>
      </c>
      <c r="D375" s="65" t="s">
        <v>111</v>
      </c>
      <c r="E375" s="68" t="str">
        <f t="shared" si="5"/>
        <v/>
      </c>
      <c r="F375" s="68" t="str">
        <f>IF(main!R378="","",ROUND(main!R378*100,6))</f>
        <v/>
      </c>
      <c r="G375" s="68" t="str">
        <f>IF(main!S378="","",ROUND(main!S378*100,6))</f>
        <v/>
      </c>
      <c r="H375" s="68" t="str">
        <f>IF(main!T378="","",ROUND(main!T378*100,6))</f>
        <v/>
      </c>
      <c r="I375" s="68" t="str">
        <f>IF(main!U378="","",ROUND(main!U378*100,6))</f>
        <v/>
      </c>
      <c r="J375" s="68" t="str">
        <f>IF(main!V378="","",ROUND(main!V378*100,6))</f>
        <v/>
      </c>
      <c r="K375" s="68" t="str">
        <f>IF(main!W378="","",ROUND(main!W378*100,6))</f>
        <v/>
      </c>
      <c r="L375" s="68" t="str">
        <f>IF(main!X378="","",ROUND(main!X378*100,6))</f>
        <v/>
      </c>
      <c r="M375" s="68" t="str">
        <f>IF(main!Y378="","",ROUND(main!Y378*100,6))</f>
        <v/>
      </c>
      <c r="N375" s="68" t="str">
        <f>IF(main!Z378="","",ROUND(main!Z378*100,6))</f>
        <v/>
      </c>
      <c r="O375" s="68" t="str">
        <f>IF(main!AA378="","",ROUND(main!AA378*100,6))</f>
        <v/>
      </c>
      <c r="P375" s="68" t="str">
        <f>IF(main!AB378="","",ROUND(main!AB378*100,6))</f>
        <v/>
      </c>
      <c r="Q375" s="68" t="str">
        <f>IF(main!AC378="","",ROUND(main!AC378*100,6))</f>
        <v/>
      </c>
      <c r="R375" s="68" t="str">
        <f>IF(main!AD378="","",ROUND(main!AD378*100,6))</f>
        <v/>
      </c>
      <c r="S375" s="68" t="str">
        <f>IF(main!AE378="","",ROUND(main!AE378*100,6))</f>
        <v/>
      </c>
      <c r="T375" s="68" t="str">
        <f>IF(main!AF378="","",ROUND(main!AF378*100,6))</f>
        <v/>
      </c>
      <c r="U375" s="68" t="str">
        <f>IF(main!AG378="","",ROUND(main!AG378*100,6))</f>
        <v/>
      </c>
      <c r="V375" s="68" t="str">
        <f>IF(main!AH378="","",ROUND(main!AH378*100,6))</f>
        <v/>
      </c>
      <c r="W375" s="68" t="str">
        <f>IF(main!AI378="","",ROUND(main!AI378*100,6))</f>
        <v/>
      </c>
      <c r="X375" s="68" t="str">
        <f>IF(main!AJ378="","",ROUND(main!AJ378*100,6))</f>
        <v/>
      </c>
      <c r="Y375" s="68" t="str">
        <f>IF(main!AK378="","",ROUND(main!AK378*100,6))</f>
        <v/>
      </c>
      <c r="Z375" s="68" t="str">
        <f>IF(main!AL378="","",ROUND(main!AL378*100,6))</f>
        <v/>
      </c>
      <c r="AA375" s="68" t="str">
        <f>IF(main!AM378="","",ROUND(main!AM378*100,6))</f>
        <v/>
      </c>
      <c r="AB375" s="68" t="str">
        <f>IF(main!AN378="","",ROUND(main!AN378*100,6))</f>
        <v/>
      </c>
      <c r="AC375" s="68" t="str">
        <f>IF(main!AO378="","",ROUND(main!AO378*100,6))</f>
        <v/>
      </c>
      <c r="AD375" s="68" t="str">
        <f>IF(main!AP378="","",ROUND(main!AP378*100,6))</f>
        <v/>
      </c>
      <c r="AE375" s="68" t="str">
        <f>IF(main!AQ378="","",ROUND(main!AQ378*100,6))</f>
        <v/>
      </c>
      <c r="AF375" s="68" t="str">
        <f>IF(main!AR378="","",ROUND(main!AR378*100,6))</f>
        <v/>
      </c>
      <c r="AG375" s="68" t="str">
        <f>IF(main!AS378="","",ROUND(main!AS378*100,6))</f>
        <v/>
      </c>
      <c r="AH375" s="68" t="str">
        <f>IF(main!AT378="","",ROUND(main!AT378*100,6))</f>
        <v/>
      </c>
      <c r="AI375" s="68" t="str">
        <f>IF(main!AU378="","",ROUND(main!AU378*100,6))</f>
        <v/>
      </c>
      <c r="AJ375" s="68" t="str">
        <f>IF(main!AV378="","",ROUND(main!AV378*100,6))</f>
        <v/>
      </c>
      <c r="AK375" s="68" t="str">
        <f>IF(main!AW378="","",ROUND(main!AW378*100,6))</f>
        <v/>
      </c>
      <c r="AL375" s="68" t="str">
        <f>IF(main!AX378="","",ROUND(main!AX378*100,6))</f>
        <v/>
      </c>
      <c r="AM375" s="68" t="str">
        <f>IF(main!AY378="","",ROUND(main!AY378*100,6))</f>
        <v/>
      </c>
      <c r="AN375" s="68" t="str">
        <f>IF(main!AZ378="","",ROUND(main!AZ378*100,6))</f>
        <v/>
      </c>
      <c r="AO375" s="68" t="str">
        <f>IF(main!BA378="","",ROUND(main!BA378*100,6))</f>
        <v/>
      </c>
      <c r="AP375" s="68" t="str">
        <f>IF(main!BB378="","",ROUND(main!BB378*100,6))</f>
        <v/>
      </c>
      <c r="AQ375" s="68" t="str">
        <f>IF(main!BC378="","",ROUND(main!BC378*100,6))</f>
        <v/>
      </c>
      <c r="AR375" s="68" t="str">
        <f>IF(main!BD378="","",ROUND(main!BD378*100,6))</f>
        <v/>
      </c>
      <c r="AS375" s="68" t="str">
        <f>IF(main!BE378="","",ROUND(main!BE378*100,6))</f>
        <v/>
      </c>
      <c r="AT375" s="68" t="str">
        <f>IF(main!BF378="","",ROUND(main!BF378*100,6))</f>
        <v/>
      </c>
      <c r="AU375" s="68" t="str">
        <f>IF(main!BG378="","",ROUND(main!BG378*100,6))</f>
        <v/>
      </c>
      <c r="AV375" s="68" t="str">
        <f>IF(main!BH378="","",ROUND(main!BH378*100,6))</f>
        <v/>
      </c>
      <c r="AW375" s="68" t="str">
        <f>IF(main!BI378="","",ROUND(main!BI378*100,6))</f>
        <v/>
      </c>
      <c r="AX375" s="68" t="str">
        <f>IF(main!BJ378="","",ROUND(main!BJ378*100,6))</f>
        <v/>
      </c>
      <c r="AY375" s="68" t="str">
        <f>IF(main!BK378="","",ROUND(main!BK378*100,6))</f>
        <v/>
      </c>
      <c r="AZ375" s="68" t="str">
        <f>IF(main!BL378="","",ROUND(main!BL378*100,6))</f>
        <v/>
      </c>
      <c r="BA375" s="68" t="str">
        <f>IF(main!BM378="","",ROUND(main!BM378*100,6))</f>
        <v/>
      </c>
      <c r="BB375" s="68" t="str">
        <f>IF(main!BN378="","",ROUND(main!BN378*100,6))</f>
        <v/>
      </c>
      <c r="BC375" s="68" t="str">
        <f>IF(main!BO378="","",ROUND(main!BO378*100,6))</f>
        <v/>
      </c>
      <c r="BD375" s="68" t="str">
        <f>IF(main!BP378="","",ROUND(main!BP378*100,6))</f>
        <v/>
      </c>
      <c r="BE375" s="68" t="str">
        <f>IF(main!BQ378="","",ROUND(main!BQ378*100,6))</f>
        <v/>
      </c>
      <c r="BF375" s="68" t="str">
        <f>IF(main!BR378="","",ROUND(main!BR378*100,6))</f>
        <v/>
      </c>
      <c r="BG375" s="68" t="str">
        <f>IF(main!BS378="","",ROUND(main!BS378*100,6))</f>
        <v/>
      </c>
      <c r="BH375" s="68" t="str">
        <f>IF(main!BT378="","",ROUND(main!BT378*100,6))</f>
        <v/>
      </c>
      <c r="BI375" s="68" t="str">
        <f>IF(main!BU378="","",ROUND(main!BU378*100,6))</f>
        <v/>
      </c>
      <c r="BJ375" s="68" t="str">
        <f>IF(main!BV378="","",ROUND(main!BV378*100,6))</f>
        <v/>
      </c>
      <c r="BK375" s="68" t="str">
        <f>IF(main!BW378="","",ROUND(main!BW378*100,6))</f>
        <v/>
      </c>
      <c r="BL375" s="68" t="str">
        <f>IF(main!BX378="","",ROUND(main!BX378*100,6))</f>
        <v/>
      </c>
      <c r="BM375" s="68" t="str">
        <f>IF(main!BY378="","",ROUND(main!BY378*100,6))</f>
        <v/>
      </c>
      <c r="BN375" s="68" t="str">
        <f>IF(main!BZ378="","",ROUND(main!BZ378*100,6))</f>
        <v/>
      </c>
      <c r="BO375" s="68" t="str">
        <f>IF(main!CA378="","",ROUND(main!CA378*100,6))</f>
        <v/>
      </c>
      <c r="BP375" s="68" t="str">
        <f>IF(main!CB378="","",ROUND(main!CB378*100,6))</f>
        <v/>
      </c>
      <c r="BQ375" s="68" t="str">
        <f>IF(main!CC378="","",ROUND(main!CC378*100,6))</f>
        <v/>
      </c>
      <c r="BR375" s="68" t="str">
        <f>IF(main!CD378="","",ROUND(main!CD378*100,6))</f>
        <v/>
      </c>
      <c r="BS375" s="68" t="str">
        <f>IF(main!CE378="","",ROUND(main!CE378*100,6))</f>
        <v/>
      </c>
      <c r="BT375" s="68" t="str">
        <f>IF(main!CF378="","",ROUND(main!CF378*100,6))</f>
        <v/>
      </c>
      <c r="BU375" s="68" t="str">
        <f>IF(main!CG378="","",ROUND(main!CG378*100,6))</f>
        <v/>
      </c>
      <c r="BV375" s="68" t="str">
        <f>IF(main!CH378="","",ROUND(main!CH378*100,6))</f>
        <v/>
      </c>
      <c r="BW375" s="68" t="str">
        <f>IF(main!CI378="","",ROUND(main!CI378*100,6))</f>
        <v/>
      </c>
      <c r="BX375" s="68" t="str">
        <f>IF(main!CJ378="","",ROUND(main!CJ378*100,6))</f>
        <v/>
      </c>
      <c r="BY375" s="68" t="str">
        <f>IF(main!CK378="","",ROUND(main!CK378*100,6))</f>
        <v/>
      </c>
      <c r="BZ375" s="68" t="str">
        <f>IF(main!CL378="","",ROUND(main!CL378*100,6))</f>
        <v/>
      </c>
      <c r="CA375" s="68" t="str">
        <f>IF(main!CM378="","",ROUND(main!CM378*100,6))</f>
        <v/>
      </c>
      <c r="CB375" s="68" t="str">
        <f>IF(main!CN378="","",ROUND(main!CN378*100,6))</f>
        <v/>
      </c>
      <c r="CC375" s="68" t="str">
        <f>IF(main!CO378="","",ROUND(main!CO378*100,6))</f>
        <v/>
      </c>
    </row>
    <row r="376" spans="1:81" x14ac:dyDescent="0.25">
      <c r="A376" s="65" t="s">
        <v>536</v>
      </c>
      <c r="B376" s="66" t="str">
        <f>main!C379</f>
        <v>งานสีผนัง ท้องบันได</v>
      </c>
      <c r="C376" s="67">
        <f>main!O379</f>
        <v>100000</v>
      </c>
      <c r="D376" s="65" t="s">
        <v>110</v>
      </c>
      <c r="E376" s="68">
        <f t="shared" si="5"/>
        <v>100</v>
      </c>
      <c r="F376" s="68" t="str">
        <f>IF(main!R379="","",ROUND(main!R379*100,6))</f>
        <v/>
      </c>
      <c r="G376" s="68" t="str">
        <f>IF(main!S379="","",ROUND(main!S379*100,6))</f>
        <v/>
      </c>
      <c r="H376" s="68" t="str">
        <f>IF(main!T379="","",ROUND(main!T379*100,6))</f>
        <v/>
      </c>
      <c r="I376" s="68" t="str">
        <f>IF(main!U379="","",ROUND(main!U379*100,6))</f>
        <v/>
      </c>
      <c r="J376" s="68" t="str">
        <f>IF(main!V379="","",ROUND(main!V379*100,6))</f>
        <v/>
      </c>
      <c r="K376" s="68" t="str">
        <f>IF(main!W379="","",ROUND(main!W379*100,6))</f>
        <v/>
      </c>
      <c r="L376" s="68" t="str">
        <f>IF(main!X379="","",ROUND(main!X379*100,6))</f>
        <v/>
      </c>
      <c r="M376" s="68" t="str">
        <f>IF(main!Y379="","",ROUND(main!Y379*100,6))</f>
        <v/>
      </c>
      <c r="N376" s="68" t="str">
        <f>IF(main!Z379="","",ROUND(main!Z379*100,6))</f>
        <v/>
      </c>
      <c r="O376" s="68" t="str">
        <f>IF(main!AA379="","",ROUND(main!AA379*100,6))</f>
        <v/>
      </c>
      <c r="P376" s="68" t="str">
        <f>IF(main!AB379="","",ROUND(main!AB379*100,6))</f>
        <v/>
      </c>
      <c r="Q376" s="68" t="str">
        <f>IF(main!AC379="","",ROUND(main!AC379*100,6))</f>
        <v/>
      </c>
      <c r="R376" s="68" t="str">
        <f>IF(main!AD379="","",ROUND(main!AD379*100,6))</f>
        <v/>
      </c>
      <c r="S376" s="68" t="str">
        <f>IF(main!AE379="","",ROUND(main!AE379*100,6))</f>
        <v/>
      </c>
      <c r="T376" s="68" t="str">
        <f>IF(main!AF379="","",ROUND(main!AF379*100,6))</f>
        <v/>
      </c>
      <c r="U376" s="68" t="str">
        <f>IF(main!AG379="","",ROUND(main!AG379*100,6))</f>
        <v/>
      </c>
      <c r="V376" s="68" t="str">
        <f>IF(main!AH379="","",ROUND(main!AH379*100,6))</f>
        <v/>
      </c>
      <c r="W376" s="68" t="str">
        <f>IF(main!AI379="","",ROUND(main!AI379*100,6))</f>
        <v/>
      </c>
      <c r="X376" s="68" t="str">
        <f>IF(main!AJ379="","",ROUND(main!AJ379*100,6))</f>
        <v/>
      </c>
      <c r="Y376" s="68" t="str">
        <f>IF(main!AK379="","",ROUND(main!AK379*100,6))</f>
        <v/>
      </c>
      <c r="Z376" s="68" t="str">
        <f>IF(main!AL379="","",ROUND(main!AL379*100,6))</f>
        <v/>
      </c>
      <c r="AA376" s="68" t="str">
        <f>IF(main!AM379="","",ROUND(main!AM379*100,6))</f>
        <v/>
      </c>
      <c r="AB376" s="68" t="str">
        <f>IF(main!AN379="","",ROUND(main!AN379*100,6))</f>
        <v/>
      </c>
      <c r="AC376" s="68" t="str">
        <f>IF(main!AO379="","",ROUND(main!AO379*100,6))</f>
        <v/>
      </c>
      <c r="AD376" s="68" t="str">
        <f>IF(main!AP379="","",ROUND(main!AP379*100,6))</f>
        <v/>
      </c>
      <c r="AE376" s="68" t="str">
        <f>IF(main!AQ379="","",ROUND(main!AQ379*100,6))</f>
        <v/>
      </c>
      <c r="AF376" s="68" t="str">
        <f>IF(main!AR379="","",ROUND(main!AR379*100,6))</f>
        <v/>
      </c>
      <c r="AG376" s="68" t="str">
        <f>IF(main!AS379="","",ROUND(main!AS379*100,6))</f>
        <v/>
      </c>
      <c r="AH376" s="68" t="str">
        <f>IF(main!AT379="","",ROUND(main!AT379*100,6))</f>
        <v/>
      </c>
      <c r="AI376" s="68" t="str">
        <f>IF(main!AU379="","",ROUND(main!AU379*100,6))</f>
        <v/>
      </c>
      <c r="AJ376" s="68" t="str">
        <f>IF(main!AV379="","",ROUND(main!AV379*100,6))</f>
        <v/>
      </c>
      <c r="AK376" s="68" t="str">
        <f>IF(main!AW379="","",ROUND(main!AW379*100,6))</f>
        <v/>
      </c>
      <c r="AL376" s="68" t="str">
        <f>IF(main!AX379="","",ROUND(main!AX379*100,6))</f>
        <v/>
      </c>
      <c r="AM376" s="68" t="str">
        <f>IF(main!AY379="","",ROUND(main!AY379*100,6))</f>
        <v/>
      </c>
      <c r="AN376" s="68" t="str">
        <f>IF(main!AZ379="","",ROUND(main!AZ379*100,6))</f>
        <v/>
      </c>
      <c r="AO376" s="68" t="str">
        <f>IF(main!BA379="","",ROUND(main!BA379*100,6))</f>
        <v/>
      </c>
      <c r="AP376" s="68" t="str">
        <f>IF(main!BB379="","",ROUND(main!BB379*100,6))</f>
        <v/>
      </c>
      <c r="AQ376" s="68" t="str">
        <f>IF(main!BC379="","",ROUND(main!BC379*100,6))</f>
        <v/>
      </c>
      <c r="AR376" s="68" t="str">
        <f>IF(main!BD379="","",ROUND(main!BD379*100,6))</f>
        <v/>
      </c>
      <c r="AS376" s="68" t="str">
        <f>IF(main!BE379="","",ROUND(main!BE379*100,6))</f>
        <v/>
      </c>
      <c r="AT376" s="68" t="str">
        <f>IF(main!BF379="","",ROUND(main!BF379*100,6))</f>
        <v/>
      </c>
      <c r="AU376" s="68" t="str">
        <f>IF(main!BG379="","",ROUND(main!BG379*100,6))</f>
        <v/>
      </c>
      <c r="AV376" s="68" t="str">
        <f>IF(main!BH379="","",ROUND(main!BH379*100,6))</f>
        <v/>
      </c>
      <c r="AW376" s="68" t="str">
        <f>IF(main!BI379="","",ROUND(main!BI379*100,6))</f>
        <v/>
      </c>
      <c r="AX376" s="68" t="str">
        <f>IF(main!BJ379="","",ROUND(main!BJ379*100,6))</f>
        <v/>
      </c>
      <c r="AY376" s="68" t="str">
        <f>IF(main!BK379="","",ROUND(main!BK379*100,6))</f>
        <v/>
      </c>
      <c r="AZ376" s="68" t="str">
        <f>IF(main!BL379="","",ROUND(main!BL379*100,6))</f>
        <v/>
      </c>
      <c r="BA376" s="68" t="str">
        <f>IF(main!BM379="","",ROUND(main!BM379*100,6))</f>
        <v/>
      </c>
      <c r="BB376" s="68" t="str">
        <f>IF(main!BN379="","",ROUND(main!BN379*100,6))</f>
        <v/>
      </c>
      <c r="BC376" s="68" t="str">
        <f>IF(main!BO379="","",ROUND(main!BO379*100,6))</f>
        <v/>
      </c>
      <c r="BD376" s="68" t="str">
        <f>IF(main!BP379="","",ROUND(main!BP379*100,6))</f>
        <v/>
      </c>
      <c r="BE376" s="68" t="str">
        <f>IF(main!BQ379="","",ROUND(main!BQ379*100,6))</f>
        <v/>
      </c>
      <c r="BF376" s="68" t="str">
        <f>IF(main!BR379="","",ROUND(main!BR379*100,6))</f>
        <v/>
      </c>
      <c r="BG376" s="68" t="str">
        <f>IF(main!BS379="","",ROUND(main!BS379*100,6))</f>
        <v/>
      </c>
      <c r="BH376" s="68" t="str">
        <f>IF(main!BT379="","",ROUND(main!BT379*100,6))</f>
        <v/>
      </c>
      <c r="BI376" s="68" t="str">
        <f>IF(main!BU379="","",ROUND(main!BU379*100,6))</f>
        <v/>
      </c>
      <c r="BJ376" s="68" t="str">
        <f>IF(main!BV379="","",ROUND(main!BV379*100,6))</f>
        <v/>
      </c>
      <c r="BK376" s="68" t="str">
        <f>IF(main!BW379="","",ROUND(main!BW379*100,6))</f>
        <v/>
      </c>
      <c r="BL376" s="68" t="str">
        <f>IF(main!BX379="","",ROUND(main!BX379*100,6))</f>
        <v/>
      </c>
      <c r="BM376" s="68" t="str">
        <f>IF(main!BY379="","",ROUND(main!BY379*100,6))</f>
        <v/>
      </c>
      <c r="BN376" s="68" t="str">
        <f>IF(main!BZ379="","",ROUND(main!BZ379*100,6))</f>
        <v/>
      </c>
      <c r="BO376" s="68" t="str">
        <f>IF(main!CA379="","",ROUND(main!CA379*100,6))</f>
        <v/>
      </c>
      <c r="BP376" s="68" t="str">
        <f>IF(main!CB379="","",ROUND(main!CB379*100,6))</f>
        <v/>
      </c>
      <c r="BQ376" s="68" t="str">
        <f>IF(main!CC379="","",ROUND(main!CC379*100,6))</f>
        <v/>
      </c>
      <c r="BR376" s="68" t="str">
        <f>IF(main!CD379="","",ROUND(main!CD379*100,6))</f>
        <v/>
      </c>
      <c r="BS376" s="68" t="str">
        <f>IF(main!CE379="","",ROUND(main!CE379*100,6))</f>
        <v/>
      </c>
      <c r="BT376" s="68">
        <f>IF(main!CF379="","",ROUND(main!CF379*100,6))</f>
        <v>28.571428999999998</v>
      </c>
      <c r="BU376" s="68">
        <f>IF(main!CG379="","",ROUND(main!CG379*100,6))</f>
        <v>50</v>
      </c>
      <c r="BV376" s="68">
        <f>IF(main!CH379="","",ROUND(main!CH379*100,6))</f>
        <v>21.428571000000002</v>
      </c>
      <c r="BW376" s="68" t="str">
        <f>IF(main!CI379="","",ROUND(main!CI379*100,6))</f>
        <v/>
      </c>
      <c r="BX376" s="68" t="str">
        <f>IF(main!CJ379="","",ROUND(main!CJ379*100,6))</f>
        <v/>
      </c>
      <c r="BY376" s="68" t="str">
        <f>IF(main!CK379="","",ROUND(main!CK379*100,6))</f>
        <v/>
      </c>
      <c r="BZ376" s="68" t="str">
        <f>IF(main!CL379="","",ROUND(main!CL379*100,6))</f>
        <v/>
      </c>
      <c r="CA376" s="68" t="str">
        <f>IF(main!CM379="","",ROUND(main!CM379*100,6))</f>
        <v/>
      </c>
      <c r="CB376" s="68" t="str">
        <f>IF(main!CN379="","",ROUND(main!CN379*100,6))</f>
        <v/>
      </c>
      <c r="CC376" s="68" t="str">
        <f>IF(main!CO379="","",ROUND(main!CO379*100,6))</f>
        <v/>
      </c>
    </row>
    <row r="377" spans="1:81" x14ac:dyDescent="0.25">
      <c r="A377" s="65" t="s">
        <v>536</v>
      </c>
      <c r="B377" s="66" t="str">
        <f>main!C379</f>
        <v>งานสีผนัง ท้องบันได</v>
      </c>
      <c r="C377" s="67">
        <f>main!O379</f>
        <v>100000</v>
      </c>
      <c r="D377" s="65" t="s">
        <v>111</v>
      </c>
      <c r="E377" s="68" t="str">
        <f t="shared" si="5"/>
        <v/>
      </c>
      <c r="F377" s="68" t="str">
        <f>IF(main!R380="","",ROUND(main!R380*100,6))</f>
        <v/>
      </c>
      <c r="G377" s="68" t="str">
        <f>IF(main!S380="","",ROUND(main!S380*100,6))</f>
        <v/>
      </c>
      <c r="H377" s="68" t="str">
        <f>IF(main!T380="","",ROUND(main!T380*100,6))</f>
        <v/>
      </c>
      <c r="I377" s="68" t="str">
        <f>IF(main!U380="","",ROUND(main!U380*100,6))</f>
        <v/>
      </c>
      <c r="J377" s="68" t="str">
        <f>IF(main!V380="","",ROUND(main!V380*100,6))</f>
        <v/>
      </c>
      <c r="K377" s="68" t="str">
        <f>IF(main!W380="","",ROUND(main!W380*100,6))</f>
        <v/>
      </c>
      <c r="L377" s="68" t="str">
        <f>IF(main!X380="","",ROUND(main!X380*100,6))</f>
        <v/>
      </c>
      <c r="M377" s="68" t="str">
        <f>IF(main!Y380="","",ROUND(main!Y380*100,6))</f>
        <v/>
      </c>
      <c r="N377" s="68" t="str">
        <f>IF(main!Z380="","",ROUND(main!Z380*100,6))</f>
        <v/>
      </c>
      <c r="O377" s="68" t="str">
        <f>IF(main!AA380="","",ROUND(main!AA380*100,6))</f>
        <v/>
      </c>
      <c r="P377" s="68" t="str">
        <f>IF(main!AB380="","",ROUND(main!AB380*100,6))</f>
        <v/>
      </c>
      <c r="Q377" s="68" t="str">
        <f>IF(main!AC380="","",ROUND(main!AC380*100,6))</f>
        <v/>
      </c>
      <c r="R377" s="68" t="str">
        <f>IF(main!AD380="","",ROUND(main!AD380*100,6))</f>
        <v/>
      </c>
      <c r="S377" s="68" t="str">
        <f>IF(main!AE380="","",ROUND(main!AE380*100,6))</f>
        <v/>
      </c>
      <c r="T377" s="68" t="str">
        <f>IF(main!AF380="","",ROUND(main!AF380*100,6))</f>
        <v/>
      </c>
      <c r="U377" s="68" t="str">
        <f>IF(main!AG380="","",ROUND(main!AG380*100,6))</f>
        <v/>
      </c>
      <c r="V377" s="68" t="str">
        <f>IF(main!AH380="","",ROUND(main!AH380*100,6))</f>
        <v/>
      </c>
      <c r="W377" s="68" t="str">
        <f>IF(main!AI380="","",ROUND(main!AI380*100,6))</f>
        <v/>
      </c>
      <c r="X377" s="68" t="str">
        <f>IF(main!AJ380="","",ROUND(main!AJ380*100,6))</f>
        <v/>
      </c>
      <c r="Y377" s="68" t="str">
        <f>IF(main!AK380="","",ROUND(main!AK380*100,6))</f>
        <v/>
      </c>
      <c r="Z377" s="68" t="str">
        <f>IF(main!AL380="","",ROUND(main!AL380*100,6))</f>
        <v/>
      </c>
      <c r="AA377" s="68" t="str">
        <f>IF(main!AM380="","",ROUND(main!AM380*100,6))</f>
        <v/>
      </c>
      <c r="AB377" s="68" t="str">
        <f>IF(main!AN380="","",ROUND(main!AN380*100,6))</f>
        <v/>
      </c>
      <c r="AC377" s="68" t="str">
        <f>IF(main!AO380="","",ROUND(main!AO380*100,6))</f>
        <v/>
      </c>
      <c r="AD377" s="68" t="str">
        <f>IF(main!AP380="","",ROUND(main!AP380*100,6))</f>
        <v/>
      </c>
      <c r="AE377" s="68" t="str">
        <f>IF(main!AQ380="","",ROUND(main!AQ380*100,6))</f>
        <v/>
      </c>
      <c r="AF377" s="68" t="str">
        <f>IF(main!AR380="","",ROUND(main!AR380*100,6))</f>
        <v/>
      </c>
      <c r="AG377" s="68" t="str">
        <f>IF(main!AS380="","",ROUND(main!AS380*100,6))</f>
        <v/>
      </c>
      <c r="AH377" s="68" t="str">
        <f>IF(main!AT380="","",ROUND(main!AT380*100,6))</f>
        <v/>
      </c>
      <c r="AI377" s="68" t="str">
        <f>IF(main!AU380="","",ROUND(main!AU380*100,6))</f>
        <v/>
      </c>
      <c r="AJ377" s="68" t="str">
        <f>IF(main!AV380="","",ROUND(main!AV380*100,6))</f>
        <v/>
      </c>
      <c r="AK377" s="68" t="str">
        <f>IF(main!AW380="","",ROUND(main!AW380*100,6))</f>
        <v/>
      </c>
      <c r="AL377" s="68" t="str">
        <f>IF(main!AX380="","",ROUND(main!AX380*100,6))</f>
        <v/>
      </c>
      <c r="AM377" s="68" t="str">
        <f>IF(main!AY380="","",ROUND(main!AY380*100,6))</f>
        <v/>
      </c>
      <c r="AN377" s="68" t="str">
        <f>IF(main!AZ380="","",ROUND(main!AZ380*100,6))</f>
        <v/>
      </c>
      <c r="AO377" s="68" t="str">
        <f>IF(main!BA380="","",ROUND(main!BA380*100,6))</f>
        <v/>
      </c>
      <c r="AP377" s="68" t="str">
        <f>IF(main!BB380="","",ROUND(main!BB380*100,6))</f>
        <v/>
      </c>
      <c r="AQ377" s="68" t="str">
        <f>IF(main!BC380="","",ROUND(main!BC380*100,6))</f>
        <v/>
      </c>
      <c r="AR377" s="68" t="str">
        <f>IF(main!BD380="","",ROUND(main!BD380*100,6))</f>
        <v/>
      </c>
      <c r="AS377" s="68" t="str">
        <f>IF(main!BE380="","",ROUND(main!BE380*100,6))</f>
        <v/>
      </c>
      <c r="AT377" s="68" t="str">
        <f>IF(main!BF380="","",ROUND(main!BF380*100,6))</f>
        <v/>
      </c>
      <c r="AU377" s="68" t="str">
        <f>IF(main!BG380="","",ROUND(main!BG380*100,6))</f>
        <v/>
      </c>
      <c r="AV377" s="68" t="str">
        <f>IF(main!BH380="","",ROUND(main!BH380*100,6))</f>
        <v/>
      </c>
      <c r="AW377" s="68" t="str">
        <f>IF(main!BI380="","",ROUND(main!BI380*100,6))</f>
        <v/>
      </c>
      <c r="AX377" s="68" t="str">
        <f>IF(main!BJ380="","",ROUND(main!BJ380*100,6))</f>
        <v/>
      </c>
      <c r="AY377" s="68" t="str">
        <f>IF(main!BK380="","",ROUND(main!BK380*100,6))</f>
        <v/>
      </c>
      <c r="AZ377" s="68" t="str">
        <f>IF(main!BL380="","",ROUND(main!BL380*100,6))</f>
        <v/>
      </c>
      <c r="BA377" s="68" t="str">
        <f>IF(main!BM380="","",ROUND(main!BM380*100,6))</f>
        <v/>
      </c>
      <c r="BB377" s="68" t="str">
        <f>IF(main!BN380="","",ROUND(main!BN380*100,6))</f>
        <v/>
      </c>
      <c r="BC377" s="68" t="str">
        <f>IF(main!BO380="","",ROUND(main!BO380*100,6))</f>
        <v/>
      </c>
      <c r="BD377" s="68" t="str">
        <f>IF(main!BP380="","",ROUND(main!BP380*100,6))</f>
        <v/>
      </c>
      <c r="BE377" s="68" t="str">
        <f>IF(main!BQ380="","",ROUND(main!BQ380*100,6))</f>
        <v/>
      </c>
      <c r="BF377" s="68" t="str">
        <f>IF(main!BR380="","",ROUND(main!BR380*100,6))</f>
        <v/>
      </c>
      <c r="BG377" s="68" t="str">
        <f>IF(main!BS380="","",ROUND(main!BS380*100,6))</f>
        <v/>
      </c>
      <c r="BH377" s="68" t="str">
        <f>IF(main!BT380="","",ROUND(main!BT380*100,6))</f>
        <v/>
      </c>
      <c r="BI377" s="68" t="str">
        <f>IF(main!BU380="","",ROUND(main!BU380*100,6))</f>
        <v/>
      </c>
      <c r="BJ377" s="68" t="str">
        <f>IF(main!BV380="","",ROUND(main!BV380*100,6))</f>
        <v/>
      </c>
      <c r="BK377" s="68" t="str">
        <f>IF(main!BW380="","",ROUND(main!BW380*100,6))</f>
        <v/>
      </c>
      <c r="BL377" s="68" t="str">
        <f>IF(main!BX380="","",ROUND(main!BX380*100,6))</f>
        <v/>
      </c>
      <c r="BM377" s="68" t="str">
        <f>IF(main!BY380="","",ROUND(main!BY380*100,6))</f>
        <v/>
      </c>
      <c r="BN377" s="68" t="str">
        <f>IF(main!BZ380="","",ROUND(main!BZ380*100,6))</f>
        <v/>
      </c>
      <c r="BO377" s="68" t="str">
        <f>IF(main!CA380="","",ROUND(main!CA380*100,6))</f>
        <v/>
      </c>
      <c r="BP377" s="68" t="str">
        <f>IF(main!CB380="","",ROUND(main!CB380*100,6))</f>
        <v/>
      </c>
      <c r="BQ377" s="68" t="str">
        <f>IF(main!CC380="","",ROUND(main!CC380*100,6))</f>
        <v/>
      </c>
      <c r="BR377" s="68" t="str">
        <f>IF(main!CD380="","",ROUND(main!CD380*100,6))</f>
        <v/>
      </c>
      <c r="BS377" s="68" t="str">
        <f>IF(main!CE380="","",ROUND(main!CE380*100,6))</f>
        <v/>
      </c>
      <c r="BT377" s="68" t="str">
        <f>IF(main!CF380="","",ROUND(main!CF380*100,6))</f>
        <v/>
      </c>
      <c r="BU377" s="68" t="str">
        <f>IF(main!CG380="","",ROUND(main!CG380*100,6))</f>
        <v/>
      </c>
      <c r="BV377" s="68" t="str">
        <f>IF(main!CH380="","",ROUND(main!CH380*100,6))</f>
        <v/>
      </c>
      <c r="BW377" s="68" t="str">
        <f>IF(main!CI380="","",ROUND(main!CI380*100,6))</f>
        <v/>
      </c>
      <c r="BX377" s="68" t="str">
        <f>IF(main!CJ380="","",ROUND(main!CJ380*100,6))</f>
        <v/>
      </c>
      <c r="BY377" s="68" t="str">
        <f>IF(main!CK380="","",ROUND(main!CK380*100,6))</f>
        <v/>
      </c>
      <c r="BZ377" s="68" t="str">
        <f>IF(main!CL380="","",ROUND(main!CL380*100,6))</f>
        <v/>
      </c>
      <c r="CA377" s="68" t="str">
        <f>IF(main!CM380="","",ROUND(main!CM380*100,6))</f>
        <v/>
      </c>
      <c r="CB377" s="68" t="str">
        <f>IF(main!CN380="","",ROUND(main!CN380*100,6))</f>
        <v/>
      </c>
      <c r="CC377" s="68" t="str">
        <f>IF(main!CO380="","",ROUND(main!CO380*100,6))</f>
        <v/>
      </c>
    </row>
    <row r="378" spans="1:81" x14ac:dyDescent="0.25">
      <c r="A378" s="65" t="s">
        <v>538</v>
      </c>
      <c r="B378" s="66" t="str">
        <f>main!C381</f>
        <v>ST5</v>
      </c>
      <c r="C378" s="67">
        <f>main!O381</f>
        <v>300000</v>
      </c>
      <c r="D378" s="65" t="s">
        <v>110</v>
      </c>
      <c r="E378" s="68">
        <f t="shared" si="5"/>
        <v>100.000001</v>
      </c>
      <c r="F378" s="68" t="str">
        <f>IF(main!R381="","",ROUND(main!R381*100,6))</f>
        <v/>
      </c>
      <c r="G378" s="68" t="str">
        <f>IF(main!S381="","",ROUND(main!S381*100,6))</f>
        <v/>
      </c>
      <c r="H378" s="68" t="str">
        <f>IF(main!T381="","",ROUND(main!T381*100,6))</f>
        <v/>
      </c>
      <c r="I378" s="68" t="str">
        <f>IF(main!U381="","",ROUND(main!U381*100,6))</f>
        <v/>
      </c>
      <c r="J378" s="68" t="str">
        <f>IF(main!V381="","",ROUND(main!V381*100,6))</f>
        <v/>
      </c>
      <c r="K378" s="68" t="str">
        <f>IF(main!W381="","",ROUND(main!W381*100,6))</f>
        <v/>
      </c>
      <c r="L378" s="68" t="str">
        <f>IF(main!X381="","",ROUND(main!X381*100,6))</f>
        <v/>
      </c>
      <c r="M378" s="68" t="str">
        <f>IF(main!Y381="","",ROUND(main!Y381*100,6))</f>
        <v/>
      </c>
      <c r="N378" s="68" t="str">
        <f>IF(main!Z381="","",ROUND(main!Z381*100,6))</f>
        <v/>
      </c>
      <c r="O378" s="68" t="str">
        <f>IF(main!AA381="","",ROUND(main!AA381*100,6))</f>
        <v/>
      </c>
      <c r="P378" s="68" t="str">
        <f>IF(main!AB381="","",ROUND(main!AB381*100,6))</f>
        <v/>
      </c>
      <c r="Q378" s="68" t="str">
        <f>IF(main!AC381="","",ROUND(main!AC381*100,6))</f>
        <v/>
      </c>
      <c r="R378" s="68" t="str">
        <f>IF(main!AD381="","",ROUND(main!AD381*100,6))</f>
        <v/>
      </c>
      <c r="S378" s="68" t="str">
        <f>IF(main!AE381="","",ROUND(main!AE381*100,6))</f>
        <v/>
      </c>
      <c r="T378" s="68" t="str">
        <f>IF(main!AF381="","",ROUND(main!AF381*100,6))</f>
        <v/>
      </c>
      <c r="U378" s="68" t="str">
        <f>IF(main!AG381="","",ROUND(main!AG381*100,6))</f>
        <v/>
      </c>
      <c r="V378" s="68" t="str">
        <f>IF(main!AH381="","",ROUND(main!AH381*100,6))</f>
        <v/>
      </c>
      <c r="W378" s="68" t="str">
        <f>IF(main!AI381="","",ROUND(main!AI381*100,6))</f>
        <v/>
      </c>
      <c r="X378" s="68" t="str">
        <f>IF(main!AJ381="","",ROUND(main!AJ381*100,6))</f>
        <v/>
      </c>
      <c r="Y378" s="68" t="str">
        <f>IF(main!AK381="","",ROUND(main!AK381*100,6))</f>
        <v/>
      </c>
      <c r="Z378" s="68" t="str">
        <f>IF(main!AL381="","",ROUND(main!AL381*100,6))</f>
        <v/>
      </c>
      <c r="AA378" s="68" t="str">
        <f>IF(main!AM381="","",ROUND(main!AM381*100,6))</f>
        <v/>
      </c>
      <c r="AB378" s="68" t="str">
        <f>IF(main!AN381="","",ROUND(main!AN381*100,6))</f>
        <v/>
      </c>
      <c r="AC378" s="68" t="str">
        <f>IF(main!AO381="","",ROUND(main!AO381*100,6))</f>
        <v/>
      </c>
      <c r="AD378" s="68" t="str">
        <f>IF(main!AP381="","",ROUND(main!AP381*100,6))</f>
        <v/>
      </c>
      <c r="AE378" s="68" t="str">
        <f>IF(main!AQ381="","",ROUND(main!AQ381*100,6))</f>
        <v/>
      </c>
      <c r="AF378" s="68" t="str">
        <f>IF(main!AR381="","",ROUND(main!AR381*100,6))</f>
        <v/>
      </c>
      <c r="AG378" s="68" t="str">
        <f>IF(main!AS381="","",ROUND(main!AS381*100,6))</f>
        <v/>
      </c>
      <c r="AH378" s="68" t="str">
        <f>IF(main!AT381="","",ROUND(main!AT381*100,6))</f>
        <v/>
      </c>
      <c r="AI378" s="68" t="str">
        <f>IF(main!AU381="","",ROUND(main!AU381*100,6))</f>
        <v/>
      </c>
      <c r="AJ378" s="68" t="str">
        <f>IF(main!AV381="","",ROUND(main!AV381*100,6))</f>
        <v/>
      </c>
      <c r="AK378" s="68" t="str">
        <f>IF(main!AW381="","",ROUND(main!AW381*100,6))</f>
        <v/>
      </c>
      <c r="AL378" s="68" t="str">
        <f>IF(main!AX381="","",ROUND(main!AX381*100,6))</f>
        <v/>
      </c>
      <c r="AM378" s="68" t="str">
        <f>IF(main!AY381="","",ROUND(main!AY381*100,6))</f>
        <v/>
      </c>
      <c r="AN378" s="68" t="str">
        <f>IF(main!AZ381="","",ROUND(main!AZ381*100,6))</f>
        <v/>
      </c>
      <c r="AO378" s="68" t="str">
        <f>IF(main!BA381="","",ROUND(main!BA381*100,6))</f>
        <v/>
      </c>
      <c r="AP378" s="68" t="str">
        <f>IF(main!BB381="","",ROUND(main!BB381*100,6))</f>
        <v/>
      </c>
      <c r="AQ378" s="68" t="str">
        <f>IF(main!BC381="","",ROUND(main!BC381*100,6))</f>
        <v/>
      </c>
      <c r="AR378" s="68" t="str">
        <f>IF(main!BD381="","",ROUND(main!BD381*100,6))</f>
        <v/>
      </c>
      <c r="AS378" s="68" t="str">
        <f>IF(main!BE381="","",ROUND(main!BE381*100,6))</f>
        <v/>
      </c>
      <c r="AT378" s="68" t="str">
        <f>IF(main!BF381="","",ROUND(main!BF381*100,6))</f>
        <v/>
      </c>
      <c r="AU378" s="68" t="str">
        <f>IF(main!BG381="","",ROUND(main!BG381*100,6))</f>
        <v/>
      </c>
      <c r="AV378" s="68" t="str">
        <f>IF(main!BH381="","",ROUND(main!BH381*100,6))</f>
        <v/>
      </c>
      <c r="AW378" s="68" t="str">
        <f>IF(main!BI381="","",ROUND(main!BI381*100,6))</f>
        <v/>
      </c>
      <c r="AX378" s="68" t="str">
        <f>IF(main!BJ381="","",ROUND(main!BJ381*100,6))</f>
        <v/>
      </c>
      <c r="AY378" s="68" t="str">
        <f>IF(main!BK381="","",ROUND(main!BK381*100,6))</f>
        <v/>
      </c>
      <c r="AZ378" s="68" t="str">
        <f>IF(main!BL381="","",ROUND(main!BL381*100,6))</f>
        <v/>
      </c>
      <c r="BA378" s="68" t="str">
        <f>IF(main!BM381="","",ROUND(main!BM381*100,6))</f>
        <v/>
      </c>
      <c r="BB378" s="68" t="str">
        <f>IF(main!BN381="","",ROUND(main!BN381*100,6))</f>
        <v/>
      </c>
      <c r="BC378" s="68" t="str">
        <f>IF(main!BO381="","",ROUND(main!BO381*100,6))</f>
        <v/>
      </c>
      <c r="BD378" s="68" t="str">
        <f>IF(main!BP381="","",ROUND(main!BP381*100,6))</f>
        <v/>
      </c>
      <c r="BE378" s="68" t="str">
        <f>IF(main!BQ381="","",ROUND(main!BQ381*100,6))</f>
        <v/>
      </c>
      <c r="BF378" s="68" t="str">
        <f>IF(main!BR381="","",ROUND(main!BR381*100,6))</f>
        <v/>
      </c>
      <c r="BG378" s="68" t="str">
        <f>IF(main!BS381="","",ROUND(main!BS381*100,6))</f>
        <v/>
      </c>
      <c r="BH378" s="68" t="str">
        <f>IF(main!BT381="","",ROUND(main!BT381*100,6))</f>
        <v/>
      </c>
      <c r="BI378" s="68" t="str">
        <f>IF(main!BU381="","",ROUND(main!BU381*100,6))</f>
        <v/>
      </c>
      <c r="BJ378" s="68" t="str">
        <f>IF(main!BV381="","",ROUND(main!BV381*100,6))</f>
        <v/>
      </c>
      <c r="BK378" s="68" t="str">
        <f>IF(main!BW381="","",ROUND(main!BW381*100,6))</f>
        <v/>
      </c>
      <c r="BL378" s="68" t="str">
        <f>IF(main!BX381="","",ROUND(main!BX381*100,6))</f>
        <v/>
      </c>
      <c r="BM378" s="68" t="str">
        <f>IF(main!BY381="","",ROUND(main!BY381*100,6))</f>
        <v/>
      </c>
      <c r="BN378" s="68" t="str">
        <f>IF(main!BZ381="","",ROUND(main!BZ381*100,6))</f>
        <v/>
      </c>
      <c r="BO378" s="68" t="str">
        <f>IF(main!CA381="","",ROUND(main!CA381*100,6))</f>
        <v/>
      </c>
      <c r="BP378" s="68" t="str">
        <f>IF(main!CB381="","",ROUND(main!CB381*100,6))</f>
        <v/>
      </c>
      <c r="BQ378" s="68" t="str">
        <f>IF(main!CC381="","",ROUND(main!CC381*100,6))</f>
        <v/>
      </c>
      <c r="BR378" s="68" t="str">
        <f>IF(main!CD381="","",ROUND(main!CD381*100,6))</f>
        <v/>
      </c>
      <c r="BS378" s="68" t="str">
        <f>IF(main!CE381="","",ROUND(main!CE381*100,6))</f>
        <v/>
      </c>
      <c r="BT378" s="68">
        <f>IF(main!CF381="","",ROUND(main!CF381*100,6))</f>
        <v>9.5238099999999992</v>
      </c>
      <c r="BU378" s="68">
        <f>IF(main!CG381="","",ROUND(main!CG381*100,6))</f>
        <v>16.666667</v>
      </c>
      <c r="BV378" s="68">
        <f>IF(main!CH381="","",ROUND(main!CH381*100,6))</f>
        <v>16.666667</v>
      </c>
      <c r="BW378" s="68">
        <f>IF(main!CI381="","",ROUND(main!CI381*100,6))</f>
        <v>16.666667</v>
      </c>
      <c r="BX378" s="68">
        <f>IF(main!CJ381="","",ROUND(main!CJ381*100,6))</f>
        <v>26.190476</v>
      </c>
      <c r="BY378" s="68">
        <f>IF(main!CK381="","",ROUND(main!CK381*100,6))</f>
        <v>14.285714</v>
      </c>
      <c r="BZ378" s="68" t="str">
        <f>IF(main!CL381="","",ROUND(main!CL381*100,6))</f>
        <v/>
      </c>
      <c r="CA378" s="68" t="str">
        <f>IF(main!CM381="","",ROUND(main!CM381*100,6))</f>
        <v/>
      </c>
      <c r="CB378" s="68" t="str">
        <f>IF(main!CN381="","",ROUND(main!CN381*100,6))</f>
        <v/>
      </c>
      <c r="CC378" s="68" t="str">
        <f>IF(main!CO381="","",ROUND(main!CO381*100,6))</f>
        <v/>
      </c>
    </row>
    <row r="379" spans="1:81" x14ac:dyDescent="0.25">
      <c r="A379" s="65" t="s">
        <v>538</v>
      </c>
      <c r="B379" s="66" t="str">
        <f>main!C381</f>
        <v>ST5</v>
      </c>
      <c r="C379" s="67">
        <f>main!O381</f>
        <v>300000</v>
      </c>
      <c r="D379" s="65" t="s">
        <v>111</v>
      </c>
      <c r="E379" s="68" t="str">
        <f t="shared" si="5"/>
        <v/>
      </c>
      <c r="F379" s="68" t="str">
        <f>IF(main!R382="","",ROUND(main!R382*100,6))</f>
        <v/>
      </c>
      <c r="G379" s="68" t="str">
        <f>IF(main!S382="","",ROUND(main!S382*100,6))</f>
        <v/>
      </c>
      <c r="H379" s="68" t="str">
        <f>IF(main!T382="","",ROUND(main!T382*100,6))</f>
        <v/>
      </c>
      <c r="I379" s="68" t="str">
        <f>IF(main!U382="","",ROUND(main!U382*100,6))</f>
        <v/>
      </c>
      <c r="J379" s="68" t="str">
        <f>IF(main!V382="","",ROUND(main!V382*100,6))</f>
        <v/>
      </c>
      <c r="K379" s="68" t="str">
        <f>IF(main!W382="","",ROUND(main!W382*100,6))</f>
        <v/>
      </c>
      <c r="L379" s="68" t="str">
        <f>IF(main!X382="","",ROUND(main!X382*100,6))</f>
        <v/>
      </c>
      <c r="M379" s="68" t="str">
        <f>IF(main!Y382="","",ROUND(main!Y382*100,6))</f>
        <v/>
      </c>
      <c r="N379" s="68" t="str">
        <f>IF(main!Z382="","",ROUND(main!Z382*100,6))</f>
        <v/>
      </c>
      <c r="O379" s="68" t="str">
        <f>IF(main!AA382="","",ROUND(main!AA382*100,6))</f>
        <v/>
      </c>
      <c r="P379" s="68" t="str">
        <f>IF(main!AB382="","",ROUND(main!AB382*100,6))</f>
        <v/>
      </c>
      <c r="Q379" s="68" t="str">
        <f>IF(main!AC382="","",ROUND(main!AC382*100,6))</f>
        <v/>
      </c>
      <c r="R379" s="68" t="str">
        <f>IF(main!AD382="","",ROUND(main!AD382*100,6))</f>
        <v/>
      </c>
      <c r="S379" s="68" t="str">
        <f>IF(main!AE382="","",ROUND(main!AE382*100,6))</f>
        <v/>
      </c>
      <c r="T379" s="68" t="str">
        <f>IF(main!AF382="","",ROUND(main!AF382*100,6))</f>
        <v/>
      </c>
      <c r="U379" s="68" t="str">
        <f>IF(main!AG382="","",ROUND(main!AG382*100,6))</f>
        <v/>
      </c>
      <c r="V379" s="68" t="str">
        <f>IF(main!AH382="","",ROUND(main!AH382*100,6))</f>
        <v/>
      </c>
      <c r="W379" s="68" t="str">
        <f>IF(main!AI382="","",ROUND(main!AI382*100,6))</f>
        <v/>
      </c>
      <c r="X379" s="68" t="str">
        <f>IF(main!AJ382="","",ROUND(main!AJ382*100,6))</f>
        <v/>
      </c>
      <c r="Y379" s="68" t="str">
        <f>IF(main!AK382="","",ROUND(main!AK382*100,6))</f>
        <v/>
      </c>
      <c r="Z379" s="68" t="str">
        <f>IF(main!AL382="","",ROUND(main!AL382*100,6))</f>
        <v/>
      </c>
      <c r="AA379" s="68" t="str">
        <f>IF(main!AM382="","",ROUND(main!AM382*100,6))</f>
        <v/>
      </c>
      <c r="AB379" s="68" t="str">
        <f>IF(main!AN382="","",ROUND(main!AN382*100,6))</f>
        <v/>
      </c>
      <c r="AC379" s="68" t="str">
        <f>IF(main!AO382="","",ROUND(main!AO382*100,6))</f>
        <v/>
      </c>
      <c r="AD379" s="68" t="str">
        <f>IF(main!AP382="","",ROUND(main!AP382*100,6))</f>
        <v/>
      </c>
      <c r="AE379" s="68" t="str">
        <f>IF(main!AQ382="","",ROUND(main!AQ382*100,6))</f>
        <v/>
      </c>
      <c r="AF379" s="68" t="str">
        <f>IF(main!AR382="","",ROUND(main!AR382*100,6))</f>
        <v/>
      </c>
      <c r="AG379" s="68" t="str">
        <f>IF(main!AS382="","",ROUND(main!AS382*100,6))</f>
        <v/>
      </c>
      <c r="AH379" s="68" t="str">
        <f>IF(main!AT382="","",ROUND(main!AT382*100,6))</f>
        <v/>
      </c>
      <c r="AI379" s="68" t="str">
        <f>IF(main!AU382="","",ROUND(main!AU382*100,6))</f>
        <v/>
      </c>
      <c r="AJ379" s="68" t="str">
        <f>IF(main!AV382="","",ROUND(main!AV382*100,6))</f>
        <v/>
      </c>
      <c r="AK379" s="68" t="str">
        <f>IF(main!AW382="","",ROUND(main!AW382*100,6))</f>
        <v/>
      </c>
      <c r="AL379" s="68" t="str">
        <f>IF(main!AX382="","",ROUND(main!AX382*100,6))</f>
        <v/>
      </c>
      <c r="AM379" s="68" t="str">
        <f>IF(main!AY382="","",ROUND(main!AY382*100,6))</f>
        <v/>
      </c>
      <c r="AN379" s="68" t="str">
        <f>IF(main!AZ382="","",ROUND(main!AZ382*100,6))</f>
        <v/>
      </c>
      <c r="AO379" s="68" t="str">
        <f>IF(main!BA382="","",ROUND(main!BA382*100,6))</f>
        <v/>
      </c>
      <c r="AP379" s="68" t="str">
        <f>IF(main!BB382="","",ROUND(main!BB382*100,6))</f>
        <v/>
      </c>
      <c r="AQ379" s="68" t="str">
        <f>IF(main!BC382="","",ROUND(main!BC382*100,6))</f>
        <v/>
      </c>
      <c r="AR379" s="68" t="str">
        <f>IF(main!BD382="","",ROUND(main!BD382*100,6))</f>
        <v/>
      </c>
      <c r="AS379" s="68" t="str">
        <f>IF(main!BE382="","",ROUND(main!BE382*100,6))</f>
        <v/>
      </c>
      <c r="AT379" s="68" t="str">
        <f>IF(main!BF382="","",ROUND(main!BF382*100,6))</f>
        <v/>
      </c>
      <c r="AU379" s="68" t="str">
        <f>IF(main!BG382="","",ROUND(main!BG382*100,6))</f>
        <v/>
      </c>
      <c r="AV379" s="68" t="str">
        <f>IF(main!BH382="","",ROUND(main!BH382*100,6))</f>
        <v/>
      </c>
      <c r="AW379" s="68" t="str">
        <f>IF(main!BI382="","",ROUND(main!BI382*100,6))</f>
        <v/>
      </c>
      <c r="AX379" s="68" t="str">
        <f>IF(main!BJ382="","",ROUND(main!BJ382*100,6))</f>
        <v/>
      </c>
      <c r="AY379" s="68" t="str">
        <f>IF(main!BK382="","",ROUND(main!BK382*100,6))</f>
        <v/>
      </c>
      <c r="AZ379" s="68" t="str">
        <f>IF(main!BL382="","",ROUND(main!BL382*100,6))</f>
        <v/>
      </c>
      <c r="BA379" s="68" t="str">
        <f>IF(main!BM382="","",ROUND(main!BM382*100,6))</f>
        <v/>
      </c>
      <c r="BB379" s="68" t="str">
        <f>IF(main!BN382="","",ROUND(main!BN382*100,6))</f>
        <v/>
      </c>
      <c r="BC379" s="68" t="str">
        <f>IF(main!BO382="","",ROUND(main!BO382*100,6))</f>
        <v/>
      </c>
      <c r="BD379" s="68" t="str">
        <f>IF(main!BP382="","",ROUND(main!BP382*100,6))</f>
        <v/>
      </c>
      <c r="BE379" s="68" t="str">
        <f>IF(main!BQ382="","",ROUND(main!BQ382*100,6))</f>
        <v/>
      </c>
      <c r="BF379" s="68" t="str">
        <f>IF(main!BR382="","",ROUND(main!BR382*100,6))</f>
        <v/>
      </c>
      <c r="BG379" s="68" t="str">
        <f>IF(main!BS382="","",ROUND(main!BS382*100,6))</f>
        <v/>
      </c>
      <c r="BH379" s="68" t="str">
        <f>IF(main!BT382="","",ROUND(main!BT382*100,6))</f>
        <v/>
      </c>
      <c r="BI379" s="68" t="str">
        <f>IF(main!BU382="","",ROUND(main!BU382*100,6))</f>
        <v/>
      </c>
      <c r="BJ379" s="68" t="str">
        <f>IF(main!BV382="","",ROUND(main!BV382*100,6))</f>
        <v/>
      </c>
      <c r="BK379" s="68" t="str">
        <f>IF(main!BW382="","",ROUND(main!BW382*100,6))</f>
        <v/>
      </c>
      <c r="BL379" s="68" t="str">
        <f>IF(main!BX382="","",ROUND(main!BX382*100,6))</f>
        <v/>
      </c>
      <c r="BM379" s="68" t="str">
        <f>IF(main!BY382="","",ROUND(main!BY382*100,6))</f>
        <v/>
      </c>
      <c r="BN379" s="68" t="str">
        <f>IF(main!BZ382="","",ROUND(main!BZ382*100,6))</f>
        <v/>
      </c>
      <c r="BO379" s="68" t="str">
        <f>IF(main!CA382="","",ROUND(main!CA382*100,6))</f>
        <v/>
      </c>
      <c r="BP379" s="68" t="str">
        <f>IF(main!CB382="","",ROUND(main!CB382*100,6))</f>
        <v/>
      </c>
      <c r="BQ379" s="68" t="str">
        <f>IF(main!CC382="","",ROUND(main!CC382*100,6))</f>
        <v/>
      </c>
      <c r="BR379" s="68" t="str">
        <f>IF(main!CD382="","",ROUND(main!CD382*100,6))</f>
        <v/>
      </c>
      <c r="BS379" s="68" t="str">
        <f>IF(main!CE382="","",ROUND(main!CE382*100,6))</f>
        <v/>
      </c>
      <c r="BT379" s="68" t="str">
        <f>IF(main!CF382="","",ROUND(main!CF382*100,6))</f>
        <v/>
      </c>
      <c r="BU379" s="68" t="str">
        <f>IF(main!CG382="","",ROUND(main!CG382*100,6))</f>
        <v/>
      </c>
      <c r="BV379" s="68" t="str">
        <f>IF(main!CH382="","",ROUND(main!CH382*100,6))</f>
        <v/>
      </c>
      <c r="BW379" s="68" t="str">
        <f>IF(main!CI382="","",ROUND(main!CI382*100,6))</f>
        <v/>
      </c>
      <c r="BX379" s="68" t="str">
        <f>IF(main!CJ382="","",ROUND(main!CJ382*100,6))</f>
        <v/>
      </c>
      <c r="BY379" s="68" t="str">
        <f>IF(main!CK382="","",ROUND(main!CK382*100,6))</f>
        <v/>
      </c>
      <c r="BZ379" s="68" t="str">
        <f>IF(main!CL382="","",ROUND(main!CL382*100,6))</f>
        <v/>
      </c>
      <c r="CA379" s="68" t="str">
        <f>IF(main!CM382="","",ROUND(main!CM382*100,6))</f>
        <v/>
      </c>
      <c r="CB379" s="68" t="str">
        <f>IF(main!CN382="","",ROUND(main!CN382*100,6))</f>
        <v/>
      </c>
      <c r="CC379" s="68" t="str">
        <f>IF(main!CO382="","",ROUND(main!CO382*100,6))</f>
        <v/>
      </c>
    </row>
    <row r="380" spans="1:81" x14ac:dyDescent="0.25">
      <c r="A380" s="65" t="s">
        <v>540</v>
      </c>
      <c r="B380" s="66" t="str">
        <f>main!C383</f>
        <v>งานแต่งผิวผนัง ท้องบันไดเดิม</v>
      </c>
      <c r="C380" s="67">
        <f>main!O383</f>
        <v>100000</v>
      </c>
      <c r="D380" s="65" t="s">
        <v>110</v>
      </c>
      <c r="E380" s="68">
        <f t="shared" si="5"/>
        <v>100</v>
      </c>
      <c r="F380" s="68" t="str">
        <f>IF(main!R383="","",ROUND(main!R383*100,6))</f>
        <v/>
      </c>
      <c r="G380" s="68" t="str">
        <f>IF(main!S383="","",ROUND(main!S383*100,6))</f>
        <v/>
      </c>
      <c r="H380" s="68" t="str">
        <f>IF(main!T383="","",ROUND(main!T383*100,6))</f>
        <v/>
      </c>
      <c r="I380" s="68" t="str">
        <f>IF(main!U383="","",ROUND(main!U383*100,6))</f>
        <v/>
      </c>
      <c r="J380" s="68" t="str">
        <f>IF(main!V383="","",ROUND(main!V383*100,6))</f>
        <v/>
      </c>
      <c r="K380" s="68" t="str">
        <f>IF(main!W383="","",ROUND(main!W383*100,6))</f>
        <v/>
      </c>
      <c r="L380" s="68" t="str">
        <f>IF(main!X383="","",ROUND(main!X383*100,6))</f>
        <v/>
      </c>
      <c r="M380" s="68" t="str">
        <f>IF(main!Y383="","",ROUND(main!Y383*100,6))</f>
        <v/>
      </c>
      <c r="N380" s="68" t="str">
        <f>IF(main!Z383="","",ROUND(main!Z383*100,6))</f>
        <v/>
      </c>
      <c r="O380" s="68" t="str">
        <f>IF(main!AA383="","",ROUND(main!AA383*100,6))</f>
        <v/>
      </c>
      <c r="P380" s="68" t="str">
        <f>IF(main!AB383="","",ROUND(main!AB383*100,6))</f>
        <v/>
      </c>
      <c r="Q380" s="68" t="str">
        <f>IF(main!AC383="","",ROUND(main!AC383*100,6))</f>
        <v/>
      </c>
      <c r="R380" s="68" t="str">
        <f>IF(main!AD383="","",ROUND(main!AD383*100,6))</f>
        <v/>
      </c>
      <c r="S380" s="68" t="str">
        <f>IF(main!AE383="","",ROUND(main!AE383*100,6))</f>
        <v/>
      </c>
      <c r="T380" s="68" t="str">
        <f>IF(main!AF383="","",ROUND(main!AF383*100,6))</f>
        <v/>
      </c>
      <c r="U380" s="68" t="str">
        <f>IF(main!AG383="","",ROUND(main!AG383*100,6))</f>
        <v/>
      </c>
      <c r="V380" s="68" t="str">
        <f>IF(main!AH383="","",ROUND(main!AH383*100,6))</f>
        <v/>
      </c>
      <c r="W380" s="68" t="str">
        <f>IF(main!AI383="","",ROUND(main!AI383*100,6))</f>
        <v/>
      </c>
      <c r="X380" s="68" t="str">
        <f>IF(main!AJ383="","",ROUND(main!AJ383*100,6))</f>
        <v/>
      </c>
      <c r="Y380" s="68" t="str">
        <f>IF(main!AK383="","",ROUND(main!AK383*100,6))</f>
        <v/>
      </c>
      <c r="Z380" s="68" t="str">
        <f>IF(main!AL383="","",ROUND(main!AL383*100,6))</f>
        <v/>
      </c>
      <c r="AA380" s="68" t="str">
        <f>IF(main!AM383="","",ROUND(main!AM383*100,6))</f>
        <v/>
      </c>
      <c r="AB380" s="68" t="str">
        <f>IF(main!AN383="","",ROUND(main!AN383*100,6))</f>
        <v/>
      </c>
      <c r="AC380" s="68" t="str">
        <f>IF(main!AO383="","",ROUND(main!AO383*100,6))</f>
        <v/>
      </c>
      <c r="AD380" s="68" t="str">
        <f>IF(main!AP383="","",ROUND(main!AP383*100,6))</f>
        <v/>
      </c>
      <c r="AE380" s="68" t="str">
        <f>IF(main!AQ383="","",ROUND(main!AQ383*100,6))</f>
        <v/>
      </c>
      <c r="AF380" s="68" t="str">
        <f>IF(main!AR383="","",ROUND(main!AR383*100,6))</f>
        <v/>
      </c>
      <c r="AG380" s="68" t="str">
        <f>IF(main!AS383="","",ROUND(main!AS383*100,6))</f>
        <v/>
      </c>
      <c r="AH380" s="68" t="str">
        <f>IF(main!AT383="","",ROUND(main!AT383*100,6))</f>
        <v/>
      </c>
      <c r="AI380" s="68" t="str">
        <f>IF(main!AU383="","",ROUND(main!AU383*100,6))</f>
        <v/>
      </c>
      <c r="AJ380" s="68" t="str">
        <f>IF(main!AV383="","",ROUND(main!AV383*100,6))</f>
        <v/>
      </c>
      <c r="AK380" s="68" t="str">
        <f>IF(main!AW383="","",ROUND(main!AW383*100,6))</f>
        <v/>
      </c>
      <c r="AL380" s="68" t="str">
        <f>IF(main!AX383="","",ROUND(main!AX383*100,6))</f>
        <v/>
      </c>
      <c r="AM380" s="68" t="str">
        <f>IF(main!AY383="","",ROUND(main!AY383*100,6))</f>
        <v/>
      </c>
      <c r="AN380" s="68" t="str">
        <f>IF(main!AZ383="","",ROUND(main!AZ383*100,6))</f>
        <v/>
      </c>
      <c r="AO380" s="68" t="str">
        <f>IF(main!BA383="","",ROUND(main!BA383*100,6))</f>
        <v/>
      </c>
      <c r="AP380" s="68" t="str">
        <f>IF(main!BB383="","",ROUND(main!BB383*100,6))</f>
        <v/>
      </c>
      <c r="AQ380" s="68" t="str">
        <f>IF(main!BC383="","",ROUND(main!BC383*100,6))</f>
        <v/>
      </c>
      <c r="AR380" s="68" t="str">
        <f>IF(main!BD383="","",ROUND(main!BD383*100,6))</f>
        <v/>
      </c>
      <c r="AS380" s="68" t="str">
        <f>IF(main!BE383="","",ROUND(main!BE383*100,6))</f>
        <v/>
      </c>
      <c r="AT380" s="68" t="str">
        <f>IF(main!BF383="","",ROUND(main!BF383*100,6))</f>
        <v/>
      </c>
      <c r="AU380" s="68" t="str">
        <f>IF(main!BG383="","",ROUND(main!BG383*100,6))</f>
        <v/>
      </c>
      <c r="AV380" s="68" t="str">
        <f>IF(main!BH383="","",ROUND(main!BH383*100,6))</f>
        <v/>
      </c>
      <c r="AW380" s="68" t="str">
        <f>IF(main!BI383="","",ROUND(main!BI383*100,6))</f>
        <v/>
      </c>
      <c r="AX380" s="68" t="str">
        <f>IF(main!BJ383="","",ROUND(main!BJ383*100,6))</f>
        <v/>
      </c>
      <c r="AY380" s="68" t="str">
        <f>IF(main!BK383="","",ROUND(main!BK383*100,6))</f>
        <v/>
      </c>
      <c r="AZ380" s="68" t="str">
        <f>IF(main!BL383="","",ROUND(main!BL383*100,6))</f>
        <v/>
      </c>
      <c r="BA380" s="68" t="str">
        <f>IF(main!BM383="","",ROUND(main!BM383*100,6))</f>
        <v/>
      </c>
      <c r="BB380" s="68" t="str">
        <f>IF(main!BN383="","",ROUND(main!BN383*100,6))</f>
        <v/>
      </c>
      <c r="BC380" s="68" t="str">
        <f>IF(main!BO383="","",ROUND(main!BO383*100,6))</f>
        <v/>
      </c>
      <c r="BD380" s="68" t="str">
        <f>IF(main!BP383="","",ROUND(main!BP383*100,6))</f>
        <v/>
      </c>
      <c r="BE380" s="68" t="str">
        <f>IF(main!BQ383="","",ROUND(main!BQ383*100,6))</f>
        <v/>
      </c>
      <c r="BF380" s="68" t="str">
        <f>IF(main!BR383="","",ROUND(main!BR383*100,6))</f>
        <v/>
      </c>
      <c r="BG380" s="68" t="str">
        <f>IF(main!BS383="","",ROUND(main!BS383*100,6))</f>
        <v/>
      </c>
      <c r="BH380" s="68" t="str">
        <f>IF(main!BT383="","",ROUND(main!BT383*100,6))</f>
        <v/>
      </c>
      <c r="BI380" s="68" t="str">
        <f>IF(main!BU383="","",ROUND(main!BU383*100,6))</f>
        <v/>
      </c>
      <c r="BJ380" s="68" t="str">
        <f>IF(main!BV383="","",ROUND(main!BV383*100,6))</f>
        <v/>
      </c>
      <c r="BK380" s="68" t="str">
        <f>IF(main!BW383="","",ROUND(main!BW383*100,6))</f>
        <v/>
      </c>
      <c r="BL380" s="68" t="str">
        <f>IF(main!BX383="","",ROUND(main!BX383*100,6))</f>
        <v/>
      </c>
      <c r="BM380" s="68" t="str">
        <f>IF(main!BY383="","",ROUND(main!BY383*100,6))</f>
        <v/>
      </c>
      <c r="BN380" s="68" t="str">
        <f>IF(main!BZ383="","",ROUND(main!BZ383*100,6))</f>
        <v/>
      </c>
      <c r="BO380" s="68" t="str">
        <f>IF(main!CA383="","",ROUND(main!CA383*100,6))</f>
        <v/>
      </c>
      <c r="BP380" s="68" t="str">
        <f>IF(main!CB383="","",ROUND(main!CB383*100,6))</f>
        <v/>
      </c>
      <c r="BQ380" s="68" t="str">
        <f>IF(main!CC383="","",ROUND(main!CC383*100,6))</f>
        <v/>
      </c>
      <c r="BR380" s="68" t="str">
        <f>IF(main!CD383="","",ROUND(main!CD383*100,6))</f>
        <v/>
      </c>
      <c r="BS380" s="68" t="str">
        <f>IF(main!CE383="","",ROUND(main!CE383*100,6))</f>
        <v/>
      </c>
      <c r="BT380" s="68">
        <f>IF(main!CF383="","",ROUND(main!CF383*100,6))</f>
        <v>28.571428999999998</v>
      </c>
      <c r="BU380" s="68">
        <f>IF(main!CG383="","",ROUND(main!CG383*100,6))</f>
        <v>50</v>
      </c>
      <c r="BV380" s="68">
        <f>IF(main!CH383="","",ROUND(main!CH383*100,6))</f>
        <v>21.428571000000002</v>
      </c>
      <c r="BW380" s="68" t="str">
        <f>IF(main!CI383="","",ROUND(main!CI383*100,6))</f>
        <v/>
      </c>
      <c r="BX380" s="68" t="str">
        <f>IF(main!CJ383="","",ROUND(main!CJ383*100,6))</f>
        <v/>
      </c>
      <c r="BY380" s="68" t="str">
        <f>IF(main!CK383="","",ROUND(main!CK383*100,6))</f>
        <v/>
      </c>
      <c r="BZ380" s="68" t="str">
        <f>IF(main!CL383="","",ROUND(main!CL383*100,6))</f>
        <v/>
      </c>
      <c r="CA380" s="68" t="str">
        <f>IF(main!CM383="","",ROUND(main!CM383*100,6))</f>
        <v/>
      </c>
      <c r="CB380" s="68" t="str">
        <f>IF(main!CN383="","",ROUND(main!CN383*100,6))</f>
        <v/>
      </c>
      <c r="CC380" s="68" t="str">
        <f>IF(main!CO383="","",ROUND(main!CO383*100,6))</f>
        <v/>
      </c>
    </row>
    <row r="381" spans="1:81" x14ac:dyDescent="0.25">
      <c r="A381" s="65" t="s">
        <v>540</v>
      </c>
      <c r="B381" s="66" t="str">
        <f>main!C383</f>
        <v>งานแต่งผิวผนัง ท้องบันไดเดิม</v>
      </c>
      <c r="C381" s="67">
        <f>main!O383</f>
        <v>100000</v>
      </c>
      <c r="D381" s="65" t="s">
        <v>111</v>
      </c>
      <c r="E381" s="68" t="str">
        <f t="shared" si="5"/>
        <v/>
      </c>
      <c r="F381" s="68" t="str">
        <f>IF(main!R384="","",ROUND(main!R384*100,6))</f>
        <v/>
      </c>
      <c r="G381" s="68" t="str">
        <f>IF(main!S384="","",ROUND(main!S384*100,6))</f>
        <v/>
      </c>
      <c r="H381" s="68" t="str">
        <f>IF(main!T384="","",ROUND(main!T384*100,6))</f>
        <v/>
      </c>
      <c r="I381" s="68" t="str">
        <f>IF(main!U384="","",ROUND(main!U384*100,6))</f>
        <v/>
      </c>
      <c r="J381" s="68" t="str">
        <f>IF(main!V384="","",ROUND(main!V384*100,6))</f>
        <v/>
      </c>
      <c r="K381" s="68" t="str">
        <f>IF(main!W384="","",ROUND(main!W384*100,6))</f>
        <v/>
      </c>
      <c r="L381" s="68" t="str">
        <f>IF(main!X384="","",ROUND(main!X384*100,6))</f>
        <v/>
      </c>
      <c r="M381" s="68" t="str">
        <f>IF(main!Y384="","",ROUND(main!Y384*100,6))</f>
        <v/>
      </c>
      <c r="N381" s="68" t="str">
        <f>IF(main!Z384="","",ROUND(main!Z384*100,6))</f>
        <v/>
      </c>
      <c r="O381" s="68" t="str">
        <f>IF(main!AA384="","",ROUND(main!AA384*100,6))</f>
        <v/>
      </c>
      <c r="P381" s="68" t="str">
        <f>IF(main!AB384="","",ROUND(main!AB384*100,6))</f>
        <v/>
      </c>
      <c r="Q381" s="68" t="str">
        <f>IF(main!AC384="","",ROUND(main!AC384*100,6))</f>
        <v/>
      </c>
      <c r="R381" s="68" t="str">
        <f>IF(main!AD384="","",ROUND(main!AD384*100,6))</f>
        <v/>
      </c>
      <c r="S381" s="68" t="str">
        <f>IF(main!AE384="","",ROUND(main!AE384*100,6))</f>
        <v/>
      </c>
      <c r="T381" s="68" t="str">
        <f>IF(main!AF384="","",ROUND(main!AF384*100,6))</f>
        <v/>
      </c>
      <c r="U381" s="68" t="str">
        <f>IF(main!AG384="","",ROUND(main!AG384*100,6))</f>
        <v/>
      </c>
      <c r="V381" s="68" t="str">
        <f>IF(main!AH384="","",ROUND(main!AH384*100,6))</f>
        <v/>
      </c>
      <c r="W381" s="68" t="str">
        <f>IF(main!AI384="","",ROUND(main!AI384*100,6))</f>
        <v/>
      </c>
      <c r="X381" s="68" t="str">
        <f>IF(main!AJ384="","",ROUND(main!AJ384*100,6))</f>
        <v/>
      </c>
      <c r="Y381" s="68" t="str">
        <f>IF(main!AK384="","",ROUND(main!AK384*100,6))</f>
        <v/>
      </c>
      <c r="Z381" s="68" t="str">
        <f>IF(main!AL384="","",ROUND(main!AL384*100,6))</f>
        <v/>
      </c>
      <c r="AA381" s="68" t="str">
        <f>IF(main!AM384="","",ROUND(main!AM384*100,6))</f>
        <v/>
      </c>
      <c r="AB381" s="68" t="str">
        <f>IF(main!AN384="","",ROUND(main!AN384*100,6))</f>
        <v/>
      </c>
      <c r="AC381" s="68" t="str">
        <f>IF(main!AO384="","",ROUND(main!AO384*100,6))</f>
        <v/>
      </c>
      <c r="AD381" s="68" t="str">
        <f>IF(main!AP384="","",ROUND(main!AP384*100,6))</f>
        <v/>
      </c>
      <c r="AE381" s="68" t="str">
        <f>IF(main!AQ384="","",ROUND(main!AQ384*100,6))</f>
        <v/>
      </c>
      <c r="AF381" s="68" t="str">
        <f>IF(main!AR384="","",ROUND(main!AR384*100,6))</f>
        <v/>
      </c>
      <c r="AG381" s="68" t="str">
        <f>IF(main!AS384="","",ROUND(main!AS384*100,6))</f>
        <v/>
      </c>
      <c r="AH381" s="68" t="str">
        <f>IF(main!AT384="","",ROUND(main!AT384*100,6))</f>
        <v/>
      </c>
      <c r="AI381" s="68" t="str">
        <f>IF(main!AU384="","",ROUND(main!AU384*100,6))</f>
        <v/>
      </c>
      <c r="AJ381" s="68" t="str">
        <f>IF(main!AV384="","",ROUND(main!AV384*100,6))</f>
        <v/>
      </c>
      <c r="AK381" s="68" t="str">
        <f>IF(main!AW384="","",ROUND(main!AW384*100,6))</f>
        <v/>
      </c>
      <c r="AL381" s="68" t="str">
        <f>IF(main!AX384="","",ROUND(main!AX384*100,6))</f>
        <v/>
      </c>
      <c r="AM381" s="68" t="str">
        <f>IF(main!AY384="","",ROUND(main!AY384*100,6))</f>
        <v/>
      </c>
      <c r="AN381" s="68" t="str">
        <f>IF(main!AZ384="","",ROUND(main!AZ384*100,6))</f>
        <v/>
      </c>
      <c r="AO381" s="68" t="str">
        <f>IF(main!BA384="","",ROUND(main!BA384*100,6))</f>
        <v/>
      </c>
      <c r="AP381" s="68" t="str">
        <f>IF(main!BB384="","",ROUND(main!BB384*100,6))</f>
        <v/>
      </c>
      <c r="AQ381" s="68" t="str">
        <f>IF(main!BC384="","",ROUND(main!BC384*100,6))</f>
        <v/>
      </c>
      <c r="AR381" s="68" t="str">
        <f>IF(main!BD384="","",ROUND(main!BD384*100,6))</f>
        <v/>
      </c>
      <c r="AS381" s="68" t="str">
        <f>IF(main!BE384="","",ROUND(main!BE384*100,6))</f>
        <v/>
      </c>
      <c r="AT381" s="68" t="str">
        <f>IF(main!BF384="","",ROUND(main!BF384*100,6))</f>
        <v/>
      </c>
      <c r="AU381" s="68" t="str">
        <f>IF(main!BG384="","",ROUND(main!BG384*100,6))</f>
        <v/>
      </c>
      <c r="AV381" s="68" t="str">
        <f>IF(main!BH384="","",ROUND(main!BH384*100,6))</f>
        <v/>
      </c>
      <c r="AW381" s="68" t="str">
        <f>IF(main!BI384="","",ROUND(main!BI384*100,6))</f>
        <v/>
      </c>
      <c r="AX381" s="68" t="str">
        <f>IF(main!BJ384="","",ROUND(main!BJ384*100,6))</f>
        <v/>
      </c>
      <c r="AY381" s="68" t="str">
        <f>IF(main!BK384="","",ROUND(main!BK384*100,6))</f>
        <v/>
      </c>
      <c r="AZ381" s="68" t="str">
        <f>IF(main!BL384="","",ROUND(main!BL384*100,6))</f>
        <v/>
      </c>
      <c r="BA381" s="68" t="str">
        <f>IF(main!BM384="","",ROUND(main!BM384*100,6))</f>
        <v/>
      </c>
      <c r="BB381" s="68" t="str">
        <f>IF(main!BN384="","",ROUND(main!BN384*100,6))</f>
        <v/>
      </c>
      <c r="BC381" s="68" t="str">
        <f>IF(main!BO384="","",ROUND(main!BO384*100,6))</f>
        <v/>
      </c>
      <c r="BD381" s="68" t="str">
        <f>IF(main!BP384="","",ROUND(main!BP384*100,6))</f>
        <v/>
      </c>
      <c r="BE381" s="68" t="str">
        <f>IF(main!BQ384="","",ROUND(main!BQ384*100,6))</f>
        <v/>
      </c>
      <c r="BF381" s="68" t="str">
        <f>IF(main!BR384="","",ROUND(main!BR384*100,6))</f>
        <v/>
      </c>
      <c r="BG381" s="68" t="str">
        <f>IF(main!BS384="","",ROUND(main!BS384*100,6))</f>
        <v/>
      </c>
      <c r="BH381" s="68" t="str">
        <f>IF(main!BT384="","",ROUND(main!BT384*100,6))</f>
        <v/>
      </c>
      <c r="BI381" s="68" t="str">
        <f>IF(main!BU384="","",ROUND(main!BU384*100,6))</f>
        <v/>
      </c>
      <c r="BJ381" s="68" t="str">
        <f>IF(main!BV384="","",ROUND(main!BV384*100,6))</f>
        <v/>
      </c>
      <c r="BK381" s="68" t="str">
        <f>IF(main!BW384="","",ROUND(main!BW384*100,6))</f>
        <v/>
      </c>
      <c r="BL381" s="68" t="str">
        <f>IF(main!BX384="","",ROUND(main!BX384*100,6))</f>
        <v/>
      </c>
      <c r="BM381" s="68" t="str">
        <f>IF(main!BY384="","",ROUND(main!BY384*100,6))</f>
        <v/>
      </c>
      <c r="BN381" s="68" t="str">
        <f>IF(main!BZ384="","",ROUND(main!BZ384*100,6))</f>
        <v/>
      </c>
      <c r="BO381" s="68" t="str">
        <f>IF(main!CA384="","",ROUND(main!CA384*100,6))</f>
        <v/>
      </c>
      <c r="BP381" s="68" t="str">
        <f>IF(main!CB384="","",ROUND(main!CB384*100,6))</f>
        <v/>
      </c>
      <c r="BQ381" s="68" t="str">
        <f>IF(main!CC384="","",ROUND(main!CC384*100,6))</f>
        <v/>
      </c>
      <c r="BR381" s="68" t="str">
        <f>IF(main!CD384="","",ROUND(main!CD384*100,6))</f>
        <v/>
      </c>
      <c r="BS381" s="68" t="str">
        <f>IF(main!CE384="","",ROUND(main!CE384*100,6))</f>
        <v/>
      </c>
      <c r="BT381" s="68" t="str">
        <f>IF(main!CF384="","",ROUND(main!CF384*100,6))</f>
        <v/>
      </c>
      <c r="BU381" s="68" t="str">
        <f>IF(main!CG384="","",ROUND(main!CG384*100,6))</f>
        <v/>
      </c>
      <c r="BV381" s="68" t="str">
        <f>IF(main!CH384="","",ROUND(main!CH384*100,6))</f>
        <v/>
      </c>
      <c r="BW381" s="68" t="str">
        <f>IF(main!CI384="","",ROUND(main!CI384*100,6))</f>
        <v/>
      </c>
      <c r="BX381" s="68" t="str">
        <f>IF(main!CJ384="","",ROUND(main!CJ384*100,6))</f>
        <v/>
      </c>
      <c r="BY381" s="68" t="str">
        <f>IF(main!CK384="","",ROUND(main!CK384*100,6))</f>
        <v/>
      </c>
      <c r="BZ381" s="68" t="str">
        <f>IF(main!CL384="","",ROUND(main!CL384*100,6))</f>
        <v/>
      </c>
      <c r="CA381" s="68" t="str">
        <f>IF(main!CM384="","",ROUND(main!CM384*100,6))</f>
        <v/>
      </c>
      <c r="CB381" s="68" t="str">
        <f>IF(main!CN384="","",ROUND(main!CN384*100,6))</f>
        <v/>
      </c>
      <c r="CC381" s="68" t="str">
        <f>IF(main!CO384="","",ROUND(main!CO384*100,6))</f>
        <v/>
      </c>
    </row>
    <row r="382" spans="1:81" x14ac:dyDescent="0.25">
      <c r="A382" s="65" t="s">
        <v>542</v>
      </c>
      <c r="B382" s="66" t="str">
        <f>main!C385</f>
        <v>พื้นหินอ่อน</v>
      </c>
      <c r="C382" s="67">
        <f>main!O385</f>
        <v>100000</v>
      </c>
      <c r="D382" s="65" t="s">
        <v>110</v>
      </c>
      <c r="E382" s="68">
        <f t="shared" si="5"/>
        <v>100</v>
      </c>
      <c r="F382" s="68" t="str">
        <f>IF(main!R385="","",ROUND(main!R385*100,6))</f>
        <v/>
      </c>
      <c r="G382" s="68" t="str">
        <f>IF(main!S385="","",ROUND(main!S385*100,6))</f>
        <v/>
      </c>
      <c r="H382" s="68" t="str">
        <f>IF(main!T385="","",ROUND(main!T385*100,6))</f>
        <v/>
      </c>
      <c r="I382" s="68" t="str">
        <f>IF(main!U385="","",ROUND(main!U385*100,6))</f>
        <v/>
      </c>
      <c r="J382" s="68" t="str">
        <f>IF(main!V385="","",ROUND(main!V385*100,6))</f>
        <v/>
      </c>
      <c r="K382" s="68" t="str">
        <f>IF(main!W385="","",ROUND(main!W385*100,6))</f>
        <v/>
      </c>
      <c r="L382" s="68" t="str">
        <f>IF(main!X385="","",ROUND(main!X385*100,6))</f>
        <v/>
      </c>
      <c r="M382" s="68" t="str">
        <f>IF(main!Y385="","",ROUND(main!Y385*100,6))</f>
        <v/>
      </c>
      <c r="N382" s="68" t="str">
        <f>IF(main!Z385="","",ROUND(main!Z385*100,6))</f>
        <v/>
      </c>
      <c r="O382" s="68" t="str">
        <f>IF(main!AA385="","",ROUND(main!AA385*100,6))</f>
        <v/>
      </c>
      <c r="P382" s="68" t="str">
        <f>IF(main!AB385="","",ROUND(main!AB385*100,6))</f>
        <v/>
      </c>
      <c r="Q382" s="68" t="str">
        <f>IF(main!AC385="","",ROUND(main!AC385*100,6))</f>
        <v/>
      </c>
      <c r="R382" s="68" t="str">
        <f>IF(main!AD385="","",ROUND(main!AD385*100,6))</f>
        <v/>
      </c>
      <c r="S382" s="68" t="str">
        <f>IF(main!AE385="","",ROUND(main!AE385*100,6))</f>
        <v/>
      </c>
      <c r="T382" s="68" t="str">
        <f>IF(main!AF385="","",ROUND(main!AF385*100,6))</f>
        <v/>
      </c>
      <c r="U382" s="68" t="str">
        <f>IF(main!AG385="","",ROUND(main!AG385*100,6))</f>
        <v/>
      </c>
      <c r="V382" s="68" t="str">
        <f>IF(main!AH385="","",ROUND(main!AH385*100,6))</f>
        <v/>
      </c>
      <c r="W382" s="68" t="str">
        <f>IF(main!AI385="","",ROUND(main!AI385*100,6))</f>
        <v/>
      </c>
      <c r="X382" s="68" t="str">
        <f>IF(main!AJ385="","",ROUND(main!AJ385*100,6))</f>
        <v/>
      </c>
      <c r="Y382" s="68" t="str">
        <f>IF(main!AK385="","",ROUND(main!AK385*100,6))</f>
        <v/>
      </c>
      <c r="Z382" s="68" t="str">
        <f>IF(main!AL385="","",ROUND(main!AL385*100,6))</f>
        <v/>
      </c>
      <c r="AA382" s="68" t="str">
        <f>IF(main!AM385="","",ROUND(main!AM385*100,6))</f>
        <v/>
      </c>
      <c r="AB382" s="68" t="str">
        <f>IF(main!AN385="","",ROUND(main!AN385*100,6))</f>
        <v/>
      </c>
      <c r="AC382" s="68" t="str">
        <f>IF(main!AO385="","",ROUND(main!AO385*100,6))</f>
        <v/>
      </c>
      <c r="AD382" s="68" t="str">
        <f>IF(main!AP385="","",ROUND(main!AP385*100,6))</f>
        <v/>
      </c>
      <c r="AE382" s="68" t="str">
        <f>IF(main!AQ385="","",ROUND(main!AQ385*100,6))</f>
        <v/>
      </c>
      <c r="AF382" s="68" t="str">
        <f>IF(main!AR385="","",ROUND(main!AR385*100,6))</f>
        <v/>
      </c>
      <c r="AG382" s="68" t="str">
        <f>IF(main!AS385="","",ROUND(main!AS385*100,6))</f>
        <v/>
      </c>
      <c r="AH382" s="68" t="str">
        <f>IF(main!AT385="","",ROUND(main!AT385*100,6))</f>
        <v/>
      </c>
      <c r="AI382" s="68" t="str">
        <f>IF(main!AU385="","",ROUND(main!AU385*100,6))</f>
        <v/>
      </c>
      <c r="AJ382" s="68" t="str">
        <f>IF(main!AV385="","",ROUND(main!AV385*100,6))</f>
        <v/>
      </c>
      <c r="AK382" s="68" t="str">
        <f>IF(main!AW385="","",ROUND(main!AW385*100,6))</f>
        <v/>
      </c>
      <c r="AL382" s="68" t="str">
        <f>IF(main!AX385="","",ROUND(main!AX385*100,6))</f>
        <v/>
      </c>
      <c r="AM382" s="68" t="str">
        <f>IF(main!AY385="","",ROUND(main!AY385*100,6))</f>
        <v/>
      </c>
      <c r="AN382" s="68" t="str">
        <f>IF(main!AZ385="","",ROUND(main!AZ385*100,6))</f>
        <v/>
      </c>
      <c r="AO382" s="68" t="str">
        <f>IF(main!BA385="","",ROUND(main!BA385*100,6))</f>
        <v/>
      </c>
      <c r="AP382" s="68" t="str">
        <f>IF(main!BB385="","",ROUND(main!BB385*100,6))</f>
        <v/>
      </c>
      <c r="AQ382" s="68" t="str">
        <f>IF(main!BC385="","",ROUND(main!BC385*100,6))</f>
        <v/>
      </c>
      <c r="AR382" s="68" t="str">
        <f>IF(main!BD385="","",ROUND(main!BD385*100,6))</f>
        <v/>
      </c>
      <c r="AS382" s="68" t="str">
        <f>IF(main!BE385="","",ROUND(main!BE385*100,6))</f>
        <v/>
      </c>
      <c r="AT382" s="68" t="str">
        <f>IF(main!BF385="","",ROUND(main!BF385*100,6))</f>
        <v/>
      </c>
      <c r="AU382" s="68" t="str">
        <f>IF(main!BG385="","",ROUND(main!BG385*100,6))</f>
        <v/>
      </c>
      <c r="AV382" s="68" t="str">
        <f>IF(main!BH385="","",ROUND(main!BH385*100,6))</f>
        <v/>
      </c>
      <c r="AW382" s="68" t="str">
        <f>IF(main!BI385="","",ROUND(main!BI385*100,6))</f>
        <v/>
      </c>
      <c r="AX382" s="68" t="str">
        <f>IF(main!BJ385="","",ROUND(main!BJ385*100,6))</f>
        <v/>
      </c>
      <c r="AY382" s="68" t="str">
        <f>IF(main!BK385="","",ROUND(main!BK385*100,6))</f>
        <v/>
      </c>
      <c r="AZ382" s="68" t="str">
        <f>IF(main!BL385="","",ROUND(main!BL385*100,6))</f>
        <v/>
      </c>
      <c r="BA382" s="68" t="str">
        <f>IF(main!BM385="","",ROUND(main!BM385*100,6))</f>
        <v/>
      </c>
      <c r="BB382" s="68" t="str">
        <f>IF(main!BN385="","",ROUND(main!BN385*100,6))</f>
        <v/>
      </c>
      <c r="BC382" s="68" t="str">
        <f>IF(main!BO385="","",ROUND(main!BO385*100,6))</f>
        <v/>
      </c>
      <c r="BD382" s="68" t="str">
        <f>IF(main!BP385="","",ROUND(main!BP385*100,6))</f>
        <v/>
      </c>
      <c r="BE382" s="68" t="str">
        <f>IF(main!BQ385="","",ROUND(main!BQ385*100,6))</f>
        <v/>
      </c>
      <c r="BF382" s="68" t="str">
        <f>IF(main!BR385="","",ROUND(main!BR385*100,6))</f>
        <v/>
      </c>
      <c r="BG382" s="68" t="str">
        <f>IF(main!BS385="","",ROUND(main!BS385*100,6))</f>
        <v/>
      </c>
      <c r="BH382" s="68" t="str">
        <f>IF(main!BT385="","",ROUND(main!BT385*100,6))</f>
        <v/>
      </c>
      <c r="BI382" s="68" t="str">
        <f>IF(main!BU385="","",ROUND(main!BU385*100,6))</f>
        <v/>
      </c>
      <c r="BJ382" s="68" t="str">
        <f>IF(main!BV385="","",ROUND(main!BV385*100,6))</f>
        <v/>
      </c>
      <c r="BK382" s="68" t="str">
        <f>IF(main!BW385="","",ROUND(main!BW385*100,6))</f>
        <v/>
      </c>
      <c r="BL382" s="68" t="str">
        <f>IF(main!BX385="","",ROUND(main!BX385*100,6))</f>
        <v/>
      </c>
      <c r="BM382" s="68" t="str">
        <f>IF(main!BY385="","",ROUND(main!BY385*100,6))</f>
        <v/>
      </c>
      <c r="BN382" s="68" t="str">
        <f>IF(main!BZ385="","",ROUND(main!BZ385*100,6))</f>
        <v/>
      </c>
      <c r="BO382" s="68" t="str">
        <f>IF(main!CA385="","",ROUND(main!CA385*100,6))</f>
        <v/>
      </c>
      <c r="BP382" s="68" t="str">
        <f>IF(main!CB385="","",ROUND(main!CB385*100,6))</f>
        <v/>
      </c>
      <c r="BQ382" s="68" t="str">
        <f>IF(main!CC385="","",ROUND(main!CC385*100,6))</f>
        <v/>
      </c>
      <c r="BR382" s="68" t="str">
        <f>IF(main!CD385="","",ROUND(main!CD385*100,6))</f>
        <v/>
      </c>
      <c r="BS382" s="68" t="str">
        <f>IF(main!CE385="","",ROUND(main!CE385*100,6))</f>
        <v/>
      </c>
      <c r="BT382" s="68" t="str">
        <f>IF(main!CF385="","",ROUND(main!CF385*100,6))</f>
        <v/>
      </c>
      <c r="BU382" s="68" t="str">
        <f>IF(main!CG385="","",ROUND(main!CG385*100,6))</f>
        <v/>
      </c>
      <c r="BV382" s="68">
        <f>IF(main!CH385="","",ROUND(main!CH385*100,6))</f>
        <v>28.571428999999998</v>
      </c>
      <c r="BW382" s="68">
        <f>IF(main!CI385="","",ROUND(main!CI385*100,6))</f>
        <v>50</v>
      </c>
      <c r="BX382" s="68">
        <f>IF(main!CJ385="","",ROUND(main!CJ385*100,6))</f>
        <v>21.428571000000002</v>
      </c>
      <c r="BY382" s="68" t="str">
        <f>IF(main!CK385="","",ROUND(main!CK385*100,6))</f>
        <v/>
      </c>
      <c r="BZ382" s="68" t="str">
        <f>IF(main!CL385="","",ROUND(main!CL385*100,6))</f>
        <v/>
      </c>
      <c r="CA382" s="68" t="str">
        <f>IF(main!CM385="","",ROUND(main!CM385*100,6))</f>
        <v/>
      </c>
      <c r="CB382" s="68" t="str">
        <f>IF(main!CN385="","",ROUND(main!CN385*100,6))</f>
        <v/>
      </c>
      <c r="CC382" s="68" t="str">
        <f>IF(main!CO385="","",ROUND(main!CO385*100,6))</f>
        <v/>
      </c>
    </row>
    <row r="383" spans="1:81" x14ac:dyDescent="0.25">
      <c r="A383" s="65" t="s">
        <v>542</v>
      </c>
      <c r="B383" s="66" t="str">
        <f>main!C385</f>
        <v>พื้นหินอ่อน</v>
      </c>
      <c r="C383" s="67">
        <f>main!O385</f>
        <v>100000</v>
      </c>
      <c r="D383" s="65" t="s">
        <v>111</v>
      </c>
      <c r="E383" s="68" t="str">
        <f t="shared" si="5"/>
        <v/>
      </c>
      <c r="F383" s="68" t="str">
        <f>IF(main!R386="","",ROUND(main!R386*100,6))</f>
        <v/>
      </c>
      <c r="G383" s="68" t="str">
        <f>IF(main!S386="","",ROUND(main!S386*100,6))</f>
        <v/>
      </c>
      <c r="H383" s="68" t="str">
        <f>IF(main!T386="","",ROUND(main!T386*100,6))</f>
        <v/>
      </c>
      <c r="I383" s="68" t="str">
        <f>IF(main!U386="","",ROUND(main!U386*100,6))</f>
        <v/>
      </c>
      <c r="J383" s="68" t="str">
        <f>IF(main!V386="","",ROUND(main!V386*100,6))</f>
        <v/>
      </c>
      <c r="K383" s="68" t="str">
        <f>IF(main!W386="","",ROUND(main!W386*100,6))</f>
        <v/>
      </c>
      <c r="L383" s="68" t="str">
        <f>IF(main!X386="","",ROUND(main!X386*100,6))</f>
        <v/>
      </c>
      <c r="M383" s="68" t="str">
        <f>IF(main!Y386="","",ROUND(main!Y386*100,6))</f>
        <v/>
      </c>
      <c r="N383" s="68" t="str">
        <f>IF(main!Z386="","",ROUND(main!Z386*100,6))</f>
        <v/>
      </c>
      <c r="O383" s="68" t="str">
        <f>IF(main!AA386="","",ROUND(main!AA386*100,6))</f>
        <v/>
      </c>
      <c r="P383" s="68" t="str">
        <f>IF(main!AB386="","",ROUND(main!AB386*100,6))</f>
        <v/>
      </c>
      <c r="Q383" s="68" t="str">
        <f>IF(main!AC386="","",ROUND(main!AC386*100,6))</f>
        <v/>
      </c>
      <c r="R383" s="68" t="str">
        <f>IF(main!AD386="","",ROUND(main!AD386*100,6))</f>
        <v/>
      </c>
      <c r="S383" s="68" t="str">
        <f>IF(main!AE386="","",ROUND(main!AE386*100,6))</f>
        <v/>
      </c>
      <c r="T383" s="68" t="str">
        <f>IF(main!AF386="","",ROUND(main!AF386*100,6))</f>
        <v/>
      </c>
      <c r="U383" s="68" t="str">
        <f>IF(main!AG386="","",ROUND(main!AG386*100,6))</f>
        <v/>
      </c>
      <c r="V383" s="68" t="str">
        <f>IF(main!AH386="","",ROUND(main!AH386*100,6))</f>
        <v/>
      </c>
      <c r="W383" s="68" t="str">
        <f>IF(main!AI386="","",ROUND(main!AI386*100,6))</f>
        <v/>
      </c>
      <c r="X383" s="68" t="str">
        <f>IF(main!AJ386="","",ROUND(main!AJ386*100,6))</f>
        <v/>
      </c>
      <c r="Y383" s="68" t="str">
        <f>IF(main!AK386="","",ROUND(main!AK386*100,6))</f>
        <v/>
      </c>
      <c r="Z383" s="68" t="str">
        <f>IF(main!AL386="","",ROUND(main!AL386*100,6))</f>
        <v/>
      </c>
      <c r="AA383" s="68" t="str">
        <f>IF(main!AM386="","",ROUND(main!AM386*100,6))</f>
        <v/>
      </c>
      <c r="AB383" s="68" t="str">
        <f>IF(main!AN386="","",ROUND(main!AN386*100,6))</f>
        <v/>
      </c>
      <c r="AC383" s="68" t="str">
        <f>IF(main!AO386="","",ROUND(main!AO386*100,6))</f>
        <v/>
      </c>
      <c r="AD383" s="68" t="str">
        <f>IF(main!AP386="","",ROUND(main!AP386*100,6))</f>
        <v/>
      </c>
      <c r="AE383" s="68" t="str">
        <f>IF(main!AQ386="","",ROUND(main!AQ386*100,6))</f>
        <v/>
      </c>
      <c r="AF383" s="68" t="str">
        <f>IF(main!AR386="","",ROUND(main!AR386*100,6))</f>
        <v/>
      </c>
      <c r="AG383" s="68" t="str">
        <f>IF(main!AS386="","",ROUND(main!AS386*100,6))</f>
        <v/>
      </c>
      <c r="AH383" s="68" t="str">
        <f>IF(main!AT386="","",ROUND(main!AT386*100,6))</f>
        <v/>
      </c>
      <c r="AI383" s="68" t="str">
        <f>IF(main!AU386="","",ROUND(main!AU386*100,6))</f>
        <v/>
      </c>
      <c r="AJ383" s="68" t="str">
        <f>IF(main!AV386="","",ROUND(main!AV386*100,6))</f>
        <v/>
      </c>
      <c r="AK383" s="68" t="str">
        <f>IF(main!AW386="","",ROUND(main!AW386*100,6))</f>
        <v/>
      </c>
      <c r="AL383" s="68" t="str">
        <f>IF(main!AX386="","",ROUND(main!AX386*100,6))</f>
        <v/>
      </c>
      <c r="AM383" s="68" t="str">
        <f>IF(main!AY386="","",ROUND(main!AY386*100,6))</f>
        <v/>
      </c>
      <c r="AN383" s="68" t="str">
        <f>IF(main!AZ386="","",ROUND(main!AZ386*100,6))</f>
        <v/>
      </c>
      <c r="AO383" s="68" t="str">
        <f>IF(main!BA386="","",ROUND(main!BA386*100,6))</f>
        <v/>
      </c>
      <c r="AP383" s="68" t="str">
        <f>IF(main!BB386="","",ROUND(main!BB386*100,6))</f>
        <v/>
      </c>
      <c r="AQ383" s="68" t="str">
        <f>IF(main!BC386="","",ROUND(main!BC386*100,6))</f>
        <v/>
      </c>
      <c r="AR383" s="68" t="str">
        <f>IF(main!BD386="","",ROUND(main!BD386*100,6))</f>
        <v/>
      </c>
      <c r="AS383" s="68" t="str">
        <f>IF(main!BE386="","",ROUND(main!BE386*100,6))</f>
        <v/>
      </c>
      <c r="AT383" s="68" t="str">
        <f>IF(main!BF386="","",ROUND(main!BF386*100,6))</f>
        <v/>
      </c>
      <c r="AU383" s="68" t="str">
        <f>IF(main!BG386="","",ROUND(main!BG386*100,6))</f>
        <v/>
      </c>
      <c r="AV383" s="68" t="str">
        <f>IF(main!BH386="","",ROUND(main!BH386*100,6))</f>
        <v/>
      </c>
      <c r="AW383" s="68" t="str">
        <f>IF(main!BI386="","",ROUND(main!BI386*100,6))</f>
        <v/>
      </c>
      <c r="AX383" s="68" t="str">
        <f>IF(main!BJ386="","",ROUND(main!BJ386*100,6))</f>
        <v/>
      </c>
      <c r="AY383" s="68" t="str">
        <f>IF(main!BK386="","",ROUND(main!BK386*100,6))</f>
        <v/>
      </c>
      <c r="AZ383" s="68" t="str">
        <f>IF(main!BL386="","",ROUND(main!BL386*100,6))</f>
        <v/>
      </c>
      <c r="BA383" s="68" t="str">
        <f>IF(main!BM386="","",ROUND(main!BM386*100,6))</f>
        <v/>
      </c>
      <c r="BB383" s="68" t="str">
        <f>IF(main!BN386="","",ROUND(main!BN386*100,6))</f>
        <v/>
      </c>
      <c r="BC383" s="68" t="str">
        <f>IF(main!BO386="","",ROUND(main!BO386*100,6))</f>
        <v/>
      </c>
      <c r="BD383" s="68" t="str">
        <f>IF(main!BP386="","",ROUND(main!BP386*100,6))</f>
        <v/>
      </c>
      <c r="BE383" s="68" t="str">
        <f>IF(main!BQ386="","",ROUND(main!BQ386*100,6))</f>
        <v/>
      </c>
      <c r="BF383" s="68" t="str">
        <f>IF(main!BR386="","",ROUND(main!BR386*100,6))</f>
        <v/>
      </c>
      <c r="BG383" s="68" t="str">
        <f>IF(main!BS386="","",ROUND(main!BS386*100,6))</f>
        <v/>
      </c>
      <c r="BH383" s="68" t="str">
        <f>IF(main!BT386="","",ROUND(main!BT386*100,6))</f>
        <v/>
      </c>
      <c r="BI383" s="68" t="str">
        <f>IF(main!BU386="","",ROUND(main!BU386*100,6))</f>
        <v/>
      </c>
      <c r="BJ383" s="68" t="str">
        <f>IF(main!BV386="","",ROUND(main!BV386*100,6))</f>
        <v/>
      </c>
      <c r="BK383" s="68" t="str">
        <f>IF(main!BW386="","",ROUND(main!BW386*100,6))</f>
        <v/>
      </c>
      <c r="BL383" s="68" t="str">
        <f>IF(main!BX386="","",ROUND(main!BX386*100,6))</f>
        <v/>
      </c>
      <c r="BM383" s="68" t="str">
        <f>IF(main!BY386="","",ROUND(main!BY386*100,6))</f>
        <v/>
      </c>
      <c r="BN383" s="68" t="str">
        <f>IF(main!BZ386="","",ROUND(main!BZ386*100,6))</f>
        <v/>
      </c>
      <c r="BO383" s="68" t="str">
        <f>IF(main!CA386="","",ROUND(main!CA386*100,6))</f>
        <v/>
      </c>
      <c r="BP383" s="68" t="str">
        <f>IF(main!CB386="","",ROUND(main!CB386*100,6))</f>
        <v/>
      </c>
      <c r="BQ383" s="68" t="str">
        <f>IF(main!CC386="","",ROUND(main!CC386*100,6))</f>
        <v/>
      </c>
      <c r="BR383" s="68" t="str">
        <f>IF(main!CD386="","",ROUND(main!CD386*100,6))</f>
        <v/>
      </c>
      <c r="BS383" s="68" t="str">
        <f>IF(main!CE386="","",ROUND(main!CE386*100,6))</f>
        <v/>
      </c>
      <c r="BT383" s="68" t="str">
        <f>IF(main!CF386="","",ROUND(main!CF386*100,6))</f>
        <v/>
      </c>
      <c r="BU383" s="68" t="str">
        <f>IF(main!CG386="","",ROUND(main!CG386*100,6))</f>
        <v/>
      </c>
      <c r="BV383" s="68" t="str">
        <f>IF(main!CH386="","",ROUND(main!CH386*100,6))</f>
        <v/>
      </c>
      <c r="BW383" s="68" t="str">
        <f>IF(main!CI386="","",ROUND(main!CI386*100,6))</f>
        <v/>
      </c>
      <c r="BX383" s="68" t="str">
        <f>IF(main!CJ386="","",ROUND(main!CJ386*100,6))</f>
        <v/>
      </c>
      <c r="BY383" s="68" t="str">
        <f>IF(main!CK386="","",ROUND(main!CK386*100,6))</f>
        <v/>
      </c>
      <c r="BZ383" s="68" t="str">
        <f>IF(main!CL386="","",ROUND(main!CL386*100,6))</f>
        <v/>
      </c>
      <c r="CA383" s="68" t="str">
        <f>IF(main!CM386="","",ROUND(main!CM386*100,6))</f>
        <v/>
      </c>
      <c r="CB383" s="68" t="str">
        <f>IF(main!CN386="","",ROUND(main!CN386*100,6))</f>
        <v/>
      </c>
      <c r="CC383" s="68" t="str">
        <f>IF(main!CO386="","",ROUND(main!CO386*100,6))</f>
        <v/>
      </c>
    </row>
    <row r="384" spans="1:81" x14ac:dyDescent="0.25">
      <c r="A384" s="65" t="s">
        <v>544</v>
      </c>
      <c r="B384" s="66" t="str">
        <f>main!C387</f>
        <v>งานสีผนัง ท้องบันได</v>
      </c>
      <c r="C384" s="67">
        <f>main!O387</f>
        <v>100000</v>
      </c>
      <c r="D384" s="65" t="s">
        <v>110</v>
      </c>
      <c r="E384" s="68">
        <f t="shared" si="5"/>
        <v>100</v>
      </c>
      <c r="F384" s="68" t="str">
        <f>IF(main!R387="","",ROUND(main!R387*100,6))</f>
        <v/>
      </c>
      <c r="G384" s="68" t="str">
        <f>IF(main!S387="","",ROUND(main!S387*100,6))</f>
        <v/>
      </c>
      <c r="H384" s="68" t="str">
        <f>IF(main!T387="","",ROUND(main!T387*100,6))</f>
        <v/>
      </c>
      <c r="I384" s="68" t="str">
        <f>IF(main!U387="","",ROUND(main!U387*100,6))</f>
        <v/>
      </c>
      <c r="J384" s="68" t="str">
        <f>IF(main!V387="","",ROUND(main!V387*100,6))</f>
        <v/>
      </c>
      <c r="K384" s="68" t="str">
        <f>IF(main!W387="","",ROUND(main!W387*100,6))</f>
        <v/>
      </c>
      <c r="L384" s="68" t="str">
        <f>IF(main!X387="","",ROUND(main!X387*100,6))</f>
        <v/>
      </c>
      <c r="M384" s="68" t="str">
        <f>IF(main!Y387="","",ROUND(main!Y387*100,6))</f>
        <v/>
      </c>
      <c r="N384" s="68" t="str">
        <f>IF(main!Z387="","",ROUND(main!Z387*100,6))</f>
        <v/>
      </c>
      <c r="O384" s="68" t="str">
        <f>IF(main!AA387="","",ROUND(main!AA387*100,6))</f>
        <v/>
      </c>
      <c r="P384" s="68" t="str">
        <f>IF(main!AB387="","",ROUND(main!AB387*100,6))</f>
        <v/>
      </c>
      <c r="Q384" s="68" t="str">
        <f>IF(main!AC387="","",ROUND(main!AC387*100,6))</f>
        <v/>
      </c>
      <c r="R384" s="68" t="str">
        <f>IF(main!AD387="","",ROUND(main!AD387*100,6))</f>
        <v/>
      </c>
      <c r="S384" s="68" t="str">
        <f>IF(main!AE387="","",ROUND(main!AE387*100,6))</f>
        <v/>
      </c>
      <c r="T384" s="68" t="str">
        <f>IF(main!AF387="","",ROUND(main!AF387*100,6))</f>
        <v/>
      </c>
      <c r="U384" s="68" t="str">
        <f>IF(main!AG387="","",ROUND(main!AG387*100,6))</f>
        <v/>
      </c>
      <c r="V384" s="68" t="str">
        <f>IF(main!AH387="","",ROUND(main!AH387*100,6))</f>
        <v/>
      </c>
      <c r="W384" s="68" t="str">
        <f>IF(main!AI387="","",ROUND(main!AI387*100,6))</f>
        <v/>
      </c>
      <c r="X384" s="68" t="str">
        <f>IF(main!AJ387="","",ROUND(main!AJ387*100,6))</f>
        <v/>
      </c>
      <c r="Y384" s="68" t="str">
        <f>IF(main!AK387="","",ROUND(main!AK387*100,6))</f>
        <v/>
      </c>
      <c r="Z384" s="68" t="str">
        <f>IF(main!AL387="","",ROUND(main!AL387*100,6))</f>
        <v/>
      </c>
      <c r="AA384" s="68" t="str">
        <f>IF(main!AM387="","",ROUND(main!AM387*100,6))</f>
        <v/>
      </c>
      <c r="AB384" s="68" t="str">
        <f>IF(main!AN387="","",ROUND(main!AN387*100,6))</f>
        <v/>
      </c>
      <c r="AC384" s="68" t="str">
        <f>IF(main!AO387="","",ROUND(main!AO387*100,6))</f>
        <v/>
      </c>
      <c r="AD384" s="68" t="str">
        <f>IF(main!AP387="","",ROUND(main!AP387*100,6))</f>
        <v/>
      </c>
      <c r="AE384" s="68" t="str">
        <f>IF(main!AQ387="","",ROUND(main!AQ387*100,6))</f>
        <v/>
      </c>
      <c r="AF384" s="68" t="str">
        <f>IF(main!AR387="","",ROUND(main!AR387*100,6))</f>
        <v/>
      </c>
      <c r="AG384" s="68" t="str">
        <f>IF(main!AS387="","",ROUND(main!AS387*100,6))</f>
        <v/>
      </c>
      <c r="AH384" s="68" t="str">
        <f>IF(main!AT387="","",ROUND(main!AT387*100,6))</f>
        <v/>
      </c>
      <c r="AI384" s="68" t="str">
        <f>IF(main!AU387="","",ROUND(main!AU387*100,6))</f>
        <v/>
      </c>
      <c r="AJ384" s="68" t="str">
        <f>IF(main!AV387="","",ROUND(main!AV387*100,6))</f>
        <v/>
      </c>
      <c r="AK384" s="68" t="str">
        <f>IF(main!AW387="","",ROUND(main!AW387*100,6))</f>
        <v/>
      </c>
      <c r="AL384" s="68" t="str">
        <f>IF(main!AX387="","",ROUND(main!AX387*100,6))</f>
        <v/>
      </c>
      <c r="AM384" s="68" t="str">
        <f>IF(main!AY387="","",ROUND(main!AY387*100,6))</f>
        <v/>
      </c>
      <c r="AN384" s="68" t="str">
        <f>IF(main!AZ387="","",ROUND(main!AZ387*100,6))</f>
        <v/>
      </c>
      <c r="AO384" s="68" t="str">
        <f>IF(main!BA387="","",ROUND(main!BA387*100,6))</f>
        <v/>
      </c>
      <c r="AP384" s="68" t="str">
        <f>IF(main!BB387="","",ROUND(main!BB387*100,6))</f>
        <v/>
      </c>
      <c r="AQ384" s="68" t="str">
        <f>IF(main!BC387="","",ROUND(main!BC387*100,6))</f>
        <v/>
      </c>
      <c r="AR384" s="68" t="str">
        <f>IF(main!BD387="","",ROUND(main!BD387*100,6))</f>
        <v/>
      </c>
      <c r="AS384" s="68" t="str">
        <f>IF(main!BE387="","",ROUND(main!BE387*100,6))</f>
        <v/>
      </c>
      <c r="AT384" s="68" t="str">
        <f>IF(main!BF387="","",ROUND(main!BF387*100,6))</f>
        <v/>
      </c>
      <c r="AU384" s="68" t="str">
        <f>IF(main!BG387="","",ROUND(main!BG387*100,6))</f>
        <v/>
      </c>
      <c r="AV384" s="68" t="str">
        <f>IF(main!BH387="","",ROUND(main!BH387*100,6))</f>
        <v/>
      </c>
      <c r="AW384" s="68" t="str">
        <f>IF(main!BI387="","",ROUND(main!BI387*100,6))</f>
        <v/>
      </c>
      <c r="AX384" s="68" t="str">
        <f>IF(main!BJ387="","",ROUND(main!BJ387*100,6))</f>
        <v/>
      </c>
      <c r="AY384" s="68" t="str">
        <f>IF(main!BK387="","",ROUND(main!BK387*100,6))</f>
        <v/>
      </c>
      <c r="AZ384" s="68" t="str">
        <f>IF(main!BL387="","",ROUND(main!BL387*100,6))</f>
        <v/>
      </c>
      <c r="BA384" s="68" t="str">
        <f>IF(main!BM387="","",ROUND(main!BM387*100,6))</f>
        <v/>
      </c>
      <c r="BB384" s="68" t="str">
        <f>IF(main!BN387="","",ROUND(main!BN387*100,6))</f>
        <v/>
      </c>
      <c r="BC384" s="68" t="str">
        <f>IF(main!BO387="","",ROUND(main!BO387*100,6))</f>
        <v/>
      </c>
      <c r="BD384" s="68" t="str">
        <f>IF(main!BP387="","",ROUND(main!BP387*100,6))</f>
        <v/>
      </c>
      <c r="BE384" s="68" t="str">
        <f>IF(main!BQ387="","",ROUND(main!BQ387*100,6))</f>
        <v/>
      </c>
      <c r="BF384" s="68" t="str">
        <f>IF(main!BR387="","",ROUND(main!BR387*100,6))</f>
        <v/>
      </c>
      <c r="BG384" s="68" t="str">
        <f>IF(main!BS387="","",ROUND(main!BS387*100,6))</f>
        <v/>
      </c>
      <c r="BH384" s="68" t="str">
        <f>IF(main!BT387="","",ROUND(main!BT387*100,6))</f>
        <v/>
      </c>
      <c r="BI384" s="68" t="str">
        <f>IF(main!BU387="","",ROUND(main!BU387*100,6))</f>
        <v/>
      </c>
      <c r="BJ384" s="68" t="str">
        <f>IF(main!BV387="","",ROUND(main!BV387*100,6))</f>
        <v/>
      </c>
      <c r="BK384" s="68" t="str">
        <f>IF(main!BW387="","",ROUND(main!BW387*100,6))</f>
        <v/>
      </c>
      <c r="BL384" s="68" t="str">
        <f>IF(main!BX387="","",ROUND(main!BX387*100,6))</f>
        <v/>
      </c>
      <c r="BM384" s="68" t="str">
        <f>IF(main!BY387="","",ROUND(main!BY387*100,6))</f>
        <v/>
      </c>
      <c r="BN384" s="68" t="str">
        <f>IF(main!BZ387="","",ROUND(main!BZ387*100,6))</f>
        <v/>
      </c>
      <c r="BO384" s="68" t="str">
        <f>IF(main!CA387="","",ROUND(main!CA387*100,6))</f>
        <v/>
      </c>
      <c r="BP384" s="68" t="str">
        <f>IF(main!CB387="","",ROUND(main!CB387*100,6))</f>
        <v/>
      </c>
      <c r="BQ384" s="68" t="str">
        <f>IF(main!CC387="","",ROUND(main!CC387*100,6))</f>
        <v/>
      </c>
      <c r="BR384" s="68" t="str">
        <f>IF(main!CD387="","",ROUND(main!CD387*100,6))</f>
        <v/>
      </c>
      <c r="BS384" s="68" t="str">
        <f>IF(main!CE387="","",ROUND(main!CE387*100,6))</f>
        <v/>
      </c>
      <c r="BT384" s="68" t="str">
        <f>IF(main!CF387="","",ROUND(main!CF387*100,6))</f>
        <v/>
      </c>
      <c r="BU384" s="68" t="str">
        <f>IF(main!CG387="","",ROUND(main!CG387*100,6))</f>
        <v/>
      </c>
      <c r="BV384" s="68" t="str">
        <f>IF(main!CH387="","",ROUND(main!CH387*100,6))</f>
        <v/>
      </c>
      <c r="BW384" s="68" t="str">
        <f>IF(main!CI387="","",ROUND(main!CI387*100,6))</f>
        <v/>
      </c>
      <c r="BX384" s="68">
        <f>IF(main!CJ387="","",ROUND(main!CJ387*100,6))</f>
        <v>57.142856999999999</v>
      </c>
      <c r="BY384" s="68">
        <f>IF(main!CK387="","",ROUND(main!CK387*100,6))</f>
        <v>42.857143000000001</v>
      </c>
      <c r="BZ384" s="68" t="str">
        <f>IF(main!CL387="","",ROUND(main!CL387*100,6))</f>
        <v/>
      </c>
      <c r="CA384" s="68" t="str">
        <f>IF(main!CM387="","",ROUND(main!CM387*100,6))</f>
        <v/>
      </c>
      <c r="CB384" s="68" t="str">
        <f>IF(main!CN387="","",ROUND(main!CN387*100,6))</f>
        <v/>
      </c>
      <c r="CC384" s="68" t="str">
        <f>IF(main!CO387="","",ROUND(main!CO387*100,6))</f>
        <v/>
      </c>
    </row>
    <row r="385" spans="1:81" x14ac:dyDescent="0.25">
      <c r="A385" s="65" t="s">
        <v>544</v>
      </c>
      <c r="B385" s="66" t="str">
        <f>main!C387</f>
        <v>งานสีผนัง ท้องบันได</v>
      </c>
      <c r="C385" s="67">
        <f>main!O387</f>
        <v>100000</v>
      </c>
      <c r="D385" s="65" t="s">
        <v>111</v>
      </c>
      <c r="E385" s="68" t="str">
        <f t="shared" si="5"/>
        <v/>
      </c>
      <c r="F385" s="68" t="str">
        <f>IF(main!R388="","",ROUND(main!R388*100,6))</f>
        <v/>
      </c>
      <c r="G385" s="68" t="str">
        <f>IF(main!S388="","",ROUND(main!S388*100,6))</f>
        <v/>
      </c>
      <c r="H385" s="68" t="str">
        <f>IF(main!T388="","",ROUND(main!T388*100,6))</f>
        <v/>
      </c>
      <c r="I385" s="68" t="str">
        <f>IF(main!U388="","",ROUND(main!U388*100,6))</f>
        <v/>
      </c>
      <c r="J385" s="68" t="str">
        <f>IF(main!V388="","",ROUND(main!V388*100,6))</f>
        <v/>
      </c>
      <c r="K385" s="68" t="str">
        <f>IF(main!W388="","",ROUND(main!W388*100,6))</f>
        <v/>
      </c>
      <c r="L385" s="68" t="str">
        <f>IF(main!X388="","",ROUND(main!X388*100,6))</f>
        <v/>
      </c>
      <c r="M385" s="68" t="str">
        <f>IF(main!Y388="","",ROUND(main!Y388*100,6))</f>
        <v/>
      </c>
      <c r="N385" s="68" t="str">
        <f>IF(main!Z388="","",ROUND(main!Z388*100,6))</f>
        <v/>
      </c>
      <c r="O385" s="68" t="str">
        <f>IF(main!AA388="","",ROUND(main!AA388*100,6))</f>
        <v/>
      </c>
      <c r="P385" s="68" t="str">
        <f>IF(main!AB388="","",ROUND(main!AB388*100,6))</f>
        <v/>
      </c>
      <c r="Q385" s="68" t="str">
        <f>IF(main!AC388="","",ROUND(main!AC388*100,6))</f>
        <v/>
      </c>
      <c r="R385" s="68" t="str">
        <f>IF(main!AD388="","",ROUND(main!AD388*100,6))</f>
        <v/>
      </c>
      <c r="S385" s="68" t="str">
        <f>IF(main!AE388="","",ROUND(main!AE388*100,6))</f>
        <v/>
      </c>
      <c r="T385" s="68" t="str">
        <f>IF(main!AF388="","",ROUND(main!AF388*100,6))</f>
        <v/>
      </c>
      <c r="U385" s="68" t="str">
        <f>IF(main!AG388="","",ROUND(main!AG388*100,6))</f>
        <v/>
      </c>
      <c r="V385" s="68" t="str">
        <f>IF(main!AH388="","",ROUND(main!AH388*100,6))</f>
        <v/>
      </c>
      <c r="W385" s="68" t="str">
        <f>IF(main!AI388="","",ROUND(main!AI388*100,6))</f>
        <v/>
      </c>
      <c r="X385" s="68" t="str">
        <f>IF(main!AJ388="","",ROUND(main!AJ388*100,6))</f>
        <v/>
      </c>
      <c r="Y385" s="68" t="str">
        <f>IF(main!AK388="","",ROUND(main!AK388*100,6))</f>
        <v/>
      </c>
      <c r="Z385" s="68" t="str">
        <f>IF(main!AL388="","",ROUND(main!AL388*100,6))</f>
        <v/>
      </c>
      <c r="AA385" s="68" t="str">
        <f>IF(main!AM388="","",ROUND(main!AM388*100,6))</f>
        <v/>
      </c>
      <c r="AB385" s="68" t="str">
        <f>IF(main!AN388="","",ROUND(main!AN388*100,6))</f>
        <v/>
      </c>
      <c r="AC385" s="68" t="str">
        <f>IF(main!AO388="","",ROUND(main!AO388*100,6))</f>
        <v/>
      </c>
      <c r="AD385" s="68" t="str">
        <f>IF(main!AP388="","",ROUND(main!AP388*100,6))</f>
        <v/>
      </c>
      <c r="AE385" s="68" t="str">
        <f>IF(main!AQ388="","",ROUND(main!AQ388*100,6))</f>
        <v/>
      </c>
      <c r="AF385" s="68" t="str">
        <f>IF(main!AR388="","",ROUND(main!AR388*100,6))</f>
        <v/>
      </c>
      <c r="AG385" s="68" t="str">
        <f>IF(main!AS388="","",ROUND(main!AS388*100,6))</f>
        <v/>
      </c>
      <c r="AH385" s="68" t="str">
        <f>IF(main!AT388="","",ROUND(main!AT388*100,6))</f>
        <v/>
      </c>
      <c r="AI385" s="68" t="str">
        <f>IF(main!AU388="","",ROUND(main!AU388*100,6))</f>
        <v/>
      </c>
      <c r="AJ385" s="68" t="str">
        <f>IF(main!AV388="","",ROUND(main!AV388*100,6))</f>
        <v/>
      </c>
      <c r="AK385" s="68" t="str">
        <f>IF(main!AW388="","",ROUND(main!AW388*100,6))</f>
        <v/>
      </c>
      <c r="AL385" s="68" t="str">
        <f>IF(main!AX388="","",ROUND(main!AX388*100,6))</f>
        <v/>
      </c>
      <c r="AM385" s="68" t="str">
        <f>IF(main!AY388="","",ROUND(main!AY388*100,6))</f>
        <v/>
      </c>
      <c r="AN385" s="68" t="str">
        <f>IF(main!AZ388="","",ROUND(main!AZ388*100,6))</f>
        <v/>
      </c>
      <c r="AO385" s="68" t="str">
        <f>IF(main!BA388="","",ROUND(main!BA388*100,6))</f>
        <v/>
      </c>
      <c r="AP385" s="68" t="str">
        <f>IF(main!BB388="","",ROUND(main!BB388*100,6))</f>
        <v/>
      </c>
      <c r="AQ385" s="68" t="str">
        <f>IF(main!BC388="","",ROUND(main!BC388*100,6))</f>
        <v/>
      </c>
      <c r="AR385" s="68" t="str">
        <f>IF(main!BD388="","",ROUND(main!BD388*100,6))</f>
        <v/>
      </c>
      <c r="AS385" s="68" t="str">
        <f>IF(main!BE388="","",ROUND(main!BE388*100,6))</f>
        <v/>
      </c>
      <c r="AT385" s="68" t="str">
        <f>IF(main!BF388="","",ROUND(main!BF388*100,6))</f>
        <v/>
      </c>
      <c r="AU385" s="68" t="str">
        <f>IF(main!BG388="","",ROUND(main!BG388*100,6))</f>
        <v/>
      </c>
      <c r="AV385" s="68" t="str">
        <f>IF(main!BH388="","",ROUND(main!BH388*100,6))</f>
        <v/>
      </c>
      <c r="AW385" s="68" t="str">
        <f>IF(main!BI388="","",ROUND(main!BI388*100,6))</f>
        <v/>
      </c>
      <c r="AX385" s="68" t="str">
        <f>IF(main!BJ388="","",ROUND(main!BJ388*100,6))</f>
        <v/>
      </c>
      <c r="AY385" s="68" t="str">
        <f>IF(main!BK388="","",ROUND(main!BK388*100,6))</f>
        <v/>
      </c>
      <c r="AZ385" s="68" t="str">
        <f>IF(main!BL388="","",ROUND(main!BL388*100,6))</f>
        <v/>
      </c>
      <c r="BA385" s="68" t="str">
        <f>IF(main!BM388="","",ROUND(main!BM388*100,6))</f>
        <v/>
      </c>
      <c r="BB385" s="68" t="str">
        <f>IF(main!BN388="","",ROUND(main!BN388*100,6))</f>
        <v/>
      </c>
      <c r="BC385" s="68" t="str">
        <f>IF(main!BO388="","",ROUND(main!BO388*100,6))</f>
        <v/>
      </c>
      <c r="BD385" s="68" t="str">
        <f>IF(main!BP388="","",ROUND(main!BP388*100,6))</f>
        <v/>
      </c>
      <c r="BE385" s="68" t="str">
        <f>IF(main!BQ388="","",ROUND(main!BQ388*100,6))</f>
        <v/>
      </c>
      <c r="BF385" s="68" t="str">
        <f>IF(main!BR388="","",ROUND(main!BR388*100,6))</f>
        <v/>
      </c>
      <c r="BG385" s="68" t="str">
        <f>IF(main!BS388="","",ROUND(main!BS388*100,6))</f>
        <v/>
      </c>
      <c r="BH385" s="68" t="str">
        <f>IF(main!BT388="","",ROUND(main!BT388*100,6))</f>
        <v/>
      </c>
      <c r="BI385" s="68" t="str">
        <f>IF(main!BU388="","",ROUND(main!BU388*100,6))</f>
        <v/>
      </c>
      <c r="BJ385" s="68" t="str">
        <f>IF(main!BV388="","",ROUND(main!BV388*100,6))</f>
        <v/>
      </c>
      <c r="BK385" s="68" t="str">
        <f>IF(main!BW388="","",ROUND(main!BW388*100,6))</f>
        <v/>
      </c>
      <c r="BL385" s="68" t="str">
        <f>IF(main!BX388="","",ROUND(main!BX388*100,6))</f>
        <v/>
      </c>
      <c r="BM385" s="68" t="str">
        <f>IF(main!BY388="","",ROUND(main!BY388*100,6))</f>
        <v/>
      </c>
      <c r="BN385" s="68" t="str">
        <f>IF(main!BZ388="","",ROUND(main!BZ388*100,6))</f>
        <v/>
      </c>
      <c r="BO385" s="68" t="str">
        <f>IF(main!CA388="","",ROUND(main!CA388*100,6))</f>
        <v/>
      </c>
      <c r="BP385" s="68" t="str">
        <f>IF(main!CB388="","",ROUND(main!CB388*100,6))</f>
        <v/>
      </c>
      <c r="BQ385" s="68" t="str">
        <f>IF(main!CC388="","",ROUND(main!CC388*100,6))</f>
        <v/>
      </c>
      <c r="BR385" s="68" t="str">
        <f>IF(main!CD388="","",ROUND(main!CD388*100,6))</f>
        <v/>
      </c>
      <c r="BS385" s="68" t="str">
        <f>IF(main!CE388="","",ROUND(main!CE388*100,6))</f>
        <v/>
      </c>
      <c r="BT385" s="68" t="str">
        <f>IF(main!CF388="","",ROUND(main!CF388*100,6))</f>
        <v/>
      </c>
      <c r="BU385" s="68" t="str">
        <f>IF(main!CG388="","",ROUND(main!CG388*100,6))</f>
        <v/>
      </c>
      <c r="BV385" s="68" t="str">
        <f>IF(main!CH388="","",ROUND(main!CH388*100,6))</f>
        <v/>
      </c>
      <c r="BW385" s="68" t="str">
        <f>IF(main!CI388="","",ROUND(main!CI388*100,6))</f>
        <v/>
      </c>
      <c r="BX385" s="68" t="str">
        <f>IF(main!CJ388="","",ROUND(main!CJ388*100,6))</f>
        <v/>
      </c>
      <c r="BY385" s="68" t="str">
        <f>IF(main!CK388="","",ROUND(main!CK388*100,6))</f>
        <v/>
      </c>
      <c r="BZ385" s="68" t="str">
        <f>IF(main!CL388="","",ROUND(main!CL388*100,6))</f>
        <v/>
      </c>
      <c r="CA385" s="68" t="str">
        <f>IF(main!CM388="","",ROUND(main!CM388*100,6))</f>
        <v/>
      </c>
      <c r="CB385" s="68" t="str">
        <f>IF(main!CN388="","",ROUND(main!CN388*100,6))</f>
        <v/>
      </c>
      <c r="CC385" s="68" t="str">
        <f>IF(main!CO388="","",ROUND(main!CO388*100,6))</f>
        <v/>
      </c>
    </row>
    <row r="386" spans="1:81" x14ac:dyDescent="0.25">
      <c r="A386" s="65" t="s">
        <v>546</v>
      </c>
      <c r="B386" s="66" t="str">
        <f>main!C389</f>
        <v>งานตกแต่งภายใน</v>
      </c>
      <c r="C386" s="67">
        <f>main!O389</f>
        <v>1400000</v>
      </c>
      <c r="D386" s="65" t="s">
        <v>110</v>
      </c>
      <c r="E386" s="68">
        <f t="shared" ref="E386:E449" si="6">IF(COUNT(F386:CC386)=0,"",ROUND(SUM(F386:CC386),6))</f>
        <v>99.999999000000003</v>
      </c>
      <c r="F386" s="68" t="str">
        <f>IF(main!R389="","",ROUND(main!R389*100,6))</f>
        <v/>
      </c>
      <c r="G386" s="68" t="str">
        <f>IF(main!S389="","",ROUND(main!S389*100,6))</f>
        <v/>
      </c>
      <c r="H386" s="68" t="str">
        <f>IF(main!T389="","",ROUND(main!T389*100,6))</f>
        <v/>
      </c>
      <c r="I386" s="68" t="str">
        <f>IF(main!U389="","",ROUND(main!U389*100,6))</f>
        <v/>
      </c>
      <c r="J386" s="68" t="str">
        <f>IF(main!V389="","",ROUND(main!V389*100,6))</f>
        <v/>
      </c>
      <c r="K386" s="68" t="str">
        <f>IF(main!W389="","",ROUND(main!W389*100,6))</f>
        <v/>
      </c>
      <c r="L386" s="68" t="str">
        <f>IF(main!X389="","",ROUND(main!X389*100,6))</f>
        <v/>
      </c>
      <c r="M386" s="68" t="str">
        <f>IF(main!Y389="","",ROUND(main!Y389*100,6))</f>
        <v/>
      </c>
      <c r="N386" s="68" t="str">
        <f>IF(main!Z389="","",ROUND(main!Z389*100,6))</f>
        <v/>
      </c>
      <c r="O386" s="68" t="str">
        <f>IF(main!AA389="","",ROUND(main!AA389*100,6))</f>
        <v/>
      </c>
      <c r="P386" s="68" t="str">
        <f>IF(main!AB389="","",ROUND(main!AB389*100,6))</f>
        <v/>
      </c>
      <c r="Q386" s="68" t="str">
        <f>IF(main!AC389="","",ROUND(main!AC389*100,6))</f>
        <v/>
      </c>
      <c r="R386" s="68" t="str">
        <f>IF(main!AD389="","",ROUND(main!AD389*100,6))</f>
        <v/>
      </c>
      <c r="S386" s="68" t="str">
        <f>IF(main!AE389="","",ROUND(main!AE389*100,6))</f>
        <v/>
      </c>
      <c r="T386" s="68" t="str">
        <f>IF(main!AF389="","",ROUND(main!AF389*100,6))</f>
        <v/>
      </c>
      <c r="U386" s="68" t="str">
        <f>IF(main!AG389="","",ROUND(main!AG389*100,6))</f>
        <v/>
      </c>
      <c r="V386" s="68" t="str">
        <f>IF(main!AH389="","",ROUND(main!AH389*100,6))</f>
        <v/>
      </c>
      <c r="W386" s="68" t="str">
        <f>IF(main!AI389="","",ROUND(main!AI389*100,6))</f>
        <v/>
      </c>
      <c r="X386" s="68" t="str">
        <f>IF(main!AJ389="","",ROUND(main!AJ389*100,6))</f>
        <v/>
      </c>
      <c r="Y386" s="68" t="str">
        <f>IF(main!AK389="","",ROUND(main!AK389*100,6))</f>
        <v/>
      </c>
      <c r="Z386" s="68" t="str">
        <f>IF(main!AL389="","",ROUND(main!AL389*100,6))</f>
        <v/>
      </c>
      <c r="AA386" s="68" t="str">
        <f>IF(main!AM389="","",ROUND(main!AM389*100,6))</f>
        <v/>
      </c>
      <c r="AB386" s="68" t="str">
        <f>IF(main!AN389="","",ROUND(main!AN389*100,6))</f>
        <v/>
      </c>
      <c r="AC386" s="68" t="str">
        <f>IF(main!AO389="","",ROUND(main!AO389*100,6))</f>
        <v/>
      </c>
      <c r="AD386" s="68" t="str">
        <f>IF(main!AP389="","",ROUND(main!AP389*100,6))</f>
        <v/>
      </c>
      <c r="AE386" s="68" t="str">
        <f>IF(main!AQ389="","",ROUND(main!AQ389*100,6))</f>
        <v/>
      </c>
      <c r="AF386" s="68" t="str">
        <f>IF(main!AR389="","",ROUND(main!AR389*100,6))</f>
        <v/>
      </c>
      <c r="AG386" s="68" t="str">
        <f>IF(main!AS389="","",ROUND(main!AS389*100,6))</f>
        <v/>
      </c>
      <c r="AH386" s="68" t="str">
        <f>IF(main!AT389="","",ROUND(main!AT389*100,6))</f>
        <v/>
      </c>
      <c r="AI386" s="68" t="str">
        <f>IF(main!AU389="","",ROUND(main!AU389*100,6))</f>
        <v/>
      </c>
      <c r="AJ386" s="68" t="str">
        <f>IF(main!AV389="","",ROUND(main!AV389*100,6))</f>
        <v/>
      </c>
      <c r="AK386" s="68" t="str">
        <f>IF(main!AW389="","",ROUND(main!AW389*100,6))</f>
        <v/>
      </c>
      <c r="AL386" s="68" t="str">
        <f>IF(main!AX389="","",ROUND(main!AX389*100,6))</f>
        <v/>
      </c>
      <c r="AM386" s="68" t="str">
        <f>IF(main!AY389="","",ROUND(main!AY389*100,6))</f>
        <v/>
      </c>
      <c r="AN386" s="68" t="str">
        <f>IF(main!AZ389="","",ROUND(main!AZ389*100,6))</f>
        <v/>
      </c>
      <c r="AO386" s="68" t="str">
        <f>IF(main!BA389="","",ROUND(main!BA389*100,6))</f>
        <v/>
      </c>
      <c r="AP386" s="68" t="str">
        <f>IF(main!BB389="","",ROUND(main!BB389*100,6))</f>
        <v/>
      </c>
      <c r="AQ386" s="68" t="str">
        <f>IF(main!BC389="","",ROUND(main!BC389*100,6))</f>
        <v/>
      </c>
      <c r="AR386" s="68" t="str">
        <f>IF(main!BD389="","",ROUND(main!BD389*100,6))</f>
        <v/>
      </c>
      <c r="AS386" s="68" t="str">
        <f>IF(main!BE389="","",ROUND(main!BE389*100,6))</f>
        <v/>
      </c>
      <c r="AT386" s="68" t="str">
        <f>IF(main!BF389="","",ROUND(main!BF389*100,6))</f>
        <v/>
      </c>
      <c r="AU386" s="68" t="str">
        <f>IF(main!BG389="","",ROUND(main!BG389*100,6))</f>
        <v/>
      </c>
      <c r="AV386" s="68" t="str">
        <f>IF(main!BH389="","",ROUND(main!BH389*100,6))</f>
        <v/>
      </c>
      <c r="AW386" s="68" t="str">
        <f>IF(main!BI389="","",ROUND(main!BI389*100,6))</f>
        <v/>
      </c>
      <c r="AX386" s="68" t="str">
        <f>IF(main!BJ389="","",ROUND(main!BJ389*100,6))</f>
        <v/>
      </c>
      <c r="AY386" s="68" t="str">
        <f>IF(main!BK389="","",ROUND(main!BK389*100,6))</f>
        <v/>
      </c>
      <c r="AZ386" s="68" t="str">
        <f>IF(main!BL389="","",ROUND(main!BL389*100,6))</f>
        <v/>
      </c>
      <c r="BA386" s="68" t="str">
        <f>IF(main!BM389="","",ROUND(main!BM389*100,6))</f>
        <v/>
      </c>
      <c r="BB386" s="68" t="str">
        <f>IF(main!BN389="","",ROUND(main!BN389*100,6))</f>
        <v/>
      </c>
      <c r="BC386" s="68" t="str">
        <f>IF(main!BO389="","",ROUND(main!BO389*100,6))</f>
        <v/>
      </c>
      <c r="BD386" s="68" t="str">
        <f>IF(main!BP389="","",ROUND(main!BP389*100,6))</f>
        <v/>
      </c>
      <c r="BE386" s="68" t="str">
        <f>IF(main!BQ389="","",ROUND(main!BQ389*100,6))</f>
        <v/>
      </c>
      <c r="BF386" s="68" t="str">
        <f>IF(main!BR389="","",ROUND(main!BR389*100,6))</f>
        <v/>
      </c>
      <c r="BG386" s="68" t="str">
        <f>IF(main!BS389="","",ROUND(main!BS389*100,6))</f>
        <v/>
      </c>
      <c r="BH386" s="68" t="str">
        <f>IF(main!BT389="","",ROUND(main!BT389*100,6))</f>
        <v/>
      </c>
      <c r="BI386" s="68" t="str">
        <f>IF(main!BU389="","",ROUND(main!BU389*100,6))</f>
        <v/>
      </c>
      <c r="BJ386" s="68">
        <f>IF(main!BV389="","",ROUND(main!BV389*100,6))</f>
        <v>1.5306120000000001</v>
      </c>
      <c r="BK386" s="68">
        <f>IF(main!BW389="","",ROUND(main!BW389*100,6))</f>
        <v>5.6122449999999997</v>
      </c>
      <c r="BL386" s="68">
        <f>IF(main!BX389="","",ROUND(main!BX389*100,6))</f>
        <v>6.1224489999999996</v>
      </c>
      <c r="BM386" s="68">
        <f>IF(main!BY389="","",ROUND(main!BY389*100,6))</f>
        <v>5.6122449999999997</v>
      </c>
      <c r="BN386" s="68">
        <f>IF(main!BZ389="","",ROUND(main!BZ389*100,6))</f>
        <v>10.204082</v>
      </c>
      <c r="BO386" s="68">
        <f>IF(main!CA389="","",ROUND(main!CA389*100,6))</f>
        <v>8.1632650000000009</v>
      </c>
      <c r="BP386" s="68">
        <f>IF(main!CB389="","",ROUND(main!CB389*100,6))</f>
        <v>7.1428570000000002</v>
      </c>
      <c r="BQ386" s="68">
        <f>IF(main!CC389="","",ROUND(main!CC389*100,6))</f>
        <v>7.057823</v>
      </c>
      <c r="BR386" s="68">
        <f>IF(main!CD389="","",ROUND(main!CD389*100,6))</f>
        <v>7.7380950000000004</v>
      </c>
      <c r="BS386" s="68">
        <f>IF(main!CE389="","",ROUND(main!CE389*100,6))</f>
        <v>7.7380950000000004</v>
      </c>
      <c r="BT386" s="68">
        <f>IF(main!CF389="","",ROUND(main!CF389*100,6))</f>
        <v>7.057823</v>
      </c>
      <c r="BU386" s="68">
        <f>IF(main!CG389="","",ROUND(main!CG389*100,6))</f>
        <v>6.9727889999999997</v>
      </c>
      <c r="BV386" s="68">
        <f>IF(main!CH389="","",ROUND(main!CH389*100,6))</f>
        <v>5.9523809999999999</v>
      </c>
      <c r="BW386" s="68">
        <f>IF(main!CI389="","",ROUND(main!CI389*100,6))</f>
        <v>5.9523809999999999</v>
      </c>
      <c r="BX386" s="68">
        <f>IF(main!CJ389="","",ROUND(main!CJ389*100,6))</f>
        <v>5.6122449999999997</v>
      </c>
      <c r="BY386" s="68">
        <f>IF(main!CK389="","",ROUND(main!CK389*100,6))</f>
        <v>1.5306120000000001</v>
      </c>
      <c r="BZ386" s="68" t="str">
        <f>IF(main!CL389="","",ROUND(main!CL389*100,6))</f>
        <v/>
      </c>
      <c r="CA386" s="68" t="str">
        <f>IF(main!CM389="","",ROUND(main!CM389*100,6))</f>
        <v/>
      </c>
      <c r="CB386" s="68" t="str">
        <f>IF(main!CN389="","",ROUND(main!CN389*100,6))</f>
        <v/>
      </c>
      <c r="CC386" s="68" t="str">
        <f>IF(main!CO389="","",ROUND(main!CO389*100,6))</f>
        <v/>
      </c>
    </row>
    <row r="387" spans="1:81" x14ac:dyDescent="0.25">
      <c r="A387" s="65" t="s">
        <v>546</v>
      </c>
      <c r="B387" s="66" t="str">
        <f>main!C389</f>
        <v>งานตกแต่งภายใน</v>
      </c>
      <c r="C387" s="67">
        <f>main!O389</f>
        <v>1400000</v>
      </c>
      <c r="D387" s="65" t="s">
        <v>111</v>
      </c>
      <c r="E387" s="68" t="str">
        <f t="shared" si="6"/>
        <v/>
      </c>
      <c r="F387" s="68" t="str">
        <f>IF(main!R390="","",ROUND(main!R390*100,6))</f>
        <v/>
      </c>
      <c r="G387" s="68" t="str">
        <f>IF(main!S390="","",ROUND(main!S390*100,6))</f>
        <v/>
      </c>
      <c r="H387" s="68" t="str">
        <f>IF(main!T390="","",ROUND(main!T390*100,6))</f>
        <v/>
      </c>
      <c r="I387" s="68" t="str">
        <f>IF(main!U390="","",ROUND(main!U390*100,6))</f>
        <v/>
      </c>
      <c r="J387" s="68" t="str">
        <f>IF(main!V390="","",ROUND(main!V390*100,6))</f>
        <v/>
      </c>
      <c r="K387" s="68" t="str">
        <f>IF(main!W390="","",ROUND(main!W390*100,6))</f>
        <v/>
      </c>
      <c r="L387" s="68" t="str">
        <f>IF(main!X390="","",ROUND(main!X390*100,6))</f>
        <v/>
      </c>
      <c r="M387" s="68" t="str">
        <f>IF(main!Y390="","",ROUND(main!Y390*100,6))</f>
        <v/>
      </c>
      <c r="N387" s="68" t="str">
        <f>IF(main!Z390="","",ROUND(main!Z390*100,6))</f>
        <v/>
      </c>
      <c r="O387" s="68" t="str">
        <f>IF(main!AA390="","",ROUND(main!AA390*100,6))</f>
        <v/>
      </c>
      <c r="P387" s="68" t="str">
        <f>IF(main!AB390="","",ROUND(main!AB390*100,6))</f>
        <v/>
      </c>
      <c r="Q387" s="68" t="str">
        <f>IF(main!AC390="","",ROUND(main!AC390*100,6))</f>
        <v/>
      </c>
      <c r="R387" s="68" t="str">
        <f>IF(main!AD390="","",ROUND(main!AD390*100,6))</f>
        <v/>
      </c>
      <c r="S387" s="68" t="str">
        <f>IF(main!AE390="","",ROUND(main!AE390*100,6))</f>
        <v/>
      </c>
      <c r="T387" s="68" t="str">
        <f>IF(main!AF390="","",ROUND(main!AF390*100,6))</f>
        <v/>
      </c>
      <c r="U387" s="68" t="str">
        <f>IF(main!AG390="","",ROUND(main!AG390*100,6))</f>
        <v/>
      </c>
      <c r="V387" s="68" t="str">
        <f>IF(main!AH390="","",ROUND(main!AH390*100,6))</f>
        <v/>
      </c>
      <c r="W387" s="68" t="str">
        <f>IF(main!AI390="","",ROUND(main!AI390*100,6))</f>
        <v/>
      </c>
      <c r="X387" s="68" t="str">
        <f>IF(main!AJ390="","",ROUND(main!AJ390*100,6))</f>
        <v/>
      </c>
      <c r="Y387" s="68" t="str">
        <f>IF(main!AK390="","",ROUND(main!AK390*100,6))</f>
        <v/>
      </c>
      <c r="Z387" s="68" t="str">
        <f>IF(main!AL390="","",ROUND(main!AL390*100,6))</f>
        <v/>
      </c>
      <c r="AA387" s="68" t="str">
        <f>IF(main!AM390="","",ROUND(main!AM390*100,6))</f>
        <v/>
      </c>
      <c r="AB387" s="68" t="str">
        <f>IF(main!AN390="","",ROUND(main!AN390*100,6))</f>
        <v/>
      </c>
      <c r="AC387" s="68" t="str">
        <f>IF(main!AO390="","",ROUND(main!AO390*100,6))</f>
        <v/>
      </c>
      <c r="AD387" s="68" t="str">
        <f>IF(main!AP390="","",ROUND(main!AP390*100,6))</f>
        <v/>
      </c>
      <c r="AE387" s="68" t="str">
        <f>IF(main!AQ390="","",ROUND(main!AQ390*100,6))</f>
        <v/>
      </c>
      <c r="AF387" s="68" t="str">
        <f>IF(main!AR390="","",ROUND(main!AR390*100,6))</f>
        <v/>
      </c>
      <c r="AG387" s="68" t="str">
        <f>IF(main!AS390="","",ROUND(main!AS390*100,6))</f>
        <v/>
      </c>
      <c r="AH387" s="68" t="str">
        <f>IF(main!AT390="","",ROUND(main!AT390*100,6))</f>
        <v/>
      </c>
      <c r="AI387" s="68" t="str">
        <f>IF(main!AU390="","",ROUND(main!AU390*100,6))</f>
        <v/>
      </c>
      <c r="AJ387" s="68" t="str">
        <f>IF(main!AV390="","",ROUND(main!AV390*100,6))</f>
        <v/>
      </c>
      <c r="AK387" s="68" t="str">
        <f>IF(main!AW390="","",ROUND(main!AW390*100,6))</f>
        <v/>
      </c>
      <c r="AL387" s="68" t="str">
        <f>IF(main!AX390="","",ROUND(main!AX390*100,6))</f>
        <v/>
      </c>
      <c r="AM387" s="68" t="str">
        <f>IF(main!AY390="","",ROUND(main!AY390*100,6))</f>
        <v/>
      </c>
      <c r="AN387" s="68" t="str">
        <f>IF(main!AZ390="","",ROUND(main!AZ390*100,6))</f>
        <v/>
      </c>
      <c r="AO387" s="68" t="str">
        <f>IF(main!BA390="","",ROUND(main!BA390*100,6))</f>
        <v/>
      </c>
      <c r="AP387" s="68" t="str">
        <f>IF(main!BB390="","",ROUND(main!BB390*100,6))</f>
        <v/>
      </c>
      <c r="AQ387" s="68" t="str">
        <f>IF(main!BC390="","",ROUND(main!BC390*100,6))</f>
        <v/>
      </c>
      <c r="AR387" s="68" t="str">
        <f>IF(main!BD390="","",ROUND(main!BD390*100,6))</f>
        <v/>
      </c>
      <c r="AS387" s="68" t="str">
        <f>IF(main!BE390="","",ROUND(main!BE390*100,6))</f>
        <v/>
      </c>
      <c r="AT387" s="68" t="str">
        <f>IF(main!BF390="","",ROUND(main!BF390*100,6))</f>
        <v/>
      </c>
      <c r="AU387" s="68" t="str">
        <f>IF(main!BG390="","",ROUND(main!BG390*100,6))</f>
        <v/>
      </c>
      <c r="AV387" s="68" t="str">
        <f>IF(main!BH390="","",ROUND(main!BH390*100,6))</f>
        <v/>
      </c>
      <c r="AW387" s="68" t="str">
        <f>IF(main!BI390="","",ROUND(main!BI390*100,6))</f>
        <v/>
      </c>
      <c r="AX387" s="68" t="str">
        <f>IF(main!BJ390="","",ROUND(main!BJ390*100,6))</f>
        <v/>
      </c>
      <c r="AY387" s="68" t="str">
        <f>IF(main!BK390="","",ROUND(main!BK390*100,6))</f>
        <v/>
      </c>
      <c r="AZ387" s="68" t="str">
        <f>IF(main!BL390="","",ROUND(main!BL390*100,6))</f>
        <v/>
      </c>
      <c r="BA387" s="68" t="str">
        <f>IF(main!BM390="","",ROUND(main!BM390*100,6))</f>
        <v/>
      </c>
      <c r="BB387" s="68" t="str">
        <f>IF(main!BN390="","",ROUND(main!BN390*100,6))</f>
        <v/>
      </c>
      <c r="BC387" s="68" t="str">
        <f>IF(main!BO390="","",ROUND(main!BO390*100,6))</f>
        <v/>
      </c>
      <c r="BD387" s="68" t="str">
        <f>IF(main!BP390="","",ROUND(main!BP390*100,6))</f>
        <v/>
      </c>
      <c r="BE387" s="68" t="str">
        <f>IF(main!BQ390="","",ROUND(main!BQ390*100,6))</f>
        <v/>
      </c>
      <c r="BF387" s="68" t="str">
        <f>IF(main!BR390="","",ROUND(main!BR390*100,6))</f>
        <v/>
      </c>
      <c r="BG387" s="68" t="str">
        <f>IF(main!BS390="","",ROUND(main!BS390*100,6))</f>
        <v/>
      </c>
      <c r="BH387" s="68" t="str">
        <f>IF(main!BT390="","",ROUND(main!BT390*100,6))</f>
        <v/>
      </c>
      <c r="BI387" s="68" t="str">
        <f>IF(main!BU390="","",ROUND(main!BU390*100,6))</f>
        <v/>
      </c>
      <c r="BJ387" s="68" t="str">
        <f>IF(main!BV390="","",ROUND(main!BV390*100,6))</f>
        <v/>
      </c>
      <c r="BK387" s="68" t="str">
        <f>IF(main!BW390="","",ROUND(main!BW390*100,6))</f>
        <v/>
      </c>
      <c r="BL387" s="68" t="str">
        <f>IF(main!BX390="","",ROUND(main!BX390*100,6))</f>
        <v/>
      </c>
      <c r="BM387" s="68" t="str">
        <f>IF(main!BY390="","",ROUND(main!BY390*100,6))</f>
        <v/>
      </c>
      <c r="BN387" s="68" t="str">
        <f>IF(main!BZ390="","",ROUND(main!BZ390*100,6))</f>
        <v/>
      </c>
      <c r="BO387" s="68" t="str">
        <f>IF(main!CA390="","",ROUND(main!CA390*100,6))</f>
        <v/>
      </c>
      <c r="BP387" s="68" t="str">
        <f>IF(main!CB390="","",ROUND(main!CB390*100,6))</f>
        <v/>
      </c>
      <c r="BQ387" s="68" t="str">
        <f>IF(main!CC390="","",ROUND(main!CC390*100,6))</f>
        <v/>
      </c>
      <c r="BR387" s="68" t="str">
        <f>IF(main!CD390="","",ROUND(main!CD390*100,6))</f>
        <v/>
      </c>
      <c r="BS387" s="68" t="str">
        <f>IF(main!CE390="","",ROUND(main!CE390*100,6))</f>
        <v/>
      </c>
      <c r="BT387" s="68" t="str">
        <f>IF(main!CF390="","",ROUND(main!CF390*100,6))</f>
        <v/>
      </c>
      <c r="BU387" s="68" t="str">
        <f>IF(main!CG390="","",ROUND(main!CG390*100,6))</f>
        <v/>
      </c>
      <c r="BV387" s="68" t="str">
        <f>IF(main!CH390="","",ROUND(main!CH390*100,6))</f>
        <v/>
      </c>
      <c r="BW387" s="68" t="str">
        <f>IF(main!CI390="","",ROUND(main!CI390*100,6))</f>
        <v/>
      </c>
      <c r="BX387" s="68" t="str">
        <f>IF(main!CJ390="","",ROUND(main!CJ390*100,6))</f>
        <v/>
      </c>
      <c r="BY387" s="68" t="str">
        <f>IF(main!CK390="","",ROUND(main!CK390*100,6))</f>
        <v/>
      </c>
      <c r="BZ387" s="68" t="str">
        <f>IF(main!CL390="","",ROUND(main!CL390*100,6))</f>
        <v/>
      </c>
      <c r="CA387" s="68" t="str">
        <f>IF(main!CM390="","",ROUND(main!CM390*100,6))</f>
        <v/>
      </c>
      <c r="CB387" s="68" t="str">
        <f>IF(main!CN390="","",ROUND(main!CN390*100,6))</f>
        <v/>
      </c>
      <c r="CC387" s="68" t="str">
        <f>IF(main!CO390="","",ROUND(main!CO390*100,6))</f>
        <v/>
      </c>
    </row>
    <row r="388" spans="1:81" x14ac:dyDescent="0.25">
      <c r="A388" s="65" t="s">
        <v>548</v>
      </c>
      <c r="B388" s="66" t="str">
        <f>main!C391</f>
        <v>1st Floor</v>
      </c>
      <c r="C388" s="67">
        <f>main!O391</f>
        <v>200000</v>
      </c>
      <c r="D388" s="65" t="s">
        <v>110</v>
      </c>
      <c r="E388" s="68">
        <f t="shared" si="6"/>
        <v>100</v>
      </c>
      <c r="F388" s="68" t="str">
        <f>IF(main!R391="","",ROUND(main!R391*100,6))</f>
        <v/>
      </c>
      <c r="G388" s="68" t="str">
        <f>IF(main!S391="","",ROUND(main!S391*100,6))</f>
        <v/>
      </c>
      <c r="H388" s="68" t="str">
        <f>IF(main!T391="","",ROUND(main!T391*100,6))</f>
        <v/>
      </c>
      <c r="I388" s="68" t="str">
        <f>IF(main!U391="","",ROUND(main!U391*100,6))</f>
        <v/>
      </c>
      <c r="J388" s="68" t="str">
        <f>IF(main!V391="","",ROUND(main!V391*100,6))</f>
        <v/>
      </c>
      <c r="K388" s="68" t="str">
        <f>IF(main!W391="","",ROUND(main!W391*100,6))</f>
        <v/>
      </c>
      <c r="L388" s="68" t="str">
        <f>IF(main!X391="","",ROUND(main!X391*100,6))</f>
        <v/>
      </c>
      <c r="M388" s="68" t="str">
        <f>IF(main!Y391="","",ROUND(main!Y391*100,6))</f>
        <v/>
      </c>
      <c r="N388" s="68" t="str">
        <f>IF(main!Z391="","",ROUND(main!Z391*100,6))</f>
        <v/>
      </c>
      <c r="O388" s="68" t="str">
        <f>IF(main!AA391="","",ROUND(main!AA391*100,6))</f>
        <v/>
      </c>
      <c r="P388" s="68" t="str">
        <f>IF(main!AB391="","",ROUND(main!AB391*100,6))</f>
        <v/>
      </c>
      <c r="Q388" s="68" t="str">
        <f>IF(main!AC391="","",ROUND(main!AC391*100,6))</f>
        <v/>
      </c>
      <c r="R388" s="68" t="str">
        <f>IF(main!AD391="","",ROUND(main!AD391*100,6))</f>
        <v/>
      </c>
      <c r="S388" s="68" t="str">
        <f>IF(main!AE391="","",ROUND(main!AE391*100,6))</f>
        <v/>
      </c>
      <c r="T388" s="68" t="str">
        <f>IF(main!AF391="","",ROUND(main!AF391*100,6))</f>
        <v/>
      </c>
      <c r="U388" s="68" t="str">
        <f>IF(main!AG391="","",ROUND(main!AG391*100,6))</f>
        <v/>
      </c>
      <c r="V388" s="68" t="str">
        <f>IF(main!AH391="","",ROUND(main!AH391*100,6))</f>
        <v/>
      </c>
      <c r="W388" s="68" t="str">
        <f>IF(main!AI391="","",ROUND(main!AI391*100,6))</f>
        <v/>
      </c>
      <c r="X388" s="68" t="str">
        <f>IF(main!AJ391="","",ROUND(main!AJ391*100,6))</f>
        <v/>
      </c>
      <c r="Y388" s="68" t="str">
        <f>IF(main!AK391="","",ROUND(main!AK391*100,6))</f>
        <v/>
      </c>
      <c r="Z388" s="68" t="str">
        <f>IF(main!AL391="","",ROUND(main!AL391*100,6))</f>
        <v/>
      </c>
      <c r="AA388" s="68" t="str">
        <f>IF(main!AM391="","",ROUND(main!AM391*100,6))</f>
        <v/>
      </c>
      <c r="AB388" s="68" t="str">
        <f>IF(main!AN391="","",ROUND(main!AN391*100,6))</f>
        <v/>
      </c>
      <c r="AC388" s="68" t="str">
        <f>IF(main!AO391="","",ROUND(main!AO391*100,6))</f>
        <v/>
      </c>
      <c r="AD388" s="68" t="str">
        <f>IF(main!AP391="","",ROUND(main!AP391*100,6))</f>
        <v/>
      </c>
      <c r="AE388" s="68" t="str">
        <f>IF(main!AQ391="","",ROUND(main!AQ391*100,6))</f>
        <v/>
      </c>
      <c r="AF388" s="68" t="str">
        <f>IF(main!AR391="","",ROUND(main!AR391*100,6))</f>
        <v/>
      </c>
      <c r="AG388" s="68" t="str">
        <f>IF(main!AS391="","",ROUND(main!AS391*100,6))</f>
        <v/>
      </c>
      <c r="AH388" s="68" t="str">
        <f>IF(main!AT391="","",ROUND(main!AT391*100,6))</f>
        <v/>
      </c>
      <c r="AI388" s="68" t="str">
        <f>IF(main!AU391="","",ROUND(main!AU391*100,6))</f>
        <v/>
      </c>
      <c r="AJ388" s="68" t="str">
        <f>IF(main!AV391="","",ROUND(main!AV391*100,6))</f>
        <v/>
      </c>
      <c r="AK388" s="68" t="str">
        <f>IF(main!AW391="","",ROUND(main!AW391*100,6))</f>
        <v/>
      </c>
      <c r="AL388" s="68" t="str">
        <f>IF(main!AX391="","",ROUND(main!AX391*100,6))</f>
        <v/>
      </c>
      <c r="AM388" s="68" t="str">
        <f>IF(main!AY391="","",ROUND(main!AY391*100,6))</f>
        <v/>
      </c>
      <c r="AN388" s="68" t="str">
        <f>IF(main!AZ391="","",ROUND(main!AZ391*100,6))</f>
        <v/>
      </c>
      <c r="AO388" s="68" t="str">
        <f>IF(main!BA391="","",ROUND(main!BA391*100,6))</f>
        <v/>
      </c>
      <c r="AP388" s="68" t="str">
        <f>IF(main!BB391="","",ROUND(main!BB391*100,6))</f>
        <v/>
      </c>
      <c r="AQ388" s="68" t="str">
        <f>IF(main!BC391="","",ROUND(main!BC391*100,6))</f>
        <v/>
      </c>
      <c r="AR388" s="68" t="str">
        <f>IF(main!BD391="","",ROUND(main!BD391*100,6))</f>
        <v/>
      </c>
      <c r="AS388" s="68" t="str">
        <f>IF(main!BE391="","",ROUND(main!BE391*100,6))</f>
        <v/>
      </c>
      <c r="AT388" s="68" t="str">
        <f>IF(main!BF391="","",ROUND(main!BF391*100,6))</f>
        <v/>
      </c>
      <c r="AU388" s="68" t="str">
        <f>IF(main!BG391="","",ROUND(main!BG391*100,6))</f>
        <v/>
      </c>
      <c r="AV388" s="68" t="str">
        <f>IF(main!BH391="","",ROUND(main!BH391*100,6))</f>
        <v/>
      </c>
      <c r="AW388" s="68" t="str">
        <f>IF(main!BI391="","",ROUND(main!BI391*100,6))</f>
        <v/>
      </c>
      <c r="AX388" s="68" t="str">
        <f>IF(main!BJ391="","",ROUND(main!BJ391*100,6))</f>
        <v/>
      </c>
      <c r="AY388" s="68" t="str">
        <f>IF(main!BK391="","",ROUND(main!BK391*100,6))</f>
        <v/>
      </c>
      <c r="AZ388" s="68" t="str">
        <f>IF(main!BL391="","",ROUND(main!BL391*100,6))</f>
        <v/>
      </c>
      <c r="BA388" s="68" t="str">
        <f>IF(main!BM391="","",ROUND(main!BM391*100,6))</f>
        <v/>
      </c>
      <c r="BB388" s="68" t="str">
        <f>IF(main!BN391="","",ROUND(main!BN391*100,6))</f>
        <v/>
      </c>
      <c r="BC388" s="68" t="str">
        <f>IF(main!BO391="","",ROUND(main!BO391*100,6))</f>
        <v/>
      </c>
      <c r="BD388" s="68" t="str">
        <f>IF(main!BP391="","",ROUND(main!BP391*100,6))</f>
        <v/>
      </c>
      <c r="BE388" s="68" t="str">
        <f>IF(main!BQ391="","",ROUND(main!BQ391*100,6))</f>
        <v/>
      </c>
      <c r="BF388" s="68" t="str">
        <f>IF(main!BR391="","",ROUND(main!BR391*100,6))</f>
        <v/>
      </c>
      <c r="BG388" s="68" t="str">
        <f>IF(main!BS391="","",ROUND(main!BS391*100,6))</f>
        <v/>
      </c>
      <c r="BH388" s="68" t="str">
        <f>IF(main!BT391="","",ROUND(main!BT391*100,6))</f>
        <v/>
      </c>
      <c r="BI388" s="68" t="str">
        <f>IF(main!BU391="","",ROUND(main!BU391*100,6))</f>
        <v/>
      </c>
      <c r="BJ388" s="68">
        <f>IF(main!BV391="","",ROUND(main!BV391*100,6))</f>
        <v>10.714286</v>
      </c>
      <c r="BK388" s="68">
        <f>IF(main!BW391="","",ROUND(main!BW391*100,6))</f>
        <v>37.5</v>
      </c>
      <c r="BL388" s="68">
        <f>IF(main!BX391="","",ROUND(main!BX391*100,6))</f>
        <v>30.357143000000001</v>
      </c>
      <c r="BM388" s="68">
        <f>IF(main!BY391="","",ROUND(main!BY391*100,6))</f>
        <v>12.5</v>
      </c>
      <c r="BN388" s="68">
        <f>IF(main!BZ391="","",ROUND(main!BZ391*100,6))</f>
        <v>8.9285709999999998</v>
      </c>
      <c r="BO388" s="68" t="str">
        <f>IF(main!CA391="","",ROUND(main!CA391*100,6))</f>
        <v/>
      </c>
      <c r="BP388" s="68" t="str">
        <f>IF(main!CB391="","",ROUND(main!CB391*100,6))</f>
        <v/>
      </c>
      <c r="BQ388" s="68" t="str">
        <f>IF(main!CC391="","",ROUND(main!CC391*100,6))</f>
        <v/>
      </c>
      <c r="BR388" s="68" t="str">
        <f>IF(main!CD391="","",ROUND(main!CD391*100,6))</f>
        <v/>
      </c>
      <c r="BS388" s="68" t="str">
        <f>IF(main!CE391="","",ROUND(main!CE391*100,6))</f>
        <v/>
      </c>
      <c r="BT388" s="68" t="str">
        <f>IF(main!CF391="","",ROUND(main!CF391*100,6))</f>
        <v/>
      </c>
      <c r="BU388" s="68" t="str">
        <f>IF(main!CG391="","",ROUND(main!CG391*100,6))</f>
        <v/>
      </c>
      <c r="BV388" s="68" t="str">
        <f>IF(main!CH391="","",ROUND(main!CH391*100,6))</f>
        <v/>
      </c>
      <c r="BW388" s="68" t="str">
        <f>IF(main!CI391="","",ROUND(main!CI391*100,6))</f>
        <v/>
      </c>
      <c r="BX388" s="68" t="str">
        <f>IF(main!CJ391="","",ROUND(main!CJ391*100,6))</f>
        <v/>
      </c>
      <c r="BY388" s="68" t="str">
        <f>IF(main!CK391="","",ROUND(main!CK391*100,6))</f>
        <v/>
      </c>
      <c r="BZ388" s="68" t="str">
        <f>IF(main!CL391="","",ROUND(main!CL391*100,6))</f>
        <v/>
      </c>
      <c r="CA388" s="68" t="str">
        <f>IF(main!CM391="","",ROUND(main!CM391*100,6))</f>
        <v/>
      </c>
      <c r="CB388" s="68" t="str">
        <f>IF(main!CN391="","",ROUND(main!CN391*100,6))</f>
        <v/>
      </c>
      <c r="CC388" s="68" t="str">
        <f>IF(main!CO391="","",ROUND(main!CO391*100,6))</f>
        <v/>
      </c>
    </row>
    <row r="389" spans="1:81" x14ac:dyDescent="0.25">
      <c r="A389" s="65" t="s">
        <v>548</v>
      </c>
      <c r="B389" s="66" t="str">
        <f>main!C391</f>
        <v>1st Floor</v>
      </c>
      <c r="C389" s="67">
        <f>main!O391</f>
        <v>200000</v>
      </c>
      <c r="D389" s="65" t="s">
        <v>111</v>
      </c>
      <c r="E389" s="68" t="str">
        <f t="shared" si="6"/>
        <v/>
      </c>
      <c r="F389" s="68" t="str">
        <f>IF(main!R392="","",ROUND(main!R392*100,6))</f>
        <v/>
      </c>
      <c r="G389" s="68" t="str">
        <f>IF(main!S392="","",ROUND(main!S392*100,6))</f>
        <v/>
      </c>
      <c r="H389" s="68" t="str">
        <f>IF(main!T392="","",ROUND(main!T392*100,6))</f>
        <v/>
      </c>
      <c r="I389" s="68" t="str">
        <f>IF(main!U392="","",ROUND(main!U392*100,6))</f>
        <v/>
      </c>
      <c r="J389" s="68" t="str">
        <f>IF(main!V392="","",ROUND(main!V392*100,6))</f>
        <v/>
      </c>
      <c r="K389" s="68" t="str">
        <f>IF(main!W392="","",ROUND(main!W392*100,6))</f>
        <v/>
      </c>
      <c r="L389" s="68" t="str">
        <f>IF(main!X392="","",ROUND(main!X392*100,6))</f>
        <v/>
      </c>
      <c r="M389" s="68" t="str">
        <f>IF(main!Y392="","",ROUND(main!Y392*100,6))</f>
        <v/>
      </c>
      <c r="N389" s="68" t="str">
        <f>IF(main!Z392="","",ROUND(main!Z392*100,6))</f>
        <v/>
      </c>
      <c r="O389" s="68" t="str">
        <f>IF(main!AA392="","",ROUND(main!AA392*100,6))</f>
        <v/>
      </c>
      <c r="P389" s="68" t="str">
        <f>IF(main!AB392="","",ROUND(main!AB392*100,6))</f>
        <v/>
      </c>
      <c r="Q389" s="68" t="str">
        <f>IF(main!AC392="","",ROUND(main!AC392*100,6))</f>
        <v/>
      </c>
      <c r="R389" s="68" t="str">
        <f>IF(main!AD392="","",ROUND(main!AD392*100,6))</f>
        <v/>
      </c>
      <c r="S389" s="68" t="str">
        <f>IF(main!AE392="","",ROUND(main!AE392*100,6))</f>
        <v/>
      </c>
      <c r="T389" s="68" t="str">
        <f>IF(main!AF392="","",ROUND(main!AF392*100,6))</f>
        <v/>
      </c>
      <c r="U389" s="68" t="str">
        <f>IF(main!AG392="","",ROUND(main!AG392*100,6))</f>
        <v/>
      </c>
      <c r="V389" s="68" t="str">
        <f>IF(main!AH392="","",ROUND(main!AH392*100,6))</f>
        <v/>
      </c>
      <c r="W389" s="68" t="str">
        <f>IF(main!AI392="","",ROUND(main!AI392*100,6))</f>
        <v/>
      </c>
      <c r="X389" s="68" t="str">
        <f>IF(main!AJ392="","",ROUND(main!AJ392*100,6))</f>
        <v/>
      </c>
      <c r="Y389" s="68" t="str">
        <f>IF(main!AK392="","",ROUND(main!AK392*100,6))</f>
        <v/>
      </c>
      <c r="Z389" s="68" t="str">
        <f>IF(main!AL392="","",ROUND(main!AL392*100,6))</f>
        <v/>
      </c>
      <c r="AA389" s="68" t="str">
        <f>IF(main!AM392="","",ROUND(main!AM392*100,6))</f>
        <v/>
      </c>
      <c r="AB389" s="68" t="str">
        <f>IF(main!AN392="","",ROUND(main!AN392*100,6))</f>
        <v/>
      </c>
      <c r="AC389" s="68" t="str">
        <f>IF(main!AO392="","",ROUND(main!AO392*100,6))</f>
        <v/>
      </c>
      <c r="AD389" s="68" t="str">
        <f>IF(main!AP392="","",ROUND(main!AP392*100,6))</f>
        <v/>
      </c>
      <c r="AE389" s="68" t="str">
        <f>IF(main!AQ392="","",ROUND(main!AQ392*100,6))</f>
        <v/>
      </c>
      <c r="AF389" s="68" t="str">
        <f>IF(main!AR392="","",ROUND(main!AR392*100,6))</f>
        <v/>
      </c>
      <c r="AG389" s="68" t="str">
        <f>IF(main!AS392="","",ROUND(main!AS392*100,6))</f>
        <v/>
      </c>
      <c r="AH389" s="68" t="str">
        <f>IF(main!AT392="","",ROUND(main!AT392*100,6))</f>
        <v/>
      </c>
      <c r="AI389" s="68" t="str">
        <f>IF(main!AU392="","",ROUND(main!AU392*100,6))</f>
        <v/>
      </c>
      <c r="AJ389" s="68" t="str">
        <f>IF(main!AV392="","",ROUND(main!AV392*100,6))</f>
        <v/>
      </c>
      <c r="AK389" s="68" t="str">
        <f>IF(main!AW392="","",ROUND(main!AW392*100,6))</f>
        <v/>
      </c>
      <c r="AL389" s="68" t="str">
        <f>IF(main!AX392="","",ROUND(main!AX392*100,6))</f>
        <v/>
      </c>
      <c r="AM389" s="68" t="str">
        <f>IF(main!AY392="","",ROUND(main!AY392*100,6))</f>
        <v/>
      </c>
      <c r="AN389" s="68" t="str">
        <f>IF(main!AZ392="","",ROUND(main!AZ392*100,6))</f>
        <v/>
      </c>
      <c r="AO389" s="68" t="str">
        <f>IF(main!BA392="","",ROUND(main!BA392*100,6))</f>
        <v/>
      </c>
      <c r="AP389" s="68" t="str">
        <f>IF(main!BB392="","",ROUND(main!BB392*100,6))</f>
        <v/>
      </c>
      <c r="AQ389" s="68" t="str">
        <f>IF(main!BC392="","",ROUND(main!BC392*100,6))</f>
        <v/>
      </c>
      <c r="AR389" s="68" t="str">
        <f>IF(main!BD392="","",ROUND(main!BD392*100,6))</f>
        <v/>
      </c>
      <c r="AS389" s="68" t="str">
        <f>IF(main!BE392="","",ROUND(main!BE392*100,6))</f>
        <v/>
      </c>
      <c r="AT389" s="68" t="str">
        <f>IF(main!BF392="","",ROUND(main!BF392*100,6))</f>
        <v/>
      </c>
      <c r="AU389" s="68" t="str">
        <f>IF(main!BG392="","",ROUND(main!BG392*100,6))</f>
        <v/>
      </c>
      <c r="AV389" s="68" t="str">
        <f>IF(main!BH392="","",ROUND(main!BH392*100,6))</f>
        <v/>
      </c>
      <c r="AW389" s="68" t="str">
        <f>IF(main!BI392="","",ROUND(main!BI392*100,6))</f>
        <v/>
      </c>
      <c r="AX389" s="68" t="str">
        <f>IF(main!BJ392="","",ROUND(main!BJ392*100,6))</f>
        <v/>
      </c>
      <c r="AY389" s="68" t="str">
        <f>IF(main!BK392="","",ROUND(main!BK392*100,6))</f>
        <v/>
      </c>
      <c r="AZ389" s="68" t="str">
        <f>IF(main!BL392="","",ROUND(main!BL392*100,6))</f>
        <v/>
      </c>
      <c r="BA389" s="68" t="str">
        <f>IF(main!BM392="","",ROUND(main!BM392*100,6))</f>
        <v/>
      </c>
      <c r="BB389" s="68" t="str">
        <f>IF(main!BN392="","",ROUND(main!BN392*100,6))</f>
        <v/>
      </c>
      <c r="BC389" s="68" t="str">
        <f>IF(main!BO392="","",ROUND(main!BO392*100,6))</f>
        <v/>
      </c>
      <c r="BD389" s="68" t="str">
        <f>IF(main!BP392="","",ROUND(main!BP392*100,6))</f>
        <v/>
      </c>
      <c r="BE389" s="68" t="str">
        <f>IF(main!BQ392="","",ROUND(main!BQ392*100,6))</f>
        <v/>
      </c>
      <c r="BF389" s="68" t="str">
        <f>IF(main!BR392="","",ROUND(main!BR392*100,6))</f>
        <v/>
      </c>
      <c r="BG389" s="68" t="str">
        <f>IF(main!BS392="","",ROUND(main!BS392*100,6))</f>
        <v/>
      </c>
      <c r="BH389" s="68" t="str">
        <f>IF(main!BT392="","",ROUND(main!BT392*100,6))</f>
        <v/>
      </c>
      <c r="BI389" s="68" t="str">
        <f>IF(main!BU392="","",ROUND(main!BU392*100,6))</f>
        <v/>
      </c>
      <c r="BJ389" s="68" t="str">
        <f>IF(main!BV392="","",ROUND(main!BV392*100,6))</f>
        <v/>
      </c>
      <c r="BK389" s="68" t="str">
        <f>IF(main!BW392="","",ROUND(main!BW392*100,6))</f>
        <v/>
      </c>
      <c r="BL389" s="68" t="str">
        <f>IF(main!BX392="","",ROUND(main!BX392*100,6))</f>
        <v/>
      </c>
      <c r="BM389" s="68" t="str">
        <f>IF(main!BY392="","",ROUND(main!BY392*100,6))</f>
        <v/>
      </c>
      <c r="BN389" s="68" t="str">
        <f>IF(main!BZ392="","",ROUND(main!BZ392*100,6))</f>
        <v/>
      </c>
      <c r="BO389" s="68" t="str">
        <f>IF(main!CA392="","",ROUND(main!CA392*100,6))</f>
        <v/>
      </c>
      <c r="BP389" s="68" t="str">
        <f>IF(main!CB392="","",ROUND(main!CB392*100,6))</f>
        <v/>
      </c>
      <c r="BQ389" s="68" t="str">
        <f>IF(main!CC392="","",ROUND(main!CC392*100,6))</f>
        <v/>
      </c>
      <c r="BR389" s="68" t="str">
        <f>IF(main!CD392="","",ROUND(main!CD392*100,6))</f>
        <v/>
      </c>
      <c r="BS389" s="68" t="str">
        <f>IF(main!CE392="","",ROUND(main!CE392*100,6))</f>
        <v/>
      </c>
      <c r="BT389" s="68" t="str">
        <f>IF(main!CF392="","",ROUND(main!CF392*100,6))</f>
        <v/>
      </c>
      <c r="BU389" s="68" t="str">
        <f>IF(main!CG392="","",ROUND(main!CG392*100,6))</f>
        <v/>
      </c>
      <c r="BV389" s="68" t="str">
        <f>IF(main!CH392="","",ROUND(main!CH392*100,6))</f>
        <v/>
      </c>
      <c r="BW389" s="68" t="str">
        <f>IF(main!CI392="","",ROUND(main!CI392*100,6))</f>
        <v/>
      </c>
      <c r="BX389" s="68" t="str">
        <f>IF(main!CJ392="","",ROUND(main!CJ392*100,6))</f>
        <v/>
      </c>
      <c r="BY389" s="68" t="str">
        <f>IF(main!CK392="","",ROUND(main!CK392*100,6))</f>
        <v/>
      </c>
      <c r="BZ389" s="68" t="str">
        <f>IF(main!CL392="","",ROUND(main!CL392*100,6))</f>
        <v/>
      </c>
      <c r="CA389" s="68" t="str">
        <f>IF(main!CM392="","",ROUND(main!CM392*100,6))</f>
        <v/>
      </c>
      <c r="CB389" s="68" t="str">
        <f>IF(main!CN392="","",ROUND(main!CN392*100,6))</f>
        <v/>
      </c>
      <c r="CC389" s="68" t="str">
        <f>IF(main!CO392="","",ROUND(main!CO392*100,6))</f>
        <v/>
      </c>
    </row>
    <row r="390" spans="1:81" x14ac:dyDescent="0.25">
      <c r="A390" s="65" t="s">
        <v>549</v>
      </c>
      <c r="B390" s="66" t="str">
        <f>main!C393</f>
        <v>Wall | Wall Fn.</v>
      </c>
      <c r="C390" s="67">
        <f>main!O393</f>
        <v>200000</v>
      </c>
      <c r="D390" s="65" t="s">
        <v>110</v>
      </c>
      <c r="E390" s="68">
        <f t="shared" si="6"/>
        <v>100</v>
      </c>
      <c r="F390" s="68" t="str">
        <f>IF(main!R393="","",ROUND(main!R393*100,6))</f>
        <v/>
      </c>
      <c r="G390" s="68" t="str">
        <f>IF(main!S393="","",ROUND(main!S393*100,6))</f>
        <v/>
      </c>
      <c r="H390" s="68" t="str">
        <f>IF(main!T393="","",ROUND(main!T393*100,6))</f>
        <v/>
      </c>
      <c r="I390" s="68" t="str">
        <f>IF(main!U393="","",ROUND(main!U393*100,6))</f>
        <v/>
      </c>
      <c r="J390" s="68" t="str">
        <f>IF(main!V393="","",ROUND(main!V393*100,6))</f>
        <v/>
      </c>
      <c r="K390" s="68" t="str">
        <f>IF(main!W393="","",ROUND(main!W393*100,6))</f>
        <v/>
      </c>
      <c r="L390" s="68" t="str">
        <f>IF(main!X393="","",ROUND(main!X393*100,6))</f>
        <v/>
      </c>
      <c r="M390" s="68" t="str">
        <f>IF(main!Y393="","",ROUND(main!Y393*100,6))</f>
        <v/>
      </c>
      <c r="N390" s="68" t="str">
        <f>IF(main!Z393="","",ROUND(main!Z393*100,6))</f>
        <v/>
      </c>
      <c r="O390" s="68" t="str">
        <f>IF(main!AA393="","",ROUND(main!AA393*100,6))</f>
        <v/>
      </c>
      <c r="P390" s="68" t="str">
        <f>IF(main!AB393="","",ROUND(main!AB393*100,6))</f>
        <v/>
      </c>
      <c r="Q390" s="68" t="str">
        <f>IF(main!AC393="","",ROUND(main!AC393*100,6))</f>
        <v/>
      </c>
      <c r="R390" s="68" t="str">
        <f>IF(main!AD393="","",ROUND(main!AD393*100,6))</f>
        <v/>
      </c>
      <c r="S390" s="68" t="str">
        <f>IF(main!AE393="","",ROUND(main!AE393*100,6))</f>
        <v/>
      </c>
      <c r="T390" s="68" t="str">
        <f>IF(main!AF393="","",ROUND(main!AF393*100,6))</f>
        <v/>
      </c>
      <c r="U390" s="68" t="str">
        <f>IF(main!AG393="","",ROUND(main!AG393*100,6))</f>
        <v/>
      </c>
      <c r="V390" s="68" t="str">
        <f>IF(main!AH393="","",ROUND(main!AH393*100,6))</f>
        <v/>
      </c>
      <c r="W390" s="68" t="str">
        <f>IF(main!AI393="","",ROUND(main!AI393*100,6))</f>
        <v/>
      </c>
      <c r="X390" s="68" t="str">
        <f>IF(main!AJ393="","",ROUND(main!AJ393*100,6))</f>
        <v/>
      </c>
      <c r="Y390" s="68" t="str">
        <f>IF(main!AK393="","",ROUND(main!AK393*100,6))</f>
        <v/>
      </c>
      <c r="Z390" s="68" t="str">
        <f>IF(main!AL393="","",ROUND(main!AL393*100,6))</f>
        <v/>
      </c>
      <c r="AA390" s="68" t="str">
        <f>IF(main!AM393="","",ROUND(main!AM393*100,6))</f>
        <v/>
      </c>
      <c r="AB390" s="68" t="str">
        <f>IF(main!AN393="","",ROUND(main!AN393*100,6))</f>
        <v/>
      </c>
      <c r="AC390" s="68" t="str">
        <f>IF(main!AO393="","",ROUND(main!AO393*100,6))</f>
        <v/>
      </c>
      <c r="AD390" s="68" t="str">
        <f>IF(main!AP393="","",ROUND(main!AP393*100,6))</f>
        <v/>
      </c>
      <c r="AE390" s="68" t="str">
        <f>IF(main!AQ393="","",ROUND(main!AQ393*100,6))</f>
        <v/>
      </c>
      <c r="AF390" s="68" t="str">
        <f>IF(main!AR393="","",ROUND(main!AR393*100,6))</f>
        <v/>
      </c>
      <c r="AG390" s="68" t="str">
        <f>IF(main!AS393="","",ROUND(main!AS393*100,6))</f>
        <v/>
      </c>
      <c r="AH390" s="68" t="str">
        <f>IF(main!AT393="","",ROUND(main!AT393*100,6))</f>
        <v/>
      </c>
      <c r="AI390" s="68" t="str">
        <f>IF(main!AU393="","",ROUND(main!AU393*100,6))</f>
        <v/>
      </c>
      <c r="AJ390" s="68" t="str">
        <f>IF(main!AV393="","",ROUND(main!AV393*100,6))</f>
        <v/>
      </c>
      <c r="AK390" s="68" t="str">
        <f>IF(main!AW393="","",ROUND(main!AW393*100,6))</f>
        <v/>
      </c>
      <c r="AL390" s="68" t="str">
        <f>IF(main!AX393="","",ROUND(main!AX393*100,6))</f>
        <v/>
      </c>
      <c r="AM390" s="68" t="str">
        <f>IF(main!AY393="","",ROUND(main!AY393*100,6))</f>
        <v/>
      </c>
      <c r="AN390" s="68" t="str">
        <f>IF(main!AZ393="","",ROUND(main!AZ393*100,6))</f>
        <v/>
      </c>
      <c r="AO390" s="68" t="str">
        <f>IF(main!BA393="","",ROUND(main!BA393*100,6))</f>
        <v/>
      </c>
      <c r="AP390" s="68" t="str">
        <f>IF(main!BB393="","",ROUND(main!BB393*100,6))</f>
        <v/>
      </c>
      <c r="AQ390" s="68" t="str">
        <f>IF(main!BC393="","",ROUND(main!BC393*100,6))</f>
        <v/>
      </c>
      <c r="AR390" s="68" t="str">
        <f>IF(main!BD393="","",ROUND(main!BD393*100,6))</f>
        <v/>
      </c>
      <c r="AS390" s="68" t="str">
        <f>IF(main!BE393="","",ROUND(main!BE393*100,6))</f>
        <v/>
      </c>
      <c r="AT390" s="68" t="str">
        <f>IF(main!BF393="","",ROUND(main!BF393*100,6))</f>
        <v/>
      </c>
      <c r="AU390" s="68" t="str">
        <f>IF(main!BG393="","",ROUND(main!BG393*100,6))</f>
        <v/>
      </c>
      <c r="AV390" s="68" t="str">
        <f>IF(main!BH393="","",ROUND(main!BH393*100,6))</f>
        <v/>
      </c>
      <c r="AW390" s="68" t="str">
        <f>IF(main!BI393="","",ROUND(main!BI393*100,6))</f>
        <v/>
      </c>
      <c r="AX390" s="68" t="str">
        <f>IF(main!BJ393="","",ROUND(main!BJ393*100,6))</f>
        <v/>
      </c>
      <c r="AY390" s="68" t="str">
        <f>IF(main!BK393="","",ROUND(main!BK393*100,6))</f>
        <v/>
      </c>
      <c r="AZ390" s="68" t="str">
        <f>IF(main!BL393="","",ROUND(main!BL393*100,6))</f>
        <v/>
      </c>
      <c r="BA390" s="68" t="str">
        <f>IF(main!BM393="","",ROUND(main!BM393*100,6))</f>
        <v/>
      </c>
      <c r="BB390" s="68" t="str">
        <f>IF(main!BN393="","",ROUND(main!BN393*100,6))</f>
        <v/>
      </c>
      <c r="BC390" s="68" t="str">
        <f>IF(main!BO393="","",ROUND(main!BO393*100,6))</f>
        <v/>
      </c>
      <c r="BD390" s="68" t="str">
        <f>IF(main!BP393="","",ROUND(main!BP393*100,6))</f>
        <v/>
      </c>
      <c r="BE390" s="68" t="str">
        <f>IF(main!BQ393="","",ROUND(main!BQ393*100,6))</f>
        <v/>
      </c>
      <c r="BF390" s="68" t="str">
        <f>IF(main!BR393="","",ROUND(main!BR393*100,6))</f>
        <v/>
      </c>
      <c r="BG390" s="68" t="str">
        <f>IF(main!BS393="","",ROUND(main!BS393*100,6))</f>
        <v/>
      </c>
      <c r="BH390" s="68" t="str">
        <f>IF(main!BT393="","",ROUND(main!BT393*100,6))</f>
        <v/>
      </c>
      <c r="BI390" s="68" t="str">
        <f>IF(main!BU393="","",ROUND(main!BU393*100,6))</f>
        <v/>
      </c>
      <c r="BJ390" s="68">
        <f>IF(main!BV393="","",ROUND(main!BV393*100,6))</f>
        <v>10.714286</v>
      </c>
      <c r="BK390" s="68">
        <f>IF(main!BW393="","",ROUND(main!BW393*100,6))</f>
        <v>37.5</v>
      </c>
      <c r="BL390" s="68">
        <f>IF(main!BX393="","",ROUND(main!BX393*100,6))</f>
        <v>30.357143000000001</v>
      </c>
      <c r="BM390" s="68">
        <f>IF(main!BY393="","",ROUND(main!BY393*100,6))</f>
        <v>12.5</v>
      </c>
      <c r="BN390" s="68">
        <f>IF(main!BZ393="","",ROUND(main!BZ393*100,6))</f>
        <v>8.9285709999999998</v>
      </c>
      <c r="BO390" s="68" t="str">
        <f>IF(main!CA393="","",ROUND(main!CA393*100,6))</f>
        <v/>
      </c>
      <c r="BP390" s="68" t="str">
        <f>IF(main!CB393="","",ROUND(main!CB393*100,6))</f>
        <v/>
      </c>
      <c r="BQ390" s="68" t="str">
        <f>IF(main!CC393="","",ROUND(main!CC393*100,6))</f>
        <v/>
      </c>
      <c r="BR390" s="68" t="str">
        <f>IF(main!CD393="","",ROUND(main!CD393*100,6))</f>
        <v/>
      </c>
      <c r="BS390" s="68" t="str">
        <f>IF(main!CE393="","",ROUND(main!CE393*100,6))</f>
        <v/>
      </c>
      <c r="BT390" s="68" t="str">
        <f>IF(main!CF393="","",ROUND(main!CF393*100,6))</f>
        <v/>
      </c>
      <c r="BU390" s="68" t="str">
        <f>IF(main!CG393="","",ROUND(main!CG393*100,6))</f>
        <v/>
      </c>
      <c r="BV390" s="68" t="str">
        <f>IF(main!CH393="","",ROUND(main!CH393*100,6))</f>
        <v/>
      </c>
      <c r="BW390" s="68" t="str">
        <f>IF(main!CI393="","",ROUND(main!CI393*100,6))</f>
        <v/>
      </c>
      <c r="BX390" s="68" t="str">
        <f>IF(main!CJ393="","",ROUND(main!CJ393*100,6))</f>
        <v/>
      </c>
      <c r="BY390" s="68" t="str">
        <f>IF(main!CK393="","",ROUND(main!CK393*100,6))</f>
        <v/>
      </c>
      <c r="BZ390" s="68" t="str">
        <f>IF(main!CL393="","",ROUND(main!CL393*100,6))</f>
        <v/>
      </c>
      <c r="CA390" s="68" t="str">
        <f>IF(main!CM393="","",ROUND(main!CM393*100,6))</f>
        <v/>
      </c>
      <c r="CB390" s="68" t="str">
        <f>IF(main!CN393="","",ROUND(main!CN393*100,6))</f>
        <v/>
      </c>
      <c r="CC390" s="68" t="str">
        <f>IF(main!CO393="","",ROUND(main!CO393*100,6))</f>
        <v/>
      </c>
    </row>
    <row r="391" spans="1:81" x14ac:dyDescent="0.25">
      <c r="A391" s="65" t="s">
        <v>549</v>
      </c>
      <c r="B391" s="66" t="str">
        <f>main!C393</f>
        <v>Wall | Wall Fn.</v>
      </c>
      <c r="C391" s="67">
        <f>main!O393</f>
        <v>200000</v>
      </c>
      <c r="D391" s="65" t="s">
        <v>111</v>
      </c>
      <c r="E391" s="68" t="str">
        <f t="shared" si="6"/>
        <v/>
      </c>
      <c r="F391" s="68" t="str">
        <f>IF(main!R394="","",ROUND(main!R394*100,6))</f>
        <v/>
      </c>
      <c r="G391" s="68" t="str">
        <f>IF(main!S394="","",ROUND(main!S394*100,6))</f>
        <v/>
      </c>
      <c r="H391" s="68" t="str">
        <f>IF(main!T394="","",ROUND(main!T394*100,6))</f>
        <v/>
      </c>
      <c r="I391" s="68" t="str">
        <f>IF(main!U394="","",ROUND(main!U394*100,6))</f>
        <v/>
      </c>
      <c r="J391" s="68" t="str">
        <f>IF(main!V394="","",ROUND(main!V394*100,6))</f>
        <v/>
      </c>
      <c r="K391" s="68" t="str">
        <f>IF(main!W394="","",ROUND(main!W394*100,6))</f>
        <v/>
      </c>
      <c r="L391" s="68" t="str">
        <f>IF(main!X394="","",ROUND(main!X394*100,6))</f>
        <v/>
      </c>
      <c r="M391" s="68" t="str">
        <f>IF(main!Y394="","",ROUND(main!Y394*100,6))</f>
        <v/>
      </c>
      <c r="N391" s="68" t="str">
        <f>IF(main!Z394="","",ROUND(main!Z394*100,6))</f>
        <v/>
      </c>
      <c r="O391" s="68" t="str">
        <f>IF(main!AA394="","",ROUND(main!AA394*100,6))</f>
        <v/>
      </c>
      <c r="P391" s="68" t="str">
        <f>IF(main!AB394="","",ROUND(main!AB394*100,6))</f>
        <v/>
      </c>
      <c r="Q391" s="68" t="str">
        <f>IF(main!AC394="","",ROUND(main!AC394*100,6))</f>
        <v/>
      </c>
      <c r="R391" s="68" t="str">
        <f>IF(main!AD394="","",ROUND(main!AD394*100,6))</f>
        <v/>
      </c>
      <c r="S391" s="68" t="str">
        <f>IF(main!AE394="","",ROUND(main!AE394*100,6))</f>
        <v/>
      </c>
      <c r="T391" s="68" t="str">
        <f>IF(main!AF394="","",ROUND(main!AF394*100,6))</f>
        <v/>
      </c>
      <c r="U391" s="68" t="str">
        <f>IF(main!AG394="","",ROUND(main!AG394*100,6))</f>
        <v/>
      </c>
      <c r="V391" s="68" t="str">
        <f>IF(main!AH394="","",ROUND(main!AH394*100,6))</f>
        <v/>
      </c>
      <c r="W391" s="68" t="str">
        <f>IF(main!AI394="","",ROUND(main!AI394*100,6))</f>
        <v/>
      </c>
      <c r="X391" s="68" t="str">
        <f>IF(main!AJ394="","",ROUND(main!AJ394*100,6))</f>
        <v/>
      </c>
      <c r="Y391" s="68" t="str">
        <f>IF(main!AK394="","",ROUND(main!AK394*100,6))</f>
        <v/>
      </c>
      <c r="Z391" s="68" t="str">
        <f>IF(main!AL394="","",ROUND(main!AL394*100,6))</f>
        <v/>
      </c>
      <c r="AA391" s="68" t="str">
        <f>IF(main!AM394="","",ROUND(main!AM394*100,6))</f>
        <v/>
      </c>
      <c r="AB391" s="68" t="str">
        <f>IF(main!AN394="","",ROUND(main!AN394*100,6))</f>
        <v/>
      </c>
      <c r="AC391" s="68" t="str">
        <f>IF(main!AO394="","",ROUND(main!AO394*100,6))</f>
        <v/>
      </c>
      <c r="AD391" s="68" t="str">
        <f>IF(main!AP394="","",ROUND(main!AP394*100,6))</f>
        <v/>
      </c>
      <c r="AE391" s="68" t="str">
        <f>IF(main!AQ394="","",ROUND(main!AQ394*100,6))</f>
        <v/>
      </c>
      <c r="AF391" s="68" t="str">
        <f>IF(main!AR394="","",ROUND(main!AR394*100,6))</f>
        <v/>
      </c>
      <c r="AG391" s="68" t="str">
        <f>IF(main!AS394="","",ROUND(main!AS394*100,6))</f>
        <v/>
      </c>
      <c r="AH391" s="68" t="str">
        <f>IF(main!AT394="","",ROUND(main!AT394*100,6))</f>
        <v/>
      </c>
      <c r="AI391" s="68" t="str">
        <f>IF(main!AU394="","",ROUND(main!AU394*100,6))</f>
        <v/>
      </c>
      <c r="AJ391" s="68" t="str">
        <f>IF(main!AV394="","",ROUND(main!AV394*100,6))</f>
        <v/>
      </c>
      <c r="AK391" s="68" t="str">
        <f>IF(main!AW394="","",ROUND(main!AW394*100,6))</f>
        <v/>
      </c>
      <c r="AL391" s="68" t="str">
        <f>IF(main!AX394="","",ROUND(main!AX394*100,6))</f>
        <v/>
      </c>
      <c r="AM391" s="68" t="str">
        <f>IF(main!AY394="","",ROUND(main!AY394*100,6))</f>
        <v/>
      </c>
      <c r="AN391" s="68" t="str">
        <f>IF(main!AZ394="","",ROUND(main!AZ394*100,6))</f>
        <v/>
      </c>
      <c r="AO391" s="68" t="str">
        <f>IF(main!BA394="","",ROUND(main!BA394*100,6))</f>
        <v/>
      </c>
      <c r="AP391" s="68" t="str">
        <f>IF(main!BB394="","",ROUND(main!BB394*100,6))</f>
        <v/>
      </c>
      <c r="AQ391" s="68" t="str">
        <f>IF(main!BC394="","",ROUND(main!BC394*100,6))</f>
        <v/>
      </c>
      <c r="AR391" s="68" t="str">
        <f>IF(main!BD394="","",ROUND(main!BD394*100,6))</f>
        <v/>
      </c>
      <c r="AS391" s="68" t="str">
        <f>IF(main!BE394="","",ROUND(main!BE394*100,6))</f>
        <v/>
      </c>
      <c r="AT391" s="68" t="str">
        <f>IF(main!BF394="","",ROUND(main!BF394*100,6))</f>
        <v/>
      </c>
      <c r="AU391" s="68" t="str">
        <f>IF(main!BG394="","",ROUND(main!BG394*100,6))</f>
        <v/>
      </c>
      <c r="AV391" s="68" t="str">
        <f>IF(main!BH394="","",ROUND(main!BH394*100,6))</f>
        <v/>
      </c>
      <c r="AW391" s="68" t="str">
        <f>IF(main!BI394="","",ROUND(main!BI394*100,6))</f>
        <v/>
      </c>
      <c r="AX391" s="68" t="str">
        <f>IF(main!BJ394="","",ROUND(main!BJ394*100,6))</f>
        <v/>
      </c>
      <c r="AY391" s="68" t="str">
        <f>IF(main!BK394="","",ROUND(main!BK394*100,6))</f>
        <v/>
      </c>
      <c r="AZ391" s="68" t="str">
        <f>IF(main!BL394="","",ROUND(main!BL394*100,6))</f>
        <v/>
      </c>
      <c r="BA391" s="68" t="str">
        <f>IF(main!BM394="","",ROUND(main!BM394*100,6))</f>
        <v/>
      </c>
      <c r="BB391" s="68" t="str">
        <f>IF(main!BN394="","",ROUND(main!BN394*100,6))</f>
        <v/>
      </c>
      <c r="BC391" s="68" t="str">
        <f>IF(main!BO394="","",ROUND(main!BO394*100,6))</f>
        <v/>
      </c>
      <c r="BD391" s="68" t="str">
        <f>IF(main!BP394="","",ROUND(main!BP394*100,6))</f>
        <v/>
      </c>
      <c r="BE391" s="68" t="str">
        <f>IF(main!BQ394="","",ROUND(main!BQ394*100,6))</f>
        <v/>
      </c>
      <c r="BF391" s="68" t="str">
        <f>IF(main!BR394="","",ROUND(main!BR394*100,6))</f>
        <v/>
      </c>
      <c r="BG391" s="68" t="str">
        <f>IF(main!BS394="","",ROUND(main!BS394*100,6))</f>
        <v/>
      </c>
      <c r="BH391" s="68" t="str">
        <f>IF(main!BT394="","",ROUND(main!BT394*100,6))</f>
        <v/>
      </c>
      <c r="BI391" s="68" t="str">
        <f>IF(main!BU394="","",ROUND(main!BU394*100,6))</f>
        <v/>
      </c>
      <c r="BJ391" s="68" t="str">
        <f>IF(main!BV394="","",ROUND(main!BV394*100,6))</f>
        <v/>
      </c>
      <c r="BK391" s="68" t="str">
        <f>IF(main!BW394="","",ROUND(main!BW394*100,6))</f>
        <v/>
      </c>
      <c r="BL391" s="68" t="str">
        <f>IF(main!BX394="","",ROUND(main!BX394*100,6))</f>
        <v/>
      </c>
      <c r="BM391" s="68" t="str">
        <f>IF(main!BY394="","",ROUND(main!BY394*100,6))</f>
        <v/>
      </c>
      <c r="BN391" s="68" t="str">
        <f>IF(main!BZ394="","",ROUND(main!BZ394*100,6))</f>
        <v/>
      </c>
      <c r="BO391" s="68" t="str">
        <f>IF(main!CA394="","",ROUND(main!CA394*100,6))</f>
        <v/>
      </c>
      <c r="BP391" s="68" t="str">
        <f>IF(main!CB394="","",ROUND(main!CB394*100,6))</f>
        <v/>
      </c>
      <c r="BQ391" s="68" t="str">
        <f>IF(main!CC394="","",ROUND(main!CC394*100,6))</f>
        <v/>
      </c>
      <c r="BR391" s="68" t="str">
        <f>IF(main!CD394="","",ROUND(main!CD394*100,6))</f>
        <v/>
      </c>
      <c r="BS391" s="68" t="str">
        <f>IF(main!CE394="","",ROUND(main!CE394*100,6))</f>
        <v/>
      </c>
      <c r="BT391" s="68" t="str">
        <f>IF(main!CF394="","",ROUND(main!CF394*100,6))</f>
        <v/>
      </c>
      <c r="BU391" s="68" t="str">
        <f>IF(main!CG394="","",ROUND(main!CG394*100,6))</f>
        <v/>
      </c>
      <c r="BV391" s="68" t="str">
        <f>IF(main!CH394="","",ROUND(main!CH394*100,6))</f>
        <v/>
      </c>
      <c r="BW391" s="68" t="str">
        <f>IF(main!CI394="","",ROUND(main!CI394*100,6))</f>
        <v/>
      </c>
      <c r="BX391" s="68" t="str">
        <f>IF(main!CJ394="","",ROUND(main!CJ394*100,6))</f>
        <v/>
      </c>
      <c r="BY391" s="68" t="str">
        <f>IF(main!CK394="","",ROUND(main!CK394*100,6))</f>
        <v/>
      </c>
      <c r="BZ391" s="68" t="str">
        <f>IF(main!CL394="","",ROUND(main!CL394*100,6))</f>
        <v/>
      </c>
      <c r="CA391" s="68" t="str">
        <f>IF(main!CM394="","",ROUND(main!CM394*100,6))</f>
        <v/>
      </c>
      <c r="CB391" s="68" t="str">
        <f>IF(main!CN394="","",ROUND(main!CN394*100,6))</f>
        <v/>
      </c>
      <c r="CC391" s="68" t="str">
        <f>IF(main!CO394="","",ROUND(main!CO394*100,6))</f>
        <v/>
      </c>
    </row>
    <row r="392" spans="1:81" ht="30" x14ac:dyDescent="0.25">
      <c r="A392" s="65" t="s">
        <v>550</v>
      </c>
      <c r="B392" s="66" t="str">
        <f>main!C395</f>
        <v>P4 ผนังกรุไม้อัดยาง ปิดทับด้วยวัสดุตามแบบตกแต่งภายใน</v>
      </c>
      <c r="C392" s="67">
        <f>main!O395</f>
        <v>100000</v>
      </c>
      <c r="D392" s="65" t="s">
        <v>110</v>
      </c>
      <c r="E392" s="68">
        <f t="shared" si="6"/>
        <v>100</v>
      </c>
      <c r="F392" s="68" t="str">
        <f>IF(main!R395="","",ROUND(main!R395*100,6))</f>
        <v/>
      </c>
      <c r="G392" s="68" t="str">
        <f>IF(main!S395="","",ROUND(main!S395*100,6))</f>
        <v/>
      </c>
      <c r="H392" s="68" t="str">
        <f>IF(main!T395="","",ROUND(main!T395*100,6))</f>
        <v/>
      </c>
      <c r="I392" s="68" t="str">
        <f>IF(main!U395="","",ROUND(main!U395*100,6))</f>
        <v/>
      </c>
      <c r="J392" s="68" t="str">
        <f>IF(main!V395="","",ROUND(main!V395*100,6))</f>
        <v/>
      </c>
      <c r="K392" s="68" t="str">
        <f>IF(main!W395="","",ROUND(main!W395*100,6))</f>
        <v/>
      </c>
      <c r="L392" s="68" t="str">
        <f>IF(main!X395="","",ROUND(main!X395*100,6))</f>
        <v/>
      </c>
      <c r="M392" s="68" t="str">
        <f>IF(main!Y395="","",ROUND(main!Y395*100,6))</f>
        <v/>
      </c>
      <c r="N392" s="68" t="str">
        <f>IF(main!Z395="","",ROUND(main!Z395*100,6))</f>
        <v/>
      </c>
      <c r="O392" s="68" t="str">
        <f>IF(main!AA395="","",ROUND(main!AA395*100,6))</f>
        <v/>
      </c>
      <c r="P392" s="68" t="str">
        <f>IF(main!AB395="","",ROUND(main!AB395*100,6))</f>
        <v/>
      </c>
      <c r="Q392" s="68" t="str">
        <f>IF(main!AC395="","",ROUND(main!AC395*100,6))</f>
        <v/>
      </c>
      <c r="R392" s="68" t="str">
        <f>IF(main!AD395="","",ROUND(main!AD395*100,6))</f>
        <v/>
      </c>
      <c r="S392" s="68" t="str">
        <f>IF(main!AE395="","",ROUND(main!AE395*100,6))</f>
        <v/>
      </c>
      <c r="T392" s="68" t="str">
        <f>IF(main!AF395="","",ROUND(main!AF395*100,6))</f>
        <v/>
      </c>
      <c r="U392" s="68" t="str">
        <f>IF(main!AG395="","",ROUND(main!AG395*100,6))</f>
        <v/>
      </c>
      <c r="V392" s="68" t="str">
        <f>IF(main!AH395="","",ROUND(main!AH395*100,6))</f>
        <v/>
      </c>
      <c r="W392" s="68" t="str">
        <f>IF(main!AI395="","",ROUND(main!AI395*100,6))</f>
        <v/>
      </c>
      <c r="X392" s="68" t="str">
        <f>IF(main!AJ395="","",ROUND(main!AJ395*100,6))</f>
        <v/>
      </c>
      <c r="Y392" s="68" t="str">
        <f>IF(main!AK395="","",ROUND(main!AK395*100,6))</f>
        <v/>
      </c>
      <c r="Z392" s="68" t="str">
        <f>IF(main!AL395="","",ROUND(main!AL395*100,6))</f>
        <v/>
      </c>
      <c r="AA392" s="68" t="str">
        <f>IF(main!AM395="","",ROUND(main!AM395*100,6))</f>
        <v/>
      </c>
      <c r="AB392" s="68" t="str">
        <f>IF(main!AN395="","",ROUND(main!AN395*100,6))</f>
        <v/>
      </c>
      <c r="AC392" s="68" t="str">
        <f>IF(main!AO395="","",ROUND(main!AO395*100,6))</f>
        <v/>
      </c>
      <c r="AD392" s="68" t="str">
        <f>IF(main!AP395="","",ROUND(main!AP395*100,6))</f>
        <v/>
      </c>
      <c r="AE392" s="68" t="str">
        <f>IF(main!AQ395="","",ROUND(main!AQ395*100,6))</f>
        <v/>
      </c>
      <c r="AF392" s="68" t="str">
        <f>IF(main!AR395="","",ROUND(main!AR395*100,6))</f>
        <v/>
      </c>
      <c r="AG392" s="68" t="str">
        <f>IF(main!AS395="","",ROUND(main!AS395*100,6))</f>
        <v/>
      </c>
      <c r="AH392" s="68" t="str">
        <f>IF(main!AT395="","",ROUND(main!AT395*100,6))</f>
        <v/>
      </c>
      <c r="AI392" s="68" t="str">
        <f>IF(main!AU395="","",ROUND(main!AU395*100,6))</f>
        <v/>
      </c>
      <c r="AJ392" s="68" t="str">
        <f>IF(main!AV395="","",ROUND(main!AV395*100,6))</f>
        <v/>
      </c>
      <c r="AK392" s="68" t="str">
        <f>IF(main!AW395="","",ROUND(main!AW395*100,6))</f>
        <v/>
      </c>
      <c r="AL392" s="68" t="str">
        <f>IF(main!AX395="","",ROUND(main!AX395*100,6))</f>
        <v/>
      </c>
      <c r="AM392" s="68" t="str">
        <f>IF(main!AY395="","",ROUND(main!AY395*100,6))</f>
        <v/>
      </c>
      <c r="AN392" s="68" t="str">
        <f>IF(main!AZ395="","",ROUND(main!AZ395*100,6))</f>
        <v/>
      </c>
      <c r="AO392" s="68" t="str">
        <f>IF(main!BA395="","",ROUND(main!BA395*100,6))</f>
        <v/>
      </c>
      <c r="AP392" s="68" t="str">
        <f>IF(main!BB395="","",ROUND(main!BB395*100,6))</f>
        <v/>
      </c>
      <c r="AQ392" s="68" t="str">
        <f>IF(main!BC395="","",ROUND(main!BC395*100,6))</f>
        <v/>
      </c>
      <c r="AR392" s="68" t="str">
        <f>IF(main!BD395="","",ROUND(main!BD395*100,6))</f>
        <v/>
      </c>
      <c r="AS392" s="68" t="str">
        <f>IF(main!BE395="","",ROUND(main!BE395*100,6))</f>
        <v/>
      </c>
      <c r="AT392" s="68" t="str">
        <f>IF(main!BF395="","",ROUND(main!BF395*100,6))</f>
        <v/>
      </c>
      <c r="AU392" s="68" t="str">
        <f>IF(main!BG395="","",ROUND(main!BG395*100,6))</f>
        <v/>
      </c>
      <c r="AV392" s="68" t="str">
        <f>IF(main!BH395="","",ROUND(main!BH395*100,6))</f>
        <v/>
      </c>
      <c r="AW392" s="68" t="str">
        <f>IF(main!BI395="","",ROUND(main!BI395*100,6))</f>
        <v/>
      </c>
      <c r="AX392" s="68" t="str">
        <f>IF(main!BJ395="","",ROUND(main!BJ395*100,6))</f>
        <v/>
      </c>
      <c r="AY392" s="68" t="str">
        <f>IF(main!BK395="","",ROUND(main!BK395*100,6))</f>
        <v/>
      </c>
      <c r="AZ392" s="68" t="str">
        <f>IF(main!BL395="","",ROUND(main!BL395*100,6))</f>
        <v/>
      </c>
      <c r="BA392" s="68" t="str">
        <f>IF(main!BM395="","",ROUND(main!BM395*100,6))</f>
        <v/>
      </c>
      <c r="BB392" s="68" t="str">
        <f>IF(main!BN395="","",ROUND(main!BN395*100,6))</f>
        <v/>
      </c>
      <c r="BC392" s="68" t="str">
        <f>IF(main!BO395="","",ROUND(main!BO395*100,6))</f>
        <v/>
      </c>
      <c r="BD392" s="68" t="str">
        <f>IF(main!BP395="","",ROUND(main!BP395*100,6))</f>
        <v/>
      </c>
      <c r="BE392" s="68" t="str">
        <f>IF(main!BQ395="","",ROUND(main!BQ395*100,6))</f>
        <v/>
      </c>
      <c r="BF392" s="68" t="str">
        <f>IF(main!BR395="","",ROUND(main!BR395*100,6))</f>
        <v/>
      </c>
      <c r="BG392" s="68" t="str">
        <f>IF(main!BS395="","",ROUND(main!BS395*100,6))</f>
        <v/>
      </c>
      <c r="BH392" s="68" t="str">
        <f>IF(main!BT395="","",ROUND(main!BT395*100,6))</f>
        <v/>
      </c>
      <c r="BI392" s="68" t="str">
        <f>IF(main!BU395="","",ROUND(main!BU395*100,6))</f>
        <v/>
      </c>
      <c r="BJ392" s="68">
        <f>IF(main!BV395="","",ROUND(main!BV395*100,6))</f>
        <v>7.1428570000000002</v>
      </c>
      <c r="BK392" s="68">
        <f>IF(main!BW395="","",ROUND(main!BW395*100,6))</f>
        <v>25</v>
      </c>
      <c r="BL392" s="68">
        <f>IF(main!BX395="","",ROUND(main!BX395*100,6))</f>
        <v>25</v>
      </c>
      <c r="BM392" s="68">
        <f>IF(main!BY395="","",ROUND(main!BY395*100,6))</f>
        <v>25</v>
      </c>
      <c r="BN392" s="68">
        <f>IF(main!BZ395="","",ROUND(main!BZ395*100,6))</f>
        <v>17.857143000000001</v>
      </c>
      <c r="BO392" s="68" t="str">
        <f>IF(main!CA395="","",ROUND(main!CA395*100,6))</f>
        <v/>
      </c>
      <c r="BP392" s="68" t="str">
        <f>IF(main!CB395="","",ROUND(main!CB395*100,6))</f>
        <v/>
      </c>
      <c r="BQ392" s="68" t="str">
        <f>IF(main!CC395="","",ROUND(main!CC395*100,6))</f>
        <v/>
      </c>
      <c r="BR392" s="68" t="str">
        <f>IF(main!CD395="","",ROUND(main!CD395*100,6))</f>
        <v/>
      </c>
      <c r="BS392" s="68" t="str">
        <f>IF(main!CE395="","",ROUND(main!CE395*100,6))</f>
        <v/>
      </c>
      <c r="BT392" s="68" t="str">
        <f>IF(main!CF395="","",ROUND(main!CF395*100,6))</f>
        <v/>
      </c>
      <c r="BU392" s="68" t="str">
        <f>IF(main!CG395="","",ROUND(main!CG395*100,6))</f>
        <v/>
      </c>
      <c r="BV392" s="68" t="str">
        <f>IF(main!CH395="","",ROUND(main!CH395*100,6))</f>
        <v/>
      </c>
      <c r="BW392" s="68" t="str">
        <f>IF(main!CI395="","",ROUND(main!CI395*100,6))</f>
        <v/>
      </c>
      <c r="BX392" s="68" t="str">
        <f>IF(main!CJ395="","",ROUND(main!CJ395*100,6))</f>
        <v/>
      </c>
      <c r="BY392" s="68" t="str">
        <f>IF(main!CK395="","",ROUND(main!CK395*100,6))</f>
        <v/>
      </c>
      <c r="BZ392" s="68" t="str">
        <f>IF(main!CL395="","",ROUND(main!CL395*100,6))</f>
        <v/>
      </c>
      <c r="CA392" s="68" t="str">
        <f>IF(main!CM395="","",ROUND(main!CM395*100,6))</f>
        <v/>
      </c>
      <c r="CB392" s="68" t="str">
        <f>IF(main!CN395="","",ROUND(main!CN395*100,6))</f>
        <v/>
      </c>
      <c r="CC392" s="68" t="str">
        <f>IF(main!CO395="","",ROUND(main!CO395*100,6))</f>
        <v/>
      </c>
    </row>
    <row r="393" spans="1:81" ht="30" x14ac:dyDescent="0.25">
      <c r="A393" s="65" t="s">
        <v>550</v>
      </c>
      <c r="B393" s="66" t="str">
        <f>main!C395</f>
        <v>P4 ผนังกรุไม้อัดยาง ปิดทับด้วยวัสดุตามแบบตกแต่งภายใน</v>
      </c>
      <c r="C393" s="67">
        <f>main!O395</f>
        <v>100000</v>
      </c>
      <c r="D393" s="65" t="s">
        <v>111</v>
      </c>
      <c r="E393" s="68" t="str">
        <f t="shared" si="6"/>
        <v/>
      </c>
      <c r="F393" s="68" t="str">
        <f>IF(main!R396="","",ROUND(main!R396*100,6))</f>
        <v/>
      </c>
      <c r="G393" s="68" t="str">
        <f>IF(main!S396="","",ROUND(main!S396*100,6))</f>
        <v/>
      </c>
      <c r="H393" s="68" t="str">
        <f>IF(main!T396="","",ROUND(main!T396*100,6))</f>
        <v/>
      </c>
      <c r="I393" s="68" t="str">
        <f>IF(main!U396="","",ROUND(main!U396*100,6))</f>
        <v/>
      </c>
      <c r="J393" s="68" t="str">
        <f>IF(main!V396="","",ROUND(main!V396*100,6))</f>
        <v/>
      </c>
      <c r="K393" s="68" t="str">
        <f>IF(main!W396="","",ROUND(main!W396*100,6))</f>
        <v/>
      </c>
      <c r="L393" s="68" t="str">
        <f>IF(main!X396="","",ROUND(main!X396*100,6))</f>
        <v/>
      </c>
      <c r="M393" s="68" t="str">
        <f>IF(main!Y396="","",ROUND(main!Y396*100,6))</f>
        <v/>
      </c>
      <c r="N393" s="68" t="str">
        <f>IF(main!Z396="","",ROUND(main!Z396*100,6))</f>
        <v/>
      </c>
      <c r="O393" s="68" t="str">
        <f>IF(main!AA396="","",ROUND(main!AA396*100,6))</f>
        <v/>
      </c>
      <c r="P393" s="68" t="str">
        <f>IF(main!AB396="","",ROUND(main!AB396*100,6))</f>
        <v/>
      </c>
      <c r="Q393" s="68" t="str">
        <f>IF(main!AC396="","",ROUND(main!AC396*100,6))</f>
        <v/>
      </c>
      <c r="R393" s="68" t="str">
        <f>IF(main!AD396="","",ROUND(main!AD396*100,6))</f>
        <v/>
      </c>
      <c r="S393" s="68" t="str">
        <f>IF(main!AE396="","",ROUND(main!AE396*100,6))</f>
        <v/>
      </c>
      <c r="T393" s="68" t="str">
        <f>IF(main!AF396="","",ROUND(main!AF396*100,6))</f>
        <v/>
      </c>
      <c r="U393" s="68" t="str">
        <f>IF(main!AG396="","",ROUND(main!AG396*100,6))</f>
        <v/>
      </c>
      <c r="V393" s="68" t="str">
        <f>IF(main!AH396="","",ROUND(main!AH396*100,6))</f>
        <v/>
      </c>
      <c r="W393" s="68" t="str">
        <f>IF(main!AI396="","",ROUND(main!AI396*100,6))</f>
        <v/>
      </c>
      <c r="X393" s="68" t="str">
        <f>IF(main!AJ396="","",ROUND(main!AJ396*100,6))</f>
        <v/>
      </c>
      <c r="Y393" s="68" t="str">
        <f>IF(main!AK396="","",ROUND(main!AK396*100,6))</f>
        <v/>
      </c>
      <c r="Z393" s="68" t="str">
        <f>IF(main!AL396="","",ROUND(main!AL396*100,6))</f>
        <v/>
      </c>
      <c r="AA393" s="68" t="str">
        <f>IF(main!AM396="","",ROUND(main!AM396*100,6))</f>
        <v/>
      </c>
      <c r="AB393" s="68" t="str">
        <f>IF(main!AN396="","",ROUND(main!AN396*100,6))</f>
        <v/>
      </c>
      <c r="AC393" s="68" t="str">
        <f>IF(main!AO396="","",ROUND(main!AO396*100,6))</f>
        <v/>
      </c>
      <c r="AD393" s="68" t="str">
        <f>IF(main!AP396="","",ROUND(main!AP396*100,6))</f>
        <v/>
      </c>
      <c r="AE393" s="68" t="str">
        <f>IF(main!AQ396="","",ROUND(main!AQ396*100,6))</f>
        <v/>
      </c>
      <c r="AF393" s="68" t="str">
        <f>IF(main!AR396="","",ROUND(main!AR396*100,6))</f>
        <v/>
      </c>
      <c r="AG393" s="68" t="str">
        <f>IF(main!AS396="","",ROUND(main!AS396*100,6))</f>
        <v/>
      </c>
      <c r="AH393" s="68" t="str">
        <f>IF(main!AT396="","",ROUND(main!AT396*100,6))</f>
        <v/>
      </c>
      <c r="AI393" s="68" t="str">
        <f>IF(main!AU396="","",ROUND(main!AU396*100,6))</f>
        <v/>
      </c>
      <c r="AJ393" s="68" t="str">
        <f>IF(main!AV396="","",ROUND(main!AV396*100,6))</f>
        <v/>
      </c>
      <c r="AK393" s="68" t="str">
        <f>IF(main!AW396="","",ROUND(main!AW396*100,6))</f>
        <v/>
      </c>
      <c r="AL393" s="68" t="str">
        <f>IF(main!AX396="","",ROUND(main!AX396*100,6))</f>
        <v/>
      </c>
      <c r="AM393" s="68" t="str">
        <f>IF(main!AY396="","",ROUND(main!AY396*100,6))</f>
        <v/>
      </c>
      <c r="AN393" s="68" t="str">
        <f>IF(main!AZ396="","",ROUND(main!AZ396*100,6))</f>
        <v/>
      </c>
      <c r="AO393" s="68" t="str">
        <f>IF(main!BA396="","",ROUND(main!BA396*100,6))</f>
        <v/>
      </c>
      <c r="AP393" s="68" t="str">
        <f>IF(main!BB396="","",ROUND(main!BB396*100,6))</f>
        <v/>
      </c>
      <c r="AQ393" s="68" t="str">
        <f>IF(main!BC396="","",ROUND(main!BC396*100,6))</f>
        <v/>
      </c>
      <c r="AR393" s="68" t="str">
        <f>IF(main!BD396="","",ROUND(main!BD396*100,6))</f>
        <v/>
      </c>
      <c r="AS393" s="68" t="str">
        <f>IF(main!BE396="","",ROUND(main!BE396*100,6))</f>
        <v/>
      </c>
      <c r="AT393" s="68" t="str">
        <f>IF(main!BF396="","",ROUND(main!BF396*100,6))</f>
        <v/>
      </c>
      <c r="AU393" s="68" t="str">
        <f>IF(main!BG396="","",ROUND(main!BG396*100,6))</f>
        <v/>
      </c>
      <c r="AV393" s="68" t="str">
        <f>IF(main!BH396="","",ROUND(main!BH396*100,6))</f>
        <v/>
      </c>
      <c r="AW393" s="68" t="str">
        <f>IF(main!BI396="","",ROUND(main!BI396*100,6))</f>
        <v/>
      </c>
      <c r="AX393" s="68" t="str">
        <f>IF(main!BJ396="","",ROUND(main!BJ396*100,6))</f>
        <v/>
      </c>
      <c r="AY393" s="68" t="str">
        <f>IF(main!BK396="","",ROUND(main!BK396*100,6))</f>
        <v/>
      </c>
      <c r="AZ393" s="68" t="str">
        <f>IF(main!BL396="","",ROUND(main!BL396*100,6))</f>
        <v/>
      </c>
      <c r="BA393" s="68" t="str">
        <f>IF(main!BM396="","",ROUND(main!BM396*100,6))</f>
        <v/>
      </c>
      <c r="BB393" s="68" t="str">
        <f>IF(main!BN396="","",ROUND(main!BN396*100,6))</f>
        <v/>
      </c>
      <c r="BC393" s="68" t="str">
        <f>IF(main!BO396="","",ROUND(main!BO396*100,6))</f>
        <v/>
      </c>
      <c r="BD393" s="68" t="str">
        <f>IF(main!BP396="","",ROUND(main!BP396*100,6))</f>
        <v/>
      </c>
      <c r="BE393" s="68" t="str">
        <f>IF(main!BQ396="","",ROUND(main!BQ396*100,6))</f>
        <v/>
      </c>
      <c r="BF393" s="68" t="str">
        <f>IF(main!BR396="","",ROUND(main!BR396*100,6))</f>
        <v/>
      </c>
      <c r="BG393" s="68" t="str">
        <f>IF(main!BS396="","",ROUND(main!BS396*100,6))</f>
        <v/>
      </c>
      <c r="BH393" s="68" t="str">
        <f>IF(main!BT396="","",ROUND(main!BT396*100,6))</f>
        <v/>
      </c>
      <c r="BI393" s="68" t="str">
        <f>IF(main!BU396="","",ROUND(main!BU396*100,6))</f>
        <v/>
      </c>
      <c r="BJ393" s="68" t="str">
        <f>IF(main!BV396="","",ROUND(main!BV396*100,6))</f>
        <v/>
      </c>
      <c r="BK393" s="68" t="str">
        <f>IF(main!BW396="","",ROUND(main!BW396*100,6))</f>
        <v/>
      </c>
      <c r="BL393" s="68" t="str">
        <f>IF(main!BX396="","",ROUND(main!BX396*100,6))</f>
        <v/>
      </c>
      <c r="BM393" s="68" t="str">
        <f>IF(main!BY396="","",ROUND(main!BY396*100,6))</f>
        <v/>
      </c>
      <c r="BN393" s="68" t="str">
        <f>IF(main!BZ396="","",ROUND(main!BZ396*100,6))</f>
        <v/>
      </c>
      <c r="BO393" s="68" t="str">
        <f>IF(main!CA396="","",ROUND(main!CA396*100,6))</f>
        <v/>
      </c>
      <c r="BP393" s="68" t="str">
        <f>IF(main!CB396="","",ROUND(main!CB396*100,6))</f>
        <v/>
      </c>
      <c r="BQ393" s="68" t="str">
        <f>IF(main!CC396="","",ROUND(main!CC396*100,6))</f>
        <v/>
      </c>
      <c r="BR393" s="68" t="str">
        <f>IF(main!CD396="","",ROUND(main!CD396*100,6))</f>
        <v/>
      </c>
      <c r="BS393" s="68" t="str">
        <f>IF(main!CE396="","",ROUND(main!CE396*100,6))</f>
        <v/>
      </c>
      <c r="BT393" s="68" t="str">
        <f>IF(main!CF396="","",ROUND(main!CF396*100,6))</f>
        <v/>
      </c>
      <c r="BU393" s="68" t="str">
        <f>IF(main!CG396="","",ROUND(main!CG396*100,6))</f>
        <v/>
      </c>
      <c r="BV393" s="68" t="str">
        <f>IF(main!CH396="","",ROUND(main!CH396*100,6))</f>
        <v/>
      </c>
      <c r="BW393" s="68" t="str">
        <f>IF(main!CI396="","",ROUND(main!CI396*100,6))</f>
        <v/>
      </c>
      <c r="BX393" s="68" t="str">
        <f>IF(main!CJ396="","",ROUND(main!CJ396*100,6))</f>
        <v/>
      </c>
      <c r="BY393" s="68" t="str">
        <f>IF(main!CK396="","",ROUND(main!CK396*100,6))</f>
        <v/>
      </c>
      <c r="BZ393" s="68" t="str">
        <f>IF(main!CL396="","",ROUND(main!CL396*100,6))</f>
        <v/>
      </c>
      <c r="CA393" s="68" t="str">
        <f>IF(main!CM396="","",ROUND(main!CM396*100,6))</f>
        <v/>
      </c>
      <c r="CB393" s="68" t="str">
        <f>IF(main!CN396="","",ROUND(main!CN396*100,6))</f>
        <v/>
      </c>
      <c r="CC393" s="68" t="str">
        <f>IF(main!CO396="","",ROUND(main!CO396*100,6))</f>
        <v/>
      </c>
    </row>
    <row r="394" spans="1:81" x14ac:dyDescent="0.25">
      <c r="A394" s="65" t="s">
        <v>553</v>
      </c>
      <c r="B394" s="66" t="str">
        <f>main!C397</f>
        <v>P3 งานติดตั้งผนังยูกลาส</v>
      </c>
      <c r="C394" s="67">
        <f>main!O397</f>
        <v>100000</v>
      </c>
      <c r="D394" s="65" t="s">
        <v>110</v>
      </c>
      <c r="E394" s="68">
        <f t="shared" si="6"/>
        <v>100</v>
      </c>
      <c r="F394" s="68" t="str">
        <f>IF(main!R397="","",ROUND(main!R397*100,6))</f>
        <v/>
      </c>
      <c r="G394" s="68" t="str">
        <f>IF(main!S397="","",ROUND(main!S397*100,6))</f>
        <v/>
      </c>
      <c r="H394" s="68" t="str">
        <f>IF(main!T397="","",ROUND(main!T397*100,6))</f>
        <v/>
      </c>
      <c r="I394" s="68" t="str">
        <f>IF(main!U397="","",ROUND(main!U397*100,6))</f>
        <v/>
      </c>
      <c r="J394" s="68" t="str">
        <f>IF(main!V397="","",ROUND(main!V397*100,6))</f>
        <v/>
      </c>
      <c r="K394" s="68" t="str">
        <f>IF(main!W397="","",ROUND(main!W397*100,6))</f>
        <v/>
      </c>
      <c r="L394" s="68" t="str">
        <f>IF(main!X397="","",ROUND(main!X397*100,6))</f>
        <v/>
      </c>
      <c r="M394" s="68" t="str">
        <f>IF(main!Y397="","",ROUND(main!Y397*100,6))</f>
        <v/>
      </c>
      <c r="N394" s="68" t="str">
        <f>IF(main!Z397="","",ROUND(main!Z397*100,6))</f>
        <v/>
      </c>
      <c r="O394" s="68" t="str">
        <f>IF(main!AA397="","",ROUND(main!AA397*100,6))</f>
        <v/>
      </c>
      <c r="P394" s="68" t="str">
        <f>IF(main!AB397="","",ROUND(main!AB397*100,6))</f>
        <v/>
      </c>
      <c r="Q394" s="68" t="str">
        <f>IF(main!AC397="","",ROUND(main!AC397*100,6))</f>
        <v/>
      </c>
      <c r="R394" s="68" t="str">
        <f>IF(main!AD397="","",ROUND(main!AD397*100,6))</f>
        <v/>
      </c>
      <c r="S394" s="68" t="str">
        <f>IF(main!AE397="","",ROUND(main!AE397*100,6))</f>
        <v/>
      </c>
      <c r="T394" s="68" t="str">
        <f>IF(main!AF397="","",ROUND(main!AF397*100,6))</f>
        <v/>
      </c>
      <c r="U394" s="68" t="str">
        <f>IF(main!AG397="","",ROUND(main!AG397*100,6))</f>
        <v/>
      </c>
      <c r="V394" s="68" t="str">
        <f>IF(main!AH397="","",ROUND(main!AH397*100,6))</f>
        <v/>
      </c>
      <c r="W394" s="68" t="str">
        <f>IF(main!AI397="","",ROUND(main!AI397*100,6))</f>
        <v/>
      </c>
      <c r="X394" s="68" t="str">
        <f>IF(main!AJ397="","",ROUND(main!AJ397*100,6))</f>
        <v/>
      </c>
      <c r="Y394" s="68" t="str">
        <f>IF(main!AK397="","",ROUND(main!AK397*100,6))</f>
        <v/>
      </c>
      <c r="Z394" s="68" t="str">
        <f>IF(main!AL397="","",ROUND(main!AL397*100,6))</f>
        <v/>
      </c>
      <c r="AA394" s="68" t="str">
        <f>IF(main!AM397="","",ROUND(main!AM397*100,6))</f>
        <v/>
      </c>
      <c r="AB394" s="68" t="str">
        <f>IF(main!AN397="","",ROUND(main!AN397*100,6))</f>
        <v/>
      </c>
      <c r="AC394" s="68" t="str">
        <f>IF(main!AO397="","",ROUND(main!AO397*100,6))</f>
        <v/>
      </c>
      <c r="AD394" s="68" t="str">
        <f>IF(main!AP397="","",ROUND(main!AP397*100,6))</f>
        <v/>
      </c>
      <c r="AE394" s="68" t="str">
        <f>IF(main!AQ397="","",ROUND(main!AQ397*100,6))</f>
        <v/>
      </c>
      <c r="AF394" s="68" t="str">
        <f>IF(main!AR397="","",ROUND(main!AR397*100,6))</f>
        <v/>
      </c>
      <c r="AG394" s="68" t="str">
        <f>IF(main!AS397="","",ROUND(main!AS397*100,6))</f>
        <v/>
      </c>
      <c r="AH394" s="68" t="str">
        <f>IF(main!AT397="","",ROUND(main!AT397*100,6))</f>
        <v/>
      </c>
      <c r="AI394" s="68" t="str">
        <f>IF(main!AU397="","",ROUND(main!AU397*100,6))</f>
        <v/>
      </c>
      <c r="AJ394" s="68" t="str">
        <f>IF(main!AV397="","",ROUND(main!AV397*100,6))</f>
        <v/>
      </c>
      <c r="AK394" s="68" t="str">
        <f>IF(main!AW397="","",ROUND(main!AW397*100,6))</f>
        <v/>
      </c>
      <c r="AL394" s="68" t="str">
        <f>IF(main!AX397="","",ROUND(main!AX397*100,6))</f>
        <v/>
      </c>
      <c r="AM394" s="68" t="str">
        <f>IF(main!AY397="","",ROUND(main!AY397*100,6))</f>
        <v/>
      </c>
      <c r="AN394" s="68" t="str">
        <f>IF(main!AZ397="","",ROUND(main!AZ397*100,6))</f>
        <v/>
      </c>
      <c r="AO394" s="68" t="str">
        <f>IF(main!BA397="","",ROUND(main!BA397*100,6))</f>
        <v/>
      </c>
      <c r="AP394" s="68" t="str">
        <f>IF(main!BB397="","",ROUND(main!BB397*100,6))</f>
        <v/>
      </c>
      <c r="AQ394" s="68" t="str">
        <f>IF(main!BC397="","",ROUND(main!BC397*100,6))</f>
        <v/>
      </c>
      <c r="AR394" s="68" t="str">
        <f>IF(main!BD397="","",ROUND(main!BD397*100,6))</f>
        <v/>
      </c>
      <c r="AS394" s="68" t="str">
        <f>IF(main!BE397="","",ROUND(main!BE397*100,6))</f>
        <v/>
      </c>
      <c r="AT394" s="68" t="str">
        <f>IF(main!BF397="","",ROUND(main!BF397*100,6))</f>
        <v/>
      </c>
      <c r="AU394" s="68" t="str">
        <f>IF(main!BG397="","",ROUND(main!BG397*100,6))</f>
        <v/>
      </c>
      <c r="AV394" s="68" t="str">
        <f>IF(main!BH397="","",ROUND(main!BH397*100,6))</f>
        <v/>
      </c>
      <c r="AW394" s="68" t="str">
        <f>IF(main!BI397="","",ROUND(main!BI397*100,6))</f>
        <v/>
      </c>
      <c r="AX394" s="68" t="str">
        <f>IF(main!BJ397="","",ROUND(main!BJ397*100,6))</f>
        <v/>
      </c>
      <c r="AY394" s="68" t="str">
        <f>IF(main!BK397="","",ROUND(main!BK397*100,6))</f>
        <v/>
      </c>
      <c r="AZ394" s="68" t="str">
        <f>IF(main!BL397="","",ROUND(main!BL397*100,6))</f>
        <v/>
      </c>
      <c r="BA394" s="68" t="str">
        <f>IF(main!BM397="","",ROUND(main!BM397*100,6))</f>
        <v/>
      </c>
      <c r="BB394" s="68" t="str">
        <f>IF(main!BN397="","",ROUND(main!BN397*100,6))</f>
        <v/>
      </c>
      <c r="BC394" s="68" t="str">
        <f>IF(main!BO397="","",ROUND(main!BO397*100,6))</f>
        <v/>
      </c>
      <c r="BD394" s="68" t="str">
        <f>IF(main!BP397="","",ROUND(main!BP397*100,6))</f>
        <v/>
      </c>
      <c r="BE394" s="68" t="str">
        <f>IF(main!BQ397="","",ROUND(main!BQ397*100,6))</f>
        <v/>
      </c>
      <c r="BF394" s="68" t="str">
        <f>IF(main!BR397="","",ROUND(main!BR397*100,6))</f>
        <v/>
      </c>
      <c r="BG394" s="68" t="str">
        <f>IF(main!BS397="","",ROUND(main!BS397*100,6))</f>
        <v/>
      </c>
      <c r="BH394" s="68" t="str">
        <f>IF(main!BT397="","",ROUND(main!BT397*100,6))</f>
        <v/>
      </c>
      <c r="BI394" s="68" t="str">
        <f>IF(main!BU397="","",ROUND(main!BU397*100,6))</f>
        <v/>
      </c>
      <c r="BJ394" s="68">
        <f>IF(main!BV397="","",ROUND(main!BV397*100,6))</f>
        <v>14.285714</v>
      </c>
      <c r="BK394" s="68">
        <f>IF(main!BW397="","",ROUND(main!BW397*100,6))</f>
        <v>50</v>
      </c>
      <c r="BL394" s="68">
        <f>IF(main!BX397="","",ROUND(main!BX397*100,6))</f>
        <v>35.714286000000001</v>
      </c>
      <c r="BM394" s="68" t="str">
        <f>IF(main!BY397="","",ROUND(main!BY397*100,6))</f>
        <v/>
      </c>
      <c r="BN394" s="68" t="str">
        <f>IF(main!BZ397="","",ROUND(main!BZ397*100,6))</f>
        <v/>
      </c>
      <c r="BO394" s="68" t="str">
        <f>IF(main!CA397="","",ROUND(main!CA397*100,6))</f>
        <v/>
      </c>
      <c r="BP394" s="68" t="str">
        <f>IF(main!CB397="","",ROUND(main!CB397*100,6))</f>
        <v/>
      </c>
      <c r="BQ394" s="68" t="str">
        <f>IF(main!CC397="","",ROUND(main!CC397*100,6))</f>
        <v/>
      </c>
      <c r="BR394" s="68" t="str">
        <f>IF(main!CD397="","",ROUND(main!CD397*100,6))</f>
        <v/>
      </c>
      <c r="BS394" s="68" t="str">
        <f>IF(main!CE397="","",ROUND(main!CE397*100,6))</f>
        <v/>
      </c>
      <c r="BT394" s="68" t="str">
        <f>IF(main!CF397="","",ROUND(main!CF397*100,6))</f>
        <v/>
      </c>
      <c r="BU394" s="68" t="str">
        <f>IF(main!CG397="","",ROUND(main!CG397*100,6))</f>
        <v/>
      </c>
      <c r="BV394" s="68" t="str">
        <f>IF(main!CH397="","",ROUND(main!CH397*100,6))</f>
        <v/>
      </c>
      <c r="BW394" s="68" t="str">
        <f>IF(main!CI397="","",ROUND(main!CI397*100,6))</f>
        <v/>
      </c>
      <c r="BX394" s="68" t="str">
        <f>IF(main!CJ397="","",ROUND(main!CJ397*100,6))</f>
        <v/>
      </c>
      <c r="BY394" s="68" t="str">
        <f>IF(main!CK397="","",ROUND(main!CK397*100,6))</f>
        <v/>
      </c>
      <c r="BZ394" s="68" t="str">
        <f>IF(main!CL397="","",ROUND(main!CL397*100,6))</f>
        <v/>
      </c>
      <c r="CA394" s="68" t="str">
        <f>IF(main!CM397="","",ROUND(main!CM397*100,6))</f>
        <v/>
      </c>
      <c r="CB394" s="68" t="str">
        <f>IF(main!CN397="","",ROUND(main!CN397*100,6))</f>
        <v/>
      </c>
      <c r="CC394" s="68" t="str">
        <f>IF(main!CO397="","",ROUND(main!CO397*100,6))</f>
        <v/>
      </c>
    </row>
    <row r="395" spans="1:81" x14ac:dyDescent="0.25">
      <c r="A395" s="65" t="s">
        <v>553</v>
      </c>
      <c r="B395" s="66" t="str">
        <f>main!C397</f>
        <v>P3 งานติดตั้งผนังยูกลาส</v>
      </c>
      <c r="C395" s="67">
        <f>main!O397</f>
        <v>100000</v>
      </c>
      <c r="D395" s="65" t="s">
        <v>111</v>
      </c>
      <c r="E395" s="68" t="str">
        <f t="shared" si="6"/>
        <v/>
      </c>
      <c r="F395" s="68" t="str">
        <f>IF(main!R398="","",ROUND(main!R398*100,6))</f>
        <v/>
      </c>
      <c r="G395" s="68" t="str">
        <f>IF(main!S398="","",ROUND(main!S398*100,6))</f>
        <v/>
      </c>
      <c r="H395" s="68" t="str">
        <f>IF(main!T398="","",ROUND(main!T398*100,6))</f>
        <v/>
      </c>
      <c r="I395" s="68" t="str">
        <f>IF(main!U398="","",ROUND(main!U398*100,6))</f>
        <v/>
      </c>
      <c r="J395" s="68" t="str">
        <f>IF(main!V398="","",ROUND(main!V398*100,6))</f>
        <v/>
      </c>
      <c r="K395" s="68" t="str">
        <f>IF(main!W398="","",ROUND(main!W398*100,6))</f>
        <v/>
      </c>
      <c r="L395" s="68" t="str">
        <f>IF(main!X398="","",ROUND(main!X398*100,6))</f>
        <v/>
      </c>
      <c r="M395" s="68" t="str">
        <f>IF(main!Y398="","",ROUND(main!Y398*100,6))</f>
        <v/>
      </c>
      <c r="N395" s="68" t="str">
        <f>IF(main!Z398="","",ROUND(main!Z398*100,6))</f>
        <v/>
      </c>
      <c r="O395" s="68" t="str">
        <f>IF(main!AA398="","",ROUND(main!AA398*100,6))</f>
        <v/>
      </c>
      <c r="P395" s="68" t="str">
        <f>IF(main!AB398="","",ROUND(main!AB398*100,6))</f>
        <v/>
      </c>
      <c r="Q395" s="68" t="str">
        <f>IF(main!AC398="","",ROUND(main!AC398*100,6))</f>
        <v/>
      </c>
      <c r="R395" s="68" t="str">
        <f>IF(main!AD398="","",ROUND(main!AD398*100,6))</f>
        <v/>
      </c>
      <c r="S395" s="68" t="str">
        <f>IF(main!AE398="","",ROUND(main!AE398*100,6))</f>
        <v/>
      </c>
      <c r="T395" s="68" t="str">
        <f>IF(main!AF398="","",ROUND(main!AF398*100,6))</f>
        <v/>
      </c>
      <c r="U395" s="68" t="str">
        <f>IF(main!AG398="","",ROUND(main!AG398*100,6))</f>
        <v/>
      </c>
      <c r="V395" s="68" t="str">
        <f>IF(main!AH398="","",ROUND(main!AH398*100,6))</f>
        <v/>
      </c>
      <c r="W395" s="68" t="str">
        <f>IF(main!AI398="","",ROUND(main!AI398*100,6))</f>
        <v/>
      </c>
      <c r="X395" s="68" t="str">
        <f>IF(main!AJ398="","",ROUND(main!AJ398*100,6))</f>
        <v/>
      </c>
      <c r="Y395" s="68" t="str">
        <f>IF(main!AK398="","",ROUND(main!AK398*100,6))</f>
        <v/>
      </c>
      <c r="Z395" s="68" t="str">
        <f>IF(main!AL398="","",ROUND(main!AL398*100,6))</f>
        <v/>
      </c>
      <c r="AA395" s="68" t="str">
        <f>IF(main!AM398="","",ROUND(main!AM398*100,6))</f>
        <v/>
      </c>
      <c r="AB395" s="68" t="str">
        <f>IF(main!AN398="","",ROUND(main!AN398*100,6))</f>
        <v/>
      </c>
      <c r="AC395" s="68" t="str">
        <f>IF(main!AO398="","",ROUND(main!AO398*100,6))</f>
        <v/>
      </c>
      <c r="AD395" s="68" t="str">
        <f>IF(main!AP398="","",ROUND(main!AP398*100,6))</f>
        <v/>
      </c>
      <c r="AE395" s="68" t="str">
        <f>IF(main!AQ398="","",ROUND(main!AQ398*100,6))</f>
        <v/>
      </c>
      <c r="AF395" s="68" t="str">
        <f>IF(main!AR398="","",ROUND(main!AR398*100,6))</f>
        <v/>
      </c>
      <c r="AG395" s="68" t="str">
        <f>IF(main!AS398="","",ROUND(main!AS398*100,6))</f>
        <v/>
      </c>
      <c r="AH395" s="68" t="str">
        <f>IF(main!AT398="","",ROUND(main!AT398*100,6))</f>
        <v/>
      </c>
      <c r="AI395" s="68" t="str">
        <f>IF(main!AU398="","",ROUND(main!AU398*100,6))</f>
        <v/>
      </c>
      <c r="AJ395" s="68" t="str">
        <f>IF(main!AV398="","",ROUND(main!AV398*100,6))</f>
        <v/>
      </c>
      <c r="AK395" s="68" t="str">
        <f>IF(main!AW398="","",ROUND(main!AW398*100,6))</f>
        <v/>
      </c>
      <c r="AL395" s="68" t="str">
        <f>IF(main!AX398="","",ROUND(main!AX398*100,6))</f>
        <v/>
      </c>
      <c r="AM395" s="68" t="str">
        <f>IF(main!AY398="","",ROUND(main!AY398*100,6))</f>
        <v/>
      </c>
      <c r="AN395" s="68" t="str">
        <f>IF(main!AZ398="","",ROUND(main!AZ398*100,6))</f>
        <v/>
      </c>
      <c r="AO395" s="68" t="str">
        <f>IF(main!BA398="","",ROUND(main!BA398*100,6))</f>
        <v/>
      </c>
      <c r="AP395" s="68" t="str">
        <f>IF(main!BB398="","",ROUND(main!BB398*100,6))</f>
        <v/>
      </c>
      <c r="AQ395" s="68" t="str">
        <f>IF(main!BC398="","",ROUND(main!BC398*100,6))</f>
        <v/>
      </c>
      <c r="AR395" s="68" t="str">
        <f>IF(main!BD398="","",ROUND(main!BD398*100,6))</f>
        <v/>
      </c>
      <c r="AS395" s="68" t="str">
        <f>IF(main!BE398="","",ROUND(main!BE398*100,6))</f>
        <v/>
      </c>
      <c r="AT395" s="68" t="str">
        <f>IF(main!BF398="","",ROUND(main!BF398*100,6))</f>
        <v/>
      </c>
      <c r="AU395" s="68" t="str">
        <f>IF(main!BG398="","",ROUND(main!BG398*100,6))</f>
        <v/>
      </c>
      <c r="AV395" s="68" t="str">
        <f>IF(main!BH398="","",ROUND(main!BH398*100,6))</f>
        <v/>
      </c>
      <c r="AW395" s="68" t="str">
        <f>IF(main!BI398="","",ROUND(main!BI398*100,6))</f>
        <v/>
      </c>
      <c r="AX395" s="68" t="str">
        <f>IF(main!BJ398="","",ROUND(main!BJ398*100,6))</f>
        <v/>
      </c>
      <c r="AY395" s="68" t="str">
        <f>IF(main!BK398="","",ROUND(main!BK398*100,6))</f>
        <v/>
      </c>
      <c r="AZ395" s="68" t="str">
        <f>IF(main!BL398="","",ROUND(main!BL398*100,6))</f>
        <v/>
      </c>
      <c r="BA395" s="68" t="str">
        <f>IF(main!BM398="","",ROUND(main!BM398*100,6))</f>
        <v/>
      </c>
      <c r="BB395" s="68" t="str">
        <f>IF(main!BN398="","",ROUND(main!BN398*100,6))</f>
        <v/>
      </c>
      <c r="BC395" s="68" t="str">
        <f>IF(main!BO398="","",ROUND(main!BO398*100,6))</f>
        <v/>
      </c>
      <c r="BD395" s="68" t="str">
        <f>IF(main!BP398="","",ROUND(main!BP398*100,6))</f>
        <v/>
      </c>
      <c r="BE395" s="68" t="str">
        <f>IF(main!BQ398="","",ROUND(main!BQ398*100,6))</f>
        <v/>
      </c>
      <c r="BF395" s="68" t="str">
        <f>IF(main!BR398="","",ROUND(main!BR398*100,6))</f>
        <v/>
      </c>
      <c r="BG395" s="68" t="str">
        <f>IF(main!BS398="","",ROUND(main!BS398*100,6))</f>
        <v/>
      </c>
      <c r="BH395" s="68" t="str">
        <f>IF(main!BT398="","",ROUND(main!BT398*100,6))</f>
        <v/>
      </c>
      <c r="BI395" s="68" t="str">
        <f>IF(main!BU398="","",ROUND(main!BU398*100,6))</f>
        <v/>
      </c>
      <c r="BJ395" s="68" t="str">
        <f>IF(main!BV398="","",ROUND(main!BV398*100,6))</f>
        <v/>
      </c>
      <c r="BK395" s="68" t="str">
        <f>IF(main!BW398="","",ROUND(main!BW398*100,6))</f>
        <v/>
      </c>
      <c r="BL395" s="68" t="str">
        <f>IF(main!BX398="","",ROUND(main!BX398*100,6))</f>
        <v/>
      </c>
      <c r="BM395" s="68" t="str">
        <f>IF(main!BY398="","",ROUND(main!BY398*100,6))</f>
        <v/>
      </c>
      <c r="BN395" s="68" t="str">
        <f>IF(main!BZ398="","",ROUND(main!BZ398*100,6))</f>
        <v/>
      </c>
      <c r="BO395" s="68" t="str">
        <f>IF(main!CA398="","",ROUND(main!CA398*100,6))</f>
        <v/>
      </c>
      <c r="BP395" s="68" t="str">
        <f>IF(main!CB398="","",ROUND(main!CB398*100,6))</f>
        <v/>
      </c>
      <c r="BQ395" s="68" t="str">
        <f>IF(main!CC398="","",ROUND(main!CC398*100,6))</f>
        <v/>
      </c>
      <c r="BR395" s="68" t="str">
        <f>IF(main!CD398="","",ROUND(main!CD398*100,6))</f>
        <v/>
      </c>
      <c r="BS395" s="68" t="str">
        <f>IF(main!CE398="","",ROUND(main!CE398*100,6))</f>
        <v/>
      </c>
      <c r="BT395" s="68" t="str">
        <f>IF(main!CF398="","",ROUND(main!CF398*100,6))</f>
        <v/>
      </c>
      <c r="BU395" s="68" t="str">
        <f>IF(main!CG398="","",ROUND(main!CG398*100,6))</f>
        <v/>
      </c>
      <c r="BV395" s="68" t="str">
        <f>IF(main!CH398="","",ROUND(main!CH398*100,6))</f>
        <v/>
      </c>
      <c r="BW395" s="68" t="str">
        <f>IF(main!CI398="","",ROUND(main!CI398*100,6))</f>
        <v/>
      </c>
      <c r="BX395" s="68" t="str">
        <f>IF(main!CJ398="","",ROUND(main!CJ398*100,6))</f>
        <v/>
      </c>
      <c r="BY395" s="68" t="str">
        <f>IF(main!CK398="","",ROUND(main!CK398*100,6))</f>
        <v/>
      </c>
      <c r="BZ395" s="68" t="str">
        <f>IF(main!CL398="","",ROUND(main!CL398*100,6))</f>
        <v/>
      </c>
      <c r="CA395" s="68" t="str">
        <f>IF(main!CM398="","",ROUND(main!CM398*100,6))</f>
        <v/>
      </c>
      <c r="CB395" s="68" t="str">
        <f>IF(main!CN398="","",ROUND(main!CN398*100,6))</f>
        <v/>
      </c>
      <c r="CC395" s="68" t="str">
        <f>IF(main!CO398="","",ROUND(main!CO398*100,6))</f>
        <v/>
      </c>
    </row>
    <row r="396" spans="1:81" x14ac:dyDescent="0.25">
      <c r="A396" s="65" t="s">
        <v>556</v>
      </c>
      <c r="B396" s="66" t="str">
        <f>main!C399</f>
        <v>Mezzanine</v>
      </c>
      <c r="C396" s="67">
        <f>main!O399</f>
        <v>400000</v>
      </c>
      <c r="D396" s="65" t="s">
        <v>110</v>
      </c>
      <c r="E396" s="68">
        <f t="shared" si="6"/>
        <v>99.999999000000003</v>
      </c>
      <c r="F396" s="68" t="str">
        <f>IF(main!R399="","",ROUND(main!R399*100,6))</f>
        <v/>
      </c>
      <c r="G396" s="68" t="str">
        <f>IF(main!S399="","",ROUND(main!S399*100,6))</f>
        <v/>
      </c>
      <c r="H396" s="68" t="str">
        <f>IF(main!T399="","",ROUND(main!T399*100,6))</f>
        <v/>
      </c>
      <c r="I396" s="68" t="str">
        <f>IF(main!U399="","",ROUND(main!U399*100,6))</f>
        <v/>
      </c>
      <c r="J396" s="68" t="str">
        <f>IF(main!V399="","",ROUND(main!V399*100,6))</f>
        <v/>
      </c>
      <c r="K396" s="68" t="str">
        <f>IF(main!W399="","",ROUND(main!W399*100,6))</f>
        <v/>
      </c>
      <c r="L396" s="68" t="str">
        <f>IF(main!X399="","",ROUND(main!X399*100,6))</f>
        <v/>
      </c>
      <c r="M396" s="68" t="str">
        <f>IF(main!Y399="","",ROUND(main!Y399*100,6))</f>
        <v/>
      </c>
      <c r="N396" s="68" t="str">
        <f>IF(main!Z399="","",ROUND(main!Z399*100,6))</f>
        <v/>
      </c>
      <c r="O396" s="68" t="str">
        <f>IF(main!AA399="","",ROUND(main!AA399*100,6))</f>
        <v/>
      </c>
      <c r="P396" s="68" t="str">
        <f>IF(main!AB399="","",ROUND(main!AB399*100,6))</f>
        <v/>
      </c>
      <c r="Q396" s="68" t="str">
        <f>IF(main!AC399="","",ROUND(main!AC399*100,6))</f>
        <v/>
      </c>
      <c r="R396" s="68" t="str">
        <f>IF(main!AD399="","",ROUND(main!AD399*100,6))</f>
        <v/>
      </c>
      <c r="S396" s="68" t="str">
        <f>IF(main!AE399="","",ROUND(main!AE399*100,6))</f>
        <v/>
      </c>
      <c r="T396" s="68" t="str">
        <f>IF(main!AF399="","",ROUND(main!AF399*100,6))</f>
        <v/>
      </c>
      <c r="U396" s="68" t="str">
        <f>IF(main!AG399="","",ROUND(main!AG399*100,6))</f>
        <v/>
      </c>
      <c r="V396" s="68" t="str">
        <f>IF(main!AH399="","",ROUND(main!AH399*100,6))</f>
        <v/>
      </c>
      <c r="W396" s="68" t="str">
        <f>IF(main!AI399="","",ROUND(main!AI399*100,6))</f>
        <v/>
      </c>
      <c r="X396" s="68" t="str">
        <f>IF(main!AJ399="","",ROUND(main!AJ399*100,6))</f>
        <v/>
      </c>
      <c r="Y396" s="68" t="str">
        <f>IF(main!AK399="","",ROUND(main!AK399*100,6))</f>
        <v/>
      </c>
      <c r="Z396" s="68" t="str">
        <f>IF(main!AL399="","",ROUND(main!AL399*100,6))</f>
        <v/>
      </c>
      <c r="AA396" s="68" t="str">
        <f>IF(main!AM399="","",ROUND(main!AM399*100,6))</f>
        <v/>
      </c>
      <c r="AB396" s="68" t="str">
        <f>IF(main!AN399="","",ROUND(main!AN399*100,6))</f>
        <v/>
      </c>
      <c r="AC396" s="68" t="str">
        <f>IF(main!AO399="","",ROUND(main!AO399*100,6))</f>
        <v/>
      </c>
      <c r="AD396" s="68" t="str">
        <f>IF(main!AP399="","",ROUND(main!AP399*100,6))</f>
        <v/>
      </c>
      <c r="AE396" s="68" t="str">
        <f>IF(main!AQ399="","",ROUND(main!AQ399*100,6))</f>
        <v/>
      </c>
      <c r="AF396" s="68" t="str">
        <f>IF(main!AR399="","",ROUND(main!AR399*100,6))</f>
        <v/>
      </c>
      <c r="AG396" s="68" t="str">
        <f>IF(main!AS399="","",ROUND(main!AS399*100,6))</f>
        <v/>
      </c>
      <c r="AH396" s="68" t="str">
        <f>IF(main!AT399="","",ROUND(main!AT399*100,6))</f>
        <v/>
      </c>
      <c r="AI396" s="68" t="str">
        <f>IF(main!AU399="","",ROUND(main!AU399*100,6))</f>
        <v/>
      </c>
      <c r="AJ396" s="68" t="str">
        <f>IF(main!AV399="","",ROUND(main!AV399*100,6))</f>
        <v/>
      </c>
      <c r="AK396" s="68" t="str">
        <f>IF(main!AW399="","",ROUND(main!AW399*100,6))</f>
        <v/>
      </c>
      <c r="AL396" s="68" t="str">
        <f>IF(main!AX399="","",ROUND(main!AX399*100,6))</f>
        <v/>
      </c>
      <c r="AM396" s="68" t="str">
        <f>IF(main!AY399="","",ROUND(main!AY399*100,6))</f>
        <v/>
      </c>
      <c r="AN396" s="68" t="str">
        <f>IF(main!AZ399="","",ROUND(main!AZ399*100,6))</f>
        <v/>
      </c>
      <c r="AO396" s="68" t="str">
        <f>IF(main!BA399="","",ROUND(main!BA399*100,6))</f>
        <v/>
      </c>
      <c r="AP396" s="68" t="str">
        <f>IF(main!BB399="","",ROUND(main!BB399*100,6))</f>
        <v/>
      </c>
      <c r="AQ396" s="68" t="str">
        <f>IF(main!BC399="","",ROUND(main!BC399*100,6))</f>
        <v/>
      </c>
      <c r="AR396" s="68" t="str">
        <f>IF(main!BD399="","",ROUND(main!BD399*100,6))</f>
        <v/>
      </c>
      <c r="AS396" s="68" t="str">
        <f>IF(main!BE399="","",ROUND(main!BE399*100,6))</f>
        <v/>
      </c>
      <c r="AT396" s="68" t="str">
        <f>IF(main!BF399="","",ROUND(main!BF399*100,6))</f>
        <v/>
      </c>
      <c r="AU396" s="68" t="str">
        <f>IF(main!BG399="","",ROUND(main!BG399*100,6))</f>
        <v/>
      </c>
      <c r="AV396" s="68" t="str">
        <f>IF(main!BH399="","",ROUND(main!BH399*100,6))</f>
        <v/>
      </c>
      <c r="AW396" s="68" t="str">
        <f>IF(main!BI399="","",ROUND(main!BI399*100,6))</f>
        <v/>
      </c>
      <c r="AX396" s="68" t="str">
        <f>IF(main!BJ399="","",ROUND(main!BJ399*100,6))</f>
        <v/>
      </c>
      <c r="AY396" s="68" t="str">
        <f>IF(main!BK399="","",ROUND(main!BK399*100,6))</f>
        <v/>
      </c>
      <c r="AZ396" s="68" t="str">
        <f>IF(main!BL399="","",ROUND(main!BL399*100,6))</f>
        <v/>
      </c>
      <c r="BA396" s="68" t="str">
        <f>IF(main!BM399="","",ROUND(main!BM399*100,6))</f>
        <v/>
      </c>
      <c r="BB396" s="68" t="str">
        <f>IF(main!BN399="","",ROUND(main!BN399*100,6))</f>
        <v/>
      </c>
      <c r="BC396" s="68" t="str">
        <f>IF(main!BO399="","",ROUND(main!BO399*100,6))</f>
        <v/>
      </c>
      <c r="BD396" s="68" t="str">
        <f>IF(main!BP399="","",ROUND(main!BP399*100,6))</f>
        <v/>
      </c>
      <c r="BE396" s="68" t="str">
        <f>IF(main!BQ399="","",ROUND(main!BQ399*100,6))</f>
        <v/>
      </c>
      <c r="BF396" s="68" t="str">
        <f>IF(main!BR399="","",ROUND(main!BR399*100,6))</f>
        <v/>
      </c>
      <c r="BG396" s="68" t="str">
        <f>IF(main!BS399="","",ROUND(main!BS399*100,6))</f>
        <v/>
      </c>
      <c r="BH396" s="68" t="str">
        <f>IF(main!BT399="","",ROUND(main!BT399*100,6))</f>
        <v/>
      </c>
      <c r="BI396" s="68" t="str">
        <f>IF(main!BU399="","",ROUND(main!BU399*100,6))</f>
        <v/>
      </c>
      <c r="BJ396" s="68" t="str">
        <f>IF(main!BV399="","",ROUND(main!BV399*100,6))</f>
        <v/>
      </c>
      <c r="BK396" s="68" t="str">
        <f>IF(main!BW399="","",ROUND(main!BW399*100,6))</f>
        <v/>
      </c>
      <c r="BL396" s="68" t="str">
        <f>IF(main!BX399="","",ROUND(main!BX399*100,6))</f>
        <v/>
      </c>
      <c r="BM396" s="68">
        <f>IF(main!BY399="","",ROUND(main!BY399*100,6))</f>
        <v>7.1428570000000002</v>
      </c>
      <c r="BN396" s="68">
        <f>IF(main!BZ399="","",ROUND(main!BZ399*100,6))</f>
        <v>25</v>
      </c>
      <c r="BO396" s="68">
        <f>IF(main!CA399="","",ROUND(main!CA399*100,6))</f>
        <v>21.428571000000002</v>
      </c>
      <c r="BP396" s="68">
        <f>IF(main!CB399="","",ROUND(main!CB399*100,6))</f>
        <v>12.5</v>
      </c>
      <c r="BQ396" s="68">
        <f>IF(main!CC399="","",ROUND(main!CC399*100,6))</f>
        <v>11.309524</v>
      </c>
      <c r="BR396" s="68">
        <f>IF(main!CD399="","",ROUND(main!CD399*100,6))</f>
        <v>8.3333329999999997</v>
      </c>
      <c r="BS396" s="68">
        <f>IF(main!CE399="","",ROUND(main!CE399*100,6))</f>
        <v>8.3333329999999997</v>
      </c>
      <c r="BT396" s="68">
        <f>IF(main!CF399="","",ROUND(main!CF399*100,6))</f>
        <v>5.9523809999999999</v>
      </c>
      <c r="BU396" s="68" t="str">
        <f>IF(main!CG399="","",ROUND(main!CG399*100,6))</f>
        <v/>
      </c>
      <c r="BV396" s="68" t="str">
        <f>IF(main!CH399="","",ROUND(main!CH399*100,6))</f>
        <v/>
      </c>
      <c r="BW396" s="68" t="str">
        <f>IF(main!CI399="","",ROUND(main!CI399*100,6))</f>
        <v/>
      </c>
      <c r="BX396" s="68" t="str">
        <f>IF(main!CJ399="","",ROUND(main!CJ399*100,6))</f>
        <v/>
      </c>
      <c r="BY396" s="68" t="str">
        <f>IF(main!CK399="","",ROUND(main!CK399*100,6))</f>
        <v/>
      </c>
      <c r="BZ396" s="68" t="str">
        <f>IF(main!CL399="","",ROUND(main!CL399*100,6))</f>
        <v/>
      </c>
      <c r="CA396" s="68" t="str">
        <f>IF(main!CM399="","",ROUND(main!CM399*100,6))</f>
        <v/>
      </c>
      <c r="CB396" s="68" t="str">
        <f>IF(main!CN399="","",ROUND(main!CN399*100,6))</f>
        <v/>
      </c>
      <c r="CC396" s="68" t="str">
        <f>IF(main!CO399="","",ROUND(main!CO399*100,6))</f>
        <v/>
      </c>
    </row>
    <row r="397" spans="1:81" x14ac:dyDescent="0.25">
      <c r="A397" s="65" t="s">
        <v>556</v>
      </c>
      <c r="B397" s="66" t="str">
        <f>main!C399</f>
        <v>Mezzanine</v>
      </c>
      <c r="C397" s="67">
        <f>main!O399</f>
        <v>400000</v>
      </c>
      <c r="D397" s="65" t="s">
        <v>111</v>
      </c>
      <c r="E397" s="68" t="str">
        <f t="shared" si="6"/>
        <v/>
      </c>
      <c r="F397" s="68" t="str">
        <f>IF(main!R400="","",ROUND(main!R400*100,6))</f>
        <v/>
      </c>
      <c r="G397" s="68" t="str">
        <f>IF(main!S400="","",ROUND(main!S400*100,6))</f>
        <v/>
      </c>
      <c r="H397" s="68" t="str">
        <f>IF(main!T400="","",ROUND(main!T400*100,6))</f>
        <v/>
      </c>
      <c r="I397" s="68" t="str">
        <f>IF(main!U400="","",ROUND(main!U400*100,6))</f>
        <v/>
      </c>
      <c r="J397" s="68" t="str">
        <f>IF(main!V400="","",ROUND(main!V400*100,6))</f>
        <v/>
      </c>
      <c r="K397" s="68" t="str">
        <f>IF(main!W400="","",ROUND(main!W400*100,6))</f>
        <v/>
      </c>
      <c r="L397" s="68" t="str">
        <f>IF(main!X400="","",ROUND(main!X400*100,6))</f>
        <v/>
      </c>
      <c r="M397" s="68" t="str">
        <f>IF(main!Y400="","",ROUND(main!Y400*100,6))</f>
        <v/>
      </c>
      <c r="N397" s="68" t="str">
        <f>IF(main!Z400="","",ROUND(main!Z400*100,6))</f>
        <v/>
      </c>
      <c r="O397" s="68" t="str">
        <f>IF(main!AA400="","",ROUND(main!AA400*100,6))</f>
        <v/>
      </c>
      <c r="P397" s="68" t="str">
        <f>IF(main!AB400="","",ROUND(main!AB400*100,6))</f>
        <v/>
      </c>
      <c r="Q397" s="68" t="str">
        <f>IF(main!AC400="","",ROUND(main!AC400*100,6))</f>
        <v/>
      </c>
      <c r="R397" s="68" t="str">
        <f>IF(main!AD400="","",ROUND(main!AD400*100,6))</f>
        <v/>
      </c>
      <c r="S397" s="68" t="str">
        <f>IF(main!AE400="","",ROUND(main!AE400*100,6))</f>
        <v/>
      </c>
      <c r="T397" s="68" t="str">
        <f>IF(main!AF400="","",ROUND(main!AF400*100,6))</f>
        <v/>
      </c>
      <c r="U397" s="68" t="str">
        <f>IF(main!AG400="","",ROUND(main!AG400*100,6))</f>
        <v/>
      </c>
      <c r="V397" s="68" t="str">
        <f>IF(main!AH400="","",ROUND(main!AH400*100,6))</f>
        <v/>
      </c>
      <c r="W397" s="68" t="str">
        <f>IF(main!AI400="","",ROUND(main!AI400*100,6))</f>
        <v/>
      </c>
      <c r="X397" s="68" t="str">
        <f>IF(main!AJ400="","",ROUND(main!AJ400*100,6))</f>
        <v/>
      </c>
      <c r="Y397" s="68" t="str">
        <f>IF(main!AK400="","",ROUND(main!AK400*100,6))</f>
        <v/>
      </c>
      <c r="Z397" s="68" t="str">
        <f>IF(main!AL400="","",ROUND(main!AL400*100,6))</f>
        <v/>
      </c>
      <c r="AA397" s="68" t="str">
        <f>IF(main!AM400="","",ROUND(main!AM400*100,6))</f>
        <v/>
      </c>
      <c r="AB397" s="68" t="str">
        <f>IF(main!AN400="","",ROUND(main!AN400*100,6))</f>
        <v/>
      </c>
      <c r="AC397" s="68" t="str">
        <f>IF(main!AO400="","",ROUND(main!AO400*100,6))</f>
        <v/>
      </c>
      <c r="AD397" s="68" t="str">
        <f>IF(main!AP400="","",ROUND(main!AP400*100,6))</f>
        <v/>
      </c>
      <c r="AE397" s="68" t="str">
        <f>IF(main!AQ400="","",ROUND(main!AQ400*100,6))</f>
        <v/>
      </c>
      <c r="AF397" s="68" t="str">
        <f>IF(main!AR400="","",ROUND(main!AR400*100,6))</f>
        <v/>
      </c>
      <c r="AG397" s="68" t="str">
        <f>IF(main!AS400="","",ROUND(main!AS400*100,6))</f>
        <v/>
      </c>
      <c r="AH397" s="68" t="str">
        <f>IF(main!AT400="","",ROUND(main!AT400*100,6))</f>
        <v/>
      </c>
      <c r="AI397" s="68" t="str">
        <f>IF(main!AU400="","",ROUND(main!AU400*100,6))</f>
        <v/>
      </c>
      <c r="AJ397" s="68" t="str">
        <f>IF(main!AV400="","",ROUND(main!AV400*100,6))</f>
        <v/>
      </c>
      <c r="AK397" s="68" t="str">
        <f>IF(main!AW400="","",ROUND(main!AW400*100,6))</f>
        <v/>
      </c>
      <c r="AL397" s="68" t="str">
        <f>IF(main!AX400="","",ROUND(main!AX400*100,6))</f>
        <v/>
      </c>
      <c r="AM397" s="68" t="str">
        <f>IF(main!AY400="","",ROUND(main!AY400*100,6))</f>
        <v/>
      </c>
      <c r="AN397" s="68" t="str">
        <f>IF(main!AZ400="","",ROUND(main!AZ400*100,6))</f>
        <v/>
      </c>
      <c r="AO397" s="68" t="str">
        <f>IF(main!BA400="","",ROUND(main!BA400*100,6))</f>
        <v/>
      </c>
      <c r="AP397" s="68" t="str">
        <f>IF(main!BB400="","",ROUND(main!BB400*100,6))</f>
        <v/>
      </c>
      <c r="AQ397" s="68" t="str">
        <f>IF(main!BC400="","",ROUND(main!BC400*100,6))</f>
        <v/>
      </c>
      <c r="AR397" s="68" t="str">
        <f>IF(main!BD400="","",ROUND(main!BD400*100,6))</f>
        <v/>
      </c>
      <c r="AS397" s="68" t="str">
        <f>IF(main!BE400="","",ROUND(main!BE400*100,6))</f>
        <v/>
      </c>
      <c r="AT397" s="68" t="str">
        <f>IF(main!BF400="","",ROUND(main!BF400*100,6))</f>
        <v/>
      </c>
      <c r="AU397" s="68" t="str">
        <f>IF(main!BG400="","",ROUND(main!BG400*100,6))</f>
        <v/>
      </c>
      <c r="AV397" s="68" t="str">
        <f>IF(main!BH400="","",ROUND(main!BH400*100,6))</f>
        <v/>
      </c>
      <c r="AW397" s="68" t="str">
        <f>IF(main!BI400="","",ROUND(main!BI400*100,6))</f>
        <v/>
      </c>
      <c r="AX397" s="68" t="str">
        <f>IF(main!BJ400="","",ROUND(main!BJ400*100,6))</f>
        <v/>
      </c>
      <c r="AY397" s="68" t="str">
        <f>IF(main!BK400="","",ROUND(main!BK400*100,6))</f>
        <v/>
      </c>
      <c r="AZ397" s="68" t="str">
        <f>IF(main!BL400="","",ROUND(main!BL400*100,6))</f>
        <v/>
      </c>
      <c r="BA397" s="68" t="str">
        <f>IF(main!BM400="","",ROUND(main!BM400*100,6))</f>
        <v/>
      </c>
      <c r="BB397" s="68" t="str">
        <f>IF(main!BN400="","",ROUND(main!BN400*100,6))</f>
        <v/>
      </c>
      <c r="BC397" s="68" t="str">
        <f>IF(main!BO400="","",ROUND(main!BO400*100,6))</f>
        <v/>
      </c>
      <c r="BD397" s="68" t="str">
        <f>IF(main!BP400="","",ROUND(main!BP400*100,6))</f>
        <v/>
      </c>
      <c r="BE397" s="68" t="str">
        <f>IF(main!BQ400="","",ROUND(main!BQ400*100,6))</f>
        <v/>
      </c>
      <c r="BF397" s="68" t="str">
        <f>IF(main!BR400="","",ROUND(main!BR400*100,6))</f>
        <v/>
      </c>
      <c r="BG397" s="68" t="str">
        <f>IF(main!BS400="","",ROUND(main!BS400*100,6))</f>
        <v/>
      </c>
      <c r="BH397" s="68" t="str">
        <f>IF(main!BT400="","",ROUND(main!BT400*100,6))</f>
        <v/>
      </c>
      <c r="BI397" s="68" t="str">
        <f>IF(main!BU400="","",ROUND(main!BU400*100,6))</f>
        <v/>
      </c>
      <c r="BJ397" s="68" t="str">
        <f>IF(main!BV400="","",ROUND(main!BV400*100,6))</f>
        <v/>
      </c>
      <c r="BK397" s="68" t="str">
        <f>IF(main!BW400="","",ROUND(main!BW400*100,6))</f>
        <v/>
      </c>
      <c r="BL397" s="68" t="str">
        <f>IF(main!BX400="","",ROUND(main!BX400*100,6))</f>
        <v/>
      </c>
      <c r="BM397" s="68" t="str">
        <f>IF(main!BY400="","",ROUND(main!BY400*100,6))</f>
        <v/>
      </c>
      <c r="BN397" s="68" t="str">
        <f>IF(main!BZ400="","",ROUND(main!BZ400*100,6))</f>
        <v/>
      </c>
      <c r="BO397" s="68" t="str">
        <f>IF(main!CA400="","",ROUND(main!CA400*100,6))</f>
        <v/>
      </c>
      <c r="BP397" s="68" t="str">
        <f>IF(main!CB400="","",ROUND(main!CB400*100,6))</f>
        <v/>
      </c>
      <c r="BQ397" s="68" t="str">
        <f>IF(main!CC400="","",ROUND(main!CC400*100,6))</f>
        <v/>
      </c>
      <c r="BR397" s="68" t="str">
        <f>IF(main!CD400="","",ROUND(main!CD400*100,6))</f>
        <v/>
      </c>
      <c r="BS397" s="68" t="str">
        <f>IF(main!CE400="","",ROUND(main!CE400*100,6))</f>
        <v/>
      </c>
      <c r="BT397" s="68" t="str">
        <f>IF(main!CF400="","",ROUND(main!CF400*100,6))</f>
        <v/>
      </c>
      <c r="BU397" s="68" t="str">
        <f>IF(main!CG400="","",ROUND(main!CG400*100,6))</f>
        <v/>
      </c>
      <c r="BV397" s="68" t="str">
        <f>IF(main!CH400="","",ROUND(main!CH400*100,6))</f>
        <v/>
      </c>
      <c r="BW397" s="68" t="str">
        <f>IF(main!CI400="","",ROUND(main!CI400*100,6))</f>
        <v/>
      </c>
      <c r="BX397" s="68" t="str">
        <f>IF(main!CJ400="","",ROUND(main!CJ400*100,6))</f>
        <v/>
      </c>
      <c r="BY397" s="68" t="str">
        <f>IF(main!CK400="","",ROUND(main!CK400*100,6))</f>
        <v/>
      </c>
      <c r="BZ397" s="68" t="str">
        <f>IF(main!CL400="","",ROUND(main!CL400*100,6))</f>
        <v/>
      </c>
      <c r="CA397" s="68" t="str">
        <f>IF(main!CM400="","",ROUND(main!CM400*100,6))</f>
        <v/>
      </c>
      <c r="CB397" s="68" t="str">
        <f>IF(main!CN400="","",ROUND(main!CN400*100,6))</f>
        <v/>
      </c>
      <c r="CC397" s="68" t="str">
        <f>IF(main!CO400="","",ROUND(main!CO400*100,6))</f>
        <v/>
      </c>
    </row>
    <row r="398" spans="1:81" x14ac:dyDescent="0.25">
      <c r="A398" s="65" t="s">
        <v>557</v>
      </c>
      <c r="B398" s="66" t="str">
        <f>main!C401</f>
        <v>Wall | Wall Fn.</v>
      </c>
      <c r="C398" s="67">
        <f>main!O401</f>
        <v>300000</v>
      </c>
      <c r="D398" s="65" t="s">
        <v>110</v>
      </c>
      <c r="E398" s="68">
        <f t="shared" si="6"/>
        <v>100.000001</v>
      </c>
      <c r="F398" s="68" t="str">
        <f>IF(main!R401="","",ROUND(main!R401*100,6))</f>
        <v/>
      </c>
      <c r="G398" s="68" t="str">
        <f>IF(main!S401="","",ROUND(main!S401*100,6))</f>
        <v/>
      </c>
      <c r="H398" s="68" t="str">
        <f>IF(main!T401="","",ROUND(main!T401*100,6))</f>
        <v/>
      </c>
      <c r="I398" s="68" t="str">
        <f>IF(main!U401="","",ROUND(main!U401*100,6))</f>
        <v/>
      </c>
      <c r="J398" s="68" t="str">
        <f>IF(main!V401="","",ROUND(main!V401*100,6))</f>
        <v/>
      </c>
      <c r="K398" s="68" t="str">
        <f>IF(main!W401="","",ROUND(main!W401*100,6))</f>
        <v/>
      </c>
      <c r="L398" s="68" t="str">
        <f>IF(main!X401="","",ROUND(main!X401*100,6))</f>
        <v/>
      </c>
      <c r="M398" s="68" t="str">
        <f>IF(main!Y401="","",ROUND(main!Y401*100,6))</f>
        <v/>
      </c>
      <c r="N398" s="68" t="str">
        <f>IF(main!Z401="","",ROUND(main!Z401*100,6))</f>
        <v/>
      </c>
      <c r="O398" s="68" t="str">
        <f>IF(main!AA401="","",ROUND(main!AA401*100,6))</f>
        <v/>
      </c>
      <c r="P398" s="68" t="str">
        <f>IF(main!AB401="","",ROUND(main!AB401*100,6))</f>
        <v/>
      </c>
      <c r="Q398" s="68" t="str">
        <f>IF(main!AC401="","",ROUND(main!AC401*100,6))</f>
        <v/>
      </c>
      <c r="R398" s="68" t="str">
        <f>IF(main!AD401="","",ROUND(main!AD401*100,6))</f>
        <v/>
      </c>
      <c r="S398" s="68" t="str">
        <f>IF(main!AE401="","",ROUND(main!AE401*100,6))</f>
        <v/>
      </c>
      <c r="T398" s="68" t="str">
        <f>IF(main!AF401="","",ROUND(main!AF401*100,6))</f>
        <v/>
      </c>
      <c r="U398" s="68" t="str">
        <f>IF(main!AG401="","",ROUND(main!AG401*100,6))</f>
        <v/>
      </c>
      <c r="V398" s="68" t="str">
        <f>IF(main!AH401="","",ROUND(main!AH401*100,6))</f>
        <v/>
      </c>
      <c r="W398" s="68" t="str">
        <f>IF(main!AI401="","",ROUND(main!AI401*100,6))</f>
        <v/>
      </c>
      <c r="X398" s="68" t="str">
        <f>IF(main!AJ401="","",ROUND(main!AJ401*100,6))</f>
        <v/>
      </c>
      <c r="Y398" s="68" t="str">
        <f>IF(main!AK401="","",ROUND(main!AK401*100,6))</f>
        <v/>
      </c>
      <c r="Z398" s="68" t="str">
        <f>IF(main!AL401="","",ROUND(main!AL401*100,6))</f>
        <v/>
      </c>
      <c r="AA398" s="68" t="str">
        <f>IF(main!AM401="","",ROUND(main!AM401*100,6))</f>
        <v/>
      </c>
      <c r="AB398" s="68" t="str">
        <f>IF(main!AN401="","",ROUND(main!AN401*100,6))</f>
        <v/>
      </c>
      <c r="AC398" s="68" t="str">
        <f>IF(main!AO401="","",ROUND(main!AO401*100,6))</f>
        <v/>
      </c>
      <c r="AD398" s="68" t="str">
        <f>IF(main!AP401="","",ROUND(main!AP401*100,6))</f>
        <v/>
      </c>
      <c r="AE398" s="68" t="str">
        <f>IF(main!AQ401="","",ROUND(main!AQ401*100,6))</f>
        <v/>
      </c>
      <c r="AF398" s="68" t="str">
        <f>IF(main!AR401="","",ROUND(main!AR401*100,6))</f>
        <v/>
      </c>
      <c r="AG398" s="68" t="str">
        <f>IF(main!AS401="","",ROUND(main!AS401*100,6))</f>
        <v/>
      </c>
      <c r="AH398" s="68" t="str">
        <f>IF(main!AT401="","",ROUND(main!AT401*100,6))</f>
        <v/>
      </c>
      <c r="AI398" s="68" t="str">
        <f>IF(main!AU401="","",ROUND(main!AU401*100,6))</f>
        <v/>
      </c>
      <c r="AJ398" s="68" t="str">
        <f>IF(main!AV401="","",ROUND(main!AV401*100,6))</f>
        <v/>
      </c>
      <c r="AK398" s="68" t="str">
        <f>IF(main!AW401="","",ROUND(main!AW401*100,6))</f>
        <v/>
      </c>
      <c r="AL398" s="68" t="str">
        <f>IF(main!AX401="","",ROUND(main!AX401*100,6))</f>
        <v/>
      </c>
      <c r="AM398" s="68" t="str">
        <f>IF(main!AY401="","",ROUND(main!AY401*100,6))</f>
        <v/>
      </c>
      <c r="AN398" s="68" t="str">
        <f>IF(main!AZ401="","",ROUND(main!AZ401*100,6))</f>
        <v/>
      </c>
      <c r="AO398" s="68" t="str">
        <f>IF(main!BA401="","",ROUND(main!BA401*100,6))</f>
        <v/>
      </c>
      <c r="AP398" s="68" t="str">
        <f>IF(main!BB401="","",ROUND(main!BB401*100,6))</f>
        <v/>
      </c>
      <c r="AQ398" s="68" t="str">
        <f>IF(main!BC401="","",ROUND(main!BC401*100,6))</f>
        <v/>
      </c>
      <c r="AR398" s="68" t="str">
        <f>IF(main!BD401="","",ROUND(main!BD401*100,6))</f>
        <v/>
      </c>
      <c r="AS398" s="68" t="str">
        <f>IF(main!BE401="","",ROUND(main!BE401*100,6))</f>
        <v/>
      </c>
      <c r="AT398" s="68" t="str">
        <f>IF(main!BF401="","",ROUND(main!BF401*100,6))</f>
        <v/>
      </c>
      <c r="AU398" s="68" t="str">
        <f>IF(main!BG401="","",ROUND(main!BG401*100,6))</f>
        <v/>
      </c>
      <c r="AV398" s="68" t="str">
        <f>IF(main!BH401="","",ROUND(main!BH401*100,6))</f>
        <v/>
      </c>
      <c r="AW398" s="68" t="str">
        <f>IF(main!BI401="","",ROUND(main!BI401*100,6))</f>
        <v/>
      </c>
      <c r="AX398" s="68" t="str">
        <f>IF(main!BJ401="","",ROUND(main!BJ401*100,6))</f>
        <v/>
      </c>
      <c r="AY398" s="68" t="str">
        <f>IF(main!BK401="","",ROUND(main!BK401*100,6))</f>
        <v/>
      </c>
      <c r="AZ398" s="68" t="str">
        <f>IF(main!BL401="","",ROUND(main!BL401*100,6))</f>
        <v/>
      </c>
      <c r="BA398" s="68" t="str">
        <f>IF(main!BM401="","",ROUND(main!BM401*100,6))</f>
        <v/>
      </c>
      <c r="BB398" s="68" t="str">
        <f>IF(main!BN401="","",ROUND(main!BN401*100,6))</f>
        <v/>
      </c>
      <c r="BC398" s="68" t="str">
        <f>IF(main!BO401="","",ROUND(main!BO401*100,6))</f>
        <v/>
      </c>
      <c r="BD398" s="68" t="str">
        <f>IF(main!BP401="","",ROUND(main!BP401*100,6))</f>
        <v/>
      </c>
      <c r="BE398" s="68" t="str">
        <f>IF(main!BQ401="","",ROUND(main!BQ401*100,6))</f>
        <v/>
      </c>
      <c r="BF398" s="68" t="str">
        <f>IF(main!BR401="","",ROUND(main!BR401*100,6))</f>
        <v/>
      </c>
      <c r="BG398" s="68" t="str">
        <f>IF(main!BS401="","",ROUND(main!BS401*100,6))</f>
        <v/>
      </c>
      <c r="BH398" s="68" t="str">
        <f>IF(main!BT401="","",ROUND(main!BT401*100,6))</f>
        <v/>
      </c>
      <c r="BI398" s="68" t="str">
        <f>IF(main!BU401="","",ROUND(main!BU401*100,6))</f>
        <v/>
      </c>
      <c r="BJ398" s="68" t="str">
        <f>IF(main!BV401="","",ROUND(main!BV401*100,6))</f>
        <v/>
      </c>
      <c r="BK398" s="68" t="str">
        <f>IF(main!BW401="","",ROUND(main!BW401*100,6))</f>
        <v/>
      </c>
      <c r="BL398" s="68" t="str">
        <f>IF(main!BX401="","",ROUND(main!BX401*100,6))</f>
        <v/>
      </c>
      <c r="BM398" s="68">
        <f>IF(main!BY401="","",ROUND(main!BY401*100,6))</f>
        <v>9.5238099999999992</v>
      </c>
      <c r="BN398" s="68">
        <f>IF(main!BZ401="","",ROUND(main!BZ401*100,6))</f>
        <v>33.333333000000003</v>
      </c>
      <c r="BO398" s="68">
        <f>IF(main!CA401="","",ROUND(main!CA401*100,6))</f>
        <v>28.571428999999998</v>
      </c>
      <c r="BP398" s="68">
        <f>IF(main!CB401="","",ROUND(main!CB401*100,6))</f>
        <v>16.666667</v>
      </c>
      <c r="BQ398" s="68">
        <f>IF(main!CC401="","",ROUND(main!CC401*100,6))</f>
        <v>11.904762</v>
      </c>
      <c r="BR398" s="68" t="str">
        <f>IF(main!CD401="","",ROUND(main!CD401*100,6))</f>
        <v/>
      </c>
      <c r="BS398" s="68" t="str">
        <f>IF(main!CE401="","",ROUND(main!CE401*100,6))</f>
        <v/>
      </c>
      <c r="BT398" s="68" t="str">
        <f>IF(main!CF401="","",ROUND(main!CF401*100,6))</f>
        <v/>
      </c>
      <c r="BU398" s="68" t="str">
        <f>IF(main!CG401="","",ROUND(main!CG401*100,6))</f>
        <v/>
      </c>
      <c r="BV398" s="68" t="str">
        <f>IF(main!CH401="","",ROUND(main!CH401*100,6))</f>
        <v/>
      </c>
      <c r="BW398" s="68" t="str">
        <f>IF(main!CI401="","",ROUND(main!CI401*100,6))</f>
        <v/>
      </c>
      <c r="BX398" s="68" t="str">
        <f>IF(main!CJ401="","",ROUND(main!CJ401*100,6))</f>
        <v/>
      </c>
      <c r="BY398" s="68" t="str">
        <f>IF(main!CK401="","",ROUND(main!CK401*100,6))</f>
        <v/>
      </c>
      <c r="BZ398" s="68" t="str">
        <f>IF(main!CL401="","",ROUND(main!CL401*100,6))</f>
        <v/>
      </c>
      <c r="CA398" s="68" t="str">
        <f>IF(main!CM401="","",ROUND(main!CM401*100,6))</f>
        <v/>
      </c>
      <c r="CB398" s="68" t="str">
        <f>IF(main!CN401="","",ROUND(main!CN401*100,6))</f>
        <v/>
      </c>
      <c r="CC398" s="68" t="str">
        <f>IF(main!CO401="","",ROUND(main!CO401*100,6))</f>
        <v/>
      </c>
    </row>
    <row r="399" spans="1:81" x14ac:dyDescent="0.25">
      <c r="A399" s="65" t="s">
        <v>557</v>
      </c>
      <c r="B399" s="66" t="str">
        <f>main!C401</f>
        <v>Wall | Wall Fn.</v>
      </c>
      <c r="C399" s="67">
        <f>main!O401</f>
        <v>300000</v>
      </c>
      <c r="D399" s="65" t="s">
        <v>111</v>
      </c>
      <c r="E399" s="68" t="str">
        <f t="shared" si="6"/>
        <v/>
      </c>
      <c r="F399" s="68" t="str">
        <f>IF(main!R402="","",ROUND(main!R402*100,6))</f>
        <v/>
      </c>
      <c r="G399" s="68" t="str">
        <f>IF(main!S402="","",ROUND(main!S402*100,6))</f>
        <v/>
      </c>
      <c r="H399" s="68" t="str">
        <f>IF(main!T402="","",ROUND(main!T402*100,6))</f>
        <v/>
      </c>
      <c r="I399" s="68" t="str">
        <f>IF(main!U402="","",ROUND(main!U402*100,6))</f>
        <v/>
      </c>
      <c r="J399" s="68" t="str">
        <f>IF(main!V402="","",ROUND(main!V402*100,6))</f>
        <v/>
      </c>
      <c r="K399" s="68" t="str">
        <f>IF(main!W402="","",ROUND(main!W402*100,6))</f>
        <v/>
      </c>
      <c r="L399" s="68" t="str">
        <f>IF(main!X402="","",ROUND(main!X402*100,6))</f>
        <v/>
      </c>
      <c r="M399" s="68" t="str">
        <f>IF(main!Y402="","",ROUND(main!Y402*100,6))</f>
        <v/>
      </c>
      <c r="N399" s="68" t="str">
        <f>IF(main!Z402="","",ROUND(main!Z402*100,6))</f>
        <v/>
      </c>
      <c r="O399" s="68" t="str">
        <f>IF(main!AA402="","",ROUND(main!AA402*100,6))</f>
        <v/>
      </c>
      <c r="P399" s="68" t="str">
        <f>IF(main!AB402="","",ROUND(main!AB402*100,6))</f>
        <v/>
      </c>
      <c r="Q399" s="68" t="str">
        <f>IF(main!AC402="","",ROUND(main!AC402*100,6))</f>
        <v/>
      </c>
      <c r="R399" s="68" t="str">
        <f>IF(main!AD402="","",ROUND(main!AD402*100,6))</f>
        <v/>
      </c>
      <c r="S399" s="68" t="str">
        <f>IF(main!AE402="","",ROUND(main!AE402*100,6))</f>
        <v/>
      </c>
      <c r="T399" s="68" t="str">
        <f>IF(main!AF402="","",ROUND(main!AF402*100,6))</f>
        <v/>
      </c>
      <c r="U399" s="68" t="str">
        <f>IF(main!AG402="","",ROUND(main!AG402*100,6))</f>
        <v/>
      </c>
      <c r="V399" s="68" t="str">
        <f>IF(main!AH402="","",ROUND(main!AH402*100,6))</f>
        <v/>
      </c>
      <c r="W399" s="68" t="str">
        <f>IF(main!AI402="","",ROUND(main!AI402*100,6))</f>
        <v/>
      </c>
      <c r="X399" s="68" t="str">
        <f>IF(main!AJ402="","",ROUND(main!AJ402*100,6))</f>
        <v/>
      </c>
      <c r="Y399" s="68" t="str">
        <f>IF(main!AK402="","",ROUND(main!AK402*100,6))</f>
        <v/>
      </c>
      <c r="Z399" s="68" t="str">
        <f>IF(main!AL402="","",ROUND(main!AL402*100,6))</f>
        <v/>
      </c>
      <c r="AA399" s="68" t="str">
        <f>IF(main!AM402="","",ROUND(main!AM402*100,6))</f>
        <v/>
      </c>
      <c r="AB399" s="68" t="str">
        <f>IF(main!AN402="","",ROUND(main!AN402*100,6))</f>
        <v/>
      </c>
      <c r="AC399" s="68" t="str">
        <f>IF(main!AO402="","",ROUND(main!AO402*100,6))</f>
        <v/>
      </c>
      <c r="AD399" s="68" t="str">
        <f>IF(main!AP402="","",ROUND(main!AP402*100,6))</f>
        <v/>
      </c>
      <c r="AE399" s="68" t="str">
        <f>IF(main!AQ402="","",ROUND(main!AQ402*100,6))</f>
        <v/>
      </c>
      <c r="AF399" s="68" t="str">
        <f>IF(main!AR402="","",ROUND(main!AR402*100,6))</f>
        <v/>
      </c>
      <c r="AG399" s="68" t="str">
        <f>IF(main!AS402="","",ROUND(main!AS402*100,6))</f>
        <v/>
      </c>
      <c r="AH399" s="68" t="str">
        <f>IF(main!AT402="","",ROUND(main!AT402*100,6))</f>
        <v/>
      </c>
      <c r="AI399" s="68" t="str">
        <f>IF(main!AU402="","",ROUND(main!AU402*100,6))</f>
        <v/>
      </c>
      <c r="AJ399" s="68" t="str">
        <f>IF(main!AV402="","",ROUND(main!AV402*100,6))</f>
        <v/>
      </c>
      <c r="AK399" s="68" t="str">
        <f>IF(main!AW402="","",ROUND(main!AW402*100,6))</f>
        <v/>
      </c>
      <c r="AL399" s="68" t="str">
        <f>IF(main!AX402="","",ROUND(main!AX402*100,6))</f>
        <v/>
      </c>
      <c r="AM399" s="68" t="str">
        <f>IF(main!AY402="","",ROUND(main!AY402*100,6))</f>
        <v/>
      </c>
      <c r="AN399" s="68" t="str">
        <f>IF(main!AZ402="","",ROUND(main!AZ402*100,6))</f>
        <v/>
      </c>
      <c r="AO399" s="68" t="str">
        <f>IF(main!BA402="","",ROUND(main!BA402*100,6))</f>
        <v/>
      </c>
      <c r="AP399" s="68" t="str">
        <f>IF(main!BB402="","",ROUND(main!BB402*100,6))</f>
        <v/>
      </c>
      <c r="AQ399" s="68" t="str">
        <f>IF(main!BC402="","",ROUND(main!BC402*100,6))</f>
        <v/>
      </c>
      <c r="AR399" s="68" t="str">
        <f>IF(main!BD402="","",ROUND(main!BD402*100,6))</f>
        <v/>
      </c>
      <c r="AS399" s="68" t="str">
        <f>IF(main!BE402="","",ROUND(main!BE402*100,6))</f>
        <v/>
      </c>
      <c r="AT399" s="68" t="str">
        <f>IF(main!BF402="","",ROUND(main!BF402*100,6))</f>
        <v/>
      </c>
      <c r="AU399" s="68" t="str">
        <f>IF(main!BG402="","",ROUND(main!BG402*100,6))</f>
        <v/>
      </c>
      <c r="AV399" s="68" t="str">
        <f>IF(main!BH402="","",ROUND(main!BH402*100,6))</f>
        <v/>
      </c>
      <c r="AW399" s="68" t="str">
        <f>IF(main!BI402="","",ROUND(main!BI402*100,6))</f>
        <v/>
      </c>
      <c r="AX399" s="68" t="str">
        <f>IF(main!BJ402="","",ROUND(main!BJ402*100,6))</f>
        <v/>
      </c>
      <c r="AY399" s="68" t="str">
        <f>IF(main!BK402="","",ROUND(main!BK402*100,6))</f>
        <v/>
      </c>
      <c r="AZ399" s="68" t="str">
        <f>IF(main!BL402="","",ROUND(main!BL402*100,6))</f>
        <v/>
      </c>
      <c r="BA399" s="68" t="str">
        <f>IF(main!BM402="","",ROUND(main!BM402*100,6))</f>
        <v/>
      </c>
      <c r="BB399" s="68" t="str">
        <f>IF(main!BN402="","",ROUND(main!BN402*100,6))</f>
        <v/>
      </c>
      <c r="BC399" s="68" t="str">
        <f>IF(main!BO402="","",ROUND(main!BO402*100,6))</f>
        <v/>
      </c>
      <c r="BD399" s="68" t="str">
        <f>IF(main!BP402="","",ROUND(main!BP402*100,6))</f>
        <v/>
      </c>
      <c r="BE399" s="68" t="str">
        <f>IF(main!BQ402="","",ROUND(main!BQ402*100,6))</f>
        <v/>
      </c>
      <c r="BF399" s="68" t="str">
        <f>IF(main!BR402="","",ROUND(main!BR402*100,6))</f>
        <v/>
      </c>
      <c r="BG399" s="68" t="str">
        <f>IF(main!BS402="","",ROUND(main!BS402*100,6))</f>
        <v/>
      </c>
      <c r="BH399" s="68" t="str">
        <f>IF(main!BT402="","",ROUND(main!BT402*100,6))</f>
        <v/>
      </c>
      <c r="BI399" s="68" t="str">
        <f>IF(main!BU402="","",ROUND(main!BU402*100,6))</f>
        <v/>
      </c>
      <c r="BJ399" s="68" t="str">
        <f>IF(main!BV402="","",ROUND(main!BV402*100,6))</f>
        <v/>
      </c>
      <c r="BK399" s="68" t="str">
        <f>IF(main!BW402="","",ROUND(main!BW402*100,6))</f>
        <v/>
      </c>
      <c r="BL399" s="68" t="str">
        <f>IF(main!BX402="","",ROUND(main!BX402*100,6))</f>
        <v/>
      </c>
      <c r="BM399" s="68" t="str">
        <f>IF(main!BY402="","",ROUND(main!BY402*100,6))</f>
        <v/>
      </c>
      <c r="BN399" s="68" t="str">
        <f>IF(main!BZ402="","",ROUND(main!BZ402*100,6))</f>
        <v/>
      </c>
      <c r="BO399" s="68" t="str">
        <f>IF(main!CA402="","",ROUND(main!CA402*100,6))</f>
        <v/>
      </c>
      <c r="BP399" s="68" t="str">
        <f>IF(main!CB402="","",ROUND(main!CB402*100,6))</f>
        <v/>
      </c>
      <c r="BQ399" s="68" t="str">
        <f>IF(main!CC402="","",ROUND(main!CC402*100,6))</f>
        <v/>
      </c>
      <c r="BR399" s="68" t="str">
        <f>IF(main!CD402="","",ROUND(main!CD402*100,6))</f>
        <v/>
      </c>
      <c r="BS399" s="68" t="str">
        <f>IF(main!CE402="","",ROUND(main!CE402*100,6))</f>
        <v/>
      </c>
      <c r="BT399" s="68" t="str">
        <f>IF(main!CF402="","",ROUND(main!CF402*100,6))</f>
        <v/>
      </c>
      <c r="BU399" s="68" t="str">
        <f>IF(main!CG402="","",ROUND(main!CG402*100,6))</f>
        <v/>
      </c>
      <c r="BV399" s="68" t="str">
        <f>IF(main!CH402="","",ROUND(main!CH402*100,6))</f>
        <v/>
      </c>
      <c r="BW399" s="68" t="str">
        <f>IF(main!CI402="","",ROUND(main!CI402*100,6))</f>
        <v/>
      </c>
      <c r="BX399" s="68" t="str">
        <f>IF(main!CJ402="","",ROUND(main!CJ402*100,6))</f>
        <v/>
      </c>
      <c r="BY399" s="68" t="str">
        <f>IF(main!CK402="","",ROUND(main!CK402*100,6))</f>
        <v/>
      </c>
      <c r="BZ399" s="68" t="str">
        <f>IF(main!CL402="","",ROUND(main!CL402*100,6))</f>
        <v/>
      </c>
      <c r="CA399" s="68" t="str">
        <f>IF(main!CM402="","",ROUND(main!CM402*100,6))</f>
        <v/>
      </c>
      <c r="CB399" s="68" t="str">
        <f>IF(main!CN402="","",ROUND(main!CN402*100,6))</f>
        <v/>
      </c>
      <c r="CC399" s="68" t="str">
        <f>IF(main!CO402="","",ROUND(main!CO402*100,6))</f>
        <v/>
      </c>
    </row>
    <row r="400" spans="1:81" x14ac:dyDescent="0.25">
      <c r="A400" s="65" t="s">
        <v>558</v>
      </c>
      <c r="B400" s="66" t="str">
        <f>main!C403</f>
        <v>P3 งานติดตั้งผนังยูกลาส</v>
      </c>
      <c r="C400" s="67">
        <f>main!O403</f>
        <v>100000</v>
      </c>
      <c r="D400" s="65" t="s">
        <v>110</v>
      </c>
      <c r="E400" s="68">
        <f t="shared" si="6"/>
        <v>100</v>
      </c>
      <c r="F400" s="68" t="str">
        <f>IF(main!R403="","",ROUND(main!R403*100,6))</f>
        <v/>
      </c>
      <c r="G400" s="68" t="str">
        <f>IF(main!S403="","",ROUND(main!S403*100,6))</f>
        <v/>
      </c>
      <c r="H400" s="68" t="str">
        <f>IF(main!T403="","",ROUND(main!T403*100,6))</f>
        <v/>
      </c>
      <c r="I400" s="68" t="str">
        <f>IF(main!U403="","",ROUND(main!U403*100,6))</f>
        <v/>
      </c>
      <c r="J400" s="68" t="str">
        <f>IF(main!V403="","",ROUND(main!V403*100,6))</f>
        <v/>
      </c>
      <c r="K400" s="68" t="str">
        <f>IF(main!W403="","",ROUND(main!W403*100,6))</f>
        <v/>
      </c>
      <c r="L400" s="68" t="str">
        <f>IF(main!X403="","",ROUND(main!X403*100,6))</f>
        <v/>
      </c>
      <c r="M400" s="68" t="str">
        <f>IF(main!Y403="","",ROUND(main!Y403*100,6))</f>
        <v/>
      </c>
      <c r="N400" s="68" t="str">
        <f>IF(main!Z403="","",ROUND(main!Z403*100,6))</f>
        <v/>
      </c>
      <c r="O400" s="68" t="str">
        <f>IF(main!AA403="","",ROUND(main!AA403*100,6))</f>
        <v/>
      </c>
      <c r="P400" s="68" t="str">
        <f>IF(main!AB403="","",ROUND(main!AB403*100,6))</f>
        <v/>
      </c>
      <c r="Q400" s="68" t="str">
        <f>IF(main!AC403="","",ROUND(main!AC403*100,6))</f>
        <v/>
      </c>
      <c r="R400" s="68" t="str">
        <f>IF(main!AD403="","",ROUND(main!AD403*100,6))</f>
        <v/>
      </c>
      <c r="S400" s="68" t="str">
        <f>IF(main!AE403="","",ROUND(main!AE403*100,6))</f>
        <v/>
      </c>
      <c r="T400" s="68" t="str">
        <f>IF(main!AF403="","",ROUND(main!AF403*100,6))</f>
        <v/>
      </c>
      <c r="U400" s="68" t="str">
        <f>IF(main!AG403="","",ROUND(main!AG403*100,6))</f>
        <v/>
      </c>
      <c r="V400" s="68" t="str">
        <f>IF(main!AH403="","",ROUND(main!AH403*100,6))</f>
        <v/>
      </c>
      <c r="W400" s="68" t="str">
        <f>IF(main!AI403="","",ROUND(main!AI403*100,6))</f>
        <v/>
      </c>
      <c r="X400" s="68" t="str">
        <f>IF(main!AJ403="","",ROUND(main!AJ403*100,6))</f>
        <v/>
      </c>
      <c r="Y400" s="68" t="str">
        <f>IF(main!AK403="","",ROUND(main!AK403*100,6))</f>
        <v/>
      </c>
      <c r="Z400" s="68" t="str">
        <f>IF(main!AL403="","",ROUND(main!AL403*100,6))</f>
        <v/>
      </c>
      <c r="AA400" s="68" t="str">
        <f>IF(main!AM403="","",ROUND(main!AM403*100,6))</f>
        <v/>
      </c>
      <c r="AB400" s="68" t="str">
        <f>IF(main!AN403="","",ROUND(main!AN403*100,6))</f>
        <v/>
      </c>
      <c r="AC400" s="68" t="str">
        <f>IF(main!AO403="","",ROUND(main!AO403*100,6))</f>
        <v/>
      </c>
      <c r="AD400" s="68" t="str">
        <f>IF(main!AP403="","",ROUND(main!AP403*100,6))</f>
        <v/>
      </c>
      <c r="AE400" s="68" t="str">
        <f>IF(main!AQ403="","",ROUND(main!AQ403*100,6))</f>
        <v/>
      </c>
      <c r="AF400" s="68" t="str">
        <f>IF(main!AR403="","",ROUND(main!AR403*100,6))</f>
        <v/>
      </c>
      <c r="AG400" s="68" t="str">
        <f>IF(main!AS403="","",ROUND(main!AS403*100,6))</f>
        <v/>
      </c>
      <c r="AH400" s="68" t="str">
        <f>IF(main!AT403="","",ROUND(main!AT403*100,6))</f>
        <v/>
      </c>
      <c r="AI400" s="68" t="str">
        <f>IF(main!AU403="","",ROUND(main!AU403*100,6))</f>
        <v/>
      </c>
      <c r="AJ400" s="68" t="str">
        <f>IF(main!AV403="","",ROUND(main!AV403*100,6))</f>
        <v/>
      </c>
      <c r="AK400" s="68" t="str">
        <f>IF(main!AW403="","",ROUND(main!AW403*100,6))</f>
        <v/>
      </c>
      <c r="AL400" s="68" t="str">
        <f>IF(main!AX403="","",ROUND(main!AX403*100,6))</f>
        <v/>
      </c>
      <c r="AM400" s="68" t="str">
        <f>IF(main!AY403="","",ROUND(main!AY403*100,6))</f>
        <v/>
      </c>
      <c r="AN400" s="68" t="str">
        <f>IF(main!AZ403="","",ROUND(main!AZ403*100,6))</f>
        <v/>
      </c>
      <c r="AO400" s="68" t="str">
        <f>IF(main!BA403="","",ROUND(main!BA403*100,6))</f>
        <v/>
      </c>
      <c r="AP400" s="68" t="str">
        <f>IF(main!BB403="","",ROUND(main!BB403*100,6))</f>
        <v/>
      </c>
      <c r="AQ400" s="68" t="str">
        <f>IF(main!BC403="","",ROUND(main!BC403*100,6))</f>
        <v/>
      </c>
      <c r="AR400" s="68" t="str">
        <f>IF(main!BD403="","",ROUND(main!BD403*100,6))</f>
        <v/>
      </c>
      <c r="AS400" s="68" t="str">
        <f>IF(main!BE403="","",ROUND(main!BE403*100,6))</f>
        <v/>
      </c>
      <c r="AT400" s="68" t="str">
        <f>IF(main!BF403="","",ROUND(main!BF403*100,6))</f>
        <v/>
      </c>
      <c r="AU400" s="68" t="str">
        <f>IF(main!BG403="","",ROUND(main!BG403*100,6))</f>
        <v/>
      </c>
      <c r="AV400" s="68" t="str">
        <f>IF(main!BH403="","",ROUND(main!BH403*100,6))</f>
        <v/>
      </c>
      <c r="AW400" s="68" t="str">
        <f>IF(main!BI403="","",ROUND(main!BI403*100,6))</f>
        <v/>
      </c>
      <c r="AX400" s="68" t="str">
        <f>IF(main!BJ403="","",ROUND(main!BJ403*100,6))</f>
        <v/>
      </c>
      <c r="AY400" s="68" t="str">
        <f>IF(main!BK403="","",ROUND(main!BK403*100,6))</f>
        <v/>
      </c>
      <c r="AZ400" s="68" t="str">
        <f>IF(main!BL403="","",ROUND(main!BL403*100,6))</f>
        <v/>
      </c>
      <c r="BA400" s="68" t="str">
        <f>IF(main!BM403="","",ROUND(main!BM403*100,6))</f>
        <v/>
      </c>
      <c r="BB400" s="68" t="str">
        <f>IF(main!BN403="","",ROUND(main!BN403*100,6))</f>
        <v/>
      </c>
      <c r="BC400" s="68" t="str">
        <f>IF(main!BO403="","",ROUND(main!BO403*100,6))</f>
        <v/>
      </c>
      <c r="BD400" s="68" t="str">
        <f>IF(main!BP403="","",ROUND(main!BP403*100,6))</f>
        <v/>
      </c>
      <c r="BE400" s="68" t="str">
        <f>IF(main!BQ403="","",ROUND(main!BQ403*100,6))</f>
        <v/>
      </c>
      <c r="BF400" s="68" t="str">
        <f>IF(main!BR403="","",ROUND(main!BR403*100,6))</f>
        <v/>
      </c>
      <c r="BG400" s="68" t="str">
        <f>IF(main!BS403="","",ROUND(main!BS403*100,6))</f>
        <v/>
      </c>
      <c r="BH400" s="68" t="str">
        <f>IF(main!BT403="","",ROUND(main!BT403*100,6))</f>
        <v/>
      </c>
      <c r="BI400" s="68" t="str">
        <f>IF(main!BU403="","",ROUND(main!BU403*100,6))</f>
        <v/>
      </c>
      <c r="BJ400" s="68" t="str">
        <f>IF(main!BV403="","",ROUND(main!BV403*100,6))</f>
        <v/>
      </c>
      <c r="BK400" s="68" t="str">
        <f>IF(main!BW403="","",ROUND(main!BW403*100,6))</f>
        <v/>
      </c>
      <c r="BL400" s="68" t="str">
        <f>IF(main!BX403="","",ROUND(main!BX403*100,6))</f>
        <v/>
      </c>
      <c r="BM400" s="68">
        <f>IF(main!BY403="","",ROUND(main!BY403*100,6))</f>
        <v>14.285714</v>
      </c>
      <c r="BN400" s="68">
        <f>IF(main!BZ403="","",ROUND(main!BZ403*100,6))</f>
        <v>50</v>
      </c>
      <c r="BO400" s="68">
        <f>IF(main!CA403="","",ROUND(main!CA403*100,6))</f>
        <v>35.714286000000001</v>
      </c>
      <c r="BP400" s="68" t="str">
        <f>IF(main!CB403="","",ROUND(main!CB403*100,6))</f>
        <v/>
      </c>
      <c r="BQ400" s="68" t="str">
        <f>IF(main!CC403="","",ROUND(main!CC403*100,6))</f>
        <v/>
      </c>
      <c r="BR400" s="68" t="str">
        <f>IF(main!CD403="","",ROUND(main!CD403*100,6))</f>
        <v/>
      </c>
      <c r="BS400" s="68" t="str">
        <f>IF(main!CE403="","",ROUND(main!CE403*100,6))</f>
        <v/>
      </c>
      <c r="BT400" s="68" t="str">
        <f>IF(main!CF403="","",ROUND(main!CF403*100,6))</f>
        <v/>
      </c>
      <c r="BU400" s="68" t="str">
        <f>IF(main!CG403="","",ROUND(main!CG403*100,6))</f>
        <v/>
      </c>
      <c r="BV400" s="68" t="str">
        <f>IF(main!CH403="","",ROUND(main!CH403*100,6))</f>
        <v/>
      </c>
      <c r="BW400" s="68" t="str">
        <f>IF(main!CI403="","",ROUND(main!CI403*100,6))</f>
        <v/>
      </c>
      <c r="BX400" s="68" t="str">
        <f>IF(main!CJ403="","",ROUND(main!CJ403*100,6))</f>
        <v/>
      </c>
      <c r="BY400" s="68" t="str">
        <f>IF(main!CK403="","",ROUND(main!CK403*100,6))</f>
        <v/>
      </c>
      <c r="BZ400" s="68" t="str">
        <f>IF(main!CL403="","",ROUND(main!CL403*100,6))</f>
        <v/>
      </c>
      <c r="CA400" s="68" t="str">
        <f>IF(main!CM403="","",ROUND(main!CM403*100,6))</f>
        <v/>
      </c>
      <c r="CB400" s="68" t="str">
        <f>IF(main!CN403="","",ROUND(main!CN403*100,6))</f>
        <v/>
      </c>
      <c r="CC400" s="68" t="str">
        <f>IF(main!CO403="","",ROUND(main!CO403*100,6))</f>
        <v/>
      </c>
    </row>
    <row r="401" spans="1:81" x14ac:dyDescent="0.25">
      <c r="A401" s="65" t="s">
        <v>558</v>
      </c>
      <c r="B401" s="66" t="str">
        <f>main!C403</f>
        <v>P3 งานติดตั้งผนังยูกลาส</v>
      </c>
      <c r="C401" s="67">
        <f>main!O403</f>
        <v>100000</v>
      </c>
      <c r="D401" s="65" t="s">
        <v>111</v>
      </c>
      <c r="E401" s="68" t="str">
        <f t="shared" si="6"/>
        <v/>
      </c>
      <c r="F401" s="68" t="str">
        <f>IF(main!R404="","",ROUND(main!R404*100,6))</f>
        <v/>
      </c>
      <c r="G401" s="68" t="str">
        <f>IF(main!S404="","",ROUND(main!S404*100,6))</f>
        <v/>
      </c>
      <c r="H401" s="68" t="str">
        <f>IF(main!T404="","",ROUND(main!T404*100,6))</f>
        <v/>
      </c>
      <c r="I401" s="68" t="str">
        <f>IF(main!U404="","",ROUND(main!U404*100,6))</f>
        <v/>
      </c>
      <c r="J401" s="68" t="str">
        <f>IF(main!V404="","",ROUND(main!V404*100,6))</f>
        <v/>
      </c>
      <c r="K401" s="68" t="str">
        <f>IF(main!W404="","",ROUND(main!W404*100,6))</f>
        <v/>
      </c>
      <c r="L401" s="68" t="str">
        <f>IF(main!X404="","",ROUND(main!X404*100,6))</f>
        <v/>
      </c>
      <c r="M401" s="68" t="str">
        <f>IF(main!Y404="","",ROUND(main!Y404*100,6))</f>
        <v/>
      </c>
      <c r="N401" s="68" t="str">
        <f>IF(main!Z404="","",ROUND(main!Z404*100,6))</f>
        <v/>
      </c>
      <c r="O401" s="68" t="str">
        <f>IF(main!AA404="","",ROUND(main!AA404*100,6))</f>
        <v/>
      </c>
      <c r="P401" s="68" t="str">
        <f>IF(main!AB404="","",ROUND(main!AB404*100,6))</f>
        <v/>
      </c>
      <c r="Q401" s="68" t="str">
        <f>IF(main!AC404="","",ROUND(main!AC404*100,6))</f>
        <v/>
      </c>
      <c r="R401" s="68" t="str">
        <f>IF(main!AD404="","",ROUND(main!AD404*100,6))</f>
        <v/>
      </c>
      <c r="S401" s="68" t="str">
        <f>IF(main!AE404="","",ROUND(main!AE404*100,6))</f>
        <v/>
      </c>
      <c r="T401" s="68" t="str">
        <f>IF(main!AF404="","",ROUND(main!AF404*100,6))</f>
        <v/>
      </c>
      <c r="U401" s="68" t="str">
        <f>IF(main!AG404="","",ROUND(main!AG404*100,6))</f>
        <v/>
      </c>
      <c r="V401" s="68" t="str">
        <f>IF(main!AH404="","",ROUND(main!AH404*100,6))</f>
        <v/>
      </c>
      <c r="W401" s="68" t="str">
        <f>IF(main!AI404="","",ROUND(main!AI404*100,6))</f>
        <v/>
      </c>
      <c r="X401" s="68" t="str">
        <f>IF(main!AJ404="","",ROUND(main!AJ404*100,6))</f>
        <v/>
      </c>
      <c r="Y401" s="68" t="str">
        <f>IF(main!AK404="","",ROUND(main!AK404*100,6))</f>
        <v/>
      </c>
      <c r="Z401" s="68" t="str">
        <f>IF(main!AL404="","",ROUND(main!AL404*100,6))</f>
        <v/>
      </c>
      <c r="AA401" s="68" t="str">
        <f>IF(main!AM404="","",ROUND(main!AM404*100,6))</f>
        <v/>
      </c>
      <c r="AB401" s="68" t="str">
        <f>IF(main!AN404="","",ROUND(main!AN404*100,6))</f>
        <v/>
      </c>
      <c r="AC401" s="68" t="str">
        <f>IF(main!AO404="","",ROUND(main!AO404*100,6))</f>
        <v/>
      </c>
      <c r="AD401" s="68" t="str">
        <f>IF(main!AP404="","",ROUND(main!AP404*100,6))</f>
        <v/>
      </c>
      <c r="AE401" s="68" t="str">
        <f>IF(main!AQ404="","",ROUND(main!AQ404*100,6))</f>
        <v/>
      </c>
      <c r="AF401" s="68" t="str">
        <f>IF(main!AR404="","",ROUND(main!AR404*100,6))</f>
        <v/>
      </c>
      <c r="AG401" s="68" t="str">
        <f>IF(main!AS404="","",ROUND(main!AS404*100,6))</f>
        <v/>
      </c>
      <c r="AH401" s="68" t="str">
        <f>IF(main!AT404="","",ROUND(main!AT404*100,6))</f>
        <v/>
      </c>
      <c r="AI401" s="68" t="str">
        <f>IF(main!AU404="","",ROUND(main!AU404*100,6))</f>
        <v/>
      </c>
      <c r="AJ401" s="68" t="str">
        <f>IF(main!AV404="","",ROUND(main!AV404*100,6))</f>
        <v/>
      </c>
      <c r="AK401" s="68" t="str">
        <f>IF(main!AW404="","",ROUND(main!AW404*100,6))</f>
        <v/>
      </c>
      <c r="AL401" s="68" t="str">
        <f>IF(main!AX404="","",ROUND(main!AX404*100,6))</f>
        <v/>
      </c>
      <c r="AM401" s="68" t="str">
        <f>IF(main!AY404="","",ROUND(main!AY404*100,6))</f>
        <v/>
      </c>
      <c r="AN401" s="68" t="str">
        <f>IF(main!AZ404="","",ROUND(main!AZ404*100,6))</f>
        <v/>
      </c>
      <c r="AO401" s="68" t="str">
        <f>IF(main!BA404="","",ROUND(main!BA404*100,6))</f>
        <v/>
      </c>
      <c r="AP401" s="68" t="str">
        <f>IF(main!BB404="","",ROUND(main!BB404*100,6))</f>
        <v/>
      </c>
      <c r="AQ401" s="68" t="str">
        <f>IF(main!BC404="","",ROUND(main!BC404*100,6))</f>
        <v/>
      </c>
      <c r="AR401" s="68" t="str">
        <f>IF(main!BD404="","",ROUND(main!BD404*100,6))</f>
        <v/>
      </c>
      <c r="AS401" s="68" t="str">
        <f>IF(main!BE404="","",ROUND(main!BE404*100,6))</f>
        <v/>
      </c>
      <c r="AT401" s="68" t="str">
        <f>IF(main!BF404="","",ROUND(main!BF404*100,6))</f>
        <v/>
      </c>
      <c r="AU401" s="68" t="str">
        <f>IF(main!BG404="","",ROUND(main!BG404*100,6))</f>
        <v/>
      </c>
      <c r="AV401" s="68" t="str">
        <f>IF(main!BH404="","",ROUND(main!BH404*100,6))</f>
        <v/>
      </c>
      <c r="AW401" s="68" t="str">
        <f>IF(main!BI404="","",ROUND(main!BI404*100,6))</f>
        <v/>
      </c>
      <c r="AX401" s="68" t="str">
        <f>IF(main!BJ404="","",ROUND(main!BJ404*100,6))</f>
        <v/>
      </c>
      <c r="AY401" s="68" t="str">
        <f>IF(main!BK404="","",ROUND(main!BK404*100,6))</f>
        <v/>
      </c>
      <c r="AZ401" s="68" t="str">
        <f>IF(main!BL404="","",ROUND(main!BL404*100,6))</f>
        <v/>
      </c>
      <c r="BA401" s="68" t="str">
        <f>IF(main!BM404="","",ROUND(main!BM404*100,6))</f>
        <v/>
      </c>
      <c r="BB401" s="68" t="str">
        <f>IF(main!BN404="","",ROUND(main!BN404*100,6))</f>
        <v/>
      </c>
      <c r="BC401" s="68" t="str">
        <f>IF(main!BO404="","",ROUND(main!BO404*100,6))</f>
        <v/>
      </c>
      <c r="BD401" s="68" t="str">
        <f>IF(main!BP404="","",ROUND(main!BP404*100,6))</f>
        <v/>
      </c>
      <c r="BE401" s="68" t="str">
        <f>IF(main!BQ404="","",ROUND(main!BQ404*100,6))</f>
        <v/>
      </c>
      <c r="BF401" s="68" t="str">
        <f>IF(main!BR404="","",ROUND(main!BR404*100,6))</f>
        <v/>
      </c>
      <c r="BG401" s="68" t="str">
        <f>IF(main!BS404="","",ROUND(main!BS404*100,6))</f>
        <v/>
      </c>
      <c r="BH401" s="68" t="str">
        <f>IF(main!BT404="","",ROUND(main!BT404*100,6))</f>
        <v/>
      </c>
      <c r="BI401" s="68" t="str">
        <f>IF(main!BU404="","",ROUND(main!BU404*100,6))</f>
        <v/>
      </c>
      <c r="BJ401" s="68" t="str">
        <f>IF(main!BV404="","",ROUND(main!BV404*100,6))</f>
        <v/>
      </c>
      <c r="BK401" s="68" t="str">
        <f>IF(main!BW404="","",ROUND(main!BW404*100,6))</f>
        <v/>
      </c>
      <c r="BL401" s="68" t="str">
        <f>IF(main!BX404="","",ROUND(main!BX404*100,6))</f>
        <v/>
      </c>
      <c r="BM401" s="68" t="str">
        <f>IF(main!BY404="","",ROUND(main!BY404*100,6))</f>
        <v/>
      </c>
      <c r="BN401" s="68" t="str">
        <f>IF(main!BZ404="","",ROUND(main!BZ404*100,6))</f>
        <v/>
      </c>
      <c r="BO401" s="68" t="str">
        <f>IF(main!CA404="","",ROUND(main!CA404*100,6))</f>
        <v/>
      </c>
      <c r="BP401" s="68" t="str">
        <f>IF(main!CB404="","",ROUND(main!CB404*100,6))</f>
        <v/>
      </c>
      <c r="BQ401" s="68" t="str">
        <f>IF(main!CC404="","",ROUND(main!CC404*100,6))</f>
        <v/>
      </c>
      <c r="BR401" s="68" t="str">
        <f>IF(main!CD404="","",ROUND(main!CD404*100,6))</f>
        <v/>
      </c>
      <c r="BS401" s="68" t="str">
        <f>IF(main!CE404="","",ROUND(main!CE404*100,6))</f>
        <v/>
      </c>
      <c r="BT401" s="68" t="str">
        <f>IF(main!CF404="","",ROUND(main!CF404*100,6))</f>
        <v/>
      </c>
      <c r="BU401" s="68" t="str">
        <f>IF(main!CG404="","",ROUND(main!CG404*100,6))</f>
        <v/>
      </c>
      <c r="BV401" s="68" t="str">
        <f>IF(main!CH404="","",ROUND(main!CH404*100,6))</f>
        <v/>
      </c>
      <c r="BW401" s="68" t="str">
        <f>IF(main!CI404="","",ROUND(main!CI404*100,6))</f>
        <v/>
      </c>
      <c r="BX401" s="68" t="str">
        <f>IF(main!CJ404="","",ROUND(main!CJ404*100,6))</f>
        <v/>
      </c>
      <c r="BY401" s="68" t="str">
        <f>IF(main!CK404="","",ROUND(main!CK404*100,6))</f>
        <v/>
      </c>
      <c r="BZ401" s="68" t="str">
        <f>IF(main!CL404="","",ROUND(main!CL404*100,6))</f>
        <v/>
      </c>
      <c r="CA401" s="68" t="str">
        <f>IF(main!CM404="","",ROUND(main!CM404*100,6))</f>
        <v/>
      </c>
      <c r="CB401" s="68" t="str">
        <f>IF(main!CN404="","",ROUND(main!CN404*100,6))</f>
        <v/>
      </c>
      <c r="CC401" s="68" t="str">
        <f>IF(main!CO404="","",ROUND(main!CO404*100,6))</f>
        <v/>
      </c>
    </row>
    <row r="402" spans="1:81" ht="30" x14ac:dyDescent="0.25">
      <c r="A402" s="65" t="s">
        <v>560</v>
      </c>
      <c r="B402" s="66" t="str">
        <f>main!C405</f>
        <v>P5  ผนังยิปซัมบอร์ดกรุวัสดุซับเสียง ปิดทับด้วยวัสดุตามแบบ ID</v>
      </c>
      <c r="C402" s="67">
        <f>main!O405</f>
        <v>100000</v>
      </c>
      <c r="D402" s="65" t="s">
        <v>110</v>
      </c>
      <c r="E402" s="68">
        <f t="shared" si="6"/>
        <v>100</v>
      </c>
      <c r="F402" s="68" t="str">
        <f>IF(main!R405="","",ROUND(main!R405*100,6))</f>
        <v/>
      </c>
      <c r="G402" s="68" t="str">
        <f>IF(main!S405="","",ROUND(main!S405*100,6))</f>
        <v/>
      </c>
      <c r="H402" s="68" t="str">
        <f>IF(main!T405="","",ROUND(main!T405*100,6))</f>
        <v/>
      </c>
      <c r="I402" s="68" t="str">
        <f>IF(main!U405="","",ROUND(main!U405*100,6))</f>
        <v/>
      </c>
      <c r="J402" s="68" t="str">
        <f>IF(main!V405="","",ROUND(main!V405*100,6))</f>
        <v/>
      </c>
      <c r="K402" s="68" t="str">
        <f>IF(main!W405="","",ROUND(main!W405*100,6))</f>
        <v/>
      </c>
      <c r="L402" s="68" t="str">
        <f>IF(main!X405="","",ROUND(main!X405*100,6))</f>
        <v/>
      </c>
      <c r="M402" s="68" t="str">
        <f>IF(main!Y405="","",ROUND(main!Y405*100,6))</f>
        <v/>
      </c>
      <c r="N402" s="68" t="str">
        <f>IF(main!Z405="","",ROUND(main!Z405*100,6))</f>
        <v/>
      </c>
      <c r="O402" s="68" t="str">
        <f>IF(main!AA405="","",ROUND(main!AA405*100,6))</f>
        <v/>
      </c>
      <c r="P402" s="68" t="str">
        <f>IF(main!AB405="","",ROUND(main!AB405*100,6))</f>
        <v/>
      </c>
      <c r="Q402" s="68" t="str">
        <f>IF(main!AC405="","",ROUND(main!AC405*100,6))</f>
        <v/>
      </c>
      <c r="R402" s="68" t="str">
        <f>IF(main!AD405="","",ROUND(main!AD405*100,6))</f>
        <v/>
      </c>
      <c r="S402" s="68" t="str">
        <f>IF(main!AE405="","",ROUND(main!AE405*100,6))</f>
        <v/>
      </c>
      <c r="T402" s="68" t="str">
        <f>IF(main!AF405="","",ROUND(main!AF405*100,6))</f>
        <v/>
      </c>
      <c r="U402" s="68" t="str">
        <f>IF(main!AG405="","",ROUND(main!AG405*100,6))</f>
        <v/>
      </c>
      <c r="V402" s="68" t="str">
        <f>IF(main!AH405="","",ROUND(main!AH405*100,6))</f>
        <v/>
      </c>
      <c r="W402" s="68" t="str">
        <f>IF(main!AI405="","",ROUND(main!AI405*100,6))</f>
        <v/>
      </c>
      <c r="X402" s="68" t="str">
        <f>IF(main!AJ405="","",ROUND(main!AJ405*100,6))</f>
        <v/>
      </c>
      <c r="Y402" s="68" t="str">
        <f>IF(main!AK405="","",ROUND(main!AK405*100,6))</f>
        <v/>
      </c>
      <c r="Z402" s="68" t="str">
        <f>IF(main!AL405="","",ROUND(main!AL405*100,6))</f>
        <v/>
      </c>
      <c r="AA402" s="68" t="str">
        <f>IF(main!AM405="","",ROUND(main!AM405*100,6))</f>
        <v/>
      </c>
      <c r="AB402" s="68" t="str">
        <f>IF(main!AN405="","",ROUND(main!AN405*100,6))</f>
        <v/>
      </c>
      <c r="AC402" s="68" t="str">
        <f>IF(main!AO405="","",ROUND(main!AO405*100,6))</f>
        <v/>
      </c>
      <c r="AD402" s="68" t="str">
        <f>IF(main!AP405="","",ROUND(main!AP405*100,6))</f>
        <v/>
      </c>
      <c r="AE402" s="68" t="str">
        <f>IF(main!AQ405="","",ROUND(main!AQ405*100,6))</f>
        <v/>
      </c>
      <c r="AF402" s="68" t="str">
        <f>IF(main!AR405="","",ROUND(main!AR405*100,6))</f>
        <v/>
      </c>
      <c r="AG402" s="68" t="str">
        <f>IF(main!AS405="","",ROUND(main!AS405*100,6))</f>
        <v/>
      </c>
      <c r="AH402" s="68" t="str">
        <f>IF(main!AT405="","",ROUND(main!AT405*100,6))</f>
        <v/>
      </c>
      <c r="AI402" s="68" t="str">
        <f>IF(main!AU405="","",ROUND(main!AU405*100,6))</f>
        <v/>
      </c>
      <c r="AJ402" s="68" t="str">
        <f>IF(main!AV405="","",ROUND(main!AV405*100,6))</f>
        <v/>
      </c>
      <c r="AK402" s="68" t="str">
        <f>IF(main!AW405="","",ROUND(main!AW405*100,6))</f>
        <v/>
      </c>
      <c r="AL402" s="68" t="str">
        <f>IF(main!AX405="","",ROUND(main!AX405*100,6))</f>
        <v/>
      </c>
      <c r="AM402" s="68" t="str">
        <f>IF(main!AY405="","",ROUND(main!AY405*100,6))</f>
        <v/>
      </c>
      <c r="AN402" s="68" t="str">
        <f>IF(main!AZ405="","",ROUND(main!AZ405*100,6))</f>
        <v/>
      </c>
      <c r="AO402" s="68" t="str">
        <f>IF(main!BA405="","",ROUND(main!BA405*100,6))</f>
        <v/>
      </c>
      <c r="AP402" s="68" t="str">
        <f>IF(main!BB405="","",ROUND(main!BB405*100,6))</f>
        <v/>
      </c>
      <c r="AQ402" s="68" t="str">
        <f>IF(main!BC405="","",ROUND(main!BC405*100,6))</f>
        <v/>
      </c>
      <c r="AR402" s="68" t="str">
        <f>IF(main!BD405="","",ROUND(main!BD405*100,6))</f>
        <v/>
      </c>
      <c r="AS402" s="68" t="str">
        <f>IF(main!BE405="","",ROUND(main!BE405*100,6))</f>
        <v/>
      </c>
      <c r="AT402" s="68" t="str">
        <f>IF(main!BF405="","",ROUND(main!BF405*100,6))</f>
        <v/>
      </c>
      <c r="AU402" s="68" t="str">
        <f>IF(main!BG405="","",ROUND(main!BG405*100,6))</f>
        <v/>
      </c>
      <c r="AV402" s="68" t="str">
        <f>IF(main!BH405="","",ROUND(main!BH405*100,6))</f>
        <v/>
      </c>
      <c r="AW402" s="68" t="str">
        <f>IF(main!BI405="","",ROUND(main!BI405*100,6))</f>
        <v/>
      </c>
      <c r="AX402" s="68" t="str">
        <f>IF(main!BJ405="","",ROUND(main!BJ405*100,6))</f>
        <v/>
      </c>
      <c r="AY402" s="68" t="str">
        <f>IF(main!BK405="","",ROUND(main!BK405*100,6))</f>
        <v/>
      </c>
      <c r="AZ402" s="68" t="str">
        <f>IF(main!BL405="","",ROUND(main!BL405*100,6))</f>
        <v/>
      </c>
      <c r="BA402" s="68" t="str">
        <f>IF(main!BM405="","",ROUND(main!BM405*100,6))</f>
        <v/>
      </c>
      <c r="BB402" s="68" t="str">
        <f>IF(main!BN405="","",ROUND(main!BN405*100,6))</f>
        <v/>
      </c>
      <c r="BC402" s="68" t="str">
        <f>IF(main!BO405="","",ROUND(main!BO405*100,6))</f>
        <v/>
      </c>
      <c r="BD402" s="68" t="str">
        <f>IF(main!BP405="","",ROUND(main!BP405*100,6))</f>
        <v/>
      </c>
      <c r="BE402" s="68" t="str">
        <f>IF(main!BQ405="","",ROUND(main!BQ405*100,6))</f>
        <v/>
      </c>
      <c r="BF402" s="68" t="str">
        <f>IF(main!BR405="","",ROUND(main!BR405*100,6))</f>
        <v/>
      </c>
      <c r="BG402" s="68" t="str">
        <f>IF(main!BS405="","",ROUND(main!BS405*100,6))</f>
        <v/>
      </c>
      <c r="BH402" s="68" t="str">
        <f>IF(main!BT405="","",ROUND(main!BT405*100,6))</f>
        <v/>
      </c>
      <c r="BI402" s="68" t="str">
        <f>IF(main!BU405="","",ROUND(main!BU405*100,6))</f>
        <v/>
      </c>
      <c r="BJ402" s="68" t="str">
        <f>IF(main!BV405="","",ROUND(main!BV405*100,6))</f>
        <v/>
      </c>
      <c r="BK402" s="68" t="str">
        <f>IF(main!BW405="","",ROUND(main!BW405*100,6))</f>
        <v/>
      </c>
      <c r="BL402" s="68" t="str">
        <f>IF(main!BX405="","",ROUND(main!BX405*100,6))</f>
        <v/>
      </c>
      <c r="BM402" s="68">
        <f>IF(main!BY405="","",ROUND(main!BY405*100,6))</f>
        <v>7.1428570000000002</v>
      </c>
      <c r="BN402" s="68">
        <f>IF(main!BZ405="","",ROUND(main!BZ405*100,6))</f>
        <v>25</v>
      </c>
      <c r="BO402" s="68">
        <f>IF(main!CA405="","",ROUND(main!CA405*100,6))</f>
        <v>25</v>
      </c>
      <c r="BP402" s="68">
        <f>IF(main!CB405="","",ROUND(main!CB405*100,6))</f>
        <v>25</v>
      </c>
      <c r="BQ402" s="68">
        <f>IF(main!CC405="","",ROUND(main!CC405*100,6))</f>
        <v>17.857143000000001</v>
      </c>
      <c r="BR402" s="68" t="str">
        <f>IF(main!CD405="","",ROUND(main!CD405*100,6))</f>
        <v/>
      </c>
      <c r="BS402" s="68" t="str">
        <f>IF(main!CE405="","",ROUND(main!CE405*100,6))</f>
        <v/>
      </c>
      <c r="BT402" s="68" t="str">
        <f>IF(main!CF405="","",ROUND(main!CF405*100,6))</f>
        <v/>
      </c>
      <c r="BU402" s="68" t="str">
        <f>IF(main!CG405="","",ROUND(main!CG405*100,6))</f>
        <v/>
      </c>
      <c r="BV402" s="68" t="str">
        <f>IF(main!CH405="","",ROUND(main!CH405*100,6))</f>
        <v/>
      </c>
      <c r="BW402" s="68" t="str">
        <f>IF(main!CI405="","",ROUND(main!CI405*100,6))</f>
        <v/>
      </c>
      <c r="BX402" s="68" t="str">
        <f>IF(main!CJ405="","",ROUND(main!CJ405*100,6))</f>
        <v/>
      </c>
      <c r="BY402" s="68" t="str">
        <f>IF(main!CK405="","",ROUND(main!CK405*100,6))</f>
        <v/>
      </c>
      <c r="BZ402" s="68" t="str">
        <f>IF(main!CL405="","",ROUND(main!CL405*100,6))</f>
        <v/>
      </c>
      <c r="CA402" s="68" t="str">
        <f>IF(main!CM405="","",ROUND(main!CM405*100,6))</f>
        <v/>
      </c>
      <c r="CB402" s="68" t="str">
        <f>IF(main!CN405="","",ROUND(main!CN405*100,6))</f>
        <v/>
      </c>
      <c r="CC402" s="68" t="str">
        <f>IF(main!CO405="","",ROUND(main!CO405*100,6))</f>
        <v/>
      </c>
    </row>
    <row r="403" spans="1:81" ht="30" x14ac:dyDescent="0.25">
      <c r="A403" s="65" t="s">
        <v>560</v>
      </c>
      <c r="B403" s="66" t="str">
        <f>main!C405</f>
        <v>P5  ผนังยิปซัมบอร์ดกรุวัสดุซับเสียง ปิดทับด้วยวัสดุตามแบบ ID</v>
      </c>
      <c r="C403" s="67">
        <f>main!O405</f>
        <v>100000</v>
      </c>
      <c r="D403" s="65" t="s">
        <v>111</v>
      </c>
      <c r="E403" s="68" t="str">
        <f t="shared" si="6"/>
        <v/>
      </c>
      <c r="F403" s="68" t="str">
        <f>IF(main!R406="","",ROUND(main!R406*100,6))</f>
        <v/>
      </c>
      <c r="G403" s="68" t="str">
        <f>IF(main!S406="","",ROUND(main!S406*100,6))</f>
        <v/>
      </c>
      <c r="H403" s="68" t="str">
        <f>IF(main!T406="","",ROUND(main!T406*100,6))</f>
        <v/>
      </c>
      <c r="I403" s="68" t="str">
        <f>IF(main!U406="","",ROUND(main!U406*100,6))</f>
        <v/>
      </c>
      <c r="J403" s="68" t="str">
        <f>IF(main!V406="","",ROUND(main!V406*100,6))</f>
        <v/>
      </c>
      <c r="K403" s="68" t="str">
        <f>IF(main!W406="","",ROUND(main!W406*100,6))</f>
        <v/>
      </c>
      <c r="L403" s="68" t="str">
        <f>IF(main!X406="","",ROUND(main!X406*100,6))</f>
        <v/>
      </c>
      <c r="M403" s="68" t="str">
        <f>IF(main!Y406="","",ROUND(main!Y406*100,6))</f>
        <v/>
      </c>
      <c r="N403" s="68" t="str">
        <f>IF(main!Z406="","",ROUND(main!Z406*100,6))</f>
        <v/>
      </c>
      <c r="O403" s="68" t="str">
        <f>IF(main!AA406="","",ROUND(main!AA406*100,6))</f>
        <v/>
      </c>
      <c r="P403" s="68" t="str">
        <f>IF(main!AB406="","",ROUND(main!AB406*100,6))</f>
        <v/>
      </c>
      <c r="Q403" s="68" t="str">
        <f>IF(main!AC406="","",ROUND(main!AC406*100,6))</f>
        <v/>
      </c>
      <c r="R403" s="68" t="str">
        <f>IF(main!AD406="","",ROUND(main!AD406*100,6))</f>
        <v/>
      </c>
      <c r="S403" s="68" t="str">
        <f>IF(main!AE406="","",ROUND(main!AE406*100,6))</f>
        <v/>
      </c>
      <c r="T403" s="68" t="str">
        <f>IF(main!AF406="","",ROUND(main!AF406*100,6))</f>
        <v/>
      </c>
      <c r="U403" s="68" t="str">
        <f>IF(main!AG406="","",ROUND(main!AG406*100,6))</f>
        <v/>
      </c>
      <c r="V403" s="68" t="str">
        <f>IF(main!AH406="","",ROUND(main!AH406*100,6))</f>
        <v/>
      </c>
      <c r="W403" s="68" t="str">
        <f>IF(main!AI406="","",ROUND(main!AI406*100,6))</f>
        <v/>
      </c>
      <c r="X403" s="68" t="str">
        <f>IF(main!AJ406="","",ROUND(main!AJ406*100,6))</f>
        <v/>
      </c>
      <c r="Y403" s="68" t="str">
        <f>IF(main!AK406="","",ROUND(main!AK406*100,6))</f>
        <v/>
      </c>
      <c r="Z403" s="68" t="str">
        <f>IF(main!AL406="","",ROUND(main!AL406*100,6))</f>
        <v/>
      </c>
      <c r="AA403" s="68" t="str">
        <f>IF(main!AM406="","",ROUND(main!AM406*100,6))</f>
        <v/>
      </c>
      <c r="AB403" s="68" t="str">
        <f>IF(main!AN406="","",ROUND(main!AN406*100,6))</f>
        <v/>
      </c>
      <c r="AC403" s="68" t="str">
        <f>IF(main!AO406="","",ROUND(main!AO406*100,6))</f>
        <v/>
      </c>
      <c r="AD403" s="68" t="str">
        <f>IF(main!AP406="","",ROUND(main!AP406*100,6))</f>
        <v/>
      </c>
      <c r="AE403" s="68" t="str">
        <f>IF(main!AQ406="","",ROUND(main!AQ406*100,6))</f>
        <v/>
      </c>
      <c r="AF403" s="68" t="str">
        <f>IF(main!AR406="","",ROUND(main!AR406*100,6))</f>
        <v/>
      </c>
      <c r="AG403" s="68" t="str">
        <f>IF(main!AS406="","",ROUND(main!AS406*100,6))</f>
        <v/>
      </c>
      <c r="AH403" s="68" t="str">
        <f>IF(main!AT406="","",ROUND(main!AT406*100,6))</f>
        <v/>
      </c>
      <c r="AI403" s="68" t="str">
        <f>IF(main!AU406="","",ROUND(main!AU406*100,6))</f>
        <v/>
      </c>
      <c r="AJ403" s="68" t="str">
        <f>IF(main!AV406="","",ROUND(main!AV406*100,6))</f>
        <v/>
      </c>
      <c r="AK403" s="68" t="str">
        <f>IF(main!AW406="","",ROUND(main!AW406*100,6))</f>
        <v/>
      </c>
      <c r="AL403" s="68" t="str">
        <f>IF(main!AX406="","",ROUND(main!AX406*100,6))</f>
        <v/>
      </c>
      <c r="AM403" s="68" t="str">
        <f>IF(main!AY406="","",ROUND(main!AY406*100,6))</f>
        <v/>
      </c>
      <c r="AN403" s="68" t="str">
        <f>IF(main!AZ406="","",ROUND(main!AZ406*100,6))</f>
        <v/>
      </c>
      <c r="AO403" s="68" t="str">
        <f>IF(main!BA406="","",ROUND(main!BA406*100,6))</f>
        <v/>
      </c>
      <c r="AP403" s="68" t="str">
        <f>IF(main!BB406="","",ROUND(main!BB406*100,6))</f>
        <v/>
      </c>
      <c r="AQ403" s="68" t="str">
        <f>IF(main!BC406="","",ROUND(main!BC406*100,6))</f>
        <v/>
      </c>
      <c r="AR403" s="68" t="str">
        <f>IF(main!BD406="","",ROUND(main!BD406*100,6))</f>
        <v/>
      </c>
      <c r="AS403" s="68" t="str">
        <f>IF(main!BE406="","",ROUND(main!BE406*100,6))</f>
        <v/>
      </c>
      <c r="AT403" s="68" t="str">
        <f>IF(main!BF406="","",ROUND(main!BF406*100,6))</f>
        <v/>
      </c>
      <c r="AU403" s="68" t="str">
        <f>IF(main!BG406="","",ROUND(main!BG406*100,6))</f>
        <v/>
      </c>
      <c r="AV403" s="68" t="str">
        <f>IF(main!BH406="","",ROUND(main!BH406*100,6))</f>
        <v/>
      </c>
      <c r="AW403" s="68" t="str">
        <f>IF(main!BI406="","",ROUND(main!BI406*100,6))</f>
        <v/>
      </c>
      <c r="AX403" s="68" t="str">
        <f>IF(main!BJ406="","",ROUND(main!BJ406*100,6))</f>
        <v/>
      </c>
      <c r="AY403" s="68" t="str">
        <f>IF(main!BK406="","",ROUND(main!BK406*100,6))</f>
        <v/>
      </c>
      <c r="AZ403" s="68" t="str">
        <f>IF(main!BL406="","",ROUND(main!BL406*100,6))</f>
        <v/>
      </c>
      <c r="BA403" s="68" t="str">
        <f>IF(main!BM406="","",ROUND(main!BM406*100,6))</f>
        <v/>
      </c>
      <c r="BB403" s="68" t="str">
        <f>IF(main!BN406="","",ROUND(main!BN406*100,6))</f>
        <v/>
      </c>
      <c r="BC403" s="68" t="str">
        <f>IF(main!BO406="","",ROUND(main!BO406*100,6))</f>
        <v/>
      </c>
      <c r="BD403" s="68" t="str">
        <f>IF(main!BP406="","",ROUND(main!BP406*100,6))</f>
        <v/>
      </c>
      <c r="BE403" s="68" t="str">
        <f>IF(main!BQ406="","",ROUND(main!BQ406*100,6))</f>
        <v/>
      </c>
      <c r="BF403" s="68" t="str">
        <f>IF(main!BR406="","",ROUND(main!BR406*100,6))</f>
        <v/>
      </c>
      <c r="BG403" s="68" t="str">
        <f>IF(main!BS406="","",ROUND(main!BS406*100,6))</f>
        <v/>
      </c>
      <c r="BH403" s="68" t="str">
        <f>IF(main!BT406="","",ROUND(main!BT406*100,6))</f>
        <v/>
      </c>
      <c r="BI403" s="68" t="str">
        <f>IF(main!BU406="","",ROUND(main!BU406*100,6))</f>
        <v/>
      </c>
      <c r="BJ403" s="68" t="str">
        <f>IF(main!BV406="","",ROUND(main!BV406*100,6))</f>
        <v/>
      </c>
      <c r="BK403" s="68" t="str">
        <f>IF(main!BW406="","",ROUND(main!BW406*100,6))</f>
        <v/>
      </c>
      <c r="BL403" s="68" t="str">
        <f>IF(main!BX406="","",ROUND(main!BX406*100,6))</f>
        <v/>
      </c>
      <c r="BM403" s="68" t="str">
        <f>IF(main!BY406="","",ROUND(main!BY406*100,6))</f>
        <v/>
      </c>
      <c r="BN403" s="68" t="str">
        <f>IF(main!BZ406="","",ROUND(main!BZ406*100,6))</f>
        <v/>
      </c>
      <c r="BO403" s="68" t="str">
        <f>IF(main!CA406="","",ROUND(main!CA406*100,6))</f>
        <v/>
      </c>
      <c r="BP403" s="68" t="str">
        <f>IF(main!CB406="","",ROUND(main!CB406*100,6))</f>
        <v/>
      </c>
      <c r="BQ403" s="68" t="str">
        <f>IF(main!CC406="","",ROUND(main!CC406*100,6))</f>
        <v/>
      </c>
      <c r="BR403" s="68" t="str">
        <f>IF(main!CD406="","",ROUND(main!CD406*100,6))</f>
        <v/>
      </c>
      <c r="BS403" s="68" t="str">
        <f>IF(main!CE406="","",ROUND(main!CE406*100,6))</f>
        <v/>
      </c>
      <c r="BT403" s="68" t="str">
        <f>IF(main!CF406="","",ROUND(main!CF406*100,6))</f>
        <v/>
      </c>
      <c r="BU403" s="68" t="str">
        <f>IF(main!CG406="","",ROUND(main!CG406*100,6))</f>
        <v/>
      </c>
      <c r="BV403" s="68" t="str">
        <f>IF(main!CH406="","",ROUND(main!CH406*100,6))</f>
        <v/>
      </c>
      <c r="BW403" s="68" t="str">
        <f>IF(main!CI406="","",ROUND(main!CI406*100,6))</f>
        <v/>
      </c>
      <c r="BX403" s="68" t="str">
        <f>IF(main!CJ406="","",ROUND(main!CJ406*100,6))</f>
        <v/>
      </c>
      <c r="BY403" s="68" t="str">
        <f>IF(main!CK406="","",ROUND(main!CK406*100,6))</f>
        <v/>
      </c>
      <c r="BZ403" s="68" t="str">
        <f>IF(main!CL406="","",ROUND(main!CL406*100,6))</f>
        <v/>
      </c>
      <c r="CA403" s="68" t="str">
        <f>IF(main!CM406="","",ROUND(main!CM406*100,6))</f>
        <v/>
      </c>
      <c r="CB403" s="68" t="str">
        <f>IF(main!CN406="","",ROUND(main!CN406*100,6))</f>
        <v/>
      </c>
      <c r="CC403" s="68" t="str">
        <f>IF(main!CO406="","",ROUND(main!CO406*100,6))</f>
        <v/>
      </c>
    </row>
    <row r="404" spans="1:81" ht="30" x14ac:dyDescent="0.25">
      <c r="A404" s="65" t="s">
        <v>563</v>
      </c>
      <c r="B404" s="66" t="str">
        <f>main!C407</f>
        <v>P4 ผนังกรุไม้อัดยาง ปิดทับด้วยวัสดุตามแบบตกแต่งภายใน</v>
      </c>
      <c r="C404" s="67">
        <f>main!O407</f>
        <v>100000</v>
      </c>
      <c r="D404" s="65" t="s">
        <v>110</v>
      </c>
      <c r="E404" s="68">
        <f t="shared" si="6"/>
        <v>100</v>
      </c>
      <c r="F404" s="68" t="str">
        <f>IF(main!R407="","",ROUND(main!R407*100,6))</f>
        <v/>
      </c>
      <c r="G404" s="68" t="str">
        <f>IF(main!S407="","",ROUND(main!S407*100,6))</f>
        <v/>
      </c>
      <c r="H404" s="68" t="str">
        <f>IF(main!T407="","",ROUND(main!T407*100,6))</f>
        <v/>
      </c>
      <c r="I404" s="68" t="str">
        <f>IF(main!U407="","",ROUND(main!U407*100,6))</f>
        <v/>
      </c>
      <c r="J404" s="68" t="str">
        <f>IF(main!V407="","",ROUND(main!V407*100,6))</f>
        <v/>
      </c>
      <c r="K404" s="68" t="str">
        <f>IF(main!W407="","",ROUND(main!W407*100,6))</f>
        <v/>
      </c>
      <c r="L404" s="68" t="str">
        <f>IF(main!X407="","",ROUND(main!X407*100,6))</f>
        <v/>
      </c>
      <c r="M404" s="68" t="str">
        <f>IF(main!Y407="","",ROUND(main!Y407*100,6))</f>
        <v/>
      </c>
      <c r="N404" s="68" t="str">
        <f>IF(main!Z407="","",ROUND(main!Z407*100,6))</f>
        <v/>
      </c>
      <c r="O404" s="68" t="str">
        <f>IF(main!AA407="","",ROUND(main!AA407*100,6))</f>
        <v/>
      </c>
      <c r="P404" s="68" t="str">
        <f>IF(main!AB407="","",ROUND(main!AB407*100,6))</f>
        <v/>
      </c>
      <c r="Q404" s="68" t="str">
        <f>IF(main!AC407="","",ROUND(main!AC407*100,6))</f>
        <v/>
      </c>
      <c r="R404" s="68" t="str">
        <f>IF(main!AD407="","",ROUND(main!AD407*100,6))</f>
        <v/>
      </c>
      <c r="S404" s="68" t="str">
        <f>IF(main!AE407="","",ROUND(main!AE407*100,6))</f>
        <v/>
      </c>
      <c r="T404" s="68" t="str">
        <f>IF(main!AF407="","",ROUND(main!AF407*100,6))</f>
        <v/>
      </c>
      <c r="U404" s="68" t="str">
        <f>IF(main!AG407="","",ROUND(main!AG407*100,6))</f>
        <v/>
      </c>
      <c r="V404" s="68" t="str">
        <f>IF(main!AH407="","",ROUND(main!AH407*100,6))</f>
        <v/>
      </c>
      <c r="W404" s="68" t="str">
        <f>IF(main!AI407="","",ROUND(main!AI407*100,6))</f>
        <v/>
      </c>
      <c r="X404" s="68" t="str">
        <f>IF(main!AJ407="","",ROUND(main!AJ407*100,6))</f>
        <v/>
      </c>
      <c r="Y404" s="68" t="str">
        <f>IF(main!AK407="","",ROUND(main!AK407*100,6))</f>
        <v/>
      </c>
      <c r="Z404" s="68" t="str">
        <f>IF(main!AL407="","",ROUND(main!AL407*100,6))</f>
        <v/>
      </c>
      <c r="AA404" s="68" t="str">
        <f>IF(main!AM407="","",ROUND(main!AM407*100,6))</f>
        <v/>
      </c>
      <c r="AB404" s="68" t="str">
        <f>IF(main!AN407="","",ROUND(main!AN407*100,6))</f>
        <v/>
      </c>
      <c r="AC404" s="68" t="str">
        <f>IF(main!AO407="","",ROUND(main!AO407*100,6))</f>
        <v/>
      </c>
      <c r="AD404" s="68" t="str">
        <f>IF(main!AP407="","",ROUND(main!AP407*100,6))</f>
        <v/>
      </c>
      <c r="AE404" s="68" t="str">
        <f>IF(main!AQ407="","",ROUND(main!AQ407*100,6))</f>
        <v/>
      </c>
      <c r="AF404" s="68" t="str">
        <f>IF(main!AR407="","",ROUND(main!AR407*100,6))</f>
        <v/>
      </c>
      <c r="AG404" s="68" t="str">
        <f>IF(main!AS407="","",ROUND(main!AS407*100,6))</f>
        <v/>
      </c>
      <c r="AH404" s="68" t="str">
        <f>IF(main!AT407="","",ROUND(main!AT407*100,6))</f>
        <v/>
      </c>
      <c r="AI404" s="68" t="str">
        <f>IF(main!AU407="","",ROUND(main!AU407*100,6))</f>
        <v/>
      </c>
      <c r="AJ404" s="68" t="str">
        <f>IF(main!AV407="","",ROUND(main!AV407*100,6))</f>
        <v/>
      </c>
      <c r="AK404" s="68" t="str">
        <f>IF(main!AW407="","",ROUND(main!AW407*100,6))</f>
        <v/>
      </c>
      <c r="AL404" s="68" t="str">
        <f>IF(main!AX407="","",ROUND(main!AX407*100,6))</f>
        <v/>
      </c>
      <c r="AM404" s="68" t="str">
        <f>IF(main!AY407="","",ROUND(main!AY407*100,6))</f>
        <v/>
      </c>
      <c r="AN404" s="68" t="str">
        <f>IF(main!AZ407="","",ROUND(main!AZ407*100,6))</f>
        <v/>
      </c>
      <c r="AO404" s="68" t="str">
        <f>IF(main!BA407="","",ROUND(main!BA407*100,6))</f>
        <v/>
      </c>
      <c r="AP404" s="68" t="str">
        <f>IF(main!BB407="","",ROUND(main!BB407*100,6))</f>
        <v/>
      </c>
      <c r="AQ404" s="68" t="str">
        <f>IF(main!BC407="","",ROUND(main!BC407*100,6))</f>
        <v/>
      </c>
      <c r="AR404" s="68" t="str">
        <f>IF(main!BD407="","",ROUND(main!BD407*100,6))</f>
        <v/>
      </c>
      <c r="AS404" s="68" t="str">
        <f>IF(main!BE407="","",ROUND(main!BE407*100,6))</f>
        <v/>
      </c>
      <c r="AT404" s="68" t="str">
        <f>IF(main!BF407="","",ROUND(main!BF407*100,6))</f>
        <v/>
      </c>
      <c r="AU404" s="68" t="str">
        <f>IF(main!BG407="","",ROUND(main!BG407*100,6))</f>
        <v/>
      </c>
      <c r="AV404" s="68" t="str">
        <f>IF(main!BH407="","",ROUND(main!BH407*100,6))</f>
        <v/>
      </c>
      <c r="AW404" s="68" t="str">
        <f>IF(main!BI407="","",ROUND(main!BI407*100,6))</f>
        <v/>
      </c>
      <c r="AX404" s="68" t="str">
        <f>IF(main!BJ407="","",ROUND(main!BJ407*100,6))</f>
        <v/>
      </c>
      <c r="AY404" s="68" t="str">
        <f>IF(main!BK407="","",ROUND(main!BK407*100,6))</f>
        <v/>
      </c>
      <c r="AZ404" s="68" t="str">
        <f>IF(main!BL407="","",ROUND(main!BL407*100,6))</f>
        <v/>
      </c>
      <c r="BA404" s="68" t="str">
        <f>IF(main!BM407="","",ROUND(main!BM407*100,6))</f>
        <v/>
      </c>
      <c r="BB404" s="68" t="str">
        <f>IF(main!BN407="","",ROUND(main!BN407*100,6))</f>
        <v/>
      </c>
      <c r="BC404" s="68" t="str">
        <f>IF(main!BO407="","",ROUND(main!BO407*100,6))</f>
        <v/>
      </c>
      <c r="BD404" s="68" t="str">
        <f>IF(main!BP407="","",ROUND(main!BP407*100,6))</f>
        <v/>
      </c>
      <c r="BE404" s="68" t="str">
        <f>IF(main!BQ407="","",ROUND(main!BQ407*100,6))</f>
        <v/>
      </c>
      <c r="BF404" s="68" t="str">
        <f>IF(main!BR407="","",ROUND(main!BR407*100,6))</f>
        <v/>
      </c>
      <c r="BG404" s="68" t="str">
        <f>IF(main!BS407="","",ROUND(main!BS407*100,6))</f>
        <v/>
      </c>
      <c r="BH404" s="68" t="str">
        <f>IF(main!BT407="","",ROUND(main!BT407*100,6))</f>
        <v/>
      </c>
      <c r="BI404" s="68" t="str">
        <f>IF(main!BU407="","",ROUND(main!BU407*100,6))</f>
        <v/>
      </c>
      <c r="BJ404" s="68" t="str">
        <f>IF(main!BV407="","",ROUND(main!BV407*100,6))</f>
        <v/>
      </c>
      <c r="BK404" s="68" t="str">
        <f>IF(main!BW407="","",ROUND(main!BW407*100,6))</f>
        <v/>
      </c>
      <c r="BL404" s="68" t="str">
        <f>IF(main!BX407="","",ROUND(main!BX407*100,6))</f>
        <v/>
      </c>
      <c r="BM404" s="68">
        <f>IF(main!BY407="","",ROUND(main!BY407*100,6))</f>
        <v>7.1428570000000002</v>
      </c>
      <c r="BN404" s="68">
        <f>IF(main!BZ407="","",ROUND(main!BZ407*100,6))</f>
        <v>25</v>
      </c>
      <c r="BO404" s="68">
        <f>IF(main!CA407="","",ROUND(main!CA407*100,6))</f>
        <v>25</v>
      </c>
      <c r="BP404" s="68">
        <f>IF(main!CB407="","",ROUND(main!CB407*100,6))</f>
        <v>25</v>
      </c>
      <c r="BQ404" s="68">
        <f>IF(main!CC407="","",ROUND(main!CC407*100,6))</f>
        <v>17.857143000000001</v>
      </c>
      <c r="BR404" s="68" t="str">
        <f>IF(main!CD407="","",ROUND(main!CD407*100,6))</f>
        <v/>
      </c>
      <c r="BS404" s="68" t="str">
        <f>IF(main!CE407="","",ROUND(main!CE407*100,6))</f>
        <v/>
      </c>
      <c r="BT404" s="68" t="str">
        <f>IF(main!CF407="","",ROUND(main!CF407*100,6))</f>
        <v/>
      </c>
      <c r="BU404" s="68" t="str">
        <f>IF(main!CG407="","",ROUND(main!CG407*100,6))</f>
        <v/>
      </c>
      <c r="BV404" s="68" t="str">
        <f>IF(main!CH407="","",ROUND(main!CH407*100,6))</f>
        <v/>
      </c>
      <c r="BW404" s="68" t="str">
        <f>IF(main!CI407="","",ROUND(main!CI407*100,6))</f>
        <v/>
      </c>
      <c r="BX404" s="68" t="str">
        <f>IF(main!CJ407="","",ROUND(main!CJ407*100,6))</f>
        <v/>
      </c>
      <c r="BY404" s="68" t="str">
        <f>IF(main!CK407="","",ROUND(main!CK407*100,6))</f>
        <v/>
      </c>
      <c r="BZ404" s="68" t="str">
        <f>IF(main!CL407="","",ROUND(main!CL407*100,6))</f>
        <v/>
      </c>
      <c r="CA404" s="68" t="str">
        <f>IF(main!CM407="","",ROUND(main!CM407*100,6))</f>
        <v/>
      </c>
      <c r="CB404" s="68" t="str">
        <f>IF(main!CN407="","",ROUND(main!CN407*100,6))</f>
        <v/>
      </c>
      <c r="CC404" s="68" t="str">
        <f>IF(main!CO407="","",ROUND(main!CO407*100,6))</f>
        <v/>
      </c>
    </row>
    <row r="405" spans="1:81" ht="30" x14ac:dyDescent="0.25">
      <c r="A405" s="65" t="s">
        <v>563</v>
      </c>
      <c r="B405" s="66" t="str">
        <f>main!C407</f>
        <v>P4 ผนังกรุไม้อัดยาง ปิดทับด้วยวัสดุตามแบบตกแต่งภายใน</v>
      </c>
      <c r="C405" s="67">
        <f>main!O407</f>
        <v>100000</v>
      </c>
      <c r="D405" s="65" t="s">
        <v>111</v>
      </c>
      <c r="E405" s="68" t="str">
        <f t="shared" si="6"/>
        <v/>
      </c>
      <c r="F405" s="68" t="str">
        <f>IF(main!R408="","",ROUND(main!R408*100,6))</f>
        <v/>
      </c>
      <c r="G405" s="68" t="str">
        <f>IF(main!S408="","",ROUND(main!S408*100,6))</f>
        <v/>
      </c>
      <c r="H405" s="68" t="str">
        <f>IF(main!T408="","",ROUND(main!T408*100,6))</f>
        <v/>
      </c>
      <c r="I405" s="68" t="str">
        <f>IF(main!U408="","",ROUND(main!U408*100,6))</f>
        <v/>
      </c>
      <c r="J405" s="68" t="str">
        <f>IF(main!V408="","",ROUND(main!V408*100,6))</f>
        <v/>
      </c>
      <c r="K405" s="68" t="str">
        <f>IF(main!W408="","",ROUND(main!W408*100,6))</f>
        <v/>
      </c>
      <c r="L405" s="68" t="str">
        <f>IF(main!X408="","",ROUND(main!X408*100,6))</f>
        <v/>
      </c>
      <c r="M405" s="68" t="str">
        <f>IF(main!Y408="","",ROUND(main!Y408*100,6))</f>
        <v/>
      </c>
      <c r="N405" s="68" t="str">
        <f>IF(main!Z408="","",ROUND(main!Z408*100,6))</f>
        <v/>
      </c>
      <c r="O405" s="68" t="str">
        <f>IF(main!AA408="","",ROUND(main!AA408*100,6))</f>
        <v/>
      </c>
      <c r="P405" s="68" t="str">
        <f>IF(main!AB408="","",ROUND(main!AB408*100,6))</f>
        <v/>
      </c>
      <c r="Q405" s="68" t="str">
        <f>IF(main!AC408="","",ROUND(main!AC408*100,6))</f>
        <v/>
      </c>
      <c r="R405" s="68" t="str">
        <f>IF(main!AD408="","",ROUND(main!AD408*100,6))</f>
        <v/>
      </c>
      <c r="S405" s="68" t="str">
        <f>IF(main!AE408="","",ROUND(main!AE408*100,6))</f>
        <v/>
      </c>
      <c r="T405" s="68" t="str">
        <f>IF(main!AF408="","",ROUND(main!AF408*100,6))</f>
        <v/>
      </c>
      <c r="U405" s="68" t="str">
        <f>IF(main!AG408="","",ROUND(main!AG408*100,6))</f>
        <v/>
      </c>
      <c r="V405" s="68" t="str">
        <f>IF(main!AH408="","",ROUND(main!AH408*100,6))</f>
        <v/>
      </c>
      <c r="W405" s="68" t="str">
        <f>IF(main!AI408="","",ROUND(main!AI408*100,6))</f>
        <v/>
      </c>
      <c r="X405" s="68" t="str">
        <f>IF(main!AJ408="","",ROUND(main!AJ408*100,6))</f>
        <v/>
      </c>
      <c r="Y405" s="68" t="str">
        <f>IF(main!AK408="","",ROUND(main!AK408*100,6))</f>
        <v/>
      </c>
      <c r="Z405" s="68" t="str">
        <f>IF(main!AL408="","",ROUND(main!AL408*100,6))</f>
        <v/>
      </c>
      <c r="AA405" s="68" t="str">
        <f>IF(main!AM408="","",ROUND(main!AM408*100,6))</f>
        <v/>
      </c>
      <c r="AB405" s="68" t="str">
        <f>IF(main!AN408="","",ROUND(main!AN408*100,6))</f>
        <v/>
      </c>
      <c r="AC405" s="68" t="str">
        <f>IF(main!AO408="","",ROUND(main!AO408*100,6))</f>
        <v/>
      </c>
      <c r="AD405" s="68" t="str">
        <f>IF(main!AP408="","",ROUND(main!AP408*100,6))</f>
        <v/>
      </c>
      <c r="AE405" s="68" t="str">
        <f>IF(main!AQ408="","",ROUND(main!AQ408*100,6))</f>
        <v/>
      </c>
      <c r="AF405" s="68" t="str">
        <f>IF(main!AR408="","",ROUND(main!AR408*100,6))</f>
        <v/>
      </c>
      <c r="AG405" s="68" t="str">
        <f>IF(main!AS408="","",ROUND(main!AS408*100,6))</f>
        <v/>
      </c>
      <c r="AH405" s="68" t="str">
        <f>IF(main!AT408="","",ROUND(main!AT408*100,6))</f>
        <v/>
      </c>
      <c r="AI405" s="68" t="str">
        <f>IF(main!AU408="","",ROUND(main!AU408*100,6))</f>
        <v/>
      </c>
      <c r="AJ405" s="68" t="str">
        <f>IF(main!AV408="","",ROUND(main!AV408*100,6))</f>
        <v/>
      </c>
      <c r="AK405" s="68" t="str">
        <f>IF(main!AW408="","",ROUND(main!AW408*100,6))</f>
        <v/>
      </c>
      <c r="AL405" s="68" t="str">
        <f>IF(main!AX408="","",ROUND(main!AX408*100,6))</f>
        <v/>
      </c>
      <c r="AM405" s="68" t="str">
        <f>IF(main!AY408="","",ROUND(main!AY408*100,6))</f>
        <v/>
      </c>
      <c r="AN405" s="68" t="str">
        <f>IF(main!AZ408="","",ROUND(main!AZ408*100,6))</f>
        <v/>
      </c>
      <c r="AO405" s="68" t="str">
        <f>IF(main!BA408="","",ROUND(main!BA408*100,6))</f>
        <v/>
      </c>
      <c r="AP405" s="68" t="str">
        <f>IF(main!BB408="","",ROUND(main!BB408*100,6))</f>
        <v/>
      </c>
      <c r="AQ405" s="68" t="str">
        <f>IF(main!BC408="","",ROUND(main!BC408*100,6))</f>
        <v/>
      </c>
      <c r="AR405" s="68" t="str">
        <f>IF(main!BD408="","",ROUND(main!BD408*100,6))</f>
        <v/>
      </c>
      <c r="AS405" s="68" t="str">
        <f>IF(main!BE408="","",ROUND(main!BE408*100,6))</f>
        <v/>
      </c>
      <c r="AT405" s="68" t="str">
        <f>IF(main!BF408="","",ROUND(main!BF408*100,6))</f>
        <v/>
      </c>
      <c r="AU405" s="68" t="str">
        <f>IF(main!BG408="","",ROUND(main!BG408*100,6))</f>
        <v/>
      </c>
      <c r="AV405" s="68" t="str">
        <f>IF(main!BH408="","",ROUND(main!BH408*100,6))</f>
        <v/>
      </c>
      <c r="AW405" s="68" t="str">
        <f>IF(main!BI408="","",ROUND(main!BI408*100,6))</f>
        <v/>
      </c>
      <c r="AX405" s="68" t="str">
        <f>IF(main!BJ408="","",ROUND(main!BJ408*100,6))</f>
        <v/>
      </c>
      <c r="AY405" s="68" t="str">
        <f>IF(main!BK408="","",ROUND(main!BK408*100,6))</f>
        <v/>
      </c>
      <c r="AZ405" s="68" t="str">
        <f>IF(main!BL408="","",ROUND(main!BL408*100,6))</f>
        <v/>
      </c>
      <c r="BA405" s="68" t="str">
        <f>IF(main!BM408="","",ROUND(main!BM408*100,6))</f>
        <v/>
      </c>
      <c r="BB405" s="68" t="str">
        <f>IF(main!BN408="","",ROUND(main!BN408*100,6))</f>
        <v/>
      </c>
      <c r="BC405" s="68" t="str">
        <f>IF(main!BO408="","",ROUND(main!BO408*100,6))</f>
        <v/>
      </c>
      <c r="BD405" s="68" t="str">
        <f>IF(main!BP408="","",ROUND(main!BP408*100,6))</f>
        <v/>
      </c>
      <c r="BE405" s="68" t="str">
        <f>IF(main!BQ408="","",ROUND(main!BQ408*100,6))</f>
        <v/>
      </c>
      <c r="BF405" s="68" t="str">
        <f>IF(main!BR408="","",ROUND(main!BR408*100,6))</f>
        <v/>
      </c>
      <c r="BG405" s="68" t="str">
        <f>IF(main!BS408="","",ROUND(main!BS408*100,6))</f>
        <v/>
      </c>
      <c r="BH405" s="68" t="str">
        <f>IF(main!BT408="","",ROUND(main!BT408*100,6))</f>
        <v/>
      </c>
      <c r="BI405" s="68" t="str">
        <f>IF(main!BU408="","",ROUND(main!BU408*100,6))</f>
        <v/>
      </c>
      <c r="BJ405" s="68" t="str">
        <f>IF(main!BV408="","",ROUND(main!BV408*100,6))</f>
        <v/>
      </c>
      <c r="BK405" s="68" t="str">
        <f>IF(main!BW408="","",ROUND(main!BW408*100,6))</f>
        <v/>
      </c>
      <c r="BL405" s="68" t="str">
        <f>IF(main!BX408="","",ROUND(main!BX408*100,6))</f>
        <v/>
      </c>
      <c r="BM405" s="68" t="str">
        <f>IF(main!BY408="","",ROUND(main!BY408*100,6))</f>
        <v/>
      </c>
      <c r="BN405" s="68" t="str">
        <f>IF(main!BZ408="","",ROUND(main!BZ408*100,6))</f>
        <v/>
      </c>
      <c r="BO405" s="68" t="str">
        <f>IF(main!CA408="","",ROUND(main!CA408*100,6))</f>
        <v/>
      </c>
      <c r="BP405" s="68" t="str">
        <f>IF(main!CB408="","",ROUND(main!CB408*100,6))</f>
        <v/>
      </c>
      <c r="BQ405" s="68" t="str">
        <f>IF(main!CC408="","",ROUND(main!CC408*100,6))</f>
        <v/>
      </c>
      <c r="BR405" s="68" t="str">
        <f>IF(main!CD408="","",ROUND(main!CD408*100,6))</f>
        <v/>
      </c>
      <c r="BS405" s="68" t="str">
        <f>IF(main!CE408="","",ROUND(main!CE408*100,6))</f>
        <v/>
      </c>
      <c r="BT405" s="68" t="str">
        <f>IF(main!CF408="","",ROUND(main!CF408*100,6))</f>
        <v/>
      </c>
      <c r="BU405" s="68" t="str">
        <f>IF(main!CG408="","",ROUND(main!CG408*100,6))</f>
        <v/>
      </c>
      <c r="BV405" s="68" t="str">
        <f>IF(main!CH408="","",ROUND(main!CH408*100,6))</f>
        <v/>
      </c>
      <c r="BW405" s="68" t="str">
        <f>IF(main!CI408="","",ROUND(main!CI408*100,6))</f>
        <v/>
      </c>
      <c r="BX405" s="68" t="str">
        <f>IF(main!CJ408="","",ROUND(main!CJ408*100,6))</f>
        <v/>
      </c>
      <c r="BY405" s="68" t="str">
        <f>IF(main!CK408="","",ROUND(main!CK408*100,6))</f>
        <v/>
      </c>
      <c r="BZ405" s="68" t="str">
        <f>IF(main!CL408="","",ROUND(main!CL408*100,6))</f>
        <v/>
      </c>
      <c r="CA405" s="68" t="str">
        <f>IF(main!CM408="","",ROUND(main!CM408*100,6))</f>
        <v/>
      </c>
      <c r="CB405" s="68" t="str">
        <f>IF(main!CN408="","",ROUND(main!CN408*100,6))</f>
        <v/>
      </c>
      <c r="CC405" s="68" t="str">
        <f>IF(main!CO408="","",ROUND(main!CO408*100,6))</f>
        <v/>
      </c>
    </row>
    <row r="406" spans="1:81" x14ac:dyDescent="0.25">
      <c r="A406" s="65" t="s">
        <v>565</v>
      </c>
      <c r="B406" s="66" t="str">
        <f>main!C409</f>
        <v>Ceiling</v>
      </c>
      <c r="C406" s="67">
        <f>main!O409</f>
        <v>100000</v>
      </c>
      <c r="D406" s="65" t="s">
        <v>110</v>
      </c>
      <c r="E406" s="68">
        <f t="shared" si="6"/>
        <v>100</v>
      </c>
      <c r="F406" s="68" t="str">
        <f>IF(main!R409="","",ROUND(main!R409*100,6))</f>
        <v/>
      </c>
      <c r="G406" s="68" t="str">
        <f>IF(main!S409="","",ROUND(main!S409*100,6))</f>
        <v/>
      </c>
      <c r="H406" s="68" t="str">
        <f>IF(main!T409="","",ROUND(main!T409*100,6))</f>
        <v/>
      </c>
      <c r="I406" s="68" t="str">
        <f>IF(main!U409="","",ROUND(main!U409*100,6))</f>
        <v/>
      </c>
      <c r="J406" s="68" t="str">
        <f>IF(main!V409="","",ROUND(main!V409*100,6))</f>
        <v/>
      </c>
      <c r="K406" s="68" t="str">
        <f>IF(main!W409="","",ROUND(main!W409*100,6))</f>
        <v/>
      </c>
      <c r="L406" s="68" t="str">
        <f>IF(main!X409="","",ROUND(main!X409*100,6))</f>
        <v/>
      </c>
      <c r="M406" s="68" t="str">
        <f>IF(main!Y409="","",ROUND(main!Y409*100,6))</f>
        <v/>
      </c>
      <c r="N406" s="68" t="str">
        <f>IF(main!Z409="","",ROUND(main!Z409*100,6))</f>
        <v/>
      </c>
      <c r="O406" s="68" t="str">
        <f>IF(main!AA409="","",ROUND(main!AA409*100,6))</f>
        <v/>
      </c>
      <c r="P406" s="68" t="str">
        <f>IF(main!AB409="","",ROUND(main!AB409*100,6))</f>
        <v/>
      </c>
      <c r="Q406" s="68" t="str">
        <f>IF(main!AC409="","",ROUND(main!AC409*100,6))</f>
        <v/>
      </c>
      <c r="R406" s="68" t="str">
        <f>IF(main!AD409="","",ROUND(main!AD409*100,6))</f>
        <v/>
      </c>
      <c r="S406" s="68" t="str">
        <f>IF(main!AE409="","",ROUND(main!AE409*100,6))</f>
        <v/>
      </c>
      <c r="T406" s="68" t="str">
        <f>IF(main!AF409="","",ROUND(main!AF409*100,6))</f>
        <v/>
      </c>
      <c r="U406" s="68" t="str">
        <f>IF(main!AG409="","",ROUND(main!AG409*100,6))</f>
        <v/>
      </c>
      <c r="V406" s="68" t="str">
        <f>IF(main!AH409="","",ROUND(main!AH409*100,6))</f>
        <v/>
      </c>
      <c r="W406" s="68" t="str">
        <f>IF(main!AI409="","",ROUND(main!AI409*100,6))</f>
        <v/>
      </c>
      <c r="X406" s="68" t="str">
        <f>IF(main!AJ409="","",ROUND(main!AJ409*100,6))</f>
        <v/>
      </c>
      <c r="Y406" s="68" t="str">
        <f>IF(main!AK409="","",ROUND(main!AK409*100,6))</f>
        <v/>
      </c>
      <c r="Z406" s="68" t="str">
        <f>IF(main!AL409="","",ROUND(main!AL409*100,6))</f>
        <v/>
      </c>
      <c r="AA406" s="68" t="str">
        <f>IF(main!AM409="","",ROUND(main!AM409*100,6))</f>
        <v/>
      </c>
      <c r="AB406" s="68" t="str">
        <f>IF(main!AN409="","",ROUND(main!AN409*100,6))</f>
        <v/>
      </c>
      <c r="AC406" s="68" t="str">
        <f>IF(main!AO409="","",ROUND(main!AO409*100,6))</f>
        <v/>
      </c>
      <c r="AD406" s="68" t="str">
        <f>IF(main!AP409="","",ROUND(main!AP409*100,6))</f>
        <v/>
      </c>
      <c r="AE406" s="68" t="str">
        <f>IF(main!AQ409="","",ROUND(main!AQ409*100,6))</f>
        <v/>
      </c>
      <c r="AF406" s="68" t="str">
        <f>IF(main!AR409="","",ROUND(main!AR409*100,6))</f>
        <v/>
      </c>
      <c r="AG406" s="68" t="str">
        <f>IF(main!AS409="","",ROUND(main!AS409*100,6))</f>
        <v/>
      </c>
      <c r="AH406" s="68" t="str">
        <f>IF(main!AT409="","",ROUND(main!AT409*100,6))</f>
        <v/>
      </c>
      <c r="AI406" s="68" t="str">
        <f>IF(main!AU409="","",ROUND(main!AU409*100,6))</f>
        <v/>
      </c>
      <c r="AJ406" s="68" t="str">
        <f>IF(main!AV409="","",ROUND(main!AV409*100,6))</f>
        <v/>
      </c>
      <c r="AK406" s="68" t="str">
        <f>IF(main!AW409="","",ROUND(main!AW409*100,6))</f>
        <v/>
      </c>
      <c r="AL406" s="68" t="str">
        <f>IF(main!AX409="","",ROUND(main!AX409*100,6))</f>
        <v/>
      </c>
      <c r="AM406" s="68" t="str">
        <f>IF(main!AY409="","",ROUND(main!AY409*100,6))</f>
        <v/>
      </c>
      <c r="AN406" s="68" t="str">
        <f>IF(main!AZ409="","",ROUND(main!AZ409*100,6))</f>
        <v/>
      </c>
      <c r="AO406" s="68" t="str">
        <f>IF(main!BA409="","",ROUND(main!BA409*100,6))</f>
        <v/>
      </c>
      <c r="AP406" s="68" t="str">
        <f>IF(main!BB409="","",ROUND(main!BB409*100,6))</f>
        <v/>
      </c>
      <c r="AQ406" s="68" t="str">
        <f>IF(main!BC409="","",ROUND(main!BC409*100,6))</f>
        <v/>
      </c>
      <c r="AR406" s="68" t="str">
        <f>IF(main!BD409="","",ROUND(main!BD409*100,6))</f>
        <v/>
      </c>
      <c r="AS406" s="68" t="str">
        <f>IF(main!BE409="","",ROUND(main!BE409*100,6))</f>
        <v/>
      </c>
      <c r="AT406" s="68" t="str">
        <f>IF(main!BF409="","",ROUND(main!BF409*100,6))</f>
        <v/>
      </c>
      <c r="AU406" s="68" t="str">
        <f>IF(main!BG409="","",ROUND(main!BG409*100,6))</f>
        <v/>
      </c>
      <c r="AV406" s="68" t="str">
        <f>IF(main!BH409="","",ROUND(main!BH409*100,6))</f>
        <v/>
      </c>
      <c r="AW406" s="68" t="str">
        <f>IF(main!BI409="","",ROUND(main!BI409*100,6))</f>
        <v/>
      </c>
      <c r="AX406" s="68" t="str">
        <f>IF(main!BJ409="","",ROUND(main!BJ409*100,6))</f>
        <v/>
      </c>
      <c r="AY406" s="68" t="str">
        <f>IF(main!BK409="","",ROUND(main!BK409*100,6))</f>
        <v/>
      </c>
      <c r="AZ406" s="68" t="str">
        <f>IF(main!BL409="","",ROUND(main!BL409*100,6))</f>
        <v/>
      </c>
      <c r="BA406" s="68" t="str">
        <f>IF(main!BM409="","",ROUND(main!BM409*100,6))</f>
        <v/>
      </c>
      <c r="BB406" s="68" t="str">
        <f>IF(main!BN409="","",ROUND(main!BN409*100,6))</f>
        <v/>
      </c>
      <c r="BC406" s="68" t="str">
        <f>IF(main!BO409="","",ROUND(main!BO409*100,6))</f>
        <v/>
      </c>
      <c r="BD406" s="68" t="str">
        <f>IF(main!BP409="","",ROUND(main!BP409*100,6))</f>
        <v/>
      </c>
      <c r="BE406" s="68" t="str">
        <f>IF(main!BQ409="","",ROUND(main!BQ409*100,6))</f>
        <v/>
      </c>
      <c r="BF406" s="68" t="str">
        <f>IF(main!BR409="","",ROUND(main!BR409*100,6))</f>
        <v/>
      </c>
      <c r="BG406" s="68" t="str">
        <f>IF(main!BS409="","",ROUND(main!BS409*100,6))</f>
        <v/>
      </c>
      <c r="BH406" s="68" t="str">
        <f>IF(main!BT409="","",ROUND(main!BT409*100,6))</f>
        <v/>
      </c>
      <c r="BI406" s="68" t="str">
        <f>IF(main!BU409="","",ROUND(main!BU409*100,6))</f>
        <v/>
      </c>
      <c r="BJ406" s="68" t="str">
        <f>IF(main!BV409="","",ROUND(main!BV409*100,6))</f>
        <v/>
      </c>
      <c r="BK406" s="68" t="str">
        <f>IF(main!BW409="","",ROUND(main!BW409*100,6))</f>
        <v/>
      </c>
      <c r="BL406" s="68" t="str">
        <f>IF(main!BX409="","",ROUND(main!BX409*100,6))</f>
        <v/>
      </c>
      <c r="BM406" s="68" t="str">
        <f>IF(main!BY409="","",ROUND(main!BY409*100,6))</f>
        <v/>
      </c>
      <c r="BN406" s="68" t="str">
        <f>IF(main!BZ409="","",ROUND(main!BZ409*100,6))</f>
        <v/>
      </c>
      <c r="BO406" s="68" t="str">
        <f>IF(main!CA409="","",ROUND(main!CA409*100,6))</f>
        <v/>
      </c>
      <c r="BP406" s="68" t="str">
        <f>IF(main!CB409="","",ROUND(main!CB409*100,6))</f>
        <v/>
      </c>
      <c r="BQ406" s="68">
        <f>IF(main!CC409="","",ROUND(main!CC409*100,6))</f>
        <v>9.5238099999999992</v>
      </c>
      <c r="BR406" s="68">
        <f>IF(main!CD409="","",ROUND(main!CD409*100,6))</f>
        <v>33.333333000000003</v>
      </c>
      <c r="BS406" s="68">
        <f>IF(main!CE409="","",ROUND(main!CE409*100,6))</f>
        <v>33.333333000000003</v>
      </c>
      <c r="BT406" s="68">
        <f>IF(main!CF409="","",ROUND(main!CF409*100,6))</f>
        <v>23.809524</v>
      </c>
      <c r="BU406" s="68" t="str">
        <f>IF(main!CG409="","",ROUND(main!CG409*100,6))</f>
        <v/>
      </c>
      <c r="BV406" s="68" t="str">
        <f>IF(main!CH409="","",ROUND(main!CH409*100,6))</f>
        <v/>
      </c>
      <c r="BW406" s="68" t="str">
        <f>IF(main!CI409="","",ROUND(main!CI409*100,6))</f>
        <v/>
      </c>
      <c r="BX406" s="68" t="str">
        <f>IF(main!CJ409="","",ROUND(main!CJ409*100,6))</f>
        <v/>
      </c>
      <c r="BY406" s="68" t="str">
        <f>IF(main!CK409="","",ROUND(main!CK409*100,6))</f>
        <v/>
      </c>
      <c r="BZ406" s="68" t="str">
        <f>IF(main!CL409="","",ROUND(main!CL409*100,6))</f>
        <v/>
      </c>
      <c r="CA406" s="68" t="str">
        <f>IF(main!CM409="","",ROUND(main!CM409*100,6))</f>
        <v/>
      </c>
      <c r="CB406" s="68" t="str">
        <f>IF(main!CN409="","",ROUND(main!CN409*100,6))</f>
        <v/>
      </c>
      <c r="CC406" s="68" t="str">
        <f>IF(main!CO409="","",ROUND(main!CO409*100,6))</f>
        <v/>
      </c>
    </row>
    <row r="407" spans="1:81" x14ac:dyDescent="0.25">
      <c r="A407" s="65" t="s">
        <v>565</v>
      </c>
      <c r="B407" s="66" t="str">
        <f>main!C409</f>
        <v>Ceiling</v>
      </c>
      <c r="C407" s="67">
        <f>main!O409</f>
        <v>100000</v>
      </c>
      <c r="D407" s="65" t="s">
        <v>111</v>
      </c>
      <c r="E407" s="68" t="str">
        <f t="shared" si="6"/>
        <v/>
      </c>
      <c r="F407" s="68" t="str">
        <f>IF(main!R410="","",ROUND(main!R410*100,6))</f>
        <v/>
      </c>
      <c r="G407" s="68" t="str">
        <f>IF(main!S410="","",ROUND(main!S410*100,6))</f>
        <v/>
      </c>
      <c r="H407" s="68" t="str">
        <f>IF(main!T410="","",ROUND(main!T410*100,6))</f>
        <v/>
      </c>
      <c r="I407" s="68" t="str">
        <f>IF(main!U410="","",ROUND(main!U410*100,6))</f>
        <v/>
      </c>
      <c r="J407" s="68" t="str">
        <f>IF(main!V410="","",ROUND(main!V410*100,6))</f>
        <v/>
      </c>
      <c r="K407" s="68" t="str">
        <f>IF(main!W410="","",ROUND(main!W410*100,6))</f>
        <v/>
      </c>
      <c r="L407" s="68" t="str">
        <f>IF(main!X410="","",ROUND(main!X410*100,6))</f>
        <v/>
      </c>
      <c r="M407" s="68" t="str">
        <f>IF(main!Y410="","",ROUND(main!Y410*100,6))</f>
        <v/>
      </c>
      <c r="N407" s="68" t="str">
        <f>IF(main!Z410="","",ROUND(main!Z410*100,6))</f>
        <v/>
      </c>
      <c r="O407" s="68" t="str">
        <f>IF(main!AA410="","",ROUND(main!AA410*100,6))</f>
        <v/>
      </c>
      <c r="P407" s="68" t="str">
        <f>IF(main!AB410="","",ROUND(main!AB410*100,6))</f>
        <v/>
      </c>
      <c r="Q407" s="68" t="str">
        <f>IF(main!AC410="","",ROUND(main!AC410*100,6))</f>
        <v/>
      </c>
      <c r="R407" s="68" t="str">
        <f>IF(main!AD410="","",ROUND(main!AD410*100,6))</f>
        <v/>
      </c>
      <c r="S407" s="68" t="str">
        <f>IF(main!AE410="","",ROUND(main!AE410*100,6))</f>
        <v/>
      </c>
      <c r="T407" s="68" t="str">
        <f>IF(main!AF410="","",ROUND(main!AF410*100,6))</f>
        <v/>
      </c>
      <c r="U407" s="68" t="str">
        <f>IF(main!AG410="","",ROUND(main!AG410*100,6))</f>
        <v/>
      </c>
      <c r="V407" s="68" t="str">
        <f>IF(main!AH410="","",ROUND(main!AH410*100,6))</f>
        <v/>
      </c>
      <c r="W407" s="68" t="str">
        <f>IF(main!AI410="","",ROUND(main!AI410*100,6))</f>
        <v/>
      </c>
      <c r="X407" s="68" t="str">
        <f>IF(main!AJ410="","",ROUND(main!AJ410*100,6))</f>
        <v/>
      </c>
      <c r="Y407" s="68" t="str">
        <f>IF(main!AK410="","",ROUND(main!AK410*100,6))</f>
        <v/>
      </c>
      <c r="Z407" s="68" t="str">
        <f>IF(main!AL410="","",ROUND(main!AL410*100,6))</f>
        <v/>
      </c>
      <c r="AA407" s="68" t="str">
        <f>IF(main!AM410="","",ROUND(main!AM410*100,6))</f>
        <v/>
      </c>
      <c r="AB407" s="68" t="str">
        <f>IF(main!AN410="","",ROUND(main!AN410*100,6))</f>
        <v/>
      </c>
      <c r="AC407" s="68" t="str">
        <f>IF(main!AO410="","",ROUND(main!AO410*100,6))</f>
        <v/>
      </c>
      <c r="AD407" s="68" t="str">
        <f>IF(main!AP410="","",ROUND(main!AP410*100,6))</f>
        <v/>
      </c>
      <c r="AE407" s="68" t="str">
        <f>IF(main!AQ410="","",ROUND(main!AQ410*100,6))</f>
        <v/>
      </c>
      <c r="AF407" s="68" t="str">
        <f>IF(main!AR410="","",ROUND(main!AR410*100,6))</f>
        <v/>
      </c>
      <c r="AG407" s="68" t="str">
        <f>IF(main!AS410="","",ROUND(main!AS410*100,6))</f>
        <v/>
      </c>
      <c r="AH407" s="68" t="str">
        <f>IF(main!AT410="","",ROUND(main!AT410*100,6))</f>
        <v/>
      </c>
      <c r="AI407" s="68" t="str">
        <f>IF(main!AU410="","",ROUND(main!AU410*100,6))</f>
        <v/>
      </c>
      <c r="AJ407" s="68" t="str">
        <f>IF(main!AV410="","",ROUND(main!AV410*100,6))</f>
        <v/>
      </c>
      <c r="AK407" s="68" t="str">
        <f>IF(main!AW410="","",ROUND(main!AW410*100,6))</f>
        <v/>
      </c>
      <c r="AL407" s="68" t="str">
        <f>IF(main!AX410="","",ROUND(main!AX410*100,6))</f>
        <v/>
      </c>
      <c r="AM407" s="68" t="str">
        <f>IF(main!AY410="","",ROUND(main!AY410*100,6))</f>
        <v/>
      </c>
      <c r="AN407" s="68" t="str">
        <f>IF(main!AZ410="","",ROUND(main!AZ410*100,6))</f>
        <v/>
      </c>
      <c r="AO407" s="68" t="str">
        <f>IF(main!BA410="","",ROUND(main!BA410*100,6))</f>
        <v/>
      </c>
      <c r="AP407" s="68" t="str">
        <f>IF(main!BB410="","",ROUND(main!BB410*100,6))</f>
        <v/>
      </c>
      <c r="AQ407" s="68" t="str">
        <f>IF(main!BC410="","",ROUND(main!BC410*100,6))</f>
        <v/>
      </c>
      <c r="AR407" s="68" t="str">
        <f>IF(main!BD410="","",ROUND(main!BD410*100,6))</f>
        <v/>
      </c>
      <c r="AS407" s="68" t="str">
        <f>IF(main!BE410="","",ROUND(main!BE410*100,6))</f>
        <v/>
      </c>
      <c r="AT407" s="68" t="str">
        <f>IF(main!BF410="","",ROUND(main!BF410*100,6))</f>
        <v/>
      </c>
      <c r="AU407" s="68" t="str">
        <f>IF(main!BG410="","",ROUND(main!BG410*100,6))</f>
        <v/>
      </c>
      <c r="AV407" s="68" t="str">
        <f>IF(main!BH410="","",ROUND(main!BH410*100,6))</f>
        <v/>
      </c>
      <c r="AW407" s="68" t="str">
        <f>IF(main!BI410="","",ROUND(main!BI410*100,6))</f>
        <v/>
      </c>
      <c r="AX407" s="68" t="str">
        <f>IF(main!BJ410="","",ROUND(main!BJ410*100,6))</f>
        <v/>
      </c>
      <c r="AY407" s="68" t="str">
        <f>IF(main!BK410="","",ROUND(main!BK410*100,6))</f>
        <v/>
      </c>
      <c r="AZ407" s="68" t="str">
        <f>IF(main!BL410="","",ROUND(main!BL410*100,6))</f>
        <v/>
      </c>
      <c r="BA407" s="68" t="str">
        <f>IF(main!BM410="","",ROUND(main!BM410*100,6))</f>
        <v/>
      </c>
      <c r="BB407" s="68" t="str">
        <f>IF(main!BN410="","",ROUND(main!BN410*100,6))</f>
        <v/>
      </c>
      <c r="BC407" s="68" t="str">
        <f>IF(main!BO410="","",ROUND(main!BO410*100,6))</f>
        <v/>
      </c>
      <c r="BD407" s="68" t="str">
        <f>IF(main!BP410="","",ROUND(main!BP410*100,6))</f>
        <v/>
      </c>
      <c r="BE407" s="68" t="str">
        <f>IF(main!BQ410="","",ROUND(main!BQ410*100,6))</f>
        <v/>
      </c>
      <c r="BF407" s="68" t="str">
        <f>IF(main!BR410="","",ROUND(main!BR410*100,6))</f>
        <v/>
      </c>
      <c r="BG407" s="68" t="str">
        <f>IF(main!BS410="","",ROUND(main!BS410*100,6))</f>
        <v/>
      </c>
      <c r="BH407" s="68" t="str">
        <f>IF(main!BT410="","",ROUND(main!BT410*100,6))</f>
        <v/>
      </c>
      <c r="BI407" s="68" t="str">
        <f>IF(main!BU410="","",ROUND(main!BU410*100,6))</f>
        <v/>
      </c>
      <c r="BJ407" s="68" t="str">
        <f>IF(main!BV410="","",ROUND(main!BV410*100,6))</f>
        <v/>
      </c>
      <c r="BK407" s="68" t="str">
        <f>IF(main!BW410="","",ROUND(main!BW410*100,6))</f>
        <v/>
      </c>
      <c r="BL407" s="68" t="str">
        <f>IF(main!BX410="","",ROUND(main!BX410*100,6))</f>
        <v/>
      </c>
      <c r="BM407" s="68" t="str">
        <f>IF(main!BY410="","",ROUND(main!BY410*100,6))</f>
        <v/>
      </c>
      <c r="BN407" s="68" t="str">
        <f>IF(main!BZ410="","",ROUND(main!BZ410*100,6))</f>
        <v/>
      </c>
      <c r="BO407" s="68" t="str">
        <f>IF(main!CA410="","",ROUND(main!CA410*100,6))</f>
        <v/>
      </c>
      <c r="BP407" s="68" t="str">
        <f>IF(main!CB410="","",ROUND(main!CB410*100,6))</f>
        <v/>
      </c>
      <c r="BQ407" s="68" t="str">
        <f>IF(main!CC410="","",ROUND(main!CC410*100,6))</f>
        <v/>
      </c>
      <c r="BR407" s="68" t="str">
        <f>IF(main!CD410="","",ROUND(main!CD410*100,6))</f>
        <v/>
      </c>
      <c r="BS407" s="68" t="str">
        <f>IF(main!CE410="","",ROUND(main!CE410*100,6))</f>
        <v/>
      </c>
      <c r="BT407" s="68" t="str">
        <f>IF(main!CF410="","",ROUND(main!CF410*100,6))</f>
        <v/>
      </c>
      <c r="BU407" s="68" t="str">
        <f>IF(main!CG410="","",ROUND(main!CG410*100,6))</f>
        <v/>
      </c>
      <c r="BV407" s="68" t="str">
        <f>IF(main!CH410="","",ROUND(main!CH410*100,6))</f>
        <v/>
      </c>
      <c r="BW407" s="68" t="str">
        <f>IF(main!CI410="","",ROUND(main!CI410*100,6))</f>
        <v/>
      </c>
      <c r="BX407" s="68" t="str">
        <f>IF(main!CJ410="","",ROUND(main!CJ410*100,6))</f>
        <v/>
      </c>
      <c r="BY407" s="68" t="str">
        <f>IF(main!CK410="","",ROUND(main!CK410*100,6))</f>
        <v/>
      </c>
      <c r="BZ407" s="68" t="str">
        <f>IF(main!CL410="","",ROUND(main!CL410*100,6))</f>
        <v/>
      </c>
      <c r="CA407" s="68" t="str">
        <f>IF(main!CM410="","",ROUND(main!CM410*100,6))</f>
        <v/>
      </c>
      <c r="CB407" s="68" t="str">
        <f>IF(main!CN410="","",ROUND(main!CN410*100,6))</f>
        <v/>
      </c>
      <c r="CC407" s="68" t="str">
        <f>IF(main!CO410="","",ROUND(main!CO410*100,6))</f>
        <v/>
      </c>
    </row>
    <row r="408" spans="1:81" ht="30" x14ac:dyDescent="0.25">
      <c r="A408" s="65" t="s">
        <v>566</v>
      </c>
      <c r="B408" s="66" t="str">
        <f>main!C411</f>
        <v>C2.4, C3.4 ห้องประชุม งานฝ้าอลูมิเนียม ตกแต่งตามแบบ ID</v>
      </c>
      <c r="C408" s="67">
        <f>main!O411</f>
        <v>100000</v>
      </c>
      <c r="D408" s="65" t="s">
        <v>110</v>
      </c>
      <c r="E408" s="68">
        <f t="shared" si="6"/>
        <v>100</v>
      </c>
      <c r="F408" s="68" t="str">
        <f>IF(main!R411="","",ROUND(main!R411*100,6))</f>
        <v/>
      </c>
      <c r="G408" s="68" t="str">
        <f>IF(main!S411="","",ROUND(main!S411*100,6))</f>
        <v/>
      </c>
      <c r="H408" s="68" t="str">
        <f>IF(main!T411="","",ROUND(main!T411*100,6))</f>
        <v/>
      </c>
      <c r="I408" s="68" t="str">
        <f>IF(main!U411="","",ROUND(main!U411*100,6))</f>
        <v/>
      </c>
      <c r="J408" s="68" t="str">
        <f>IF(main!V411="","",ROUND(main!V411*100,6))</f>
        <v/>
      </c>
      <c r="K408" s="68" t="str">
        <f>IF(main!W411="","",ROUND(main!W411*100,6))</f>
        <v/>
      </c>
      <c r="L408" s="68" t="str">
        <f>IF(main!X411="","",ROUND(main!X411*100,6))</f>
        <v/>
      </c>
      <c r="M408" s="68" t="str">
        <f>IF(main!Y411="","",ROUND(main!Y411*100,6))</f>
        <v/>
      </c>
      <c r="N408" s="68" t="str">
        <f>IF(main!Z411="","",ROUND(main!Z411*100,6))</f>
        <v/>
      </c>
      <c r="O408" s="68" t="str">
        <f>IF(main!AA411="","",ROUND(main!AA411*100,6))</f>
        <v/>
      </c>
      <c r="P408" s="68" t="str">
        <f>IF(main!AB411="","",ROUND(main!AB411*100,6))</f>
        <v/>
      </c>
      <c r="Q408" s="68" t="str">
        <f>IF(main!AC411="","",ROUND(main!AC411*100,6))</f>
        <v/>
      </c>
      <c r="R408" s="68" t="str">
        <f>IF(main!AD411="","",ROUND(main!AD411*100,6))</f>
        <v/>
      </c>
      <c r="S408" s="68" t="str">
        <f>IF(main!AE411="","",ROUND(main!AE411*100,6))</f>
        <v/>
      </c>
      <c r="T408" s="68" t="str">
        <f>IF(main!AF411="","",ROUND(main!AF411*100,6))</f>
        <v/>
      </c>
      <c r="U408" s="68" t="str">
        <f>IF(main!AG411="","",ROUND(main!AG411*100,6))</f>
        <v/>
      </c>
      <c r="V408" s="68" t="str">
        <f>IF(main!AH411="","",ROUND(main!AH411*100,6))</f>
        <v/>
      </c>
      <c r="W408" s="68" t="str">
        <f>IF(main!AI411="","",ROUND(main!AI411*100,6))</f>
        <v/>
      </c>
      <c r="X408" s="68" t="str">
        <f>IF(main!AJ411="","",ROUND(main!AJ411*100,6))</f>
        <v/>
      </c>
      <c r="Y408" s="68" t="str">
        <f>IF(main!AK411="","",ROUND(main!AK411*100,6))</f>
        <v/>
      </c>
      <c r="Z408" s="68" t="str">
        <f>IF(main!AL411="","",ROUND(main!AL411*100,6))</f>
        <v/>
      </c>
      <c r="AA408" s="68" t="str">
        <f>IF(main!AM411="","",ROUND(main!AM411*100,6))</f>
        <v/>
      </c>
      <c r="AB408" s="68" t="str">
        <f>IF(main!AN411="","",ROUND(main!AN411*100,6))</f>
        <v/>
      </c>
      <c r="AC408" s="68" t="str">
        <f>IF(main!AO411="","",ROUND(main!AO411*100,6))</f>
        <v/>
      </c>
      <c r="AD408" s="68" t="str">
        <f>IF(main!AP411="","",ROUND(main!AP411*100,6))</f>
        <v/>
      </c>
      <c r="AE408" s="68" t="str">
        <f>IF(main!AQ411="","",ROUND(main!AQ411*100,6))</f>
        <v/>
      </c>
      <c r="AF408" s="68" t="str">
        <f>IF(main!AR411="","",ROUND(main!AR411*100,6))</f>
        <v/>
      </c>
      <c r="AG408" s="68" t="str">
        <f>IF(main!AS411="","",ROUND(main!AS411*100,6))</f>
        <v/>
      </c>
      <c r="AH408" s="68" t="str">
        <f>IF(main!AT411="","",ROUND(main!AT411*100,6))</f>
        <v/>
      </c>
      <c r="AI408" s="68" t="str">
        <f>IF(main!AU411="","",ROUND(main!AU411*100,6))</f>
        <v/>
      </c>
      <c r="AJ408" s="68" t="str">
        <f>IF(main!AV411="","",ROUND(main!AV411*100,6))</f>
        <v/>
      </c>
      <c r="AK408" s="68" t="str">
        <f>IF(main!AW411="","",ROUND(main!AW411*100,6))</f>
        <v/>
      </c>
      <c r="AL408" s="68" t="str">
        <f>IF(main!AX411="","",ROUND(main!AX411*100,6))</f>
        <v/>
      </c>
      <c r="AM408" s="68" t="str">
        <f>IF(main!AY411="","",ROUND(main!AY411*100,6))</f>
        <v/>
      </c>
      <c r="AN408" s="68" t="str">
        <f>IF(main!AZ411="","",ROUND(main!AZ411*100,6))</f>
        <v/>
      </c>
      <c r="AO408" s="68" t="str">
        <f>IF(main!BA411="","",ROUND(main!BA411*100,6))</f>
        <v/>
      </c>
      <c r="AP408" s="68" t="str">
        <f>IF(main!BB411="","",ROUND(main!BB411*100,6))</f>
        <v/>
      </c>
      <c r="AQ408" s="68" t="str">
        <f>IF(main!BC411="","",ROUND(main!BC411*100,6))</f>
        <v/>
      </c>
      <c r="AR408" s="68" t="str">
        <f>IF(main!BD411="","",ROUND(main!BD411*100,6))</f>
        <v/>
      </c>
      <c r="AS408" s="68" t="str">
        <f>IF(main!BE411="","",ROUND(main!BE411*100,6))</f>
        <v/>
      </c>
      <c r="AT408" s="68" t="str">
        <f>IF(main!BF411="","",ROUND(main!BF411*100,6))</f>
        <v/>
      </c>
      <c r="AU408" s="68" t="str">
        <f>IF(main!BG411="","",ROUND(main!BG411*100,6))</f>
        <v/>
      </c>
      <c r="AV408" s="68" t="str">
        <f>IF(main!BH411="","",ROUND(main!BH411*100,6))</f>
        <v/>
      </c>
      <c r="AW408" s="68" t="str">
        <f>IF(main!BI411="","",ROUND(main!BI411*100,6))</f>
        <v/>
      </c>
      <c r="AX408" s="68" t="str">
        <f>IF(main!BJ411="","",ROUND(main!BJ411*100,6))</f>
        <v/>
      </c>
      <c r="AY408" s="68" t="str">
        <f>IF(main!BK411="","",ROUND(main!BK411*100,6))</f>
        <v/>
      </c>
      <c r="AZ408" s="68" t="str">
        <f>IF(main!BL411="","",ROUND(main!BL411*100,6))</f>
        <v/>
      </c>
      <c r="BA408" s="68" t="str">
        <f>IF(main!BM411="","",ROUND(main!BM411*100,6))</f>
        <v/>
      </c>
      <c r="BB408" s="68" t="str">
        <f>IF(main!BN411="","",ROUND(main!BN411*100,6))</f>
        <v/>
      </c>
      <c r="BC408" s="68" t="str">
        <f>IF(main!BO411="","",ROUND(main!BO411*100,6))</f>
        <v/>
      </c>
      <c r="BD408" s="68" t="str">
        <f>IF(main!BP411="","",ROUND(main!BP411*100,6))</f>
        <v/>
      </c>
      <c r="BE408" s="68" t="str">
        <f>IF(main!BQ411="","",ROUND(main!BQ411*100,6))</f>
        <v/>
      </c>
      <c r="BF408" s="68" t="str">
        <f>IF(main!BR411="","",ROUND(main!BR411*100,6))</f>
        <v/>
      </c>
      <c r="BG408" s="68" t="str">
        <f>IF(main!BS411="","",ROUND(main!BS411*100,6))</f>
        <v/>
      </c>
      <c r="BH408" s="68" t="str">
        <f>IF(main!BT411="","",ROUND(main!BT411*100,6))</f>
        <v/>
      </c>
      <c r="BI408" s="68" t="str">
        <f>IF(main!BU411="","",ROUND(main!BU411*100,6))</f>
        <v/>
      </c>
      <c r="BJ408" s="68" t="str">
        <f>IF(main!BV411="","",ROUND(main!BV411*100,6))</f>
        <v/>
      </c>
      <c r="BK408" s="68" t="str">
        <f>IF(main!BW411="","",ROUND(main!BW411*100,6))</f>
        <v/>
      </c>
      <c r="BL408" s="68" t="str">
        <f>IF(main!BX411="","",ROUND(main!BX411*100,6))</f>
        <v/>
      </c>
      <c r="BM408" s="68" t="str">
        <f>IF(main!BY411="","",ROUND(main!BY411*100,6))</f>
        <v/>
      </c>
      <c r="BN408" s="68" t="str">
        <f>IF(main!BZ411="","",ROUND(main!BZ411*100,6))</f>
        <v/>
      </c>
      <c r="BO408" s="68" t="str">
        <f>IF(main!CA411="","",ROUND(main!CA411*100,6))</f>
        <v/>
      </c>
      <c r="BP408" s="68" t="str">
        <f>IF(main!CB411="","",ROUND(main!CB411*100,6))</f>
        <v/>
      </c>
      <c r="BQ408" s="68">
        <f>IF(main!CC411="","",ROUND(main!CC411*100,6))</f>
        <v>9.5238099999999992</v>
      </c>
      <c r="BR408" s="68">
        <f>IF(main!CD411="","",ROUND(main!CD411*100,6))</f>
        <v>33.333333000000003</v>
      </c>
      <c r="BS408" s="68">
        <f>IF(main!CE411="","",ROUND(main!CE411*100,6))</f>
        <v>33.333333000000003</v>
      </c>
      <c r="BT408" s="68">
        <f>IF(main!CF411="","",ROUND(main!CF411*100,6))</f>
        <v>23.809524</v>
      </c>
      <c r="BU408" s="68" t="str">
        <f>IF(main!CG411="","",ROUND(main!CG411*100,6))</f>
        <v/>
      </c>
      <c r="BV408" s="68" t="str">
        <f>IF(main!CH411="","",ROUND(main!CH411*100,6))</f>
        <v/>
      </c>
      <c r="BW408" s="68" t="str">
        <f>IF(main!CI411="","",ROUND(main!CI411*100,6))</f>
        <v/>
      </c>
      <c r="BX408" s="68" t="str">
        <f>IF(main!CJ411="","",ROUND(main!CJ411*100,6))</f>
        <v/>
      </c>
      <c r="BY408" s="68" t="str">
        <f>IF(main!CK411="","",ROUND(main!CK411*100,6))</f>
        <v/>
      </c>
      <c r="BZ408" s="68" t="str">
        <f>IF(main!CL411="","",ROUND(main!CL411*100,6))</f>
        <v/>
      </c>
      <c r="CA408" s="68" t="str">
        <f>IF(main!CM411="","",ROUND(main!CM411*100,6))</f>
        <v/>
      </c>
      <c r="CB408" s="68" t="str">
        <f>IF(main!CN411="","",ROUND(main!CN411*100,6))</f>
        <v/>
      </c>
      <c r="CC408" s="68" t="str">
        <f>IF(main!CO411="","",ROUND(main!CO411*100,6))</f>
        <v/>
      </c>
    </row>
    <row r="409" spans="1:81" ht="30" x14ac:dyDescent="0.25">
      <c r="A409" s="65" t="s">
        <v>566</v>
      </c>
      <c r="B409" s="66" t="str">
        <f>main!C411</f>
        <v>C2.4, C3.4 ห้องประชุม งานฝ้าอลูมิเนียม ตกแต่งตามแบบ ID</v>
      </c>
      <c r="C409" s="67">
        <f>main!O411</f>
        <v>100000</v>
      </c>
      <c r="D409" s="65" t="s">
        <v>111</v>
      </c>
      <c r="E409" s="68" t="str">
        <f t="shared" si="6"/>
        <v/>
      </c>
      <c r="F409" s="68" t="str">
        <f>IF(main!R412="","",ROUND(main!R412*100,6))</f>
        <v/>
      </c>
      <c r="G409" s="68" t="str">
        <f>IF(main!S412="","",ROUND(main!S412*100,6))</f>
        <v/>
      </c>
      <c r="H409" s="68" t="str">
        <f>IF(main!T412="","",ROUND(main!T412*100,6))</f>
        <v/>
      </c>
      <c r="I409" s="68" t="str">
        <f>IF(main!U412="","",ROUND(main!U412*100,6))</f>
        <v/>
      </c>
      <c r="J409" s="68" t="str">
        <f>IF(main!V412="","",ROUND(main!V412*100,6))</f>
        <v/>
      </c>
      <c r="K409" s="68" t="str">
        <f>IF(main!W412="","",ROUND(main!W412*100,6))</f>
        <v/>
      </c>
      <c r="L409" s="68" t="str">
        <f>IF(main!X412="","",ROUND(main!X412*100,6))</f>
        <v/>
      </c>
      <c r="M409" s="68" t="str">
        <f>IF(main!Y412="","",ROUND(main!Y412*100,6))</f>
        <v/>
      </c>
      <c r="N409" s="68" t="str">
        <f>IF(main!Z412="","",ROUND(main!Z412*100,6))</f>
        <v/>
      </c>
      <c r="O409" s="68" t="str">
        <f>IF(main!AA412="","",ROUND(main!AA412*100,6))</f>
        <v/>
      </c>
      <c r="P409" s="68" t="str">
        <f>IF(main!AB412="","",ROUND(main!AB412*100,6))</f>
        <v/>
      </c>
      <c r="Q409" s="68" t="str">
        <f>IF(main!AC412="","",ROUND(main!AC412*100,6))</f>
        <v/>
      </c>
      <c r="R409" s="68" t="str">
        <f>IF(main!AD412="","",ROUND(main!AD412*100,6))</f>
        <v/>
      </c>
      <c r="S409" s="68" t="str">
        <f>IF(main!AE412="","",ROUND(main!AE412*100,6))</f>
        <v/>
      </c>
      <c r="T409" s="68" t="str">
        <f>IF(main!AF412="","",ROUND(main!AF412*100,6))</f>
        <v/>
      </c>
      <c r="U409" s="68" t="str">
        <f>IF(main!AG412="","",ROUND(main!AG412*100,6))</f>
        <v/>
      </c>
      <c r="V409" s="68" t="str">
        <f>IF(main!AH412="","",ROUND(main!AH412*100,6))</f>
        <v/>
      </c>
      <c r="W409" s="68" t="str">
        <f>IF(main!AI412="","",ROUND(main!AI412*100,6))</f>
        <v/>
      </c>
      <c r="X409" s="68" t="str">
        <f>IF(main!AJ412="","",ROUND(main!AJ412*100,6))</f>
        <v/>
      </c>
      <c r="Y409" s="68" t="str">
        <f>IF(main!AK412="","",ROUND(main!AK412*100,6))</f>
        <v/>
      </c>
      <c r="Z409" s="68" t="str">
        <f>IF(main!AL412="","",ROUND(main!AL412*100,6))</f>
        <v/>
      </c>
      <c r="AA409" s="68" t="str">
        <f>IF(main!AM412="","",ROUND(main!AM412*100,6))</f>
        <v/>
      </c>
      <c r="AB409" s="68" t="str">
        <f>IF(main!AN412="","",ROUND(main!AN412*100,6))</f>
        <v/>
      </c>
      <c r="AC409" s="68" t="str">
        <f>IF(main!AO412="","",ROUND(main!AO412*100,6))</f>
        <v/>
      </c>
      <c r="AD409" s="68" t="str">
        <f>IF(main!AP412="","",ROUND(main!AP412*100,6))</f>
        <v/>
      </c>
      <c r="AE409" s="68" t="str">
        <f>IF(main!AQ412="","",ROUND(main!AQ412*100,6))</f>
        <v/>
      </c>
      <c r="AF409" s="68" t="str">
        <f>IF(main!AR412="","",ROUND(main!AR412*100,6))</f>
        <v/>
      </c>
      <c r="AG409" s="68" t="str">
        <f>IF(main!AS412="","",ROUND(main!AS412*100,6))</f>
        <v/>
      </c>
      <c r="AH409" s="68" t="str">
        <f>IF(main!AT412="","",ROUND(main!AT412*100,6))</f>
        <v/>
      </c>
      <c r="AI409" s="68" t="str">
        <f>IF(main!AU412="","",ROUND(main!AU412*100,6))</f>
        <v/>
      </c>
      <c r="AJ409" s="68" t="str">
        <f>IF(main!AV412="","",ROUND(main!AV412*100,6))</f>
        <v/>
      </c>
      <c r="AK409" s="68" t="str">
        <f>IF(main!AW412="","",ROUND(main!AW412*100,6))</f>
        <v/>
      </c>
      <c r="AL409" s="68" t="str">
        <f>IF(main!AX412="","",ROUND(main!AX412*100,6))</f>
        <v/>
      </c>
      <c r="AM409" s="68" t="str">
        <f>IF(main!AY412="","",ROUND(main!AY412*100,6))</f>
        <v/>
      </c>
      <c r="AN409" s="68" t="str">
        <f>IF(main!AZ412="","",ROUND(main!AZ412*100,6))</f>
        <v/>
      </c>
      <c r="AO409" s="68" t="str">
        <f>IF(main!BA412="","",ROUND(main!BA412*100,6))</f>
        <v/>
      </c>
      <c r="AP409" s="68" t="str">
        <f>IF(main!BB412="","",ROUND(main!BB412*100,6))</f>
        <v/>
      </c>
      <c r="AQ409" s="68" t="str">
        <f>IF(main!BC412="","",ROUND(main!BC412*100,6))</f>
        <v/>
      </c>
      <c r="AR409" s="68" t="str">
        <f>IF(main!BD412="","",ROUND(main!BD412*100,6))</f>
        <v/>
      </c>
      <c r="AS409" s="68" t="str">
        <f>IF(main!BE412="","",ROUND(main!BE412*100,6))</f>
        <v/>
      </c>
      <c r="AT409" s="68" t="str">
        <f>IF(main!BF412="","",ROUND(main!BF412*100,6))</f>
        <v/>
      </c>
      <c r="AU409" s="68" t="str">
        <f>IF(main!BG412="","",ROUND(main!BG412*100,6))</f>
        <v/>
      </c>
      <c r="AV409" s="68" t="str">
        <f>IF(main!BH412="","",ROUND(main!BH412*100,6))</f>
        <v/>
      </c>
      <c r="AW409" s="68" t="str">
        <f>IF(main!BI412="","",ROUND(main!BI412*100,6))</f>
        <v/>
      </c>
      <c r="AX409" s="68" t="str">
        <f>IF(main!BJ412="","",ROUND(main!BJ412*100,6))</f>
        <v/>
      </c>
      <c r="AY409" s="68" t="str">
        <f>IF(main!BK412="","",ROUND(main!BK412*100,6))</f>
        <v/>
      </c>
      <c r="AZ409" s="68" t="str">
        <f>IF(main!BL412="","",ROUND(main!BL412*100,6))</f>
        <v/>
      </c>
      <c r="BA409" s="68" t="str">
        <f>IF(main!BM412="","",ROUND(main!BM412*100,6))</f>
        <v/>
      </c>
      <c r="BB409" s="68" t="str">
        <f>IF(main!BN412="","",ROUND(main!BN412*100,6))</f>
        <v/>
      </c>
      <c r="BC409" s="68" t="str">
        <f>IF(main!BO412="","",ROUND(main!BO412*100,6))</f>
        <v/>
      </c>
      <c r="BD409" s="68" t="str">
        <f>IF(main!BP412="","",ROUND(main!BP412*100,6))</f>
        <v/>
      </c>
      <c r="BE409" s="68" t="str">
        <f>IF(main!BQ412="","",ROUND(main!BQ412*100,6))</f>
        <v/>
      </c>
      <c r="BF409" s="68" t="str">
        <f>IF(main!BR412="","",ROUND(main!BR412*100,6))</f>
        <v/>
      </c>
      <c r="BG409" s="68" t="str">
        <f>IF(main!BS412="","",ROUND(main!BS412*100,6))</f>
        <v/>
      </c>
      <c r="BH409" s="68" t="str">
        <f>IF(main!BT412="","",ROUND(main!BT412*100,6))</f>
        <v/>
      </c>
      <c r="BI409" s="68" t="str">
        <f>IF(main!BU412="","",ROUND(main!BU412*100,6))</f>
        <v/>
      </c>
      <c r="BJ409" s="68" t="str">
        <f>IF(main!BV412="","",ROUND(main!BV412*100,6))</f>
        <v/>
      </c>
      <c r="BK409" s="68" t="str">
        <f>IF(main!BW412="","",ROUND(main!BW412*100,6))</f>
        <v/>
      </c>
      <c r="BL409" s="68" t="str">
        <f>IF(main!BX412="","",ROUND(main!BX412*100,6))</f>
        <v/>
      </c>
      <c r="BM409" s="68" t="str">
        <f>IF(main!BY412="","",ROUND(main!BY412*100,6))</f>
        <v/>
      </c>
      <c r="BN409" s="68" t="str">
        <f>IF(main!BZ412="","",ROUND(main!BZ412*100,6))</f>
        <v/>
      </c>
      <c r="BO409" s="68" t="str">
        <f>IF(main!CA412="","",ROUND(main!CA412*100,6))</f>
        <v/>
      </c>
      <c r="BP409" s="68" t="str">
        <f>IF(main!CB412="","",ROUND(main!CB412*100,6))</f>
        <v/>
      </c>
      <c r="BQ409" s="68" t="str">
        <f>IF(main!CC412="","",ROUND(main!CC412*100,6))</f>
        <v/>
      </c>
      <c r="BR409" s="68" t="str">
        <f>IF(main!CD412="","",ROUND(main!CD412*100,6))</f>
        <v/>
      </c>
      <c r="BS409" s="68" t="str">
        <f>IF(main!CE412="","",ROUND(main!CE412*100,6))</f>
        <v/>
      </c>
      <c r="BT409" s="68" t="str">
        <f>IF(main!CF412="","",ROUND(main!CF412*100,6))</f>
        <v/>
      </c>
      <c r="BU409" s="68" t="str">
        <f>IF(main!CG412="","",ROUND(main!CG412*100,6))</f>
        <v/>
      </c>
      <c r="BV409" s="68" t="str">
        <f>IF(main!CH412="","",ROUND(main!CH412*100,6))</f>
        <v/>
      </c>
      <c r="BW409" s="68" t="str">
        <f>IF(main!CI412="","",ROUND(main!CI412*100,6))</f>
        <v/>
      </c>
      <c r="BX409" s="68" t="str">
        <f>IF(main!CJ412="","",ROUND(main!CJ412*100,6))</f>
        <v/>
      </c>
      <c r="BY409" s="68" t="str">
        <f>IF(main!CK412="","",ROUND(main!CK412*100,6))</f>
        <v/>
      </c>
      <c r="BZ409" s="68" t="str">
        <f>IF(main!CL412="","",ROUND(main!CL412*100,6))</f>
        <v/>
      </c>
      <c r="CA409" s="68" t="str">
        <f>IF(main!CM412="","",ROUND(main!CM412*100,6))</f>
        <v/>
      </c>
      <c r="CB409" s="68" t="str">
        <f>IF(main!CN412="","",ROUND(main!CN412*100,6))</f>
        <v/>
      </c>
      <c r="CC409" s="68" t="str">
        <f>IF(main!CO412="","",ROUND(main!CO412*100,6))</f>
        <v/>
      </c>
    </row>
    <row r="410" spans="1:81" x14ac:dyDescent="0.25">
      <c r="A410" s="65" t="s">
        <v>569</v>
      </c>
      <c r="B410" s="66" t="str">
        <f>main!C413</f>
        <v>2nd Floor</v>
      </c>
      <c r="C410" s="67">
        <f>main!O413</f>
        <v>300000</v>
      </c>
      <c r="D410" s="65" t="s">
        <v>110</v>
      </c>
      <c r="E410" s="68">
        <f t="shared" si="6"/>
        <v>100</v>
      </c>
      <c r="F410" s="68" t="str">
        <f>IF(main!R413="","",ROUND(main!R413*100,6))</f>
        <v/>
      </c>
      <c r="G410" s="68" t="str">
        <f>IF(main!S413="","",ROUND(main!S413*100,6))</f>
        <v/>
      </c>
      <c r="H410" s="68" t="str">
        <f>IF(main!T413="","",ROUND(main!T413*100,6))</f>
        <v/>
      </c>
      <c r="I410" s="68" t="str">
        <f>IF(main!U413="","",ROUND(main!U413*100,6))</f>
        <v/>
      </c>
      <c r="J410" s="68" t="str">
        <f>IF(main!V413="","",ROUND(main!V413*100,6))</f>
        <v/>
      </c>
      <c r="K410" s="68" t="str">
        <f>IF(main!W413="","",ROUND(main!W413*100,6))</f>
        <v/>
      </c>
      <c r="L410" s="68" t="str">
        <f>IF(main!X413="","",ROUND(main!X413*100,6))</f>
        <v/>
      </c>
      <c r="M410" s="68" t="str">
        <f>IF(main!Y413="","",ROUND(main!Y413*100,6))</f>
        <v/>
      </c>
      <c r="N410" s="68" t="str">
        <f>IF(main!Z413="","",ROUND(main!Z413*100,6))</f>
        <v/>
      </c>
      <c r="O410" s="68" t="str">
        <f>IF(main!AA413="","",ROUND(main!AA413*100,6))</f>
        <v/>
      </c>
      <c r="P410" s="68" t="str">
        <f>IF(main!AB413="","",ROUND(main!AB413*100,6))</f>
        <v/>
      </c>
      <c r="Q410" s="68" t="str">
        <f>IF(main!AC413="","",ROUND(main!AC413*100,6))</f>
        <v/>
      </c>
      <c r="R410" s="68" t="str">
        <f>IF(main!AD413="","",ROUND(main!AD413*100,6))</f>
        <v/>
      </c>
      <c r="S410" s="68" t="str">
        <f>IF(main!AE413="","",ROUND(main!AE413*100,6))</f>
        <v/>
      </c>
      <c r="T410" s="68" t="str">
        <f>IF(main!AF413="","",ROUND(main!AF413*100,6))</f>
        <v/>
      </c>
      <c r="U410" s="68" t="str">
        <f>IF(main!AG413="","",ROUND(main!AG413*100,6))</f>
        <v/>
      </c>
      <c r="V410" s="68" t="str">
        <f>IF(main!AH413="","",ROUND(main!AH413*100,6))</f>
        <v/>
      </c>
      <c r="W410" s="68" t="str">
        <f>IF(main!AI413="","",ROUND(main!AI413*100,6))</f>
        <v/>
      </c>
      <c r="X410" s="68" t="str">
        <f>IF(main!AJ413="","",ROUND(main!AJ413*100,6))</f>
        <v/>
      </c>
      <c r="Y410" s="68" t="str">
        <f>IF(main!AK413="","",ROUND(main!AK413*100,6))</f>
        <v/>
      </c>
      <c r="Z410" s="68" t="str">
        <f>IF(main!AL413="","",ROUND(main!AL413*100,6))</f>
        <v/>
      </c>
      <c r="AA410" s="68" t="str">
        <f>IF(main!AM413="","",ROUND(main!AM413*100,6))</f>
        <v/>
      </c>
      <c r="AB410" s="68" t="str">
        <f>IF(main!AN413="","",ROUND(main!AN413*100,6))</f>
        <v/>
      </c>
      <c r="AC410" s="68" t="str">
        <f>IF(main!AO413="","",ROUND(main!AO413*100,6))</f>
        <v/>
      </c>
      <c r="AD410" s="68" t="str">
        <f>IF(main!AP413="","",ROUND(main!AP413*100,6))</f>
        <v/>
      </c>
      <c r="AE410" s="68" t="str">
        <f>IF(main!AQ413="","",ROUND(main!AQ413*100,6))</f>
        <v/>
      </c>
      <c r="AF410" s="68" t="str">
        <f>IF(main!AR413="","",ROUND(main!AR413*100,6))</f>
        <v/>
      </c>
      <c r="AG410" s="68" t="str">
        <f>IF(main!AS413="","",ROUND(main!AS413*100,6))</f>
        <v/>
      </c>
      <c r="AH410" s="68" t="str">
        <f>IF(main!AT413="","",ROUND(main!AT413*100,6))</f>
        <v/>
      </c>
      <c r="AI410" s="68" t="str">
        <f>IF(main!AU413="","",ROUND(main!AU413*100,6))</f>
        <v/>
      </c>
      <c r="AJ410" s="68" t="str">
        <f>IF(main!AV413="","",ROUND(main!AV413*100,6))</f>
        <v/>
      </c>
      <c r="AK410" s="68" t="str">
        <f>IF(main!AW413="","",ROUND(main!AW413*100,6))</f>
        <v/>
      </c>
      <c r="AL410" s="68" t="str">
        <f>IF(main!AX413="","",ROUND(main!AX413*100,6))</f>
        <v/>
      </c>
      <c r="AM410" s="68" t="str">
        <f>IF(main!AY413="","",ROUND(main!AY413*100,6))</f>
        <v/>
      </c>
      <c r="AN410" s="68" t="str">
        <f>IF(main!AZ413="","",ROUND(main!AZ413*100,6))</f>
        <v/>
      </c>
      <c r="AO410" s="68" t="str">
        <f>IF(main!BA413="","",ROUND(main!BA413*100,6))</f>
        <v/>
      </c>
      <c r="AP410" s="68" t="str">
        <f>IF(main!BB413="","",ROUND(main!BB413*100,6))</f>
        <v/>
      </c>
      <c r="AQ410" s="68" t="str">
        <f>IF(main!BC413="","",ROUND(main!BC413*100,6))</f>
        <v/>
      </c>
      <c r="AR410" s="68" t="str">
        <f>IF(main!BD413="","",ROUND(main!BD413*100,6))</f>
        <v/>
      </c>
      <c r="AS410" s="68" t="str">
        <f>IF(main!BE413="","",ROUND(main!BE413*100,6))</f>
        <v/>
      </c>
      <c r="AT410" s="68" t="str">
        <f>IF(main!BF413="","",ROUND(main!BF413*100,6))</f>
        <v/>
      </c>
      <c r="AU410" s="68" t="str">
        <f>IF(main!BG413="","",ROUND(main!BG413*100,6))</f>
        <v/>
      </c>
      <c r="AV410" s="68" t="str">
        <f>IF(main!BH413="","",ROUND(main!BH413*100,6))</f>
        <v/>
      </c>
      <c r="AW410" s="68" t="str">
        <f>IF(main!BI413="","",ROUND(main!BI413*100,6))</f>
        <v/>
      </c>
      <c r="AX410" s="68" t="str">
        <f>IF(main!BJ413="","",ROUND(main!BJ413*100,6))</f>
        <v/>
      </c>
      <c r="AY410" s="68" t="str">
        <f>IF(main!BK413="","",ROUND(main!BK413*100,6))</f>
        <v/>
      </c>
      <c r="AZ410" s="68" t="str">
        <f>IF(main!BL413="","",ROUND(main!BL413*100,6))</f>
        <v/>
      </c>
      <c r="BA410" s="68" t="str">
        <f>IF(main!BM413="","",ROUND(main!BM413*100,6))</f>
        <v/>
      </c>
      <c r="BB410" s="68" t="str">
        <f>IF(main!BN413="","",ROUND(main!BN413*100,6))</f>
        <v/>
      </c>
      <c r="BC410" s="68" t="str">
        <f>IF(main!BO413="","",ROUND(main!BO413*100,6))</f>
        <v/>
      </c>
      <c r="BD410" s="68" t="str">
        <f>IF(main!BP413="","",ROUND(main!BP413*100,6))</f>
        <v/>
      </c>
      <c r="BE410" s="68" t="str">
        <f>IF(main!BQ413="","",ROUND(main!BQ413*100,6))</f>
        <v/>
      </c>
      <c r="BF410" s="68" t="str">
        <f>IF(main!BR413="","",ROUND(main!BR413*100,6))</f>
        <v/>
      </c>
      <c r="BG410" s="68" t="str">
        <f>IF(main!BS413="","",ROUND(main!BS413*100,6))</f>
        <v/>
      </c>
      <c r="BH410" s="68" t="str">
        <f>IF(main!BT413="","",ROUND(main!BT413*100,6))</f>
        <v/>
      </c>
      <c r="BI410" s="68" t="str">
        <f>IF(main!BU413="","",ROUND(main!BU413*100,6))</f>
        <v/>
      </c>
      <c r="BJ410" s="68" t="str">
        <f>IF(main!BV413="","",ROUND(main!BV413*100,6))</f>
        <v/>
      </c>
      <c r="BK410" s="68">
        <f>IF(main!BW413="","",ROUND(main!BW413*100,6))</f>
        <v>1.1904760000000001</v>
      </c>
      <c r="BL410" s="68">
        <f>IF(main!BX413="","",ROUND(main!BX413*100,6))</f>
        <v>8.3333329999999997</v>
      </c>
      <c r="BM410" s="68">
        <f>IF(main!BY413="","",ROUND(main!BY413*100,6))</f>
        <v>8.3333329999999997</v>
      </c>
      <c r="BN410" s="68">
        <f>IF(main!BZ413="","",ROUND(main!BZ413*100,6))</f>
        <v>8.3333329999999997</v>
      </c>
      <c r="BO410" s="68">
        <f>IF(main!CA413="","",ROUND(main!CA413*100,6))</f>
        <v>9.5238099999999992</v>
      </c>
      <c r="BP410" s="68">
        <f>IF(main!CB413="","",ROUND(main!CB413*100,6))</f>
        <v>16.666667</v>
      </c>
      <c r="BQ410" s="68">
        <f>IF(main!CC413="","",ROUND(main!CC413*100,6))</f>
        <v>16.666667</v>
      </c>
      <c r="BR410" s="68">
        <f>IF(main!CD413="","",ROUND(main!CD413*100,6))</f>
        <v>16.666667</v>
      </c>
      <c r="BS410" s="68">
        <f>IF(main!CE413="","",ROUND(main!CE413*100,6))</f>
        <v>14.285714</v>
      </c>
      <c r="BT410" s="68" t="str">
        <f>IF(main!CF413="","",ROUND(main!CF413*100,6))</f>
        <v/>
      </c>
      <c r="BU410" s="68" t="str">
        <f>IF(main!CG413="","",ROUND(main!CG413*100,6))</f>
        <v/>
      </c>
      <c r="BV410" s="68" t="str">
        <f>IF(main!CH413="","",ROUND(main!CH413*100,6))</f>
        <v/>
      </c>
      <c r="BW410" s="68" t="str">
        <f>IF(main!CI413="","",ROUND(main!CI413*100,6))</f>
        <v/>
      </c>
      <c r="BX410" s="68" t="str">
        <f>IF(main!CJ413="","",ROUND(main!CJ413*100,6))</f>
        <v/>
      </c>
      <c r="BY410" s="68" t="str">
        <f>IF(main!CK413="","",ROUND(main!CK413*100,6))</f>
        <v/>
      </c>
      <c r="BZ410" s="68" t="str">
        <f>IF(main!CL413="","",ROUND(main!CL413*100,6))</f>
        <v/>
      </c>
      <c r="CA410" s="68" t="str">
        <f>IF(main!CM413="","",ROUND(main!CM413*100,6))</f>
        <v/>
      </c>
      <c r="CB410" s="68" t="str">
        <f>IF(main!CN413="","",ROUND(main!CN413*100,6))</f>
        <v/>
      </c>
      <c r="CC410" s="68" t="str">
        <f>IF(main!CO413="","",ROUND(main!CO413*100,6))</f>
        <v/>
      </c>
    </row>
    <row r="411" spans="1:81" x14ac:dyDescent="0.25">
      <c r="A411" s="65" t="s">
        <v>569</v>
      </c>
      <c r="B411" s="66" t="str">
        <f>main!C413</f>
        <v>2nd Floor</v>
      </c>
      <c r="C411" s="67">
        <f>main!O413</f>
        <v>300000</v>
      </c>
      <c r="D411" s="65" t="s">
        <v>111</v>
      </c>
      <c r="E411" s="68" t="str">
        <f t="shared" si="6"/>
        <v/>
      </c>
      <c r="F411" s="68" t="str">
        <f>IF(main!R414="","",ROUND(main!R414*100,6))</f>
        <v/>
      </c>
      <c r="G411" s="68" t="str">
        <f>IF(main!S414="","",ROUND(main!S414*100,6))</f>
        <v/>
      </c>
      <c r="H411" s="68" t="str">
        <f>IF(main!T414="","",ROUND(main!T414*100,6))</f>
        <v/>
      </c>
      <c r="I411" s="68" t="str">
        <f>IF(main!U414="","",ROUND(main!U414*100,6))</f>
        <v/>
      </c>
      <c r="J411" s="68" t="str">
        <f>IF(main!V414="","",ROUND(main!V414*100,6))</f>
        <v/>
      </c>
      <c r="K411" s="68" t="str">
        <f>IF(main!W414="","",ROUND(main!W414*100,6))</f>
        <v/>
      </c>
      <c r="L411" s="68" t="str">
        <f>IF(main!X414="","",ROUND(main!X414*100,6))</f>
        <v/>
      </c>
      <c r="M411" s="68" t="str">
        <f>IF(main!Y414="","",ROUND(main!Y414*100,6))</f>
        <v/>
      </c>
      <c r="N411" s="68" t="str">
        <f>IF(main!Z414="","",ROUND(main!Z414*100,6))</f>
        <v/>
      </c>
      <c r="O411" s="68" t="str">
        <f>IF(main!AA414="","",ROUND(main!AA414*100,6))</f>
        <v/>
      </c>
      <c r="P411" s="68" t="str">
        <f>IF(main!AB414="","",ROUND(main!AB414*100,6))</f>
        <v/>
      </c>
      <c r="Q411" s="68" t="str">
        <f>IF(main!AC414="","",ROUND(main!AC414*100,6))</f>
        <v/>
      </c>
      <c r="R411" s="68" t="str">
        <f>IF(main!AD414="","",ROUND(main!AD414*100,6))</f>
        <v/>
      </c>
      <c r="S411" s="68" t="str">
        <f>IF(main!AE414="","",ROUND(main!AE414*100,6))</f>
        <v/>
      </c>
      <c r="T411" s="68" t="str">
        <f>IF(main!AF414="","",ROUND(main!AF414*100,6))</f>
        <v/>
      </c>
      <c r="U411" s="68" t="str">
        <f>IF(main!AG414="","",ROUND(main!AG414*100,6))</f>
        <v/>
      </c>
      <c r="V411" s="68" t="str">
        <f>IF(main!AH414="","",ROUND(main!AH414*100,6))</f>
        <v/>
      </c>
      <c r="W411" s="68" t="str">
        <f>IF(main!AI414="","",ROUND(main!AI414*100,6))</f>
        <v/>
      </c>
      <c r="X411" s="68" t="str">
        <f>IF(main!AJ414="","",ROUND(main!AJ414*100,6))</f>
        <v/>
      </c>
      <c r="Y411" s="68" t="str">
        <f>IF(main!AK414="","",ROUND(main!AK414*100,6))</f>
        <v/>
      </c>
      <c r="Z411" s="68" t="str">
        <f>IF(main!AL414="","",ROUND(main!AL414*100,6))</f>
        <v/>
      </c>
      <c r="AA411" s="68" t="str">
        <f>IF(main!AM414="","",ROUND(main!AM414*100,6))</f>
        <v/>
      </c>
      <c r="AB411" s="68" t="str">
        <f>IF(main!AN414="","",ROUND(main!AN414*100,6))</f>
        <v/>
      </c>
      <c r="AC411" s="68" t="str">
        <f>IF(main!AO414="","",ROUND(main!AO414*100,6))</f>
        <v/>
      </c>
      <c r="AD411" s="68" t="str">
        <f>IF(main!AP414="","",ROUND(main!AP414*100,6))</f>
        <v/>
      </c>
      <c r="AE411" s="68" t="str">
        <f>IF(main!AQ414="","",ROUND(main!AQ414*100,6))</f>
        <v/>
      </c>
      <c r="AF411" s="68" t="str">
        <f>IF(main!AR414="","",ROUND(main!AR414*100,6))</f>
        <v/>
      </c>
      <c r="AG411" s="68" t="str">
        <f>IF(main!AS414="","",ROUND(main!AS414*100,6))</f>
        <v/>
      </c>
      <c r="AH411" s="68" t="str">
        <f>IF(main!AT414="","",ROUND(main!AT414*100,6))</f>
        <v/>
      </c>
      <c r="AI411" s="68" t="str">
        <f>IF(main!AU414="","",ROUND(main!AU414*100,6))</f>
        <v/>
      </c>
      <c r="AJ411" s="68" t="str">
        <f>IF(main!AV414="","",ROUND(main!AV414*100,6))</f>
        <v/>
      </c>
      <c r="AK411" s="68" t="str">
        <f>IF(main!AW414="","",ROUND(main!AW414*100,6))</f>
        <v/>
      </c>
      <c r="AL411" s="68" t="str">
        <f>IF(main!AX414="","",ROUND(main!AX414*100,6))</f>
        <v/>
      </c>
      <c r="AM411" s="68" t="str">
        <f>IF(main!AY414="","",ROUND(main!AY414*100,6))</f>
        <v/>
      </c>
      <c r="AN411" s="68" t="str">
        <f>IF(main!AZ414="","",ROUND(main!AZ414*100,6))</f>
        <v/>
      </c>
      <c r="AO411" s="68" t="str">
        <f>IF(main!BA414="","",ROUND(main!BA414*100,6))</f>
        <v/>
      </c>
      <c r="AP411" s="68" t="str">
        <f>IF(main!BB414="","",ROUND(main!BB414*100,6))</f>
        <v/>
      </c>
      <c r="AQ411" s="68" t="str">
        <f>IF(main!BC414="","",ROUND(main!BC414*100,6))</f>
        <v/>
      </c>
      <c r="AR411" s="68" t="str">
        <f>IF(main!BD414="","",ROUND(main!BD414*100,6))</f>
        <v/>
      </c>
      <c r="AS411" s="68" t="str">
        <f>IF(main!BE414="","",ROUND(main!BE414*100,6))</f>
        <v/>
      </c>
      <c r="AT411" s="68" t="str">
        <f>IF(main!BF414="","",ROUND(main!BF414*100,6))</f>
        <v/>
      </c>
      <c r="AU411" s="68" t="str">
        <f>IF(main!BG414="","",ROUND(main!BG414*100,6))</f>
        <v/>
      </c>
      <c r="AV411" s="68" t="str">
        <f>IF(main!BH414="","",ROUND(main!BH414*100,6))</f>
        <v/>
      </c>
      <c r="AW411" s="68" t="str">
        <f>IF(main!BI414="","",ROUND(main!BI414*100,6))</f>
        <v/>
      </c>
      <c r="AX411" s="68" t="str">
        <f>IF(main!BJ414="","",ROUND(main!BJ414*100,6))</f>
        <v/>
      </c>
      <c r="AY411" s="68" t="str">
        <f>IF(main!BK414="","",ROUND(main!BK414*100,6))</f>
        <v/>
      </c>
      <c r="AZ411" s="68" t="str">
        <f>IF(main!BL414="","",ROUND(main!BL414*100,6))</f>
        <v/>
      </c>
      <c r="BA411" s="68" t="str">
        <f>IF(main!BM414="","",ROUND(main!BM414*100,6))</f>
        <v/>
      </c>
      <c r="BB411" s="68" t="str">
        <f>IF(main!BN414="","",ROUND(main!BN414*100,6))</f>
        <v/>
      </c>
      <c r="BC411" s="68" t="str">
        <f>IF(main!BO414="","",ROUND(main!BO414*100,6))</f>
        <v/>
      </c>
      <c r="BD411" s="68" t="str">
        <f>IF(main!BP414="","",ROUND(main!BP414*100,6))</f>
        <v/>
      </c>
      <c r="BE411" s="68" t="str">
        <f>IF(main!BQ414="","",ROUND(main!BQ414*100,6))</f>
        <v/>
      </c>
      <c r="BF411" s="68" t="str">
        <f>IF(main!BR414="","",ROUND(main!BR414*100,6))</f>
        <v/>
      </c>
      <c r="BG411" s="68" t="str">
        <f>IF(main!BS414="","",ROUND(main!BS414*100,6))</f>
        <v/>
      </c>
      <c r="BH411" s="68" t="str">
        <f>IF(main!BT414="","",ROUND(main!BT414*100,6))</f>
        <v/>
      </c>
      <c r="BI411" s="68" t="str">
        <f>IF(main!BU414="","",ROUND(main!BU414*100,6))</f>
        <v/>
      </c>
      <c r="BJ411" s="68" t="str">
        <f>IF(main!BV414="","",ROUND(main!BV414*100,6))</f>
        <v/>
      </c>
      <c r="BK411" s="68" t="str">
        <f>IF(main!BW414="","",ROUND(main!BW414*100,6))</f>
        <v/>
      </c>
      <c r="BL411" s="68" t="str">
        <f>IF(main!BX414="","",ROUND(main!BX414*100,6))</f>
        <v/>
      </c>
      <c r="BM411" s="68" t="str">
        <f>IF(main!BY414="","",ROUND(main!BY414*100,6))</f>
        <v/>
      </c>
      <c r="BN411" s="68" t="str">
        <f>IF(main!BZ414="","",ROUND(main!BZ414*100,6))</f>
        <v/>
      </c>
      <c r="BO411" s="68" t="str">
        <f>IF(main!CA414="","",ROUND(main!CA414*100,6))</f>
        <v/>
      </c>
      <c r="BP411" s="68" t="str">
        <f>IF(main!CB414="","",ROUND(main!CB414*100,6))</f>
        <v/>
      </c>
      <c r="BQ411" s="68" t="str">
        <f>IF(main!CC414="","",ROUND(main!CC414*100,6))</f>
        <v/>
      </c>
      <c r="BR411" s="68" t="str">
        <f>IF(main!CD414="","",ROUND(main!CD414*100,6))</f>
        <v/>
      </c>
      <c r="BS411" s="68" t="str">
        <f>IF(main!CE414="","",ROUND(main!CE414*100,6))</f>
        <v/>
      </c>
      <c r="BT411" s="68" t="str">
        <f>IF(main!CF414="","",ROUND(main!CF414*100,6))</f>
        <v/>
      </c>
      <c r="BU411" s="68" t="str">
        <f>IF(main!CG414="","",ROUND(main!CG414*100,6))</f>
        <v/>
      </c>
      <c r="BV411" s="68" t="str">
        <f>IF(main!CH414="","",ROUND(main!CH414*100,6))</f>
        <v/>
      </c>
      <c r="BW411" s="68" t="str">
        <f>IF(main!CI414="","",ROUND(main!CI414*100,6))</f>
        <v/>
      </c>
      <c r="BX411" s="68" t="str">
        <f>IF(main!CJ414="","",ROUND(main!CJ414*100,6))</f>
        <v/>
      </c>
      <c r="BY411" s="68" t="str">
        <f>IF(main!CK414="","",ROUND(main!CK414*100,6))</f>
        <v/>
      </c>
      <c r="BZ411" s="68" t="str">
        <f>IF(main!CL414="","",ROUND(main!CL414*100,6))</f>
        <v/>
      </c>
      <c r="CA411" s="68" t="str">
        <f>IF(main!CM414="","",ROUND(main!CM414*100,6))</f>
        <v/>
      </c>
      <c r="CB411" s="68" t="str">
        <f>IF(main!CN414="","",ROUND(main!CN414*100,6))</f>
        <v/>
      </c>
      <c r="CC411" s="68" t="str">
        <f>IF(main!CO414="","",ROUND(main!CO414*100,6))</f>
        <v/>
      </c>
    </row>
    <row r="412" spans="1:81" x14ac:dyDescent="0.25">
      <c r="A412" s="65" t="s">
        <v>570</v>
      </c>
      <c r="B412" s="66" t="str">
        <f>main!C415</f>
        <v>Wall | Wall Fn.</v>
      </c>
      <c r="C412" s="67">
        <f>main!O415</f>
        <v>100000</v>
      </c>
      <c r="D412" s="65" t="s">
        <v>110</v>
      </c>
      <c r="E412" s="68">
        <f t="shared" si="6"/>
        <v>100</v>
      </c>
      <c r="F412" s="68" t="str">
        <f>IF(main!R415="","",ROUND(main!R415*100,6))</f>
        <v/>
      </c>
      <c r="G412" s="68" t="str">
        <f>IF(main!S415="","",ROUND(main!S415*100,6))</f>
        <v/>
      </c>
      <c r="H412" s="68" t="str">
        <f>IF(main!T415="","",ROUND(main!T415*100,6))</f>
        <v/>
      </c>
      <c r="I412" s="68" t="str">
        <f>IF(main!U415="","",ROUND(main!U415*100,6))</f>
        <v/>
      </c>
      <c r="J412" s="68" t="str">
        <f>IF(main!V415="","",ROUND(main!V415*100,6))</f>
        <v/>
      </c>
      <c r="K412" s="68" t="str">
        <f>IF(main!W415="","",ROUND(main!W415*100,6))</f>
        <v/>
      </c>
      <c r="L412" s="68" t="str">
        <f>IF(main!X415="","",ROUND(main!X415*100,6))</f>
        <v/>
      </c>
      <c r="M412" s="68" t="str">
        <f>IF(main!Y415="","",ROUND(main!Y415*100,6))</f>
        <v/>
      </c>
      <c r="N412" s="68" t="str">
        <f>IF(main!Z415="","",ROUND(main!Z415*100,6))</f>
        <v/>
      </c>
      <c r="O412" s="68" t="str">
        <f>IF(main!AA415="","",ROUND(main!AA415*100,6))</f>
        <v/>
      </c>
      <c r="P412" s="68" t="str">
        <f>IF(main!AB415="","",ROUND(main!AB415*100,6))</f>
        <v/>
      </c>
      <c r="Q412" s="68" t="str">
        <f>IF(main!AC415="","",ROUND(main!AC415*100,6))</f>
        <v/>
      </c>
      <c r="R412" s="68" t="str">
        <f>IF(main!AD415="","",ROUND(main!AD415*100,6))</f>
        <v/>
      </c>
      <c r="S412" s="68" t="str">
        <f>IF(main!AE415="","",ROUND(main!AE415*100,6))</f>
        <v/>
      </c>
      <c r="T412" s="68" t="str">
        <f>IF(main!AF415="","",ROUND(main!AF415*100,6))</f>
        <v/>
      </c>
      <c r="U412" s="68" t="str">
        <f>IF(main!AG415="","",ROUND(main!AG415*100,6))</f>
        <v/>
      </c>
      <c r="V412" s="68" t="str">
        <f>IF(main!AH415="","",ROUND(main!AH415*100,6))</f>
        <v/>
      </c>
      <c r="W412" s="68" t="str">
        <f>IF(main!AI415="","",ROUND(main!AI415*100,6))</f>
        <v/>
      </c>
      <c r="X412" s="68" t="str">
        <f>IF(main!AJ415="","",ROUND(main!AJ415*100,6))</f>
        <v/>
      </c>
      <c r="Y412" s="68" t="str">
        <f>IF(main!AK415="","",ROUND(main!AK415*100,6))</f>
        <v/>
      </c>
      <c r="Z412" s="68" t="str">
        <f>IF(main!AL415="","",ROUND(main!AL415*100,6))</f>
        <v/>
      </c>
      <c r="AA412" s="68" t="str">
        <f>IF(main!AM415="","",ROUND(main!AM415*100,6))</f>
        <v/>
      </c>
      <c r="AB412" s="68" t="str">
        <f>IF(main!AN415="","",ROUND(main!AN415*100,6))</f>
        <v/>
      </c>
      <c r="AC412" s="68" t="str">
        <f>IF(main!AO415="","",ROUND(main!AO415*100,6))</f>
        <v/>
      </c>
      <c r="AD412" s="68" t="str">
        <f>IF(main!AP415="","",ROUND(main!AP415*100,6))</f>
        <v/>
      </c>
      <c r="AE412" s="68" t="str">
        <f>IF(main!AQ415="","",ROUND(main!AQ415*100,6))</f>
        <v/>
      </c>
      <c r="AF412" s="68" t="str">
        <f>IF(main!AR415="","",ROUND(main!AR415*100,6))</f>
        <v/>
      </c>
      <c r="AG412" s="68" t="str">
        <f>IF(main!AS415="","",ROUND(main!AS415*100,6))</f>
        <v/>
      </c>
      <c r="AH412" s="68" t="str">
        <f>IF(main!AT415="","",ROUND(main!AT415*100,6))</f>
        <v/>
      </c>
      <c r="AI412" s="68" t="str">
        <f>IF(main!AU415="","",ROUND(main!AU415*100,6))</f>
        <v/>
      </c>
      <c r="AJ412" s="68" t="str">
        <f>IF(main!AV415="","",ROUND(main!AV415*100,6))</f>
        <v/>
      </c>
      <c r="AK412" s="68" t="str">
        <f>IF(main!AW415="","",ROUND(main!AW415*100,6))</f>
        <v/>
      </c>
      <c r="AL412" s="68" t="str">
        <f>IF(main!AX415="","",ROUND(main!AX415*100,6))</f>
        <v/>
      </c>
      <c r="AM412" s="68" t="str">
        <f>IF(main!AY415="","",ROUND(main!AY415*100,6))</f>
        <v/>
      </c>
      <c r="AN412" s="68" t="str">
        <f>IF(main!AZ415="","",ROUND(main!AZ415*100,6))</f>
        <v/>
      </c>
      <c r="AO412" s="68" t="str">
        <f>IF(main!BA415="","",ROUND(main!BA415*100,6))</f>
        <v/>
      </c>
      <c r="AP412" s="68" t="str">
        <f>IF(main!BB415="","",ROUND(main!BB415*100,6))</f>
        <v/>
      </c>
      <c r="AQ412" s="68" t="str">
        <f>IF(main!BC415="","",ROUND(main!BC415*100,6))</f>
        <v/>
      </c>
      <c r="AR412" s="68" t="str">
        <f>IF(main!BD415="","",ROUND(main!BD415*100,6))</f>
        <v/>
      </c>
      <c r="AS412" s="68" t="str">
        <f>IF(main!BE415="","",ROUND(main!BE415*100,6))</f>
        <v/>
      </c>
      <c r="AT412" s="68" t="str">
        <f>IF(main!BF415="","",ROUND(main!BF415*100,6))</f>
        <v/>
      </c>
      <c r="AU412" s="68" t="str">
        <f>IF(main!BG415="","",ROUND(main!BG415*100,6))</f>
        <v/>
      </c>
      <c r="AV412" s="68" t="str">
        <f>IF(main!BH415="","",ROUND(main!BH415*100,6))</f>
        <v/>
      </c>
      <c r="AW412" s="68" t="str">
        <f>IF(main!BI415="","",ROUND(main!BI415*100,6))</f>
        <v/>
      </c>
      <c r="AX412" s="68" t="str">
        <f>IF(main!BJ415="","",ROUND(main!BJ415*100,6))</f>
        <v/>
      </c>
      <c r="AY412" s="68" t="str">
        <f>IF(main!BK415="","",ROUND(main!BK415*100,6))</f>
        <v/>
      </c>
      <c r="AZ412" s="68" t="str">
        <f>IF(main!BL415="","",ROUND(main!BL415*100,6))</f>
        <v/>
      </c>
      <c r="BA412" s="68" t="str">
        <f>IF(main!BM415="","",ROUND(main!BM415*100,6))</f>
        <v/>
      </c>
      <c r="BB412" s="68" t="str">
        <f>IF(main!BN415="","",ROUND(main!BN415*100,6))</f>
        <v/>
      </c>
      <c r="BC412" s="68" t="str">
        <f>IF(main!BO415="","",ROUND(main!BO415*100,6))</f>
        <v/>
      </c>
      <c r="BD412" s="68" t="str">
        <f>IF(main!BP415="","",ROUND(main!BP415*100,6))</f>
        <v/>
      </c>
      <c r="BE412" s="68" t="str">
        <f>IF(main!BQ415="","",ROUND(main!BQ415*100,6))</f>
        <v/>
      </c>
      <c r="BF412" s="68" t="str">
        <f>IF(main!BR415="","",ROUND(main!BR415*100,6))</f>
        <v/>
      </c>
      <c r="BG412" s="68" t="str">
        <f>IF(main!BS415="","",ROUND(main!BS415*100,6))</f>
        <v/>
      </c>
      <c r="BH412" s="68" t="str">
        <f>IF(main!BT415="","",ROUND(main!BT415*100,6))</f>
        <v/>
      </c>
      <c r="BI412" s="68" t="str">
        <f>IF(main!BU415="","",ROUND(main!BU415*100,6))</f>
        <v/>
      </c>
      <c r="BJ412" s="68" t="str">
        <f>IF(main!BV415="","",ROUND(main!BV415*100,6))</f>
        <v/>
      </c>
      <c r="BK412" s="68">
        <f>IF(main!BW415="","",ROUND(main!BW415*100,6))</f>
        <v>3.5714290000000002</v>
      </c>
      <c r="BL412" s="68">
        <f>IF(main!BX415="","",ROUND(main!BX415*100,6))</f>
        <v>25</v>
      </c>
      <c r="BM412" s="68">
        <f>IF(main!BY415="","",ROUND(main!BY415*100,6))</f>
        <v>25</v>
      </c>
      <c r="BN412" s="68">
        <f>IF(main!BZ415="","",ROUND(main!BZ415*100,6))</f>
        <v>25</v>
      </c>
      <c r="BO412" s="68">
        <f>IF(main!CA415="","",ROUND(main!CA415*100,6))</f>
        <v>21.428571000000002</v>
      </c>
      <c r="BP412" s="68" t="str">
        <f>IF(main!CB415="","",ROUND(main!CB415*100,6))</f>
        <v/>
      </c>
      <c r="BQ412" s="68" t="str">
        <f>IF(main!CC415="","",ROUND(main!CC415*100,6))</f>
        <v/>
      </c>
      <c r="BR412" s="68" t="str">
        <f>IF(main!CD415="","",ROUND(main!CD415*100,6))</f>
        <v/>
      </c>
      <c r="BS412" s="68" t="str">
        <f>IF(main!CE415="","",ROUND(main!CE415*100,6))</f>
        <v/>
      </c>
      <c r="BT412" s="68" t="str">
        <f>IF(main!CF415="","",ROUND(main!CF415*100,6))</f>
        <v/>
      </c>
      <c r="BU412" s="68" t="str">
        <f>IF(main!CG415="","",ROUND(main!CG415*100,6))</f>
        <v/>
      </c>
      <c r="BV412" s="68" t="str">
        <f>IF(main!CH415="","",ROUND(main!CH415*100,6))</f>
        <v/>
      </c>
      <c r="BW412" s="68" t="str">
        <f>IF(main!CI415="","",ROUND(main!CI415*100,6))</f>
        <v/>
      </c>
      <c r="BX412" s="68" t="str">
        <f>IF(main!CJ415="","",ROUND(main!CJ415*100,6))</f>
        <v/>
      </c>
      <c r="BY412" s="68" t="str">
        <f>IF(main!CK415="","",ROUND(main!CK415*100,6))</f>
        <v/>
      </c>
      <c r="BZ412" s="68" t="str">
        <f>IF(main!CL415="","",ROUND(main!CL415*100,6))</f>
        <v/>
      </c>
      <c r="CA412" s="68" t="str">
        <f>IF(main!CM415="","",ROUND(main!CM415*100,6))</f>
        <v/>
      </c>
      <c r="CB412" s="68" t="str">
        <f>IF(main!CN415="","",ROUND(main!CN415*100,6))</f>
        <v/>
      </c>
      <c r="CC412" s="68" t="str">
        <f>IF(main!CO415="","",ROUND(main!CO415*100,6))</f>
        <v/>
      </c>
    </row>
    <row r="413" spans="1:81" x14ac:dyDescent="0.25">
      <c r="A413" s="65" t="s">
        <v>570</v>
      </c>
      <c r="B413" s="66" t="str">
        <f>main!C415</f>
        <v>Wall | Wall Fn.</v>
      </c>
      <c r="C413" s="67">
        <f>main!O415</f>
        <v>100000</v>
      </c>
      <c r="D413" s="65" t="s">
        <v>111</v>
      </c>
      <c r="E413" s="68" t="str">
        <f t="shared" si="6"/>
        <v/>
      </c>
      <c r="F413" s="68" t="str">
        <f>IF(main!R416="","",ROUND(main!R416*100,6))</f>
        <v/>
      </c>
      <c r="G413" s="68" t="str">
        <f>IF(main!S416="","",ROUND(main!S416*100,6))</f>
        <v/>
      </c>
      <c r="H413" s="68" t="str">
        <f>IF(main!T416="","",ROUND(main!T416*100,6))</f>
        <v/>
      </c>
      <c r="I413" s="68" t="str">
        <f>IF(main!U416="","",ROUND(main!U416*100,6))</f>
        <v/>
      </c>
      <c r="J413" s="68" t="str">
        <f>IF(main!V416="","",ROUND(main!V416*100,6))</f>
        <v/>
      </c>
      <c r="K413" s="68" t="str">
        <f>IF(main!W416="","",ROUND(main!W416*100,6))</f>
        <v/>
      </c>
      <c r="L413" s="68" t="str">
        <f>IF(main!X416="","",ROUND(main!X416*100,6))</f>
        <v/>
      </c>
      <c r="M413" s="68" t="str">
        <f>IF(main!Y416="","",ROUND(main!Y416*100,6))</f>
        <v/>
      </c>
      <c r="N413" s="68" t="str">
        <f>IF(main!Z416="","",ROUND(main!Z416*100,6))</f>
        <v/>
      </c>
      <c r="O413" s="68" t="str">
        <f>IF(main!AA416="","",ROUND(main!AA416*100,6))</f>
        <v/>
      </c>
      <c r="P413" s="68" t="str">
        <f>IF(main!AB416="","",ROUND(main!AB416*100,6))</f>
        <v/>
      </c>
      <c r="Q413" s="68" t="str">
        <f>IF(main!AC416="","",ROUND(main!AC416*100,6))</f>
        <v/>
      </c>
      <c r="R413" s="68" t="str">
        <f>IF(main!AD416="","",ROUND(main!AD416*100,6))</f>
        <v/>
      </c>
      <c r="S413" s="68" t="str">
        <f>IF(main!AE416="","",ROUND(main!AE416*100,6))</f>
        <v/>
      </c>
      <c r="T413" s="68" t="str">
        <f>IF(main!AF416="","",ROUND(main!AF416*100,6))</f>
        <v/>
      </c>
      <c r="U413" s="68" t="str">
        <f>IF(main!AG416="","",ROUND(main!AG416*100,6))</f>
        <v/>
      </c>
      <c r="V413" s="68" t="str">
        <f>IF(main!AH416="","",ROUND(main!AH416*100,6))</f>
        <v/>
      </c>
      <c r="W413" s="68" t="str">
        <f>IF(main!AI416="","",ROUND(main!AI416*100,6))</f>
        <v/>
      </c>
      <c r="X413" s="68" t="str">
        <f>IF(main!AJ416="","",ROUND(main!AJ416*100,6))</f>
        <v/>
      </c>
      <c r="Y413" s="68" t="str">
        <f>IF(main!AK416="","",ROUND(main!AK416*100,6))</f>
        <v/>
      </c>
      <c r="Z413" s="68" t="str">
        <f>IF(main!AL416="","",ROUND(main!AL416*100,6))</f>
        <v/>
      </c>
      <c r="AA413" s="68" t="str">
        <f>IF(main!AM416="","",ROUND(main!AM416*100,6))</f>
        <v/>
      </c>
      <c r="AB413" s="68" t="str">
        <f>IF(main!AN416="","",ROUND(main!AN416*100,6))</f>
        <v/>
      </c>
      <c r="AC413" s="68" t="str">
        <f>IF(main!AO416="","",ROUND(main!AO416*100,6))</f>
        <v/>
      </c>
      <c r="AD413" s="68" t="str">
        <f>IF(main!AP416="","",ROUND(main!AP416*100,6))</f>
        <v/>
      </c>
      <c r="AE413" s="68" t="str">
        <f>IF(main!AQ416="","",ROUND(main!AQ416*100,6))</f>
        <v/>
      </c>
      <c r="AF413" s="68" t="str">
        <f>IF(main!AR416="","",ROUND(main!AR416*100,6))</f>
        <v/>
      </c>
      <c r="AG413" s="68" t="str">
        <f>IF(main!AS416="","",ROUND(main!AS416*100,6))</f>
        <v/>
      </c>
      <c r="AH413" s="68" t="str">
        <f>IF(main!AT416="","",ROUND(main!AT416*100,6))</f>
        <v/>
      </c>
      <c r="AI413" s="68" t="str">
        <f>IF(main!AU416="","",ROUND(main!AU416*100,6))</f>
        <v/>
      </c>
      <c r="AJ413" s="68" t="str">
        <f>IF(main!AV416="","",ROUND(main!AV416*100,6))</f>
        <v/>
      </c>
      <c r="AK413" s="68" t="str">
        <f>IF(main!AW416="","",ROUND(main!AW416*100,6))</f>
        <v/>
      </c>
      <c r="AL413" s="68" t="str">
        <f>IF(main!AX416="","",ROUND(main!AX416*100,6))</f>
        <v/>
      </c>
      <c r="AM413" s="68" t="str">
        <f>IF(main!AY416="","",ROUND(main!AY416*100,6))</f>
        <v/>
      </c>
      <c r="AN413" s="68" t="str">
        <f>IF(main!AZ416="","",ROUND(main!AZ416*100,6))</f>
        <v/>
      </c>
      <c r="AO413" s="68" t="str">
        <f>IF(main!BA416="","",ROUND(main!BA416*100,6))</f>
        <v/>
      </c>
      <c r="AP413" s="68" t="str">
        <f>IF(main!BB416="","",ROUND(main!BB416*100,6))</f>
        <v/>
      </c>
      <c r="AQ413" s="68" t="str">
        <f>IF(main!BC416="","",ROUND(main!BC416*100,6))</f>
        <v/>
      </c>
      <c r="AR413" s="68" t="str">
        <f>IF(main!BD416="","",ROUND(main!BD416*100,6))</f>
        <v/>
      </c>
      <c r="AS413" s="68" t="str">
        <f>IF(main!BE416="","",ROUND(main!BE416*100,6))</f>
        <v/>
      </c>
      <c r="AT413" s="68" t="str">
        <f>IF(main!BF416="","",ROUND(main!BF416*100,6))</f>
        <v/>
      </c>
      <c r="AU413" s="68" t="str">
        <f>IF(main!BG416="","",ROUND(main!BG416*100,6))</f>
        <v/>
      </c>
      <c r="AV413" s="68" t="str">
        <f>IF(main!BH416="","",ROUND(main!BH416*100,6))</f>
        <v/>
      </c>
      <c r="AW413" s="68" t="str">
        <f>IF(main!BI416="","",ROUND(main!BI416*100,6))</f>
        <v/>
      </c>
      <c r="AX413" s="68" t="str">
        <f>IF(main!BJ416="","",ROUND(main!BJ416*100,6))</f>
        <v/>
      </c>
      <c r="AY413" s="68" t="str">
        <f>IF(main!BK416="","",ROUND(main!BK416*100,6))</f>
        <v/>
      </c>
      <c r="AZ413" s="68" t="str">
        <f>IF(main!BL416="","",ROUND(main!BL416*100,6))</f>
        <v/>
      </c>
      <c r="BA413" s="68" t="str">
        <f>IF(main!BM416="","",ROUND(main!BM416*100,6))</f>
        <v/>
      </c>
      <c r="BB413" s="68" t="str">
        <f>IF(main!BN416="","",ROUND(main!BN416*100,6))</f>
        <v/>
      </c>
      <c r="BC413" s="68" t="str">
        <f>IF(main!BO416="","",ROUND(main!BO416*100,6))</f>
        <v/>
      </c>
      <c r="BD413" s="68" t="str">
        <f>IF(main!BP416="","",ROUND(main!BP416*100,6))</f>
        <v/>
      </c>
      <c r="BE413" s="68" t="str">
        <f>IF(main!BQ416="","",ROUND(main!BQ416*100,6))</f>
        <v/>
      </c>
      <c r="BF413" s="68" t="str">
        <f>IF(main!BR416="","",ROUND(main!BR416*100,6))</f>
        <v/>
      </c>
      <c r="BG413" s="68" t="str">
        <f>IF(main!BS416="","",ROUND(main!BS416*100,6))</f>
        <v/>
      </c>
      <c r="BH413" s="68" t="str">
        <f>IF(main!BT416="","",ROUND(main!BT416*100,6))</f>
        <v/>
      </c>
      <c r="BI413" s="68" t="str">
        <f>IF(main!BU416="","",ROUND(main!BU416*100,6))</f>
        <v/>
      </c>
      <c r="BJ413" s="68" t="str">
        <f>IF(main!BV416="","",ROUND(main!BV416*100,6))</f>
        <v/>
      </c>
      <c r="BK413" s="68" t="str">
        <f>IF(main!BW416="","",ROUND(main!BW416*100,6))</f>
        <v/>
      </c>
      <c r="BL413" s="68" t="str">
        <f>IF(main!BX416="","",ROUND(main!BX416*100,6))</f>
        <v/>
      </c>
      <c r="BM413" s="68" t="str">
        <f>IF(main!BY416="","",ROUND(main!BY416*100,6))</f>
        <v/>
      </c>
      <c r="BN413" s="68" t="str">
        <f>IF(main!BZ416="","",ROUND(main!BZ416*100,6))</f>
        <v/>
      </c>
      <c r="BO413" s="68" t="str">
        <f>IF(main!CA416="","",ROUND(main!CA416*100,6))</f>
        <v/>
      </c>
      <c r="BP413" s="68" t="str">
        <f>IF(main!CB416="","",ROUND(main!CB416*100,6))</f>
        <v/>
      </c>
      <c r="BQ413" s="68" t="str">
        <f>IF(main!CC416="","",ROUND(main!CC416*100,6))</f>
        <v/>
      </c>
      <c r="BR413" s="68" t="str">
        <f>IF(main!CD416="","",ROUND(main!CD416*100,6))</f>
        <v/>
      </c>
      <c r="BS413" s="68" t="str">
        <f>IF(main!CE416="","",ROUND(main!CE416*100,6))</f>
        <v/>
      </c>
      <c r="BT413" s="68" t="str">
        <f>IF(main!CF416="","",ROUND(main!CF416*100,6))</f>
        <v/>
      </c>
      <c r="BU413" s="68" t="str">
        <f>IF(main!CG416="","",ROUND(main!CG416*100,6))</f>
        <v/>
      </c>
      <c r="BV413" s="68" t="str">
        <f>IF(main!CH416="","",ROUND(main!CH416*100,6))</f>
        <v/>
      </c>
      <c r="BW413" s="68" t="str">
        <f>IF(main!CI416="","",ROUND(main!CI416*100,6))</f>
        <v/>
      </c>
      <c r="BX413" s="68" t="str">
        <f>IF(main!CJ416="","",ROUND(main!CJ416*100,6))</f>
        <v/>
      </c>
      <c r="BY413" s="68" t="str">
        <f>IF(main!CK416="","",ROUND(main!CK416*100,6))</f>
        <v/>
      </c>
      <c r="BZ413" s="68" t="str">
        <f>IF(main!CL416="","",ROUND(main!CL416*100,6))</f>
        <v/>
      </c>
      <c r="CA413" s="68" t="str">
        <f>IF(main!CM416="","",ROUND(main!CM416*100,6))</f>
        <v/>
      </c>
      <c r="CB413" s="68" t="str">
        <f>IF(main!CN416="","",ROUND(main!CN416*100,6))</f>
        <v/>
      </c>
      <c r="CC413" s="68" t="str">
        <f>IF(main!CO416="","",ROUND(main!CO416*100,6))</f>
        <v/>
      </c>
    </row>
    <row r="414" spans="1:81" ht="30" x14ac:dyDescent="0.25">
      <c r="A414" s="65" t="s">
        <v>571</v>
      </c>
      <c r="B414" s="66" t="str">
        <f>main!C417</f>
        <v>P5  ผนังยิปซัมบอร์ดกรุวัสดุซับเสียง ปิดทับด้วยวัสดุตามแบบ ID</v>
      </c>
      <c r="C414" s="67">
        <f>main!O417</f>
        <v>100000</v>
      </c>
      <c r="D414" s="65" t="s">
        <v>110</v>
      </c>
      <c r="E414" s="68">
        <f t="shared" si="6"/>
        <v>100</v>
      </c>
      <c r="F414" s="68" t="str">
        <f>IF(main!R417="","",ROUND(main!R417*100,6))</f>
        <v/>
      </c>
      <c r="G414" s="68" t="str">
        <f>IF(main!S417="","",ROUND(main!S417*100,6))</f>
        <v/>
      </c>
      <c r="H414" s="68" t="str">
        <f>IF(main!T417="","",ROUND(main!T417*100,6))</f>
        <v/>
      </c>
      <c r="I414" s="68" t="str">
        <f>IF(main!U417="","",ROUND(main!U417*100,6))</f>
        <v/>
      </c>
      <c r="J414" s="68" t="str">
        <f>IF(main!V417="","",ROUND(main!V417*100,6))</f>
        <v/>
      </c>
      <c r="K414" s="68" t="str">
        <f>IF(main!W417="","",ROUND(main!W417*100,6))</f>
        <v/>
      </c>
      <c r="L414" s="68" t="str">
        <f>IF(main!X417="","",ROUND(main!X417*100,6))</f>
        <v/>
      </c>
      <c r="M414" s="68" t="str">
        <f>IF(main!Y417="","",ROUND(main!Y417*100,6))</f>
        <v/>
      </c>
      <c r="N414" s="68" t="str">
        <f>IF(main!Z417="","",ROUND(main!Z417*100,6))</f>
        <v/>
      </c>
      <c r="O414" s="68" t="str">
        <f>IF(main!AA417="","",ROUND(main!AA417*100,6))</f>
        <v/>
      </c>
      <c r="P414" s="68" t="str">
        <f>IF(main!AB417="","",ROUND(main!AB417*100,6))</f>
        <v/>
      </c>
      <c r="Q414" s="68" t="str">
        <f>IF(main!AC417="","",ROUND(main!AC417*100,6))</f>
        <v/>
      </c>
      <c r="R414" s="68" t="str">
        <f>IF(main!AD417="","",ROUND(main!AD417*100,6))</f>
        <v/>
      </c>
      <c r="S414" s="68" t="str">
        <f>IF(main!AE417="","",ROUND(main!AE417*100,6))</f>
        <v/>
      </c>
      <c r="T414" s="68" t="str">
        <f>IF(main!AF417="","",ROUND(main!AF417*100,6))</f>
        <v/>
      </c>
      <c r="U414" s="68" t="str">
        <f>IF(main!AG417="","",ROUND(main!AG417*100,6))</f>
        <v/>
      </c>
      <c r="V414" s="68" t="str">
        <f>IF(main!AH417="","",ROUND(main!AH417*100,6))</f>
        <v/>
      </c>
      <c r="W414" s="68" t="str">
        <f>IF(main!AI417="","",ROUND(main!AI417*100,6))</f>
        <v/>
      </c>
      <c r="X414" s="68" t="str">
        <f>IF(main!AJ417="","",ROUND(main!AJ417*100,6))</f>
        <v/>
      </c>
      <c r="Y414" s="68" t="str">
        <f>IF(main!AK417="","",ROUND(main!AK417*100,6))</f>
        <v/>
      </c>
      <c r="Z414" s="68" t="str">
        <f>IF(main!AL417="","",ROUND(main!AL417*100,6))</f>
        <v/>
      </c>
      <c r="AA414" s="68" t="str">
        <f>IF(main!AM417="","",ROUND(main!AM417*100,6))</f>
        <v/>
      </c>
      <c r="AB414" s="68" t="str">
        <f>IF(main!AN417="","",ROUND(main!AN417*100,6))</f>
        <v/>
      </c>
      <c r="AC414" s="68" t="str">
        <f>IF(main!AO417="","",ROUND(main!AO417*100,6))</f>
        <v/>
      </c>
      <c r="AD414" s="68" t="str">
        <f>IF(main!AP417="","",ROUND(main!AP417*100,6))</f>
        <v/>
      </c>
      <c r="AE414" s="68" t="str">
        <f>IF(main!AQ417="","",ROUND(main!AQ417*100,6))</f>
        <v/>
      </c>
      <c r="AF414" s="68" t="str">
        <f>IF(main!AR417="","",ROUND(main!AR417*100,6))</f>
        <v/>
      </c>
      <c r="AG414" s="68" t="str">
        <f>IF(main!AS417="","",ROUND(main!AS417*100,6))</f>
        <v/>
      </c>
      <c r="AH414" s="68" t="str">
        <f>IF(main!AT417="","",ROUND(main!AT417*100,6))</f>
        <v/>
      </c>
      <c r="AI414" s="68" t="str">
        <f>IF(main!AU417="","",ROUND(main!AU417*100,6))</f>
        <v/>
      </c>
      <c r="AJ414" s="68" t="str">
        <f>IF(main!AV417="","",ROUND(main!AV417*100,6))</f>
        <v/>
      </c>
      <c r="AK414" s="68" t="str">
        <f>IF(main!AW417="","",ROUND(main!AW417*100,6))</f>
        <v/>
      </c>
      <c r="AL414" s="68" t="str">
        <f>IF(main!AX417="","",ROUND(main!AX417*100,6))</f>
        <v/>
      </c>
      <c r="AM414" s="68" t="str">
        <f>IF(main!AY417="","",ROUND(main!AY417*100,6))</f>
        <v/>
      </c>
      <c r="AN414" s="68" t="str">
        <f>IF(main!AZ417="","",ROUND(main!AZ417*100,6))</f>
        <v/>
      </c>
      <c r="AO414" s="68" t="str">
        <f>IF(main!BA417="","",ROUND(main!BA417*100,6))</f>
        <v/>
      </c>
      <c r="AP414" s="68" t="str">
        <f>IF(main!BB417="","",ROUND(main!BB417*100,6))</f>
        <v/>
      </c>
      <c r="AQ414" s="68" t="str">
        <f>IF(main!BC417="","",ROUND(main!BC417*100,6))</f>
        <v/>
      </c>
      <c r="AR414" s="68" t="str">
        <f>IF(main!BD417="","",ROUND(main!BD417*100,6))</f>
        <v/>
      </c>
      <c r="AS414" s="68" t="str">
        <f>IF(main!BE417="","",ROUND(main!BE417*100,6))</f>
        <v/>
      </c>
      <c r="AT414" s="68" t="str">
        <f>IF(main!BF417="","",ROUND(main!BF417*100,6))</f>
        <v/>
      </c>
      <c r="AU414" s="68" t="str">
        <f>IF(main!BG417="","",ROUND(main!BG417*100,6))</f>
        <v/>
      </c>
      <c r="AV414" s="68" t="str">
        <f>IF(main!BH417="","",ROUND(main!BH417*100,6))</f>
        <v/>
      </c>
      <c r="AW414" s="68" t="str">
        <f>IF(main!BI417="","",ROUND(main!BI417*100,6))</f>
        <v/>
      </c>
      <c r="AX414" s="68" t="str">
        <f>IF(main!BJ417="","",ROUND(main!BJ417*100,6))</f>
        <v/>
      </c>
      <c r="AY414" s="68" t="str">
        <f>IF(main!BK417="","",ROUND(main!BK417*100,6))</f>
        <v/>
      </c>
      <c r="AZ414" s="68" t="str">
        <f>IF(main!BL417="","",ROUND(main!BL417*100,6))</f>
        <v/>
      </c>
      <c r="BA414" s="68" t="str">
        <f>IF(main!BM417="","",ROUND(main!BM417*100,6))</f>
        <v/>
      </c>
      <c r="BB414" s="68" t="str">
        <f>IF(main!BN417="","",ROUND(main!BN417*100,6))</f>
        <v/>
      </c>
      <c r="BC414" s="68" t="str">
        <f>IF(main!BO417="","",ROUND(main!BO417*100,6))</f>
        <v/>
      </c>
      <c r="BD414" s="68" t="str">
        <f>IF(main!BP417="","",ROUND(main!BP417*100,6))</f>
        <v/>
      </c>
      <c r="BE414" s="68" t="str">
        <f>IF(main!BQ417="","",ROUND(main!BQ417*100,6))</f>
        <v/>
      </c>
      <c r="BF414" s="68" t="str">
        <f>IF(main!BR417="","",ROUND(main!BR417*100,6))</f>
        <v/>
      </c>
      <c r="BG414" s="68" t="str">
        <f>IF(main!BS417="","",ROUND(main!BS417*100,6))</f>
        <v/>
      </c>
      <c r="BH414" s="68" t="str">
        <f>IF(main!BT417="","",ROUND(main!BT417*100,6))</f>
        <v/>
      </c>
      <c r="BI414" s="68" t="str">
        <f>IF(main!BU417="","",ROUND(main!BU417*100,6))</f>
        <v/>
      </c>
      <c r="BJ414" s="68" t="str">
        <f>IF(main!BV417="","",ROUND(main!BV417*100,6))</f>
        <v/>
      </c>
      <c r="BK414" s="68">
        <f>IF(main!BW417="","",ROUND(main!BW417*100,6))</f>
        <v>3.5714290000000002</v>
      </c>
      <c r="BL414" s="68">
        <f>IF(main!BX417="","",ROUND(main!BX417*100,6))</f>
        <v>25</v>
      </c>
      <c r="BM414" s="68">
        <f>IF(main!BY417="","",ROUND(main!BY417*100,6))</f>
        <v>25</v>
      </c>
      <c r="BN414" s="68">
        <f>IF(main!BZ417="","",ROUND(main!BZ417*100,6))</f>
        <v>25</v>
      </c>
      <c r="BO414" s="68">
        <f>IF(main!CA417="","",ROUND(main!CA417*100,6))</f>
        <v>21.428571000000002</v>
      </c>
      <c r="BP414" s="68" t="str">
        <f>IF(main!CB417="","",ROUND(main!CB417*100,6))</f>
        <v/>
      </c>
      <c r="BQ414" s="68" t="str">
        <f>IF(main!CC417="","",ROUND(main!CC417*100,6))</f>
        <v/>
      </c>
      <c r="BR414" s="68" t="str">
        <f>IF(main!CD417="","",ROUND(main!CD417*100,6))</f>
        <v/>
      </c>
      <c r="BS414" s="68" t="str">
        <f>IF(main!CE417="","",ROUND(main!CE417*100,6))</f>
        <v/>
      </c>
      <c r="BT414" s="68" t="str">
        <f>IF(main!CF417="","",ROUND(main!CF417*100,6))</f>
        <v/>
      </c>
      <c r="BU414" s="68" t="str">
        <f>IF(main!CG417="","",ROUND(main!CG417*100,6))</f>
        <v/>
      </c>
      <c r="BV414" s="68" t="str">
        <f>IF(main!CH417="","",ROUND(main!CH417*100,6))</f>
        <v/>
      </c>
      <c r="BW414" s="68" t="str">
        <f>IF(main!CI417="","",ROUND(main!CI417*100,6))</f>
        <v/>
      </c>
      <c r="BX414" s="68" t="str">
        <f>IF(main!CJ417="","",ROUND(main!CJ417*100,6))</f>
        <v/>
      </c>
      <c r="BY414" s="68" t="str">
        <f>IF(main!CK417="","",ROUND(main!CK417*100,6))</f>
        <v/>
      </c>
      <c r="BZ414" s="68" t="str">
        <f>IF(main!CL417="","",ROUND(main!CL417*100,6))</f>
        <v/>
      </c>
      <c r="CA414" s="68" t="str">
        <f>IF(main!CM417="","",ROUND(main!CM417*100,6))</f>
        <v/>
      </c>
      <c r="CB414" s="68" t="str">
        <f>IF(main!CN417="","",ROUND(main!CN417*100,6))</f>
        <v/>
      </c>
      <c r="CC414" s="68" t="str">
        <f>IF(main!CO417="","",ROUND(main!CO417*100,6))</f>
        <v/>
      </c>
    </row>
    <row r="415" spans="1:81" ht="30" x14ac:dyDescent="0.25">
      <c r="A415" s="65" t="s">
        <v>571</v>
      </c>
      <c r="B415" s="66" t="str">
        <f>main!C417</f>
        <v>P5  ผนังยิปซัมบอร์ดกรุวัสดุซับเสียง ปิดทับด้วยวัสดุตามแบบ ID</v>
      </c>
      <c r="C415" s="67">
        <f>main!O417</f>
        <v>100000</v>
      </c>
      <c r="D415" s="65" t="s">
        <v>111</v>
      </c>
      <c r="E415" s="68" t="str">
        <f t="shared" si="6"/>
        <v/>
      </c>
      <c r="F415" s="68" t="str">
        <f>IF(main!R418="","",ROUND(main!R418*100,6))</f>
        <v/>
      </c>
      <c r="G415" s="68" t="str">
        <f>IF(main!S418="","",ROUND(main!S418*100,6))</f>
        <v/>
      </c>
      <c r="H415" s="68" t="str">
        <f>IF(main!T418="","",ROUND(main!T418*100,6))</f>
        <v/>
      </c>
      <c r="I415" s="68" t="str">
        <f>IF(main!U418="","",ROUND(main!U418*100,6))</f>
        <v/>
      </c>
      <c r="J415" s="68" t="str">
        <f>IF(main!V418="","",ROUND(main!V418*100,6))</f>
        <v/>
      </c>
      <c r="K415" s="68" t="str">
        <f>IF(main!W418="","",ROUND(main!W418*100,6))</f>
        <v/>
      </c>
      <c r="L415" s="68" t="str">
        <f>IF(main!X418="","",ROUND(main!X418*100,6))</f>
        <v/>
      </c>
      <c r="M415" s="68" t="str">
        <f>IF(main!Y418="","",ROUND(main!Y418*100,6))</f>
        <v/>
      </c>
      <c r="N415" s="68" t="str">
        <f>IF(main!Z418="","",ROUND(main!Z418*100,6))</f>
        <v/>
      </c>
      <c r="O415" s="68" t="str">
        <f>IF(main!AA418="","",ROUND(main!AA418*100,6))</f>
        <v/>
      </c>
      <c r="P415" s="68" t="str">
        <f>IF(main!AB418="","",ROUND(main!AB418*100,6))</f>
        <v/>
      </c>
      <c r="Q415" s="68" t="str">
        <f>IF(main!AC418="","",ROUND(main!AC418*100,6))</f>
        <v/>
      </c>
      <c r="R415" s="68" t="str">
        <f>IF(main!AD418="","",ROUND(main!AD418*100,6))</f>
        <v/>
      </c>
      <c r="S415" s="68" t="str">
        <f>IF(main!AE418="","",ROUND(main!AE418*100,6))</f>
        <v/>
      </c>
      <c r="T415" s="68" t="str">
        <f>IF(main!AF418="","",ROUND(main!AF418*100,6))</f>
        <v/>
      </c>
      <c r="U415" s="68" t="str">
        <f>IF(main!AG418="","",ROUND(main!AG418*100,6))</f>
        <v/>
      </c>
      <c r="V415" s="68" t="str">
        <f>IF(main!AH418="","",ROUND(main!AH418*100,6))</f>
        <v/>
      </c>
      <c r="W415" s="68" t="str">
        <f>IF(main!AI418="","",ROUND(main!AI418*100,6))</f>
        <v/>
      </c>
      <c r="X415" s="68" t="str">
        <f>IF(main!AJ418="","",ROUND(main!AJ418*100,6))</f>
        <v/>
      </c>
      <c r="Y415" s="68" t="str">
        <f>IF(main!AK418="","",ROUND(main!AK418*100,6))</f>
        <v/>
      </c>
      <c r="Z415" s="68" t="str">
        <f>IF(main!AL418="","",ROUND(main!AL418*100,6))</f>
        <v/>
      </c>
      <c r="AA415" s="68" t="str">
        <f>IF(main!AM418="","",ROUND(main!AM418*100,6))</f>
        <v/>
      </c>
      <c r="AB415" s="68" t="str">
        <f>IF(main!AN418="","",ROUND(main!AN418*100,6))</f>
        <v/>
      </c>
      <c r="AC415" s="68" t="str">
        <f>IF(main!AO418="","",ROUND(main!AO418*100,6))</f>
        <v/>
      </c>
      <c r="AD415" s="68" t="str">
        <f>IF(main!AP418="","",ROUND(main!AP418*100,6))</f>
        <v/>
      </c>
      <c r="AE415" s="68" t="str">
        <f>IF(main!AQ418="","",ROUND(main!AQ418*100,6))</f>
        <v/>
      </c>
      <c r="AF415" s="68" t="str">
        <f>IF(main!AR418="","",ROUND(main!AR418*100,6))</f>
        <v/>
      </c>
      <c r="AG415" s="68" t="str">
        <f>IF(main!AS418="","",ROUND(main!AS418*100,6))</f>
        <v/>
      </c>
      <c r="AH415" s="68" t="str">
        <f>IF(main!AT418="","",ROUND(main!AT418*100,6))</f>
        <v/>
      </c>
      <c r="AI415" s="68" t="str">
        <f>IF(main!AU418="","",ROUND(main!AU418*100,6))</f>
        <v/>
      </c>
      <c r="AJ415" s="68" t="str">
        <f>IF(main!AV418="","",ROUND(main!AV418*100,6))</f>
        <v/>
      </c>
      <c r="AK415" s="68" t="str">
        <f>IF(main!AW418="","",ROUND(main!AW418*100,6))</f>
        <v/>
      </c>
      <c r="AL415" s="68" t="str">
        <f>IF(main!AX418="","",ROUND(main!AX418*100,6))</f>
        <v/>
      </c>
      <c r="AM415" s="68" t="str">
        <f>IF(main!AY418="","",ROUND(main!AY418*100,6))</f>
        <v/>
      </c>
      <c r="AN415" s="68" t="str">
        <f>IF(main!AZ418="","",ROUND(main!AZ418*100,6))</f>
        <v/>
      </c>
      <c r="AO415" s="68" t="str">
        <f>IF(main!BA418="","",ROUND(main!BA418*100,6))</f>
        <v/>
      </c>
      <c r="AP415" s="68" t="str">
        <f>IF(main!BB418="","",ROUND(main!BB418*100,6))</f>
        <v/>
      </c>
      <c r="AQ415" s="68" t="str">
        <f>IF(main!BC418="","",ROUND(main!BC418*100,6))</f>
        <v/>
      </c>
      <c r="AR415" s="68" t="str">
        <f>IF(main!BD418="","",ROUND(main!BD418*100,6))</f>
        <v/>
      </c>
      <c r="AS415" s="68" t="str">
        <f>IF(main!BE418="","",ROUND(main!BE418*100,6))</f>
        <v/>
      </c>
      <c r="AT415" s="68" t="str">
        <f>IF(main!BF418="","",ROUND(main!BF418*100,6))</f>
        <v/>
      </c>
      <c r="AU415" s="68" t="str">
        <f>IF(main!BG418="","",ROUND(main!BG418*100,6))</f>
        <v/>
      </c>
      <c r="AV415" s="68" t="str">
        <f>IF(main!BH418="","",ROUND(main!BH418*100,6))</f>
        <v/>
      </c>
      <c r="AW415" s="68" t="str">
        <f>IF(main!BI418="","",ROUND(main!BI418*100,6))</f>
        <v/>
      </c>
      <c r="AX415" s="68" t="str">
        <f>IF(main!BJ418="","",ROUND(main!BJ418*100,6))</f>
        <v/>
      </c>
      <c r="AY415" s="68" t="str">
        <f>IF(main!BK418="","",ROUND(main!BK418*100,6))</f>
        <v/>
      </c>
      <c r="AZ415" s="68" t="str">
        <f>IF(main!BL418="","",ROUND(main!BL418*100,6))</f>
        <v/>
      </c>
      <c r="BA415" s="68" t="str">
        <f>IF(main!BM418="","",ROUND(main!BM418*100,6))</f>
        <v/>
      </c>
      <c r="BB415" s="68" t="str">
        <f>IF(main!BN418="","",ROUND(main!BN418*100,6))</f>
        <v/>
      </c>
      <c r="BC415" s="68" t="str">
        <f>IF(main!BO418="","",ROUND(main!BO418*100,6))</f>
        <v/>
      </c>
      <c r="BD415" s="68" t="str">
        <f>IF(main!BP418="","",ROUND(main!BP418*100,6))</f>
        <v/>
      </c>
      <c r="BE415" s="68" t="str">
        <f>IF(main!BQ418="","",ROUND(main!BQ418*100,6))</f>
        <v/>
      </c>
      <c r="BF415" s="68" t="str">
        <f>IF(main!BR418="","",ROUND(main!BR418*100,6))</f>
        <v/>
      </c>
      <c r="BG415" s="68" t="str">
        <f>IF(main!BS418="","",ROUND(main!BS418*100,6))</f>
        <v/>
      </c>
      <c r="BH415" s="68" t="str">
        <f>IF(main!BT418="","",ROUND(main!BT418*100,6))</f>
        <v/>
      </c>
      <c r="BI415" s="68" t="str">
        <f>IF(main!BU418="","",ROUND(main!BU418*100,6))</f>
        <v/>
      </c>
      <c r="BJ415" s="68" t="str">
        <f>IF(main!BV418="","",ROUND(main!BV418*100,6))</f>
        <v/>
      </c>
      <c r="BK415" s="68" t="str">
        <f>IF(main!BW418="","",ROUND(main!BW418*100,6))</f>
        <v/>
      </c>
      <c r="BL415" s="68" t="str">
        <f>IF(main!BX418="","",ROUND(main!BX418*100,6))</f>
        <v/>
      </c>
      <c r="BM415" s="68" t="str">
        <f>IF(main!BY418="","",ROUND(main!BY418*100,6))</f>
        <v/>
      </c>
      <c r="BN415" s="68" t="str">
        <f>IF(main!BZ418="","",ROUND(main!BZ418*100,6))</f>
        <v/>
      </c>
      <c r="BO415" s="68" t="str">
        <f>IF(main!CA418="","",ROUND(main!CA418*100,6))</f>
        <v/>
      </c>
      <c r="BP415" s="68" t="str">
        <f>IF(main!CB418="","",ROUND(main!CB418*100,6))</f>
        <v/>
      </c>
      <c r="BQ415" s="68" t="str">
        <f>IF(main!CC418="","",ROUND(main!CC418*100,6))</f>
        <v/>
      </c>
      <c r="BR415" s="68" t="str">
        <f>IF(main!CD418="","",ROUND(main!CD418*100,6))</f>
        <v/>
      </c>
      <c r="BS415" s="68" t="str">
        <f>IF(main!CE418="","",ROUND(main!CE418*100,6))</f>
        <v/>
      </c>
      <c r="BT415" s="68" t="str">
        <f>IF(main!CF418="","",ROUND(main!CF418*100,6))</f>
        <v/>
      </c>
      <c r="BU415" s="68" t="str">
        <f>IF(main!CG418="","",ROUND(main!CG418*100,6))</f>
        <v/>
      </c>
      <c r="BV415" s="68" t="str">
        <f>IF(main!CH418="","",ROUND(main!CH418*100,6))</f>
        <v/>
      </c>
      <c r="BW415" s="68" t="str">
        <f>IF(main!CI418="","",ROUND(main!CI418*100,6))</f>
        <v/>
      </c>
      <c r="BX415" s="68" t="str">
        <f>IF(main!CJ418="","",ROUND(main!CJ418*100,6))</f>
        <v/>
      </c>
      <c r="BY415" s="68" t="str">
        <f>IF(main!CK418="","",ROUND(main!CK418*100,6))</f>
        <v/>
      </c>
      <c r="BZ415" s="68" t="str">
        <f>IF(main!CL418="","",ROUND(main!CL418*100,6))</f>
        <v/>
      </c>
      <c r="CA415" s="68" t="str">
        <f>IF(main!CM418="","",ROUND(main!CM418*100,6))</f>
        <v/>
      </c>
      <c r="CB415" s="68" t="str">
        <f>IF(main!CN418="","",ROUND(main!CN418*100,6))</f>
        <v/>
      </c>
      <c r="CC415" s="68" t="str">
        <f>IF(main!CO418="","",ROUND(main!CO418*100,6))</f>
        <v/>
      </c>
    </row>
    <row r="416" spans="1:81" x14ac:dyDescent="0.25">
      <c r="A416" s="65" t="s">
        <v>573</v>
      </c>
      <c r="B416" s="66" t="str">
        <f>main!C419</f>
        <v>Ceiling</v>
      </c>
      <c r="C416" s="67">
        <f>main!O419</f>
        <v>200000</v>
      </c>
      <c r="D416" s="65" t="s">
        <v>110</v>
      </c>
      <c r="E416" s="68">
        <f t="shared" si="6"/>
        <v>100</v>
      </c>
      <c r="F416" s="68" t="str">
        <f>IF(main!R419="","",ROUND(main!R419*100,6))</f>
        <v/>
      </c>
      <c r="G416" s="68" t="str">
        <f>IF(main!S419="","",ROUND(main!S419*100,6))</f>
        <v/>
      </c>
      <c r="H416" s="68" t="str">
        <f>IF(main!T419="","",ROUND(main!T419*100,6))</f>
        <v/>
      </c>
      <c r="I416" s="68" t="str">
        <f>IF(main!U419="","",ROUND(main!U419*100,6))</f>
        <v/>
      </c>
      <c r="J416" s="68" t="str">
        <f>IF(main!V419="","",ROUND(main!V419*100,6))</f>
        <v/>
      </c>
      <c r="K416" s="68" t="str">
        <f>IF(main!W419="","",ROUND(main!W419*100,6))</f>
        <v/>
      </c>
      <c r="L416" s="68" t="str">
        <f>IF(main!X419="","",ROUND(main!X419*100,6))</f>
        <v/>
      </c>
      <c r="M416" s="68" t="str">
        <f>IF(main!Y419="","",ROUND(main!Y419*100,6))</f>
        <v/>
      </c>
      <c r="N416" s="68" t="str">
        <f>IF(main!Z419="","",ROUND(main!Z419*100,6))</f>
        <v/>
      </c>
      <c r="O416" s="68" t="str">
        <f>IF(main!AA419="","",ROUND(main!AA419*100,6))</f>
        <v/>
      </c>
      <c r="P416" s="68" t="str">
        <f>IF(main!AB419="","",ROUND(main!AB419*100,6))</f>
        <v/>
      </c>
      <c r="Q416" s="68" t="str">
        <f>IF(main!AC419="","",ROUND(main!AC419*100,6))</f>
        <v/>
      </c>
      <c r="R416" s="68" t="str">
        <f>IF(main!AD419="","",ROUND(main!AD419*100,6))</f>
        <v/>
      </c>
      <c r="S416" s="68" t="str">
        <f>IF(main!AE419="","",ROUND(main!AE419*100,6))</f>
        <v/>
      </c>
      <c r="T416" s="68" t="str">
        <f>IF(main!AF419="","",ROUND(main!AF419*100,6))</f>
        <v/>
      </c>
      <c r="U416" s="68" t="str">
        <f>IF(main!AG419="","",ROUND(main!AG419*100,6))</f>
        <v/>
      </c>
      <c r="V416" s="68" t="str">
        <f>IF(main!AH419="","",ROUND(main!AH419*100,6))</f>
        <v/>
      </c>
      <c r="W416" s="68" t="str">
        <f>IF(main!AI419="","",ROUND(main!AI419*100,6))</f>
        <v/>
      </c>
      <c r="X416" s="68" t="str">
        <f>IF(main!AJ419="","",ROUND(main!AJ419*100,6))</f>
        <v/>
      </c>
      <c r="Y416" s="68" t="str">
        <f>IF(main!AK419="","",ROUND(main!AK419*100,6))</f>
        <v/>
      </c>
      <c r="Z416" s="68" t="str">
        <f>IF(main!AL419="","",ROUND(main!AL419*100,6))</f>
        <v/>
      </c>
      <c r="AA416" s="68" t="str">
        <f>IF(main!AM419="","",ROUND(main!AM419*100,6))</f>
        <v/>
      </c>
      <c r="AB416" s="68" t="str">
        <f>IF(main!AN419="","",ROUND(main!AN419*100,6))</f>
        <v/>
      </c>
      <c r="AC416" s="68" t="str">
        <f>IF(main!AO419="","",ROUND(main!AO419*100,6))</f>
        <v/>
      </c>
      <c r="AD416" s="68" t="str">
        <f>IF(main!AP419="","",ROUND(main!AP419*100,6))</f>
        <v/>
      </c>
      <c r="AE416" s="68" t="str">
        <f>IF(main!AQ419="","",ROUND(main!AQ419*100,6))</f>
        <v/>
      </c>
      <c r="AF416" s="68" t="str">
        <f>IF(main!AR419="","",ROUND(main!AR419*100,6))</f>
        <v/>
      </c>
      <c r="AG416" s="68" t="str">
        <f>IF(main!AS419="","",ROUND(main!AS419*100,6))</f>
        <v/>
      </c>
      <c r="AH416" s="68" t="str">
        <f>IF(main!AT419="","",ROUND(main!AT419*100,6))</f>
        <v/>
      </c>
      <c r="AI416" s="68" t="str">
        <f>IF(main!AU419="","",ROUND(main!AU419*100,6))</f>
        <v/>
      </c>
      <c r="AJ416" s="68" t="str">
        <f>IF(main!AV419="","",ROUND(main!AV419*100,6))</f>
        <v/>
      </c>
      <c r="AK416" s="68" t="str">
        <f>IF(main!AW419="","",ROUND(main!AW419*100,6))</f>
        <v/>
      </c>
      <c r="AL416" s="68" t="str">
        <f>IF(main!AX419="","",ROUND(main!AX419*100,6))</f>
        <v/>
      </c>
      <c r="AM416" s="68" t="str">
        <f>IF(main!AY419="","",ROUND(main!AY419*100,6))</f>
        <v/>
      </c>
      <c r="AN416" s="68" t="str">
        <f>IF(main!AZ419="","",ROUND(main!AZ419*100,6))</f>
        <v/>
      </c>
      <c r="AO416" s="68" t="str">
        <f>IF(main!BA419="","",ROUND(main!BA419*100,6))</f>
        <v/>
      </c>
      <c r="AP416" s="68" t="str">
        <f>IF(main!BB419="","",ROUND(main!BB419*100,6))</f>
        <v/>
      </c>
      <c r="AQ416" s="68" t="str">
        <f>IF(main!BC419="","",ROUND(main!BC419*100,6))</f>
        <v/>
      </c>
      <c r="AR416" s="68" t="str">
        <f>IF(main!BD419="","",ROUND(main!BD419*100,6))</f>
        <v/>
      </c>
      <c r="AS416" s="68" t="str">
        <f>IF(main!BE419="","",ROUND(main!BE419*100,6))</f>
        <v/>
      </c>
      <c r="AT416" s="68" t="str">
        <f>IF(main!BF419="","",ROUND(main!BF419*100,6))</f>
        <v/>
      </c>
      <c r="AU416" s="68" t="str">
        <f>IF(main!BG419="","",ROUND(main!BG419*100,6))</f>
        <v/>
      </c>
      <c r="AV416" s="68" t="str">
        <f>IF(main!BH419="","",ROUND(main!BH419*100,6))</f>
        <v/>
      </c>
      <c r="AW416" s="68" t="str">
        <f>IF(main!BI419="","",ROUND(main!BI419*100,6))</f>
        <v/>
      </c>
      <c r="AX416" s="68" t="str">
        <f>IF(main!BJ419="","",ROUND(main!BJ419*100,6))</f>
        <v/>
      </c>
      <c r="AY416" s="68" t="str">
        <f>IF(main!BK419="","",ROUND(main!BK419*100,6))</f>
        <v/>
      </c>
      <c r="AZ416" s="68" t="str">
        <f>IF(main!BL419="","",ROUND(main!BL419*100,6))</f>
        <v/>
      </c>
      <c r="BA416" s="68" t="str">
        <f>IF(main!BM419="","",ROUND(main!BM419*100,6))</f>
        <v/>
      </c>
      <c r="BB416" s="68" t="str">
        <f>IF(main!BN419="","",ROUND(main!BN419*100,6))</f>
        <v/>
      </c>
      <c r="BC416" s="68" t="str">
        <f>IF(main!BO419="","",ROUND(main!BO419*100,6))</f>
        <v/>
      </c>
      <c r="BD416" s="68" t="str">
        <f>IF(main!BP419="","",ROUND(main!BP419*100,6))</f>
        <v/>
      </c>
      <c r="BE416" s="68" t="str">
        <f>IF(main!BQ419="","",ROUND(main!BQ419*100,6))</f>
        <v/>
      </c>
      <c r="BF416" s="68" t="str">
        <f>IF(main!BR419="","",ROUND(main!BR419*100,6))</f>
        <v/>
      </c>
      <c r="BG416" s="68" t="str">
        <f>IF(main!BS419="","",ROUND(main!BS419*100,6))</f>
        <v/>
      </c>
      <c r="BH416" s="68" t="str">
        <f>IF(main!BT419="","",ROUND(main!BT419*100,6))</f>
        <v/>
      </c>
      <c r="BI416" s="68" t="str">
        <f>IF(main!BU419="","",ROUND(main!BU419*100,6))</f>
        <v/>
      </c>
      <c r="BJ416" s="68" t="str">
        <f>IF(main!BV419="","",ROUND(main!BV419*100,6))</f>
        <v/>
      </c>
      <c r="BK416" s="68" t="str">
        <f>IF(main!BW419="","",ROUND(main!BW419*100,6))</f>
        <v/>
      </c>
      <c r="BL416" s="68" t="str">
        <f>IF(main!BX419="","",ROUND(main!BX419*100,6))</f>
        <v/>
      </c>
      <c r="BM416" s="68" t="str">
        <f>IF(main!BY419="","",ROUND(main!BY419*100,6))</f>
        <v/>
      </c>
      <c r="BN416" s="68" t="str">
        <f>IF(main!BZ419="","",ROUND(main!BZ419*100,6))</f>
        <v/>
      </c>
      <c r="BO416" s="68">
        <f>IF(main!CA419="","",ROUND(main!CA419*100,6))</f>
        <v>3.5714290000000002</v>
      </c>
      <c r="BP416" s="68">
        <f>IF(main!CB419="","",ROUND(main!CB419*100,6))</f>
        <v>25</v>
      </c>
      <c r="BQ416" s="68">
        <f>IF(main!CC419="","",ROUND(main!CC419*100,6))</f>
        <v>25</v>
      </c>
      <c r="BR416" s="68">
        <f>IF(main!CD419="","",ROUND(main!CD419*100,6))</f>
        <v>25</v>
      </c>
      <c r="BS416" s="68">
        <f>IF(main!CE419="","",ROUND(main!CE419*100,6))</f>
        <v>21.428571000000002</v>
      </c>
      <c r="BT416" s="68" t="str">
        <f>IF(main!CF419="","",ROUND(main!CF419*100,6))</f>
        <v/>
      </c>
      <c r="BU416" s="68" t="str">
        <f>IF(main!CG419="","",ROUND(main!CG419*100,6))</f>
        <v/>
      </c>
      <c r="BV416" s="68" t="str">
        <f>IF(main!CH419="","",ROUND(main!CH419*100,6))</f>
        <v/>
      </c>
      <c r="BW416" s="68" t="str">
        <f>IF(main!CI419="","",ROUND(main!CI419*100,6))</f>
        <v/>
      </c>
      <c r="BX416" s="68" t="str">
        <f>IF(main!CJ419="","",ROUND(main!CJ419*100,6))</f>
        <v/>
      </c>
      <c r="BY416" s="68" t="str">
        <f>IF(main!CK419="","",ROUND(main!CK419*100,6))</f>
        <v/>
      </c>
      <c r="BZ416" s="68" t="str">
        <f>IF(main!CL419="","",ROUND(main!CL419*100,6))</f>
        <v/>
      </c>
      <c r="CA416" s="68" t="str">
        <f>IF(main!CM419="","",ROUND(main!CM419*100,6))</f>
        <v/>
      </c>
      <c r="CB416" s="68" t="str">
        <f>IF(main!CN419="","",ROUND(main!CN419*100,6))</f>
        <v/>
      </c>
      <c r="CC416" s="68" t="str">
        <f>IF(main!CO419="","",ROUND(main!CO419*100,6))</f>
        <v/>
      </c>
    </row>
    <row r="417" spans="1:81" x14ac:dyDescent="0.25">
      <c r="A417" s="65" t="s">
        <v>573</v>
      </c>
      <c r="B417" s="66" t="str">
        <f>main!C419</f>
        <v>Ceiling</v>
      </c>
      <c r="C417" s="67">
        <f>main!O419</f>
        <v>200000</v>
      </c>
      <c r="D417" s="65" t="s">
        <v>111</v>
      </c>
      <c r="E417" s="68" t="str">
        <f t="shared" si="6"/>
        <v/>
      </c>
      <c r="F417" s="68" t="str">
        <f>IF(main!R420="","",ROUND(main!R420*100,6))</f>
        <v/>
      </c>
      <c r="G417" s="68" t="str">
        <f>IF(main!S420="","",ROUND(main!S420*100,6))</f>
        <v/>
      </c>
      <c r="H417" s="68" t="str">
        <f>IF(main!T420="","",ROUND(main!T420*100,6))</f>
        <v/>
      </c>
      <c r="I417" s="68" t="str">
        <f>IF(main!U420="","",ROUND(main!U420*100,6))</f>
        <v/>
      </c>
      <c r="J417" s="68" t="str">
        <f>IF(main!V420="","",ROUND(main!V420*100,6))</f>
        <v/>
      </c>
      <c r="K417" s="68" t="str">
        <f>IF(main!W420="","",ROUND(main!W420*100,6))</f>
        <v/>
      </c>
      <c r="L417" s="68" t="str">
        <f>IF(main!X420="","",ROUND(main!X420*100,6))</f>
        <v/>
      </c>
      <c r="M417" s="68" t="str">
        <f>IF(main!Y420="","",ROUND(main!Y420*100,6))</f>
        <v/>
      </c>
      <c r="N417" s="68" t="str">
        <f>IF(main!Z420="","",ROUND(main!Z420*100,6))</f>
        <v/>
      </c>
      <c r="O417" s="68" t="str">
        <f>IF(main!AA420="","",ROUND(main!AA420*100,6))</f>
        <v/>
      </c>
      <c r="P417" s="68" t="str">
        <f>IF(main!AB420="","",ROUND(main!AB420*100,6))</f>
        <v/>
      </c>
      <c r="Q417" s="68" t="str">
        <f>IF(main!AC420="","",ROUND(main!AC420*100,6))</f>
        <v/>
      </c>
      <c r="R417" s="68" t="str">
        <f>IF(main!AD420="","",ROUND(main!AD420*100,6))</f>
        <v/>
      </c>
      <c r="S417" s="68" t="str">
        <f>IF(main!AE420="","",ROUND(main!AE420*100,6))</f>
        <v/>
      </c>
      <c r="T417" s="68" t="str">
        <f>IF(main!AF420="","",ROUND(main!AF420*100,6))</f>
        <v/>
      </c>
      <c r="U417" s="68" t="str">
        <f>IF(main!AG420="","",ROUND(main!AG420*100,6))</f>
        <v/>
      </c>
      <c r="V417" s="68" t="str">
        <f>IF(main!AH420="","",ROUND(main!AH420*100,6))</f>
        <v/>
      </c>
      <c r="W417" s="68" t="str">
        <f>IF(main!AI420="","",ROUND(main!AI420*100,6))</f>
        <v/>
      </c>
      <c r="X417" s="68" t="str">
        <f>IF(main!AJ420="","",ROUND(main!AJ420*100,6))</f>
        <v/>
      </c>
      <c r="Y417" s="68" t="str">
        <f>IF(main!AK420="","",ROUND(main!AK420*100,6))</f>
        <v/>
      </c>
      <c r="Z417" s="68" t="str">
        <f>IF(main!AL420="","",ROUND(main!AL420*100,6))</f>
        <v/>
      </c>
      <c r="AA417" s="68" t="str">
        <f>IF(main!AM420="","",ROUND(main!AM420*100,6))</f>
        <v/>
      </c>
      <c r="AB417" s="68" t="str">
        <f>IF(main!AN420="","",ROUND(main!AN420*100,6))</f>
        <v/>
      </c>
      <c r="AC417" s="68" t="str">
        <f>IF(main!AO420="","",ROUND(main!AO420*100,6))</f>
        <v/>
      </c>
      <c r="AD417" s="68" t="str">
        <f>IF(main!AP420="","",ROUND(main!AP420*100,6))</f>
        <v/>
      </c>
      <c r="AE417" s="68" t="str">
        <f>IF(main!AQ420="","",ROUND(main!AQ420*100,6))</f>
        <v/>
      </c>
      <c r="AF417" s="68" t="str">
        <f>IF(main!AR420="","",ROUND(main!AR420*100,6))</f>
        <v/>
      </c>
      <c r="AG417" s="68" t="str">
        <f>IF(main!AS420="","",ROUND(main!AS420*100,6))</f>
        <v/>
      </c>
      <c r="AH417" s="68" t="str">
        <f>IF(main!AT420="","",ROUND(main!AT420*100,6))</f>
        <v/>
      </c>
      <c r="AI417" s="68" t="str">
        <f>IF(main!AU420="","",ROUND(main!AU420*100,6))</f>
        <v/>
      </c>
      <c r="AJ417" s="68" t="str">
        <f>IF(main!AV420="","",ROUND(main!AV420*100,6))</f>
        <v/>
      </c>
      <c r="AK417" s="68" t="str">
        <f>IF(main!AW420="","",ROUND(main!AW420*100,6))</f>
        <v/>
      </c>
      <c r="AL417" s="68" t="str">
        <f>IF(main!AX420="","",ROUND(main!AX420*100,6))</f>
        <v/>
      </c>
      <c r="AM417" s="68" t="str">
        <f>IF(main!AY420="","",ROUND(main!AY420*100,6))</f>
        <v/>
      </c>
      <c r="AN417" s="68" t="str">
        <f>IF(main!AZ420="","",ROUND(main!AZ420*100,6))</f>
        <v/>
      </c>
      <c r="AO417" s="68" t="str">
        <f>IF(main!BA420="","",ROUND(main!BA420*100,6))</f>
        <v/>
      </c>
      <c r="AP417" s="68" t="str">
        <f>IF(main!BB420="","",ROUND(main!BB420*100,6))</f>
        <v/>
      </c>
      <c r="AQ417" s="68" t="str">
        <f>IF(main!BC420="","",ROUND(main!BC420*100,6))</f>
        <v/>
      </c>
      <c r="AR417" s="68" t="str">
        <f>IF(main!BD420="","",ROUND(main!BD420*100,6))</f>
        <v/>
      </c>
      <c r="AS417" s="68" t="str">
        <f>IF(main!BE420="","",ROUND(main!BE420*100,6))</f>
        <v/>
      </c>
      <c r="AT417" s="68" t="str">
        <f>IF(main!BF420="","",ROUND(main!BF420*100,6))</f>
        <v/>
      </c>
      <c r="AU417" s="68" t="str">
        <f>IF(main!BG420="","",ROUND(main!BG420*100,6))</f>
        <v/>
      </c>
      <c r="AV417" s="68" t="str">
        <f>IF(main!BH420="","",ROUND(main!BH420*100,6))</f>
        <v/>
      </c>
      <c r="AW417" s="68" t="str">
        <f>IF(main!BI420="","",ROUND(main!BI420*100,6))</f>
        <v/>
      </c>
      <c r="AX417" s="68" t="str">
        <f>IF(main!BJ420="","",ROUND(main!BJ420*100,6))</f>
        <v/>
      </c>
      <c r="AY417" s="68" t="str">
        <f>IF(main!BK420="","",ROUND(main!BK420*100,6))</f>
        <v/>
      </c>
      <c r="AZ417" s="68" t="str">
        <f>IF(main!BL420="","",ROUND(main!BL420*100,6))</f>
        <v/>
      </c>
      <c r="BA417" s="68" t="str">
        <f>IF(main!BM420="","",ROUND(main!BM420*100,6))</f>
        <v/>
      </c>
      <c r="BB417" s="68" t="str">
        <f>IF(main!BN420="","",ROUND(main!BN420*100,6))</f>
        <v/>
      </c>
      <c r="BC417" s="68" t="str">
        <f>IF(main!BO420="","",ROUND(main!BO420*100,6))</f>
        <v/>
      </c>
      <c r="BD417" s="68" t="str">
        <f>IF(main!BP420="","",ROUND(main!BP420*100,6))</f>
        <v/>
      </c>
      <c r="BE417" s="68" t="str">
        <f>IF(main!BQ420="","",ROUND(main!BQ420*100,6))</f>
        <v/>
      </c>
      <c r="BF417" s="68" t="str">
        <f>IF(main!BR420="","",ROUND(main!BR420*100,6))</f>
        <v/>
      </c>
      <c r="BG417" s="68" t="str">
        <f>IF(main!BS420="","",ROUND(main!BS420*100,6))</f>
        <v/>
      </c>
      <c r="BH417" s="68" t="str">
        <f>IF(main!BT420="","",ROUND(main!BT420*100,6))</f>
        <v/>
      </c>
      <c r="BI417" s="68" t="str">
        <f>IF(main!BU420="","",ROUND(main!BU420*100,6))</f>
        <v/>
      </c>
      <c r="BJ417" s="68" t="str">
        <f>IF(main!BV420="","",ROUND(main!BV420*100,6))</f>
        <v/>
      </c>
      <c r="BK417" s="68" t="str">
        <f>IF(main!BW420="","",ROUND(main!BW420*100,6))</f>
        <v/>
      </c>
      <c r="BL417" s="68" t="str">
        <f>IF(main!BX420="","",ROUND(main!BX420*100,6))</f>
        <v/>
      </c>
      <c r="BM417" s="68" t="str">
        <f>IF(main!BY420="","",ROUND(main!BY420*100,6))</f>
        <v/>
      </c>
      <c r="BN417" s="68" t="str">
        <f>IF(main!BZ420="","",ROUND(main!BZ420*100,6))</f>
        <v/>
      </c>
      <c r="BO417" s="68" t="str">
        <f>IF(main!CA420="","",ROUND(main!CA420*100,6))</f>
        <v/>
      </c>
      <c r="BP417" s="68" t="str">
        <f>IF(main!CB420="","",ROUND(main!CB420*100,6))</f>
        <v/>
      </c>
      <c r="BQ417" s="68" t="str">
        <f>IF(main!CC420="","",ROUND(main!CC420*100,6))</f>
        <v/>
      </c>
      <c r="BR417" s="68" t="str">
        <f>IF(main!CD420="","",ROUND(main!CD420*100,6))</f>
        <v/>
      </c>
      <c r="BS417" s="68" t="str">
        <f>IF(main!CE420="","",ROUND(main!CE420*100,6))</f>
        <v/>
      </c>
      <c r="BT417" s="68" t="str">
        <f>IF(main!CF420="","",ROUND(main!CF420*100,6))</f>
        <v/>
      </c>
      <c r="BU417" s="68" t="str">
        <f>IF(main!CG420="","",ROUND(main!CG420*100,6))</f>
        <v/>
      </c>
      <c r="BV417" s="68" t="str">
        <f>IF(main!CH420="","",ROUND(main!CH420*100,6))</f>
        <v/>
      </c>
      <c r="BW417" s="68" t="str">
        <f>IF(main!CI420="","",ROUND(main!CI420*100,6))</f>
        <v/>
      </c>
      <c r="BX417" s="68" t="str">
        <f>IF(main!CJ420="","",ROUND(main!CJ420*100,6))</f>
        <v/>
      </c>
      <c r="BY417" s="68" t="str">
        <f>IF(main!CK420="","",ROUND(main!CK420*100,6))</f>
        <v/>
      </c>
      <c r="BZ417" s="68" t="str">
        <f>IF(main!CL420="","",ROUND(main!CL420*100,6))</f>
        <v/>
      </c>
      <c r="CA417" s="68" t="str">
        <f>IF(main!CM420="","",ROUND(main!CM420*100,6))</f>
        <v/>
      </c>
      <c r="CB417" s="68" t="str">
        <f>IF(main!CN420="","",ROUND(main!CN420*100,6))</f>
        <v/>
      </c>
      <c r="CC417" s="68" t="str">
        <f>IF(main!CO420="","",ROUND(main!CO420*100,6))</f>
        <v/>
      </c>
    </row>
    <row r="418" spans="1:81" ht="30" x14ac:dyDescent="0.25">
      <c r="A418" s="65" t="s">
        <v>574</v>
      </c>
      <c r="B418" s="66" t="str">
        <f>main!C421</f>
        <v>C2.4, C3.4 ห้องประชุม งานฝ้าอลูมิเนียม ตกแต่งตามแบบ ID</v>
      </c>
      <c r="C418" s="67">
        <f>main!O421</f>
        <v>100000</v>
      </c>
      <c r="D418" s="65" t="s">
        <v>110</v>
      </c>
      <c r="E418" s="68">
        <f t="shared" si="6"/>
        <v>100</v>
      </c>
      <c r="F418" s="68" t="str">
        <f>IF(main!R421="","",ROUND(main!R421*100,6))</f>
        <v/>
      </c>
      <c r="G418" s="68" t="str">
        <f>IF(main!S421="","",ROUND(main!S421*100,6))</f>
        <v/>
      </c>
      <c r="H418" s="68" t="str">
        <f>IF(main!T421="","",ROUND(main!T421*100,6))</f>
        <v/>
      </c>
      <c r="I418" s="68" t="str">
        <f>IF(main!U421="","",ROUND(main!U421*100,6))</f>
        <v/>
      </c>
      <c r="J418" s="68" t="str">
        <f>IF(main!V421="","",ROUND(main!V421*100,6))</f>
        <v/>
      </c>
      <c r="K418" s="68" t="str">
        <f>IF(main!W421="","",ROUND(main!W421*100,6))</f>
        <v/>
      </c>
      <c r="L418" s="68" t="str">
        <f>IF(main!X421="","",ROUND(main!X421*100,6))</f>
        <v/>
      </c>
      <c r="M418" s="68" t="str">
        <f>IF(main!Y421="","",ROUND(main!Y421*100,6))</f>
        <v/>
      </c>
      <c r="N418" s="68" t="str">
        <f>IF(main!Z421="","",ROUND(main!Z421*100,6))</f>
        <v/>
      </c>
      <c r="O418" s="68" t="str">
        <f>IF(main!AA421="","",ROUND(main!AA421*100,6))</f>
        <v/>
      </c>
      <c r="P418" s="68" t="str">
        <f>IF(main!AB421="","",ROUND(main!AB421*100,6))</f>
        <v/>
      </c>
      <c r="Q418" s="68" t="str">
        <f>IF(main!AC421="","",ROUND(main!AC421*100,6))</f>
        <v/>
      </c>
      <c r="R418" s="68" t="str">
        <f>IF(main!AD421="","",ROUND(main!AD421*100,6))</f>
        <v/>
      </c>
      <c r="S418" s="68" t="str">
        <f>IF(main!AE421="","",ROUND(main!AE421*100,6))</f>
        <v/>
      </c>
      <c r="T418" s="68" t="str">
        <f>IF(main!AF421="","",ROUND(main!AF421*100,6))</f>
        <v/>
      </c>
      <c r="U418" s="68" t="str">
        <f>IF(main!AG421="","",ROUND(main!AG421*100,6))</f>
        <v/>
      </c>
      <c r="V418" s="68" t="str">
        <f>IF(main!AH421="","",ROUND(main!AH421*100,6))</f>
        <v/>
      </c>
      <c r="W418" s="68" t="str">
        <f>IF(main!AI421="","",ROUND(main!AI421*100,6))</f>
        <v/>
      </c>
      <c r="X418" s="68" t="str">
        <f>IF(main!AJ421="","",ROUND(main!AJ421*100,6))</f>
        <v/>
      </c>
      <c r="Y418" s="68" t="str">
        <f>IF(main!AK421="","",ROUND(main!AK421*100,6))</f>
        <v/>
      </c>
      <c r="Z418" s="68" t="str">
        <f>IF(main!AL421="","",ROUND(main!AL421*100,6))</f>
        <v/>
      </c>
      <c r="AA418" s="68" t="str">
        <f>IF(main!AM421="","",ROUND(main!AM421*100,6))</f>
        <v/>
      </c>
      <c r="AB418" s="68" t="str">
        <f>IF(main!AN421="","",ROUND(main!AN421*100,6))</f>
        <v/>
      </c>
      <c r="AC418" s="68" t="str">
        <f>IF(main!AO421="","",ROUND(main!AO421*100,6))</f>
        <v/>
      </c>
      <c r="AD418" s="68" t="str">
        <f>IF(main!AP421="","",ROUND(main!AP421*100,6))</f>
        <v/>
      </c>
      <c r="AE418" s="68" t="str">
        <f>IF(main!AQ421="","",ROUND(main!AQ421*100,6))</f>
        <v/>
      </c>
      <c r="AF418" s="68" t="str">
        <f>IF(main!AR421="","",ROUND(main!AR421*100,6))</f>
        <v/>
      </c>
      <c r="AG418" s="68" t="str">
        <f>IF(main!AS421="","",ROUND(main!AS421*100,6))</f>
        <v/>
      </c>
      <c r="AH418" s="68" t="str">
        <f>IF(main!AT421="","",ROUND(main!AT421*100,6))</f>
        <v/>
      </c>
      <c r="AI418" s="68" t="str">
        <f>IF(main!AU421="","",ROUND(main!AU421*100,6))</f>
        <v/>
      </c>
      <c r="AJ418" s="68" t="str">
        <f>IF(main!AV421="","",ROUND(main!AV421*100,6))</f>
        <v/>
      </c>
      <c r="AK418" s="68" t="str">
        <f>IF(main!AW421="","",ROUND(main!AW421*100,6))</f>
        <v/>
      </c>
      <c r="AL418" s="68" t="str">
        <f>IF(main!AX421="","",ROUND(main!AX421*100,6))</f>
        <v/>
      </c>
      <c r="AM418" s="68" t="str">
        <f>IF(main!AY421="","",ROUND(main!AY421*100,6))</f>
        <v/>
      </c>
      <c r="AN418" s="68" t="str">
        <f>IF(main!AZ421="","",ROUND(main!AZ421*100,6))</f>
        <v/>
      </c>
      <c r="AO418" s="68" t="str">
        <f>IF(main!BA421="","",ROUND(main!BA421*100,6))</f>
        <v/>
      </c>
      <c r="AP418" s="68" t="str">
        <f>IF(main!BB421="","",ROUND(main!BB421*100,6))</f>
        <v/>
      </c>
      <c r="AQ418" s="68" t="str">
        <f>IF(main!BC421="","",ROUND(main!BC421*100,6))</f>
        <v/>
      </c>
      <c r="AR418" s="68" t="str">
        <f>IF(main!BD421="","",ROUND(main!BD421*100,6))</f>
        <v/>
      </c>
      <c r="AS418" s="68" t="str">
        <f>IF(main!BE421="","",ROUND(main!BE421*100,6))</f>
        <v/>
      </c>
      <c r="AT418" s="68" t="str">
        <f>IF(main!BF421="","",ROUND(main!BF421*100,6))</f>
        <v/>
      </c>
      <c r="AU418" s="68" t="str">
        <f>IF(main!BG421="","",ROUND(main!BG421*100,6))</f>
        <v/>
      </c>
      <c r="AV418" s="68" t="str">
        <f>IF(main!BH421="","",ROUND(main!BH421*100,6))</f>
        <v/>
      </c>
      <c r="AW418" s="68" t="str">
        <f>IF(main!BI421="","",ROUND(main!BI421*100,6))</f>
        <v/>
      </c>
      <c r="AX418" s="68" t="str">
        <f>IF(main!BJ421="","",ROUND(main!BJ421*100,6))</f>
        <v/>
      </c>
      <c r="AY418" s="68" t="str">
        <f>IF(main!BK421="","",ROUND(main!BK421*100,6))</f>
        <v/>
      </c>
      <c r="AZ418" s="68" t="str">
        <f>IF(main!BL421="","",ROUND(main!BL421*100,6))</f>
        <v/>
      </c>
      <c r="BA418" s="68" t="str">
        <f>IF(main!BM421="","",ROUND(main!BM421*100,6))</f>
        <v/>
      </c>
      <c r="BB418" s="68" t="str">
        <f>IF(main!BN421="","",ROUND(main!BN421*100,6))</f>
        <v/>
      </c>
      <c r="BC418" s="68" t="str">
        <f>IF(main!BO421="","",ROUND(main!BO421*100,6))</f>
        <v/>
      </c>
      <c r="BD418" s="68" t="str">
        <f>IF(main!BP421="","",ROUND(main!BP421*100,6))</f>
        <v/>
      </c>
      <c r="BE418" s="68" t="str">
        <f>IF(main!BQ421="","",ROUND(main!BQ421*100,6))</f>
        <v/>
      </c>
      <c r="BF418" s="68" t="str">
        <f>IF(main!BR421="","",ROUND(main!BR421*100,6))</f>
        <v/>
      </c>
      <c r="BG418" s="68" t="str">
        <f>IF(main!BS421="","",ROUND(main!BS421*100,6))</f>
        <v/>
      </c>
      <c r="BH418" s="68" t="str">
        <f>IF(main!BT421="","",ROUND(main!BT421*100,6))</f>
        <v/>
      </c>
      <c r="BI418" s="68" t="str">
        <f>IF(main!BU421="","",ROUND(main!BU421*100,6))</f>
        <v/>
      </c>
      <c r="BJ418" s="68" t="str">
        <f>IF(main!BV421="","",ROUND(main!BV421*100,6))</f>
        <v/>
      </c>
      <c r="BK418" s="68" t="str">
        <f>IF(main!BW421="","",ROUND(main!BW421*100,6))</f>
        <v/>
      </c>
      <c r="BL418" s="68" t="str">
        <f>IF(main!BX421="","",ROUND(main!BX421*100,6))</f>
        <v/>
      </c>
      <c r="BM418" s="68" t="str">
        <f>IF(main!BY421="","",ROUND(main!BY421*100,6))</f>
        <v/>
      </c>
      <c r="BN418" s="68" t="str">
        <f>IF(main!BZ421="","",ROUND(main!BZ421*100,6))</f>
        <v/>
      </c>
      <c r="BO418" s="68">
        <f>IF(main!CA421="","",ROUND(main!CA421*100,6))</f>
        <v>3.5714290000000002</v>
      </c>
      <c r="BP418" s="68">
        <f>IF(main!CB421="","",ROUND(main!CB421*100,6))</f>
        <v>25</v>
      </c>
      <c r="BQ418" s="68">
        <f>IF(main!CC421="","",ROUND(main!CC421*100,6))</f>
        <v>25</v>
      </c>
      <c r="BR418" s="68">
        <f>IF(main!CD421="","",ROUND(main!CD421*100,6))</f>
        <v>25</v>
      </c>
      <c r="BS418" s="68">
        <f>IF(main!CE421="","",ROUND(main!CE421*100,6))</f>
        <v>21.428571000000002</v>
      </c>
      <c r="BT418" s="68" t="str">
        <f>IF(main!CF421="","",ROUND(main!CF421*100,6))</f>
        <v/>
      </c>
      <c r="BU418" s="68" t="str">
        <f>IF(main!CG421="","",ROUND(main!CG421*100,6))</f>
        <v/>
      </c>
      <c r="BV418" s="68" t="str">
        <f>IF(main!CH421="","",ROUND(main!CH421*100,6))</f>
        <v/>
      </c>
      <c r="BW418" s="68" t="str">
        <f>IF(main!CI421="","",ROUND(main!CI421*100,6))</f>
        <v/>
      </c>
      <c r="BX418" s="68" t="str">
        <f>IF(main!CJ421="","",ROUND(main!CJ421*100,6))</f>
        <v/>
      </c>
      <c r="BY418" s="68" t="str">
        <f>IF(main!CK421="","",ROUND(main!CK421*100,6))</f>
        <v/>
      </c>
      <c r="BZ418" s="68" t="str">
        <f>IF(main!CL421="","",ROUND(main!CL421*100,6))</f>
        <v/>
      </c>
      <c r="CA418" s="68" t="str">
        <f>IF(main!CM421="","",ROUND(main!CM421*100,6))</f>
        <v/>
      </c>
      <c r="CB418" s="68" t="str">
        <f>IF(main!CN421="","",ROUND(main!CN421*100,6))</f>
        <v/>
      </c>
      <c r="CC418" s="68" t="str">
        <f>IF(main!CO421="","",ROUND(main!CO421*100,6))</f>
        <v/>
      </c>
    </row>
    <row r="419" spans="1:81" ht="30" x14ac:dyDescent="0.25">
      <c r="A419" s="65" t="s">
        <v>574</v>
      </c>
      <c r="B419" s="66" t="str">
        <f>main!C421</f>
        <v>C2.4, C3.4 ห้องประชุม งานฝ้าอลูมิเนียม ตกแต่งตามแบบ ID</v>
      </c>
      <c r="C419" s="67">
        <f>main!O421</f>
        <v>100000</v>
      </c>
      <c r="D419" s="65" t="s">
        <v>111</v>
      </c>
      <c r="E419" s="68" t="str">
        <f t="shared" si="6"/>
        <v/>
      </c>
      <c r="F419" s="68" t="str">
        <f>IF(main!R422="","",ROUND(main!R422*100,6))</f>
        <v/>
      </c>
      <c r="G419" s="68" t="str">
        <f>IF(main!S422="","",ROUND(main!S422*100,6))</f>
        <v/>
      </c>
      <c r="H419" s="68" t="str">
        <f>IF(main!T422="","",ROUND(main!T422*100,6))</f>
        <v/>
      </c>
      <c r="I419" s="68" t="str">
        <f>IF(main!U422="","",ROUND(main!U422*100,6))</f>
        <v/>
      </c>
      <c r="J419" s="68" t="str">
        <f>IF(main!V422="","",ROUND(main!V422*100,6))</f>
        <v/>
      </c>
      <c r="K419" s="68" t="str">
        <f>IF(main!W422="","",ROUND(main!W422*100,6))</f>
        <v/>
      </c>
      <c r="L419" s="68" t="str">
        <f>IF(main!X422="","",ROUND(main!X422*100,6))</f>
        <v/>
      </c>
      <c r="M419" s="68" t="str">
        <f>IF(main!Y422="","",ROUND(main!Y422*100,6))</f>
        <v/>
      </c>
      <c r="N419" s="68" t="str">
        <f>IF(main!Z422="","",ROUND(main!Z422*100,6))</f>
        <v/>
      </c>
      <c r="O419" s="68" t="str">
        <f>IF(main!AA422="","",ROUND(main!AA422*100,6))</f>
        <v/>
      </c>
      <c r="P419" s="68" t="str">
        <f>IF(main!AB422="","",ROUND(main!AB422*100,6))</f>
        <v/>
      </c>
      <c r="Q419" s="68" t="str">
        <f>IF(main!AC422="","",ROUND(main!AC422*100,6))</f>
        <v/>
      </c>
      <c r="R419" s="68" t="str">
        <f>IF(main!AD422="","",ROUND(main!AD422*100,6))</f>
        <v/>
      </c>
      <c r="S419" s="68" t="str">
        <f>IF(main!AE422="","",ROUND(main!AE422*100,6))</f>
        <v/>
      </c>
      <c r="T419" s="68" t="str">
        <f>IF(main!AF422="","",ROUND(main!AF422*100,6))</f>
        <v/>
      </c>
      <c r="U419" s="68" t="str">
        <f>IF(main!AG422="","",ROUND(main!AG422*100,6))</f>
        <v/>
      </c>
      <c r="V419" s="68" t="str">
        <f>IF(main!AH422="","",ROUND(main!AH422*100,6))</f>
        <v/>
      </c>
      <c r="W419" s="68" t="str">
        <f>IF(main!AI422="","",ROUND(main!AI422*100,6))</f>
        <v/>
      </c>
      <c r="X419" s="68" t="str">
        <f>IF(main!AJ422="","",ROUND(main!AJ422*100,6))</f>
        <v/>
      </c>
      <c r="Y419" s="68" t="str">
        <f>IF(main!AK422="","",ROUND(main!AK422*100,6))</f>
        <v/>
      </c>
      <c r="Z419" s="68" t="str">
        <f>IF(main!AL422="","",ROUND(main!AL422*100,6))</f>
        <v/>
      </c>
      <c r="AA419" s="68" t="str">
        <f>IF(main!AM422="","",ROUND(main!AM422*100,6))</f>
        <v/>
      </c>
      <c r="AB419" s="68" t="str">
        <f>IF(main!AN422="","",ROUND(main!AN422*100,6))</f>
        <v/>
      </c>
      <c r="AC419" s="68" t="str">
        <f>IF(main!AO422="","",ROUND(main!AO422*100,6))</f>
        <v/>
      </c>
      <c r="AD419" s="68" t="str">
        <f>IF(main!AP422="","",ROUND(main!AP422*100,6))</f>
        <v/>
      </c>
      <c r="AE419" s="68" t="str">
        <f>IF(main!AQ422="","",ROUND(main!AQ422*100,6))</f>
        <v/>
      </c>
      <c r="AF419" s="68" t="str">
        <f>IF(main!AR422="","",ROUND(main!AR422*100,6))</f>
        <v/>
      </c>
      <c r="AG419" s="68" t="str">
        <f>IF(main!AS422="","",ROUND(main!AS422*100,6))</f>
        <v/>
      </c>
      <c r="AH419" s="68" t="str">
        <f>IF(main!AT422="","",ROUND(main!AT422*100,6))</f>
        <v/>
      </c>
      <c r="AI419" s="68" t="str">
        <f>IF(main!AU422="","",ROUND(main!AU422*100,6))</f>
        <v/>
      </c>
      <c r="AJ419" s="68" t="str">
        <f>IF(main!AV422="","",ROUND(main!AV422*100,6))</f>
        <v/>
      </c>
      <c r="AK419" s="68" t="str">
        <f>IF(main!AW422="","",ROUND(main!AW422*100,6))</f>
        <v/>
      </c>
      <c r="AL419" s="68" t="str">
        <f>IF(main!AX422="","",ROUND(main!AX422*100,6))</f>
        <v/>
      </c>
      <c r="AM419" s="68" t="str">
        <f>IF(main!AY422="","",ROUND(main!AY422*100,6))</f>
        <v/>
      </c>
      <c r="AN419" s="68" t="str">
        <f>IF(main!AZ422="","",ROUND(main!AZ422*100,6))</f>
        <v/>
      </c>
      <c r="AO419" s="68" t="str">
        <f>IF(main!BA422="","",ROUND(main!BA422*100,6))</f>
        <v/>
      </c>
      <c r="AP419" s="68" t="str">
        <f>IF(main!BB422="","",ROUND(main!BB422*100,6))</f>
        <v/>
      </c>
      <c r="AQ419" s="68" t="str">
        <f>IF(main!BC422="","",ROUND(main!BC422*100,6))</f>
        <v/>
      </c>
      <c r="AR419" s="68" t="str">
        <f>IF(main!BD422="","",ROUND(main!BD422*100,6))</f>
        <v/>
      </c>
      <c r="AS419" s="68" t="str">
        <f>IF(main!BE422="","",ROUND(main!BE422*100,6))</f>
        <v/>
      </c>
      <c r="AT419" s="68" t="str">
        <f>IF(main!BF422="","",ROUND(main!BF422*100,6))</f>
        <v/>
      </c>
      <c r="AU419" s="68" t="str">
        <f>IF(main!BG422="","",ROUND(main!BG422*100,6))</f>
        <v/>
      </c>
      <c r="AV419" s="68" t="str">
        <f>IF(main!BH422="","",ROUND(main!BH422*100,6))</f>
        <v/>
      </c>
      <c r="AW419" s="68" t="str">
        <f>IF(main!BI422="","",ROUND(main!BI422*100,6))</f>
        <v/>
      </c>
      <c r="AX419" s="68" t="str">
        <f>IF(main!BJ422="","",ROUND(main!BJ422*100,6))</f>
        <v/>
      </c>
      <c r="AY419" s="68" t="str">
        <f>IF(main!BK422="","",ROUND(main!BK422*100,6))</f>
        <v/>
      </c>
      <c r="AZ419" s="68" t="str">
        <f>IF(main!BL422="","",ROUND(main!BL422*100,6))</f>
        <v/>
      </c>
      <c r="BA419" s="68" t="str">
        <f>IF(main!BM422="","",ROUND(main!BM422*100,6))</f>
        <v/>
      </c>
      <c r="BB419" s="68" t="str">
        <f>IF(main!BN422="","",ROUND(main!BN422*100,6))</f>
        <v/>
      </c>
      <c r="BC419" s="68" t="str">
        <f>IF(main!BO422="","",ROUND(main!BO422*100,6))</f>
        <v/>
      </c>
      <c r="BD419" s="68" t="str">
        <f>IF(main!BP422="","",ROUND(main!BP422*100,6))</f>
        <v/>
      </c>
      <c r="BE419" s="68" t="str">
        <f>IF(main!BQ422="","",ROUND(main!BQ422*100,6))</f>
        <v/>
      </c>
      <c r="BF419" s="68" t="str">
        <f>IF(main!BR422="","",ROUND(main!BR422*100,6))</f>
        <v/>
      </c>
      <c r="BG419" s="68" t="str">
        <f>IF(main!BS422="","",ROUND(main!BS422*100,6))</f>
        <v/>
      </c>
      <c r="BH419" s="68" t="str">
        <f>IF(main!BT422="","",ROUND(main!BT422*100,6))</f>
        <v/>
      </c>
      <c r="BI419" s="68" t="str">
        <f>IF(main!BU422="","",ROUND(main!BU422*100,6))</f>
        <v/>
      </c>
      <c r="BJ419" s="68" t="str">
        <f>IF(main!BV422="","",ROUND(main!BV422*100,6))</f>
        <v/>
      </c>
      <c r="BK419" s="68" t="str">
        <f>IF(main!BW422="","",ROUND(main!BW422*100,6))</f>
        <v/>
      </c>
      <c r="BL419" s="68" t="str">
        <f>IF(main!BX422="","",ROUND(main!BX422*100,6))</f>
        <v/>
      </c>
      <c r="BM419" s="68" t="str">
        <f>IF(main!BY422="","",ROUND(main!BY422*100,6))</f>
        <v/>
      </c>
      <c r="BN419" s="68" t="str">
        <f>IF(main!BZ422="","",ROUND(main!BZ422*100,6))</f>
        <v/>
      </c>
      <c r="BO419" s="68" t="str">
        <f>IF(main!CA422="","",ROUND(main!CA422*100,6))</f>
        <v/>
      </c>
      <c r="BP419" s="68" t="str">
        <f>IF(main!CB422="","",ROUND(main!CB422*100,6))</f>
        <v/>
      </c>
      <c r="BQ419" s="68" t="str">
        <f>IF(main!CC422="","",ROUND(main!CC422*100,6))</f>
        <v/>
      </c>
      <c r="BR419" s="68" t="str">
        <f>IF(main!CD422="","",ROUND(main!CD422*100,6))</f>
        <v/>
      </c>
      <c r="BS419" s="68" t="str">
        <f>IF(main!CE422="","",ROUND(main!CE422*100,6))</f>
        <v/>
      </c>
      <c r="BT419" s="68" t="str">
        <f>IF(main!CF422="","",ROUND(main!CF422*100,6))</f>
        <v/>
      </c>
      <c r="BU419" s="68" t="str">
        <f>IF(main!CG422="","",ROUND(main!CG422*100,6))</f>
        <v/>
      </c>
      <c r="BV419" s="68" t="str">
        <f>IF(main!CH422="","",ROUND(main!CH422*100,6))</f>
        <v/>
      </c>
      <c r="BW419" s="68" t="str">
        <f>IF(main!CI422="","",ROUND(main!CI422*100,6))</f>
        <v/>
      </c>
      <c r="BX419" s="68" t="str">
        <f>IF(main!CJ422="","",ROUND(main!CJ422*100,6))</f>
        <v/>
      </c>
      <c r="BY419" s="68" t="str">
        <f>IF(main!CK422="","",ROUND(main!CK422*100,6))</f>
        <v/>
      </c>
      <c r="BZ419" s="68" t="str">
        <f>IF(main!CL422="","",ROUND(main!CL422*100,6))</f>
        <v/>
      </c>
      <c r="CA419" s="68" t="str">
        <f>IF(main!CM422="","",ROUND(main!CM422*100,6))</f>
        <v/>
      </c>
      <c r="CB419" s="68" t="str">
        <f>IF(main!CN422="","",ROUND(main!CN422*100,6))</f>
        <v/>
      </c>
      <c r="CC419" s="68" t="str">
        <f>IF(main!CO422="","",ROUND(main!CO422*100,6))</f>
        <v/>
      </c>
    </row>
    <row r="420" spans="1:81" x14ac:dyDescent="0.25">
      <c r="A420" s="65" t="s">
        <v>576</v>
      </c>
      <c r="B420" s="66" t="str">
        <f>main!C423</f>
        <v>C3.3 ทางเดิน ฝ้าอลูมิเนียม ตามแบบ</v>
      </c>
      <c r="C420" s="67">
        <f>main!O423</f>
        <v>100000</v>
      </c>
      <c r="D420" s="65" t="s">
        <v>110</v>
      </c>
      <c r="E420" s="68">
        <f t="shared" si="6"/>
        <v>100</v>
      </c>
      <c r="F420" s="68" t="str">
        <f>IF(main!R423="","",ROUND(main!R423*100,6))</f>
        <v/>
      </c>
      <c r="G420" s="68" t="str">
        <f>IF(main!S423="","",ROUND(main!S423*100,6))</f>
        <v/>
      </c>
      <c r="H420" s="68" t="str">
        <f>IF(main!T423="","",ROUND(main!T423*100,6))</f>
        <v/>
      </c>
      <c r="I420" s="68" t="str">
        <f>IF(main!U423="","",ROUND(main!U423*100,6))</f>
        <v/>
      </c>
      <c r="J420" s="68" t="str">
        <f>IF(main!V423="","",ROUND(main!V423*100,6))</f>
        <v/>
      </c>
      <c r="K420" s="68" t="str">
        <f>IF(main!W423="","",ROUND(main!W423*100,6))</f>
        <v/>
      </c>
      <c r="L420" s="68" t="str">
        <f>IF(main!X423="","",ROUND(main!X423*100,6))</f>
        <v/>
      </c>
      <c r="M420" s="68" t="str">
        <f>IF(main!Y423="","",ROUND(main!Y423*100,6))</f>
        <v/>
      </c>
      <c r="N420" s="68" t="str">
        <f>IF(main!Z423="","",ROUND(main!Z423*100,6))</f>
        <v/>
      </c>
      <c r="O420" s="68" t="str">
        <f>IF(main!AA423="","",ROUND(main!AA423*100,6))</f>
        <v/>
      </c>
      <c r="P420" s="68" t="str">
        <f>IF(main!AB423="","",ROUND(main!AB423*100,6))</f>
        <v/>
      </c>
      <c r="Q420" s="68" t="str">
        <f>IF(main!AC423="","",ROUND(main!AC423*100,6))</f>
        <v/>
      </c>
      <c r="R420" s="68" t="str">
        <f>IF(main!AD423="","",ROUND(main!AD423*100,6))</f>
        <v/>
      </c>
      <c r="S420" s="68" t="str">
        <f>IF(main!AE423="","",ROUND(main!AE423*100,6))</f>
        <v/>
      </c>
      <c r="T420" s="68" t="str">
        <f>IF(main!AF423="","",ROUND(main!AF423*100,6))</f>
        <v/>
      </c>
      <c r="U420" s="68" t="str">
        <f>IF(main!AG423="","",ROUND(main!AG423*100,6))</f>
        <v/>
      </c>
      <c r="V420" s="68" t="str">
        <f>IF(main!AH423="","",ROUND(main!AH423*100,6))</f>
        <v/>
      </c>
      <c r="W420" s="68" t="str">
        <f>IF(main!AI423="","",ROUND(main!AI423*100,6))</f>
        <v/>
      </c>
      <c r="X420" s="68" t="str">
        <f>IF(main!AJ423="","",ROUND(main!AJ423*100,6))</f>
        <v/>
      </c>
      <c r="Y420" s="68" t="str">
        <f>IF(main!AK423="","",ROUND(main!AK423*100,6))</f>
        <v/>
      </c>
      <c r="Z420" s="68" t="str">
        <f>IF(main!AL423="","",ROUND(main!AL423*100,6))</f>
        <v/>
      </c>
      <c r="AA420" s="68" t="str">
        <f>IF(main!AM423="","",ROUND(main!AM423*100,6))</f>
        <v/>
      </c>
      <c r="AB420" s="68" t="str">
        <f>IF(main!AN423="","",ROUND(main!AN423*100,6))</f>
        <v/>
      </c>
      <c r="AC420" s="68" t="str">
        <f>IF(main!AO423="","",ROUND(main!AO423*100,6))</f>
        <v/>
      </c>
      <c r="AD420" s="68" t="str">
        <f>IF(main!AP423="","",ROUND(main!AP423*100,6))</f>
        <v/>
      </c>
      <c r="AE420" s="68" t="str">
        <f>IF(main!AQ423="","",ROUND(main!AQ423*100,6))</f>
        <v/>
      </c>
      <c r="AF420" s="68" t="str">
        <f>IF(main!AR423="","",ROUND(main!AR423*100,6))</f>
        <v/>
      </c>
      <c r="AG420" s="68" t="str">
        <f>IF(main!AS423="","",ROUND(main!AS423*100,6))</f>
        <v/>
      </c>
      <c r="AH420" s="68" t="str">
        <f>IF(main!AT423="","",ROUND(main!AT423*100,6))</f>
        <v/>
      </c>
      <c r="AI420" s="68" t="str">
        <f>IF(main!AU423="","",ROUND(main!AU423*100,6))</f>
        <v/>
      </c>
      <c r="AJ420" s="68" t="str">
        <f>IF(main!AV423="","",ROUND(main!AV423*100,6))</f>
        <v/>
      </c>
      <c r="AK420" s="68" t="str">
        <f>IF(main!AW423="","",ROUND(main!AW423*100,6))</f>
        <v/>
      </c>
      <c r="AL420" s="68" t="str">
        <f>IF(main!AX423="","",ROUND(main!AX423*100,6))</f>
        <v/>
      </c>
      <c r="AM420" s="68" t="str">
        <f>IF(main!AY423="","",ROUND(main!AY423*100,6))</f>
        <v/>
      </c>
      <c r="AN420" s="68" t="str">
        <f>IF(main!AZ423="","",ROUND(main!AZ423*100,6))</f>
        <v/>
      </c>
      <c r="AO420" s="68" t="str">
        <f>IF(main!BA423="","",ROUND(main!BA423*100,6))</f>
        <v/>
      </c>
      <c r="AP420" s="68" t="str">
        <f>IF(main!BB423="","",ROUND(main!BB423*100,6))</f>
        <v/>
      </c>
      <c r="AQ420" s="68" t="str">
        <f>IF(main!BC423="","",ROUND(main!BC423*100,6))</f>
        <v/>
      </c>
      <c r="AR420" s="68" t="str">
        <f>IF(main!BD423="","",ROUND(main!BD423*100,6))</f>
        <v/>
      </c>
      <c r="AS420" s="68" t="str">
        <f>IF(main!BE423="","",ROUND(main!BE423*100,6))</f>
        <v/>
      </c>
      <c r="AT420" s="68" t="str">
        <f>IF(main!BF423="","",ROUND(main!BF423*100,6))</f>
        <v/>
      </c>
      <c r="AU420" s="68" t="str">
        <f>IF(main!BG423="","",ROUND(main!BG423*100,6))</f>
        <v/>
      </c>
      <c r="AV420" s="68" t="str">
        <f>IF(main!BH423="","",ROUND(main!BH423*100,6))</f>
        <v/>
      </c>
      <c r="AW420" s="68" t="str">
        <f>IF(main!BI423="","",ROUND(main!BI423*100,6))</f>
        <v/>
      </c>
      <c r="AX420" s="68" t="str">
        <f>IF(main!BJ423="","",ROUND(main!BJ423*100,6))</f>
        <v/>
      </c>
      <c r="AY420" s="68" t="str">
        <f>IF(main!BK423="","",ROUND(main!BK423*100,6))</f>
        <v/>
      </c>
      <c r="AZ420" s="68" t="str">
        <f>IF(main!BL423="","",ROUND(main!BL423*100,6))</f>
        <v/>
      </c>
      <c r="BA420" s="68" t="str">
        <f>IF(main!BM423="","",ROUND(main!BM423*100,6))</f>
        <v/>
      </c>
      <c r="BB420" s="68" t="str">
        <f>IF(main!BN423="","",ROUND(main!BN423*100,6))</f>
        <v/>
      </c>
      <c r="BC420" s="68" t="str">
        <f>IF(main!BO423="","",ROUND(main!BO423*100,6))</f>
        <v/>
      </c>
      <c r="BD420" s="68" t="str">
        <f>IF(main!BP423="","",ROUND(main!BP423*100,6))</f>
        <v/>
      </c>
      <c r="BE420" s="68" t="str">
        <f>IF(main!BQ423="","",ROUND(main!BQ423*100,6))</f>
        <v/>
      </c>
      <c r="BF420" s="68" t="str">
        <f>IF(main!BR423="","",ROUND(main!BR423*100,6))</f>
        <v/>
      </c>
      <c r="BG420" s="68" t="str">
        <f>IF(main!BS423="","",ROUND(main!BS423*100,6))</f>
        <v/>
      </c>
      <c r="BH420" s="68" t="str">
        <f>IF(main!BT423="","",ROUND(main!BT423*100,6))</f>
        <v/>
      </c>
      <c r="BI420" s="68" t="str">
        <f>IF(main!BU423="","",ROUND(main!BU423*100,6))</f>
        <v/>
      </c>
      <c r="BJ420" s="68" t="str">
        <f>IF(main!BV423="","",ROUND(main!BV423*100,6))</f>
        <v/>
      </c>
      <c r="BK420" s="68" t="str">
        <f>IF(main!BW423="","",ROUND(main!BW423*100,6))</f>
        <v/>
      </c>
      <c r="BL420" s="68" t="str">
        <f>IF(main!BX423="","",ROUND(main!BX423*100,6))</f>
        <v/>
      </c>
      <c r="BM420" s="68" t="str">
        <f>IF(main!BY423="","",ROUND(main!BY423*100,6))</f>
        <v/>
      </c>
      <c r="BN420" s="68" t="str">
        <f>IF(main!BZ423="","",ROUND(main!BZ423*100,6))</f>
        <v/>
      </c>
      <c r="BO420" s="68">
        <f>IF(main!CA423="","",ROUND(main!CA423*100,6))</f>
        <v>3.5714290000000002</v>
      </c>
      <c r="BP420" s="68">
        <f>IF(main!CB423="","",ROUND(main!CB423*100,6))</f>
        <v>25</v>
      </c>
      <c r="BQ420" s="68">
        <f>IF(main!CC423="","",ROUND(main!CC423*100,6))</f>
        <v>25</v>
      </c>
      <c r="BR420" s="68">
        <f>IF(main!CD423="","",ROUND(main!CD423*100,6))</f>
        <v>25</v>
      </c>
      <c r="BS420" s="68">
        <f>IF(main!CE423="","",ROUND(main!CE423*100,6))</f>
        <v>21.428571000000002</v>
      </c>
      <c r="BT420" s="68" t="str">
        <f>IF(main!CF423="","",ROUND(main!CF423*100,6))</f>
        <v/>
      </c>
      <c r="BU420" s="68" t="str">
        <f>IF(main!CG423="","",ROUND(main!CG423*100,6))</f>
        <v/>
      </c>
      <c r="BV420" s="68" t="str">
        <f>IF(main!CH423="","",ROUND(main!CH423*100,6))</f>
        <v/>
      </c>
      <c r="BW420" s="68" t="str">
        <f>IF(main!CI423="","",ROUND(main!CI423*100,6))</f>
        <v/>
      </c>
      <c r="BX420" s="68" t="str">
        <f>IF(main!CJ423="","",ROUND(main!CJ423*100,6))</f>
        <v/>
      </c>
      <c r="BY420" s="68" t="str">
        <f>IF(main!CK423="","",ROUND(main!CK423*100,6))</f>
        <v/>
      </c>
      <c r="BZ420" s="68" t="str">
        <f>IF(main!CL423="","",ROUND(main!CL423*100,6))</f>
        <v/>
      </c>
      <c r="CA420" s="68" t="str">
        <f>IF(main!CM423="","",ROUND(main!CM423*100,6))</f>
        <v/>
      </c>
      <c r="CB420" s="68" t="str">
        <f>IF(main!CN423="","",ROUND(main!CN423*100,6))</f>
        <v/>
      </c>
      <c r="CC420" s="68" t="str">
        <f>IF(main!CO423="","",ROUND(main!CO423*100,6))</f>
        <v/>
      </c>
    </row>
    <row r="421" spans="1:81" x14ac:dyDescent="0.25">
      <c r="A421" s="65" t="s">
        <v>576</v>
      </c>
      <c r="B421" s="66" t="str">
        <f>main!C423</f>
        <v>C3.3 ทางเดิน ฝ้าอลูมิเนียม ตามแบบ</v>
      </c>
      <c r="C421" s="67">
        <f>main!O423</f>
        <v>100000</v>
      </c>
      <c r="D421" s="65" t="s">
        <v>111</v>
      </c>
      <c r="E421" s="68" t="str">
        <f t="shared" si="6"/>
        <v/>
      </c>
      <c r="F421" s="68" t="str">
        <f>IF(main!R424="","",ROUND(main!R424*100,6))</f>
        <v/>
      </c>
      <c r="G421" s="68" t="str">
        <f>IF(main!S424="","",ROUND(main!S424*100,6))</f>
        <v/>
      </c>
      <c r="H421" s="68" t="str">
        <f>IF(main!T424="","",ROUND(main!T424*100,6))</f>
        <v/>
      </c>
      <c r="I421" s="68" t="str">
        <f>IF(main!U424="","",ROUND(main!U424*100,6))</f>
        <v/>
      </c>
      <c r="J421" s="68" t="str">
        <f>IF(main!V424="","",ROUND(main!V424*100,6))</f>
        <v/>
      </c>
      <c r="K421" s="68" t="str">
        <f>IF(main!W424="","",ROUND(main!W424*100,6))</f>
        <v/>
      </c>
      <c r="L421" s="68" t="str">
        <f>IF(main!X424="","",ROUND(main!X424*100,6))</f>
        <v/>
      </c>
      <c r="M421" s="68" t="str">
        <f>IF(main!Y424="","",ROUND(main!Y424*100,6))</f>
        <v/>
      </c>
      <c r="N421" s="68" t="str">
        <f>IF(main!Z424="","",ROUND(main!Z424*100,6))</f>
        <v/>
      </c>
      <c r="O421" s="68" t="str">
        <f>IF(main!AA424="","",ROUND(main!AA424*100,6))</f>
        <v/>
      </c>
      <c r="P421" s="68" t="str">
        <f>IF(main!AB424="","",ROUND(main!AB424*100,6))</f>
        <v/>
      </c>
      <c r="Q421" s="68" t="str">
        <f>IF(main!AC424="","",ROUND(main!AC424*100,6))</f>
        <v/>
      </c>
      <c r="R421" s="68" t="str">
        <f>IF(main!AD424="","",ROUND(main!AD424*100,6))</f>
        <v/>
      </c>
      <c r="S421" s="68" t="str">
        <f>IF(main!AE424="","",ROUND(main!AE424*100,6))</f>
        <v/>
      </c>
      <c r="T421" s="68" t="str">
        <f>IF(main!AF424="","",ROUND(main!AF424*100,6))</f>
        <v/>
      </c>
      <c r="U421" s="68" t="str">
        <f>IF(main!AG424="","",ROUND(main!AG424*100,6))</f>
        <v/>
      </c>
      <c r="V421" s="68" t="str">
        <f>IF(main!AH424="","",ROUND(main!AH424*100,6))</f>
        <v/>
      </c>
      <c r="W421" s="68" t="str">
        <f>IF(main!AI424="","",ROUND(main!AI424*100,6))</f>
        <v/>
      </c>
      <c r="X421" s="68" t="str">
        <f>IF(main!AJ424="","",ROUND(main!AJ424*100,6))</f>
        <v/>
      </c>
      <c r="Y421" s="68" t="str">
        <f>IF(main!AK424="","",ROUND(main!AK424*100,6))</f>
        <v/>
      </c>
      <c r="Z421" s="68" t="str">
        <f>IF(main!AL424="","",ROUND(main!AL424*100,6))</f>
        <v/>
      </c>
      <c r="AA421" s="68" t="str">
        <f>IF(main!AM424="","",ROUND(main!AM424*100,6))</f>
        <v/>
      </c>
      <c r="AB421" s="68" t="str">
        <f>IF(main!AN424="","",ROUND(main!AN424*100,6))</f>
        <v/>
      </c>
      <c r="AC421" s="68" t="str">
        <f>IF(main!AO424="","",ROUND(main!AO424*100,6))</f>
        <v/>
      </c>
      <c r="AD421" s="68" t="str">
        <f>IF(main!AP424="","",ROUND(main!AP424*100,6))</f>
        <v/>
      </c>
      <c r="AE421" s="68" t="str">
        <f>IF(main!AQ424="","",ROUND(main!AQ424*100,6))</f>
        <v/>
      </c>
      <c r="AF421" s="68" t="str">
        <f>IF(main!AR424="","",ROUND(main!AR424*100,6))</f>
        <v/>
      </c>
      <c r="AG421" s="68" t="str">
        <f>IF(main!AS424="","",ROUND(main!AS424*100,6))</f>
        <v/>
      </c>
      <c r="AH421" s="68" t="str">
        <f>IF(main!AT424="","",ROUND(main!AT424*100,6))</f>
        <v/>
      </c>
      <c r="AI421" s="68" t="str">
        <f>IF(main!AU424="","",ROUND(main!AU424*100,6))</f>
        <v/>
      </c>
      <c r="AJ421" s="68" t="str">
        <f>IF(main!AV424="","",ROUND(main!AV424*100,6))</f>
        <v/>
      </c>
      <c r="AK421" s="68" t="str">
        <f>IF(main!AW424="","",ROUND(main!AW424*100,6))</f>
        <v/>
      </c>
      <c r="AL421" s="68" t="str">
        <f>IF(main!AX424="","",ROUND(main!AX424*100,6))</f>
        <v/>
      </c>
      <c r="AM421" s="68" t="str">
        <f>IF(main!AY424="","",ROUND(main!AY424*100,6))</f>
        <v/>
      </c>
      <c r="AN421" s="68" t="str">
        <f>IF(main!AZ424="","",ROUND(main!AZ424*100,6))</f>
        <v/>
      </c>
      <c r="AO421" s="68" t="str">
        <f>IF(main!BA424="","",ROUND(main!BA424*100,6))</f>
        <v/>
      </c>
      <c r="AP421" s="68" t="str">
        <f>IF(main!BB424="","",ROUND(main!BB424*100,6))</f>
        <v/>
      </c>
      <c r="AQ421" s="68" t="str">
        <f>IF(main!BC424="","",ROUND(main!BC424*100,6))</f>
        <v/>
      </c>
      <c r="AR421" s="68" t="str">
        <f>IF(main!BD424="","",ROUND(main!BD424*100,6))</f>
        <v/>
      </c>
      <c r="AS421" s="68" t="str">
        <f>IF(main!BE424="","",ROUND(main!BE424*100,6))</f>
        <v/>
      </c>
      <c r="AT421" s="68" t="str">
        <f>IF(main!BF424="","",ROUND(main!BF424*100,6))</f>
        <v/>
      </c>
      <c r="AU421" s="68" t="str">
        <f>IF(main!BG424="","",ROUND(main!BG424*100,6))</f>
        <v/>
      </c>
      <c r="AV421" s="68" t="str">
        <f>IF(main!BH424="","",ROUND(main!BH424*100,6))</f>
        <v/>
      </c>
      <c r="AW421" s="68" t="str">
        <f>IF(main!BI424="","",ROUND(main!BI424*100,6))</f>
        <v/>
      </c>
      <c r="AX421" s="68" t="str">
        <f>IF(main!BJ424="","",ROUND(main!BJ424*100,6))</f>
        <v/>
      </c>
      <c r="AY421" s="68" t="str">
        <f>IF(main!BK424="","",ROUND(main!BK424*100,6))</f>
        <v/>
      </c>
      <c r="AZ421" s="68" t="str">
        <f>IF(main!BL424="","",ROUND(main!BL424*100,6))</f>
        <v/>
      </c>
      <c r="BA421" s="68" t="str">
        <f>IF(main!BM424="","",ROUND(main!BM424*100,6))</f>
        <v/>
      </c>
      <c r="BB421" s="68" t="str">
        <f>IF(main!BN424="","",ROUND(main!BN424*100,6))</f>
        <v/>
      </c>
      <c r="BC421" s="68" t="str">
        <f>IF(main!BO424="","",ROUND(main!BO424*100,6))</f>
        <v/>
      </c>
      <c r="BD421" s="68" t="str">
        <f>IF(main!BP424="","",ROUND(main!BP424*100,6))</f>
        <v/>
      </c>
      <c r="BE421" s="68" t="str">
        <f>IF(main!BQ424="","",ROUND(main!BQ424*100,6))</f>
        <v/>
      </c>
      <c r="BF421" s="68" t="str">
        <f>IF(main!BR424="","",ROUND(main!BR424*100,6))</f>
        <v/>
      </c>
      <c r="BG421" s="68" t="str">
        <f>IF(main!BS424="","",ROUND(main!BS424*100,6))</f>
        <v/>
      </c>
      <c r="BH421" s="68" t="str">
        <f>IF(main!BT424="","",ROUND(main!BT424*100,6))</f>
        <v/>
      </c>
      <c r="BI421" s="68" t="str">
        <f>IF(main!BU424="","",ROUND(main!BU424*100,6))</f>
        <v/>
      </c>
      <c r="BJ421" s="68" t="str">
        <f>IF(main!BV424="","",ROUND(main!BV424*100,6))</f>
        <v/>
      </c>
      <c r="BK421" s="68" t="str">
        <f>IF(main!BW424="","",ROUND(main!BW424*100,6))</f>
        <v/>
      </c>
      <c r="BL421" s="68" t="str">
        <f>IF(main!BX424="","",ROUND(main!BX424*100,6))</f>
        <v/>
      </c>
      <c r="BM421" s="68" t="str">
        <f>IF(main!BY424="","",ROUND(main!BY424*100,6))</f>
        <v/>
      </c>
      <c r="BN421" s="68" t="str">
        <f>IF(main!BZ424="","",ROUND(main!BZ424*100,6))</f>
        <v/>
      </c>
      <c r="BO421" s="68" t="str">
        <f>IF(main!CA424="","",ROUND(main!CA424*100,6))</f>
        <v/>
      </c>
      <c r="BP421" s="68" t="str">
        <f>IF(main!CB424="","",ROUND(main!CB424*100,6))</f>
        <v/>
      </c>
      <c r="BQ421" s="68" t="str">
        <f>IF(main!CC424="","",ROUND(main!CC424*100,6))</f>
        <v/>
      </c>
      <c r="BR421" s="68" t="str">
        <f>IF(main!CD424="","",ROUND(main!CD424*100,6))</f>
        <v/>
      </c>
      <c r="BS421" s="68" t="str">
        <f>IF(main!CE424="","",ROUND(main!CE424*100,6))</f>
        <v/>
      </c>
      <c r="BT421" s="68" t="str">
        <f>IF(main!CF424="","",ROUND(main!CF424*100,6))</f>
        <v/>
      </c>
      <c r="BU421" s="68" t="str">
        <f>IF(main!CG424="","",ROUND(main!CG424*100,6))</f>
        <v/>
      </c>
      <c r="BV421" s="68" t="str">
        <f>IF(main!CH424="","",ROUND(main!CH424*100,6))</f>
        <v/>
      </c>
      <c r="BW421" s="68" t="str">
        <f>IF(main!CI424="","",ROUND(main!CI424*100,6))</f>
        <v/>
      </c>
      <c r="BX421" s="68" t="str">
        <f>IF(main!CJ424="","",ROUND(main!CJ424*100,6))</f>
        <v/>
      </c>
      <c r="BY421" s="68" t="str">
        <f>IF(main!CK424="","",ROUND(main!CK424*100,6))</f>
        <v/>
      </c>
      <c r="BZ421" s="68" t="str">
        <f>IF(main!CL424="","",ROUND(main!CL424*100,6))</f>
        <v/>
      </c>
      <c r="CA421" s="68" t="str">
        <f>IF(main!CM424="","",ROUND(main!CM424*100,6))</f>
        <v/>
      </c>
      <c r="CB421" s="68" t="str">
        <f>IF(main!CN424="","",ROUND(main!CN424*100,6))</f>
        <v/>
      </c>
      <c r="CC421" s="68" t="str">
        <f>IF(main!CO424="","",ROUND(main!CO424*100,6))</f>
        <v/>
      </c>
    </row>
    <row r="422" spans="1:81" x14ac:dyDescent="0.25">
      <c r="A422" s="65" t="s">
        <v>579</v>
      </c>
      <c r="B422" s="66" t="str">
        <f>main!C425</f>
        <v>3rd Floor</v>
      </c>
      <c r="C422" s="67">
        <f>main!O425</f>
        <v>400000</v>
      </c>
      <c r="D422" s="65" t="s">
        <v>110</v>
      </c>
      <c r="E422" s="68">
        <f t="shared" si="6"/>
        <v>99.999999000000003</v>
      </c>
      <c r="F422" s="68" t="str">
        <f>IF(main!R425="","",ROUND(main!R425*100,6))</f>
        <v/>
      </c>
      <c r="G422" s="68" t="str">
        <f>IF(main!S425="","",ROUND(main!S425*100,6))</f>
        <v/>
      </c>
      <c r="H422" s="68" t="str">
        <f>IF(main!T425="","",ROUND(main!T425*100,6))</f>
        <v/>
      </c>
      <c r="I422" s="68" t="str">
        <f>IF(main!U425="","",ROUND(main!U425*100,6))</f>
        <v/>
      </c>
      <c r="J422" s="68" t="str">
        <f>IF(main!V425="","",ROUND(main!V425*100,6))</f>
        <v/>
      </c>
      <c r="K422" s="68" t="str">
        <f>IF(main!W425="","",ROUND(main!W425*100,6))</f>
        <v/>
      </c>
      <c r="L422" s="68" t="str">
        <f>IF(main!X425="","",ROUND(main!X425*100,6))</f>
        <v/>
      </c>
      <c r="M422" s="68" t="str">
        <f>IF(main!Y425="","",ROUND(main!Y425*100,6))</f>
        <v/>
      </c>
      <c r="N422" s="68" t="str">
        <f>IF(main!Z425="","",ROUND(main!Z425*100,6))</f>
        <v/>
      </c>
      <c r="O422" s="68" t="str">
        <f>IF(main!AA425="","",ROUND(main!AA425*100,6))</f>
        <v/>
      </c>
      <c r="P422" s="68" t="str">
        <f>IF(main!AB425="","",ROUND(main!AB425*100,6))</f>
        <v/>
      </c>
      <c r="Q422" s="68" t="str">
        <f>IF(main!AC425="","",ROUND(main!AC425*100,6))</f>
        <v/>
      </c>
      <c r="R422" s="68" t="str">
        <f>IF(main!AD425="","",ROUND(main!AD425*100,6))</f>
        <v/>
      </c>
      <c r="S422" s="68" t="str">
        <f>IF(main!AE425="","",ROUND(main!AE425*100,6))</f>
        <v/>
      </c>
      <c r="T422" s="68" t="str">
        <f>IF(main!AF425="","",ROUND(main!AF425*100,6))</f>
        <v/>
      </c>
      <c r="U422" s="68" t="str">
        <f>IF(main!AG425="","",ROUND(main!AG425*100,6))</f>
        <v/>
      </c>
      <c r="V422" s="68" t="str">
        <f>IF(main!AH425="","",ROUND(main!AH425*100,6))</f>
        <v/>
      </c>
      <c r="W422" s="68" t="str">
        <f>IF(main!AI425="","",ROUND(main!AI425*100,6))</f>
        <v/>
      </c>
      <c r="X422" s="68" t="str">
        <f>IF(main!AJ425="","",ROUND(main!AJ425*100,6))</f>
        <v/>
      </c>
      <c r="Y422" s="68" t="str">
        <f>IF(main!AK425="","",ROUND(main!AK425*100,6))</f>
        <v/>
      </c>
      <c r="Z422" s="68" t="str">
        <f>IF(main!AL425="","",ROUND(main!AL425*100,6))</f>
        <v/>
      </c>
      <c r="AA422" s="68" t="str">
        <f>IF(main!AM425="","",ROUND(main!AM425*100,6))</f>
        <v/>
      </c>
      <c r="AB422" s="68" t="str">
        <f>IF(main!AN425="","",ROUND(main!AN425*100,6))</f>
        <v/>
      </c>
      <c r="AC422" s="68" t="str">
        <f>IF(main!AO425="","",ROUND(main!AO425*100,6))</f>
        <v/>
      </c>
      <c r="AD422" s="68" t="str">
        <f>IF(main!AP425="","",ROUND(main!AP425*100,6))</f>
        <v/>
      </c>
      <c r="AE422" s="68" t="str">
        <f>IF(main!AQ425="","",ROUND(main!AQ425*100,6))</f>
        <v/>
      </c>
      <c r="AF422" s="68" t="str">
        <f>IF(main!AR425="","",ROUND(main!AR425*100,6))</f>
        <v/>
      </c>
      <c r="AG422" s="68" t="str">
        <f>IF(main!AS425="","",ROUND(main!AS425*100,6))</f>
        <v/>
      </c>
      <c r="AH422" s="68" t="str">
        <f>IF(main!AT425="","",ROUND(main!AT425*100,6))</f>
        <v/>
      </c>
      <c r="AI422" s="68" t="str">
        <f>IF(main!AU425="","",ROUND(main!AU425*100,6))</f>
        <v/>
      </c>
      <c r="AJ422" s="68" t="str">
        <f>IF(main!AV425="","",ROUND(main!AV425*100,6))</f>
        <v/>
      </c>
      <c r="AK422" s="68" t="str">
        <f>IF(main!AW425="","",ROUND(main!AW425*100,6))</f>
        <v/>
      </c>
      <c r="AL422" s="68" t="str">
        <f>IF(main!AX425="","",ROUND(main!AX425*100,6))</f>
        <v/>
      </c>
      <c r="AM422" s="68" t="str">
        <f>IF(main!AY425="","",ROUND(main!AY425*100,6))</f>
        <v/>
      </c>
      <c r="AN422" s="68" t="str">
        <f>IF(main!AZ425="","",ROUND(main!AZ425*100,6))</f>
        <v/>
      </c>
      <c r="AO422" s="68" t="str">
        <f>IF(main!BA425="","",ROUND(main!BA425*100,6))</f>
        <v/>
      </c>
      <c r="AP422" s="68" t="str">
        <f>IF(main!BB425="","",ROUND(main!BB425*100,6))</f>
        <v/>
      </c>
      <c r="AQ422" s="68" t="str">
        <f>IF(main!BC425="","",ROUND(main!BC425*100,6))</f>
        <v/>
      </c>
      <c r="AR422" s="68" t="str">
        <f>IF(main!BD425="","",ROUND(main!BD425*100,6))</f>
        <v/>
      </c>
      <c r="AS422" s="68" t="str">
        <f>IF(main!BE425="","",ROUND(main!BE425*100,6))</f>
        <v/>
      </c>
      <c r="AT422" s="68" t="str">
        <f>IF(main!BF425="","",ROUND(main!BF425*100,6))</f>
        <v/>
      </c>
      <c r="AU422" s="68" t="str">
        <f>IF(main!BG425="","",ROUND(main!BG425*100,6))</f>
        <v/>
      </c>
      <c r="AV422" s="68" t="str">
        <f>IF(main!BH425="","",ROUND(main!BH425*100,6))</f>
        <v/>
      </c>
      <c r="AW422" s="68" t="str">
        <f>IF(main!BI425="","",ROUND(main!BI425*100,6))</f>
        <v/>
      </c>
      <c r="AX422" s="68" t="str">
        <f>IF(main!BJ425="","",ROUND(main!BJ425*100,6))</f>
        <v/>
      </c>
      <c r="AY422" s="68" t="str">
        <f>IF(main!BK425="","",ROUND(main!BK425*100,6))</f>
        <v/>
      </c>
      <c r="AZ422" s="68" t="str">
        <f>IF(main!BL425="","",ROUND(main!BL425*100,6))</f>
        <v/>
      </c>
      <c r="BA422" s="68" t="str">
        <f>IF(main!BM425="","",ROUND(main!BM425*100,6))</f>
        <v/>
      </c>
      <c r="BB422" s="68" t="str">
        <f>IF(main!BN425="","",ROUND(main!BN425*100,6))</f>
        <v/>
      </c>
      <c r="BC422" s="68" t="str">
        <f>IF(main!BO425="","",ROUND(main!BO425*100,6))</f>
        <v/>
      </c>
      <c r="BD422" s="68" t="str">
        <f>IF(main!BP425="","",ROUND(main!BP425*100,6))</f>
        <v/>
      </c>
      <c r="BE422" s="68" t="str">
        <f>IF(main!BQ425="","",ROUND(main!BQ425*100,6))</f>
        <v/>
      </c>
      <c r="BF422" s="68" t="str">
        <f>IF(main!BR425="","",ROUND(main!BR425*100,6))</f>
        <v/>
      </c>
      <c r="BG422" s="68" t="str">
        <f>IF(main!BS425="","",ROUND(main!BS425*100,6))</f>
        <v/>
      </c>
      <c r="BH422" s="68" t="str">
        <f>IF(main!BT425="","",ROUND(main!BT425*100,6))</f>
        <v/>
      </c>
      <c r="BI422" s="68" t="str">
        <f>IF(main!BU425="","",ROUND(main!BU425*100,6))</f>
        <v/>
      </c>
      <c r="BJ422" s="68" t="str">
        <f>IF(main!BV425="","",ROUND(main!BV425*100,6))</f>
        <v/>
      </c>
      <c r="BK422" s="68" t="str">
        <f>IF(main!BW425="","",ROUND(main!BW425*100,6))</f>
        <v/>
      </c>
      <c r="BL422" s="68" t="str">
        <f>IF(main!BX425="","",ROUND(main!BX425*100,6))</f>
        <v/>
      </c>
      <c r="BM422" s="68" t="str">
        <f>IF(main!BY425="","",ROUND(main!BY425*100,6))</f>
        <v/>
      </c>
      <c r="BN422" s="68" t="str">
        <f>IF(main!BZ425="","",ROUND(main!BZ425*100,6))</f>
        <v/>
      </c>
      <c r="BO422" s="68" t="str">
        <f>IF(main!CA425="","",ROUND(main!CA425*100,6))</f>
        <v/>
      </c>
      <c r="BP422" s="68" t="str">
        <f>IF(main!CB425="","",ROUND(main!CB425*100,6))</f>
        <v/>
      </c>
      <c r="BQ422" s="68">
        <f>IF(main!CC425="","",ROUND(main!CC425*100,6))</f>
        <v>0.89285700000000001</v>
      </c>
      <c r="BR422" s="68">
        <f>IF(main!CD425="","",ROUND(main!CD425*100,6))</f>
        <v>6.25</v>
      </c>
      <c r="BS422" s="68">
        <f>IF(main!CE425="","",ROUND(main!CE425*100,6))</f>
        <v>6.25</v>
      </c>
      <c r="BT422" s="68">
        <f>IF(main!CF425="","",ROUND(main!CF425*100,6))</f>
        <v>6.25</v>
      </c>
      <c r="BU422" s="68">
        <f>IF(main!CG425="","",ROUND(main!CG425*100,6))</f>
        <v>13.690476</v>
      </c>
      <c r="BV422" s="68">
        <f>IF(main!CH425="","",ROUND(main!CH425*100,6))</f>
        <v>20.833333</v>
      </c>
      <c r="BW422" s="68">
        <f>IF(main!CI425="","",ROUND(main!CI425*100,6))</f>
        <v>20.833333</v>
      </c>
      <c r="BX422" s="68">
        <f>IF(main!CJ425="","",ROUND(main!CJ425*100,6))</f>
        <v>19.642856999999999</v>
      </c>
      <c r="BY422" s="68">
        <f>IF(main!CK425="","",ROUND(main!CK425*100,6))</f>
        <v>5.3571429999999998</v>
      </c>
      <c r="BZ422" s="68" t="str">
        <f>IF(main!CL425="","",ROUND(main!CL425*100,6))</f>
        <v/>
      </c>
      <c r="CA422" s="68" t="str">
        <f>IF(main!CM425="","",ROUND(main!CM425*100,6))</f>
        <v/>
      </c>
      <c r="CB422" s="68" t="str">
        <f>IF(main!CN425="","",ROUND(main!CN425*100,6))</f>
        <v/>
      </c>
      <c r="CC422" s="68" t="str">
        <f>IF(main!CO425="","",ROUND(main!CO425*100,6))</f>
        <v/>
      </c>
    </row>
    <row r="423" spans="1:81" x14ac:dyDescent="0.25">
      <c r="A423" s="65" t="s">
        <v>579</v>
      </c>
      <c r="B423" s="66" t="str">
        <f>main!C425</f>
        <v>3rd Floor</v>
      </c>
      <c r="C423" s="67">
        <f>main!O425</f>
        <v>400000</v>
      </c>
      <c r="D423" s="65" t="s">
        <v>111</v>
      </c>
      <c r="E423" s="68" t="str">
        <f t="shared" si="6"/>
        <v/>
      </c>
      <c r="F423" s="68" t="str">
        <f>IF(main!R426="","",ROUND(main!R426*100,6))</f>
        <v/>
      </c>
      <c r="G423" s="68" t="str">
        <f>IF(main!S426="","",ROUND(main!S426*100,6))</f>
        <v/>
      </c>
      <c r="H423" s="68" t="str">
        <f>IF(main!T426="","",ROUND(main!T426*100,6))</f>
        <v/>
      </c>
      <c r="I423" s="68" t="str">
        <f>IF(main!U426="","",ROUND(main!U426*100,6))</f>
        <v/>
      </c>
      <c r="J423" s="68" t="str">
        <f>IF(main!V426="","",ROUND(main!V426*100,6))</f>
        <v/>
      </c>
      <c r="K423" s="68" t="str">
        <f>IF(main!W426="","",ROUND(main!W426*100,6))</f>
        <v/>
      </c>
      <c r="L423" s="68" t="str">
        <f>IF(main!X426="","",ROUND(main!X426*100,6))</f>
        <v/>
      </c>
      <c r="M423" s="68" t="str">
        <f>IF(main!Y426="","",ROUND(main!Y426*100,6))</f>
        <v/>
      </c>
      <c r="N423" s="68" t="str">
        <f>IF(main!Z426="","",ROUND(main!Z426*100,6))</f>
        <v/>
      </c>
      <c r="O423" s="68" t="str">
        <f>IF(main!AA426="","",ROUND(main!AA426*100,6))</f>
        <v/>
      </c>
      <c r="P423" s="68" t="str">
        <f>IF(main!AB426="","",ROUND(main!AB426*100,6))</f>
        <v/>
      </c>
      <c r="Q423" s="68" t="str">
        <f>IF(main!AC426="","",ROUND(main!AC426*100,6))</f>
        <v/>
      </c>
      <c r="R423" s="68" t="str">
        <f>IF(main!AD426="","",ROUND(main!AD426*100,6))</f>
        <v/>
      </c>
      <c r="S423" s="68" t="str">
        <f>IF(main!AE426="","",ROUND(main!AE426*100,6))</f>
        <v/>
      </c>
      <c r="T423" s="68" t="str">
        <f>IF(main!AF426="","",ROUND(main!AF426*100,6))</f>
        <v/>
      </c>
      <c r="U423" s="68" t="str">
        <f>IF(main!AG426="","",ROUND(main!AG426*100,6))</f>
        <v/>
      </c>
      <c r="V423" s="68" t="str">
        <f>IF(main!AH426="","",ROUND(main!AH426*100,6))</f>
        <v/>
      </c>
      <c r="W423" s="68" t="str">
        <f>IF(main!AI426="","",ROUND(main!AI426*100,6))</f>
        <v/>
      </c>
      <c r="X423" s="68" t="str">
        <f>IF(main!AJ426="","",ROUND(main!AJ426*100,6))</f>
        <v/>
      </c>
      <c r="Y423" s="68" t="str">
        <f>IF(main!AK426="","",ROUND(main!AK426*100,6))</f>
        <v/>
      </c>
      <c r="Z423" s="68" t="str">
        <f>IF(main!AL426="","",ROUND(main!AL426*100,6))</f>
        <v/>
      </c>
      <c r="AA423" s="68" t="str">
        <f>IF(main!AM426="","",ROUND(main!AM426*100,6))</f>
        <v/>
      </c>
      <c r="AB423" s="68" t="str">
        <f>IF(main!AN426="","",ROUND(main!AN426*100,6))</f>
        <v/>
      </c>
      <c r="AC423" s="68" t="str">
        <f>IF(main!AO426="","",ROUND(main!AO426*100,6))</f>
        <v/>
      </c>
      <c r="AD423" s="68" t="str">
        <f>IF(main!AP426="","",ROUND(main!AP426*100,6))</f>
        <v/>
      </c>
      <c r="AE423" s="68" t="str">
        <f>IF(main!AQ426="","",ROUND(main!AQ426*100,6))</f>
        <v/>
      </c>
      <c r="AF423" s="68" t="str">
        <f>IF(main!AR426="","",ROUND(main!AR426*100,6))</f>
        <v/>
      </c>
      <c r="AG423" s="68" t="str">
        <f>IF(main!AS426="","",ROUND(main!AS426*100,6))</f>
        <v/>
      </c>
      <c r="AH423" s="68" t="str">
        <f>IF(main!AT426="","",ROUND(main!AT426*100,6))</f>
        <v/>
      </c>
      <c r="AI423" s="68" t="str">
        <f>IF(main!AU426="","",ROUND(main!AU426*100,6))</f>
        <v/>
      </c>
      <c r="AJ423" s="68" t="str">
        <f>IF(main!AV426="","",ROUND(main!AV426*100,6))</f>
        <v/>
      </c>
      <c r="AK423" s="68" t="str">
        <f>IF(main!AW426="","",ROUND(main!AW426*100,6))</f>
        <v/>
      </c>
      <c r="AL423" s="68" t="str">
        <f>IF(main!AX426="","",ROUND(main!AX426*100,6))</f>
        <v/>
      </c>
      <c r="AM423" s="68" t="str">
        <f>IF(main!AY426="","",ROUND(main!AY426*100,6))</f>
        <v/>
      </c>
      <c r="AN423" s="68" t="str">
        <f>IF(main!AZ426="","",ROUND(main!AZ426*100,6))</f>
        <v/>
      </c>
      <c r="AO423" s="68" t="str">
        <f>IF(main!BA426="","",ROUND(main!BA426*100,6))</f>
        <v/>
      </c>
      <c r="AP423" s="68" t="str">
        <f>IF(main!BB426="","",ROUND(main!BB426*100,6))</f>
        <v/>
      </c>
      <c r="AQ423" s="68" t="str">
        <f>IF(main!BC426="","",ROUND(main!BC426*100,6))</f>
        <v/>
      </c>
      <c r="AR423" s="68" t="str">
        <f>IF(main!BD426="","",ROUND(main!BD426*100,6))</f>
        <v/>
      </c>
      <c r="AS423" s="68" t="str">
        <f>IF(main!BE426="","",ROUND(main!BE426*100,6))</f>
        <v/>
      </c>
      <c r="AT423" s="68" t="str">
        <f>IF(main!BF426="","",ROUND(main!BF426*100,6))</f>
        <v/>
      </c>
      <c r="AU423" s="68" t="str">
        <f>IF(main!BG426="","",ROUND(main!BG426*100,6))</f>
        <v/>
      </c>
      <c r="AV423" s="68" t="str">
        <f>IF(main!BH426="","",ROUND(main!BH426*100,6))</f>
        <v/>
      </c>
      <c r="AW423" s="68" t="str">
        <f>IF(main!BI426="","",ROUND(main!BI426*100,6))</f>
        <v/>
      </c>
      <c r="AX423" s="68" t="str">
        <f>IF(main!BJ426="","",ROUND(main!BJ426*100,6))</f>
        <v/>
      </c>
      <c r="AY423" s="68" t="str">
        <f>IF(main!BK426="","",ROUND(main!BK426*100,6))</f>
        <v/>
      </c>
      <c r="AZ423" s="68" t="str">
        <f>IF(main!BL426="","",ROUND(main!BL426*100,6))</f>
        <v/>
      </c>
      <c r="BA423" s="68" t="str">
        <f>IF(main!BM426="","",ROUND(main!BM426*100,6))</f>
        <v/>
      </c>
      <c r="BB423" s="68" t="str">
        <f>IF(main!BN426="","",ROUND(main!BN426*100,6))</f>
        <v/>
      </c>
      <c r="BC423" s="68" t="str">
        <f>IF(main!BO426="","",ROUND(main!BO426*100,6))</f>
        <v/>
      </c>
      <c r="BD423" s="68" t="str">
        <f>IF(main!BP426="","",ROUND(main!BP426*100,6))</f>
        <v/>
      </c>
      <c r="BE423" s="68" t="str">
        <f>IF(main!BQ426="","",ROUND(main!BQ426*100,6))</f>
        <v/>
      </c>
      <c r="BF423" s="68" t="str">
        <f>IF(main!BR426="","",ROUND(main!BR426*100,6))</f>
        <v/>
      </c>
      <c r="BG423" s="68" t="str">
        <f>IF(main!BS426="","",ROUND(main!BS426*100,6))</f>
        <v/>
      </c>
      <c r="BH423" s="68" t="str">
        <f>IF(main!BT426="","",ROUND(main!BT426*100,6))</f>
        <v/>
      </c>
      <c r="BI423" s="68" t="str">
        <f>IF(main!BU426="","",ROUND(main!BU426*100,6))</f>
        <v/>
      </c>
      <c r="BJ423" s="68" t="str">
        <f>IF(main!BV426="","",ROUND(main!BV426*100,6))</f>
        <v/>
      </c>
      <c r="BK423" s="68" t="str">
        <f>IF(main!BW426="","",ROUND(main!BW426*100,6))</f>
        <v/>
      </c>
      <c r="BL423" s="68" t="str">
        <f>IF(main!BX426="","",ROUND(main!BX426*100,6))</f>
        <v/>
      </c>
      <c r="BM423" s="68" t="str">
        <f>IF(main!BY426="","",ROUND(main!BY426*100,6))</f>
        <v/>
      </c>
      <c r="BN423" s="68" t="str">
        <f>IF(main!BZ426="","",ROUND(main!BZ426*100,6))</f>
        <v/>
      </c>
      <c r="BO423" s="68" t="str">
        <f>IF(main!CA426="","",ROUND(main!CA426*100,6))</f>
        <v/>
      </c>
      <c r="BP423" s="68" t="str">
        <f>IF(main!CB426="","",ROUND(main!CB426*100,6))</f>
        <v/>
      </c>
      <c r="BQ423" s="68" t="str">
        <f>IF(main!CC426="","",ROUND(main!CC426*100,6))</f>
        <v/>
      </c>
      <c r="BR423" s="68" t="str">
        <f>IF(main!CD426="","",ROUND(main!CD426*100,6))</f>
        <v/>
      </c>
      <c r="BS423" s="68" t="str">
        <f>IF(main!CE426="","",ROUND(main!CE426*100,6))</f>
        <v/>
      </c>
      <c r="BT423" s="68" t="str">
        <f>IF(main!CF426="","",ROUND(main!CF426*100,6))</f>
        <v/>
      </c>
      <c r="BU423" s="68" t="str">
        <f>IF(main!CG426="","",ROUND(main!CG426*100,6))</f>
        <v/>
      </c>
      <c r="BV423" s="68" t="str">
        <f>IF(main!CH426="","",ROUND(main!CH426*100,6))</f>
        <v/>
      </c>
      <c r="BW423" s="68" t="str">
        <f>IF(main!CI426="","",ROUND(main!CI426*100,6))</f>
        <v/>
      </c>
      <c r="BX423" s="68" t="str">
        <f>IF(main!CJ426="","",ROUND(main!CJ426*100,6))</f>
        <v/>
      </c>
      <c r="BY423" s="68" t="str">
        <f>IF(main!CK426="","",ROUND(main!CK426*100,6))</f>
        <v/>
      </c>
      <c r="BZ423" s="68" t="str">
        <f>IF(main!CL426="","",ROUND(main!CL426*100,6))</f>
        <v/>
      </c>
      <c r="CA423" s="68" t="str">
        <f>IF(main!CM426="","",ROUND(main!CM426*100,6))</f>
        <v/>
      </c>
      <c r="CB423" s="68" t="str">
        <f>IF(main!CN426="","",ROUND(main!CN426*100,6))</f>
        <v/>
      </c>
      <c r="CC423" s="68" t="str">
        <f>IF(main!CO426="","",ROUND(main!CO426*100,6))</f>
        <v/>
      </c>
    </row>
    <row r="424" spans="1:81" x14ac:dyDescent="0.25">
      <c r="A424" s="65" t="s">
        <v>580</v>
      </c>
      <c r="B424" s="66" t="str">
        <f>main!C427</f>
        <v>Wall | Wall Fn.</v>
      </c>
      <c r="C424" s="67">
        <f>main!O427</f>
        <v>100000</v>
      </c>
      <c r="D424" s="65" t="s">
        <v>110</v>
      </c>
      <c r="E424" s="68">
        <f t="shared" si="6"/>
        <v>100</v>
      </c>
      <c r="F424" s="68" t="str">
        <f>IF(main!R427="","",ROUND(main!R427*100,6))</f>
        <v/>
      </c>
      <c r="G424" s="68" t="str">
        <f>IF(main!S427="","",ROUND(main!S427*100,6))</f>
        <v/>
      </c>
      <c r="H424" s="68" t="str">
        <f>IF(main!T427="","",ROUND(main!T427*100,6))</f>
        <v/>
      </c>
      <c r="I424" s="68" t="str">
        <f>IF(main!U427="","",ROUND(main!U427*100,6))</f>
        <v/>
      </c>
      <c r="J424" s="68" t="str">
        <f>IF(main!V427="","",ROUND(main!V427*100,6))</f>
        <v/>
      </c>
      <c r="K424" s="68" t="str">
        <f>IF(main!W427="","",ROUND(main!W427*100,6))</f>
        <v/>
      </c>
      <c r="L424" s="68" t="str">
        <f>IF(main!X427="","",ROUND(main!X427*100,6))</f>
        <v/>
      </c>
      <c r="M424" s="68" t="str">
        <f>IF(main!Y427="","",ROUND(main!Y427*100,6))</f>
        <v/>
      </c>
      <c r="N424" s="68" t="str">
        <f>IF(main!Z427="","",ROUND(main!Z427*100,6))</f>
        <v/>
      </c>
      <c r="O424" s="68" t="str">
        <f>IF(main!AA427="","",ROUND(main!AA427*100,6))</f>
        <v/>
      </c>
      <c r="P424" s="68" t="str">
        <f>IF(main!AB427="","",ROUND(main!AB427*100,6))</f>
        <v/>
      </c>
      <c r="Q424" s="68" t="str">
        <f>IF(main!AC427="","",ROUND(main!AC427*100,6))</f>
        <v/>
      </c>
      <c r="R424" s="68" t="str">
        <f>IF(main!AD427="","",ROUND(main!AD427*100,6))</f>
        <v/>
      </c>
      <c r="S424" s="68" t="str">
        <f>IF(main!AE427="","",ROUND(main!AE427*100,6))</f>
        <v/>
      </c>
      <c r="T424" s="68" t="str">
        <f>IF(main!AF427="","",ROUND(main!AF427*100,6))</f>
        <v/>
      </c>
      <c r="U424" s="68" t="str">
        <f>IF(main!AG427="","",ROUND(main!AG427*100,6))</f>
        <v/>
      </c>
      <c r="V424" s="68" t="str">
        <f>IF(main!AH427="","",ROUND(main!AH427*100,6))</f>
        <v/>
      </c>
      <c r="W424" s="68" t="str">
        <f>IF(main!AI427="","",ROUND(main!AI427*100,6))</f>
        <v/>
      </c>
      <c r="X424" s="68" t="str">
        <f>IF(main!AJ427="","",ROUND(main!AJ427*100,6))</f>
        <v/>
      </c>
      <c r="Y424" s="68" t="str">
        <f>IF(main!AK427="","",ROUND(main!AK427*100,6))</f>
        <v/>
      </c>
      <c r="Z424" s="68" t="str">
        <f>IF(main!AL427="","",ROUND(main!AL427*100,6))</f>
        <v/>
      </c>
      <c r="AA424" s="68" t="str">
        <f>IF(main!AM427="","",ROUND(main!AM427*100,6))</f>
        <v/>
      </c>
      <c r="AB424" s="68" t="str">
        <f>IF(main!AN427="","",ROUND(main!AN427*100,6))</f>
        <v/>
      </c>
      <c r="AC424" s="68" t="str">
        <f>IF(main!AO427="","",ROUND(main!AO427*100,6))</f>
        <v/>
      </c>
      <c r="AD424" s="68" t="str">
        <f>IF(main!AP427="","",ROUND(main!AP427*100,6))</f>
        <v/>
      </c>
      <c r="AE424" s="68" t="str">
        <f>IF(main!AQ427="","",ROUND(main!AQ427*100,6))</f>
        <v/>
      </c>
      <c r="AF424" s="68" t="str">
        <f>IF(main!AR427="","",ROUND(main!AR427*100,6))</f>
        <v/>
      </c>
      <c r="AG424" s="68" t="str">
        <f>IF(main!AS427="","",ROUND(main!AS427*100,6))</f>
        <v/>
      </c>
      <c r="AH424" s="68" t="str">
        <f>IF(main!AT427="","",ROUND(main!AT427*100,6))</f>
        <v/>
      </c>
      <c r="AI424" s="68" t="str">
        <f>IF(main!AU427="","",ROUND(main!AU427*100,6))</f>
        <v/>
      </c>
      <c r="AJ424" s="68" t="str">
        <f>IF(main!AV427="","",ROUND(main!AV427*100,6))</f>
        <v/>
      </c>
      <c r="AK424" s="68" t="str">
        <f>IF(main!AW427="","",ROUND(main!AW427*100,6))</f>
        <v/>
      </c>
      <c r="AL424" s="68" t="str">
        <f>IF(main!AX427="","",ROUND(main!AX427*100,6))</f>
        <v/>
      </c>
      <c r="AM424" s="68" t="str">
        <f>IF(main!AY427="","",ROUND(main!AY427*100,6))</f>
        <v/>
      </c>
      <c r="AN424" s="68" t="str">
        <f>IF(main!AZ427="","",ROUND(main!AZ427*100,6))</f>
        <v/>
      </c>
      <c r="AO424" s="68" t="str">
        <f>IF(main!BA427="","",ROUND(main!BA427*100,6))</f>
        <v/>
      </c>
      <c r="AP424" s="68" t="str">
        <f>IF(main!BB427="","",ROUND(main!BB427*100,6))</f>
        <v/>
      </c>
      <c r="AQ424" s="68" t="str">
        <f>IF(main!BC427="","",ROUND(main!BC427*100,6))</f>
        <v/>
      </c>
      <c r="AR424" s="68" t="str">
        <f>IF(main!BD427="","",ROUND(main!BD427*100,6))</f>
        <v/>
      </c>
      <c r="AS424" s="68" t="str">
        <f>IF(main!BE427="","",ROUND(main!BE427*100,6))</f>
        <v/>
      </c>
      <c r="AT424" s="68" t="str">
        <f>IF(main!BF427="","",ROUND(main!BF427*100,6))</f>
        <v/>
      </c>
      <c r="AU424" s="68" t="str">
        <f>IF(main!BG427="","",ROUND(main!BG427*100,6))</f>
        <v/>
      </c>
      <c r="AV424" s="68" t="str">
        <f>IF(main!BH427="","",ROUND(main!BH427*100,6))</f>
        <v/>
      </c>
      <c r="AW424" s="68" t="str">
        <f>IF(main!BI427="","",ROUND(main!BI427*100,6))</f>
        <v/>
      </c>
      <c r="AX424" s="68" t="str">
        <f>IF(main!BJ427="","",ROUND(main!BJ427*100,6))</f>
        <v/>
      </c>
      <c r="AY424" s="68" t="str">
        <f>IF(main!BK427="","",ROUND(main!BK427*100,6))</f>
        <v/>
      </c>
      <c r="AZ424" s="68" t="str">
        <f>IF(main!BL427="","",ROUND(main!BL427*100,6))</f>
        <v/>
      </c>
      <c r="BA424" s="68" t="str">
        <f>IF(main!BM427="","",ROUND(main!BM427*100,6))</f>
        <v/>
      </c>
      <c r="BB424" s="68" t="str">
        <f>IF(main!BN427="","",ROUND(main!BN427*100,6))</f>
        <v/>
      </c>
      <c r="BC424" s="68" t="str">
        <f>IF(main!BO427="","",ROUND(main!BO427*100,6))</f>
        <v/>
      </c>
      <c r="BD424" s="68" t="str">
        <f>IF(main!BP427="","",ROUND(main!BP427*100,6))</f>
        <v/>
      </c>
      <c r="BE424" s="68" t="str">
        <f>IF(main!BQ427="","",ROUND(main!BQ427*100,6))</f>
        <v/>
      </c>
      <c r="BF424" s="68" t="str">
        <f>IF(main!BR427="","",ROUND(main!BR427*100,6))</f>
        <v/>
      </c>
      <c r="BG424" s="68" t="str">
        <f>IF(main!BS427="","",ROUND(main!BS427*100,6))</f>
        <v/>
      </c>
      <c r="BH424" s="68" t="str">
        <f>IF(main!BT427="","",ROUND(main!BT427*100,6))</f>
        <v/>
      </c>
      <c r="BI424" s="68" t="str">
        <f>IF(main!BU427="","",ROUND(main!BU427*100,6))</f>
        <v/>
      </c>
      <c r="BJ424" s="68" t="str">
        <f>IF(main!BV427="","",ROUND(main!BV427*100,6))</f>
        <v/>
      </c>
      <c r="BK424" s="68" t="str">
        <f>IF(main!BW427="","",ROUND(main!BW427*100,6))</f>
        <v/>
      </c>
      <c r="BL424" s="68" t="str">
        <f>IF(main!BX427="","",ROUND(main!BX427*100,6))</f>
        <v/>
      </c>
      <c r="BM424" s="68" t="str">
        <f>IF(main!BY427="","",ROUND(main!BY427*100,6))</f>
        <v/>
      </c>
      <c r="BN424" s="68" t="str">
        <f>IF(main!BZ427="","",ROUND(main!BZ427*100,6))</f>
        <v/>
      </c>
      <c r="BO424" s="68" t="str">
        <f>IF(main!CA427="","",ROUND(main!CA427*100,6))</f>
        <v/>
      </c>
      <c r="BP424" s="68" t="str">
        <f>IF(main!CB427="","",ROUND(main!CB427*100,6))</f>
        <v/>
      </c>
      <c r="BQ424" s="68">
        <f>IF(main!CC427="","",ROUND(main!CC427*100,6))</f>
        <v>3.5714290000000002</v>
      </c>
      <c r="BR424" s="68">
        <f>IF(main!CD427="","",ROUND(main!CD427*100,6))</f>
        <v>25</v>
      </c>
      <c r="BS424" s="68">
        <f>IF(main!CE427="","",ROUND(main!CE427*100,6))</f>
        <v>25</v>
      </c>
      <c r="BT424" s="68">
        <f>IF(main!CF427="","",ROUND(main!CF427*100,6))</f>
        <v>25</v>
      </c>
      <c r="BU424" s="68">
        <f>IF(main!CG427="","",ROUND(main!CG427*100,6))</f>
        <v>21.428571000000002</v>
      </c>
      <c r="BV424" s="68" t="str">
        <f>IF(main!CH427="","",ROUND(main!CH427*100,6))</f>
        <v/>
      </c>
      <c r="BW424" s="68" t="str">
        <f>IF(main!CI427="","",ROUND(main!CI427*100,6))</f>
        <v/>
      </c>
      <c r="BX424" s="68" t="str">
        <f>IF(main!CJ427="","",ROUND(main!CJ427*100,6))</f>
        <v/>
      </c>
      <c r="BY424" s="68" t="str">
        <f>IF(main!CK427="","",ROUND(main!CK427*100,6))</f>
        <v/>
      </c>
      <c r="BZ424" s="68" t="str">
        <f>IF(main!CL427="","",ROUND(main!CL427*100,6))</f>
        <v/>
      </c>
      <c r="CA424" s="68" t="str">
        <f>IF(main!CM427="","",ROUND(main!CM427*100,6))</f>
        <v/>
      </c>
      <c r="CB424" s="68" t="str">
        <f>IF(main!CN427="","",ROUND(main!CN427*100,6))</f>
        <v/>
      </c>
      <c r="CC424" s="68" t="str">
        <f>IF(main!CO427="","",ROUND(main!CO427*100,6))</f>
        <v/>
      </c>
    </row>
    <row r="425" spans="1:81" x14ac:dyDescent="0.25">
      <c r="A425" s="65" t="s">
        <v>580</v>
      </c>
      <c r="B425" s="66" t="str">
        <f>main!C427</f>
        <v>Wall | Wall Fn.</v>
      </c>
      <c r="C425" s="67">
        <f>main!O427</f>
        <v>100000</v>
      </c>
      <c r="D425" s="65" t="s">
        <v>111</v>
      </c>
      <c r="E425" s="68" t="str">
        <f t="shared" si="6"/>
        <v/>
      </c>
      <c r="F425" s="68" t="str">
        <f>IF(main!R428="","",ROUND(main!R428*100,6))</f>
        <v/>
      </c>
      <c r="G425" s="68" t="str">
        <f>IF(main!S428="","",ROUND(main!S428*100,6))</f>
        <v/>
      </c>
      <c r="H425" s="68" t="str">
        <f>IF(main!T428="","",ROUND(main!T428*100,6))</f>
        <v/>
      </c>
      <c r="I425" s="68" t="str">
        <f>IF(main!U428="","",ROUND(main!U428*100,6))</f>
        <v/>
      </c>
      <c r="J425" s="68" t="str">
        <f>IF(main!V428="","",ROUND(main!V428*100,6))</f>
        <v/>
      </c>
      <c r="K425" s="68" t="str">
        <f>IF(main!W428="","",ROUND(main!W428*100,6))</f>
        <v/>
      </c>
      <c r="L425" s="68" t="str">
        <f>IF(main!X428="","",ROUND(main!X428*100,6))</f>
        <v/>
      </c>
      <c r="M425" s="68" t="str">
        <f>IF(main!Y428="","",ROUND(main!Y428*100,6))</f>
        <v/>
      </c>
      <c r="N425" s="68" t="str">
        <f>IF(main!Z428="","",ROUND(main!Z428*100,6))</f>
        <v/>
      </c>
      <c r="O425" s="68" t="str">
        <f>IF(main!AA428="","",ROUND(main!AA428*100,6))</f>
        <v/>
      </c>
      <c r="P425" s="68" t="str">
        <f>IF(main!AB428="","",ROUND(main!AB428*100,6))</f>
        <v/>
      </c>
      <c r="Q425" s="68" t="str">
        <f>IF(main!AC428="","",ROUND(main!AC428*100,6))</f>
        <v/>
      </c>
      <c r="R425" s="68" t="str">
        <f>IF(main!AD428="","",ROUND(main!AD428*100,6))</f>
        <v/>
      </c>
      <c r="S425" s="68" t="str">
        <f>IF(main!AE428="","",ROUND(main!AE428*100,6))</f>
        <v/>
      </c>
      <c r="T425" s="68" t="str">
        <f>IF(main!AF428="","",ROUND(main!AF428*100,6))</f>
        <v/>
      </c>
      <c r="U425" s="68" t="str">
        <f>IF(main!AG428="","",ROUND(main!AG428*100,6))</f>
        <v/>
      </c>
      <c r="V425" s="68" t="str">
        <f>IF(main!AH428="","",ROUND(main!AH428*100,6))</f>
        <v/>
      </c>
      <c r="W425" s="68" t="str">
        <f>IF(main!AI428="","",ROUND(main!AI428*100,6))</f>
        <v/>
      </c>
      <c r="X425" s="68" t="str">
        <f>IF(main!AJ428="","",ROUND(main!AJ428*100,6))</f>
        <v/>
      </c>
      <c r="Y425" s="68" t="str">
        <f>IF(main!AK428="","",ROUND(main!AK428*100,6))</f>
        <v/>
      </c>
      <c r="Z425" s="68" t="str">
        <f>IF(main!AL428="","",ROUND(main!AL428*100,6))</f>
        <v/>
      </c>
      <c r="AA425" s="68" t="str">
        <f>IF(main!AM428="","",ROUND(main!AM428*100,6))</f>
        <v/>
      </c>
      <c r="AB425" s="68" t="str">
        <f>IF(main!AN428="","",ROUND(main!AN428*100,6))</f>
        <v/>
      </c>
      <c r="AC425" s="68" t="str">
        <f>IF(main!AO428="","",ROUND(main!AO428*100,6))</f>
        <v/>
      </c>
      <c r="AD425" s="68" t="str">
        <f>IF(main!AP428="","",ROUND(main!AP428*100,6))</f>
        <v/>
      </c>
      <c r="AE425" s="68" t="str">
        <f>IF(main!AQ428="","",ROUND(main!AQ428*100,6))</f>
        <v/>
      </c>
      <c r="AF425" s="68" t="str">
        <f>IF(main!AR428="","",ROUND(main!AR428*100,6))</f>
        <v/>
      </c>
      <c r="AG425" s="68" t="str">
        <f>IF(main!AS428="","",ROUND(main!AS428*100,6))</f>
        <v/>
      </c>
      <c r="AH425" s="68" t="str">
        <f>IF(main!AT428="","",ROUND(main!AT428*100,6))</f>
        <v/>
      </c>
      <c r="AI425" s="68" t="str">
        <f>IF(main!AU428="","",ROUND(main!AU428*100,6))</f>
        <v/>
      </c>
      <c r="AJ425" s="68" t="str">
        <f>IF(main!AV428="","",ROUND(main!AV428*100,6))</f>
        <v/>
      </c>
      <c r="AK425" s="68" t="str">
        <f>IF(main!AW428="","",ROUND(main!AW428*100,6))</f>
        <v/>
      </c>
      <c r="AL425" s="68" t="str">
        <f>IF(main!AX428="","",ROUND(main!AX428*100,6))</f>
        <v/>
      </c>
      <c r="AM425" s="68" t="str">
        <f>IF(main!AY428="","",ROUND(main!AY428*100,6))</f>
        <v/>
      </c>
      <c r="AN425" s="68" t="str">
        <f>IF(main!AZ428="","",ROUND(main!AZ428*100,6))</f>
        <v/>
      </c>
      <c r="AO425" s="68" t="str">
        <f>IF(main!BA428="","",ROUND(main!BA428*100,6))</f>
        <v/>
      </c>
      <c r="AP425" s="68" t="str">
        <f>IF(main!BB428="","",ROUND(main!BB428*100,6))</f>
        <v/>
      </c>
      <c r="AQ425" s="68" t="str">
        <f>IF(main!BC428="","",ROUND(main!BC428*100,6))</f>
        <v/>
      </c>
      <c r="AR425" s="68" t="str">
        <f>IF(main!BD428="","",ROUND(main!BD428*100,6))</f>
        <v/>
      </c>
      <c r="AS425" s="68" t="str">
        <f>IF(main!BE428="","",ROUND(main!BE428*100,6))</f>
        <v/>
      </c>
      <c r="AT425" s="68" t="str">
        <f>IF(main!BF428="","",ROUND(main!BF428*100,6))</f>
        <v/>
      </c>
      <c r="AU425" s="68" t="str">
        <f>IF(main!BG428="","",ROUND(main!BG428*100,6))</f>
        <v/>
      </c>
      <c r="AV425" s="68" t="str">
        <f>IF(main!BH428="","",ROUND(main!BH428*100,6))</f>
        <v/>
      </c>
      <c r="AW425" s="68" t="str">
        <f>IF(main!BI428="","",ROUND(main!BI428*100,6))</f>
        <v/>
      </c>
      <c r="AX425" s="68" t="str">
        <f>IF(main!BJ428="","",ROUND(main!BJ428*100,6))</f>
        <v/>
      </c>
      <c r="AY425" s="68" t="str">
        <f>IF(main!BK428="","",ROUND(main!BK428*100,6))</f>
        <v/>
      </c>
      <c r="AZ425" s="68" t="str">
        <f>IF(main!BL428="","",ROUND(main!BL428*100,6))</f>
        <v/>
      </c>
      <c r="BA425" s="68" t="str">
        <f>IF(main!BM428="","",ROUND(main!BM428*100,6))</f>
        <v/>
      </c>
      <c r="BB425" s="68" t="str">
        <f>IF(main!BN428="","",ROUND(main!BN428*100,6))</f>
        <v/>
      </c>
      <c r="BC425" s="68" t="str">
        <f>IF(main!BO428="","",ROUND(main!BO428*100,6))</f>
        <v/>
      </c>
      <c r="BD425" s="68" t="str">
        <f>IF(main!BP428="","",ROUND(main!BP428*100,6))</f>
        <v/>
      </c>
      <c r="BE425" s="68" t="str">
        <f>IF(main!BQ428="","",ROUND(main!BQ428*100,6))</f>
        <v/>
      </c>
      <c r="BF425" s="68" t="str">
        <f>IF(main!BR428="","",ROUND(main!BR428*100,6))</f>
        <v/>
      </c>
      <c r="BG425" s="68" t="str">
        <f>IF(main!BS428="","",ROUND(main!BS428*100,6))</f>
        <v/>
      </c>
      <c r="BH425" s="68" t="str">
        <f>IF(main!BT428="","",ROUND(main!BT428*100,6))</f>
        <v/>
      </c>
      <c r="BI425" s="68" t="str">
        <f>IF(main!BU428="","",ROUND(main!BU428*100,6))</f>
        <v/>
      </c>
      <c r="BJ425" s="68" t="str">
        <f>IF(main!BV428="","",ROUND(main!BV428*100,6))</f>
        <v/>
      </c>
      <c r="BK425" s="68" t="str">
        <f>IF(main!BW428="","",ROUND(main!BW428*100,6))</f>
        <v/>
      </c>
      <c r="BL425" s="68" t="str">
        <f>IF(main!BX428="","",ROUND(main!BX428*100,6))</f>
        <v/>
      </c>
      <c r="BM425" s="68" t="str">
        <f>IF(main!BY428="","",ROUND(main!BY428*100,6))</f>
        <v/>
      </c>
      <c r="BN425" s="68" t="str">
        <f>IF(main!BZ428="","",ROUND(main!BZ428*100,6))</f>
        <v/>
      </c>
      <c r="BO425" s="68" t="str">
        <f>IF(main!CA428="","",ROUND(main!CA428*100,6))</f>
        <v/>
      </c>
      <c r="BP425" s="68" t="str">
        <f>IF(main!CB428="","",ROUND(main!CB428*100,6))</f>
        <v/>
      </c>
      <c r="BQ425" s="68" t="str">
        <f>IF(main!CC428="","",ROUND(main!CC428*100,6))</f>
        <v/>
      </c>
      <c r="BR425" s="68" t="str">
        <f>IF(main!CD428="","",ROUND(main!CD428*100,6))</f>
        <v/>
      </c>
      <c r="BS425" s="68" t="str">
        <f>IF(main!CE428="","",ROUND(main!CE428*100,6))</f>
        <v/>
      </c>
      <c r="BT425" s="68" t="str">
        <f>IF(main!CF428="","",ROUND(main!CF428*100,6))</f>
        <v/>
      </c>
      <c r="BU425" s="68" t="str">
        <f>IF(main!CG428="","",ROUND(main!CG428*100,6))</f>
        <v/>
      </c>
      <c r="BV425" s="68" t="str">
        <f>IF(main!CH428="","",ROUND(main!CH428*100,6))</f>
        <v/>
      </c>
      <c r="BW425" s="68" t="str">
        <f>IF(main!CI428="","",ROUND(main!CI428*100,6))</f>
        <v/>
      </c>
      <c r="BX425" s="68" t="str">
        <f>IF(main!CJ428="","",ROUND(main!CJ428*100,6))</f>
        <v/>
      </c>
      <c r="BY425" s="68" t="str">
        <f>IF(main!CK428="","",ROUND(main!CK428*100,6))</f>
        <v/>
      </c>
      <c r="BZ425" s="68" t="str">
        <f>IF(main!CL428="","",ROUND(main!CL428*100,6))</f>
        <v/>
      </c>
      <c r="CA425" s="68" t="str">
        <f>IF(main!CM428="","",ROUND(main!CM428*100,6))</f>
        <v/>
      </c>
      <c r="CB425" s="68" t="str">
        <f>IF(main!CN428="","",ROUND(main!CN428*100,6))</f>
        <v/>
      </c>
      <c r="CC425" s="68" t="str">
        <f>IF(main!CO428="","",ROUND(main!CO428*100,6))</f>
        <v/>
      </c>
    </row>
    <row r="426" spans="1:81" ht="30" x14ac:dyDescent="0.25">
      <c r="A426" s="65" t="s">
        <v>581</v>
      </c>
      <c r="B426" s="66" t="str">
        <f>main!C429</f>
        <v>P5  ผนังยิปซัมบอร์ดกรุวัสดุซับเสียง ปิดทับด้วยวัสดุตามแบบตกแต่งภายใน</v>
      </c>
      <c r="C426" s="67">
        <f>main!O429</f>
        <v>100000</v>
      </c>
      <c r="D426" s="65" t="s">
        <v>110</v>
      </c>
      <c r="E426" s="68">
        <f t="shared" si="6"/>
        <v>100</v>
      </c>
      <c r="F426" s="68" t="str">
        <f>IF(main!R429="","",ROUND(main!R429*100,6))</f>
        <v/>
      </c>
      <c r="G426" s="68" t="str">
        <f>IF(main!S429="","",ROUND(main!S429*100,6))</f>
        <v/>
      </c>
      <c r="H426" s="68" t="str">
        <f>IF(main!T429="","",ROUND(main!T429*100,6))</f>
        <v/>
      </c>
      <c r="I426" s="68" t="str">
        <f>IF(main!U429="","",ROUND(main!U429*100,6))</f>
        <v/>
      </c>
      <c r="J426" s="68" t="str">
        <f>IF(main!V429="","",ROUND(main!V429*100,6))</f>
        <v/>
      </c>
      <c r="K426" s="68" t="str">
        <f>IF(main!W429="","",ROUND(main!W429*100,6))</f>
        <v/>
      </c>
      <c r="L426" s="68" t="str">
        <f>IF(main!X429="","",ROUND(main!X429*100,6))</f>
        <v/>
      </c>
      <c r="M426" s="68" t="str">
        <f>IF(main!Y429="","",ROUND(main!Y429*100,6))</f>
        <v/>
      </c>
      <c r="N426" s="68" t="str">
        <f>IF(main!Z429="","",ROUND(main!Z429*100,6))</f>
        <v/>
      </c>
      <c r="O426" s="68" t="str">
        <f>IF(main!AA429="","",ROUND(main!AA429*100,6))</f>
        <v/>
      </c>
      <c r="P426" s="68" t="str">
        <f>IF(main!AB429="","",ROUND(main!AB429*100,6))</f>
        <v/>
      </c>
      <c r="Q426" s="68" t="str">
        <f>IF(main!AC429="","",ROUND(main!AC429*100,6))</f>
        <v/>
      </c>
      <c r="R426" s="68" t="str">
        <f>IF(main!AD429="","",ROUND(main!AD429*100,6))</f>
        <v/>
      </c>
      <c r="S426" s="68" t="str">
        <f>IF(main!AE429="","",ROUND(main!AE429*100,6))</f>
        <v/>
      </c>
      <c r="T426" s="68" t="str">
        <f>IF(main!AF429="","",ROUND(main!AF429*100,6))</f>
        <v/>
      </c>
      <c r="U426" s="68" t="str">
        <f>IF(main!AG429="","",ROUND(main!AG429*100,6))</f>
        <v/>
      </c>
      <c r="V426" s="68" t="str">
        <f>IF(main!AH429="","",ROUND(main!AH429*100,6))</f>
        <v/>
      </c>
      <c r="W426" s="68" t="str">
        <f>IF(main!AI429="","",ROUND(main!AI429*100,6))</f>
        <v/>
      </c>
      <c r="X426" s="68" t="str">
        <f>IF(main!AJ429="","",ROUND(main!AJ429*100,6))</f>
        <v/>
      </c>
      <c r="Y426" s="68" t="str">
        <f>IF(main!AK429="","",ROUND(main!AK429*100,6))</f>
        <v/>
      </c>
      <c r="Z426" s="68" t="str">
        <f>IF(main!AL429="","",ROUND(main!AL429*100,6))</f>
        <v/>
      </c>
      <c r="AA426" s="68" t="str">
        <f>IF(main!AM429="","",ROUND(main!AM429*100,6))</f>
        <v/>
      </c>
      <c r="AB426" s="68" t="str">
        <f>IF(main!AN429="","",ROUND(main!AN429*100,6))</f>
        <v/>
      </c>
      <c r="AC426" s="68" t="str">
        <f>IF(main!AO429="","",ROUND(main!AO429*100,6))</f>
        <v/>
      </c>
      <c r="AD426" s="68" t="str">
        <f>IF(main!AP429="","",ROUND(main!AP429*100,6))</f>
        <v/>
      </c>
      <c r="AE426" s="68" t="str">
        <f>IF(main!AQ429="","",ROUND(main!AQ429*100,6))</f>
        <v/>
      </c>
      <c r="AF426" s="68" t="str">
        <f>IF(main!AR429="","",ROUND(main!AR429*100,6))</f>
        <v/>
      </c>
      <c r="AG426" s="68" t="str">
        <f>IF(main!AS429="","",ROUND(main!AS429*100,6))</f>
        <v/>
      </c>
      <c r="AH426" s="68" t="str">
        <f>IF(main!AT429="","",ROUND(main!AT429*100,6))</f>
        <v/>
      </c>
      <c r="AI426" s="68" t="str">
        <f>IF(main!AU429="","",ROUND(main!AU429*100,6))</f>
        <v/>
      </c>
      <c r="AJ426" s="68" t="str">
        <f>IF(main!AV429="","",ROUND(main!AV429*100,6))</f>
        <v/>
      </c>
      <c r="AK426" s="68" t="str">
        <f>IF(main!AW429="","",ROUND(main!AW429*100,6))</f>
        <v/>
      </c>
      <c r="AL426" s="68" t="str">
        <f>IF(main!AX429="","",ROUND(main!AX429*100,6))</f>
        <v/>
      </c>
      <c r="AM426" s="68" t="str">
        <f>IF(main!AY429="","",ROUND(main!AY429*100,6))</f>
        <v/>
      </c>
      <c r="AN426" s="68" t="str">
        <f>IF(main!AZ429="","",ROUND(main!AZ429*100,6))</f>
        <v/>
      </c>
      <c r="AO426" s="68" t="str">
        <f>IF(main!BA429="","",ROUND(main!BA429*100,6))</f>
        <v/>
      </c>
      <c r="AP426" s="68" t="str">
        <f>IF(main!BB429="","",ROUND(main!BB429*100,6))</f>
        <v/>
      </c>
      <c r="AQ426" s="68" t="str">
        <f>IF(main!BC429="","",ROUND(main!BC429*100,6))</f>
        <v/>
      </c>
      <c r="AR426" s="68" t="str">
        <f>IF(main!BD429="","",ROUND(main!BD429*100,6))</f>
        <v/>
      </c>
      <c r="AS426" s="68" t="str">
        <f>IF(main!BE429="","",ROUND(main!BE429*100,6))</f>
        <v/>
      </c>
      <c r="AT426" s="68" t="str">
        <f>IF(main!BF429="","",ROUND(main!BF429*100,6))</f>
        <v/>
      </c>
      <c r="AU426" s="68" t="str">
        <f>IF(main!BG429="","",ROUND(main!BG429*100,6))</f>
        <v/>
      </c>
      <c r="AV426" s="68" t="str">
        <f>IF(main!BH429="","",ROUND(main!BH429*100,6))</f>
        <v/>
      </c>
      <c r="AW426" s="68" t="str">
        <f>IF(main!BI429="","",ROUND(main!BI429*100,6))</f>
        <v/>
      </c>
      <c r="AX426" s="68" t="str">
        <f>IF(main!BJ429="","",ROUND(main!BJ429*100,6))</f>
        <v/>
      </c>
      <c r="AY426" s="68" t="str">
        <f>IF(main!BK429="","",ROUND(main!BK429*100,6))</f>
        <v/>
      </c>
      <c r="AZ426" s="68" t="str">
        <f>IF(main!BL429="","",ROUND(main!BL429*100,6))</f>
        <v/>
      </c>
      <c r="BA426" s="68" t="str">
        <f>IF(main!BM429="","",ROUND(main!BM429*100,6))</f>
        <v/>
      </c>
      <c r="BB426" s="68" t="str">
        <f>IF(main!BN429="","",ROUND(main!BN429*100,6))</f>
        <v/>
      </c>
      <c r="BC426" s="68" t="str">
        <f>IF(main!BO429="","",ROUND(main!BO429*100,6))</f>
        <v/>
      </c>
      <c r="BD426" s="68" t="str">
        <f>IF(main!BP429="","",ROUND(main!BP429*100,6))</f>
        <v/>
      </c>
      <c r="BE426" s="68" t="str">
        <f>IF(main!BQ429="","",ROUND(main!BQ429*100,6))</f>
        <v/>
      </c>
      <c r="BF426" s="68" t="str">
        <f>IF(main!BR429="","",ROUND(main!BR429*100,6))</f>
        <v/>
      </c>
      <c r="BG426" s="68" t="str">
        <f>IF(main!BS429="","",ROUND(main!BS429*100,6))</f>
        <v/>
      </c>
      <c r="BH426" s="68" t="str">
        <f>IF(main!BT429="","",ROUND(main!BT429*100,6))</f>
        <v/>
      </c>
      <c r="BI426" s="68" t="str">
        <f>IF(main!BU429="","",ROUND(main!BU429*100,6))</f>
        <v/>
      </c>
      <c r="BJ426" s="68" t="str">
        <f>IF(main!BV429="","",ROUND(main!BV429*100,6))</f>
        <v/>
      </c>
      <c r="BK426" s="68" t="str">
        <f>IF(main!BW429="","",ROUND(main!BW429*100,6))</f>
        <v/>
      </c>
      <c r="BL426" s="68" t="str">
        <f>IF(main!BX429="","",ROUND(main!BX429*100,6))</f>
        <v/>
      </c>
      <c r="BM426" s="68" t="str">
        <f>IF(main!BY429="","",ROUND(main!BY429*100,6))</f>
        <v/>
      </c>
      <c r="BN426" s="68" t="str">
        <f>IF(main!BZ429="","",ROUND(main!BZ429*100,6))</f>
        <v/>
      </c>
      <c r="BO426" s="68" t="str">
        <f>IF(main!CA429="","",ROUND(main!CA429*100,6))</f>
        <v/>
      </c>
      <c r="BP426" s="68" t="str">
        <f>IF(main!CB429="","",ROUND(main!CB429*100,6))</f>
        <v/>
      </c>
      <c r="BQ426" s="68">
        <f>IF(main!CC429="","",ROUND(main!CC429*100,6))</f>
        <v>3.5714290000000002</v>
      </c>
      <c r="BR426" s="68">
        <f>IF(main!CD429="","",ROUND(main!CD429*100,6))</f>
        <v>25</v>
      </c>
      <c r="BS426" s="68">
        <f>IF(main!CE429="","",ROUND(main!CE429*100,6))</f>
        <v>25</v>
      </c>
      <c r="BT426" s="68">
        <f>IF(main!CF429="","",ROUND(main!CF429*100,6))</f>
        <v>25</v>
      </c>
      <c r="BU426" s="68">
        <f>IF(main!CG429="","",ROUND(main!CG429*100,6))</f>
        <v>21.428571000000002</v>
      </c>
      <c r="BV426" s="68" t="str">
        <f>IF(main!CH429="","",ROUND(main!CH429*100,6))</f>
        <v/>
      </c>
      <c r="BW426" s="68" t="str">
        <f>IF(main!CI429="","",ROUND(main!CI429*100,6))</f>
        <v/>
      </c>
      <c r="BX426" s="68" t="str">
        <f>IF(main!CJ429="","",ROUND(main!CJ429*100,6))</f>
        <v/>
      </c>
      <c r="BY426" s="68" t="str">
        <f>IF(main!CK429="","",ROUND(main!CK429*100,6))</f>
        <v/>
      </c>
      <c r="BZ426" s="68" t="str">
        <f>IF(main!CL429="","",ROUND(main!CL429*100,6))</f>
        <v/>
      </c>
      <c r="CA426" s="68" t="str">
        <f>IF(main!CM429="","",ROUND(main!CM429*100,6))</f>
        <v/>
      </c>
      <c r="CB426" s="68" t="str">
        <f>IF(main!CN429="","",ROUND(main!CN429*100,6))</f>
        <v/>
      </c>
      <c r="CC426" s="68" t="str">
        <f>IF(main!CO429="","",ROUND(main!CO429*100,6))</f>
        <v/>
      </c>
    </row>
    <row r="427" spans="1:81" ht="30" x14ac:dyDescent="0.25">
      <c r="A427" s="65" t="s">
        <v>581</v>
      </c>
      <c r="B427" s="66" t="str">
        <f>main!C429</f>
        <v>P5  ผนังยิปซัมบอร์ดกรุวัสดุซับเสียง ปิดทับด้วยวัสดุตามแบบตกแต่งภายใน</v>
      </c>
      <c r="C427" s="67">
        <f>main!O429</f>
        <v>100000</v>
      </c>
      <c r="D427" s="65" t="s">
        <v>111</v>
      </c>
      <c r="E427" s="68" t="str">
        <f t="shared" si="6"/>
        <v/>
      </c>
      <c r="F427" s="68" t="str">
        <f>IF(main!R430="","",ROUND(main!R430*100,6))</f>
        <v/>
      </c>
      <c r="G427" s="68" t="str">
        <f>IF(main!S430="","",ROUND(main!S430*100,6))</f>
        <v/>
      </c>
      <c r="H427" s="68" t="str">
        <f>IF(main!T430="","",ROUND(main!T430*100,6))</f>
        <v/>
      </c>
      <c r="I427" s="68" t="str">
        <f>IF(main!U430="","",ROUND(main!U430*100,6))</f>
        <v/>
      </c>
      <c r="J427" s="68" t="str">
        <f>IF(main!V430="","",ROUND(main!V430*100,6))</f>
        <v/>
      </c>
      <c r="K427" s="68" t="str">
        <f>IF(main!W430="","",ROUND(main!W430*100,6))</f>
        <v/>
      </c>
      <c r="L427" s="68" t="str">
        <f>IF(main!X430="","",ROUND(main!X430*100,6))</f>
        <v/>
      </c>
      <c r="M427" s="68" t="str">
        <f>IF(main!Y430="","",ROUND(main!Y430*100,6))</f>
        <v/>
      </c>
      <c r="N427" s="68" t="str">
        <f>IF(main!Z430="","",ROUND(main!Z430*100,6))</f>
        <v/>
      </c>
      <c r="O427" s="68" t="str">
        <f>IF(main!AA430="","",ROUND(main!AA430*100,6))</f>
        <v/>
      </c>
      <c r="P427" s="68" t="str">
        <f>IF(main!AB430="","",ROUND(main!AB430*100,6))</f>
        <v/>
      </c>
      <c r="Q427" s="68" t="str">
        <f>IF(main!AC430="","",ROUND(main!AC430*100,6))</f>
        <v/>
      </c>
      <c r="R427" s="68" t="str">
        <f>IF(main!AD430="","",ROUND(main!AD430*100,6))</f>
        <v/>
      </c>
      <c r="S427" s="68" t="str">
        <f>IF(main!AE430="","",ROUND(main!AE430*100,6))</f>
        <v/>
      </c>
      <c r="T427" s="68" t="str">
        <f>IF(main!AF430="","",ROUND(main!AF430*100,6))</f>
        <v/>
      </c>
      <c r="U427" s="68" t="str">
        <f>IF(main!AG430="","",ROUND(main!AG430*100,6))</f>
        <v/>
      </c>
      <c r="V427" s="68" t="str">
        <f>IF(main!AH430="","",ROUND(main!AH430*100,6))</f>
        <v/>
      </c>
      <c r="W427" s="68" t="str">
        <f>IF(main!AI430="","",ROUND(main!AI430*100,6))</f>
        <v/>
      </c>
      <c r="X427" s="68" t="str">
        <f>IF(main!AJ430="","",ROUND(main!AJ430*100,6))</f>
        <v/>
      </c>
      <c r="Y427" s="68" t="str">
        <f>IF(main!AK430="","",ROUND(main!AK430*100,6))</f>
        <v/>
      </c>
      <c r="Z427" s="68" t="str">
        <f>IF(main!AL430="","",ROUND(main!AL430*100,6))</f>
        <v/>
      </c>
      <c r="AA427" s="68" t="str">
        <f>IF(main!AM430="","",ROUND(main!AM430*100,6))</f>
        <v/>
      </c>
      <c r="AB427" s="68" t="str">
        <f>IF(main!AN430="","",ROUND(main!AN430*100,6))</f>
        <v/>
      </c>
      <c r="AC427" s="68" t="str">
        <f>IF(main!AO430="","",ROUND(main!AO430*100,6))</f>
        <v/>
      </c>
      <c r="AD427" s="68" t="str">
        <f>IF(main!AP430="","",ROUND(main!AP430*100,6))</f>
        <v/>
      </c>
      <c r="AE427" s="68" t="str">
        <f>IF(main!AQ430="","",ROUND(main!AQ430*100,6))</f>
        <v/>
      </c>
      <c r="AF427" s="68" t="str">
        <f>IF(main!AR430="","",ROUND(main!AR430*100,6))</f>
        <v/>
      </c>
      <c r="AG427" s="68" t="str">
        <f>IF(main!AS430="","",ROUND(main!AS430*100,6))</f>
        <v/>
      </c>
      <c r="AH427" s="68" t="str">
        <f>IF(main!AT430="","",ROUND(main!AT430*100,6))</f>
        <v/>
      </c>
      <c r="AI427" s="68" t="str">
        <f>IF(main!AU430="","",ROUND(main!AU430*100,6))</f>
        <v/>
      </c>
      <c r="AJ427" s="68" t="str">
        <f>IF(main!AV430="","",ROUND(main!AV430*100,6))</f>
        <v/>
      </c>
      <c r="AK427" s="68" t="str">
        <f>IF(main!AW430="","",ROUND(main!AW430*100,6))</f>
        <v/>
      </c>
      <c r="AL427" s="68" t="str">
        <f>IF(main!AX430="","",ROUND(main!AX430*100,6))</f>
        <v/>
      </c>
      <c r="AM427" s="68" t="str">
        <f>IF(main!AY430="","",ROUND(main!AY430*100,6))</f>
        <v/>
      </c>
      <c r="AN427" s="68" t="str">
        <f>IF(main!AZ430="","",ROUND(main!AZ430*100,6))</f>
        <v/>
      </c>
      <c r="AO427" s="68" t="str">
        <f>IF(main!BA430="","",ROUND(main!BA430*100,6))</f>
        <v/>
      </c>
      <c r="AP427" s="68" t="str">
        <f>IF(main!BB430="","",ROUND(main!BB430*100,6))</f>
        <v/>
      </c>
      <c r="AQ427" s="68" t="str">
        <f>IF(main!BC430="","",ROUND(main!BC430*100,6))</f>
        <v/>
      </c>
      <c r="AR427" s="68" t="str">
        <f>IF(main!BD430="","",ROUND(main!BD430*100,6))</f>
        <v/>
      </c>
      <c r="AS427" s="68" t="str">
        <f>IF(main!BE430="","",ROUND(main!BE430*100,6))</f>
        <v/>
      </c>
      <c r="AT427" s="68" t="str">
        <f>IF(main!BF430="","",ROUND(main!BF430*100,6))</f>
        <v/>
      </c>
      <c r="AU427" s="68" t="str">
        <f>IF(main!BG430="","",ROUND(main!BG430*100,6))</f>
        <v/>
      </c>
      <c r="AV427" s="68" t="str">
        <f>IF(main!BH430="","",ROUND(main!BH430*100,6))</f>
        <v/>
      </c>
      <c r="AW427" s="68" t="str">
        <f>IF(main!BI430="","",ROUND(main!BI430*100,6))</f>
        <v/>
      </c>
      <c r="AX427" s="68" t="str">
        <f>IF(main!BJ430="","",ROUND(main!BJ430*100,6))</f>
        <v/>
      </c>
      <c r="AY427" s="68" t="str">
        <f>IF(main!BK430="","",ROUND(main!BK430*100,6))</f>
        <v/>
      </c>
      <c r="AZ427" s="68" t="str">
        <f>IF(main!BL430="","",ROUND(main!BL430*100,6))</f>
        <v/>
      </c>
      <c r="BA427" s="68" t="str">
        <f>IF(main!BM430="","",ROUND(main!BM430*100,6))</f>
        <v/>
      </c>
      <c r="BB427" s="68" t="str">
        <f>IF(main!BN430="","",ROUND(main!BN430*100,6))</f>
        <v/>
      </c>
      <c r="BC427" s="68" t="str">
        <f>IF(main!BO430="","",ROUND(main!BO430*100,6))</f>
        <v/>
      </c>
      <c r="BD427" s="68" t="str">
        <f>IF(main!BP430="","",ROUND(main!BP430*100,6))</f>
        <v/>
      </c>
      <c r="BE427" s="68" t="str">
        <f>IF(main!BQ430="","",ROUND(main!BQ430*100,6))</f>
        <v/>
      </c>
      <c r="BF427" s="68" t="str">
        <f>IF(main!BR430="","",ROUND(main!BR430*100,6))</f>
        <v/>
      </c>
      <c r="BG427" s="68" t="str">
        <f>IF(main!BS430="","",ROUND(main!BS430*100,6))</f>
        <v/>
      </c>
      <c r="BH427" s="68" t="str">
        <f>IF(main!BT430="","",ROUND(main!BT430*100,6))</f>
        <v/>
      </c>
      <c r="BI427" s="68" t="str">
        <f>IF(main!BU430="","",ROUND(main!BU430*100,6))</f>
        <v/>
      </c>
      <c r="BJ427" s="68" t="str">
        <f>IF(main!BV430="","",ROUND(main!BV430*100,6))</f>
        <v/>
      </c>
      <c r="BK427" s="68" t="str">
        <f>IF(main!BW430="","",ROUND(main!BW430*100,6))</f>
        <v/>
      </c>
      <c r="BL427" s="68" t="str">
        <f>IF(main!BX430="","",ROUND(main!BX430*100,6))</f>
        <v/>
      </c>
      <c r="BM427" s="68" t="str">
        <f>IF(main!BY430="","",ROUND(main!BY430*100,6))</f>
        <v/>
      </c>
      <c r="BN427" s="68" t="str">
        <f>IF(main!BZ430="","",ROUND(main!BZ430*100,6))</f>
        <v/>
      </c>
      <c r="BO427" s="68" t="str">
        <f>IF(main!CA430="","",ROUND(main!CA430*100,6))</f>
        <v/>
      </c>
      <c r="BP427" s="68" t="str">
        <f>IF(main!CB430="","",ROUND(main!CB430*100,6))</f>
        <v/>
      </c>
      <c r="BQ427" s="68" t="str">
        <f>IF(main!CC430="","",ROUND(main!CC430*100,6))</f>
        <v/>
      </c>
      <c r="BR427" s="68" t="str">
        <f>IF(main!CD430="","",ROUND(main!CD430*100,6))</f>
        <v/>
      </c>
      <c r="BS427" s="68" t="str">
        <f>IF(main!CE430="","",ROUND(main!CE430*100,6))</f>
        <v/>
      </c>
      <c r="BT427" s="68" t="str">
        <f>IF(main!CF430="","",ROUND(main!CF430*100,6))</f>
        <v/>
      </c>
      <c r="BU427" s="68" t="str">
        <f>IF(main!CG430="","",ROUND(main!CG430*100,6))</f>
        <v/>
      </c>
      <c r="BV427" s="68" t="str">
        <f>IF(main!CH430="","",ROUND(main!CH430*100,6))</f>
        <v/>
      </c>
      <c r="BW427" s="68" t="str">
        <f>IF(main!CI430="","",ROUND(main!CI430*100,6))</f>
        <v/>
      </c>
      <c r="BX427" s="68" t="str">
        <f>IF(main!CJ430="","",ROUND(main!CJ430*100,6))</f>
        <v/>
      </c>
      <c r="BY427" s="68" t="str">
        <f>IF(main!CK430="","",ROUND(main!CK430*100,6))</f>
        <v/>
      </c>
      <c r="BZ427" s="68" t="str">
        <f>IF(main!CL430="","",ROUND(main!CL430*100,6))</f>
        <v/>
      </c>
      <c r="CA427" s="68" t="str">
        <f>IF(main!CM430="","",ROUND(main!CM430*100,6))</f>
        <v/>
      </c>
      <c r="CB427" s="68" t="str">
        <f>IF(main!CN430="","",ROUND(main!CN430*100,6))</f>
        <v/>
      </c>
      <c r="CC427" s="68" t="str">
        <f>IF(main!CO430="","",ROUND(main!CO430*100,6))</f>
        <v/>
      </c>
    </row>
    <row r="428" spans="1:81" x14ac:dyDescent="0.25">
      <c r="A428" s="65" t="s">
        <v>584</v>
      </c>
      <c r="B428" s="66" t="str">
        <f>main!C431</f>
        <v>Ceiling</v>
      </c>
      <c r="C428" s="67">
        <f>main!O431</f>
        <v>300000</v>
      </c>
      <c r="D428" s="65" t="s">
        <v>110</v>
      </c>
      <c r="E428" s="68">
        <f t="shared" si="6"/>
        <v>100</v>
      </c>
      <c r="F428" s="68" t="str">
        <f>IF(main!R431="","",ROUND(main!R431*100,6))</f>
        <v/>
      </c>
      <c r="G428" s="68" t="str">
        <f>IF(main!S431="","",ROUND(main!S431*100,6))</f>
        <v/>
      </c>
      <c r="H428" s="68" t="str">
        <f>IF(main!T431="","",ROUND(main!T431*100,6))</f>
        <v/>
      </c>
      <c r="I428" s="68" t="str">
        <f>IF(main!U431="","",ROUND(main!U431*100,6))</f>
        <v/>
      </c>
      <c r="J428" s="68" t="str">
        <f>IF(main!V431="","",ROUND(main!V431*100,6))</f>
        <v/>
      </c>
      <c r="K428" s="68" t="str">
        <f>IF(main!W431="","",ROUND(main!W431*100,6))</f>
        <v/>
      </c>
      <c r="L428" s="68" t="str">
        <f>IF(main!X431="","",ROUND(main!X431*100,6))</f>
        <v/>
      </c>
      <c r="M428" s="68" t="str">
        <f>IF(main!Y431="","",ROUND(main!Y431*100,6))</f>
        <v/>
      </c>
      <c r="N428" s="68" t="str">
        <f>IF(main!Z431="","",ROUND(main!Z431*100,6))</f>
        <v/>
      </c>
      <c r="O428" s="68" t="str">
        <f>IF(main!AA431="","",ROUND(main!AA431*100,6))</f>
        <v/>
      </c>
      <c r="P428" s="68" t="str">
        <f>IF(main!AB431="","",ROUND(main!AB431*100,6))</f>
        <v/>
      </c>
      <c r="Q428" s="68" t="str">
        <f>IF(main!AC431="","",ROUND(main!AC431*100,6))</f>
        <v/>
      </c>
      <c r="R428" s="68" t="str">
        <f>IF(main!AD431="","",ROUND(main!AD431*100,6))</f>
        <v/>
      </c>
      <c r="S428" s="68" t="str">
        <f>IF(main!AE431="","",ROUND(main!AE431*100,6))</f>
        <v/>
      </c>
      <c r="T428" s="68" t="str">
        <f>IF(main!AF431="","",ROUND(main!AF431*100,6))</f>
        <v/>
      </c>
      <c r="U428" s="68" t="str">
        <f>IF(main!AG431="","",ROUND(main!AG431*100,6))</f>
        <v/>
      </c>
      <c r="V428" s="68" t="str">
        <f>IF(main!AH431="","",ROUND(main!AH431*100,6))</f>
        <v/>
      </c>
      <c r="W428" s="68" t="str">
        <f>IF(main!AI431="","",ROUND(main!AI431*100,6))</f>
        <v/>
      </c>
      <c r="X428" s="68" t="str">
        <f>IF(main!AJ431="","",ROUND(main!AJ431*100,6))</f>
        <v/>
      </c>
      <c r="Y428" s="68" t="str">
        <f>IF(main!AK431="","",ROUND(main!AK431*100,6))</f>
        <v/>
      </c>
      <c r="Z428" s="68" t="str">
        <f>IF(main!AL431="","",ROUND(main!AL431*100,6))</f>
        <v/>
      </c>
      <c r="AA428" s="68" t="str">
        <f>IF(main!AM431="","",ROUND(main!AM431*100,6))</f>
        <v/>
      </c>
      <c r="AB428" s="68" t="str">
        <f>IF(main!AN431="","",ROUND(main!AN431*100,6))</f>
        <v/>
      </c>
      <c r="AC428" s="68" t="str">
        <f>IF(main!AO431="","",ROUND(main!AO431*100,6))</f>
        <v/>
      </c>
      <c r="AD428" s="68" t="str">
        <f>IF(main!AP431="","",ROUND(main!AP431*100,6))</f>
        <v/>
      </c>
      <c r="AE428" s="68" t="str">
        <f>IF(main!AQ431="","",ROUND(main!AQ431*100,6))</f>
        <v/>
      </c>
      <c r="AF428" s="68" t="str">
        <f>IF(main!AR431="","",ROUND(main!AR431*100,6))</f>
        <v/>
      </c>
      <c r="AG428" s="68" t="str">
        <f>IF(main!AS431="","",ROUND(main!AS431*100,6))</f>
        <v/>
      </c>
      <c r="AH428" s="68" t="str">
        <f>IF(main!AT431="","",ROUND(main!AT431*100,6))</f>
        <v/>
      </c>
      <c r="AI428" s="68" t="str">
        <f>IF(main!AU431="","",ROUND(main!AU431*100,6))</f>
        <v/>
      </c>
      <c r="AJ428" s="68" t="str">
        <f>IF(main!AV431="","",ROUND(main!AV431*100,6))</f>
        <v/>
      </c>
      <c r="AK428" s="68" t="str">
        <f>IF(main!AW431="","",ROUND(main!AW431*100,6))</f>
        <v/>
      </c>
      <c r="AL428" s="68" t="str">
        <f>IF(main!AX431="","",ROUND(main!AX431*100,6))</f>
        <v/>
      </c>
      <c r="AM428" s="68" t="str">
        <f>IF(main!AY431="","",ROUND(main!AY431*100,6))</f>
        <v/>
      </c>
      <c r="AN428" s="68" t="str">
        <f>IF(main!AZ431="","",ROUND(main!AZ431*100,6))</f>
        <v/>
      </c>
      <c r="AO428" s="68" t="str">
        <f>IF(main!BA431="","",ROUND(main!BA431*100,6))</f>
        <v/>
      </c>
      <c r="AP428" s="68" t="str">
        <f>IF(main!BB431="","",ROUND(main!BB431*100,6))</f>
        <v/>
      </c>
      <c r="AQ428" s="68" t="str">
        <f>IF(main!BC431="","",ROUND(main!BC431*100,6))</f>
        <v/>
      </c>
      <c r="AR428" s="68" t="str">
        <f>IF(main!BD431="","",ROUND(main!BD431*100,6))</f>
        <v/>
      </c>
      <c r="AS428" s="68" t="str">
        <f>IF(main!BE431="","",ROUND(main!BE431*100,6))</f>
        <v/>
      </c>
      <c r="AT428" s="68" t="str">
        <f>IF(main!BF431="","",ROUND(main!BF431*100,6))</f>
        <v/>
      </c>
      <c r="AU428" s="68" t="str">
        <f>IF(main!BG431="","",ROUND(main!BG431*100,6))</f>
        <v/>
      </c>
      <c r="AV428" s="68" t="str">
        <f>IF(main!BH431="","",ROUND(main!BH431*100,6))</f>
        <v/>
      </c>
      <c r="AW428" s="68" t="str">
        <f>IF(main!BI431="","",ROUND(main!BI431*100,6))</f>
        <v/>
      </c>
      <c r="AX428" s="68" t="str">
        <f>IF(main!BJ431="","",ROUND(main!BJ431*100,6))</f>
        <v/>
      </c>
      <c r="AY428" s="68" t="str">
        <f>IF(main!BK431="","",ROUND(main!BK431*100,6))</f>
        <v/>
      </c>
      <c r="AZ428" s="68" t="str">
        <f>IF(main!BL431="","",ROUND(main!BL431*100,6))</f>
        <v/>
      </c>
      <c r="BA428" s="68" t="str">
        <f>IF(main!BM431="","",ROUND(main!BM431*100,6))</f>
        <v/>
      </c>
      <c r="BB428" s="68" t="str">
        <f>IF(main!BN431="","",ROUND(main!BN431*100,6))</f>
        <v/>
      </c>
      <c r="BC428" s="68" t="str">
        <f>IF(main!BO431="","",ROUND(main!BO431*100,6))</f>
        <v/>
      </c>
      <c r="BD428" s="68" t="str">
        <f>IF(main!BP431="","",ROUND(main!BP431*100,6))</f>
        <v/>
      </c>
      <c r="BE428" s="68" t="str">
        <f>IF(main!BQ431="","",ROUND(main!BQ431*100,6))</f>
        <v/>
      </c>
      <c r="BF428" s="68" t="str">
        <f>IF(main!BR431="","",ROUND(main!BR431*100,6))</f>
        <v/>
      </c>
      <c r="BG428" s="68" t="str">
        <f>IF(main!BS431="","",ROUND(main!BS431*100,6))</f>
        <v/>
      </c>
      <c r="BH428" s="68" t="str">
        <f>IF(main!BT431="","",ROUND(main!BT431*100,6))</f>
        <v/>
      </c>
      <c r="BI428" s="68" t="str">
        <f>IF(main!BU431="","",ROUND(main!BU431*100,6))</f>
        <v/>
      </c>
      <c r="BJ428" s="68" t="str">
        <f>IF(main!BV431="","",ROUND(main!BV431*100,6))</f>
        <v/>
      </c>
      <c r="BK428" s="68" t="str">
        <f>IF(main!BW431="","",ROUND(main!BW431*100,6))</f>
        <v/>
      </c>
      <c r="BL428" s="68" t="str">
        <f>IF(main!BX431="","",ROUND(main!BX431*100,6))</f>
        <v/>
      </c>
      <c r="BM428" s="68" t="str">
        <f>IF(main!BY431="","",ROUND(main!BY431*100,6))</f>
        <v/>
      </c>
      <c r="BN428" s="68" t="str">
        <f>IF(main!BZ431="","",ROUND(main!BZ431*100,6))</f>
        <v/>
      </c>
      <c r="BO428" s="68" t="str">
        <f>IF(main!CA431="","",ROUND(main!CA431*100,6))</f>
        <v/>
      </c>
      <c r="BP428" s="68" t="str">
        <f>IF(main!CB431="","",ROUND(main!CB431*100,6))</f>
        <v/>
      </c>
      <c r="BQ428" s="68" t="str">
        <f>IF(main!CC431="","",ROUND(main!CC431*100,6))</f>
        <v/>
      </c>
      <c r="BR428" s="68" t="str">
        <f>IF(main!CD431="","",ROUND(main!CD431*100,6))</f>
        <v/>
      </c>
      <c r="BS428" s="68" t="str">
        <f>IF(main!CE431="","",ROUND(main!CE431*100,6))</f>
        <v/>
      </c>
      <c r="BT428" s="68" t="str">
        <f>IF(main!CF431="","",ROUND(main!CF431*100,6))</f>
        <v/>
      </c>
      <c r="BU428" s="68">
        <f>IF(main!CG431="","",ROUND(main!CG431*100,6))</f>
        <v>11.111110999999999</v>
      </c>
      <c r="BV428" s="68">
        <f>IF(main!CH431="","",ROUND(main!CH431*100,6))</f>
        <v>27.777778000000001</v>
      </c>
      <c r="BW428" s="68">
        <f>IF(main!CI431="","",ROUND(main!CI431*100,6))</f>
        <v>27.777778000000001</v>
      </c>
      <c r="BX428" s="68">
        <f>IF(main!CJ431="","",ROUND(main!CJ431*100,6))</f>
        <v>26.190476</v>
      </c>
      <c r="BY428" s="68">
        <f>IF(main!CK431="","",ROUND(main!CK431*100,6))</f>
        <v>7.1428570000000002</v>
      </c>
      <c r="BZ428" s="68" t="str">
        <f>IF(main!CL431="","",ROUND(main!CL431*100,6))</f>
        <v/>
      </c>
      <c r="CA428" s="68" t="str">
        <f>IF(main!CM431="","",ROUND(main!CM431*100,6))</f>
        <v/>
      </c>
      <c r="CB428" s="68" t="str">
        <f>IF(main!CN431="","",ROUND(main!CN431*100,6))</f>
        <v/>
      </c>
      <c r="CC428" s="68" t="str">
        <f>IF(main!CO431="","",ROUND(main!CO431*100,6))</f>
        <v/>
      </c>
    </row>
    <row r="429" spans="1:81" x14ac:dyDescent="0.25">
      <c r="A429" s="65" t="s">
        <v>584</v>
      </c>
      <c r="B429" s="66" t="str">
        <f>main!C431</f>
        <v>Ceiling</v>
      </c>
      <c r="C429" s="67">
        <f>main!O431</f>
        <v>300000</v>
      </c>
      <c r="D429" s="65" t="s">
        <v>111</v>
      </c>
      <c r="E429" s="68" t="str">
        <f t="shared" si="6"/>
        <v/>
      </c>
      <c r="F429" s="68" t="str">
        <f>IF(main!R432="","",ROUND(main!R432*100,6))</f>
        <v/>
      </c>
      <c r="G429" s="68" t="str">
        <f>IF(main!S432="","",ROUND(main!S432*100,6))</f>
        <v/>
      </c>
      <c r="H429" s="68" t="str">
        <f>IF(main!T432="","",ROUND(main!T432*100,6))</f>
        <v/>
      </c>
      <c r="I429" s="68" t="str">
        <f>IF(main!U432="","",ROUND(main!U432*100,6))</f>
        <v/>
      </c>
      <c r="J429" s="68" t="str">
        <f>IF(main!V432="","",ROUND(main!V432*100,6))</f>
        <v/>
      </c>
      <c r="K429" s="68" t="str">
        <f>IF(main!W432="","",ROUND(main!W432*100,6))</f>
        <v/>
      </c>
      <c r="L429" s="68" t="str">
        <f>IF(main!X432="","",ROUND(main!X432*100,6))</f>
        <v/>
      </c>
      <c r="M429" s="68" t="str">
        <f>IF(main!Y432="","",ROUND(main!Y432*100,6))</f>
        <v/>
      </c>
      <c r="N429" s="68" t="str">
        <f>IF(main!Z432="","",ROUND(main!Z432*100,6))</f>
        <v/>
      </c>
      <c r="O429" s="68" t="str">
        <f>IF(main!AA432="","",ROUND(main!AA432*100,6))</f>
        <v/>
      </c>
      <c r="P429" s="68" t="str">
        <f>IF(main!AB432="","",ROUND(main!AB432*100,6))</f>
        <v/>
      </c>
      <c r="Q429" s="68" t="str">
        <f>IF(main!AC432="","",ROUND(main!AC432*100,6))</f>
        <v/>
      </c>
      <c r="R429" s="68" t="str">
        <f>IF(main!AD432="","",ROUND(main!AD432*100,6))</f>
        <v/>
      </c>
      <c r="S429" s="68" t="str">
        <f>IF(main!AE432="","",ROUND(main!AE432*100,6))</f>
        <v/>
      </c>
      <c r="T429" s="68" t="str">
        <f>IF(main!AF432="","",ROUND(main!AF432*100,6))</f>
        <v/>
      </c>
      <c r="U429" s="68" t="str">
        <f>IF(main!AG432="","",ROUND(main!AG432*100,6))</f>
        <v/>
      </c>
      <c r="V429" s="68" t="str">
        <f>IF(main!AH432="","",ROUND(main!AH432*100,6))</f>
        <v/>
      </c>
      <c r="W429" s="68" t="str">
        <f>IF(main!AI432="","",ROUND(main!AI432*100,6))</f>
        <v/>
      </c>
      <c r="X429" s="68" t="str">
        <f>IF(main!AJ432="","",ROUND(main!AJ432*100,6))</f>
        <v/>
      </c>
      <c r="Y429" s="68" t="str">
        <f>IF(main!AK432="","",ROUND(main!AK432*100,6))</f>
        <v/>
      </c>
      <c r="Z429" s="68" t="str">
        <f>IF(main!AL432="","",ROUND(main!AL432*100,6))</f>
        <v/>
      </c>
      <c r="AA429" s="68" t="str">
        <f>IF(main!AM432="","",ROUND(main!AM432*100,6))</f>
        <v/>
      </c>
      <c r="AB429" s="68" t="str">
        <f>IF(main!AN432="","",ROUND(main!AN432*100,6))</f>
        <v/>
      </c>
      <c r="AC429" s="68" t="str">
        <f>IF(main!AO432="","",ROUND(main!AO432*100,6))</f>
        <v/>
      </c>
      <c r="AD429" s="68" t="str">
        <f>IF(main!AP432="","",ROUND(main!AP432*100,6))</f>
        <v/>
      </c>
      <c r="AE429" s="68" t="str">
        <f>IF(main!AQ432="","",ROUND(main!AQ432*100,6))</f>
        <v/>
      </c>
      <c r="AF429" s="68" t="str">
        <f>IF(main!AR432="","",ROUND(main!AR432*100,6))</f>
        <v/>
      </c>
      <c r="AG429" s="68" t="str">
        <f>IF(main!AS432="","",ROUND(main!AS432*100,6))</f>
        <v/>
      </c>
      <c r="AH429" s="68" t="str">
        <f>IF(main!AT432="","",ROUND(main!AT432*100,6))</f>
        <v/>
      </c>
      <c r="AI429" s="68" t="str">
        <f>IF(main!AU432="","",ROUND(main!AU432*100,6))</f>
        <v/>
      </c>
      <c r="AJ429" s="68" t="str">
        <f>IF(main!AV432="","",ROUND(main!AV432*100,6))</f>
        <v/>
      </c>
      <c r="AK429" s="68" t="str">
        <f>IF(main!AW432="","",ROUND(main!AW432*100,6))</f>
        <v/>
      </c>
      <c r="AL429" s="68" t="str">
        <f>IF(main!AX432="","",ROUND(main!AX432*100,6))</f>
        <v/>
      </c>
      <c r="AM429" s="68" t="str">
        <f>IF(main!AY432="","",ROUND(main!AY432*100,6))</f>
        <v/>
      </c>
      <c r="AN429" s="68" t="str">
        <f>IF(main!AZ432="","",ROUND(main!AZ432*100,6))</f>
        <v/>
      </c>
      <c r="AO429" s="68" t="str">
        <f>IF(main!BA432="","",ROUND(main!BA432*100,6))</f>
        <v/>
      </c>
      <c r="AP429" s="68" t="str">
        <f>IF(main!BB432="","",ROUND(main!BB432*100,6))</f>
        <v/>
      </c>
      <c r="AQ429" s="68" t="str">
        <f>IF(main!BC432="","",ROUND(main!BC432*100,6))</f>
        <v/>
      </c>
      <c r="AR429" s="68" t="str">
        <f>IF(main!BD432="","",ROUND(main!BD432*100,6))</f>
        <v/>
      </c>
      <c r="AS429" s="68" t="str">
        <f>IF(main!BE432="","",ROUND(main!BE432*100,6))</f>
        <v/>
      </c>
      <c r="AT429" s="68" t="str">
        <f>IF(main!BF432="","",ROUND(main!BF432*100,6))</f>
        <v/>
      </c>
      <c r="AU429" s="68" t="str">
        <f>IF(main!BG432="","",ROUND(main!BG432*100,6))</f>
        <v/>
      </c>
      <c r="AV429" s="68" t="str">
        <f>IF(main!BH432="","",ROUND(main!BH432*100,6))</f>
        <v/>
      </c>
      <c r="AW429" s="68" t="str">
        <f>IF(main!BI432="","",ROUND(main!BI432*100,6))</f>
        <v/>
      </c>
      <c r="AX429" s="68" t="str">
        <f>IF(main!BJ432="","",ROUND(main!BJ432*100,6))</f>
        <v/>
      </c>
      <c r="AY429" s="68" t="str">
        <f>IF(main!BK432="","",ROUND(main!BK432*100,6))</f>
        <v/>
      </c>
      <c r="AZ429" s="68" t="str">
        <f>IF(main!BL432="","",ROUND(main!BL432*100,6))</f>
        <v/>
      </c>
      <c r="BA429" s="68" t="str">
        <f>IF(main!BM432="","",ROUND(main!BM432*100,6))</f>
        <v/>
      </c>
      <c r="BB429" s="68" t="str">
        <f>IF(main!BN432="","",ROUND(main!BN432*100,6))</f>
        <v/>
      </c>
      <c r="BC429" s="68" t="str">
        <f>IF(main!BO432="","",ROUND(main!BO432*100,6))</f>
        <v/>
      </c>
      <c r="BD429" s="68" t="str">
        <f>IF(main!BP432="","",ROUND(main!BP432*100,6))</f>
        <v/>
      </c>
      <c r="BE429" s="68" t="str">
        <f>IF(main!BQ432="","",ROUND(main!BQ432*100,6))</f>
        <v/>
      </c>
      <c r="BF429" s="68" t="str">
        <f>IF(main!BR432="","",ROUND(main!BR432*100,6))</f>
        <v/>
      </c>
      <c r="BG429" s="68" t="str">
        <f>IF(main!BS432="","",ROUND(main!BS432*100,6))</f>
        <v/>
      </c>
      <c r="BH429" s="68" t="str">
        <f>IF(main!BT432="","",ROUND(main!BT432*100,6))</f>
        <v/>
      </c>
      <c r="BI429" s="68" t="str">
        <f>IF(main!BU432="","",ROUND(main!BU432*100,6))</f>
        <v/>
      </c>
      <c r="BJ429" s="68" t="str">
        <f>IF(main!BV432="","",ROUND(main!BV432*100,6))</f>
        <v/>
      </c>
      <c r="BK429" s="68" t="str">
        <f>IF(main!BW432="","",ROUND(main!BW432*100,6))</f>
        <v/>
      </c>
      <c r="BL429" s="68" t="str">
        <f>IF(main!BX432="","",ROUND(main!BX432*100,6))</f>
        <v/>
      </c>
      <c r="BM429" s="68" t="str">
        <f>IF(main!BY432="","",ROUND(main!BY432*100,6))</f>
        <v/>
      </c>
      <c r="BN429" s="68" t="str">
        <f>IF(main!BZ432="","",ROUND(main!BZ432*100,6))</f>
        <v/>
      </c>
      <c r="BO429" s="68" t="str">
        <f>IF(main!CA432="","",ROUND(main!CA432*100,6))</f>
        <v/>
      </c>
      <c r="BP429" s="68" t="str">
        <f>IF(main!CB432="","",ROUND(main!CB432*100,6))</f>
        <v/>
      </c>
      <c r="BQ429" s="68" t="str">
        <f>IF(main!CC432="","",ROUND(main!CC432*100,6))</f>
        <v/>
      </c>
      <c r="BR429" s="68" t="str">
        <f>IF(main!CD432="","",ROUND(main!CD432*100,6))</f>
        <v/>
      </c>
      <c r="BS429" s="68" t="str">
        <f>IF(main!CE432="","",ROUND(main!CE432*100,6))</f>
        <v/>
      </c>
      <c r="BT429" s="68" t="str">
        <f>IF(main!CF432="","",ROUND(main!CF432*100,6))</f>
        <v/>
      </c>
      <c r="BU429" s="68" t="str">
        <f>IF(main!CG432="","",ROUND(main!CG432*100,6))</f>
        <v/>
      </c>
      <c r="BV429" s="68" t="str">
        <f>IF(main!CH432="","",ROUND(main!CH432*100,6))</f>
        <v/>
      </c>
      <c r="BW429" s="68" t="str">
        <f>IF(main!CI432="","",ROUND(main!CI432*100,6))</f>
        <v/>
      </c>
      <c r="BX429" s="68" t="str">
        <f>IF(main!CJ432="","",ROUND(main!CJ432*100,6))</f>
        <v/>
      </c>
      <c r="BY429" s="68" t="str">
        <f>IF(main!CK432="","",ROUND(main!CK432*100,6))</f>
        <v/>
      </c>
      <c r="BZ429" s="68" t="str">
        <f>IF(main!CL432="","",ROUND(main!CL432*100,6))</f>
        <v/>
      </c>
      <c r="CA429" s="68" t="str">
        <f>IF(main!CM432="","",ROUND(main!CM432*100,6))</f>
        <v/>
      </c>
      <c r="CB429" s="68" t="str">
        <f>IF(main!CN432="","",ROUND(main!CN432*100,6))</f>
        <v/>
      </c>
      <c r="CC429" s="68" t="str">
        <f>IF(main!CO432="","",ROUND(main!CO432*100,6))</f>
        <v/>
      </c>
    </row>
    <row r="430" spans="1:81" ht="30" x14ac:dyDescent="0.25">
      <c r="A430" s="65" t="s">
        <v>585</v>
      </c>
      <c r="B430" s="66" t="str">
        <f>main!C433</f>
        <v>C3.2 ฝ้า Office ยิปซัมฟลอย กรุไม้อัดสัก โครงคร่าวไม้ ทำสีธรรมชาติ</v>
      </c>
      <c r="C430" s="67">
        <f>main!O433</f>
        <v>100000</v>
      </c>
      <c r="D430" s="65" t="s">
        <v>110</v>
      </c>
      <c r="E430" s="68">
        <f t="shared" si="6"/>
        <v>100</v>
      </c>
      <c r="F430" s="68" t="str">
        <f>IF(main!R433="","",ROUND(main!R433*100,6))</f>
        <v/>
      </c>
      <c r="G430" s="68" t="str">
        <f>IF(main!S433="","",ROUND(main!S433*100,6))</f>
        <v/>
      </c>
      <c r="H430" s="68" t="str">
        <f>IF(main!T433="","",ROUND(main!T433*100,6))</f>
        <v/>
      </c>
      <c r="I430" s="68" t="str">
        <f>IF(main!U433="","",ROUND(main!U433*100,6))</f>
        <v/>
      </c>
      <c r="J430" s="68" t="str">
        <f>IF(main!V433="","",ROUND(main!V433*100,6))</f>
        <v/>
      </c>
      <c r="K430" s="68" t="str">
        <f>IF(main!W433="","",ROUND(main!W433*100,6))</f>
        <v/>
      </c>
      <c r="L430" s="68" t="str">
        <f>IF(main!X433="","",ROUND(main!X433*100,6))</f>
        <v/>
      </c>
      <c r="M430" s="68" t="str">
        <f>IF(main!Y433="","",ROUND(main!Y433*100,6))</f>
        <v/>
      </c>
      <c r="N430" s="68" t="str">
        <f>IF(main!Z433="","",ROUND(main!Z433*100,6))</f>
        <v/>
      </c>
      <c r="O430" s="68" t="str">
        <f>IF(main!AA433="","",ROUND(main!AA433*100,6))</f>
        <v/>
      </c>
      <c r="P430" s="68" t="str">
        <f>IF(main!AB433="","",ROUND(main!AB433*100,6))</f>
        <v/>
      </c>
      <c r="Q430" s="68" t="str">
        <f>IF(main!AC433="","",ROUND(main!AC433*100,6))</f>
        <v/>
      </c>
      <c r="R430" s="68" t="str">
        <f>IF(main!AD433="","",ROUND(main!AD433*100,6))</f>
        <v/>
      </c>
      <c r="S430" s="68" t="str">
        <f>IF(main!AE433="","",ROUND(main!AE433*100,6))</f>
        <v/>
      </c>
      <c r="T430" s="68" t="str">
        <f>IF(main!AF433="","",ROUND(main!AF433*100,6))</f>
        <v/>
      </c>
      <c r="U430" s="68" t="str">
        <f>IF(main!AG433="","",ROUND(main!AG433*100,6))</f>
        <v/>
      </c>
      <c r="V430" s="68" t="str">
        <f>IF(main!AH433="","",ROUND(main!AH433*100,6))</f>
        <v/>
      </c>
      <c r="W430" s="68" t="str">
        <f>IF(main!AI433="","",ROUND(main!AI433*100,6))</f>
        <v/>
      </c>
      <c r="X430" s="68" t="str">
        <f>IF(main!AJ433="","",ROUND(main!AJ433*100,6))</f>
        <v/>
      </c>
      <c r="Y430" s="68" t="str">
        <f>IF(main!AK433="","",ROUND(main!AK433*100,6))</f>
        <v/>
      </c>
      <c r="Z430" s="68" t="str">
        <f>IF(main!AL433="","",ROUND(main!AL433*100,6))</f>
        <v/>
      </c>
      <c r="AA430" s="68" t="str">
        <f>IF(main!AM433="","",ROUND(main!AM433*100,6))</f>
        <v/>
      </c>
      <c r="AB430" s="68" t="str">
        <f>IF(main!AN433="","",ROUND(main!AN433*100,6))</f>
        <v/>
      </c>
      <c r="AC430" s="68" t="str">
        <f>IF(main!AO433="","",ROUND(main!AO433*100,6))</f>
        <v/>
      </c>
      <c r="AD430" s="68" t="str">
        <f>IF(main!AP433="","",ROUND(main!AP433*100,6))</f>
        <v/>
      </c>
      <c r="AE430" s="68" t="str">
        <f>IF(main!AQ433="","",ROUND(main!AQ433*100,6))</f>
        <v/>
      </c>
      <c r="AF430" s="68" t="str">
        <f>IF(main!AR433="","",ROUND(main!AR433*100,6))</f>
        <v/>
      </c>
      <c r="AG430" s="68" t="str">
        <f>IF(main!AS433="","",ROUND(main!AS433*100,6))</f>
        <v/>
      </c>
      <c r="AH430" s="68" t="str">
        <f>IF(main!AT433="","",ROUND(main!AT433*100,6))</f>
        <v/>
      </c>
      <c r="AI430" s="68" t="str">
        <f>IF(main!AU433="","",ROUND(main!AU433*100,6))</f>
        <v/>
      </c>
      <c r="AJ430" s="68" t="str">
        <f>IF(main!AV433="","",ROUND(main!AV433*100,6))</f>
        <v/>
      </c>
      <c r="AK430" s="68" t="str">
        <f>IF(main!AW433="","",ROUND(main!AW433*100,6))</f>
        <v/>
      </c>
      <c r="AL430" s="68" t="str">
        <f>IF(main!AX433="","",ROUND(main!AX433*100,6))</f>
        <v/>
      </c>
      <c r="AM430" s="68" t="str">
        <f>IF(main!AY433="","",ROUND(main!AY433*100,6))</f>
        <v/>
      </c>
      <c r="AN430" s="68" t="str">
        <f>IF(main!AZ433="","",ROUND(main!AZ433*100,6))</f>
        <v/>
      </c>
      <c r="AO430" s="68" t="str">
        <f>IF(main!BA433="","",ROUND(main!BA433*100,6))</f>
        <v/>
      </c>
      <c r="AP430" s="68" t="str">
        <f>IF(main!BB433="","",ROUND(main!BB433*100,6))</f>
        <v/>
      </c>
      <c r="AQ430" s="68" t="str">
        <f>IF(main!BC433="","",ROUND(main!BC433*100,6))</f>
        <v/>
      </c>
      <c r="AR430" s="68" t="str">
        <f>IF(main!BD433="","",ROUND(main!BD433*100,6))</f>
        <v/>
      </c>
      <c r="AS430" s="68" t="str">
        <f>IF(main!BE433="","",ROUND(main!BE433*100,6))</f>
        <v/>
      </c>
      <c r="AT430" s="68" t="str">
        <f>IF(main!BF433="","",ROUND(main!BF433*100,6))</f>
        <v/>
      </c>
      <c r="AU430" s="68" t="str">
        <f>IF(main!BG433="","",ROUND(main!BG433*100,6))</f>
        <v/>
      </c>
      <c r="AV430" s="68" t="str">
        <f>IF(main!BH433="","",ROUND(main!BH433*100,6))</f>
        <v/>
      </c>
      <c r="AW430" s="68" t="str">
        <f>IF(main!BI433="","",ROUND(main!BI433*100,6))</f>
        <v/>
      </c>
      <c r="AX430" s="68" t="str">
        <f>IF(main!BJ433="","",ROUND(main!BJ433*100,6))</f>
        <v/>
      </c>
      <c r="AY430" s="68" t="str">
        <f>IF(main!BK433="","",ROUND(main!BK433*100,6))</f>
        <v/>
      </c>
      <c r="AZ430" s="68" t="str">
        <f>IF(main!BL433="","",ROUND(main!BL433*100,6))</f>
        <v/>
      </c>
      <c r="BA430" s="68" t="str">
        <f>IF(main!BM433="","",ROUND(main!BM433*100,6))</f>
        <v/>
      </c>
      <c r="BB430" s="68" t="str">
        <f>IF(main!BN433="","",ROUND(main!BN433*100,6))</f>
        <v/>
      </c>
      <c r="BC430" s="68" t="str">
        <f>IF(main!BO433="","",ROUND(main!BO433*100,6))</f>
        <v/>
      </c>
      <c r="BD430" s="68" t="str">
        <f>IF(main!BP433="","",ROUND(main!BP433*100,6))</f>
        <v/>
      </c>
      <c r="BE430" s="68" t="str">
        <f>IF(main!BQ433="","",ROUND(main!BQ433*100,6))</f>
        <v/>
      </c>
      <c r="BF430" s="68" t="str">
        <f>IF(main!BR433="","",ROUND(main!BR433*100,6))</f>
        <v/>
      </c>
      <c r="BG430" s="68" t="str">
        <f>IF(main!BS433="","",ROUND(main!BS433*100,6))</f>
        <v/>
      </c>
      <c r="BH430" s="68" t="str">
        <f>IF(main!BT433="","",ROUND(main!BT433*100,6))</f>
        <v/>
      </c>
      <c r="BI430" s="68" t="str">
        <f>IF(main!BU433="","",ROUND(main!BU433*100,6))</f>
        <v/>
      </c>
      <c r="BJ430" s="68" t="str">
        <f>IF(main!BV433="","",ROUND(main!BV433*100,6))</f>
        <v/>
      </c>
      <c r="BK430" s="68" t="str">
        <f>IF(main!BW433="","",ROUND(main!BW433*100,6))</f>
        <v/>
      </c>
      <c r="BL430" s="68" t="str">
        <f>IF(main!BX433="","",ROUND(main!BX433*100,6))</f>
        <v/>
      </c>
      <c r="BM430" s="68" t="str">
        <f>IF(main!BY433="","",ROUND(main!BY433*100,6))</f>
        <v/>
      </c>
      <c r="BN430" s="68" t="str">
        <f>IF(main!BZ433="","",ROUND(main!BZ433*100,6))</f>
        <v/>
      </c>
      <c r="BO430" s="68" t="str">
        <f>IF(main!CA433="","",ROUND(main!CA433*100,6))</f>
        <v/>
      </c>
      <c r="BP430" s="68" t="str">
        <f>IF(main!CB433="","",ROUND(main!CB433*100,6))</f>
        <v/>
      </c>
      <c r="BQ430" s="68" t="str">
        <f>IF(main!CC433="","",ROUND(main!CC433*100,6))</f>
        <v/>
      </c>
      <c r="BR430" s="68" t="str">
        <f>IF(main!CD433="","",ROUND(main!CD433*100,6))</f>
        <v/>
      </c>
      <c r="BS430" s="68" t="str">
        <f>IF(main!CE433="","",ROUND(main!CE433*100,6))</f>
        <v/>
      </c>
      <c r="BT430" s="68" t="str">
        <f>IF(main!CF433="","",ROUND(main!CF433*100,6))</f>
        <v/>
      </c>
      <c r="BU430" s="68">
        <f>IF(main!CG433="","",ROUND(main!CG433*100,6))</f>
        <v>14.285714</v>
      </c>
      <c r="BV430" s="68">
        <f>IF(main!CH433="","",ROUND(main!CH433*100,6))</f>
        <v>25</v>
      </c>
      <c r="BW430" s="68">
        <f>IF(main!CI433="","",ROUND(main!CI433*100,6))</f>
        <v>25</v>
      </c>
      <c r="BX430" s="68">
        <f>IF(main!CJ433="","",ROUND(main!CJ433*100,6))</f>
        <v>25</v>
      </c>
      <c r="BY430" s="68">
        <f>IF(main!CK433="","",ROUND(main!CK433*100,6))</f>
        <v>10.714286</v>
      </c>
      <c r="BZ430" s="68" t="str">
        <f>IF(main!CL433="","",ROUND(main!CL433*100,6))</f>
        <v/>
      </c>
      <c r="CA430" s="68" t="str">
        <f>IF(main!CM433="","",ROUND(main!CM433*100,6))</f>
        <v/>
      </c>
      <c r="CB430" s="68" t="str">
        <f>IF(main!CN433="","",ROUND(main!CN433*100,6))</f>
        <v/>
      </c>
      <c r="CC430" s="68" t="str">
        <f>IF(main!CO433="","",ROUND(main!CO433*100,6))</f>
        <v/>
      </c>
    </row>
    <row r="431" spans="1:81" ht="30" x14ac:dyDescent="0.25">
      <c r="A431" s="65" t="s">
        <v>585</v>
      </c>
      <c r="B431" s="66" t="str">
        <f>main!C433</f>
        <v>C3.2 ฝ้า Office ยิปซัมฟลอย กรุไม้อัดสัก โครงคร่าวไม้ ทำสีธรรมชาติ</v>
      </c>
      <c r="C431" s="67">
        <f>main!O433</f>
        <v>100000</v>
      </c>
      <c r="D431" s="65" t="s">
        <v>111</v>
      </c>
      <c r="E431" s="68" t="str">
        <f t="shared" si="6"/>
        <v/>
      </c>
      <c r="F431" s="68" t="str">
        <f>IF(main!R434="","",ROUND(main!R434*100,6))</f>
        <v/>
      </c>
      <c r="G431" s="68" t="str">
        <f>IF(main!S434="","",ROUND(main!S434*100,6))</f>
        <v/>
      </c>
      <c r="H431" s="68" t="str">
        <f>IF(main!T434="","",ROUND(main!T434*100,6))</f>
        <v/>
      </c>
      <c r="I431" s="68" t="str">
        <f>IF(main!U434="","",ROUND(main!U434*100,6))</f>
        <v/>
      </c>
      <c r="J431" s="68" t="str">
        <f>IF(main!V434="","",ROUND(main!V434*100,6))</f>
        <v/>
      </c>
      <c r="K431" s="68" t="str">
        <f>IF(main!W434="","",ROUND(main!W434*100,6))</f>
        <v/>
      </c>
      <c r="L431" s="68" t="str">
        <f>IF(main!X434="","",ROUND(main!X434*100,6))</f>
        <v/>
      </c>
      <c r="M431" s="68" t="str">
        <f>IF(main!Y434="","",ROUND(main!Y434*100,6))</f>
        <v/>
      </c>
      <c r="N431" s="68" t="str">
        <f>IF(main!Z434="","",ROUND(main!Z434*100,6))</f>
        <v/>
      </c>
      <c r="O431" s="68" t="str">
        <f>IF(main!AA434="","",ROUND(main!AA434*100,6))</f>
        <v/>
      </c>
      <c r="P431" s="68" t="str">
        <f>IF(main!AB434="","",ROUND(main!AB434*100,6))</f>
        <v/>
      </c>
      <c r="Q431" s="68" t="str">
        <f>IF(main!AC434="","",ROUND(main!AC434*100,6))</f>
        <v/>
      </c>
      <c r="R431" s="68" t="str">
        <f>IF(main!AD434="","",ROUND(main!AD434*100,6))</f>
        <v/>
      </c>
      <c r="S431" s="68" t="str">
        <f>IF(main!AE434="","",ROUND(main!AE434*100,6))</f>
        <v/>
      </c>
      <c r="T431" s="68" t="str">
        <f>IF(main!AF434="","",ROUND(main!AF434*100,6))</f>
        <v/>
      </c>
      <c r="U431" s="68" t="str">
        <f>IF(main!AG434="","",ROUND(main!AG434*100,6))</f>
        <v/>
      </c>
      <c r="V431" s="68" t="str">
        <f>IF(main!AH434="","",ROUND(main!AH434*100,6))</f>
        <v/>
      </c>
      <c r="W431" s="68" t="str">
        <f>IF(main!AI434="","",ROUND(main!AI434*100,6))</f>
        <v/>
      </c>
      <c r="X431" s="68" t="str">
        <f>IF(main!AJ434="","",ROUND(main!AJ434*100,6))</f>
        <v/>
      </c>
      <c r="Y431" s="68" t="str">
        <f>IF(main!AK434="","",ROUND(main!AK434*100,6))</f>
        <v/>
      </c>
      <c r="Z431" s="68" t="str">
        <f>IF(main!AL434="","",ROUND(main!AL434*100,6))</f>
        <v/>
      </c>
      <c r="AA431" s="68" t="str">
        <f>IF(main!AM434="","",ROUND(main!AM434*100,6))</f>
        <v/>
      </c>
      <c r="AB431" s="68" t="str">
        <f>IF(main!AN434="","",ROUND(main!AN434*100,6))</f>
        <v/>
      </c>
      <c r="AC431" s="68" t="str">
        <f>IF(main!AO434="","",ROUND(main!AO434*100,6))</f>
        <v/>
      </c>
      <c r="AD431" s="68" t="str">
        <f>IF(main!AP434="","",ROUND(main!AP434*100,6))</f>
        <v/>
      </c>
      <c r="AE431" s="68" t="str">
        <f>IF(main!AQ434="","",ROUND(main!AQ434*100,6))</f>
        <v/>
      </c>
      <c r="AF431" s="68" t="str">
        <f>IF(main!AR434="","",ROUND(main!AR434*100,6))</f>
        <v/>
      </c>
      <c r="AG431" s="68" t="str">
        <f>IF(main!AS434="","",ROUND(main!AS434*100,6))</f>
        <v/>
      </c>
      <c r="AH431" s="68" t="str">
        <f>IF(main!AT434="","",ROUND(main!AT434*100,6))</f>
        <v/>
      </c>
      <c r="AI431" s="68" t="str">
        <f>IF(main!AU434="","",ROUND(main!AU434*100,6))</f>
        <v/>
      </c>
      <c r="AJ431" s="68" t="str">
        <f>IF(main!AV434="","",ROUND(main!AV434*100,6))</f>
        <v/>
      </c>
      <c r="AK431" s="68" t="str">
        <f>IF(main!AW434="","",ROUND(main!AW434*100,6))</f>
        <v/>
      </c>
      <c r="AL431" s="68" t="str">
        <f>IF(main!AX434="","",ROUND(main!AX434*100,6))</f>
        <v/>
      </c>
      <c r="AM431" s="68" t="str">
        <f>IF(main!AY434="","",ROUND(main!AY434*100,6))</f>
        <v/>
      </c>
      <c r="AN431" s="68" t="str">
        <f>IF(main!AZ434="","",ROUND(main!AZ434*100,6))</f>
        <v/>
      </c>
      <c r="AO431" s="68" t="str">
        <f>IF(main!BA434="","",ROUND(main!BA434*100,6))</f>
        <v/>
      </c>
      <c r="AP431" s="68" t="str">
        <f>IF(main!BB434="","",ROUND(main!BB434*100,6))</f>
        <v/>
      </c>
      <c r="AQ431" s="68" t="str">
        <f>IF(main!BC434="","",ROUND(main!BC434*100,6))</f>
        <v/>
      </c>
      <c r="AR431" s="68" t="str">
        <f>IF(main!BD434="","",ROUND(main!BD434*100,6))</f>
        <v/>
      </c>
      <c r="AS431" s="68" t="str">
        <f>IF(main!BE434="","",ROUND(main!BE434*100,6))</f>
        <v/>
      </c>
      <c r="AT431" s="68" t="str">
        <f>IF(main!BF434="","",ROUND(main!BF434*100,6))</f>
        <v/>
      </c>
      <c r="AU431" s="68" t="str">
        <f>IF(main!BG434="","",ROUND(main!BG434*100,6))</f>
        <v/>
      </c>
      <c r="AV431" s="68" t="str">
        <f>IF(main!BH434="","",ROUND(main!BH434*100,6))</f>
        <v/>
      </c>
      <c r="AW431" s="68" t="str">
        <f>IF(main!BI434="","",ROUND(main!BI434*100,6))</f>
        <v/>
      </c>
      <c r="AX431" s="68" t="str">
        <f>IF(main!BJ434="","",ROUND(main!BJ434*100,6))</f>
        <v/>
      </c>
      <c r="AY431" s="68" t="str">
        <f>IF(main!BK434="","",ROUND(main!BK434*100,6))</f>
        <v/>
      </c>
      <c r="AZ431" s="68" t="str">
        <f>IF(main!BL434="","",ROUND(main!BL434*100,6))</f>
        <v/>
      </c>
      <c r="BA431" s="68" t="str">
        <f>IF(main!BM434="","",ROUND(main!BM434*100,6))</f>
        <v/>
      </c>
      <c r="BB431" s="68" t="str">
        <f>IF(main!BN434="","",ROUND(main!BN434*100,6))</f>
        <v/>
      </c>
      <c r="BC431" s="68" t="str">
        <f>IF(main!BO434="","",ROUND(main!BO434*100,6))</f>
        <v/>
      </c>
      <c r="BD431" s="68" t="str">
        <f>IF(main!BP434="","",ROUND(main!BP434*100,6))</f>
        <v/>
      </c>
      <c r="BE431" s="68" t="str">
        <f>IF(main!BQ434="","",ROUND(main!BQ434*100,6))</f>
        <v/>
      </c>
      <c r="BF431" s="68" t="str">
        <f>IF(main!BR434="","",ROUND(main!BR434*100,6))</f>
        <v/>
      </c>
      <c r="BG431" s="68" t="str">
        <f>IF(main!BS434="","",ROUND(main!BS434*100,6))</f>
        <v/>
      </c>
      <c r="BH431" s="68" t="str">
        <f>IF(main!BT434="","",ROUND(main!BT434*100,6))</f>
        <v/>
      </c>
      <c r="BI431" s="68" t="str">
        <f>IF(main!BU434="","",ROUND(main!BU434*100,6))</f>
        <v/>
      </c>
      <c r="BJ431" s="68" t="str">
        <f>IF(main!BV434="","",ROUND(main!BV434*100,6))</f>
        <v/>
      </c>
      <c r="BK431" s="68" t="str">
        <f>IF(main!BW434="","",ROUND(main!BW434*100,6))</f>
        <v/>
      </c>
      <c r="BL431" s="68" t="str">
        <f>IF(main!BX434="","",ROUND(main!BX434*100,6))</f>
        <v/>
      </c>
      <c r="BM431" s="68" t="str">
        <f>IF(main!BY434="","",ROUND(main!BY434*100,6))</f>
        <v/>
      </c>
      <c r="BN431" s="68" t="str">
        <f>IF(main!BZ434="","",ROUND(main!BZ434*100,6))</f>
        <v/>
      </c>
      <c r="BO431" s="68" t="str">
        <f>IF(main!CA434="","",ROUND(main!CA434*100,6))</f>
        <v/>
      </c>
      <c r="BP431" s="68" t="str">
        <f>IF(main!CB434="","",ROUND(main!CB434*100,6))</f>
        <v/>
      </c>
      <c r="BQ431" s="68" t="str">
        <f>IF(main!CC434="","",ROUND(main!CC434*100,6))</f>
        <v/>
      </c>
      <c r="BR431" s="68" t="str">
        <f>IF(main!CD434="","",ROUND(main!CD434*100,6))</f>
        <v/>
      </c>
      <c r="BS431" s="68" t="str">
        <f>IF(main!CE434="","",ROUND(main!CE434*100,6))</f>
        <v/>
      </c>
      <c r="BT431" s="68" t="str">
        <f>IF(main!CF434="","",ROUND(main!CF434*100,6))</f>
        <v/>
      </c>
      <c r="BU431" s="68" t="str">
        <f>IF(main!CG434="","",ROUND(main!CG434*100,6))</f>
        <v/>
      </c>
      <c r="BV431" s="68" t="str">
        <f>IF(main!CH434="","",ROUND(main!CH434*100,6))</f>
        <v/>
      </c>
      <c r="BW431" s="68" t="str">
        <f>IF(main!CI434="","",ROUND(main!CI434*100,6))</f>
        <v/>
      </c>
      <c r="BX431" s="68" t="str">
        <f>IF(main!CJ434="","",ROUND(main!CJ434*100,6))</f>
        <v/>
      </c>
      <c r="BY431" s="68" t="str">
        <f>IF(main!CK434="","",ROUND(main!CK434*100,6))</f>
        <v/>
      </c>
      <c r="BZ431" s="68" t="str">
        <f>IF(main!CL434="","",ROUND(main!CL434*100,6))</f>
        <v/>
      </c>
      <c r="CA431" s="68" t="str">
        <f>IF(main!CM434="","",ROUND(main!CM434*100,6))</f>
        <v/>
      </c>
      <c r="CB431" s="68" t="str">
        <f>IF(main!CN434="","",ROUND(main!CN434*100,6))</f>
        <v/>
      </c>
      <c r="CC431" s="68" t="str">
        <f>IF(main!CO434="","",ROUND(main!CO434*100,6))</f>
        <v/>
      </c>
    </row>
    <row r="432" spans="1:81" ht="30" x14ac:dyDescent="0.25">
      <c r="A432" s="65" t="s">
        <v>588</v>
      </c>
      <c r="B432" s="66" t="str">
        <f>main!C435</f>
        <v>C3.2 ฝ้า ทางเดิน ฝ้าไม้อัดสัก โครงคร่าวไม้ ทำสีธรรมชาติ</v>
      </c>
      <c r="C432" s="67">
        <f>main!O435</f>
        <v>100000</v>
      </c>
      <c r="D432" s="65" t="s">
        <v>110</v>
      </c>
      <c r="E432" s="68">
        <f t="shared" si="6"/>
        <v>100</v>
      </c>
      <c r="F432" s="68" t="str">
        <f>IF(main!R435="","",ROUND(main!R435*100,6))</f>
        <v/>
      </c>
      <c r="G432" s="68" t="str">
        <f>IF(main!S435="","",ROUND(main!S435*100,6))</f>
        <v/>
      </c>
      <c r="H432" s="68" t="str">
        <f>IF(main!T435="","",ROUND(main!T435*100,6))</f>
        <v/>
      </c>
      <c r="I432" s="68" t="str">
        <f>IF(main!U435="","",ROUND(main!U435*100,6))</f>
        <v/>
      </c>
      <c r="J432" s="68" t="str">
        <f>IF(main!V435="","",ROUND(main!V435*100,6))</f>
        <v/>
      </c>
      <c r="K432" s="68" t="str">
        <f>IF(main!W435="","",ROUND(main!W435*100,6))</f>
        <v/>
      </c>
      <c r="L432" s="68" t="str">
        <f>IF(main!X435="","",ROUND(main!X435*100,6))</f>
        <v/>
      </c>
      <c r="M432" s="68" t="str">
        <f>IF(main!Y435="","",ROUND(main!Y435*100,6))</f>
        <v/>
      </c>
      <c r="N432" s="68" t="str">
        <f>IF(main!Z435="","",ROUND(main!Z435*100,6))</f>
        <v/>
      </c>
      <c r="O432" s="68" t="str">
        <f>IF(main!AA435="","",ROUND(main!AA435*100,6))</f>
        <v/>
      </c>
      <c r="P432" s="68" t="str">
        <f>IF(main!AB435="","",ROUND(main!AB435*100,6))</f>
        <v/>
      </c>
      <c r="Q432" s="68" t="str">
        <f>IF(main!AC435="","",ROUND(main!AC435*100,6))</f>
        <v/>
      </c>
      <c r="R432" s="68" t="str">
        <f>IF(main!AD435="","",ROUND(main!AD435*100,6))</f>
        <v/>
      </c>
      <c r="S432" s="68" t="str">
        <f>IF(main!AE435="","",ROUND(main!AE435*100,6))</f>
        <v/>
      </c>
      <c r="T432" s="68" t="str">
        <f>IF(main!AF435="","",ROUND(main!AF435*100,6))</f>
        <v/>
      </c>
      <c r="U432" s="68" t="str">
        <f>IF(main!AG435="","",ROUND(main!AG435*100,6))</f>
        <v/>
      </c>
      <c r="V432" s="68" t="str">
        <f>IF(main!AH435="","",ROUND(main!AH435*100,6))</f>
        <v/>
      </c>
      <c r="W432" s="68" t="str">
        <f>IF(main!AI435="","",ROUND(main!AI435*100,6))</f>
        <v/>
      </c>
      <c r="X432" s="68" t="str">
        <f>IF(main!AJ435="","",ROUND(main!AJ435*100,6))</f>
        <v/>
      </c>
      <c r="Y432" s="68" t="str">
        <f>IF(main!AK435="","",ROUND(main!AK435*100,6))</f>
        <v/>
      </c>
      <c r="Z432" s="68" t="str">
        <f>IF(main!AL435="","",ROUND(main!AL435*100,6))</f>
        <v/>
      </c>
      <c r="AA432" s="68" t="str">
        <f>IF(main!AM435="","",ROUND(main!AM435*100,6))</f>
        <v/>
      </c>
      <c r="AB432" s="68" t="str">
        <f>IF(main!AN435="","",ROUND(main!AN435*100,6))</f>
        <v/>
      </c>
      <c r="AC432" s="68" t="str">
        <f>IF(main!AO435="","",ROUND(main!AO435*100,6))</f>
        <v/>
      </c>
      <c r="AD432" s="68" t="str">
        <f>IF(main!AP435="","",ROUND(main!AP435*100,6))</f>
        <v/>
      </c>
      <c r="AE432" s="68" t="str">
        <f>IF(main!AQ435="","",ROUND(main!AQ435*100,6))</f>
        <v/>
      </c>
      <c r="AF432" s="68" t="str">
        <f>IF(main!AR435="","",ROUND(main!AR435*100,6))</f>
        <v/>
      </c>
      <c r="AG432" s="68" t="str">
        <f>IF(main!AS435="","",ROUND(main!AS435*100,6))</f>
        <v/>
      </c>
      <c r="AH432" s="68" t="str">
        <f>IF(main!AT435="","",ROUND(main!AT435*100,6))</f>
        <v/>
      </c>
      <c r="AI432" s="68" t="str">
        <f>IF(main!AU435="","",ROUND(main!AU435*100,6))</f>
        <v/>
      </c>
      <c r="AJ432" s="68" t="str">
        <f>IF(main!AV435="","",ROUND(main!AV435*100,6))</f>
        <v/>
      </c>
      <c r="AK432" s="68" t="str">
        <f>IF(main!AW435="","",ROUND(main!AW435*100,6))</f>
        <v/>
      </c>
      <c r="AL432" s="68" t="str">
        <f>IF(main!AX435="","",ROUND(main!AX435*100,6))</f>
        <v/>
      </c>
      <c r="AM432" s="68" t="str">
        <f>IF(main!AY435="","",ROUND(main!AY435*100,6))</f>
        <v/>
      </c>
      <c r="AN432" s="68" t="str">
        <f>IF(main!AZ435="","",ROUND(main!AZ435*100,6))</f>
        <v/>
      </c>
      <c r="AO432" s="68" t="str">
        <f>IF(main!BA435="","",ROUND(main!BA435*100,6))</f>
        <v/>
      </c>
      <c r="AP432" s="68" t="str">
        <f>IF(main!BB435="","",ROUND(main!BB435*100,6))</f>
        <v/>
      </c>
      <c r="AQ432" s="68" t="str">
        <f>IF(main!BC435="","",ROUND(main!BC435*100,6))</f>
        <v/>
      </c>
      <c r="AR432" s="68" t="str">
        <f>IF(main!BD435="","",ROUND(main!BD435*100,6))</f>
        <v/>
      </c>
      <c r="AS432" s="68" t="str">
        <f>IF(main!BE435="","",ROUND(main!BE435*100,6))</f>
        <v/>
      </c>
      <c r="AT432" s="68" t="str">
        <f>IF(main!BF435="","",ROUND(main!BF435*100,6))</f>
        <v/>
      </c>
      <c r="AU432" s="68" t="str">
        <f>IF(main!BG435="","",ROUND(main!BG435*100,6))</f>
        <v/>
      </c>
      <c r="AV432" s="68" t="str">
        <f>IF(main!BH435="","",ROUND(main!BH435*100,6))</f>
        <v/>
      </c>
      <c r="AW432" s="68" t="str">
        <f>IF(main!BI435="","",ROUND(main!BI435*100,6))</f>
        <v/>
      </c>
      <c r="AX432" s="68" t="str">
        <f>IF(main!BJ435="","",ROUND(main!BJ435*100,6))</f>
        <v/>
      </c>
      <c r="AY432" s="68" t="str">
        <f>IF(main!BK435="","",ROUND(main!BK435*100,6))</f>
        <v/>
      </c>
      <c r="AZ432" s="68" t="str">
        <f>IF(main!BL435="","",ROUND(main!BL435*100,6))</f>
        <v/>
      </c>
      <c r="BA432" s="68" t="str">
        <f>IF(main!BM435="","",ROUND(main!BM435*100,6))</f>
        <v/>
      </c>
      <c r="BB432" s="68" t="str">
        <f>IF(main!BN435="","",ROUND(main!BN435*100,6))</f>
        <v/>
      </c>
      <c r="BC432" s="68" t="str">
        <f>IF(main!BO435="","",ROUND(main!BO435*100,6))</f>
        <v/>
      </c>
      <c r="BD432" s="68" t="str">
        <f>IF(main!BP435="","",ROUND(main!BP435*100,6))</f>
        <v/>
      </c>
      <c r="BE432" s="68" t="str">
        <f>IF(main!BQ435="","",ROUND(main!BQ435*100,6))</f>
        <v/>
      </c>
      <c r="BF432" s="68" t="str">
        <f>IF(main!BR435="","",ROUND(main!BR435*100,6))</f>
        <v/>
      </c>
      <c r="BG432" s="68" t="str">
        <f>IF(main!BS435="","",ROUND(main!BS435*100,6))</f>
        <v/>
      </c>
      <c r="BH432" s="68" t="str">
        <f>IF(main!BT435="","",ROUND(main!BT435*100,6))</f>
        <v/>
      </c>
      <c r="BI432" s="68" t="str">
        <f>IF(main!BU435="","",ROUND(main!BU435*100,6))</f>
        <v/>
      </c>
      <c r="BJ432" s="68" t="str">
        <f>IF(main!BV435="","",ROUND(main!BV435*100,6))</f>
        <v/>
      </c>
      <c r="BK432" s="68" t="str">
        <f>IF(main!BW435="","",ROUND(main!BW435*100,6))</f>
        <v/>
      </c>
      <c r="BL432" s="68" t="str">
        <f>IF(main!BX435="","",ROUND(main!BX435*100,6))</f>
        <v/>
      </c>
      <c r="BM432" s="68" t="str">
        <f>IF(main!BY435="","",ROUND(main!BY435*100,6))</f>
        <v/>
      </c>
      <c r="BN432" s="68" t="str">
        <f>IF(main!BZ435="","",ROUND(main!BZ435*100,6))</f>
        <v/>
      </c>
      <c r="BO432" s="68" t="str">
        <f>IF(main!CA435="","",ROUND(main!CA435*100,6))</f>
        <v/>
      </c>
      <c r="BP432" s="68" t="str">
        <f>IF(main!CB435="","",ROUND(main!CB435*100,6))</f>
        <v/>
      </c>
      <c r="BQ432" s="68" t="str">
        <f>IF(main!CC435="","",ROUND(main!CC435*100,6))</f>
        <v/>
      </c>
      <c r="BR432" s="68" t="str">
        <f>IF(main!CD435="","",ROUND(main!CD435*100,6))</f>
        <v/>
      </c>
      <c r="BS432" s="68" t="str">
        <f>IF(main!CE435="","",ROUND(main!CE435*100,6))</f>
        <v/>
      </c>
      <c r="BT432" s="68" t="str">
        <f>IF(main!CF435="","",ROUND(main!CF435*100,6))</f>
        <v/>
      </c>
      <c r="BU432" s="68">
        <f>IF(main!CG435="","",ROUND(main!CG435*100,6))</f>
        <v>14.285714</v>
      </c>
      <c r="BV432" s="68">
        <f>IF(main!CH435="","",ROUND(main!CH435*100,6))</f>
        <v>25</v>
      </c>
      <c r="BW432" s="68">
        <f>IF(main!CI435="","",ROUND(main!CI435*100,6))</f>
        <v>25</v>
      </c>
      <c r="BX432" s="68">
        <f>IF(main!CJ435="","",ROUND(main!CJ435*100,6))</f>
        <v>25</v>
      </c>
      <c r="BY432" s="68">
        <f>IF(main!CK435="","",ROUND(main!CK435*100,6))</f>
        <v>10.714286</v>
      </c>
      <c r="BZ432" s="68" t="str">
        <f>IF(main!CL435="","",ROUND(main!CL435*100,6))</f>
        <v/>
      </c>
      <c r="CA432" s="68" t="str">
        <f>IF(main!CM435="","",ROUND(main!CM435*100,6))</f>
        <v/>
      </c>
      <c r="CB432" s="68" t="str">
        <f>IF(main!CN435="","",ROUND(main!CN435*100,6))</f>
        <v/>
      </c>
      <c r="CC432" s="68" t="str">
        <f>IF(main!CO435="","",ROUND(main!CO435*100,6))</f>
        <v/>
      </c>
    </row>
    <row r="433" spans="1:81" ht="30" x14ac:dyDescent="0.25">
      <c r="A433" s="65" t="s">
        <v>588</v>
      </c>
      <c r="B433" s="66" t="str">
        <f>main!C435</f>
        <v>C3.2 ฝ้า ทางเดิน ฝ้าไม้อัดสัก โครงคร่าวไม้ ทำสีธรรมชาติ</v>
      </c>
      <c r="C433" s="67">
        <f>main!O435</f>
        <v>100000</v>
      </c>
      <c r="D433" s="65" t="s">
        <v>111</v>
      </c>
      <c r="E433" s="68" t="str">
        <f t="shared" si="6"/>
        <v/>
      </c>
      <c r="F433" s="68" t="str">
        <f>IF(main!R436="","",ROUND(main!R436*100,6))</f>
        <v/>
      </c>
      <c r="G433" s="68" t="str">
        <f>IF(main!S436="","",ROUND(main!S436*100,6))</f>
        <v/>
      </c>
      <c r="H433" s="68" t="str">
        <f>IF(main!T436="","",ROUND(main!T436*100,6))</f>
        <v/>
      </c>
      <c r="I433" s="68" t="str">
        <f>IF(main!U436="","",ROUND(main!U436*100,6))</f>
        <v/>
      </c>
      <c r="J433" s="68" t="str">
        <f>IF(main!V436="","",ROUND(main!V436*100,6))</f>
        <v/>
      </c>
      <c r="K433" s="68" t="str">
        <f>IF(main!W436="","",ROUND(main!W436*100,6))</f>
        <v/>
      </c>
      <c r="L433" s="68" t="str">
        <f>IF(main!X436="","",ROUND(main!X436*100,6))</f>
        <v/>
      </c>
      <c r="M433" s="68" t="str">
        <f>IF(main!Y436="","",ROUND(main!Y436*100,6))</f>
        <v/>
      </c>
      <c r="N433" s="68" t="str">
        <f>IF(main!Z436="","",ROUND(main!Z436*100,6))</f>
        <v/>
      </c>
      <c r="O433" s="68" t="str">
        <f>IF(main!AA436="","",ROUND(main!AA436*100,6))</f>
        <v/>
      </c>
      <c r="P433" s="68" t="str">
        <f>IF(main!AB436="","",ROUND(main!AB436*100,6))</f>
        <v/>
      </c>
      <c r="Q433" s="68" t="str">
        <f>IF(main!AC436="","",ROUND(main!AC436*100,6))</f>
        <v/>
      </c>
      <c r="R433" s="68" t="str">
        <f>IF(main!AD436="","",ROUND(main!AD436*100,6))</f>
        <v/>
      </c>
      <c r="S433" s="68" t="str">
        <f>IF(main!AE436="","",ROUND(main!AE436*100,6))</f>
        <v/>
      </c>
      <c r="T433" s="68" t="str">
        <f>IF(main!AF436="","",ROUND(main!AF436*100,6))</f>
        <v/>
      </c>
      <c r="U433" s="68" t="str">
        <f>IF(main!AG436="","",ROUND(main!AG436*100,6))</f>
        <v/>
      </c>
      <c r="V433" s="68" t="str">
        <f>IF(main!AH436="","",ROUND(main!AH436*100,6))</f>
        <v/>
      </c>
      <c r="W433" s="68" t="str">
        <f>IF(main!AI436="","",ROUND(main!AI436*100,6))</f>
        <v/>
      </c>
      <c r="X433" s="68" t="str">
        <f>IF(main!AJ436="","",ROUND(main!AJ436*100,6))</f>
        <v/>
      </c>
      <c r="Y433" s="68" t="str">
        <f>IF(main!AK436="","",ROUND(main!AK436*100,6))</f>
        <v/>
      </c>
      <c r="Z433" s="68" t="str">
        <f>IF(main!AL436="","",ROUND(main!AL436*100,6))</f>
        <v/>
      </c>
      <c r="AA433" s="68" t="str">
        <f>IF(main!AM436="","",ROUND(main!AM436*100,6))</f>
        <v/>
      </c>
      <c r="AB433" s="68" t="str">
        <f>IF(main!AN436="","",ROUND(main!AN436*100,6))</f>
        <v/>
      </c>
      <c r="AC433" s="68" t="str">
        <f>IF(main!AO436="","",ROUND(main!AO436*100,6))</f>
        <v/>
      </c>
      <c r="AD433" s="68" t="str">
        <f>IF(main!AP436="","",ROUND(main!AP436*100,6))</f>
        <v/>
      </c>
      <c r="AE433" s="68" t="str">
        <f>IF(main!AQ436="","",ROUND(main!AQ436*100,6))</f>
        <v/>
      </c>
      <c r="AF433" s="68" t="str">
        <f>IF(main!AR436="","",ROUND(main!AR436*100,6))</f>
        <v/>
      </c>
      <c r="AG433" s="68" t="str">
        <f>IF(main!AS436="","",ROUND(main!AS436*100,6))</f>
        <v/>
      </c>
      <c r="AH433" s="68" t="str">
        <f>IF(main!AT436="","",ROUND(main!AT436*100,6))</f>
        <v/>
      </c>
      <c r="AI433" s="68" t="str">
        <f>IF(main!AU436="","",ROUND(main!AU436*100,6))</f>
        <v/>
      </c>
      <c r="AJ433" s="68" t="str">
        <f>IF(main!AV436="","",ROUND(main!AV436*100,6))</f>
        <v/>
      </c>
      <c r="AK433" s="68" t="str">
        <f>IF(main!AW436="","",ROUND(main!AW436*100,6))</f>
        <v/>
      </c>
      <c r="AL433" s="68" t="str">
        <f>IF(main!AX436="","",ROUND(main!AX436*100,6))</f>
        <v/>
      </c>
      <c r="AM433" s="68" t="str">
        <f>IF(main!AY436="","",ROUND(main!AY436*100,6))</f>
        <v/>
      </c>
      <c r="AN433" s="68" t="str">
        <f>IF(main!AZ436="","",ROUND(main!AZ436*100,6))</f>
        <v/>
      </c>
      <c r="AO433" s="68" t="str">
        <f>IF(main!BA436="","",ROUND(main!BA436*100,6))</f>
        <v/>
      </c>
      <c r="AP433" s="68" t="str">
        <f>IF(main!BB436="","",ROUND(main!BB436*100,6))</f>
        <v/>
      </c>
      <c r="AQ433" s="68" t="str">
        <f>IF(main!BC436="","",ROUND(main!BC436*100,6))</f>
        <v/>
      </c>
      <c r="AR433" s="68" t="str">
        <f>IF(main!BD436="","",ROUND(main!BD436*100,6))</f>
        <v/>
      </c>
      <c r="AS433" s="68" t="str">
        <f>IF(main!BE436="","",ROUND(main!BE436*100,6))</f>
        <v/>
      </c>
      <c r="AT433" s="68" t="str">
        <f>IF(main!BF436="","",ROUND(main!BF436*100,6))</f>
        <v/>
      </c>
      <c r="AU433" s="68" t="str">
        <f>IF(main!BG436="","",ROUND(main!BG436*100,6))</f>
        <v/>
      </c>
      <c r="AV433" s="68" t="str">
        <f>IF(main!BH436="","",ROUND(main!BH436*100,6))</f>
        <v/>
      </c>
      <c r="AW433" s="68" t="str">
        <f>IF(main!BI436="","",ROUND(main!BI436*100,6))</f>
        <v/>
      </c>
      <c r="AX433" s="68" t="str">
        <f>IF(main!BJ436="","",ROUND(main!BJ436*100,6))</f>
        <v/>
      </c>
      <c r="AY433" s="68" t="str">
        <f>IF(main!BK436="","",ROUND(main!BK436*100,6))</f>
        <v/>
      </c>
      <c r="AZ433" s="68" t="str">
        <f>IF(main!BL436="","",ROUND(main!BL436*100,6))</f>
        <v/>
      </c>
      <c r="BA433" s="68" t="str">
        <f>IF(main!BM436="","",ROUND(main!BM436*100,6))</f>
        <v/>
      </c>
      <c r="BB433" s="68" t="str">
        <f>IF(main!BN436="","",ROUND(main!BN436*100,6))</f>
        <v/>
      </c>
      <c r="BC433" s="68" t="str">
        <f>IF(main!BO436="","",ROUND(main!BO436*100,6))</f>
        <v/>
      </c>
      <c r="BD433" s="68" t="str">
        <f>IF(main!BP436="","",ROUND(main!BP436*100,6))</f>
        <v/>
      </c>
      <c r="BE433" s="68" t="str">
        <f>IF(main!BQ436="","",ROUND(main!BQ436*100,6))</f>
        <v/>
      </c>
      <c r="BF433" s="68" t="str">
        <f>IF(main!BR436="","",ROUND(main!BR436*100,6))</f>
        <v/>
      </c>
      <c r="BG433" s="68" t="str">
        <f>IF(main!BS436="","",ROUND(main!BS436*100,6))</f>
        <v/>
      </c>
      <c r="BH433" s="68" t="str">
        <f>IF(main!BT436="","",ROUND(main!BT436*100,6))</f>
        <v/>
      </c>
      <c r="BI433" s="68" t="str">
        <f>IF(main!BU436="","",ROUND(main!BU436*100,6))</f>
        <v/>
      </c>
      <c r="BJ433" s="68" t="str">
        <f>IF(main!BV436="","",ROUND(main!BV436*100,6))</f>
        <v/>
      </c>
      <c r="BK433" s="68" t="str">
        <f>IF(main!BW436="","",ROUND(main!BW436*100,6))</f>
        <v/>
      </c>
      <c r="BL433" s="68" t="str">
        <f>IF(main!BX436="","",ROUND(main!BX436*100,6))</f>
        <v/>
      </c>
      <c r="BM433" s="68" t="str">
        <f>IF(main!BY436="","",ROUND(main!BY436*100,6))</f>
        <v/>
      </c>
      <c r="BN433" s="68" t="str">
        <f>IF(main!BZ436="","",ROUND(main!BZ436*100,6))</f>
        <v/>
      </c>
      <c r="BO433" s="68" t="str">
        <f>IF(main!CA436="","",ROUND(main!CA436*100,6))</f>
        <v/>
      </c>
      <c r="BP433" s="68" t="str">
        <f>IF(main!CB436="","",ROUND(main!CB436*100,6))</f>
        <v/>
      </c>
      <c r="BQ433" s="68" t="str">
        <f>IF(main!CC436="","",ROUND(main!CC436*100,6))</f>
        <v/>
      </c>
      <c r="BR433" s="68" t="str">
        <f>IF(main!CD436="","",ROUND(main!CD436*100,6))</f>
        <v/>
      </c>
      <c r="BS433" s="68" t="str">
        <f>IF(main!CE436="","",ROUND(main!CE436*100,6))</f>
        <v/>
      </c>
      <c r="BT433" s="68" t="str">
        <f>IF(main!CF436="","",ROUND(main!CF436*100,6))</f>
        <v/>
      </c>
      <c r="BU433" s="68" t="str">
        <f>IF(main!CG436="","",ROUND(main!CG436*100,6))</f>
        <v/>
      </c>
      <c r="BV433" s="68" t="str">
        <f>IF(main!CH436="","",ROUND(main!CH436*100,6))</f>
        <v/>
      </c>
      <c r="BW433" s="68" t="str">
        <f>IF(main!CI436="","",ROUND(main!CI436*100,6))</f>
        <v/>
      </c>
      <c r="BX433" s="68" t="str">
        <f>IF(main!CJ436="","",ROUND(main!CJ436*100,6))</f>
        <v/>
      </c>
      <c r="BY433" s="68" t="str">
        <f>IF(main!CK436="","",ROUND(main!CK436*100,6))</f>
        <v/>
      </c>
      <c r="BZ433" s="68" t="str">
        <f>IF(main!CL436="","",ROUND(main!CL436*100,6))</f>
        <v/>
      </c>
      <c r="CA433" s="68" t="str">
        <f>IF(main!CM436="","",ROUND(main!CM436*100,6))</f>
        <v/>
      </c>
      <c r="CB433" s="68" t="str">
        <f>IF(main!CN436="","",ROUND(main!CN436*100,6))</f>
        <v/>
      </c>
      <c r="CC433" s="68" t="str">
        <f>IF(main!CO436="","",ROUND(main!CO436*100,6))</f>
        <v/>
      </c>
    </row>
    <row r="434" spans="1:81" x14ac:dyDescent="0.25">
      <c r="A434" s="65" t="s">
        <v>591</v>
      </c>
      <c r="B434" s="66" t="str">
        <f>main!C437</f>
        <v>C3.7 ห้องประชุม ฝ้าไม้อัดสัก กรุอลูมิเนียม</v>
      </c>
      <c r="C434" s="67">
        <f>main!O437</f>
        <v>100000</v>
      </c>
      <c r="D434" s="65" t="s">
        <v>110</v>
      </c>
      <c r="E434" s="68">
        <f t="shared" si="6"/>
        <v>100</v>
      </c>
      <c r="F434" s="68" t="str">
        <f>IF(main!R437="","",ROUND(main!R437*100,6))</f>
        <v/>
      </c>
      <c r="G434" s="68" t="str">
        <f>IF(main!S437="","",ROUND(main!S437*100,6))</f>
        <v/>
      </c>
      <c r="H434" s="68" t="str">
        <f>IF(main!T437="","",ROUND(main!T437*100,6))</f>
        <v/>
      </c>
      <c r="I434" s="68" t="str">
        <f>IF(main!U437="","",ROUND(main!U437*100,6))</f>
        <v/>
      </c>
      <c r="J434" s="68" t="str">
        <f>IF(main!V437="","",ROUND(main!V437*100,6))</f>
        <v/>
      </c>
      <c r="K434" s="68" t="str">
        <f>IF(main!W437="","",ROUND(main!W437*100,6))</f>
        <v/>
      </c>
      <c r="L434" s="68" t="str">
        <f>IF(main!X437="","",ROUND(main!X437*100,6))</f>
        <v/>
      </c>
      <c r="M434" s="68" t="str">
        <f>IF(main!Y437="","",ROUND(main!Y437*100,6))</f>
        <v/>
      </c>
      <c r="N434" s="68" t="str">
        <f>IF(main!Z437="","",ROUND(main!Z437*100,6))</f>
        <v/>
      </c>
      <c r="O434" s="68" t="str">
        <f>IF(main!AA437="","",ROUND(main!AA437*100,6))</f>
        <v/>
      </c>
      <c r="P434" s="68" t="str">
        <f>IF(main!AB437="","",ROUND(main!AB437*100,6))</f>
        <v/>
      </c>
      <c r="Q434" s="68" t="str">
        <f>IF(main!AC437="","",ROUND(main!AC437*100,6))</f>
        <v/>
      </c>
      <c r="R434" s="68" t="str">
        <f>IF(main!AD437="","",ROUND(main!AD437*100,6))</f>
        <v/>
      </c>
      <c r="S434" s="68" t="str">
        <f>IF(main!AE437="","",ROUND(main!AE437*100,6))</f>
        <v/>
      </c>
      <c r="T434" s="68" t="str">
        <f>IF(main!AF437="","",ROUND(main!AF437*100,6))</f>
        <v/>
      </c>
      <c r="U434" s="68" t="str">
        <f>IF(main!AG437="","",ROUND(main!AG437*100,6))</f>
        <v/>
      </c>
      <c r="V434" s="68" t="str">
        <f>IF(main!AH437="","",ROUND(main!AH437*100,6))</f>
        <v/>
      </c>
      <c r="W434" s="68" t="str">
        <f>IF(main!AI437="","",ROUND(main!AI437*100,6))</f>
        <v/>
      </c>
      <c r="X434" s="68" t="str">
        <f>IF(main!AJ437="","",ROUND(main!AJ437*100,6))</f>
        <v/>
      </c>
      <c r="Y434" s="68" t="str">
        <f>IF(main!AK437="","",ROUND(main!AK437*100,6))</f>
        <v/>
      </c>
      <c r="Z434" s="68" t="str">
        <f>IF(main!AL437="","",ROUND(main!AL437*100,6))</f>
        <v/>
      </c>
      <c r="AA434" s="68" t="str">
        <f>IF(main!AM437="","",ROUND(main!AM437*100,6))</f>
        <v/>
      </c>
      <c r="AB434" s="68" t="str">
        <f>IF(main!AN437="","",ROUND(main!AN437*100,6))</f>
        <v/>
      </c>
      <c r="AC434" s="68" t="str">
        <f>IF(main!AO437="","",ROUND(main!AO437*100,6))</f>
        <v/>
      </c>
      <c r="AD434" s="68" t="str">
        <f>IF(main!AP437="","",ROUND(main!AP437*100,6))</f>
        <v/>
      </c>
      <c r="AE434" s="68" t="str">
        <f>IF(main!AQ437="","",ROUND(main!AQ437*100,6))</f>
        <v/>
      </c>
      <c r="AF434" s="68" t="str">
        <f>IF(main!AR437="","",ROUND(main!AR437*100,6))</f>
        <v/>
      </c>
      <c r="AG434" s="68" t="str">
        <f>IF(main!AS437="","",ROUND(main!AS437*100,6))</f>
        <v/>
      </c>
      <c r="AH434" s="68" t="str">
        <f>IF(main!AT437="","",ROUND(main!AT437*100,6))</f>
        <v/>
      </c>
      <c r="AI434" s="68" t="str">
        <f>IF(main!AU437="","",ROUND(main!AU437*100,6))</f>
        <v/>
      </c>
      <c r="AJ434" s="68" t="str">
        <f>IF(main!AV437="","",ROUND(main!AV437*100,6))</f>
        <v/>
      </c>
      <c r="AK434" s="68" t="str">
        <f>IF(main!AW437="","",ROUND(main!AW437*100,6))</f>
        <v/>
      </c>
      <c r="AL434" s="68" t="str">
        <f>IF(main!AX437="","",ROUND(main!AX437*100,6))</f>
        <v/>
      </c>
      <c r="AM434" s="68" t="str">
        <f>IF(main!AY437="","",ROUND(main!AY437*100,6))</f>
        <v/>
      </c>
      <c r="AN434" s="68" t="str">
        <f>IF(main!AZ437="","",ROUND(main!AZ437*100,6))</f>
        <v/>
      </c>
      <c r="AO434" s="68" t="str">
        <f>IF(main!BA437="","",ROUND(main!BA437*100,6))</f>
        <v/>
      </c>
      <c r="AP434" s="68" t="str">
        <f>IF(main!BB437="","",ROUND(main!BB437*100,6))</f>
        <v/>
      </c>
      <c r="AQ434" s="68" t="str">
        <f>IF(main!BC437="","",ROUND(main!BC437*100,6))</f>
        <v/>
      </c>
      <c r="AR434" s="68" t="str">
        <f>IF(main!BD437="","",ROUND(main!BD437*100,6))</f>
        <v/>
      </c>
      <c r="AS434" s="68" t="str">
        <f>IF(main!BE437="","",ROUND(main!BE437*100,6))</f>
        <v/>
      </c>
      <c r="AT434" s="68" t="str">
        <f>IF(main!BF437="","",ROUND(main!BF437*100,6))</f>
        <v/>
      </c>
      <c r="AU434" s="68" t="str">
        <f>IF(main!BG437="","",ROUND(main!BG437*100,6))</f>
        <v/>
      </c>
      <c r="AV434" s="68" t="str">
        <f>IF(main!BH437="","",ROUND(main!BH437*100,6))</f>
        <v/>
      </c>
      <c r="AW434" s="68" t="str">
        <f>IF(main!BI437="","",ROUND(main!BI437*100,6))</f>
        <v/>
      </c>
      <c r="AX434" s="68" t="str">
        <f>IF(main!BJ437="","",ROUND(main!BJ437*100,6))</f>
        <v/>
      </c>
      <c r="AY434" s="68" t="str">
        <f>IF(main!BK437="","",ROUND(main!BK437*100,6))</f>
        <v/>
      </c>
      <c r="AZ434" s="68" t="str">
        <f>IF(main!BL437="","",ROUND(main!BL437*100,6))</f>
        <v/>
      </c>
      <c r="BA434" s="68" t="str">
        <f>IF(main!BM437="","",ROUND(main!BM437*100,6))</f>
        <v/>
      </c>
      <c r="BB434" s="68" t="str">
        <f>IF(main!BN437="","",ROUND(main!BN437*100,6))</f>
        <v/>
      </c>
      <c r="BC434" s="68" t="str">
        <f>IF(main!BO437="","",ROUND(main!BO437*100,6))</f>
        <v/>
      </c>
      <c r="BD434" s="68" t="str">
        <f>IF(main!BP437="","",ROUND(main!BP437*100,6))</f>
        <v/>
      </c>
      <c r="BE434" s="68" t="str">
        <f>IF(main!BQ437="","",ROUND(main!BQ437*100,6))</f>
        <v/>
      </c>
      <c r="BF434" s="68" t="str">
        <f>IF(main!BR437="","",ROUND(main!BR437*100,6))</f>
        <v/>
      </c>
      <c r="BG434" s="68" t="str">
        <f>IF(main!BS437="","",ROUND(main!BS437*100,6))</f>
        <v/>
      </c>
      <c r="BH434" s="68" t="str">
        <f>IF(main!BT437="","",ROUND(main!BT437*100,6))</f>
        <v/>
      </c>
      <c r="BI434" s="68" t="str">
        <f>IF(main!BU437="","",ROUND(main!BU437*100,6))</f>
        <v/>
      </c>
      <c r="BJ434" s="68" t="str">
        <f>IF(main!BV437="","",ROUND(main!BV437*100,6))</f>
        <v/>
      </c>
      <c r="BK434" s="68" t="str">
        <f>IF(main!BW437="","",ROUND(main!BW437*100,6))</f>
        <v/>
      </c>
      <c r="BL434" s="68" t="str">
        <f>IF(main!BX437="","",ROUND(main!BX437*100,6))</f>
        <v/>
      </c>
      <c r="BM434" s="68" t="str">
        <f>IF(main!BY437="","",ROUND(main!BY437*100,6))</f>
        <v/>
      </c>
      <c r="BN434" s="68" t="str">
        <f>IF(main!BZ437="","",ROUND(main!BZ437*100,6))</f>
        <v/>
      </c>
      <c r="BO434" s="68" t="str">
        <f>IF(main!CA437="","",ROUND(main!CA437*100,6))</f>
        <v/>
      </c>
      <c r="BP434" s="68" t="str">
        <f>IF(main!CB437="","",ROUND(main!CB437*100,6))</f>
        <v/>
      </c>
      <c r="BQ434" s="68" t="str">
        <f>IF(main!CC437="","",ROUND(main!CC437*100,6))</f>
        <v/>
      </c>
      <c r="BR434" s="68" t="str">
        <f>IF(main!CD437="","",ROUND(main!CD437*100,6))</f>
        <v/>
      </c>
      <c r="BS434" s="68" t="str">
        <f>IF(main!CE437="","",ROUND(main!CE437*100,6))</f>
        <v/>
      </c>
      <c r="BT434" s="68" t="str">
        <f>IF(main!CF437="","",ROUND(main!CF437*100,6))</f>
        <v/>
      </c>
      <c r="BU434" s="68">
        <f>IF(main!CG437="","",ROUND(main!CG437*100,6))</f>
        <v>4.7619049999999996</v>
      </c>
      <c r="BV434" s="68">
        <f>IF(main!CH437="","",ROUND(main!CH437*100,6))</f>
        <v>33.333333000000003</v>
      </c>
      <c r="BW434" s="68">
        <f>IF(main!CI437="","",ROUND(main!CI437*100,6))</f>
        <v>33.333333000000003</v>
      </c>
      <c r="BX434" s="68">
        <f>IF(main!CJ437="","",ROUND(main!CJ437*100,6))</f>
        <v>28.571428999999998</v>
      </c>
      <c r="BY434" s="68" t="str">
        <f>IF(main!CK437="","",ROUND(main!CK437*100,6))</f>
        <v/>
      </c>
      <c r="BZ434" s="68" t="str">
        <f>IF(main!CL437="","",ROUND(main!CL437*100,6))</f>
        <v/>
      </c>
      <c r="CA434" s="68" t="str">
        <f>IF(main!CM437="","",ROUND(main!CM437*100,6))</f>
        <v/>
      </c>
      <c r="CB434" s="68" t="str">
        <f>IF(main!CN437="","",ROUND(main!CN437*100,6))</f>
        <v/>
      </c>
      <c r="CC434" s="68" t="str">
        <f>IF(main!CO437="","",ROUND(main!CO437*100,6))</f>
        <v/>
      </c>
    </row>
    <row r="435" spans="1:81" x14ac:dyDescent="0.25">
      <c r="A435" s="65" t="s">
        <v>591</v>
      </c>
      <c r="B435" s="66" t="str">
        <f>main!C437</f>
        <v>C3.7 ห้องประชุม ฝ้าไม้อัดสัก กรุอลูมิเนียม</v>
      </c>
      <c r="C435" s="67">
        <f>main!O437</f>
        <v>100000</v>
      </c>
      <c r="D435" s="65" t="s">
        <v>111</v>
      </c>
      <c r="E435" s="68" t="str">
        <f t="shared" si="6"/>
        <v/>
      </c>
      <c r="F435" s="68" t="str">
        <f>IF(main!R438="","",ROUND(main!R438*100,6))</f>
        <v/>
      </c>
      <c r="G435" s="68" t="str">
        <f>IF(main!S438="","",ROUND(main!S438*100,6))</f>
        <v/>
      </c>
      <c r="H435" s="68" t="str">
        <f>IF(main!T438="","",ROUND(main!T438*100,6))</f>
        <v/>
      </c>
      <c r="I435" s="68" t="str">
        <f>IF(main!U438="","",ROUND(main!U438*100,6))</f>
        <v/>
      </c>
      <c r="J435" s="68" t="str">
        <f>IF(main!V438="","",ROUND(main!V438*100,6))</f>
        <v/>
      </c>
      <c r="K435" s="68" t="str">
        <f>IF(main!W438="","",ROUND(main!W438*100,6))</f>
        <v/>
      </c>
      <c r="L435" s="68" t="str">
        <f>IF(main!X438="","",ROUND(main!X438*100,6))</f>
        <v/>
      </c>
      <c r="M435" s="68" t="str">
        <f>IF(main!Y438="","",ROUND(main!Y438*100,6))</f>
        <v/>
      </c>
      <c r="N435" s="68" t="str">
        <f>IF(main!Z438="","",ROUND(main!Z438*100,6))</f>
        <v/>
      </c>
      <c r="O435" s="68" t="str">
        <f>IF(main!AA438="","",ROUND(main!AA438*100,6))</f>
        <v/>
      </c>
      <c r="P435" s="68" t="str">
        <f>IF(main!AB438="","",ROUND(main!AB438*100,6))</f>
        <v/>
      </c>
      <c r="Q435" s="68" t="str">
        <f>IF(main!AC438="","",ROUND(main!AC438*100,6))</f>
        <v/>
      </c>
      <c r="R435" s="68" t="str">
        <f>IF(main!AD438="","",ROUND(main!AD438*100,6))</f>
        <v/>
      </c>
      <c r="S435" s="68" t="str">
        <f>IF(main!AE438="","",ROUND(main!AE438*100,6))</f>
        <v/>
      </c>
      <c r="T435" s="68" t="str">
        <f>IF(main!AF438="","",ROUND(main!AF438*100,6))</f>
        <v/>
      </c>
      <c r="U435" s="68" t="str">
        <f>IF(main!AG438="","",ROUND(main!AG438*100,6))</f>
        <v/>
      </c>
      <c r="V435" s="68" t="str">
        <f>IF(main!AH438="","",ROUND(main!AH438*100,6))</f>
        <v/>
      </c>
      <c r="W435" s="68" t="str">
        <f>IF(main!AI438="","",ROUND(main!AI438*100,6))</f>
        <v/>
      </c>
      <c r="X435" s="68" t="str">
        <f>IF(main!AJ438="","",ROUND(main!AJ438*100,6))</f>
        <v/>
      </c>
      <c r="Y435" s="68" t="str">
        <f>IF(main!AK438="","",ROUND(main!AK438*100,6))</f>
        <v/>
      </c>
      <c r="Z435" s="68" t="str">
        <f>IF(main!AL438="","",ROUND(main!AL438*100,6))</f>
        <v/>
      </c>
      <c r="AA435" s="68" t="str">
        <f>IF(main!AM438="","",ROUND(main!AM438*100,6))</f>
        <v/>
      </c>
      <c r="AB435" s="68" t="str">
        <f>IF(main!AN438="","",ROUND(main!AN438*100,6))</f>
        <v/>
      </c>
      <c r="AC435" s="68" t="str">
        <f>IF(main!AO438="","",ROUND(main!AO438*100,6))</f>
        <v/>
      </c>
      <c r="AD435" s="68" t="str">
        <f>IF(main!AP438="","",ROUND(main!AP438*100,6))</f>
        <v/>
      </c>
      <c r="AE435" s="68" t="str">
        <f>IF(main!AQ438="","",ROUND(main!AQ438*100,6))</f>
        <v/>
      </c>
      <c r="AF435" s="68" t="str">
        <f>IF(main!AR438="","",ROUND(main!AR438*100,6))</f>
        <v/>
      </c>
      <c r="AG435" s="68" t="str">
        <f>IF(main!AS438="","",ROUND(main!AS438*100,6))</f>
        <v/>
      </c>
      <c r="AH435" s="68" t="str">
        <f>IF(main!AT438="","",ROUND(main!AT438*100,6))</f>
        <v/>
      </c>
      <c r="AI435" s="68" t="str">
        <f>IF(main!AU438="","",ROUND(main!AU438*100,6))</f>
        <v/>
      </c>
      <c r="AJ435" s="68" t="str">
        <f>IF(main!AV438="","",ROUND(main!AV438*100,6))</f>
        <v/>
      </c>
      <c r="AK435" s="68" t="str">
        <f>IF(main!AW438="","",ROUND(main!AW438*100,6))</f>
        <v/>
      </c>
      <c r="AL435" s="68" t="str">
        <f>IF(main!AX438="","",ROUND(main!AX438*100,6))</f>
        <v/>
      </c>
      <c r="AM435" s="68" t="str">
        <f>IF(main!AY438="","",ROUND(main!AY438*100,6))</f>
        <v/>
      </c>
      <c r="AN435" s="68" t="str">
        <f>IF(main!AZ438="","",ROUND(main!AZ438*100,6))</f>
        <v/>
      </c>
      <c r="AO435" s="68" t="str">
        <f>IF(main!BA438="","",ROUND(main!BA438*100,6))</f>
        <v/>
      </c>
      <c r="AP435" s="68" t="str">
        <f>IF(main!BB438="","",ROUND(main!BB438*100,6))</f>
        <v/>
      </c>
      <c r="AQ435" s="68" t="str">
        <f>IF(main!BC438="","",ROUND(main!BC438*100,6))</f>
        <v/>
      </c>
      <c r="AR435" s="68" t="str">
        <f>IF(main!BD438="","",ROUND(main!BD438*100,6))</f>
        <v/>
      </c>
      <c r="AS435" s="68" t="str">
        <f>IF(main!BE438="","",ROUND(main!BE438*100,6))</f>
        <v/>
      </c>
      <c r="AT435" s="68" t="str">
        <f>IF(main!BF438="","",ROUND(main!BF438*100,6))</f>
        <v/>
      </c>
      <c r="AU435" s="68" t="str">
        <f>IF(main!BG438="","",ROUND(main!BG438*100,6))</f>
        <v/>
      </c>
      <c r="AV435" s="68" t="str">
        <f>IF(main!BH438="","",ROUND(main!BH438*100,6))</f>
        <v/>
      </c>
      <c r="AW435" s="68" t="str">
        <f>IF(main!BI438="","",ROUND(main!BI438*100,6))</f>
        <v/>
      </c>
      <c r="AX435" s="68" t="str">
        <f>IF(main!BJ438="","",ROUND(main!BJ438*100,6))</f>
        <v/>
      </c>
      <c r="AY435" s="68" t="str">
        <f>IF(main!BK438="","",ROUND(main!BK438*100,6))</f>
        <v/>
      </c>
      <c r="AZ435" s="68" t="str">
        <f>IF(main!BL438="","",ROUND(main!BL438*100,6))</f>
        <v/>
      </c>
      <c r="BA435" s="68" t="str">
        <f>IF(main!BM438="","",ROUND(main!BM438*100,6))</f>
        <v/>
      </c>
      <c r="BB435" s="68" t="str">
        <f>IF(main!BN438="","",ROUND(main!BN438*100,6))</f>
        <v/>
      </c>
      <c r="BC435" s="68" t="str">
        <f>IF(main!BO438="","",ROUND(main!BO438*100,6))</f>
        <v/>
      </c>
      <c r="BD435" s="68" t="str">
        <f>IF(main!BP438="","",ROUND(main!BP438*100,6))</f>
        <v/>
      </c>
      <c r="BE435" s="68" t="str">
        <f>IF(main!BQ438="","",ROUND(main!BQ438*100,6))</f>
        <v/>
      </c>
      <c r="BF435" s="68" t="str">
        <f>IF(main!BR438="","",ROUND(main!BR438*100,6))</f>
        <v/>
      </c>
      <c r="BG435" s="68" t="str">
        <f>IF(main!BS438="","",ROUND(main!BS438*100,6))</f>
        <v/>
      </c>
      <c r="BH435" s="68" t="str">
        <f>IF(main!BT438="","",ROUND(main!BT438*100,6))</f>
        <v/>
      </c>
      <c r="BI435" s="68" t="str">
        <f>IF(main!BU438="","",ROUND(main!BU438*100,6))</f>
        <v/>
      </c>
      <c r="BJ435" s="68" t="str">
        <f>IF(main!BV438="","",ROUND(main!BV438*100,6))</f>
        <v/>
      </c>
      <c r="BK435" s="68" t="str">
        <f>IF(main!BW438="","",ROUND(main!BW438*100,6))</f>
        <v/>
      </c>
      <c r="BL435" s="68" t="str">
        <f>IF(main!BX438="","",ROUND(main!BX438*100,6))</f>
        <v/>
      </c>
      <c r="BM435" s="68" t="str">
        <f>IF(main!BY438="","",ROUND(main!BY438*100,6))</f>
        <v/>
      </c>
      <c r="BN435" s="68" t="str">
        <f>IF(main!BZ438="","",ROUND(main!BZ438*100,6))</f>
        <v/>
      </c>
      <c r="BO435" s="68" t="str">
        <f>IF(main!CA438="","",ROUND(main!CA438*100,6))</f>
        <v/>
      </c>
      <c r="BP435" s="68" t="str">
        <f>IF(main!CB438="","",ROUND(main!CB438*100,6))</f>
        <v/>
      </c>
      <c r="BQ435" s="68" t="str">
        <f>IF(main!CC438="","",ROUND(main!CC438*100,6))</f>
        <v/>
      </c>
      <c r="BR435" s="68" t="str">
        <f>IF(main!CD438="","",ROUND(main!CD438*100,6))</f>
        <v/>
      </c>
      <c r="BS435" s="68" t="str">
        <f>IF(main!CE438="","",ROUND(main!CE438*100,6))</f>
        <v/>
      </c>
      <c r="BT435" s="68" t="str">
        <f>IF(main!CF438="","",ROUND(main!CF438*100,6))</f>
        <v/>
      </c>
      <c r="BU435" s="68" t="str">
        <f>IF(main!CG438="","",ROUND(main!CG438*100,6))</f>
        <v/>
      </c>
      <c r="BV435" s="68" t="str">
        <f>IF(main!CH438="","",ROUND(main!CH438*100,6))</f>
        <v/>
      </c>
      <c r="BW435" s="68" t="str">
        <f>IF(main!CI438="","",ROUND(main!CI438*100,6))</f>
        <v/>
      </c>
      <c r="BX435" s="68" t="str">
        <f>IF(main!CJ438="","",ROUND(main!CJ438*100,6))</f>
        <v/>
      </c>
      <c r="BY435" s="68" t="str">
        <f>IF(main!CK438="","",ROUND(main!CK438*100,6))</f>
        <v/>
      </c>
      <c r="BZ435" s="68" t="str">
        <f>IF(main!CL438="","",ROUND(main!CL438*100,6))</f>
        <v/>
      </c>
      <c r="CA435" s="68" t="str">
        <f>IF(main!CM438="","",ROUND(main!CM438*100,6))</f>
        <v/>
      </c>
      <c r="CB435" s="68" t="str">
        <f>IF(main!CN438="","",ROUND(main!CN438*100,6))</f>
        <v/>
      </c>
      <c r="CC435" s="68" t="str">
        <f>IF(main!CO438="","",ROUND(main!CO438*100,6))</f>
        <v/>
      </c>
    </row>
    <row r="436" spans="1:81" x14ac:dyDescent="0.25">
      <c r="A436" s="65" t="s">
        <v>594</v>
      </c>
      <c r="B436" s="66" t="str">
        <f>main!C439</f>
        <v>R Floor</v>
      </c>
      <c r="C436" s="67">
        <f>main!O439</f>
        <v>100000</v>
      </c>
      <c r="D436" s="65" t="s">
        <v>110</v>
      </c>
      <c r="E436" s="68">
        <f t="shared" si="6"/>
        <v>100</v>
      </c>
      <c r="F436" s="68" t="str">
        <f>IF(main!R439="","",ROUND(main!R439*100,6))</f>
        <v/>
      </c>
      <c r="G436" s="68" t="str">
        <f>IF(main!S439="","",ROUND(main!S439*100,6))</f>
        <v/>
      </c>
      <c r="H436" s="68" t="str">
        <f>IF(main!T439="","",ROUND(main!T439*100,6))</f>
        <v/>
      </c>
      <c r="I436" s="68" t="str">
        <f>IF(main!U439="","",ROUND(main!U439*100,6))</f>
        <v/>
      </c>
      <c r="J436" s="68" t="str">
        <f>IF(main!V439="","",ROUND(main!V439*100,6))</f>
        <v/>
      </c>
      <c r="K436" s="68" t="str">
        <f>IF(main!W439="","",ROUND(main!W439*100,6))</f>
        <v/>
      </c>
      <c r="L436" s="68" t="str">
        <f>IF(main!X439="","",ROUND(main!X439*100,6))</f>
        <v/>
      </c>
      <c r="M436" s="68" t="str">
        <f>IF(main!Y439="","",ROUND(main!Y439*100,6))</f>
        <v/>
      </c>
      <c r="N436" s="68" t="str">
        <f>IF(main!Z439="","",ROUND(main!Z439*100,6))</f>
        <v/>
      </c>
      <c r="O436" s="68" t="str">
        <f>IF(main!AA439="","",ROUND(main!AA439*100,6))</f>
        <v/>
      </c>
      <c r="P436" s="68" t="str">
        <f>IF(main!AB439="","",ROUND(main!AB439*100,6))</f>
        <v/>
      </c>
      <c r="Q436" s="68" t="str">
        <f>IF(main!AC439="","",ROUND(main!AC439*100,6))</f>
        <v/>
      </c>
      <c r="R436" s="68" t="str">
        <f>IF(main!AD439="","",ROUND(main!AD439*100,6))</f>
        <v/>
      </c>
      <c r="S436" s="68" t="str">
        <f>IF(main!AE439="","",ROUND(main!AE439*100,6))</f>
        <v/>
      </c>
      <c r="T436" s="68" t="str">
        <f>IF(main!AF439="","",ROUND(main!AF439*100,6))</f>
        <v/>
      </c>
      <c r="U436" s="68" t="str">
        <f>IF(main!AG439="","",ROUND(main!AG439*100,6))</f>
        <v/>
      </c>
      <c r="V436" s="68" t="str">
        <f>IF(main!AH439="","",ROUND(main!AH439*100,6))</f>
        <v/>
      </c>
      <c r="W436" s="68" t="str">
        <f>IF(main!AI439="","",ROUND(main!AI439*100,6))</f>
        <v/>
      </c>
      <c r="X436" s="68" t="str">
        <f>IF(main!AJ439="","",ROUND(main!AJ439*100,6))</f>
        <v/>
      </c>
      <c r="Y436" s="68" t="str">
        <f>IF(main!AK439="","",ROUND(main!AK439*100,6))</f>
        <v/>
      </c>
      <c r="Z436" s="68" t="str">
        <f>IF(main!AL439="","",ROUND(main!AL439*100,6))</f>
        <v/>
      </c>
      <c r="AA436" s="68" t="str">
        <f>IF(main!AM439="","",ROUND(main!AM439*100,6))</f>
        <v/>
      </c>
      <c r="AB436" s="68" t="str">
        <f>IF(main!AN439="","",ROUND(main!AN439*100,6))</f>
        <v/>
      </c>
      <c r="AC436" s="68" t="str">
        <f>IF(main!AO439="","",ROUND(main!AO439*100,6))</f>
        <v/>
      </c>
      <c r="AD436" s="68" t="str">
        <f>IF(main!AP439="","",ROUND(main!AP439*100,6))</f>
        <v/>
      </c>
      <c r="AE436" s="68" t="str">
        <f>IF(main!AQ439="","",ROUND(main!AQ439*100,6))</f>
        <v/>
      </c>
      <c r="AF436" s="68" t="str">
        <f>IF(main!AR439="","",ROUND(main!AR439*100,6))</f>
        <v/>
      </c>
      <c r="AG436" s="68" t="str">
        <f>IF(main!AS439="","",ROUND(main!AS439*100,6))</f>
        <v/>
      </c>
      <c r="AH436" s="68" t="str">
        <f>IF(main!AT439="","",ROUND(main!AT439*100,6))</f>
        <v/>
      </c>
      <c r="AI436" s="68" t="str">
        <f>IF(main!AU439="","",ROUND(main!AU439*100,6))</f>
        <v/>
      </c>
      <c r="AJ436" s="68" t="str">
        <f>IF(main!AV439="","",ROUND(main!AV439*100,6))</f>
        <v/>
      </c>
      <c r="AK436" s="68" t="str">
        <f>IF(main!AW439="","",ROUND(main!AW439*100,6))</f>
        <v/>
      </c>
      <c r="AL436" s="68" t="str">
        <f>IF(main!AX439="","",ROUND(main!AX439*100,6))</f>
        <v/>
      </c>
      <c r="AM436" s="68" t="str">
        <f>IF(main!AY439="","",ROUND(main!AY439*100,6))</f>
        <v/>
      </c>
      <c r="AN436" s="68" t="str">
        <f>IF(main!AZ439="","",ROUND(main!AZ439*100,6))</f>
        <v/>
      </c>
      <c r="AO436" s="68" t="str">
        <f>IF(main!BA439="","",ROUND(main!BA439*100,6))</f>
        <v/>
      </c>
      <c r="AP436" s="68" t="str">
        <f>IF(main!BB439="","",ROUND(main!BB439*100,6))</f>
        <v/>
      </c>
      <c r="AQ436" s="68" t="str">
        <f>IF(main!BC439="","",ROUND(main!BC439*100,6))</f>
        <v/>
      </c>
      <c r="AR436" s="68" t="str">
        <f>IF(main!BD439="","",ROUND(main!BD439*100,6))</f>
        <v/>
      </c>
      <c r="AS436" s="68" t="str">
        <f>IF(main!BE439="","",ROUND(main!BE439*100,6))</f>
        <v/>
      </c>
      <c r="AT436" s="68" t="str">
        <f>IF(main!BF439="","",ROUND(main!BF439*100,6))</f>
        <v/>
      </c>
      <c r="AU436" s="68" t="str">
        <f>IF(main!BG439="","",ROUND(main!BG439*100,6))</f>
        <v/>
      </c>
      <c r="AV436" s="68" t="str">
        <f>IF(main!BH439="","",ROUND(main!BH439*100,6))</f>
        <v/>
      </c>
      <c r="AW436" s="68" t="str">
        <f>IF(main!BI439="","",ROUND(main!BI439*100,6))</f>
        <v/>
      </c>
      <c r="AX436" s="68" t="str">
        <f>IF(main!BJ439="","",ROUND(main!BJ439*100,6))</f>
        <v/>
      </c>
      <c r="AY436" s="68" t="str">
        <f>IF(main!BK439="","",ROUND(main!BK439*100,6))</f>
        <v/>
      </c>
      <c r="AZ436" s="68" t="str">
        <f>IF(main!BL439="","",ROUND(main!BL439*100,6))</f>
        <v/>
      </c>
      <c r="BA436" s="68" t="str">
        <f>IF(main!BM439="","",ROUND(main!BM439*100,6))</f>
        <v/>
      </c>
      <c r="BB436" s="68" t="str">
        <f>IF(main!BN439="","",ROUND(main!BN439*100,6))</f>
        <v/>
      </c>
      <c r="BC436" s="68" t="str">
        <f>IF(main!BO439="","",ROUND(main!BO439*100,6))</f>
        <v/>
      </c>
      <c r="BD436" s="68" t="str">
        <f>IF(main!BP439="","",ROUND(main!BP439*100,6))</f>
        <v/>
      </c>
      <c r="BE436" s="68" t="str">
        <f>IF(main!BQ439="","",ROUND(main!BQ439*100,6))</f>
        <v/>
      </c>
      <c r="BF436" s="68" t="str">
        <f>IF(main!BR439="","",ROUND(main!BR439*100,6))</f>
        <v/>
      </c>
      <c r="BG436" s="68" t="str">
        <f>IF(main!BS439="","",ROUND(main!BS439*100,6))</f>
        <v/>
      </c>
      <c r="BH436" s="68" t="str">
        <f>IF(main!BT439="","",ROUND(main!BT439*100,6))</f>
        <v/>
      </c>
      <c r="BI436" s="68" t="str">
        <f>IF(main!BU439="","",ROUND(main!BU439*100,6))</f>
        <v/>
      </c>
      <c r="BJ436" s="68" t="str">
        <f>IF(main!BV439="","",ROUND(main!BV439*100,6))</f>
        <v/>
      </c>
      <c r="BK436" s="68" t="str">
        <f>IF(main!BW439="","",ROUND(main!BW439*100,6))</f>
        <v/>
      </c>
      <c r="BL436" s="68" t="str">
        <f>IF(main!BX439="","",ROUND(main!BX439*100,6))</f>
        <v/>
      </c>
      <c r="BM436" s="68" t="str">
        <f>IF(main!BY439="","",ROUND(main!BY439*100,6))</f>
        <v/>
      </c>
      <c r="BN436" s="68" t="str">
        <f>IF(main!BZ439="","",ROUND(main!BZ439*100,6))</f>
        <v/>
      </c>
      <c r="BO436" s="68" t="str">
        <f>IF(main!CA439="","",ROUND(main!CA439*100,6))</f>
        <v/>
      </c>
      <c r="BP436" s="68" t="str">
        <f>IF(main!CB439="","",ROUND(main!CB439*100,6))</f>
        <v/>
      </c>
      <c r="BQ436" s="68" t="str">
        <f>IF(main!CC439="","",ROUND(main!CC439*100,6))</f>
        <v/>
      </c>
      <c r="BR436" s="68" t="str">
        <f>IF(main!CD439="","",ROUND(main!CD439*100,6))</f>
        <v/>
      </c>
      <c r="BS436" s="68">
        <f>IF(main!CE439="","",ROUND(main!CE439*100,6))</f>
        <v>7.1428570000000002</v>
      </c>
      <c r="BT436" s="68">
        <f>IF(main!CF439="","",ROUND(main!CF439*100,6))</f>
        <v>50</v>
      </c>
      <c r="BU436" s="68">
        <f>IF(main!CG439="","",ROUND(main!CG439*100,6))</f>
        <v>42.857143000000001</v>
      </c>
      <c r="BV436" s="68" t="str">
        <f>IF(main!CH439="","",ROUND(main!CH439*100,6))</f>
        <v/>
      </c>
      <c r="BW436" s="68" t="str">
        <f>IF(main!CI439="","",ROUND(main!CI439*100,6))</f>
        <v/>
      </c>
      <c r="BX436" s="68" t="str">
        <f>IF(main!CJ439="","",ROUND(main!CJ439*100,6))</f>
        <v/>
      </c>
      <c r="BY436" s="68" t="str">
        <f>IF(main!CK439="","",ROUND(main!CK439*100,6))</f>
        <v/>
      </c>
      <c r="BZ436" s="68" t="str">
        <f>IF(main!CL439="","",ROUND(main!CL439*100,6))</f>
        <v/>
      </c>
      <c r="CA436" s="68" t="str">
        <f>IF(main!CM439="","",ROUND(main!CM439*100,6))</f>
        <v/>
      </c>
      <c r="CB436" s="68" t="str">
        <f>IF(main!CN439="","",ROUND(main!CN439*100,6))</f>
        <v/>
      </c>
      <c r="CC436" s="68" t="str">
        <f>IF(main!CO439="","",ROUND(main!CO439*100,6))</f>
        <v/>
      </c>
    </row>
    <row r="437" spans="1:81" x14ac:dyDescent="0.25">
      <c r="A437" s="65" t="s">
        <v>594</v>
      </c>
      <c r="B437" s="66" t="str">
        <f>main!C439</f>
        <v>R Floor</v>
      </c>
      <c r="C437" s="67">
        <f>main!O439</f>
        <v>100000</v>
      </c>
      <c r="D437" s="65" t="s">
        <v>111</v>
      </c>
      <c r="E437" s="68" t="str">
        <f t="shared" si="6"/>
        <v/>
      </c>
      <c r="F437" s="68" t="str">
        <f>IF(main!R440="","",ROUND(main!R440*100,6))</f>
        <v/>
      </c>
      <c r="G437" s="68" t="str">
        <f>IF(main!S440="","",ROUND(main!S440*100,6))</f>
        <v/>
      </c>
      <c r="H437" s="68" t="str">
        <f>IF(main!T440="","",ROUND(main!T440*100,6))</f>
        <v/>
      </c>
      <c r="I437" s="68" t="str">
        <f>IF(main!U440="","",ROUND(main!U440*100,6))</f>
        <v/>
      </c>
      <c r="J437" s="68" t="str">
        <f>IF(main!V440="","",ROUND(main!V440*100,6))</f>
        <v/>
      </c>
      <c r="K437" s="68" t="str">
        <f>IF(main!W440="","",ROUND(main!W440*100,6))</f>
        <v/>
      </c>
      <c r="L437" s="68" t="str">
        <f>IF(main!X440="","",ROUND(main!X440*100,6))</f>
        <v/>
      </c>
      <c r="M437" s="68" t="str">
        <f>IF(main!Y440="","",ROUND(main!Y440*100,6))</f>
        <v/>
      </c>
      <c r="N437" s="68" t="str">
        <f>IF(main!Z440="","",ROUND(main!Z440*100,6))</f>
        <v/>
      </c>
      <c r="O437" s="68" t="str">
        <f>IF(main!AA440="","",ROUND(main!AA440*100,6))</f>
        <v/>
      </c>
      <c r="P437" s="68" t="str">
        <f>IF(main!AB440="","",ROUND(main!AB440*100,6))</f>
        <v/>
      </c>
      <c r="Q437" s="68" t="str">
        <f>IF(main!AC440="","",ROUND(main!AC440*100,6))</f>
        <v/>
      </c>
      <c r="R437" s="68" t="str">
        <f>IF(main!AD440="","",ROUND(main!AD440*100,6))</f>
        <v/>
      </c>
      <c r="S437" s="68" t="str">
        <f>IF(main!AE440="","",ROUND(main!AE440*100,6))</f>
        <v/>
      </c>
      <c r="T437" s="68" t="str">
        <f>IF(main!AF440="","",ROUND(main!AF440*100,6))</f>
        <v/>
      </c>
      <c r="U437" s="68" t="str">
        <f>IF(main!AG440="","",ROUND(main!AG440*100,6))</f>
        <v/>
      </c>
      <c r="V437" s="68" t="str">
        <f>IF(main!AH440="","",ROUND(main!AH440*100,6))</f>
        <v/>
      </c>
      <c r="W437" s="68" t="str">
        <f>IF(main!AI440="","",ROUND(main!AI440*100,6))</f>
        <v/>
      </c>
      <c r="X437" s="68" t="str">
        <f>IF(main!AJ440="","",ROUND(main!AJ440*100,6))</f>
        <v/>
      </c>
      <c r="Y437" s="68" t="str">
        <f>IF(main!AK440="","",ROUND(main!AK440*100,6))</f>
        <v/>
      </c>
      <c r="Z437" s="68" t="str">
        <f>IF(main!AL440="","",ROUND(main!AL440*100,6))</f>
        <v/>
      </c>
      <c r="AA437" s="68" t="str">
        <f>IF(main!AM440="","",ROUND(main!AM440*100,6))</f>
        <v/>
      </c>
      <c r="AB437" s="68" t="str">
        <f>IF(main!AN440="","",ROUND(main!AN440*100,6))</f>
        <v/>
      </c>
      <c r="AC437" s="68" t="str">
        <f>IF(main!AO440="","",ROUND(main!AO440*100,6))</f>
        <v/>
      </c>
      <c r="AD437" s="68" t="str">
        <f>IF(main!AP440="","",ROUND(main!AP440*100,6))</f>
        <v/>
      </c>
      <c r="AE437" s="68" t="str">
        <f>IF(main!AQ440="","",ROUND(main!AQ440*100,6))</f>
        <v/>
      </c>
      <c r="AF437" s="68" t="str">
        <f>IF(main!AR440="","",ROUND(main!AR440*100,6))</f>
        <v/>
      </c>
      <c r="AG437" s="68" t="str">
        <f>IF(main!AS440="","",ROUND(main!AS440*100,6))</f>
        <v/>
      </c>
      <c r="AH437" s="68" t="str">
        <f>IF(main!AT440="","",ROUND(main!AT440*100,6))</f>
        <v/>
      </c>
      <c r="AI437" s="68" t="str">
        <f>IF(main!AU440="","",ROUND(main!AU440*100,6))</f>
        <v/>
      </c>
      <c r="AJ437" s="68" t="str">
        <f>IF(main!AV440="","",ROUND(main!AV440*100,6))</f>
        <v/>
      </c>
      <c r="AK437" s="68" t="str">
        <f>IF(main!AW440="","",ROUND(main!AW440*100,6))</f>
        <v/>
      </c>
      <c r="AL437" s="68" t="str">
        <f>IF(main!AX440="","",ROUND(main!AX440*100,6))</f>
        <v/>
      </c>
      <c r="AM437" s="68" t="str">
        <f>IF(main!AY440="","",ROUND(main!AY440*100,6))</f>
        <v/>
      </c>
      <c r="AN437" s="68" t="str">
        <f>IF(main!AZ440="","",ROUND(main!AZ440*100,6))</f>
        <v/>
      </c>
      <c r="AO437" s="68" t="str">
        <f>IF(main!BA440="","",ROUND(main!BA440*100,6))</f>
        <v/>
      </c>
      <c r="AP437" s="68" t="str">
        <f>IF(main!BB440="","",ROUND(main!BB440*100,6))</f>
        <v/>
      </c>
      <c r="AQ437" s="68" t="str">
        <f>IF(main!BC440="","",ROUND(main!BC440*100,6))</f>
        <v/>
      </c>
      <c r="AR437" s="68" t="str">
        <f>IF(main!BD440="","",ROUND(main!BD440*100,6))</f>
        <v/>
      </c>
      <c r="AS437" s="68" t="str">
        <f>IF(main!BE440="","",ROUND(main!BE440*100,6))</f>
        <v/>
      </c>
      <c r="AT437" s="68" t="str">
        <f>IF(main!BF440="","",ROUND(main!BF440*100,6))</f>
        <v/>
      </c>
      <c r="AU437" s="68" t="str">
        <f>IF(main!BG440="","",ROUND(main!BG440*100,6))</f>
        <v/>
      </c>
      <c r="AV437" s="68" t="str">
        <f>IF(main!BH440="","",ROUND(main!BH440*100,6))</f>
        <v/>
      </c>
      <c r="AW437" s="68" t="str">
        <f>IF(main!BI440="","",ROUND(main!BI440*100,6))</f>
        <v/>
      </c>
      <c r="AX437" s="68" t="str">
        <f>IF(main!BJ440="","",ROUND(main!BJ440*100,6))</f>
        <v/>
      </c>
      <c r="AY437" s="68" t="str">
        <f>IF(main!BK440="","",ROUND(main!BK440*100,6))</f>
        <v/>
      </c>
      <c r="AZ437" s="68" t="str">
        <f>IF(main!BL440="","",ROUND(main!BL440*100,6))</f>
        <v/>
      </c>
      <c r="BA437" s="68" t="str">
        <f>IF(main!BM440="","",ROUND(main!BM440*100,6))</f>
        <v/>
      </c>
      <c r="BB437" s="68" t="str">
        <f>IF(main!BN440="","",ROUND(main!BN440*100,6))</f>
        <v/>
      </c>
      <c r="BC437" s="68" t="str">
        <f>IF(main!BO440="","",ROUND(main!BO440*100,6))</f>
        <v/>
      </c>
      <c r="BD437" s="68" t="str">
        <f>IF(main!BP440="","",ROUND(main!BP440*100,6))</f>
        <v/>
      </c>
      <c r="BE437" s="68" t="str">
        <f>IF(main!BQ440="","",ROUND(main!BQ440*100,6))</f>
        <v/>
      </c>
      <c r="BF437" s="68" t="str">
        <f>IF(main!BR440="","",ROUND(main!BR440*100,6))</f>
        <v/>
      </c>
      <c r="BG437" s="68" t="str">
        <f>IF(main!BS440="","",ROUND(main!BS440*100,6))</f>
        <v/>
      </c>
      <c r="BH437" s="68" t="str">
        <f>IF(main!BT440="","",ROUND(main!BT440*100,6))</f>
        <v/>
      </c>
      <c r="BI437" s="68" t="str">
        <f>IF(main!BU440="","",ROUND(main!BU440*100,6))</f>
        <v/>
      </c>
      <c r="BJ437" s="68" t="str">
        <f>IF(main!BV440="","",ROUND(main!BV440*100,6))</f>
        <v/>
      </c>
      <c r="BK437" s="68" t="str">
        <f>IF(main!BW440="","",ROUND(main!BW440*100,6))</f>
        <v/>
      </c>
      <c r="BL437" s="68" t="str">
        <f>IF(main!BX440="","",ROUND(main!BX440*100,6))</f>
        <v/>
      </c>
      <c r="BM437" s="68" t="str">
        <f>IF(main!BY440="","",ROUND(main!BY440*100,6))</f>
        <v/>
      </c>
      <c r="BN437" s="68" t="str">
        <f>IF(main!BZ440="","",ROUND(main!BZ440*100,6))</f>
        <v/>
      </c>
      <c r="BO437" s="68" t="str">
        <f>IF(main!CA440="","",ROUND(main!CA440*100,6))</f>
        <v/>
      </c>
      <c r="BP437" s="68" t="str">
        <f>IF(main!CB440="","",ROUND(main!CB440*100,6))</f>
        <v/>
      </c>
      <c r="BQ437" s="68" t="str">
        <f>IF(main!CC440="","",ROUND(main!CC440*100,6))</f>
        <v/>
      </c>
      <c r="BR437" s="68" t="str">
        <f>IF(main!CD440="","",ROUND(main!CD440*100,6))</f>
        <v/>
      </c>
      <c r="BS437" s="68" t="str">
        <f>IF(main!CE440="","",ROUND(main!CE440*100,6))</f>
        <v/>
      </c>
      <c r="BT437" s="68" t="str">
        <f>IF(main!CF440="","",ROUND(main!CF440*100,6))</f>
        <v/>
      </c>
      <c r="BU437" s="68" t="str">
        <f>IF(main!CG440="","",ROUND(main!CG440*100,6))</f>
        <v/>
      </c>
      <c r="BV437" s="68" t="str">
        <f>IF(main!CH440="","",ROUND(main!CH440*100,6))</f>
        <v/>
      </c>
      <c r="BW437" s="68" t="str">
        <f>IF(main!CI440="","",ROUND(main!CI440*100,6))</f>
        <v/>
      </c>
      <c r="BX437" s="68" t="str">
        <f>IF(main!CJ440="","",ROUND(main!CJ440*100,6))</f>
        <v/>
      </c>
      <c r="BY437" s="68" t="str">
        <f>IF(main!CK440="","",ROUND(main!CK440*100,6))</f>
        <v/>
      </c>
      <c r="BZ437" s="68" t="str">
        <f>IF(main!CL440="","",ROUND(main!CL440*100,6))</f>
        <v/>
      </c>
      <c r="CA437" s="68" t="str">
        <f>IF(main!CM440="","",ROUND(main!CM440*100,6))</f>
        <v/>
      </c>
      <c r="CB437" s="68" t="str">
        <f>IF(main!CN440="","",ROUND(main!CN440*100,6))</f>
        <v/>
      </c>
      <c r="CC437" s="68" t="str">
        <f>IF(main!CO440="","",ROUND(main!CO440*100,6))</f>
        <v/>
      </c>
    </row>
    <row r="438" spans="1:81" x14ac:dyDescent="0.25">
      <c r="A438" s="65" t="s">
        <v>595</v>
      </c>
      <c r="B438" s="66" t="str">
        <f>main!C441</f>
        <v>Ceiling</v>
      </c>
      <c r="C438" s="67">
        <f>main!O441</f>
        <v>100000</v>
      </c>
      <c r="D438" s="65" t="s">
        <v>110</v>
      </c>
      <c r="E438" s="68">
        <f t="shared" si="6"/>
        <v>100</v>
      </c>
      <c r="F438" s="68" t="str">
        <f>IF(main!R441="","",ROUND(main!R441*100,6))</f>
        <v/>
      </c>
      <c r="G438" s="68" t="str">
        <f>IF(main!S441="","",ROUND(main!S441*100,6))</f>
        <v/>
      </c>
      <c r="H438" s="68" t="str">
        <f>IF(main!T441="","",ROUND(main!T441*100,6))</f>
        <v/>
      </c>
      <c r="I438" s="68" t="str">
        <f>IF(main!U441="","",ROUND(main!U441*100,6))</f>
        <v/>
      </c>
      <c r="J438" s="68" t="str">
        <f>IF(main!V441="","",ROUND(main!V441*100,6))</f>
        <v/>
      </c>
      <c r="K438" s="68" t="str">
        <f>IF(main!W441="","",ROUND(main!W441*100,6))</f>
        <v/>
      </c>
      <c r="L438" s="68" t="str">
        <f>IF(main!X441="","",ROUND(main!X441*100,6))</f>
        <v/>
      </c>
      <c r="M438" s="68" t="str">
        <f>IF(main!Y441="","",ROUND(main!Y441*100,6))</f>
        <v/>
      </c>
      <c r="N438" s="68" t="str">
        <f>IF(main!Z441="","",ROUND(main!Z441*100,6))</f>
        <v/>
      </c>
      <c r="O438" s="68" t="str">
        <f>IF(main!AA441="","",ROUND(main!AA441*100,6))</f>
        <v/>
      </c>
      <c r="P438" s="68" t="str">
        <f>IF(main!AB441="","",ROUND(main!AB441*100,6))</f>
        <v/>
      </c>
      <c r="Q438" s="68" t="str">
        <f>IF(main!AC441="","",ROUND(main!AC441*100,6))</f>
        <v/>
      </c>
      <c r="R438" s="68" t="str">
        <f>IF(main!AD441="","",ROUND(main!AD441*100,6))</f>
        <v/>
      </c>
      <c r="S438" s="68" t="str">
        <f>IF(main!AE441="","",ROUND(main!AE441*100,6))</f>
        <v/>
      </c>
      <c r="T438" s="68" t="str">
        <f>IF(main!AF441="","",ROUND(main!AF441*100,6))</f>
        <v/>
      </c>
      <c r="U438" s="68" t="str">
        <f>IF(main!AG441="","",ROUND(main!AG441*100,6))</f>
        <v/>
      </c>
      <c r="V438" s="68" t="str">
        <f>IF(main!AH441="","",ROUND(main!AH441*100,6))</f>
        <v/>
      </c>
      <c r="W438" s="68" t="str">
        <f>IF(main!AI441="","",ROUND(main!AI441*100,6))</f>
        <v/>
      </c>
      <c r="X438" s="68" t="str">
        <f>IF(main!AJ441="","",ROUND(main!AJ441*100,6))</f>
        <v/>
      </c>
      <c r="Y438" s="68" t="str">
        <f>IF(main!AK441="","",ROUND(main!AK441*100,6))</f>
        <v/>
      </c>
      <c r="Z438" s="68" t="str">
        <f>IF(main!AL441="","",ROUND(main!AL441*100,6))</f>
        <v/>
      </c>
      <c r="AA438" s="68" t="str">
        <f>IF(main!AM441="","",ROUND(main!AM441*100,6))</f>
        <v/>
      </c>
      <c r="AB438" s="68" t="str">
        <f>IF(main!AN441="","",ROUND(main!AN441*100,6))</f>
        <v/>
      </c>
      <c r="AC438" s="68" t="str">
        <f>IF(main!AO441="","",ROUND(main!AO441*100,6))</f>
        <v/>
      </c>
      <c r="AD438" s="68" t="str">
        <f>IF(main!AP441="","",ROUND(main!AP441*100,6))</f>
        <v/>
      </c>
      <c r="AE438" s="68" t="str">
        <f>IF(main!AQ441="","",ROUND(main!AQ441*100,6))</f>
        <v/>
      </c>
      <c r="AF438" s="68" t="str">
        <f>IF(main!AR441="","",ROUND(main!AR441*100,6))</f>
        <v/>
      </c>
      <c r="AG438" s="68" t="str">
        <f>IF(main!AS441="","",ROUND(main!AS441*100,6))</f>
        <v/>
      </c>
      <c r="AH438" s="68" t="str">
        <f>IF(main!AT441="","",ROUND(main!AT441*100,6))</f>
        <v/>
      </c>
      <c r="AI438" s="68" t="str">
        <f>IF(main!AU441="","",ROUND(main!AU441*100,6))</f>
        <v/>
      </c>
      <c r="AJ438" s="68" t="str">
        <f>IF(main!AV441="","",ROUND(main!AV441*100,6))</f>
        <v/>
      </c>
      <c r="AK438" s="68" t="str">
        <f>IF(main!AW441="","",ROUND(main!AW441*100,6))</f>
        <v/>
      </c>
      <c r="AL438" s="68" t="str">
        <f>IF(main!AX441="","",ROUND(main!AX441*100,6))</f>
        <v/>
      </c>
      <c r="AM438" s="68" t="str">
        <f>IF(main!AY441="","",ROUND(main!AY441*100,6))</f>
        <v/>
      </c>
      <c r="AN438" s="68" t="str">
        <f>IF(main!AZ441="","",ROUND(main!AZ441*100,6))</f>
        <v/>
      </c>
      <c r="AO438" s="68" t="str">
        <f>IF(main!BA441="","",ROUND(main!BA441*100,6))</f>
        <v/>
      </c>
      <c r="AP438" s="68" t="str">
        <f>IF(main!BB441="","",ROUND(main!BB441*100,6))</f>
        <v/>
      </c>
      <c r="AQ438" s="68" t="str">
        <f>IF(main!BC441="","",ROUND(main!BC441*100,6))</f>
        <v/>
      </c>
      <c r="AR438" s="68" t="str">
        <f>IF(main!BD441="","",ROUND(main!BD441*100,6))</f>
        <v/>
      </c>
      <c r="AS438" s="68" t="str">
        <f>IF(main!BE441="","",ROUND(main!BE441*100,6))</f>
        <v/>
      </c>
      <c r="AT438" s="68" t="str">
        <f>IF(main!BF441="","",ROUND(main!BF441*100,6))</f>
        <v/>
      </c>
      <c r="AU438" s="68" t="str">
        <f>IF(main!BG441="","",ROUND(main!BG441*100,6))</f>
        <v/>
      </c>
      <c r="AV438" s="68" t="str">
        <f>IF(main!BH441="","",ROUND(main!BH441*100,6))</f>
        <v/>
      </c>
      <c r="AW438" s="68" t="str">
        <f>IF(main!BI441="","",ROUND(main!BI441*100,6))</f>
        <v/>
      </c>
      <c r="AX438" s="68" t="str">
        <f>IF(main!BJ441="","",ROUND(main!BJ441*100,6))</f>
        <v/>
      </c>
      <c r="AY438" s="68" t="str">
        <f>IF(main!BK441="","",ROUND(main!BK441*100,6))</f>
        <v/>
      </c>
      <c r="AZ438" s="68" t="str">
        <f>IF(main!BL441="","",ROUND(main!BL441*100,6))</f>
        <v/>
      </c>
      <c r="BA438" s="68" t="str">
        <f>IF(main!BM441="","",ROUND(main!BM441*100,6))</f>
        <v/>
      </c>
      <c r="BB438" s="68" t="str">
        <f>IF(main!BN441="","",ROUND(main!BN441*100,6))</f>
        <v/>
      </c>
      <c r="BC438" s="68" t="str">
        <f>IF(main!BO441="","",ROUND(main!BO441*100,6))</f>
        <v/>
      </c>
      <c r="BD438" s="68" t="str">
        <f>IF(main!BP441="","",ROUND(main!BP441*100,6))</f>
        <v/>
      </c>
      <c r="BE438" s="68" t="str">
        <f>IF(main!BQ441="","",ROUND(main!BQ441*100,6))</f>
        <v/>
      </c>
      <c r="BF438" s="68" t="str">
        <f>IF(main!BR441="","",ROUND(main!BR441*100,6))</f>
        <v/>
      </c>
      <c r="BG438" s="68" t="str">
        <f>IF(main!BS441="","",ROUND(main!BS441*100,6))</f>
        <v/>
      </c>
      <c r="BH438" s="68" t="str">
        <f>IF(main!BT441="","",ROUND(main!BT441*100,6))</f>
        <v/>
      </c>
      <c r="BI438" s="68" t="str">
        <f>IF(main!BU441="","",ROUND(main!BU441*100,6))</f>
        <v/>
      </c>
      <c r="BJ438" s="68" t="str">
        <f>IF(main!BV441="","",ROUND(main!BV441*100,6))</f>
        <v/>
      </c>
      <c r="BK438" s="68" t="str">
        <f>IF(main!BW441="","",ROUND(main!BW441*100,6))</f>
        <v/>
      </c>
      <c r="BL438" s="68" t="str">
        <f>IF(main!BX441="","",ROUND(main!BX441*100,6))</f>
        <v/>
      </c>
      <c r="BM438" s="68" t="str">
        <f>IF(main!BY441="","",ROUND(main!BY441*100,6))</f>
        <v/>
      </c>
      <c r="BN438" s="68" t="str">
        <f>IF(main!BZ441="","",ROUND(main!BZ441*100,6))</f>
        <v/>
      </c>
      <c r="BO438" s="68" t="str">
        <f>IF(main!CA441="","",ROUND(main!CA441*100,6))</f>
        <v/>
      </c>
      <c r="BP438" s="68" t="str">
        <f>IF(main!CB441="","",ROUND(main!CB441*100,6))</f>
        <v/>
      </c>
      <c r="BQ438" s="68" t="str">
        <f>IF(main!CC441="","",ROUND(main!CC441*100,6))</f>
        <v/>
      </c>
      <c r="BR438" s="68" t="str">
        <f>IF(main!CD441="","",ROUND(main!CD441*100,6))</f>
        <v/>
      </c>
      <c r="BS438" s="68">
        <f>IF(main!CE441="","",ROUND(main!CE441*100,6))</f>
        <v>7.1428570000000002</v>
      </c>
      <c r="BT438" s="68">
        <f>IF(main!CF441="","",ROUND(main!CF441*100,6))</f>
        <v>50</v>
      </c>
      <c r="BU438" s="68">
        <f>IF(main!CG441="","",ROUND(main!CG441*100,6))</f>
        <v>42.857143000000001</v>
      </c>
      <c r="BV438" s="68" t="str">
        <f>IF(main!CH441="","",ROUND(main!CH441*100,6))</f>
        <v/>
      </c>
      <c r="BW438" s="68" t="str">
        <f>IF(main!CI441="","",ROUND(main!CI441*100,6))</f>
        <v/>
      </c>
      <c r="BX438" s="68" t="str">
        <f>IF(main!CJ441="","",ROUND(main!CJ441*100,6))</f>
        <v/>
      </c>
      <c r="BY438" s="68" t="str">
        <f>IF(main!CK441="","",ROUND(main!CK441*100,6))</f>
        <v/>
      </c>
      <c r="BZ438" s="68" t="str">
        <f>IF(main!CL441="","",ROUND(main!CL441*100,6))</f>
        <v/>
      </c>
      <c r="CA438" s="68" t="str">
        <f>IF(main!CM441="","",ROUND(main!CM441*100,6))</f>
        <v/>
      </c>
      <c r="CB438" s="68" t="str">
        <f>IF(main!CN441="","",ROUND(main!CN441*100,6))</f>
        <v/>
      </c>
      <c r="CC438" s="68" t="str">
        <f>IF(main!CO441="","",ROUND(main!CO441*100,6))</f>
        <v/>
      </c>
    </row>
    <row r="439" spans="1:81" x14ac:dyDescent="0.25">
      <c r="A439" s="65" t="s">
        <v>595</v>
      </c>
      <c r="B439" s="66" t="str">
        <f>main!C441</f>
        <v>Ceiling</v>
      </c>
      <c r="C439" s="67">
        <f>main!O441</f>
        <v>100000</v>
      </c>
      <c r="D439" s="65" t="s">
        <v>111</v>
      </c>
      <c r="E439" s="68" t="str">
        <f t="shared" si="6"/>
        <v/>
      </c>
      <c r="F439" s="68" t="str">
        <f>IF(main!R442="","",ROUND(main!R442*100,6))</f>
        <v/>
      </c>
      <c r="G439" s="68" t="str">
        <f>IF(main!S442="","",ROUND(main!S442*100,6))</f>
        <v/>
      </c>
      <c r="H439" s="68" t="str">
        <f>IF(main!T442="","",ROUND(main!T442*100,6))</f>
        <v/>
      </c>
      <c r="I439" s="68" t="str">
        <f>IF(main!U442="","",ROUND(main!U442*100,6))</f>
        <v/>
      </c>
      <c r="J439" s="68" t="str">
        <f>IF(main!V442="","",ROUND(main!V442*100,6))</f>
        <v/>
      </c>
      <c r="K439" s="68" t="str">
        <f>IF(main!W442="","",ROUND(main!W442*100,6))</f>
        <v/>
      </c>
      <c r="L439" s="68" t="str">
        <f>IF(main!X442="","",ROUND(main!X442*100,6))</f>
        <v/>
      </c>
      <c r="M439" s="68" t="str">
        <f>IF(main!Y442="","",ROUND(main!Y442*100,6))</f>
        <v/>
      </c>
      <c r="N439" s="68" t="str">
        <f>IF(main!Z442="","",ROUND(main!Z442*100,6))</f>
        <v/>
      </c>
      <c r="O439" s="68" t="str">
        <f>IF(main!AA442="","",ROUND(main!AA442*100,6))</f>
        <v/>
      </c>
      <c r="P439" s="68" t="str">
        <f>IF(main!AB442="","",ROUND(main!AB442*100,6))</f>
        <v/>
      </c>
      <c r="Q439" s="68" t="str">
        <f>IF(main!AC442="","",ROUND(main!AC442*100,6))</f>
        <v/>
      </c>
      <c r="R439" s="68" t="str">
        <f>IF(main!AD442="","",ROUND(main!AD442*100,6))</f>
        <v/>
      </c>
      <c r="S439" s="68" t="str">
        <f>IF(main!AE442="","",ROUND(main!AE442*100,6))</f>
        <v/>
      </c>
      <c r="T439" s="68" t="str">
        <f>IF(main!AF442="","",ROUND(main!AF442*100,6))</f>
        <v/>
      </c>
      <c r="U439" s="68" t="str">
        <f>IF(main!AG442="","",ROUND(main!AG442*100,6))</f>
        <v/>
      </c>
      <c r="V439" s="68" t="str">
        <f>IF(main!AH442="","",ROUND(main!AH442*100,6))</f>
        <v/>
      </c>
      <c r="W439" s="68" t="str">
        <f>IF(main!AI442="","",ROUND(main!AI442*100,6))</f>
        <v/>
      </c>
      <c r="X439" s="68" t="str">
        <f>IF(main!AJ442="","",ROUND(main!AJ442*100,6))</f>
        <v/>
      </c>
      <c r="Y439" s="68" t="str">
        <f>IF(main!AK442="","",ROUND(main!AK442*100,6))</f>
        <v/>
      </c>
      <c r="Z439" s="68" t="str">
        <f>IF(main!AL442="","",ROUND(main!AL442*100,6))</f>
        <v/>
      </c>
      <c r="AA439" s="68" t="str">
        <f>IF(main!AM442="","",ROUND(main!AM442*100,6))</f>
        <v/>
      </c>
      <c r="AB439" s="68" t="str">
        <f>IF(main!AN442="","",ROUND(main!AN442*100,6))</f>
        <v/>
      </c>
      <c r="AC439" s="68" t="str">
        <f>IF(main!AO442="","",ROUND(main!AO442*100,6))</f>
        <v/>
      </c>
      <c r="AD439" s="68" t="str">
        <f>IF(main!AP442="","",ROUND(main!AP442*100,6))</f>
        <v/>
      </c>
      <c r="AE439" s="68" t="str">
        <f>IF(main!AQ442="","",ROUND(main!AQ442*100,6))</f>
        <v/>
      </c>
      <c r="AF439" s="68" t="str">
        <f>IF(main!AR442="","",ROUND(main!AR442*100,6))</f>
        <v/>
      </c>
      <c r="AG439" s="68" t="str">
        <f>IF(main!AS442="","",ROUND(main!AS442*100,6))</f>
        <v/>
      </c>
      <c r="AH439" s="68" t="str">
        <f>IF(main!AT442="","",ROUND(main!AT442*100,6))</f>
        <v/>
      </c>
      <c r="AI439" s="68" t="str">
        <f>IF(main!AU442="","",ROUND(main!AU442*100,6))</f>
        <v/>
      </c>
      <c r="AJ439" s="68" t="str">
        <f>IF(main!AV442="","",ROUND(main!AV442*100,6))</f>
        <v/>
      </c>
      <c r="AK439" s="68" t="str">
        <f>IF(main!AW442="","",ROUND(main!AW442*100,6))</f>
        <v/>
      </c>
      <c r="AL439" s="68" t="str">
        <f>IF(main!AX442="","",ROUND(main!AX442*100,6))</f>
        <v/>
      </c>
      <c r="AM439" s="68" t="str">
        <f>IF(main!AY442="","",ROUND(main!AY442*100,6))</f>
        <v/>
      </c>
      <c r="AN439" s="68" t="str">
        <f>IF(main!AZ442="","",ROUND(main!AZ442*100,6))</f>
        <v/>
      </c>
      <c r="AO439" s="68" t="str">
        <f>IF(main!BA442="","",ROUND(main!BA442*100,6))</f>
        <v/>
      </c>
      <c r="AP439" s="68" t="str">
        <f>IF(main!BB442="","",ROUND(main!BB442*100,6))</f>
        <v/>
      </c>
      <c r="AQ439" s="68" t="str">
        <f>IF(main!BC442="","",ROUND(main!BC442*100,6))</f>
        <v/>
      </c>
      <c r="AR439" s="68" t="str">
        <f>IF(main!BD442="","",ROUND(main!BD442*100,6))</f>
        <v/>
      </c>
      <c r="AS439" s="68" t="str">
        <f>IF(main!BE442="","",ROUND(main!BE442*100,6))</f>
        <v/>
      </c>
      <c r="AT439" s="68" t="str">
        <f>IF(main!BF442="","",ROUND(main!BF442*100,6))</f>
        <v/>
      </c>
      <c r="AU439" s="68" t="str">
        <f>IF(main!BG442="","",ROUND(main!BG442*100,6))</f>
        <v/>
      </c>
      <c r="AV439" s="68" t="str">
        <f>IF(main!BH442="","",ROUND(main!BH442*100,6))</f>
        <v/>
      </c>
      <c r="AW439" s="68" t="str">
        <f>IF(main!BI442="","",ROUND(main!BI442*100,6))</f>
        <v/>
      </c>
      <c r="AX439" s="68" t="str">
        <f>IF(main!BJ442="","",ROUND(main!BJ442*100,6))</f>
        <v/>
      </c>
      <c r="AY439" s="68" t="str">
        <f>IF(main!BK442="","",ROUND(main!BK442*100,6))</f>
        <v/>
      </c>
      <c r="AZ439" s="68" t="str">
        <f>IF(main!BL442="","",ROUND(main!BL442*100,6))</f>
        <v/>
      </c>
      <c r="BA439" s="68" t="str">
        <f>IF(main!BM442="","",ROUND(main!BM442*100,6))</f>
        <v/>
      </c>
      <c r="BB439" s="68" t="str">
        <f>IF(main!BN442="","",ROUND(main!BN442*100,6))</f>
        <v/>
      </c>
      <c r="BC439" s="68" t="str">
        <f>IF(main!BO442="","",ROUND(main!BO442*100,6))</f>
        <v/>
      </c>
      <c r="BD439" s="68" t="str">
        <f>IF(main!BP442="","",ROUND(main!BP442*100,6))</f>
        <v/>
      </c>
      <c r="BE439" s="68" t="str">
        <f>IF(main!BQ442="","",ROUND(main!BQ442*100,6))</f>
        <v/>
      </c>
      <c r="BF439" s="68" t="str">
        <f>IF(main!BR442="","",ROUND(main!BR442*100,6))</f>
        <v/>
      </c>
      <c r="BG439" s="68" t="str">
        <f>IF(main!BS442="","",ROUND(main!BS442*100,6))</f>
        <v/>
      </c>
      <c r="BH439" s="68" t="str">
        <f>IF(main!BT442="","",ROUND(main!BT442*100,6))</f>
        <v/>
      </c>
      <c r="BI439" s="68" t="str">
        <f>IF(main!BU442="","",ROUND(main!BU442*100,6))</f>
        <v/>
      </c>
      <c r="BJ439" s="68" t="str">
        <f>IF(main!BV442="","",ROUND(main!BV442*100,6))</f>
        <v/>
      </c>
      <c r="BK439" s="68" t="str">
        <f>IF(main!BW442="","",ROUND(main!BW442*100,6))</f>
        <v/>
      </c>
      <c r="BL439" s="68" t="str">
        <f>IF(main!BX442="","",ROUND(main!BX442*100,6))</f>
        <v/>
      </c>
      <c r="BM439" s="68" t="str">
        <f>IF(main!BY442="","",ROUND(main!BY442*100,6))</f>
        <v/>
      </c>
      <c r="BN439" s="68" t="str">
        <f>IF(main!BZ442="","",ROUND(main!BZ442*100,6))</f>
        <v/>
      </c>
      <c r="BO439" s="68" t="str">
        <f>IF(main!CA442="","",ROUND(main!CA442*100,6))</f>
        <v/>
      </c>
      <c r="BP439" s="68" t="str">
        <f>IF(main!CB442="","",ROUND(main!CB442*100,6))</f>
        <v/>
      </c>
      <c r="BQ439" s="68" t="str">
        <f>IF(main!CC442="","",ROUND(main!CC442*100,6))</f>
        <v/>
      </c>
      <c r="BR439" s="68" t="str">
        <f>IF(main!CD442="","",ROUND(main!CD442*100,6))</f>
        <v/>
      </c>
      <c r="BS439" s="68" t="str">
        <f>IF(main!CE442="","",ROUND(main!CE442*100,6))</f>
        <v/>
      </c>
      <c r="BT439" s="68" t="str">
        <f>IF(main!CF442="","",ROUND(main!CF442*100,6))</f>
        <v/>
      </c>
      <c r="BU439" s="68" t="str">
        <f>IF(main!CG442="","",ROUND(main!CG442*100,6))</f>
        <v/>
      </c>
      <c r="BV439" s="68" t="str">
        <f>IF(main!CH442="","",ROUND(main!CH442*100,6))</f>
        <v/>
      </c>
      <c r="BW439" s="68" t="str">
        <f>IF(main!CI442="","",ROUND(main!CI442*100,6))</f>
        <v/>
      </c>
      <c r="BX439" s="68" t="str">
        <f>IF(main!CJ442="","",ROUND(main!CJ442*100,6))</f>
        <v/>
      </c>
      <c r="BY439" s="68" t="str">
        <f>IF(main!CK442="","",ROUND(main!CK442*100,6))</f>
        <v/>
      </c>
      <c r="BZ439" s="68" t="str">
        <f>IF(main!CL442="","",ROUND(main!CL442*100,6))</f>
        <v/>
      </c>
      <c r="CA439" s="68" t="str">
        <f>IF(main!CM442="","",ROUND(main!CM442*100,6))</f>
        <v/>
      </c>
      <c r="CB439" s="68" t="str">
        <f>IF(main!CN442="","",ROUND(main!CN442*100,6))</f>
        <v/>
      </c>
      <c r="CC439" s="68" t="str">
        <f>IF(main!CO442="","",ROUND(main!CO442*100,6))</f>
        <v/>
      </c>
    </row>
    <row r="440" spans="1:81" x14ac:dyDescent="0.25">
      <c r="A440" s="65" t="s">
        <v>596</v>
      </c>
      <c r="B440" s="66" t="str">
        <f>main!C443</f>
        <v>C3.8 ฝ้าไม้ HRM</v>
      </c>
      <c r="C440" s="67">
        <f>main!O443</f>
        <v>100000</v>
      </c>
      <c r="D440" s="65" t="s">
        <v>110</v>
      </c>
      <c r="E440" s="68">
        <f t="shared" si="6"/>
        <v>100</v>
      </c>
      <c r="F440" s="68" t="str">
        <f>IF(main!R443="","",ROUND(main!R443*100,6))</f>
        <v/>
      </c>
      <c r="G440" s="68" t="str">
        <f>IF(main!S443="","",ROUND(main!S443*100,6))</f>
        <v/>
      </c>
      <c r="H440" s="68" t="str">
        <f>IF(main!T443="","",ROUND(main!T443*100,6))</f>
        <v/>
      </c>
      <c r="I440" s="68" t="str">
        <f>IF(main!U443="","",ROUND(main!U443*100,6))</f>
        <v/>
      </c>
      <c r="J440" s="68" t="str">
        <f>IF(main!V443="","",ROUND(main!V443*100,6))</f>
        <v/>
      </c>
      <c r="K440" s="68" t="str">
        <f>IF(main!W443="","",ROUND(main!W443*100,6))</f>
        <v/>
      </c>
      <c r="L440" s="68" t="str">
        <f>IF(main!X443="","",ROUND(main!X443*100,6))</f>
        <v/>
      </c>
      <c r="M440" s="68" t="str">
        <f>IF(main!Y443="","",ROUND(main!Y443*100,6))</f>
        <v/>
      </c>
      <c r="N440" s="68" t="str">
        <f>IF(main!Z443="","",ROUND(main!Z443*100,6))</f>
        <v/>
      </c>
      <c r="O440" s="68" t="str">
        <f>IF(main!AA443="","",ROUND(main!AA443*100,6))</f>
        <v/>
      </c>
      <c r="P440" s="68" t="str">
        <f>IF(main!AB443="","",ROUND(main!AB443*100,6))</f>
        <v/>
      </c>
      <c r="Q440" s="68" t="str">
        <f>IF(main!AC443="","",ROUND(main!AC443*100,6))</f>
        <v/>
      </c>
      <c r="R440" s="68" t="str">
        <f>IF(main!AD443="","",ROUND(main!AD443*100,6))</f>
        <v/>
      </c>
      <c r="S440" s="68" t="str">
        <f>IF(main!AE443="","",ROUND(main!AE443*100,6))</f>
        <v/>
      </c>
      <c r="T440" s="68" t="str">
        <f>IF(main!AF443="","",ROUND(main!AF443*100,6))</f>
        <v/>
      </c>
      <c r="U440" s="68" t="str">
        <f>IF(main!AG443="","",ROUND(main!AG443*100,6))</f>
        <v/>
      </c>
      <c r="V440" s="68" t="str">
        <f>IF(main!AH443="","",ROUND(main!AH443*100,6))</f>
        <v/>
      </c>
      <c r="W440" s="68" t="str">
        <f>IF(main!AI443="","",ROUND(main!AI443*100,6))</f>
        <v/>
      </c>
      <c r="X440" s="68" t="str">
        <f>IF(main!AJ443="","",ROUND(main!AJ443*100,6))</f>
        <v/>
      </c>
      <c r="Y440" s="68" t="str">
        <f>IF(main!AK443="","",ROUND(main!AK443*100,6))</f>
        <v/>
      </c>
      <c r="Z440" s="68" t="str">
        <f>IF(main!AL443="","",ROUND(main!AL443*100,6))</f>
        <v/>
      </c>
      <c r="AA440" s="68" t="str">
        <f>IF(main!AM443="","",ROUND(main!AM443*100,6))</f>
        <v/>
      </c>
      <c r="AB440" s="68" t="str">
        <f>IF(main!AN443="","",ROUND(main!AN443*100,6))</f>
        <v/>
      </c>
      <c r="AC440" s="68" t="str">
        <f>IF(main!AO443="","",ROUND(main!AO443*100,6))</f>
        <v/>
      </c>
      <c r="AD440" s="68" t="str">
        <f>IF(main!AP443="","",ROUND(main!AP443*100,6))</f>
        <v/>
      </c>
      <c r="AE440" s="68" t="str">
        <f>IF(main!AQ443="","",ROUND(main!AQ443*100,6))</f>
        <v/>
      </c>
      <c r="AF440" s="68" t="str">
        <f>IF(main!AR443="","",ROUND(main!AR443*100,6))</f>
        <v/>
      </c>
      <c r="AG440" s="68" t="str">
        <f>IF(main!AS443="","",ROUND(main!AS443*100,6))</f>
        <v/>
      </c>
      <c r="AH440" s="68" t="str">
        <f>IF(main!AT443="","",ROUND(main!AT443*100,6))</f>
        <v/>
      </c>
      <c r="AI440" s="68" t="str">
        <f>IF(main!AU443="","",ROUND(main!AU443*100,6))</f>
        <v/>
      </c>
      <c r="AJ440" s="68" t="str">
        <f>IF(main!AV443="","",ROUND(main!AV443*100,6))</f>
        <v/>
      </c>
      <c r="AK440" s="68" t="str">
        <f>IF(main!AW443="","",ROUND(main!AW443*100,6))</f>
        <v/>
      </c>
      <c r="AL440" s="68" t="str">
        <f>IF(main!AX443="","",ROUND(main!AX443*100,6))</f>
        <v/>
      </c>
      <c r="AM440" s="68" t="str">
        <f>IF(main!AY443="","",ROUND(main!AY443*100,6))</f>
        <v/>
      </c>
      <c r="AN440" s="68" t="str">
        <f>IF(main!AZ443="","",ROUND(main!AZ443*100,6))</f>
        <v/>
      </c>
      <c r="AO440" s="68" t="str">
        <f>IF(main!BA443="","",ROUND(main!BA443*100,6))</f>
        <v/>
      </c>
      <c r="AP440" s="68" t="str">
        <f>IF(main!BB443="","",ROUND(main!BB443*100,6))</f>
        <v/>
      </c>
      <c r="AQ440" s="68" t="str">
        <f>IF(main!BC443="","",ROUND(main!BC443*100,6))</f>
        <v/>
      </c>
      <c r="AR440" s="68" t="str">
        <f>IF(main!BD443="","",ROUND(main!BD443*100,6))</f>
        <v/>
      </c>
      <c r="AS440" s="68" t="str">
        <f>IF(main!BE443="","",ROUND(main!BE443*100,6))</f>
        <v/>
      </c>
      <c r="AT440" s="68" t="str">
        <f>IF(main!BF443="","",ROUND(main!BF443*100,6))</f>
        <v/>
      </c>
      <c r="AU440" s="68" t="str">
        <f>IF(main!BG443="","",ROUND(main!BG443*100,6))</f>
        <v/>
      </c>
      <c r="AV440" s="68" t="str">
        <f>IF(main!BH443="","",ROUND(main!BH443*100,6))</f>
        <v/>
      </c>
      <c r="AW440" s="68" t="str">
        <f>IF(main!BI443="","",ROUND(main!BI443*100,6))</f>
        <v/>
      </c>
      <c r="AX440" s="68" t="str">
        <f>IF(main!BJ443="","",ROUND(main!BJ443*100,6))</f>
        <v/>
      </c>
      <c r="AY440" s="68" t="str">
        <f>IF(main!BK443="","",ROUND(main!BK443*100,6))</f>
        <v/>
      </c>
      <c r="AZ440" s="68" t="str">
        <f>IF(main!BL443="","",ROUND(main!BL443*100,6))</f>
        <v/>
      </c>
      <c r="BA440" s="68" t="str">
        <f>IF(main!BM443="","",ROUND(main!BM443*100,6))</f>
        <v/>
      </c>
      <c r="BB440" s="68" t="str">
        <f>IF(main!BN443="","",ROUND(main!BN443*100,6))</f>
        <v/>
      </c>
      <c r="BC440" s="68" t="str">
        <f>IF(main!BO443="","",ROUND(main!BO443*100,6))</f>
        <v/>
      </c>
      <c r="BD440" s="68" t="str">
        <f>IF(main!BP443="","",ROUND(main!BP443*100,6))</f>
        <v/>
      </c>
      <c r="BE440" s="68" t="str">
        <f>IF(main!BQ443="","",ROUND(main!BQ443*100,6))</f>
        <v/>
      </c>
      <c r="BF440" s="68" t="str">
        <f>IF(main!BR443="","",ROUND(main!BR443*100,6))</f>
        <v/>
      </c>
      <c r="BG440" s="68" t="str">
        <f>IF(main!BS443="","",ROUND(main!BS443*100,6))</f>
        <v/>
      </c>
      <c r="BH440" s="68" t="str">
        <f>IF(main!BT443="","",ROUND(main!BT443*100,6))</f>
        <v/>
      </c>
      <c r="BI440" s="68" t="str">
        <f>IF(main!BU443="","",ROUND(main!BU443*100,6))</f>
        <v/>
      </c>
      <c r="BJ440" s="68" t="str">
        <f>IF(main!BV443="","",ROUND(main!BV443*100,6))</f>
        <v/>
      </c>
      <c r="BK440" s="68" t="str">
        <f>IF(main!BW443="","",ROUND(main!BW443*100,6))</f>
        <v/>
      </c>
      <c r="BL440" s="68" t="str">
        <f>IF(main!BX443="","",ROUND(main!BX443*100,6))</f>
        <v/>
      </c>
      <c r="BM440" s="68" t="str">
        <f>IF(main!BY443="","",ROUND(main!BY443*100,6))</f>
        <v/>
      </c>
      <c r="BN440" s="68" t="str">
        <f>IF(main!BZ443="","",ROUND(main!BZ443*100,6))</f>
        <v/>
      </c>
      <c r="BO440" s="68" t="str">
        <f>IF(main!CA443="","",ROUND(main!CA443*100,6))</f>
        <v/>
      </c>
      <c r="BP440" s="68" t="str">
        <f>IF(main!CB443="","",ROUND(main!CB443*100,6))</f>
        <v/>
      </c>
      <c r="BQ440" s="68" t="str">
        <f>IF(main!CC443="","",ROUND(main!CC443*100,6))</f>
        <v/>
      </c>
      <c r="BR440" s="68" t="str">
        <f>IF(main!CD443="","",ROUND(main!CD443*100,6))</f>
        <v/>
      </c>
      <c r="BS440" s="68">
        <f>IF(main!CE443="","",ROUND(main!CE443*100,6))</f>
        <v>7.1428570000000002</v>
      </c>
      <c r="BT440" s="68">
        <f>IF(main!CF443="","",ROUND(main!CF443*100,6))</f>
        <v>50</v>
      </c>
      <c r="BU440" s="68">
        <f>IF(main!CG443="","",ROUND(main!CG443*100,6))</f>
        <v>42.857143000000001</v>
      </c>
      <c r="BV440" s="68" t="str">
        <f>IF(main!CH443="","",ROUND(main!CH443*100,6))</f>
        <v/>
      </c>
      <c r="BW440" s="68" t="str">
        <f>IF(main!CI443="","",ROUND(main!CI443*100,6))</f>
        <v/>
      </c>
      <c r="BX440" s="68" t="str">
        <f>IF(main!CJ443="","",ROUND(main!CJ443*100,6))</f>
        <v/>
      </c>
      <c r="BY440" s="68" t="str">
        <f>IF(main!CK443="","",ROUND(main!CK443*100,6))</f>
        <v/>
      </c>
      <c r="BZ440" s="68" t="str">
        <f>IF(main!CL443="","",ROUND(main!CL443*100,6))</f>
        <v/>
      </c>
      <c r="CA440" s="68" t="str">
        <f>IF(main!CM443="","",ROUND(main!CM443*100,6))</f>
        <v/>
      </c>
      <c r="CB440" s="68" t="str">
        <f>IF(main!CN443="","",ROUND(main!CN443*100,6))</f>
        <v/>
      </c>
      <c r="CC440" s="68" t="str">
        <f>IF(main!CO443="","",ROUND(main!CO443*100,6))</f>
        <v/>
      </c>
    </row>
    <row r="441" spans="1:81" x14ac:dyDescent="0.25">
      <c r="A441" s="65" t="s">
        <v>596</v>
      </c>
      <c r="B441" s="66" t="str">
        <f>main!C443</f>
        <v>C3.8 ฝ้าไม้ HRM</v>
      </c>
      <c r="C441" s="67">
        <f>main!O443</f>
        <v>100000</v>
      </c>
      <c r="D441" s="65" t="s">
        <v>111</v>
      </c>
      <c r="E441" s="68" t="str">
        <f t="shared" si="6"/>
        <v/>
      </c>
      <c r="F441" s="68" t="str">
        <f>IF(main!R444="","",ROUND(main!R444*100,6))</f>
        <v/>
      </c>
      <c r="G441" s="68" t="str">
        <f>IF(main!S444="","",ROUND(main!S444*100,6))</f>
        <v/>
      </c>
      <c r="H441" s="68" t="str">
        <f>IF(main!T444="","",ROUND(main!T444*100,6))</f>
        <v/>
      </c>
      <c r="I441" s="68" t="str">
        <f>IF(main!U444="","",ROUND(main!U444*100,6))</f>
        <v/>
      </c>
      <c r="J441" s="68" t="str">
        <f>IF(main!V444="","",ROUND(main!V444*100,6))</f>
        <v/>
      </c>
      <c r="K441" s="68" t="str">
        <f>IF(main!W444="","",ROUND(main!W444*100,6))</f>
        <v/>
      </c>
      <c r="L441" s="68" t="str">
        <f>IF(main!X444="","",ROUND(main!X444*100,6))</f>
        <v/>
      </c>
      <c r="M441" s="68" t="str">
        <f>IF(main!Y444="","",ROUND(main!Y444*100,6))</f>
        <v/>
      </c>
      <c r="N441" s="68" t="str">
        <f>IF(main!Z444="","",ROUND(main!Z444*100,6))</f>
        <v/>
      </c>
      <c r="O441" s="68" t="str">
        <f>IF(main!AA444="","",ROUND(main!AA444*100,6))</f>
        <v/>
      </c>
      <c r="P441" s="68" t="str">
        <f>IF(main!AB444="","",ROUND(main!AB444*100,6))</f>
        <v/>
      </c>
      <c r="Q441" s="68" t="str">
        <f>IF(main!AC444="","",ROUND(main!AC444*100,6))</f>
        <v/>
      </c>
      <c r="R441" s="68" t="str">
        <f>IF(main!AD444="","",ROUND(main!AD444*100,6))</f>
        <v/>
      </c>
      <c r="S441" s="68" t="str">
        <f>IF(main!AE444="","",ROUND(main!AE444*100,6))</f>
        <v/>
      </c>
      <c r="T441" s="68" t="str">
        <f>IF(main!AF444="","",ROUND(main!AF444*100,6))</f>
        <v/>
      </c>
      <c r="U441" s="68" t="str">
        <f>IF(main!AG444="","",ROUND(main!AG444*100,6))</f>
        <v/>
      </c>
      <c r="V441" s="68" t="str">
        <f>IF(main!AH444="","",ROUND(main!AH444*100,6))</f>
        <v/>
      </c>
      <c r="W441" s="68" t="str">
        <f>IF(main!AI444="","",ROUND(main!AI444*100,6))</f>
        <v/>
      </c>
      <c r="X441" s="68" t="str">
        <f>IF(main!AJ444="","",ROUND(main!AJ444*100,6))</f>
        <v/>
      </c>
      <c r="Y441" s="68" t="str">
        <f>IF(main!AK444="","",ROUND(main!AK444*100,6))</f>
        <v/>
      </c>
      <c r="Z441" s="68" t="str">
        <f>IF(main!AL444="","",ROUND(main!AL444*100,6))</f>
        <v/>
      </c>
      <c r="AA441" s="68" t="str">
        <f>IF(main!AM444="","",ROUND(main!AM444*100,6))</f>
        <v/>
      </c>
      <c r="AB441" s="68" t="str">
        <f>IF(main!AN444="","",ROUND(main!AN444*100,6))</f>
        <v/>
      </c>
      <c r="AC441" s="68" t="str">
        <f>IF(main!AO444="","",ROUND(main!AO444*100,6))</f>
        <v/>
      </c>
      <c r="AD441" s="68" t="str">
        <f>IF(main!AP444="","",ROUND(main!AP444*100,6))</f>
        <v/>
      </c>
      <c r="AE441" s="68" t="str">
        <f>IF(main!AQ444="","",ROUND(main!AQ444*100,6))</f>
        <v/>
      </c>
      <c r="AF441" s="68" t="str">
        <f>IF(main!AR444="","",ROUND(main!AR444*100,6))</f>
        <v/>
      </c>
      <c r="AG441" s="68" t="str">
        <f>IF(main!AS444="","",ROUND(main!AS444*100,6))</f>
        <v/>
      </c>
      <c r="AH441" s="68" t="str">
        <f>IF(main!AT444="","",ROUND(main!AT444*100,6))</f>
        <v/>
      </c>
      <c r="AI441" s="68" t="str">
        <f>IF(main!AU444="","",ROUND(main!AU444*100,6))</f>
        <v/>
      </c>
      <c r="AJ441" s="68" t="str">
        <f>IF(main!AV444="","",ROUND(main!AV444*100,6))</f>
        <v/>
      </c>
      <c r="AK441" s="68" t="str">
        <f>IF(main!AW444="","",ROUND(main!AW444*100,6))</f>
        <v/>
      </c>
      <c r="AL441" s="68" t="str">
        <f>IF(main!AX444="","",ROUND(main!AX444*100,6))</f>
        <v/>
      </c>
      <c r="AM441" s="68" t="str">
        <f>IF(main!AY444="","",ROUND(main!AY444*100,6))</f>
        <v/>
      </c>
      <c r="AN441" s="68" t="str">
        <f>IF(main!AZ444="","",ROUND(main!AZ444*100,6))</f>
        <v/>
      </c>
      <c r="AO441" s="68" t="str">
        <f>IF(main!BA444="","",ROUND(main!BA444*100,6))</f>
        <v/>
      </c>
      <c r="AP441" s="68" t="str">
        <f>IF(main!BB444="","",ROUND(main!BB444*100,6))</f>
        <v/>
      </c>
      <c r="AQ441" s="68" t="str">
        <f>IF(main!BC444="","",ROUND(main!BC444*100,6))</f>
        <v/>
      </c>
      <c r="AR441" s="68" t="str">
        <f>IF(main!BD444="","",ROUND(main!BD444*100,6))</f>
        <v/>
      </c>
      <c r="AS441" s="68" t="str">
        <f>IF(main!BE444="","",ROUND(main!BE444*100,6))</f>
        <v/>
      </c>
      <c r="AT441" s="68" t="str">
        <f>IF(main!BF444="","",ROUND(main!BF444*100,6))</f>
        <v/>
      </c>
      <c r="AU441" s="68" t="str">
        <f>IF(main!BG444="","",ROUND(main!BG444*100,6))</f>
        <v/>
      </c>
      <c r="AV441" s="68" t="str">
        <f>IF(main!BH444="","",ROUND(main!BH444*100,6))</f>
        <v/>
      </c>
      <c r="AW441" s="68" t="str">
        <f>IF(main!BI444="","",ROUND(main!BI444*100,6))</f>
        <v/>
      </c>
      <c r="AX441" s="68" t="str">
        <f>IF(main!BJ444="","",ROUND(main!BJ444*100,6))</f>
        <v/>
      </c>
      <c r="AY441" s="68" t="str">
        <f>IF(main!BK444="","",ROUND(main!BK444*100,6))</f>
        <v/>
      </c>
      <c r="AZ441" s="68" t="str">
        <f>IF(main!BL444="","",ROUND(main!BL444*100,6))</f>
        <v/>
      </c>
      <c r="BA441" s="68" t="str">
        <f>IF(main!BM444="","",ROUND(main!BM444*100,6))</f>
        <v/>
      </c>
      <c r="BB441" s="68" t="str">
        <f>IF(main!BN444="","",ROUND(main!BN444*100,6))</f>
        <v/>
      </c>
      <c r="BC441" s="68" t="str">
        <f>IF(main!BO444="","",ROUND(main!BO444*100,6))</f>
        <v/>
      </c>
      <c r="BD441" s="68" t="str">
        <f>IF(main!BP444="","",ROUND(main!BP444*100,6))</f>
        <v/>
      </c>
      <c r="BE441" s="68" t="str">
        <f>IF(main!BQ444="","",ROUND(main!BQ444*100,6))</f>
        <v/>
      </c>
      <c r="BF441" s="68" t="str">
        <f>IF(main!BR444="","",ROUND(main!BR444*100,6))</f>
        <v/>
      </c>
      <c r="BG441" s="68" t="str">
        <f>IF(main!BS444="","",ROUND(main!BS444*100,6))</f>
        <v/>
      </c>
      <c r="BH441" s="68" t="str">
        <f>IF(main!BT444="","",ROUND(main!BT444*100,6))</f>
        <v/>
      </c>
      <c r="BI441" s="68" t="str">
        <f>IF(main!BU444="","",ROUND(main!BU444*100,6))</f>
        <v/>
      </c>
      <c r="BJ441" s="68" t="str">
        <f>IF(main!BV444="","",ROUND(main!BV444*100,6))</f>
        <v/>
      </c>
      <c r="BK441" s="68" t="str">
        <f>IF(main!BW444="","",ROUND(main!BW444*100,6))</f>
        <v/>
      </c>
      <c r="BL441" s="68" t="str">
        <f>IF(main!BX444="","",ROUND(main!BX444*100,6))</f>
        <v/>
      </c>
      <c r="BM441" s="68" t="str">
        <f>IF(main!BY444="","",ROUND(main!BY444*100,6))</f>
        <v/>
      </c>
      <c r="BN441" s="68" t="str">
        <f>IF(main!BZ444="","",ROUND(main!BZ444*100,6))</f>
        <v/>
      </c>
      <c r="BO441" s="68" t="str">
        <f>IF(main!CA444="","",ROUND(main!CA444*100,6))</f>
        <v/>
      </c>
      <c r="BP441" s="68" t="str">
        <f>IF(main!CB444="","",ROUND(main!CB444*100,6))</f>
        <v/>
      </c>
      <c r="BQ441" s="68" t="str">
        <f>IF(main!CC444="","",ROUND(main!CC444*100,6))</f>
        <v/>
      </c>
      <c r="BR441" s="68" t="str">
        <f>IF(main!CD444="","",ROUND(main!CD444*100,6))</f>
        <v/>
      </c>
      <c r="BS441" s="68" t="str">
        <f>IF(main!CE444="","",ROUND(main!CE444*100,6))</f>
        <v/>
      </c>
      <c r="BT441" s="68" t="str">
        <f>IF(main!CF444="","",ROUND(main!CF444*100,6))</f>
        <v/>
      </c>
      <c r="BU441" s="68" t="str">
        <f>IF(main!CG444="","",ROUND(main!CG444*100,6))</f>
        <v/>
      </c>
      <c r="BV441" s="68" t="str">
        <f>IF(main!CH444="","",ROUND(main!CH444*100,6))</f>
        <v/>
      </c>
      <c r="BW441" s="68" t="str">
        <f>IF(main!CI444="","",ROUND(main!CI444*100,6))</f>
        <v/>
      </c>
      <c r="BX441" s="68" t="str">
        <f>IF(main!CJ444="","",ROUND(main!CJ444*100,6))</f>
        <v/>
      </c>
      <c r="BY441" s="68" t="str">
        <f>IF(main!CK444="","",ROUND(main!CK444*100,6))</f>
        <v/>
      </c>
      <c r="BZ441" s="68" t="str">
        <f>IF(main!CL444="","",ROUND(main!CL444*100,6))</f>
        <v/>
      </c>
      <c r="CA441" s="68" t="str">
        <f>IF(main!CM444="","",ROUND(main!CM444*100,6))</f>
        <v/>
      </c>
      <c r="CB441" s="68" t="str">
        <f>IF(main!CN444="","",ROUND(main!CN444*100,6))</f>
        <v/>
      </c>
      <c r="CC441" s="68" t="str">
        <f>IF(main!CO444="","",ROUND(main!CO444*100,6))</f>
        <v/>
      </c>
    </row>
    <row r="442" spans="1:81" x14ac:dyDescent="0.25">
      <c r="A442" s="65" t="s">
        <v>599</v>
      </c>
      <c r="B442" s="66" t="str">
        <f>main!C445</f>
        <v>งานติดตั้ง Lightning Protection System  ชั้น Roof</v>
      </c>
      <c r="C442" s="67">
        <f>main!O445</f>
        <v>100000</v>
      </c>
      <c r="D442" s="65" t="s">
        <v>110</v>
      </c>
      <c r="E442" s="68">
        <f t="shared" si="6"/>
        <v>100</v>
      </c>
      <c r="F442" s="68" t="str">
        <f>IF(main!R445="","",ROUND(main!R445*100,6))</f>
        <v/>
      </c>
      <c r="G442" s="68" t="str">
        <f>IF(main!S445="","",ROUND(main!S445*100,6))</f>
        <v/>
      </c>
      <c r="H442" s="68" t="str">
        <f>IF(main!T445="","",ROUND(main!T445*100,6))</f>
        <v/>
      </c>
      <c r="I442" s="68" t="str">
        <f>IF(main!U445="","",ROUND(main!U445*100,6))</f>
        <v/>
      </c>
      <c r="J442" s="68" t="str">
        <f>IF(main!V445="","",ROUND(main!V445*100,6))</f>
        <v/>
      </c>
      <c r="K442" s="68" t="str">
        <f>IF(main!W445="","",ROUND(main!W445*100,6))</f>
        <v/>
      </c>
      <c r="L442" s="68" t="str">
        <f>IF(main!X445="","",ROUND(main!X445*100,6))</f>
        <v/>
      </c>
      <c r="M442" s="68" t="str">
        <f>IF(main!Y445="","",ROUND(main!Y445*100,6))</f>
        <v/>
      </c>
      <c r="N442" s="68" t="str">
        <f>IF(main!Z445="","",ROUND(main!Z445*100,6))</f>
        <v/>
      </c>
      <c r="O442" s="68" t="str">
        <f>IF(main!AA445="","",ROUND(main!AA445*100,6))</f>
        <v/>
      </c>
      <c r="P442" s="68" t="str">
        <f>IF(main!AB445="","",ROUND(main!AB445*100,6))</f>
        <v/>
      </c>
      <c r="Q442" s="68" t="str">
        <f>IF(main!AC445="","",ROUND(main!AC445*100,6))</f>
        <v/>
      </c>
      <c r="R442" s="68" t="str">
        <f>IF(main!AD445="","",ROUND(main!AD445*100,6))</f>
        <v/>
      </c>
      <c r="S442" s="68" t="str">
        <f>IF(main!AE445="","",ROUND(main!AE445*100,6))</f>
        <v/>
      </c>
      <c r="T442" s="68" t="str">
        <f>IF(main!AF445="","",ROUND(main!AF445*100,6))</f>
        <v/>
      </c>
      <c r="U442" s="68" t="str">
        <f>IF(main!AG445="","",ROUND(main!AG445*100,6))</f>
        <v/>
      </c>
      <c r="V442" s="68" t="str">
        <f>IF(main!AH445="","",ROUND(main!AH445*100,6))</f>
        <v/>
      </c>
      <c r="W442" s="68" t="str">
        <f>IF(main!AI445="","",ROUND(main!AI445*100,6))</f>
        <v/>
      </c>
      <c r="X442" s="68" t="str">
        <f>IF(main!AJ445="","",ROUND(main!AJ445*100,6))</f>
        <v/>
      </c>
      <c r="Y442" s="68" t="str">
        <f>IF(main!AK445="","",ROUND(main!AK445*100,6))</f>
        <v/>
      </c>
      <c r="Z442" s="68" t="str">
        <f>IF(main!AL445="","",ROUND(main!AL445*100,6))</f>
        <v/>
      </c>
      <c r="AA442" s="68" t="str">
        <f>IF(main!AM445="","",ROUND(main!AM445*100,6))</f>
        <v/>
      </c>
      <c r="AB442" s="68" t="str">
        <f>IF(main!AN445="","",ROUND(main!AN445*100,6))</f>
        <v/>
      </c>
      <c r="AC442" s="68" t="str">
        <f>IF(main!AO445="","",ROUND(main!AO445*100,6))</f>
        <v/>
      </c>
      <c r="AD442" s="68" t="str">
        <f>IF(main!AP445="","",ROUND(main!AP445*100,6))</f>
        <v/>
      </c>
      <c r="AE442" s="68" t="str">
        <f>IF(main!AQ445="","",ROUND(main!AQ445*100,6))</f>
        <v/>
      </c>
      <c r="AF442" s="68" t="str">
        <f>IF(main!AR445="","",ROUND(main!AR445*100,6))</f>
        <v/>
      </c>
      <c r="AG442" s="68" t="str">
        <f>IF(main!AS445="","",ROUND(main!AS445*100,6))</f>
        <v/>
      </c>
      <c r="AH442" s="68" t="str">
        <f>IF(main!AT445="","",ROUND(main!AT445*100,6))</f>
        <v/>
      </c>
      <c r="AI442" s="68" t="str">
        <f>IF(main!AU445="","",ROUND(main!AU445*100,6))</f>
        <v/>
      </c>
      <c r="AJ442" s="68" t="str">
        <f>IF(main!AV445="","",ROUND(main!AV445*100,6))</f>
        <v/>
      </c>
      <c r="AK442" s="68" t="str">
        <f>IF(main!AW445="","",ROUND(main!AW445*100,6))</f>
        <v/>
      </c>
      <c r="AL442" s="68" t="str">
        <f>IF(main!AX445="","",ROUND(main!AX445*100,6))</f>
        <v/>
      </c>
      <c r="AM442" s="68" t="str">
        <f>IF(main!AY445="","",ROUND(main!AY445*100,6))</f>
        <v/>
      </c>
      <c r="AN442" s="68" t="str">
        <f>IF(main!AZ445="","",ROUND(main!AZ445*100,6))</f>
        <v/>
      </c>
      <c r="AO442" s="68" t="str">
        <f>IF(main!BA445="","",ROUND(main!BA445*100,6))</f>
        <v/>
      </c>
      <c r="AP442" s="68" t="str">
        <f>IF(main!BB445="","",ROUND(main!BB445*100,6))</f>
        <v/>
      </c>
      <c r="AQ442" s="68" t="str">
        <f>IF(main!BC445="","",ROUND(main!BC445*100,6))</f>
        <v/>
      </c>
      <c r="AR442" s="68" t="str">
        <f>IF(main!BD445="","",ROUND(main!BD445*100,6))</f>
        <v/>
      </c>
      <c r="AS442" s="68" t="str">
        <f>IF(main!BE445="","",ROUND(main!BE445*100,6))</f>
        <v/>
      </c>
      <c r="AT442" s="68" t="str">
        <f>IF(main!BF445="","",ROUND(main!BF445*100,6))</f>
        <v/>
      </c>
      <c r="AU442" s="68" t="str">
        <f>IF(main!BG445="","",ROUND(main!BG445*100,6))</f>
        <v/>
      </c>
      <c r="AV442" s="68" t="str">
        <f>IF(main!BH445="","",ROUND(main!BH445*100,6))</f>
        <v/>
      </c>
      <c r="AW442" s="68" t="str">
        <f>IF(main!BI445="","",ROUND(main!BI445*100,6))</f>
        <v/>
      </c>
      <c r="AX442" s="68" t="str">
        <f>IF(main!BJ445="","",ROUND(main!BJ445*100,6))</f>
        <v/>
      </c>
      <c r="AY442" s="68" t="str">
        <f>IF(main!BK445="","",ROUND(main!BK445*100,6))</f>
        <v/>
      </c>
      <c r="AZ442" s="68" t="str">
        <f>IF(main!BL445="","",ROUND(main!BL445*100,6))</f>
        <v/>
      </c>
      <c r="BA442" s="68" t="str">
        <f>IF(main!BM445="","",ROUND(main!BM445*100,6))</f>
        <v/>
      </c>
      <c r="BB442" s="68" t="str">
        <f>IF(main!BN445="","",ROUND(main!BN445*100,6))</f>
        <v/>
      </c>
      <c r="BC442" s="68" t="str">
        <f>IF(main!BO445="","",ROUND(main!BO445*100,6))</f>
        <v/>
      </c>
      <c r="BD442" s="68" t="str">
        <f>IF(main!BP445="","",ROUND(main!BP445*100,6))</f>
        <v/>
      </c>
      <c r="BE442" s="68" t="str">
        <f>IF(main!BQ445="","",ROUND(main!BQ445*100,6))</f>
        <v/>
      </c>
      <c r="BF442" s="68" t="str">
        <f>IF(main!BR445="","",ROUND(main!BR445*100,6))</f>
        <v/>
      </c>
      <c r="BG442" s="68" t="str">
        <f>IF(main!BS445="","",ROUND(main!BS445*100,6))</f>
        <v/>
      </c>
      <c r="BH442" s="68" t="str">
        <f>IF(main!BT445="","",ROUND(main!BT445*100,6))</f>
        <v/>
      </c>
      <c r="BI442" s="68" t="str">
        <f>IF(main!BU445="","",ROUND(main!BU445*100,6))</f>
        <v/>
      </c>
      <c r="BJ442" s="68" t="str">
        <f>IF(main!BV445="","",ROUND(main!BV445*100,6))</f>
        <v/>
      </c>
      <c r="BK442" s="68" t="str">
        <f>IF(main!BW445="","",ROUND(main!BW445*100,6))</f>
        <v/>
      </c>
      <c r="BL442" s="68" t="str">
        <f>IF(main!BX445="","",ROUND(main!BX445*100,6))</f>
        <v/>
      </c>
      <c r="BM442" s="68" t="str">
        <f>IF(main!BY445="","",ROUND(main!BY445*100,6))</f>
        <v/>
      </c>
      <c r="BN442" s="68" t="str">
        <f>IF(main!BZ445="","",ROUND(main!BZ445*100,6))</f>
        <v/>
      </c>
      <c r="BO442" s="68" t="str">
        <f>IF(main!CA445="","",ROUND(main!CA445*100,6))</f>
        <v/>
      </c>
      <c r="BP442" s="68" t="str">
        <f>IF(main!CB445="","",ROUND(main!CB445*100,6))</f>
        <v/>
      </c>
      <c r="BQ442" s="68">
        <f>IF(main!CC445="","",ROUND(main!CC445*100,6))</f>
        <v>12.5</v>
      </c>
      <c r="BR442" s="68">
        <f>IF(main!CD445="","",ROUND(main!CD445*100,6))</f>
        <v>17.5</v>
      </c>
      <c r="BS442" s="68">
        <f>IF(main!CE445="","",ROUND(main!CE445*100,6))</f>
        <v>17.5</v>
      </c>
      <c r="BT442" s="68">
        <f>IF(main!CF445="","",ROUND(main!CF445*100,6))</f>
        <v>17.5</v>
      </c>
      <c r="BU442" s="68">
        <f>IF(main!CG445="","",ROUND(main!CG445*100,6))</f>
        <v>17.5</v>
      </c>
      <c r="BV442" s="68">
        <f>IF(main!CH445="","",ROUND(main!CH445*100,6))</f>
        <v>17.5</v>
      </c>
      <c r="BW442" s="68" t="str">
        <f>IF(main!CI445="","",ROUND(main!CI445*100,6))</f>
        <v/>
      </c>
      <c r="BX442" s="68" t="str">
        <f>IF(main!CJ445="","",ROUND(main!CJ445*100,6))</f>
        <v/>
      </c>
      <c r="BY442" s="68" t="str">
        <f>IF(main!CK445="","",ROUND(main!CK445*100,6))</f>
        <v/>
      </c>
      <c r="BZ442" s="68" t="str">
        <f>IF(main!CL445="","",ROUND(main!CL445*100,6))</f>
        <v/>
      </c>
      <c r="CA442" s="68" t="str">
        <f>IF(main!CM445="","",ROUND(main!CM445*100,6))</f>
        <v/>
      </c>
      <c r="CB442" s="68" t="str">
        <f>IF(main!CN445="","",ROUND(main!CN445*100,6))</f>
        <v/>
      </c>
      <c r="CC442" s="68" t="str">
        <f>IF(main!CO445="","",ROUND(main!CO445*100,6))</f>
        <v/>
      </c>
    </row>
    <row r="443" spans="1:81" x14ac:dyDescent="0.25">
      <c r="A443" s="65" t="s">
        <v>599</v>
      </c>
      <c r="B443" s="66" t="str">
        <f>main!C445</f>
        <v>งานติดตั้ง Lightning Protection System  ชั้น Roof</v>
      </c>
      <c r="C443" s="67">
        <f>main!O445</f>
        <v>100000</v>
      </c>
      <c r="D443" s="65" t="s">
        <v>111</v>
      </c>
      <c r="E443" s="68" t="str">
        <f t="shared" si="6"/>
        <v/>
      </c>
      <c r="F443" s="68" t="str">
        <f>IF(main!R446="","",ROUND(main!R446*100,6))</f>
        <v/>
      </c>
      <c r="G443" s="68" t="str">
        <f>IF(main!S446="","",ROUND(main!S446*100,6))</f>
        <v/>
      </c>
      <c r="H443" s="68" t="str">
        <f>IF(main!T446="","",ROUND(main!T446*100,6))</f>
        <v/>
      </c>
      <c r="I443" s="68" t="str">
        <f>IF(main!U446="","",ROUND(main!U446*100,6))</f>
        <v/>
      </c>
      <c r="J443" s="68" t="str">
        <f>IF(main!V446="","",ROUND(main!V446*100,6))</f>
        <v/>
      </c>
      <c r="K443" s="68" t="str">
        <f>IF(main!W446="","",ROUND(main!W446*100,6))</f>
        <v/>
      </c>
      <c r="L443" s="68" t="str">
        <f>IF(main!X446="","",ROUND(main!X446*100,6))</f>
        <v/>
      </c>
      <c r="M443" s="68" t="str">
        <f>IF(main!Y446="","",ROUND(main!Y446*100,6))</f>
        <v/>
      </c>
      <c r="N443" s="68" t="str">
        <f>IF(main!Z446="","",ROUND(main!Z446*100,6))</f>
        <v/>
      </c>
      <c r="O443" s="68" t="str">
        <f>IF(main!AA446="","",ROUND(main!AA446*100,6))</f>
        <v/>
      </c>
      <c r="P443" s="68" t="str">
        <f>IF(main!AB446="","",ROUND(main!AB446*100,6))</f>
        <v/>
      </c>
      <c r="Q443" s="68" t="str">
        <f>IF(main!AC446="","",ROUND(main!AC446*100,6))</f>
        <v/>
      </c>
      <c r="R443" s="68" t="str">
        <f>IF(main!AD446="","",ROUND(main!AD446*100,6))</f>
        <v/>
      </c>
      <c r="S443" s="68" t="str">
        <f>IF(main!AE446="","",ROUND(main!AE446*100,6))</f>
        <v/>
      </c>
      <c r="T443" s="68" t="str">
        <f>IF(main!AF446="","",ROUND(main!AF446*100,6))</f>
        <v/>
      </c>
      <c r="U443" s="68" t="str">
        <f>IF(main!AG446="","",ROUND(main!AG446*100,6))</f>
        <v/>
      </c>
      <c r="V443" s="68" t="str">
        <f>IF(main!AH446="","",ROUND(main!AH446*100,6))</f>
        <v/>
      </c>
      <c r="W443" s="68" t="str">
        <f>IF(main!AI446="","",ROUND(main!AI446*100,6))</f>
        <v/>
      </c>
      <c r="X443" s="68" t="str">
        <f>IF(main!AJ446="","",ROUND(main!AJ446*100,6))</f>
        <v/>
      </c>
      <c r="Y443" s="68" t="str">
        <f>IF(main!AK446="","",ROUND(main!AK446*100,6))</f>
        <v/>
      </c>
      <c r="Z443" s="68" t="str">
        <f>IF(main!AL446="","",ROUND(main!AL446*100,6))</f>
        <v/>
      </c>
      <c r="AA443" s="68" t="str">
        <f>IF(main!AM446="","",ROUND(main!AM446*100,6))</f>
        <v/>
      </c>
      <c r="AB443" s="68" t="str">
        <f>IF(main!AN446="","",ROUND(main!AN446*100,6))</f>
        <v/>
      </c>
      <c r="AC443" s="68" t="str">
        <f>IF(main!AO446="","",ROUND(main!AO446*100,6))</f>
        <v/>
      </c>
      <c r="AD443" s="68" t="str">
        <f>IF(main!AP446="","",ROUND(main!AP446*100,6))</f>
        <v/>
      </c>
      <c r="AE443" s="68" t="str">
        <f>IF(main!AQ446="","",ROUND(main!AQ446*100,6))</f>
        <v/>
      </c>
      <c r="AF443" s="68" t="str">
        <f>IF(main!AR446="","",ROUND(main!AR446*100,6))</f>
        <v/>
      </c>
      <c r="AG443" s="68" t="str">
        <f>IF(main!AS446="","",ROUND(main!AS446*100,6))</f>
        <v/>
      </c>
      <c r="AH443" s="68" t="str">
        <f>IF(main!AT446="","",ROUND(main!AT446*100,6))</f>
        <v/>
      </c>
      <c r="AI443" s="68" t="str">
        <f>IF(main!AU446="","",ROUND(main!AU446*100,6))</f>
        <v/>
      </c>
      <c r="AJ443" s="68" t="str">
        <f>IF(main!AV446="","",ROUND(main!AV446*100,6))</f>
        <v/>
      </c>
      <c r="AK443" s="68" t="str">
        <f>IF(main!AW446="","",ROUND(main!AW446*100,6))</f>
        <v/>
      </c>
      <c r="AL443" s="68" t="str">
        <f>IF(main!AX446="","",ROUND(main!AX446*100,6))</f>
        <v/>
      </c>
      <c r="AM443" s="68" t="str">
        <f>IF(main!AY446="","",ROUND(main!AY446*100,6))</f>
        <v/>
      </c>
      <c r="AN443" s="68" t="str">
        <f>IF(main!AZ446="","",ROUND(main!AZ446*100,6))</f>
        <v/>
      </c>
      <c r="AO443" s="68" t="str">
        <f>IF(main!BA446="","",ROUND(main!BA446*100,6))</f>
        <v/>
      </c>
      <c r="AP443" s="68" t="str">
        <f>IF(main!BB446="","",ROUND(main!BB446*100,6))</f>
        <v/>
      </c>
      <c r="AQ443" s="68" t="str">
        <f>IF(main!BC446="","",ROUND(main!BC446*100,6))</f>
        <v/>
      </c>
      <c r="AR443" s="68" t="str">
        <f>IF(main!BD446="","",ROUND(main!BD446*100,6))</f>
        <v/>
      </c>
      <c r="AS443" s="68" t="str">
        <f>IF(main!BE446="","",ROUND(main!BE446*100,6))</f>
        <v/>
      </c>
      <c r="AT443" s="68" t="str">
        <f>IF(main!BF446="","",ROUND(main!BF446*100,6))</f>
        <v/>
      </c>
      <c r="AU443" s="68" t="str">
        <f>IF(main!BG446="","",ROUND(main!BG446*100,6))</f>
        <v/>
      </c>
      <c r="AV443" s="68" t="str">
        <f>IF(main!BH446="","",ROUND(main!BH446*100,6))</f>
        <v/>
      </c>
      <c r="AW443" s="68" t="str">
        <f>IF(main!BI446="","",ROUND(main!BI446*100,6))</f>
        <v/>
      </c>
      <c r="AX443" s="68" t="str">
        <f>IF(main!BJ446="","",ROUND(main!BJ446*100,6))</f>
        <v/>
      </c>
      <c r="AY443" s="68" t="str">
        <f>IF(main!BK446="","",ROUND(main!BK446*100,6))</f>
        <v/>
      </c>
      <c r="AZ443" s="68" t="str">
        <f>IF(main!BL446="","",ROUND(main!BL446*100,6))</f>
        <v/>
      </c>
      <c r="BA443" s="68" t="str">
        <f>IF(main!BM446="","",ROUND(main!BM446*100,6))</f>
        <v/>
      </c>
      <c r="BB443" s="68" t="str">
        <f>IF(main!BN446="","",ROUND(main!BN446*100,6))</f>
        <v/>
      </c>
      <c r="BC443" s="68" t="str">
        <f>IF(main!BO446="","",ROUND(main!BO446*100,6))</f>
        <v/>
      </c>
      <c r="BD443" s="68" t="str">
        <f>IF(main!BP446="","",ROUND(main!BP446*100,6))</f>
        <v/>
      </c>
      <c r="BE443" s="68" t="str">
        <f>IF(main!BQ446="","",ROUND(main!BQ446*100,6))</f>
        <v/>
      </c>
      <c r="BF443" s="68" t="str">
        <f>IF(main!BR446="","",ROUND(main!BR446*100,6))</f>
        <v/>
      </c>
      <c r="BG443" s="68" t="str">
        <f>IF(main!BS446="","",ROUND(main!BS446*100,6))</f>
        <v/>
      </c>
      <c r="BH443" s="68" t="str">
        <f>IF(main!BT446="","",ROUND(main!BT446*100,6))</f>
        <v/>
      </c>
      <c r="BI443" s="68" t="str">
        <f>IF(main!BU446="","",ROUND(main!BU446*100,6))</f>
        <v/>
      </c>
      <c r="BJ443" s="68" t="str">
        <f>IF(main!BV446="","",ROUND(main!BV446*100,6))</f>
        <v/>
      </c>
      <c r="BK443" s="68" t="str">
        <f>IF(main!BW446="","",ROUND(main!BW446*100,6))</f>
        <v/>
      </c>
      <c r="BL443" s="68" t="str">
        <f>IF(main!BX446="","",ROUND(main!BX446*100,6))</f>
        <v/>
      </c>
      <c r="BM443" s="68" t="str">
        <f>IF(main!BY446="","",ROUND(main!BY446*100,6))</f>
        <v/>
      </c>
      <c r="BN443" s="68" t="str">
        <f>IF(main!BZ446="","",ROUND(main!BZ446*100,6))</f>
        <v/>
      </c>
      <c r="BO443" s="68" t="str">
        <f>IF(main!CA446="","",ROUND(main!CA446*100,6))</f>
        <v/>
      </c>
      <c r="BP443" s="68" t="str">
        <f>IF(main!CB446="","",ROUND(main!CB446*100,6))</f>
        <v/>
      </c>
      <c r="BQ443" s="68" t="str">
        <f>IF(main!CC446="","",ROUND(main!CC446*100,6))</f>
        <v/>
      </c>
      <c r="BR443" s="68" t="str">
        <f>IF(main!CD446="","",ROUND(main!CD446*100,6))</f>
        <v/>
      </c>
      <c r="BS443" s="68" t="str">
        <f>IF(main!CE446="","",ROUND(main!CE446*100,6))</f>
        <v/>
      </c>
      <c r="BT443" s="68" t="str">
        <f>IF(main!CF446="","",ROUND(main!CF446*100,6))</f>
        <v/>
      </c>
      <c r="BU443" s="68" t="str">
        <f>IF(main!CG446="","",ROUND(main!CG446*100,6))</f>
        <v/>
      </c>
      <c r="BV443" s="68" t="str">
        <f>IF(main!CH446="","",ROUND(main!CH446*100,6))</f>
        <v/>
      </c>
      <c r="BW443" s="68" t="str">
        <f>IF(main!CI446="","",ROUND(main!CI446*100,6))</f>
        <v/>
      </c>
      <c r="BX443" s="68" t="str">
        <f>IF(main!CJ446="","",ROUND(main!CJ446*100,6))</f>
        <v/>
      </c>
      <c r="BY443" s="68" t="str">
        <f>IF(main!CK446="","",ROUND(main!CK446*100,6))</f>
        <v/>
      </c>
      <c r="BZ443" s="68" t="str">
        <f>IF(main!CL446="","",ROUND(main!CL446*100,6))</f>
        <v/>
      </c>
      <c r="CA443" s="68" t="str">
        <f>IF(main!CM446="","",ROUND(main!CM446*100,6))</f>
        <v/>
      </c>
      <c r="CB443" s="68" t="str">
        <f>IF(main!CN446="","",ROUND(main!CN446*100,6))</f>
        <v/>
      </c>
      <c r="CC443" s="68" t="str">
        <f>IF(main!CO446="","",ROUND(main!CO446*100,6))</f>
        <v/>
      </c>
    </row>
    <row r="444" spans="1:81" x14ac:dyDescent="0.25">
      <c r="A444" s="65" t="s">
        <v>601</v>
      </c>
      <c r="B444" s="66" t="str">
        <f>main!C447</f>
        <v>งานติดตั้ง Lightning Protection System</v>
      </c>
      <c r="C444" s="67">
        <f>main!O447</f>
        <v>100000</v>
      </c>
      <c r="D444" s="65" t="s">
        <v>110</v>
      </c>
      <c r="E444" s="68">
        <f t="shared" si="6"/>
        <v>100</v>
      </c>
      <c r="F444" s="68" t="str">
        <f>IF(main!R447="","",ROUND(main!R447*100,6))</f>
        <v/>
      </c>
      <c r="G444" s="68" t="str">
        <f>IF(main!S447="","",ROUND(main!S447*100,6))</f>
        <v/>
      </c>
      <c r="H444" s="68" t="str">
        <f>IF(main!T447="","",ROUND(main!T447*100,6))</f>
        <v/>
      </c>
      <c r="I444" s="68" t="str">
        <f>IF(main!U447="","",ROUND(main!U447*100,6))</f>
        <v/>
      </c>
      <c r="J444" s="68" t="str">
        <f>IF(main!V447="","",ROUND(main!V447*100,6))</f>
        <v/>
      </c>
      <c r="K444" s="68" t="str">
        <f>IF(main!W447="","",ROUND(main!W447*100,6))</f>
        <v/>
      </c>
      <c r="L444" s="68" t="str">
        <f>IF(main!X447="","",ROUND(main!X447*100,6))</f>
        <v/>
      </c>
      <c r="M444" s="68" t="str">
        <f>IF(main!Y447="","",ROUND(main!Y447*100,6))</f>
        <v/>
      </c>
      <c r="N444" s="68" t="str">
        <f>IF(main!Z447="","",ROUND(main!Z447*100,6))</f>
        <v/>
      </c>
      <c r="O444" s="68" t="str">
        <f>IF(main!AA447="","",ROUND(main!AA447*100,6))</f>
        <v/>
      </c>
      <c r="P444" s="68" t="str">
        <f>IF(main!AB447="","",ROUND(main!AB447*100,6))</f>
        <v/>
      </c>
      <c r="Q444" s="68" t="str">
        <f>IF(main!AC447="","",ROUND(main!AC447*100,6))</f>
        <v/>
      </c>
      <c r="R444" s="68" t="str">
        <f>IF(main!AD447="","",ROUND(main!AD447*100,6))</f>
        <v/>
      </c>
      <c r="S444" s="68" t="str">
        <f>IF(main!AE447="","",ROUND(main!AE447*100,6))</f>
        <v/>
      </c>
      <c r="T444" s="68" t="str">
        <f>IF(main!AF447="","",ROUND(main!AF447*100,6))</f>
        <v/>
      </c>
      <c r="U444" s="68" t="str">
        <f>IF(main!AG447="","",ROUND(main!AG447*100,6))</f>
        <v/>
      </c>
      <c r="V444" s="68" t="str">
        <f>IF(main!AH447="","",ROUND(main!AH447*100,6))</f>
        <v/>
      </c>
      <c r="W444" s="68" t="str">
        <f>IF(main!AI447="","",ROUND(main!AI447*100,6))</f>
        <v/>
      </c>
      <c r="X444" s="68" t="str">
        <f>IF(main!AJ447="","",ROUND(main!AJ447*100,6))</f>
        <v/>
      </c>
      <c r="Y444" s="68" t="str">
        <f>IF(main!AK447="","",ROUND(main!AK447*100,6))</f>
        <v/>
      </c>
      <c r="Z444" s="68" t="str">
        <f>IF(main!AL447="","",ROUND(main!AL447*100,6))</f>
        <v/>
      </c>
      <c r="AA444" s="68" t="str">
        <f>IF(main!AM447="","",ROUND(main!AM447*100,6))</f>
        <v/>
      </c>
      <c r="AB444" s="68" t="str">
        <f>IF(main!AN447="","",ROUND(main!AN447*100,6))</f>
        <v/>
      </c>
      <c r="AC444" s="68" t="str">
        <f>IF(main!AO447="","",ROUND(main!AO447*100,6))</f>
        <v/>
      </c>
      <c r="AD444" s="68" t="str">
        <f>IF(main!AP447="","",ROUND(main!AP447*100,6))</f>
        <v/>
      </c>
      <c r="AE444" s="68" t="str">
        <f>IF(main!AQ447="","",ROUND(main!AQ447*100,6))</f>
        <v/>
      </c>
      <c r="AF444" s="68" t="str">
        <f>IF(main!AR447="","",ROUND(main!AR447*100,6))</f>
        <v/>
      </c>
      <c r="AG444" s="68" t="str">
        <f>IF(main!AS447="","",ROUND(main!AS447*100,6))</f>
        <v/>
      </c>
      <c r="AH444" s="68" t="str">
        <f>IF(main!AT447="","",ROUND(main!AT447*100,6))</f>
        <v/>
      </c>
      <c r="AI444" s="68" t="str">
        <f>IF(main!AU447="","",ROUND(main!AU447*100,6))</f>
        <v/>
      </c>
      <c r="AJ444" s="68" t="str">
        <f>IF(main!AV447="","",ROUND(main!AV447*100,6))</f>
        <v/>
      </c>
      <c r="AK444" s="68" t="str">
        <f>IF(main!AW447="","",ROUND(main!AW447*100,6))</f>
        <v/>
      </c>
      <c r="AL444" s="68" t="str">
        <f>IF(main!AX447="","",ROUND(main!AX447*100,6))</f>
        <v/>
      </c>
      <c r="AM444" s="68" t="str">
        <f>IF(main!AY447="","",ROUND(main!AY447*100,6))</f>
        <v/>
      </c>
      <c r="AN444" s="68" t="str">
        <f>IF(main!AZ447="","",ROUND(main!AZ447*100,6))</f>
        <v/>
      </c>
      <c r="AO444" s="68" t="str">
        <f>IF(main!BA447="","",ROUND(main!BA447*100,6))</f>
        <v/>
      </c>
      <c r="AP444" s="68" t="str">
        <f>IF(main!BB447="","",ROUND(main!BB447*100,6))</f>
        <v/>
      </c>
      <c r="AQ444" s="68" t="str">
        <f>IF(main!BC447="","",ROUND(main!BC447*100,6))</f>
        <v/>
      </c>
      <c r="AR444" s="68" t="str">
        <f>IF(main!BD447="","",ROUND(main!BD447*100,6))</f>
        <v/>
      </c>
      <c r="AS444" s="68" t="str">
        <f>IF(main!BE447="","",ROUND(main!BE447*100,6))</f>
        <v/>
      </c>
      <c r="AT444" s="68" t="str">
        <f>IF(main!BF447="","",ROUND(main!BF447*100,6))</f>
        <v/>
      </c>
      <c r="AU444" s="68" t="str">
        <f>IF(main!BG447="","",ROUND(main!BG447*100,6))</f>
        <v/>
      </c>
      <c r="AV444" s="68" t="str">
        <f>IF(main!BH447="","",ROUND(main!BH447*100,6))</f>
        <v/>
      </c>
      <c r="AW444" s="68" t="str">
        <f>IF(main!BI447="","",ROUND(main!BI447*100,6))</f>
        <v/>
      </c>
      <c r="AX444" s="68" t="str">
        <f>IF(main!BJ447="","",ROUND(main!BJ447*100,6))</f>
        <v/>
      </c>
      <c r="AY444" s="68" t="str">
        <f>IF(main!BK447="","",ROUND(main!BK447*100,6))</f>
        <v/>
      </c>
      <c r="AZ444" s="68" t="str">
        <f>IF(main!BL447="","",ROUND(main!BL447*100,6))</f>
        <v/>
      </c>
      <c r="BA444" s="68" t="str">
        <f>IF(main!BM447="","",ROUND(main!BM447*100,6))</f>
        <v/>
      </c>
      <c r="BB444" s="68" t="str">
        <f>IF(main!BN447="","",ROUND(main!BN447*100,6))</f>
        <v/>
      </c>
      <c r="BC444" s="68" t="str">
        <f>IF(main!BO447="","",ROUND(main!BO447*100,6))</f>
        <v/>
      </c>
      <c r="BD444" s="68" t="str">
        <f>IF(main!BP447="","",ROUND(main!BP447*100,6))</f>
        <v/>
      </c>
      <c r="BE444" s="68" t="str">
        <f>IF(main!BQ447="","",ROUND(main!BQ447*100,6))</f>
        <v/>
      </c>
      <c r="BF444" s="68" t="str">
        <f>IF(main!BR447="","",ROUND(main!BR447*100,6))</f>
        <v/>
      </c>
      <c r="BG444" s="68" t="str">
        <f>IF(main!BS447="","",ROUND(main!BS447*100,6))</f>
        <v/>
      </c>
      <c r="BH444" s="68" t="str">
        <f>IF(main!BT447="","",ROUND(main!BT447*100,6))</f>
        <v/>
      </c>
      <c r="BI444" s="68" t="str">
        <f>IF(main!BU447="","",ROUND(main!BU447*100,6))</f>
        <v/>
      </c>
      <c r="BJ444" s="68" t="str">
        <f>IF(main!BV447="","",ROUND(main!BV447*100,6))</f>
        <v/>
      </c>
      <c r="BK444" s="68" t="str">
        <f>IF(main!BW447="","",ROUND(main!BW447*100,6))</f>
        <v/>
      </c>
      <c r="BL444" s="68" t="str">
        <f>IF(main!BX447="","",ROUND(main!BX447*100,6))</f>
        <v/>
      </c>
      <c r="BM444" s="68" t="str">
        <f>IF(main!BY447="","",ROUND(main!BY447*100,6))</f>
        <v/>
      </c>
      <c r="BN444" s="68" t="str">
        <f>IF(main!BZ447="","",ROUND(main!BZ447*100,6))</f>
        <v/>
      </c>
      <c r="BO444" s="68" t="str">
        <f>IF(main!CA447="","",ROUND(main!CA447*100,6))</f>
        <v/>
      </c>
      <c r="BP444" s="68" t="str">
        <f>IF(main!CB447="","",ROUND(main!CB447*100,6))</f>
        <v/>
      </c>
      <c r="BQ444" s="68">
        <f>IF(main!CC447="","",ROUND(main!CC447*100,6))</f>
        <v>12.5</v>
      </c>
      <c r="BR444" s="68">
        <f>IF(main!CD447="","",ROUND(main!CD447*100,6))</f>
        <v>17.5</v>
      </c>
      <c r="BS444" s="68">
        <f>IF(main!CE447="","",ROUND(main!CE447*100,6))</f>
        <v>17.5</v>
      </c>
      <c r="BT444" s="68">
        <f>IF(main!CF447="","",ROUND(main!CF447*100,6))</f>
        <v>17.5</v>
      </c>
      <c r="BU444" s="68">
        <f>IF(main!CG447="","",ROUND(main!CG447*100,6))</f>
        <v>17.5</v>
      </c>
      <c r="BV444" s="68">
        <f>IF(main!CH447="","",ROUND(main!CH447*100,6))</f>
        <v>17.5</v>
      </c>
      <c r="BW444" s="68" t="str">
        <f>IF(main!CI447="","",ROUND(main!CI447*100,6))</f>
        <v/>
      </c>
      <c r="BX444" s="68" t="str">
        <f>IF(main!CJ447="","",ROUND(main!CJ447*100,6))</f>
        <v/>
      </c>
      <c r="BY444" s="68" t="str">
        <f>IF(main!CK447="","",ROUND(main!CK447*100,6))</f>
        <v/>
      </c>
      <c r="BZ444" s="68" t="str">
        <f>IF(main!CL447="","",ROUND(main!CL447*100,6))</f>
        <v/>
      </c>
      <c r="CA444" s="68" t="str">
        <f>IF(main!CM447="","",ROUND(main!CM447*100,6))</f>
        <v/>
      </c>
      <c r="CB444" s="68" t="str">
        <f>IF(main!CN447="","",ROUND(main!CN447*100,6))</f>
        <v/>
      </c>
      <c r="CC444" s="68" t="str">
        <f>IF(main!CO447="","",ROUND(main!CO447*100,6))</f>
        <v/>
      </c>
    </row>
    <row r="445" spans="1:81" x14ac:dyDescent="0.25">
      <c r="A445" s="65" t="s">
        <v>601</v>
      </c>
      <c r="B445" s="66" t="str">
        <f>main!C447</f>
        <v>งานติดตั้ง Lightning Protection System</v>
      </c>
      <c r="C445" s="67">
        <f>main!O447</f>
        <v>100000</v>
      </c>
      <c r="D445" s="65" t="s">
        <v>111</v>
      </c>
      <c r="E445" s="68" t="str">
        <f t="shared" si="6"/>
        <v/>
      </c>
      <c r="F445" s="68" t="str">
        <f>IF(main!R448="","",ROUND(main!R448*100,6))</f>
        <v/>
      </c>
      <c r="G445" s="68" t="str">
        <f>IF(main!S448="","",ROUND(main!S448*100,6))</f>
        <v/>
      </c>
      <c r="H445" s="68" t="str">
        <f>IF(main!T448="","",ROUND(main!T448*100,6))</f>
        <v/>
      </c>
      <c r="I445" s="68" t="str">
        <f>IF(main!U448="","",ROUND(main!U448*100,6))</f>
        <v/>
      </c>
      <c r="J445" s="68" t="str">
        <f>IF(main!V448="","",ROUND(main!V448*100,6))</f>
        <v/>
      </c>
      <c r="K445" s="68" t="str">
        <f>IF(main!W448="","",ROUND(main!W448*100,6))</f>
        <v/>
      </c>
      <c r="L445" s="68" t="str">
        <f>IF(main!X448="","",ROUND(main!X448*100,6))</f>
        <v/>
      </c>
      <c r="M445" s="68" t="str">
        <f>IF(main!Y448="","",ROUND(main!Y448*100,6))</f>
        <v/>
      </c>
      <c r="N445" s="68" t="str">
        <f>IF(main!Z448="","",ROUND(main!Z448*100,6))</f>
        <v/>
      </c>
      <c r="O445" s="68" t="str">
        <f>IF(main!AA448="","",ROUND(main!AA448*100,6))</f>
        <v/>
      </c>
      <c r="P445" s="68" t="str">
        <f>IF(main!AB448="","",ROUND(main!AB448*100,6))</f>
        <v/>
      </c>
      <c r="Q445" s="68" t="str">
        <f>IF(main!AC448="","",ROUND(main!AC448*100,6))</f>
        <v/>
      </c>
      <c r="R445" s="68" t="str">
        <f>IF(main!AD448="","",ROUND(main!AD448*100,6))</f>
        <v/>
      </c>
      <c r="S445" s="68" t="str">
        <f>IF(main!AE448="","",ROUND(main!AE448*100,6))</f>
        <v/>
      </c>
      <c r="T445" s="68" t="str">
        <f>IF(main!AF448="","",ROUND(main!AF448*100,6))</f>
        <v/>
      </c>
      <c r="U445" s="68" t="str">
        <f>IF(main!AG448="","",ROUND(main!AG448*100,6))</f>
        <v/>
      </c>
      <c r="V445" s="68" t="str">
        <f>IF(main!AH448="","",ROUND(main!AH448*100,6))</f>
        <v/>
      </c>
      <c r="W445" s="68" t="str">
        <f>IF(main!AI448="","",ROUND(main!AI448*100,6))</f>
        <v/>
      </c>
      <c r="X445" s="68" t="str">
        <f>IF(main!AJ448="","",ROUND(main!AJ448*100,6))</f>
        <v/>
      </c>
      <c r="Y445" s="68" t="str">
        <f>IF(main!AK448="","",ROUND(main!AK448*100,6))</f>
        <v/>
      </c>
      <c r="Z445" s="68" t="str">
        <f>IF(main!AL448="","",ROUND(main!AL448*100,6))</f>
        <v/>
      </c>
      <c r="AA445" s="68" t="str">
        <f>IF(main!AM448="","",ROUND(main!AM448*100,6))</f>
        <v/>
      </c>
      <c r="AB445" s="68" t="str">
        <f>IF(main!AN448="","",ROUND(main!AN448*100,6))</f>
        <v/>
      </c>
      <c r="AC445" s="68" t="str">
        <f>IF(main!AO448="","",ROUND(main!AO448*100,6))</f>
        <v/>
      </c>
      <c r="AD445" s="68" t="str">
        <f>IF(main!AP448="","",ROUND(main!AP448*100,6))</f>
        <v/>
      </c>
      <c r="AE445" s="68" t="str">
        <f>IF(main!AQ448="","",ROUND(main!AQ448*100,6))</f>
        <v/>
      </c>
      <c r="AF445" s="68" t="str">
        <f>IF(main!AR448="","",ROUND(main!AR448*100,6))</f>
        <v/>
      </c>
      <c r="AG445" s="68" t="str">
        <f>IF(main!AS448="","",ROUND(main!AS448*100,6))</f>
        <v/>
      </c>
      <c r="AH445" s="68" t="str">
        <f>IF(main!AT448="","",ROUND(main!AT448*100,6))</f>
        <v/>
      </c>
      <c r="AI445" s="68" t="str">
        <f>IF(main!AU448="","",ROUND(main!AU448*100,6))</f>
        <v/>
      </c>
      <c r="AJ445" s="68" t="str">
        <f>IF(main!AV448="","",ROUND(main!AV448*100,6))</f>
        <v/>
      </c>
      <c r="AK445" s="68" t="str">
        <f>IF(main!AW448="","",ROUND(main!AW448*100,6))</f>
        <v/>
      </c>
      <c r="AL445" s="68" t="str">
        <f>IF(main!AX448="","",ROUND(main!AX448*100,6))</f>
        <v/>
      </c>
      <c r="AM445" s="68" t="str">
        <f>IF(main!AY448="","",ROUND(main!AY448*100,6))</f>
        <v/>
      </c>
      <c r="AN445" s="68" t="str">
        <f>IF(main!AZ448="","",ROUND(main!AZ448*100,6))</f>
        <v/>
      </c>
      <c r="AO445" s="68" t="str">
        <f>IF(main!BA448="","",ROUND(main!BA448*100,6))</f>
        <v/>
      </c>
      <c r="AP445" s="68" t="str">
        <f>IF(main!BB448="","",ROUND(main!BB448*100,6))</f>
        <v/>
      </c>
      <c r="AQ445" s="68" t="str">
        <f>IF(main!BC448="","",ROUND(main!BC448*100,6))</f>
        <v/>
      </c>
      <c r="AR445" s="68" t="str">
        <f>IF(main!BD448="","",ROUND(main!BD448*100,6))</f>
        <v/>
      </c>
      <c r="AS445" s="68" t="str">
        <f>IF(main!BE448="","",ROUND(main!BE448*100,6))</f>
        <v/>
      </c>
      <c r="AT445" s="68" t="str">
        <f>IF(main!BF448="","",ROUND(main!BF448*100,6))</f>
        <v/>
      </c>
      <c r="AU445" s="68" t="str">
        <f>IF(main!BG448="","",ROUND(main!BG448*100,6))</f>
        <v/>
      </c>
      <c r="AV445" s="68" t="str">
        <f>IF(main!BH448="","",ROUND(main!BH448*100,6))</f>
        <v/>
      </c>
      <c r="AW445" s="68" t="str">
        <f>IF(main!BI448="","",ROUND(main!BI448*100,6))</f>
        <v/>
      </c>
      <c r="AX445" s="68" t="str">
        <f>IF(main!BJ448="","",ROUND(main!BJ448*100,6))</f>
        <v/>
      </c>
      <c r="AY445" s="68" t="str">
        <f>IF(main!BK448="","",ROUND(main!BK448*100,6))</f>
        <v/>
      </c>
      <c r="AZ445" s="68" t="str">
        <f>IF(main!BL448="","",ROUND(main!BL448*100,6))</f>
        <v/>
      </c>
      <c r="BA445" s="68" t="str">
        <f>IF(main!BM448="","",ROUND(main!BM448*100,6))</f>
        <v/>
      </c>
      <c r="BB445" s="68" t="str">
        <f>IF(main!BN448="","",ROUND(main!BN448*100,6))</f>
        <v/>
      </c>
      <c r="BC445" s="68" t="str">
        <f>IF(main!BO448="","",ROUND(main!BO448*100,6))</f>
        <v/>
      </c>
      <c r="BD445" s="68" t="str">
        <f>IF(main!BP448="","",ROUND(main!BP448*100,6))</f>
        <v/>
      </c>
      <c r="BE445" s="68" t="str">
        <f>IF(main!BQ448="","",ROUND(main!BQ448*100,6))</f>
        <v/>
      </c>
      <c r="BF445" s="68" t="str">
        <f>IF(main!BR448="","",ROUND(main!BR448*100,6))</f>
        <v/>
      </c>
      <c r="BG445" s="68" t="str">
        <f>IF(main!BS448="","",ROUND(main!BS448*100,6))</f>
        <v/>
      </c>
      <c r="BH445" s="68" t="str">
        <f>IF(main!BT448="","",ROUND(main!BT448*100,6))</f>
        <v/>
      </c>
      <c r="BI445" s="68" t="str">
        <f>IF(main!BU448="","",ROUND(main!BU448*100,6))</f>
        <v/>
      </c>
      <c r="BJ445" s="68" t="str">
        <f>IF(main!BV448="","",ROUND(main!BV448*100,6))</f>
        <v/>
      </c>
      <c r="BK445" s="68" t="str">
        <f>IF(main!BW448="","",ROUND(main!BW448*100,6))</f>
        <v/>
      </c>
      <c r="BL445" s="68" t="str">
        <f>IF(main!BX448="","",ROUND(main!BX448*100,6))</f>
        <v/>
      </c>
      <c r="BM445" s="68" t="str">
        <f>IF(main!BY448="","",ROUND(main!BY448*100,6))</f>
        <v/>
      </c>
      <c r="BN445" s="68" t="str">
        <f>IF(main!BZ448="","",ROUND(main!BZ448*100,6))</f>
        <v/>
      </c>
      <c r="BO445" s="68" t="str">
        <f>IF(main!CA448="","",ROUND(main!CA448*100,6))</f>
        <v/>
      </c>
      <c r="BP445" s="68" t="str">
        <f>IF(main!CB448="","",ROUND(main!CB448*100,6))</f>
        <v/>
      </c>
      <c r="BQ445" s="68" t="str">
        <f>IF(main!CC448="","",ROUND(main!CC448*100,6))</f>
        <v/>
      </c>
      <c r="BR445" s="68" t="str">
        <f>IF(main!CD448="","",ROUND(main!CD448*100,6))</f>
        <v/>
      </c>
      <c r="BS445" s="68" t="str">
        <f>IF(main!CE448="","",ROUND(main!CE448*100,6))</f>
        <v/>
      </c>
      <c r="BT445" s="68" t="str">
        <f>IF(main!CF448="","",ROUND(main!CF448*100,6))</f>
        <v/>
      </c>
      <c r="BU445" s="68" t="str">
        <f>IF(main!CG448="","",ROUND(main!CG448*100,6))</f>
        <v/>
      </c>
      <c r="BV445" s="68" t="str">
        <f>IF(main!CH448="","",ROUND(main!CH448*100,6))</f>
        <v/>
      </c>
      <c r="BW445" s="68" t="str">
        <f>IF(main!CI448="","",ROUND(main!CI448*100,6))</f>
        <v/>
      </c>
      <c r="BX445" s="68" t="str">
        <f>IF(main!CJ448="","",ROUND(main!CJ448*100,6))</f>
        <v/>
      </c>
      <c r="BY445" s="68" t="str">
        <f>IF(main!CK448="","",ROUND(main!CK448*100,6))</f>
        <v/>
      </c>
      <c r="BZ445" s="68" t="str">
        <f>IF(main!CL448="","",ROUND(main!CL448*100,6))</f>
        <v/>
      </c>
      <c r="CA445" s="68" t="str">
        <f>IF(main!CM448="","",ROUND(main!CM448*100,6))</f>
        <v/>
      </c>
      <c r="CB445" s="68" t="str">
        <f>IF(main!CN448="","",ROUND(main!CN448*100,6))</f>
        <v/>
      </c>
      <c r="CC445" s="68" t="str">
        <f>IF(main!CO448="","",ROUND(main!CO448*100,6))</f>
        <v/>
      </c>
    </row>
    <row r="446" spans="1:81" x14ac:dyDescent="0.25">
      <c r="A446" s="65" t="s">
        <v>604</v>
      </c>
      <c r="B446" s="66" t="str">
        <f>main!C449</f>
        <v>External MEP</v>
      </c>
      <c r="C446" s="67">
        <f>main!O449</f>
        <v>600000</v>
      </c>
      <c r="D446" s="65" t="s">
        <v>110</v>
      </c>
      <c r="E446" s="68">
        <f t="shared" si="6"/>
        <v>99.999999000000003</v>
      </c>
      <c r="F446" s="68" t="str">
        <f>IF(main!R449="","",ROUND(main!R449*100,6))</f>
        <v/>
      </c>
      <c r="G446" s="68" t="str">
        <f>IF(main!S449="","",ROUND(main!S449*100,6))</f>
        <v/>
      </c>
      <c r="H446" s="68" t="str">
        <f>IF(main!T449="","",ROUND(main!T449*100,6))</f>
        <v/>
      </c>
      <c r="I446" s="68" t="str">
        <f>IF(main!U449="","",ROUND(main!U449*100,6))</f>
        <v/>
      </c>
      <c r="J446" s="68" t="str">
        <f>IF(main!V449="","",ROUND(main!V449*100,6))</f>
        <v/>
      </c>
      <c r="K446" s="68" t="str">
        <f>IF(main!W449="","",ROUND(main!W449*100,6))</f>
        <v/>
      </c>
      <c r="L446" s="68" t="str">
        <f>IF(main!X449="","",ROUND(main!X449*100,6))</f>
        <v/>
      </c>
      <c r="M446" s="68" t="str">
        <f>IF(main!Y449="","",ROUND(main!Y449*100,6))</f>
        <v/>
      </c>
      <c r="N446" s="68" t="str">
        <f>IF(main!Z449="","",ROUND(main!Z449*100,6))</f>
        <v/>
      </c>
      <c r="O446" s="68" t="str">
        <f>IF(main!AA449="","",ROUND(main!AA449*100,6))</f>
        <v/>
      </c>
      <c r="P446" s="68" t="str">
        <f>IF(main!AB449="","",ROUND(main!AB449*100,6))</f>
        <v/>
      </c>
      <c r="Q446" s="68" t="str">
        <f>IF(main!AC449="","",ROUND(main!AC449*100,6))</f>
        <v/>
      </c>
      <c r="R446" s="68" t="str">
        <f>IF(main!AD449="","",ROUND(main!AD449*100,6))</f>
        <v/>
      </c>
      <c r="S446" s="68" t="str">
        <f>IF(main!AE449="","",ROUND(main!AE449*100,6))</f>
        <v/>
      </c>
      <c r="T446" s="68" t="str">
        <f>IF(main!AF449="","",ROUND(main!AF449*100,6))</f>
        <v/>
      </c>
      <c r="U446" s="68" t="str">
        <f>IF(main!AG449="","",ROUND(main!AG449*100,6))</f>
        <v/>
      </c>
      <c r="V446" s="68" t="str">
        <f>IF(main!AH449="","",ROUND(main!AH449*100,6))</f>
        <v/>
      </c>
      <c r="W446" s="68" t="str">
        <f>IF(main!AI449="","",ROUND(main!AI449*100,6))</f>
        <v/>
      </c>
      <c r="X446" s="68" t="str">
        <f>IF(main!AJ449="","",ROUND(main!AJ449*100,6))</f>
        <v/>
      </c>
      <c r="Y446" s="68" t="str">
        <f>IF(main!AK449="","",ROUND(main!AK449*100,6))</f>
        <v/>
      </c>
      <c r="Z446" s="68" t="str">
        <f>IF(main!AL449="","",ROUND(main!AL449*100,6))</f>
        <v/>
      </c>
      <c r="AA446" s="68" t="str">
        <f>IF(main!AM449="","",ROUND(main!AM449*100,6))</f>
        <v/>
      </c>
      <c r="AB446" s="68" t="str">
        <f>IF(main!AN449="","",ROUND(main!AN449*100,6))</f>
        <v/>
      </c>
      <c r="AC446" s="68" t="str">
        <f>IF(main!AO449="","",ROUND(main!AO449*100,6))</f>
        <v/>
      </c>
      <c r="AD446" s="68" t="str">
        <f>IF(main!AP449="","",ROUND(main!AP449*100,6))</f>
        <v/>
      </c>
      <c r="AE446" s="68" t="str">
        <f>IF(main!AQ449="","",ROUND(main!AQ449*100,6))</f>
        <v/>
      </c>
      <c r="AF446" s="68" t="str">
        <f>IF(main!AR449="","",ROUND(main!AR449*100,6))</f>
        <v/>
      </c>
      <c r="AG446" s="68" t="str">
        <f>IF(main!AS449="","",ROUND(main!AS449*100,6))</f>
        <v/>
      </c>
      <c r="AH446" s="68" t="str">
        <f>IF(main!AT449="","",ROUND(main!AT449*100,6))</f>
        <v/>
      </c>
      <c r="AI446" s="68" t="str">
        <f>IF(main!AU449="","",ROUND(main!AU449*100,6))</f>
        <v/>
      </c>
      <c r="AJ446" s="68" t="str">
        <f>IF(main!AV449="","",ROUND(main!AV449*100,6))</f>
        <v/>
      </c>
      <c r="AK446" s="68" t="str">
        <f>IF(main!AW449="","",ROUND(main!AW449*100,6))</f>
        <v/>
      </c>
      <c r="AL446" s="68" t="str">
        <f>IF(main!AX449="","",ROUND(main!AX449*100,6))</f>
        <v/>
      </c>
      <c r="AM446" s="68" t="str">
        <f>IF(main!AY449="","",ROUND(main!AY449*100,6))</f>
        <v/>
      </c>
      <c r="AN446" s="68" t="str">
        <f>IF(main!AZ449="","",ROUND(main!AZ449*100,6))</f>
        <v/>
      </c>
      <c r="AO446" s="68" t="str">
        <f>IF(main!BA449="","",ROUND(main!BA449*100,6))</f>
        <v/>
      </c>
      <c r="AP446" s="68" t="str">
        <f>IF(main!BB449="","",ROUND(main!BB449*100,6))</f>
        <v/>
      </c>
      <c r="AQ446" s="68" t="str">
        <f>IF(main!BC449="","",ROUND(main!BC449*100,6))</f>
        <v/>
      </c>
      <c r="AR446" s="68" t="str">
        <f>IF(main!BD449="","",ROUND(main!BD449*100,6))</f>
        <v/>
      </c>
      <c r="AS446" s="68" t="str">
        <f>IF(main!BE449="","",ROUND(main!BE449*100,6))</f>
        <v/>
      </c>
      <c r="AT446" s="68" t="str">
        <f>IF(main!BF449="","",ROUND(main!BF449*100,6))</f>
        <v/>
      </c>
      <c r="AU446" s="68">
        <f>IF(main!BG449="","",ROUND(main!BG449*100,6))</f>
        <v>0.59523800000000004</v>
      </c>
      <c r="AV446" s="68">
        <f>IF(main!BH449="","",ROUND(main!BH449*100,6))</f>
        <v>4.1666670000000003</v>
      </c>
      <c r="AW446" s="68">
        <f>IF(main!BI449="","",ROUND(main!BI449*100,6))</f>
        <v>4.1666670000000003</v>
      </c>
      <c r="AX446" s="68">
        <f>IF(main!BJ449="","",ROUND(main!BJ449*100,6))</f>
        <v>4.6428570000000002</v>
      </c>
      <c r="AY446" s="68">
        <f>IF(main!BK449="","",ROUND(main!BK449*100,6))</f>
        <v>6.9047619999999998</v>
      </c>
      <c r="AZ446" s="68">
        <f>IF(main!BL449="","",ROUND(main!BL449*100,6))</f>
        <v>5.7683980000000004</v>
      </c>
      <c r="BA446" s="68">
        <f>IF(main!BM449="","",ROUND(main!BM449*100,6))</f>
        <v>9.4516589999999994</v>
      </c>
      <c r="BB446" s="68">
        <f>IF(main!BN449="","",ROUND(main!BN449*100,6))</f>
        <v>12.070707000000001</v>
      </c>
      <c r="BC446" s="68">
        <f>IF(main!BO449="","",ROUND(main!BO449*100,6))</f>
        <v>11.594517</v>
      </c>
      <c r="BD446" s="68">
        <f>IF(main!BP449="","",ROUND(main!BP449*100,6))</f>
        <v>6.9516590000000003</v>
      </c>
      <c r="BE446" s="68">
        <f>IF(main!BQ449="","",ROUND(main!BQ449*100,6))</f>
        <v>4.5707069999999996</v>
      </c>
      <c r="BF446" s="68">
        <f>IF(main!BR449="","",ROUND(main!BR449*100,6))</f>
        <v>4.5707069999999996</v>
      </c>
      <c r="BG446" s="68">
        <f>IF(main!BS449="","",ROUND(main!BS449*100,6))</f>
        <v>4.5707069999999996</v>
      </c>
      <c r="BH446" s="68">
        <f>IF(main!BT449="","",ROUND(main!BT449*100,6))</f>
        <v>4.5707069999999996</v>
      </c>
      <c r="BI446" s="68">
        <f>IF(main!BU449="","",ROUND(main!BU449*100,6))</f>
        <v>4.5707069999999996</v>
      </c>
      <c r="BJ446" s="68">
        <f>IF(main!BV449="","",ROUND(main!BV449*100,6))</f>
        <v>4.5707069999999996</v>
      </c>
      <c r="BK446" s="68">
        <f>IF(main!BW449="","",ROUND(main!BW449*100,6))</f>
        <v>3.6832609999999999</v>
      </c>
      <c r="BL446" s="68">
        <f>IF(main!BX449="","",ROUND(main!BX449*100,6))</f>
        <v>1.388889</v>
      </c>
      <c r="BM446" s="68">
        <f>IF(main!BY449="","",ROUND(main!BY449*100,6))</f>
        <v>1.1904760000000001</v>
      </c>
      <c r="BN446" s="68" t="str">
        <f>IF(main!BZ449="","",ROUND(main!BZ449*100,6))</f>
        <v/>
      </c>
      <c r="BO446" s="68" t="str">
        <f>IF(main!CA449="","",ROUND(main!CA449*100,6))</f>
        <v/>
      </c>
      <c r="BP446" s="68" t="str">
        <f>IF(main!CB449="","",ROUND(main!CB449*100,6))</f>
        <v/>
      </c>
      <c r="BQ446" s="68" t="str">
        <f>IF(main!CC449="","",ROUND(main!CC449*100,6))</f>
        <v/>
      </c>
      <c r="BR446" s="68" t="str">
        <f>IF(main!CD449="","",ROUND(main!CD449*100,6))</f>
        <v/>
      </c>
      <c r="BS446" s="68" t="str">
        <f>IF(main!CE449="","",ROUND(main!CE449*100,6))</f>
        <v/>
      </c>
      <c r="BT446" s="68" t="str">
        <f>IF(main!CF449="","",ROUND(main!CF449*100,6))</f>
        <v/>
      </c>
      <c r="BU446" s="68" t="str">
        <f>IF(main!CG449="","",ROUND(main!CG449*100,6))</f>
        <v/>
      </c>
      <c r="BV446" s="68" t="str">
        <f>IF(main!CH449="","",ROUND(main!CH449*100,6))</f>
        <v/>
      </c>
      <c r="BW446" s="68" t="str">
        <f>IF(main!CI449="","",ROUND(main!CI449*100,6))</f>
        <v/>
      </c>
      <c r="BX446" s="68" t="str">
        <f>IF(main!CJ449="","",ROUND(main!CJ449*100,6))</f>
        <v/>
      </c>
      <c r="BY446" s="68" t="str">
        <f>IF(main!CK449="","",ROUND(main!CK449*100,6))</f>
        <v/>
      </c>
      <c r="BZ446" s="68" t="str">
        <f>IF(main!CL449="","",ROUND(main!CL449*100,6))</f>
        <v/>
      </c>
      <c r="CA446" s="68" t="str">
        <f>IF(main!CM449="","",ROUND(main!CM449*100,6))</f>
        <v/>
      </c>
      <c r="CB446" s="68" t="str">
        <f>IF(main!CN449="","",ROUND(main!CN449*100,6))</f>
        <v/>
      </c>
      <c r="CC446" s="68" t="str">
        <f>IF(main!CO449="","",ROUND(main!CO449*100,6))</f>
        <v/>
      </c>
    </row>
    <row r="447" spans="1:81" x14ac:dyDescent="0.25">
      <c r="A447" s="65" t="s">
        <v>604</v>
      </c>
      <c r="B447" s="66" t="str">
        <f>main!C449</f>
        <v>External MEP</v>
      </c>
      <c r="C447" s="67">
        <f>main!O449</f>
        <v>600000</v>
      </c>
      <c r="D447" s="65" t="s">
        <v>111</v>
      </c>
      <c r="E447" s="68" t="str">
        <f t="shared" si="6"/>
        <v/>
      </c>
      <c r="F447" s="68" t="str">
        <f>IF(main!R450="","",ROUND(main!R450*100,6))</f>
        <v/>
      </c>
      <c r="G447" s="68" t="str">
        <f>IF(main!S450="","",ROUND(main!S450*100,6))</f>
        <v/>
      </c>
      <c r="H447" s="68" t="str">
        <f>IF(main!T450="","",ROUND(main!T450*100,6))</f>
        <v/>
      </c>
      <c r="I447" s="68" t="str">
        <f>IF(main!U450="","",ROUND(main!U450*100,6))</f>
        <v/>
      </c>
      <c r="J447" s="68" t="str">
        <f>IF(main!V450="","",ROUND(main!V450*100,6))</f>
        <v/>
      </c>
      <c r="K447" s="68" t="str">
        <f>IF(main!W450="","",ROUND(main!W450*100,6))</f>
        <v/>
      </c>
      <c r="L447" s="68" t="str">
        <f>IF(main!X450="","",ROUND(main!X450*100,6))</f>
        <v/>
      </c>
      <c r="M447" s="68" t="str">
        <f>IF(main!Y450="","",ROUND(main!Y450*100,6))</f>
        <v/>
      </c>
      <c r="N447" s="68" t="str">
        <f>IF(main!Z450="","",ROUND(main!Z450*100,6))</f>
        <v/>
      </c>
      <c r="O447" s="68" t="str">
        <f>IF(main!AA450="","",ROUND(main!AA450*100,6))</f>
        <v/>
      </c>
      <c r="P447" s="68" t="str">
        <f>IF(main!AB450="","",ROUND(main!AB450*100,6))</f>
        <v/>
      </c>
      <c r="Q447" s="68" t="str">
        <f>IF(main!AC450="","",ROUND(main!AC450*100,6))</f>
        <v/>
      </c>
      <c r="R447" s="68" t="str">
        <f>IF(main!AD450="","",ROUND(main!AD450*100,6))</f>
        <v/>
      </c>
      <c r="S447" s="68" t="str">
        <f>IF(main!AE450="","",ROUND(main!AE450*100,6))</f>
        <v/>
      </c>
      <c r="T447" s="68" t="str">
        <f>IF(main!AF450="","",ROUND(main!AF450*100,6))</f>
        <v/>
      </c>
      <c r="U447" s="68" t="str">
        <f>IF(main!AG450="","",ROUND(main!AG450*100,6))</f>
        <v/>
      </c>
      <c r="V447" s="68" t="str">
        <f>IF(main!AH450="","",ROUND(main!AH450*100,6))</f>
        <v/>
      </c>
      <c r="W447" s="68" t="str">
        <f>IF(main!AI450="","",ROUND(main!AI450*100,6))</f>
        <v/>
      </c>
      <c r="X447" s="68" t="str">
        <f>IF(main!AJ450="","",ROUND(main!AJ450*100,6))</f>
        <v/>
      </c>
      <c r="Y447" s="68" t="str">
        <f>IF(main!AK450="","",ROUND(main!AK450*100,6))</f>
        <v/>
      </c>
      <c r="Z447" s="68" t="str">
        <f>IF(main!AL450="","",ROUND(main!AL450*100,6))</f>
        <v/>
      </c>
      <c r="AA447" s="68" t="str">
        <f>IF(main!AM450="","",ROUND(main!AM450*100,6))</f>
        <v/>
      </c>
      <c r="AB447" s="68" t="str">
        <f>IF(main!AN450="","",ROUND(main!AN450*100,6))</f>
        <v/>
      </c>
      <c r="AC447" s="68" t="str">
        <f>IF(main!AO450="","",ROUND(main!AO450*100,6))</f>
        <v/>
      </c>
      <c r="AD447" s="68" t="str">
        <f>IF(main!AP450="","",ROUND(main!AP450*100,6))</f>
        <v/>
      </c>
      <c r="AE447" s="68" t="str">
        <f>IF(main!AQ450="","",ROUND(main!AQ450*100,6))</f>
        <v/>
      </c>
      <c r="AF447" s="68" t="str">
        <f>IF(main!AR450="","",ROUND(main!AR450*100,6))</f>
        <v/>
      </c>
      <c r="AG447" s="68" t="str">
        <f>IF(main!AS450="","",ROUND(main!AS450*100,6))</f>
        <v/>
      </c>
      <c r="AH447" s="68" t="str">
        <f>IF(main!AT450="","",ROUND(main!AT450*100,6))</f>
        <v/>
      </c>
      <c r="AI447" s="68" t="str">
        <f>IF(main!AU450="","",ROUND(main!AU450*100,6))</f>
        <v/>
      </c>
      <c r="AJ447" s="68" t="str">
        <f>IF(main!AV450="","",ROUND(main!AV450*100,6))</f>
        <v/>
      </c>
      <c r="AK447" s="68" t="str">
        <f>IF(main!AW450="","",ROUND(main!AW450*100,6))</f>
        <v/>
      </c>
      <c r="AL447" s="68" t="str">
        <f>IF(main!AX450="","",ROUND(main!AX450*100,6))</f>
        <v/>
      </c>
      <c r="AM447" s="68" t="str">
        <f>IF(main!AY450="","",ROUND(main!AY450*100,6))</f>
        <v/>
      </c>
      <c r="AN447" s="68" t="str">
        <f>IF(main!AZ450="","",ROUND(main!AZ450*100,6))</f>
        <v/>
      </c>
      <c r="AO447" s="68" t="str">
        <f>IF(main!BA450="","",ROUND(main!BA450*100,6))</f>
        <v/>
      </c>
      <c r="AP447" s="68" t="str">
        <f>IF(main!BB450="","",ROUND(main!BB450*100,6))</f>
        <v/>
      </c>
      <c r="AQ447" s="68" t="str">
        <f>IF(main!BC450="","",ROUND(main!BC450*100,6))</f>
        <v/>
      </c>
      <c r="AR447" s="68" t="str">
        <f>IF(main!BD450="","",ROUND(main!BD450*100,6))</f>
        <v/>
      </c>
      <c r="AS447" s="68" t="str">
        <f>IF(main!BE450="","",ROUND(main!BE450*100,6))</f>
        <v/>
      </c>
      <c r="AT447" s="68" t="str">
        <f>IF(main!BF450="","",ROUND(main!BF450*100,6))</f>
        <v/>
      </c>
      <c r="AU447" s="68" t="str">
        <f>IF(main!BG450="","",ROUND(main!BG450*100,6))</f>
        <v/>
      </c>
      <c r="AV447" s="68" t="str">
        <f>IF(main!BH450="","",ROUND(main!BH450*100,6))</f>
        <v/>
      </c>
      <c r="AW447" s="68" t="str">
        <f>IF(main!BI450="","",ROUND(main!BI450*100,6))</f>
        <v/>
      </c>
      <c r="AX447" s="68" t="str">
        <f>IF(main!BJ450="","",ROUND(main!BJ450*100,6))</f>
        <v/>
      </c>
      <c r="AY447" s="68" t="str">
        <f>IF(main!BK450="","",ROUND(main!BK450*100,6))</f>
        <v/>
      </c>
      <c r="AZ447" s="68" t="str">
        <f>IF(main!BL450="","",ROUND(main!BL450*100,6))</f>
        <v/>
      </c>
      <c r="BA447" s="68" t="str">
        <f>IF(main!BM450="","",ROUND(main!BM450*100,6))</f>
        <v/>
      </c>
      <c r="BB447" s="68" t="str">
        <f>IF(main!BN450="","",ROUND(main!BN450*100,6))</f>
        <v/>
      </c>
      <c r="BC447" s="68" t="str">
        <f>IF(main!BO450="","",ROUND(main!BO450*100,6))</f>
        <v/>
      </c>
      <c r="BD447" s="68" t="str">
        <f>IF(main!BP450="","",ROUND(main!BP450*100,6))</f>
        <v/>
      </c>
      <c r="BE447" s="68" t="str">
        <f>IF(main!BQ450="","",ROUND(main!BQ450*100,6))</f>
        <v/>
      </c>
      <c r="BF447" s="68" t="str">
        <f>IF(main!BR450="","",ROUND(main!BR450*100,6))</f>
        <v/>
      </c>
      <c r="BG447" s="68" t="str">
        <f>IF(main!BS450="","",ROUND(main!BS450*100,6))</f>
        <v/>
      </c>
      <c r="BH447" s="68" t="str">
        <f>IF(main!BT450="","",ROUND(main!BT450*100,6))</f>
        <v/>
      </c>
      <c r="BI447" s="68" t="str">
        <f>IF(main!BU450="","",ROUND(main!BU450*100,6))</f>
        <v/>
      </c>
      <c r="BJ447" s="68" t="str">
        <f>IF(main!BV450="","",ROUND(main!BV450*100,6))</f>
        <v/>
      </c>
      <c r="BK447" s="68" t="str">
        <f>IF(main!BW450="","",ROUND(main!BW450*100,6))</f>
        <v/>
      </c>
      <c r="BL447" s="68" t="str">
        <f>IF(main!BX450="","",ROUND(main!BX450*100,6))</f>
        <v/>
      </c>
      <c r="BM447" s="68" t="str">
        <f>IF(main!BY450="","",ROUND(main!BY450*100,6))</f>
        <v/>
      </c>
      <c r="BN447" s="68" t="str">
        <f>IF(main!BZ450="","",ROUND(main!BZ450*100,6))</f>
        <v/>
      </c>
      <c r="BO447" s="68" t="str">
        <f>IF(main!CA450="","",ROUND(main!CA450*100,6))</f>
        <v/>
      </c>
      <c r="BP447" s="68" t="str">
        <f>IF(main!CB450="","",ROUND(main!CB450*100,6))</f>
        <v/>
      </c>
      <c r="BQ447" s="68" t="str">
        <f>IF(main!CC450="","",ROUND(main!CC450*100,6))</f>
        <v/>
      </c>
      <c r="BR447" s="68" t="str">
        <f>IF(main!CD450="","",ROUND(main!CD450*100,6))</f>
        <v/>
      </c>
      <c r="BS447" s="68" t="str">
        <f>IF(main!CE450="","",ROUND(main!CE450*100,6))</f>
        <v/>
      </c>
      <c r="BT447" s="68" t="str">
        <f>IF(main!CF450="","",ROUND(main!CF450*100,6))</f>
        <v/>
      </c>
      <c r="BU447" s="68" t="str">
        <f>IF(main!CG450="","",ROUND(main!CG450*100,6))</f>
        <v/>
      </c>
      <c r="BV447" s="68" t="str">
        <f>IF(main!CH450="","",ROUND(main!CH450*100,6))</f>
        <v/>
      </c>
      <c r="BW447" s="68" t="str">
        <f>IF(main!CI450="","",ROUND(main!CI450*100,6))</f>
        <v/>
      </c>
      <c r="BX447" s="68" t="str">
        <f>IF(main!CJ450="","",ROUND(main!CJ450*100,6))</f>
        <v/>
      </c>
      <c r="BY447" s="68" t="str">
        <f>IF(main!CK450="","",ROUND(main!CK450*100,6))</f>
        <v/>
      </c>
      <c r="BZ447" s="68" t="str">
        <f>IF(main!CL450="","",ROUND(main!CL450*100,6))</f>
        <v/>
      </c>
      <c r="CA447" s="68" t="str">
        <f>IF(main!CM450="","",ROUND(main!CM450*100,6))</f>
        <v/>
      </c>
      <c r="CB447" s="68" t="str">
        <f>IF(main!CN450="","",ROUND(main!CN450*100,6))</f>
        <v/>
      </c>
      <c r="CC447" s="68" t="str">
        <f>IF(main!CO450="","",ROUND(main!CO450*100,6))</f>
        <v/>
      </c>
    </row>
    <row r="448" spans="1:81" x14ac:dyDescent="0.25">
      <c r="A448" s="65" t="s">
        <v>606</v>
      </c>
      <c r="B448" s="66" t="str">
        <f>main!C451</f>
        <v>ติดตั้งถังบำบัดน้ำเสีย ( WWTP )</v>
      </c>
      <c r="C448" s="67">
        <f>main!O451</f>
        <v>100000</v>
      </c>
      <c r="D448" s="65" t="s">
        <v>110</v>
      </c>
      <c r="E448" s="68">
        <f t="shared" si="6"/>
        <v>100</v>
      </c>
      <c r="F448" s="68" t="str">
        <f>IF(main!R451="","",ROUND(main!R451*100,6))</f>
        <v/>
      </c>
      <c r="G448" s="68" t="str">
        <f>IF(main!S451="","",ROUND(main!S451*100,6))</f>
        <v/>
      </c>
      <c r="H448" s="68" t="str">
        <f>IF(main!T451="","",ROUND(main!T451*100,6))</f>
        <v/>
      </c>
      <c r="I448" s="68" t="str">
        <f>IF(main!U451="","",ROUND(main!U451*100,6))</f>
        <v/>
      </c>
      <c r="J448" s="68" t="str">
        <f>IF(main!V451="","",ROUND(main!V451*100,6))</f>
        <v/>
      </c>
      <c r="K448" s="68" t="str">
        <f>IF(main!W451="","",ROUND(main!W451*100,6))</f>
        <v/>
      </c>
      <c r="L448" s="68" t="str">
        <f>IF(main!X451="","",ROUND(main!X451*100,6))</f>
        <v/>
      </c>
      <c r="M448" s="68" t="str">
        <f>IF(main!Y451="","",ROUND(main!Y451*100,6))</f>
        <v/>
      </c>
      <c r="N448" s="68" t="str">
        <f>IF(main!Z451="","",ROUND(main!Z451*100,6))</f>
        <v/>
      </c>
      <c r="O448" s="68" t="str">
        <f>IF(main!AA451="","",ROUND(main!AA451*100,6))</f>
        <v/>
      </c>
      <c r="P448" s="68" t="str">
        <f>IF(main!AB451="","",ROUND(main!AB451*100,6))</f>
        <v/>
      </c>
      <c r="Q448" s="68" t="str">
        <f>IF(main!AC451="","",ROUND(main!AC451*100,6))</f>
        <v/>
      </c>
      <c r="R448" s="68" t="str">
        <f>IF(main!AD451="","",ROUND(main!AD451*100,6))</f>
        <v/>
      </c>
      <c r="S448" s="68" t="str">
        <f>IF(main!AE451="","",ROUND(main!AE451*100,6))</f>
        <v/>
      </c>
      <c r="T448" s="68" t="str">
        <f>IF(main!AF451="","",ROUND(main!AF451*100,6))</f>
        <v/>
      </c>
      <c r="U448" s="68" t="str">
        <f>IF(main!AG451="","",ROUND(main!AG451*100,6))</f>
        <v/>
      </c>
      <c r="V448" s="68" t="str">
        <f>IF(main!AH451="","",ROUND(main!AH451*100,6))</f>
        <v/>
      </c>
      <c r="W448" s="68" t="str">
        <f>IF(main!AI451="","",ROUND(main!AI451*100,6))</f>
        <v/>
      </c>
      <c r="X448" s="68" t="str">
        <f>IF(main!AJ451="","",ROUND(main!AJ451*100,6))</f>
        <v/>
      </c>
      <c r="Y448" s="68" t="str">
        <f>IF(main!AK451="","",ROUND(main!AK451*100,6))</f>
        <v/>
      </c>
      <c r="Z448" s="68" t="str">
        <f>IF(main!AL451="","",ROUND(main!AL451*100,6))</f>
        <v/>
      </c>
      <c r="AA448" s="68" t="str">
        <f>IF(main!AM451="","",ROUND(main!AM451*100,6))</f>
        <v/>
      </c>
      <c r="AB448" s="68" t="str">
        <f>IF(main!AN451="","",ROUND(main!AN451*100,6))</f>
        <v/>
      </c>
      <c r="AC448" s="68" t="str">
        <f>IF(main!AO451="","",ROUND(main!AO451*100,6))</f>
        <v/>
      </c>
      <c r="AD448" s="68" t="str">
        <f>IF(main!AP451="","",ROUND(main!AP451*100,6))</f>
        <v/>
      </c>
      <c r="AE448" s="68" t="str">
        <f>IF(main!AQ451="","",ROUND(main!AQ451*100,6))</f>
        <v/>
      </c>
      <c r="AF448" s="68" t="str">
        <f>IF(main!AR451="","",ROUND(main!AR451*100,6))</f>
        <v/>
      </c>
      <c r="AG448" s="68" t="str">
        <f>IF(main!AS451="","",ROUND(main!AS451*100,6))</f>
        <v/>
      </c>
      <c r="AH448" s="68" t="str">
        <f>IF(main!AT451="","",ROUND(main!AT451*100,6))</f>
        <v/>
      </c>
      <c r="AI448" s="68" t="str">
        <f>IF(main!AU451="","",ROUND(main!AU451*100,6))</f>
        <v/>
      </c>
      <c r="AJ448" s="68" t="str">
        <f>IF(main!AV451="","",ROUND(main!AV451*100,6))</f>
        <v/>
      </c>
      <c r="AK448" s="68" t="str">
        <f>IF(main!AW451="","",ROUND(main!AW451*100,6))</f>
        <v/>
      </c>
      <c r="AL448" s="68" t="str">
        <f>IF(main!AX451="","",ROUND(main!AX451*100,6))</f>
        <v/>
      </c>
      <c r="AM448" s="68" t="str">
        <f>IF(main!AY451="","",ROUND(main!AY451*100,6))</f>
        <v/>
      </c>
      <c r="AN448" s="68" t="str">
        <f>IF(main!AZ451="","",ROUND(main!AZ451*100,6))</f>
        <v/>
      </c>
      <c r="AO448" s="68" t="str">
        <f>IF(main!BA451="","",ROUND(main!BA451*100,6))</f>
        <v/>
      </c>
      <c r="AP448" s="68" t="str">
        <f>IF(main!BB451="","",ROUND(main!BB451*100,6))</f>
        <v/>
      </c>
      <c r="AQ448" s="68" t="str">
        <f>IF(main!BC451="","",ROUND(main!BC451*100,6))</f>
        <v/>
      </c>
      <c r="AR448" s="68" t="str">
        <f>IF(main!BD451="","",ROUND(main!BD451*100,6))</f>
        <v/>
      </c>
      <c r="AS448" s="68" t="str">
        <f>IF(main!BE451="","",ROUND(main!BE451*100,6))</f>
        <v/>
      </c>
      <c r="AT448" s="68" t="str">
        <f>IF(main!BF451="","",ROUND(main!BF451*100,6))</f>
        <v/>
      </c>
      <c r="AU448" s="68" t="str">
        <f>IF(main!BG451="","",ROUND(main!BG451*100,6))</f>
        <v/>
      </c>
      <c r="AV448" s="68" t="str">
        <f>IF(main!BH451="","",ROUND(main!BH451*100,6))</f>
        <v/>
      </c>
      <c r="AW448" s="68" t="str">
        <f>IF(main!BI451="","",ROUND(main!BI451*100,6))</f>
        <v/>
      </c>
      <c r="AX448" s="68">
        <f>IF(main!BJ451="","",ROUND(main!BJ451*100,6))</f>
        <v>2.8571430000000002</v>
      </c>
      <c r="AY448" s="68">
        <f>IF(main!BK451="","",ROUND(main!BK451*100,6))</f>
        <v>20</v>
      </c>
      <c r="AZ448" s="68">
        <f>IF(main!BL451="","",ROUND(main!BL451*100,6))</f>
        <v>20</v>
      </c>
      <c r="BA448" s="68">
        <f>IF(main!BM451="","",ROUND(main!BM451*100,6))</f>
        <v>20</v>
      </c>
      <c r="BB448" s="68">
        <f>IF(main!BN451="","",ROUND(main!BN451*100,6))</f>
        <v>20</v>
      </c>
      <c r="BC448" s="68">
        <f>IF(main!BO451="","",ROUND(main!BO451*100,6))</f>
        <v>17.142856999999999</v>
      </c>
      <c r="BD448" s="68" t="str">
        <f>IF(main!BP451="","",ROUND(main!BP451*100,6))</f>
        <v/>
      </c>
      <c r="BE448" s="68" t="str">
        <f>IF(main!BQ451="","",ROUND(main!BQ451*100,6))</f>
        <v/>
      </c>
      <c r="BF448" s="68" t="str">
        <f>IF(main!BR451="","",ROUND(main!BR451*100,6))</f>
        <v/>
      </c>
      <c r="BG448" s="68" t="str">
        <f>IF(main!BS451="","",ROUND(main!BS451*100,6))</f>
        <v/>
      </c>
      <c r="BH448" s="68" t="str">
        <f>IF(main!BT451="","",ROUND(main!BT451*100,6))</f>
        <v/>
      </c>
      <c r="BI448" s="68" t="str">
        <f>IF(main!BU451="","",ROUND(main!BU451*100,6))</f>
        <v/>
      </c>
      <c r="BJ448" s="68" t="str">
        <f>IF(main!BV451="","",ROUND(main!BV451*100,6))</f>
        <v/>
      </c>
      <c r="BK448" s="68" t="str">
        <f>IF(main!BW451="","",ROUND(main!BW451*100,6))</f>
        <v/>
      </c>
      <c r="BL448" s="68" t="str">
        <f>IF(main!BX451="","",ROUND(main!BX451*100,6))</f>
        <v/>
      </c>
      <c r="BM448" s="68" t="str">
        <f>IF(main!BY451="","",ROUND(main!BY451*100,6))</f>
        <v/>
      </c>
      <c r="BN448" s="68" t="str">
        <f>IF(main!BZ451="","",ROUND(main!BZ451*100,6))</f>
        <v/>
      </c>
      <c r="BO448" s="68" t="str">
        <f>IF(main!CA451="","",ROUND(main!CA451*100,6))</f>
        <v/>
      </c>
      <c r="BP448" s="68" t="str">
        <f>IF(main!CB451="","",ROUND(main!CB451*100,6))</f>
        <v/>
      </c>
      <c r="BQ448" s="68" t="str">
        <f>IF(main!CC451="","",ROUND(main!CC451*100,6))</f>
        <v/>
      </c>
      <c r="BR448" s="68" t="str">
        <f>IF(main!CD451="","",ROUND(main!CD451*100,6))</f>
        <v/>
      </c>
      <c r="BS448" s="68" t="str">
        <f>IF(main!CE451="","",ROUND(main!CE451*100,6))</f>
        <v/>
      </c>
      <c r="BT448" s="68" t="str">
        <f>IF(main!CF451="","",ROUND(main!CF451*100,6))</f>
        <v/>
      </c>
      <c r="BU448" s="68" t="str">
        <f>IF(main!CG451="","",ROUND(main!CG451*100,6))</f>
        <v/>
      </c>
      <c r="BV448" s="68" t="str">
        <f>IF(main!CH451="","",ROUND(main!CH451*100,6))</f>
        <v/>
      </c>
      <c r="BW448" s="68" t="str">
        <f>IF(main!CI451="","",ROUND(main!CI451*100,6))</f>
        <v/>
      </c>
      <c r="BX448" s="68" t="str">
        <f>IF(main!CJ451="","",ROUND(main!CJ451*100,6))</f>
        <v/>
      </c>
      <c r="BY448" s="68" t="str">
        <f>IF(main!CK451="","",ROUND(main!CK451*100,6))</f>
        <v/>
      </c>
      <c r="BZ448" s="68" t="str">
        <f>IF(main!CL451="","",ROUND(main!CL451*100,6))</f>
        <v/>
      </c>
      <c r="CA448" s="68" t="str">
        <f>IF(main!CM451="","",ROUND(main!CM451*100,6))</f>
        <v/>
      </c>
      <c r="CB448" s="68" t="str">
        <f>IF(main!CN451="","",ROUND(main!CN451*100,6))</f>
        <v/>
      </c>
      <c r="CC448" s="68" t="str">
        <f>IF(main!CO451="","",ROUND(main!CO451*100,6))</f>
        <v/>
      </c>
    </row>
    <row r="449" spans="1:81" x14ac:dyDescent="0.25">
      <c r="A449" s="65" t="s">
        <v>606</v>
      </c>
      <c r="B449" s="66" t="str">
        <f>main!C451</f>
        <v>ติดตั้งถังบำบัดน้ำเสีย ( WWTP )</v>
      </c>
      <c r="C449" s="67">
        <f>main!O451</f>
        <v>100000</v>
      </c>
      <c r="D449" s="65" t="s">
        <v>111</v>
      </c>
      <c r="E449" s="68" t="str">
        <f t="shared" si="6"/>
        <v/>
      </c>
      <c r="F449" s="68" t="str">
        <f>IF(main!R452="","",ROUND(main!R452*100,6))</f>
        <v/>
      </c>
      <c r="G449" s="68" t="str">
        <f>IF(main!S452="","",ROUND(main!S452*100,6))</f>
        <v/>
      </c>
      <c r="H449" s="68" t="str">
        <f>IF(main!T452="","",ROUND(main!T452*100,6))</f>
        <v/>
      </c>
      <c r="I449" s="68" t="str">
        <f>IF(main!U452="","",ROUND(main!U452*100,6))</f>
        <v/>
      </c>
      <c r="J449" s="68" t="str">
        <f>IF(main!V452="","",ROUND(main!V452*100,6))</f>
        <v/>
      </c>
      <c r="K449" s="68" t="str">
        <f>IF(main!W452="","",ROUND(main!W452*100,6))</f>
        <v/>
      </c>
      <c r="L449" s="68" t="str">
        <f>IF(main!X452="","",ROUND(main!X452*100,6))</f>
        <v/>
      </c>
      <c r="M449" s="68" t="str">
        <f>IF(main!Y452="","",ROUND(main!Y452*100,6))</f>
        <v/>
      </c>
      <c r="N449" s="68" t="str">
        <f>IF(main!Z452="","",ROUND(main!Z452*100,6))</f>
        <v/>
      </c>
      <c r="O449" s="68" t="str">
        <f>IF(main!AA452="","",ROUND(main!AA452*100,6))</f>
        <v/>
      </c>
      <c r="P449" s="68" t="str">
        <f>IF(main!AB452="","",ROUND(main!AB452*100,6))</f>
        <v/>
      </c>
      <c r="Q449" s="68" t="str">
        <f>IF(main!AC452="","",ROUND(main!AC452*100,6))</f>
        <v/>
      </c>
      <c r="R449" s="68" t="str">
        <f>IF(main!AD452="","",ROUND(main!AD452*100,6))</f>
        <v/>
      </c>
      <c r="S449" s="68" t="str">
        <f>IF(main!AE452="","",ROUND(main!AE452*100,6))</f>
        <v/>
      </c>
      <c r="T449" s="68" t="str">
        <f>IF(main!AF452="","",ROUND(main!AF452*100,6))</f>
        <v/>
      </c>
      <c r="U449" s="68" t="str">
        <f>IF(main!AG452="","",ROUND(main!AG452*100,6))</f>
        <v/>
      </c>
      <c r="V449" s="68" t="str">
        <f>IF(main!AH452="","",ROUND(main!AH452*100,6))</f>
        <v/>
      </c>
      <c r="W449" s="68" t="str">
        <f>IF(main!AI452="","",ROUND(main!AI452*100,6))</f>
        <v/>
      </c>
      <c r="X449" s="68" t="str">
        <f>IF(main!AJ452="","",ROUND(main!AJ452*100,6))</f>
        <v/>
      </c>
      <c r="Y449" s="68" t="str">
        <f>IF(main!AK452="","",ROUND(main!AK452*100,6))</f>
        <v/>
      </c>
      <c r="Z449" s="68" t="str">
        <f>IF(main!AL452="","",ROUND(main!AL452*100,6))</f>
        <v/>
      </c>
      <c r="AA449" s="68" t="str">
        <f>IF(main!AM452="","",ROUND(main!AM452*100,6))</f>
        <v/>
      </c>
      <c r="AB449" s="68" t="str">
        <f>IF(main!AN452="","",ROUND(main!AN452*100,6))</f>
        <v/>
      </c>
      <c r="AC449" s="68" t="str">
        <f>IF(main!AO452="","",ROUND(main!AO452*100,6))</f>
        <v/>
      </c>
      <c r="AD449" s="68" t="str">
        <f>IF(main!AP452="","",ROUND(main!AP452*100,6))</f>
        <v/>
      </c>
      <c r="AE449" s="68" t="str">
        <f>IF(main!AQ452="","",ROUND(main!AQ452*100,6))</f>
        <v/>
      </c>
      <c r="AF449" s="68" t="str">
        <f>IF(main!AR452="","",ROUND(main!AR452*100,6))</f>
        <v/>
      </c>
      <c r="AG449" s="68" t="str">
        <f>IF(main!AS452="","",ROUND(main!AS452*100,6))</f>
        <v/>
      </c>
      <c r="AH449" s="68" t="str">
        <f>IF(main!AT452="","",ROUND(main!AT452*100,6))</f>
        <v/>
      </c>
      <c r="AI449" s="68" t="str">
        <f>IF(main!AU452="","",ROUND(main!AU452*100,6))</f>
        <v/>
      </c>
      <c r="AJ449" s="68" t="str">
        <f>IF(main!AV452="","",ROUND(main!AV452*100,6))</f>
        <v/>
      </c>
      <c r="AK449" s="68" t="str">
        <f>IF(main!AW452="","",ROUND(main!AW452*100,6))</f>
        <v/>
      </c>
      <c r="AL449" s="68" t="str">
        <f>IF(main!AX452="","",ROUND(main!AX452*100,6))</f>
        <v/>
      </c>
      <c r="AM449" s="68" t="str">
        <f>IF(main!AY452="","",ROUND(main!AY452*100,6))</f>
        <v/>
      </c>
      <c r="AN449" s="68" t="str">
        <f>IF(main!AZ452="","",ROUND(main!AZ452*100,6))</f>
        <v/>
      </c>
      <c r="AO449" s="68" t="str">
        <f>IF(main!BA452="","",ROUND(main!BA452*100,6))</f>
        <v/>
      </c>
      <c r="AP449" s="68" t="str">
        <f>IF(main!BB452="","",ROUND(main!BB452*100,6))</f>
        <v/>
      </c>
      <c r="AQ449" s="68" t="str">
        <f>IF(main!BC452="","",ROUND(main!BC452*100,6))</f>
        <v/>
      </c>
      <c r="AR449" s="68" t="str">
        <f>IF(main!BD452="","",ROUND(main!BD452*100,6))</f>
        <v/>
      </c>
      <c r="AS449" s="68" t="str">
        <f>IF(main!BE452="","",ROUND(main!BE452*100,6))</f>
        <v/>
      </c>
      <c r="AT449" s="68" t="str">
        <f>IF(main!BF452="","",ROUND(main!BF452*100,6))</f>
        <v/>
      </c>
      <c r="AU449" s="68" t="str">
        <f>IF(main!BG452="","",ROUND(main!BG452*100,6))</f>
        <v/>
      </c>
      <c r="AV449" s="68" t="str">
        <f>IF(main!BH452="","",ROUND(main!BH452*100,6))</f>
        <v/>
      </c>
      <c r="AW449" s="68" t="str">
        <f>IF(main!BI452="","",ROUND(main!BI452*100,6))</f>
        <v/>
      </c>
      <c r="AX449" s="68" t="str">
        <f>IF(main!BJ452="","",ROUND(main!BJ452*100,6))</f>
        <v/>
      </c>
      <c r="AY449" s="68" t="str">
        <f>IF(main!BK452="","",ROUND(main!BK452*100,6))</f>
        <v/>
      </c>
      <c r="AZ449" s="68" t="str">
        <f>IF(main!BL452="","",ROUND(main!BL452*100,6))</f>
        <v/>
      </c>
      <c r="BA449" s="68" t="str">
        <f>IF(main!BM452="","",ROUND(main!BM452*100,6))</f>
        <v/>
      </c>
      <c r="BB449" s="68" t="str">
        <f>IF(main!BN452="","",ROUND(main!BN452*100,6))</f>
        <v/>
      </c>
      <c r="BC449" s="68" t="str">
        <f>IF(main!BO452="","",ROUND(main!BO452*100,6))</f>
        <v/>
      </c>
      <c r="BD449" s="68" t="str">
        <f>IF(main!BP452="","",ROUND(main!BP452*100,6))</f>
        <v/>
      </c>
      <c r="BE449" s="68" t="str">
        <f>IF(main!BQ452="","",ROUND(main!BQ452*100,6))</f>
        <v/>
      </c>
      <c r="BF449" s="68" t="str">
        <f>IF(main!BR452="","",ROUND(main!BR452*100,6))</f>
        <v/>
      </c>
      <c r="BG449" s="68" t="str">
        <f>IF(main!BS452="","",ROUND(main!BS452*100,6))</f>
        <v/>
      </c>
      <c r="BH449" s="68" t="str">
        <f>IF(main!BT452="","",ROUND(main!BT452*100,6))</f>
        <v/>
      </c>
      <c r="BI449" s="68" t="str">
        <f>IF(main!BU452="","",ROUND(main!BU452*100,6))</f>
        <v/>
      </c>
      <c r="BJ449" s="68" t="str">
        <f>IF(main!BV452="","",ROUND(main!BV452*100,6))</f>
        <v/>
      </c>
      <c r="BK449" s="68" t="str">
        <f>IF(main!BW452="","",ROUND(main!BW452*100,6))</f>
        <v/>
      </c>
      <c r="BL449" s="68" t="str">
        <f>IF(main!BX452="","",ROUND(main!BX452*100,6))</f>
        <v/>
      </c>
      <c r="BM449" s="68" t="str">
        <f>IF(main!BY452="","",ROUND(main!BY452*100,6))</f>
        <v/>
      </c>
      <c r="BN449" s="68" t="str">
        <f>IF(main!BZ452="","",ROUND(main!BZ452*100,6))</f>
        <v/>
      </c>
      <c r="BO449" s="68" t="str">
        <f>IF(main!CA452="","",ROUND(main!CA452*100,6))</f>
        <v/>
      </c>
      <c r="BP449" s="68" t="str">
        <f>IF(main!CB452="","",ROUND(main!CB452*100,6))</f>
        <v/>
      </c>
      <c r="BQ449" s="68" t="str">
        <f>IF(main!CC452="","",ROUND(main!CC452*100,6))</f>
        <v/>
      </c>
      <c r="BR449" s="68" t="str">
        <f>IF(main!CD452="","",ROUND(main!CD452*100,6))</f>
        <v/>
      </c>
      <c r="BS449" s="68" t="str">
        <f>IF(main!CE452="","",ROUND(main!CE452*100,6))</f>
        <v/>
      </c>
      <c r="BT449" s="68" t="str">
        <f>IF(main!CF452="","",ROUND(main!CF452*100,6))</f>
        <v/>
      </c>
      <c r="BU449" s="68" t="str">
        <f>IF(main!CG452="","",ROUND(main!CG452*100,6))</f>
        <v/>
      </c>
      <c r="BV449" s="68" t="str">
        <f>IF(main!CH452="","",ROUND(main!CH452*100,6))</f>
        <v/>
      </c>
      <c r="BW449" s="68" t="str">
        <f>IF(main!CI452="","",ROUND(main!CI452*100,6))</f>
        <v/>
      </c>
      <c r="BX449" s="68" t="str">
        <f>IF(main!CJ452="","",ROUND(main!CJ452*100,6))</f>
        <v/>
      </c>
      <c r="BY449" s="68" t="str">
        <f>IF(main!CK452="","",ROUND(main!CK452*100,6))</f>
        <v/>
      </c>
      <c r="BZ449" s="68" t="str">
        <f>IF(main!CL452="","",ROUND(main!CL452*100,6))</f>
        <v/>
      </c>
      <c r="CA449" s="68" t="str">
        <f>IF(main!CM452="","",ROUND(main!CM452*100,6))</f>
        <v/>
      </c>
      <c r="CB449" s="68" t="str">
        <f>IF(main!CN452="","",ROUND(main!CN452*100,6))</f>
        <v/>
      </c>
      <c r="CC449" s="68" t="str">
        <f>IF(main!CO452="","",ROUND(main!CO452*100,6))</f>
        <v/>
      </c>
    </row>
    <row r="450" spans="1:81" x14ac:dyDescent="0.25">
      <c r="A450" s="65" t="s">
        <v>609</v>
      </c>
      <c r="B450" s="66" t="str">
        <f>main!C453</f>
        <v>ติดตั้งถังดักไขมัน</v>
      </c>
      <c r="C450" s="67">
        <f>main!O453</f>
        <v>100000</v>
      </c>
      <c r="D450" s="65" t="s">
        <v>110</v>
      </c>
      <c r="E450" s="68">
        <f t="shared" ref="E450:E513" si="7">IF(COUNT(F450:CC450)=0,"",ROUND(SUM(F450:CC450),6))</f>
        <v>100</v>
      </c>
      <c r="F450" s="68" t="str">
        <f>IF(main!R453="","",ROUND(main!R453*100,6))</f>
        <v/>
      </c>
      <c r="G450" s="68" t="str">
        <f>IF(main!S453="","",ROUND(main!S453*100,6))</f>
        <v/>
      </c>
      <c r="H450" s="68" t="str">
        <f>IF(main!T453="","",ROUND(main!T453*100,6))</f>
        <v/>
      </c>
      <c r="I450" s="68" t="str">
        <f>IF(main!U453="","",ROUND(main!U453*100,6))</f>
        <v/>
      </c>
      <c r="J450" s="68" t="str">
        <f>IF(main!V453="","",ROUND(main!V453*100,6))</f>
        <v/>
      </c>
      <c r="K450" s="68" t="str">
        <f>IF(main!W453="","",ROUND(main!W453*100,6))</f>
        <v/>
      </c>
      <c r="L450" s="68" t="str">
        <f>IF(main!X453="","",ROUND(main!X453*100,6))</f>
        <v/>
      </c>
      <c r="M450" s="68" t="str">
        <f>IF(main!Y453="","",ROUND(main!Y453*100,6))</f>
        <v/>
      </c>
      <c r="N450" s="68" t="str">
        <f>IF(main!Z453="","",ROUND(main!Z453*100,6))</f>
        <v/>
      </c>
      <c r="O450" s="68" t="str">
        <f>IF(main!AA453="","",ROUND(main!AA453*100,6))</f>
        <v/>
      </c>
      <c r="P450" s="68" t="str">
        <f>IF(main!AB453="","",ROUND(main!AB453*100,6))</f>
        <v/>
      </c>
      <c r="Q450" s="68" t="str">
        <f>IF(main!AC453="","",ROUND(main!AC453*100,6))</f>
        <v/>
      </c>
      <c r="R450" s="68" t="str">
        <f>IF(main!AD453="","",ROUND(main!AD453*100,6))</f>
        <v/>
      </c>
      <c r="S450" s="68" t="str">
        <f>IF(main!AE453="","",ROUND(main!AE453*100,6))</f>
        <v/>
      </c>
      <c r="T450" s="68" t="str">
        <f>IF(main!AF453="","",ROUND(main!AF453*100,6))</f>
        <v/>
      </c>
      <c r="U450" s="68" t="str">
        <f>IF(main!AG453="","",ROUND(main!AG453*100,6))</f>
        <v/>
      </c>
      <c r="V450" s="68" t="str">
        <f>IF(main!AH453="","",ROUND(main!AH453*100,6))</f>
        <v/>
      </c>
      <c r="W450" s="68" t="str">
        <f>IF(main!AI453="","",ROUND(main!AI453*100,6))</f>
        <v/>
      </c>
      <c r="X450" s="68" t="str">
        <f>IF(main!AJ453="","",ROUND(main!AJ453*100,6))</f>
        <v/>
      </c>
      <c r="Y450" s="68" t="str">
        <f>IF(main!AK453="","",ROUND(main!AK453*100,6))</f>
        <v/>
      </c>
      <c r="Z450" s="68" t="str">
        <f>IF(main!AL453="","",ROUND(main!AL453*100,6))</f>
        <v/>
      </c>
      <c r="AA450" s="68" t="str">
        <f>IF(main!AM453="","",ROUND(main!AM453*100,6))</f>
        <v/>
      </c>
      <c r="AB450" s="68" t="str">
        <f>IF(main!AN453="","",ROUND(main!AN453*100,6))</f>
        <v/>
      </c>
      <c r="AC450" s="68" t="str">
        <f>IF(main!AO453="","",ROUND(main!AO453*100,6))</f>
        <v/>
      </c>
      <c r="AD450" s="68" t="str">
        <f>IF(main!AP453="","",ROUND(main!AP453*100,6))</f>
        <v/>
      </c>
      <c r="AE450" s="68" t="str">
        <f>IF(main!AQ453="","",ROUND(main!AQ453*100,6))</f>
        <v/>
      </c>
      <c r="AF450" s="68" t="str">
        <f>IF(main!AR453="","",ROUND(main!AR453*100,6))</f>
        <v/>
      </c>
      <c r="AG450" s="68" t="str">
        <f>IF(main!AS453="","",ROUND(main!AS453*100,6))</f>
        <v/>
      </c>
      <c r="AH450" s="68" t="str">
        <f>IF(main!AT453="","",ROUND(main!AT453*100,6))</f>
        <v/>
      </c>
      <c r="AI450" s="68" t="str">
        <f>IF(main!AU453="","",ROUND(main!AU453*100,6))</f>
        <v/>
      </c>
      <c r="AJ450" s="68" t="str">
        <f>IF(main!AV453="","",ROUND(main!AV453*100,6))</f>
        <v/>
      </c>
      <c r="AK450" s="68" t="str">
        <f>IF(main!AW453="","",ROUND(main!AW453*100,6))</f>
        <v/>
      </c>
      <c r="AL450" s="68" t="str">
        <f>IF(main!AX453="","",ROUND(main!AX453*100,6))</f>
        <v/>
      </c>
      <c r="AM450" s="68" t="str">
        <f>IF(main!AY453="","",ROUND(main!AY453*100,6))</f>
        <v/>
      </c>
      <c r="AN450" s="68" t="str">
        <f>IF(main!AZ453="","",ROUND(main!AZ453*100,6))</f>
        <v/>
      </c>
      <c r="AO450" s="68" t="str">
        <f>IF(main!BA453="","",ROUND(main!BA453*100,6))</f>
        <v/>
      </c>
      <c r="AP450" s="68" t="str">
        <f>IF(main!BB453="","",ROUND(main!BB453*100,6))</f>
        <v/>
      </c>
      <c r="AQ450" s="68" t="str">
        <f>IF(main!BC453="","",ROUND(main!BC453*100,6))</f>
        <v/>
      </c>
      <c r="AR450" s="68" t="str">
        <f>IF(main!BD453="","",ROUND(main!BD453*100,6))</f>
        <v/>
      </c>
      <c r="AS450" s="68" t="str">
        <f>IF(main!BE453="","",ROUND(main!BE453*100,6))</f>
        <v/>
      </c>
      <c r="AT450" s="68" t="str">
        <f>IF(main!BF453="","",ROUND(main!BF453*100,6))</f>
        <v/>
      </c>
      <c r="AU450" s="68" t="str">
        <f>IF(main!BG453="","",ROUND(main!BG453*100,6))</f>
        <v/>
      </c>
      <c r="AV450" s="68" t="str">
        <f>IF(main!BH453="","",ROUND(main!BH453*100,6))</f>
        <v/>
      </c>
      <c r="AW450" s="68" t="str">
        <f>IF(main!BI453="","",ROUND(main!BI453*100,6))</f>
        <v/>
      </c>
      <c r="AX450" s="68" t="str">
        <f>IF(main!BJ453="","",ROUND(main!BJ453*100,6))</f>
        <v/>
      </c>
      <c r="AY450" s="68" t="str">
        <f>IF(main!BK453="","",ROUND(main!BK453*100,6))</f>
        <v/>
      </c>
      <c r="AZ450" s="68">
        <f>IF(main!BL453="","",ROUND(main!BL453*100,6))</f>
        <v>10.714286</v>
      </c>
      <c r="BA450" s="68">
        <f>IF(main!BM453="","",ROUND(main!BM453*100,6))</f>
        <v>25</v>
      </c>
      <c r="BB450" s="68">
        <f>IF(main!BN453="","",ROUND(main!BN453*100,6))</f>
        <v>25</v>
      </c>
      <c r="BC450" s="68">
        <f>IF(main!BO453="","",ROUND(main!BO453*100,6))</f>
        <v>25</v>
      </c>
      <c r="BD450" s="68">
        <f>IF(main!BP453="","",ROUND(main!BP453*100,6))</f>
        <v>14.285714</v>
      </c>
      <c r="BE450" s="68" t="str">
        <f>IF(main!BQ453="","",ROUND(main!BQ453*100,6))</f>
        <v/>
      </c>
      <c r="BF450" s="68" t="str">
        <f>IF(main!BR453="","",ROUND(main!BR453*100,6))</f>
        <v/>
      </c>
      <c r="BG450" s="68" t="str">
        <f>IF(main!BS453="","",ROUND(main!BS453*100,6))</f>
        <v/>
      </c>
      <c r="BH450" s="68" t="str">
        <f>IF(main!BT453="","",ROUND(main!BT453*100,6))</f>
        <v/>
      </c>
      <c r="BI450" s="68" t="str">
        <f>IF(main!BU453="","",ROUND(main!BU453*100,6))</f>
        <v/>
      </c>
      <c r="BJ450" s="68" t="str">
        <f>IF(main!BV453="","",ROUND(main!BV453*100,6))</f>
        <v/>
      </c>
      <c r="BK450" s="68" t="str">
        <f>IF(main!BW453="","",ROUND(main!BW453*100,6))</f>
        <v/>
      </c>
      <c r="BL450" s="68" t="str">
        <f>IF(main!BX453="","",ROUND(main!BX453*100,6))</f>
        <v/>
      </c>
      <c r="BM450" s="68" t="str">
        <f>IF(main!BY453="","",ROUND(main!BY453*100,6))</f>
        <v/>
      </c>
      <c r="BN450" s="68" t="str">
        <f>IF(main!BZ453="","",ROUND(main!BZ453*100,6))</f>
        <v/>
      </c>
      <c r="BO450" s="68" t="str">
        <f>IF(main!CA453="","",ROUND(main!CA453*100,6))</f>
        <v/>
      </c>
      <c r="BP450" s="68" t="str">
        <f>IF(main!CB453="","",ROUND(main!CB453*100,6))</f>
        <v/>
      </c>
      <c r="BQ450" s="68" t="str">
        <f>IF(main!CC453="","",ROUND(main!CC453*100,6))</f>
        <v/>
      </c>
      <c r="BR450" s="68" t="str">
        <f>IF(main!CD453="","",ROUND(main!CD453*100,6))</f>
        <v/>
      </c>
      <c r="BS450" s="68" t="str">
        <f>IF(main!CE453="","",ROUND(main!CE453*100,6))</f>
        <v/>
      </c>
      <c r="BT450" s="68" t="str">
        <f>IF(main!CF453="","",ROUND(main!CF453*100,6))</f>
        <v/>
      </c>
      <c r="BU450" s="68" t="str">
        <f>IF(main!CG453="","",ROUND(main!CG453*100,6))</f>
        <v/>
      </c>
      <c r="BV450" s="68" t="str">
        <f>IF(main!CH453="","",ROUND(main!CH453*100,6))</f>
        <v/>
      </c>
      <c r="BW450" s="68" t="str">
        <f>IF(main!CI453="","",ROUND(main!CI453*100,6))</f>
        <v/>
      </c>
      <c r="BX450" s="68" t="str">
        <f>IF(main!CJ453="","",ROUND(main!CJ453*100,6))</f>
        <v/>
      </c>
      <c r="BY450" s="68" t="str">
        <f>IF(main!CK453="","",ROUND(main!CK453*100,6))</f>
        <v/>
      </c>
      <c r="BZ450" s="68" t="str">
        <f>IF(main!CL453="","",ROUND(main!CL453*100,6))</f>
        <v/>
      </c>
      <c r="CA450" s="68" t="str">
        <f>IF(main!CM453="","",ROUND(main!CM453*100,6))</f>
        <v/>
      </c>
      <c r="CB450" s="68" t="str">
        <f>IF(main!CN453="","",ROUND(main!CN453*100,6))</f>
        <v/>
      </c>
      <c r="CC450" s="68" t="str">
        <f>IF(main!CO453="","",ROUND(main!CO453*100,6))</f>
        <v/>
      </c>
    </row>
    <row r="451" spans="1:81" x14ac:dyDescent="0.25">
      <c r="A451" s="65" t="s">
        <v>609</v>
      </c>
      <c r="B451" s="66" t="str">
        <f>main!C453</f>
        <v>ติดตั้งถังดักไขมัน</v>
      </c>
      <c r="C451" s="67">
        <f>main!O453</f>
        <v>100000</v>
      </c>
      <c r="D451" s="65" t="s">
        <v>111</v>
      </c>
      <c r="E451" s="68" t="str">
        <f t="shared" si="7"/>
        <v/>
      </c>
      <c r="F451" s="68" t="str">
        <f>IF(main!R454="","",ROUND(main!R454*100,6))</f>
        <v/>
      </c>
      <c r="G451" s="68" t="str">
        <f>IF(main!S454="","",ROUND(main!S454*100,6))</f>
        <v/>
      </c>
      <c r="H451" s="68" t="str">
        <f>IF(main!T454="","",ROUND(main!T454*100,6))</f>
        <v/>
      </c>
      <c r="I451" s="68" t="str">
        <f>IF(main!U454="","",ROUND(main!U454*100,6))</f>
        <v/>
      </c>
      <c r="J451" s="68" t="str">
        <f>IF(main!V454="","",ROUND(main!V454*100,6))</f>
        <v/>
      </c>
      <c r="K451" s="68" t="str">
        <f>IF(main!W454="","",ROUND(main!W454*100,6))</f>
        <v/>
      </c>
      <c r="L451" s="68" t="str">
        <f>IF(main!X454="","",ROUND(main!X454*100,6))</f>
        <v/>
      </c>
      <c r="M451" s="68" t="str">
        <f>IF(main!Y454="","",ROUND(main!Y454*100,6))</f>
        <v/>
      </c>
      <c r="N451" s="68" t="str">
        <f>IF(main!Z454="","",ROUND(main!Z454*100,6))</f>
        <v/>
      </c>
      <c r="O451" s="68" t="str">
        <f>IF(main!AA454="","",ROUND(main!AA454*100,6))</f>
        <v/>
      </c>
      <c r="P451" s="68" t="str">
        <f>IF(main!AB454="","",ROUND(main!AB454*100,6))</f>
        <v/>
      </c>
      <c r="Q451" s="68" t="str">
        <f>IF(main!AC454="","",ROUND(main!AC454*100,6))</f>
        <v/>
      </c>
      <c r="R451" s="68" t="str">
        <f>IF(main!AD454="","",ROUND(main!AD454*100,6))</f>
        <v/>
      </c>
      <c r="S451" s="68" t="str">
        <f>IF(main!AE454="","",ROUND(main!AE454*100,6))</f>
        <v/>
      </c>
      <c r="T451" s="68" t="str">
        <f>IF(main!AF454="","",ROUND(main!AF454*100,6))</f>
        <v/>
      </c>
      <c r="U451" s="68" t="str">
        <f>IF(main!AG454="","",ROUND(main!AG454*100,6))</f>
        <v/>
      </c>
      <c r="V451" s="68" t="str">
        <f>IF(main!AH454="","",ROUND(main!AH454*100,6))</f>
        <v/>
      </c>
      <c r="W451" s="68" t="str">
        <f>IF(main!AI454="","",ROUND(main!AI454*100,6))</f>
        <v/>
      </c>
      <c r="X451" s="68" t="str">
        <f>IF(main!AJ454="","",ROUND(main!AJ454*100,6))</f>
        <v/>
      </c>
      <c r="Y451" s="68" t="str">
        <f>IF(main!AK454="","",ROUND(main!AK454*100,6))</f>
        <v/>
      </c>
      <c r="Z451" s="68" t="str">
        <f>IF(main!AL454="","",ROUND(main!AL454*100,6))</f>
        <v/>
      </c>
      <c r="AA451" s="68" t="str">
        <f>IF(main!AM454="","",ROUND(main!AM454*100,6))</f>
        <v/>
      </c>
      <c r="AB451" s="68" t="str">
        <f>IF(main!AN454="","",ROUND(main!AN454*100,6))</f>
        <v/>
      </c>
      <c r="AC451" s="68" t="str">
        <f>IF(main!AO454="","",ROUND(main!AO454*100,6))</f>
        <v/>
      </c>
      <c r="AD451" s="68" t="str">
        <f>IF(main!AP454="","",ROUND(main!AP454*100,6))</f>
        <v/>
      </c>
      <c r="AE451" s="68" t="str">
        <f>IF(main!AQ454="","",ROUND(main!AQ454*100,6))</f>
        <v/>
      </c>
      <c r="AF451" s="68" t="str">
        <f>IF(main!AR454="","",ROUND(main!AR454*100,6))</f>
        <v/>
      </c>
      <c r="AG451" s="68" t="str">
        <f>IF(main!AS454="","",ROUND(main!AS454*100,6))</f>
        <v/>
      </c>
      <c r="AH451" s="68" t="str">
        <f>IF(main!AT454="","",ROUND(main!AT454*100,6))</f>
        <v/>
      </c>
      <c r="AI451" s="68" t="str">
        <f>IF(main!AU454="","",ROUND(main!AU454*100,6))</f>
        <v/>
      </c>
      <c r="AJ451" s="68" t="str">
        <f>IF(main!AV454="","",ROUND(main!AV454*100,6))</f>
        <v/>
      </c>
      <c r="AK451" s="68" t="str">
        <f>IF(main!AW454="","",ROUND(main!AW454*100,6))</f>
        <v/>
      </c>
      <c r="AL451" s="68" t="str">
        <f>IF(main!AX454="","",ROUND(main!AX454*100,6))</f>
        <v/>
      </c>
      <c r="AM451" s="68" t="str">
        <f>IF(main!AY454="","",ROUND(main!AY454*100,6))</f>
        <v/>
      </c>
      <c r="AN451" s="68" t="str">
        <f>IF(main!AZ454="","",ROUND(main!AZ454*100,6))</f>
        <v/>
      </c>
      <c r="AO451" s="68" t="str">
        <f>IF(main!BA454="","",ROUND(main!BA454*100,6))</f>
        <v/>
      </c>
      <c r="AP451" s="68" t="str">
        <f>IF(main!BB454="","",ROUND(main!BB454*100,6))</f>
        <v/>
      </c>
      <c r="AQ451" s="68" t="str">
        <f>IF(main!BC454="","",ROUND(main!BC454*100,6))</f>
        <v/>
      </c>
      <c r="AR451" s="68" t="str">
        <f>IF(main!BD454="","",ROUND(main!BD454*100,6))</f>
        <v/>
      </c>
      <c r="AS451" s="68" t="str">
        <f>IF(main!BE454="","",ROUND(main!BE454*100,6))</f>
        <v/>
      </c>
      <c r="AT451" s="68" t="str">
        <f>IF(main!BF454="","",ROUND(main!BF454*100,6))</f>
        <v/>
      </c>
      <c r="AU451" s="68" t="str">
        <f>IF(main!BG454="","",ROUND(main!BG454*100,6))</f>
        <v/>
      </c>
      <c r="AV451" s="68" t="str">
        <f>IF(main!BH454="","",ROUND(main!BH454*100,6))</f>
        <v/>
      </c>
      <c r="AW451" s="68" t="str">
        <f>IF(main!BI454="","",ROUND(main!BI454*100,6))</f>
        <v/>
      </c>
      <c r="AX451" s="68" t="str">
        <f>IF(main!BJ454="","",ROUND(main!BJ454*100,6))</f>
        <v/>
      </c>
      <c r="AY451" s="68" t="str">
        <f>IF(main!BK454="","",ROUND(main!BK454*100,6))</f>
        <v/>
      </c>
      <c r="AZ451" s="68" t="str">
        <f>IF(main!BL454="","",ROUND(main!BL454*100,6))</f>
        <v/>
      </c>
      <c r="BA451" s="68" t="str">
        <f>IF(main!BM454="","",ROUND(main!BM454*100,6))</f>
        <v/>
      </c>
      <c r="BB451" s="68" t="str">
        <f>IF(main!BN454="","",ROUND(main!BN454*100,6))</f>
        <v/>
      </c>
      <c r="BC451" s="68" t="str">
        <f>IF(main!BO454="","",ROUND(main!BO454*100,6))</f>
        <v/>
      </c>
      <c r="BD451" s="68" t="str">
        <f>IF(main!BP454="","",ROUND(main!BP454*100,6))</f>
        <v/>
      </c>
      <c r="BE451" s="68" t="str">
        <f>IF(main!BQ454="","",ROUND(main!BQ454*100,6))</f>
        <v/>
      </c>
      <c r="BF451" s="68" t="str">
        <f>IF(main!BR454="","",ROUND(main!BR454*100,6))</f>
        <v/>
      </c>
      <c r="BG451" s="68" t="str">
        <f>IF(main!BS454="","",ROUND(main!BS454*100,6))</f>
        <v/>
      </c>
      <c r="BH451" s="68" t="str">
        <f>IF(main!BT454="","",ROUND(main!BT454*100,6))</f>
        <v/>
      </c>
      <c r="BI451" s="68" t="str">
        <f>IF(main!BU454="","",ROUND(main!BU454*100,6))</f>
        <v/>
      </c>
      <c r="BJ451" s="68" t="str">
        <f>IF(main!BV454="","",ROUND(main!BV454*100,6))</f>
        <v/>
      </c>
      <c r="BK451" s="68" t="str">
        <f>IF(main!BW454="","",ROUND(main!BW454*100,6))</f>
        <v/>
      </c>
      <c r="BL451" s="68" t="str">
        <f>IF(main!BX454="","",ROUND(main!BX454*100,6))</f>
        <v/>
      </c>
      <c r="BM451" s="68" t="str">
        <f>IF(main!BY454="","",ROUND(main!BY454*100,6))</f>
        <v/>
      </c>
      <c r="BN451" s="68" t="str">
        <f>IF(main!BZ454="","",ROUND(main!BZ454*100,6))</f>
        <v/>
      </c>
      <c r="BO451" s="68" t="str">
        <f>IF(main!CA454="","",ROUND(main!CA454*100,6))</f>
        <v/>
      </c>
      <c r="BP451" s="68" t="str">
        <f>IF(main!CB454="","",ROUND(main!CB454*100,6))</f>
        <v/>
      </c>
      <c r="BQ451" s="68" t="str">
        <f>IF(main!CC454="","",ROUND(main!CC454*100,6))</f>
        <v/>
      </c>
      <c r="BR451" s="68" t="str">
        <f>IF(main!CD454="","",ROUND(main!CD454*100,6))</f>
        <v/>
      </c>
      <c r="BS451" s="68" t="str">
        <f>IF(main!CE454="","",ROUND(main!CE454*100,6))</f>
        <v/>
      </c>
      <c r="BT451" s="68" t="str">
        <f>IF(main!CF454="","",ROUND(main!CF454*100,6))</f>
        <v/>
      </c>
      <c r="BU451" s="68" t="str">
        <f>IF(main!CG454="","",ROUND(main!CG454*100,6))</f>
        <v/>
      </c>
      <c r="BV451" s="68" t="str">
        <f>IF(main!CH454="","",ROUND(main!CH454*100,6))</f>
        <v/>
      </c>
      <c r="BW451" s="68" t="str">
        <f>IF(main!CI454="","",ROUND(main!CI454*100,6))</f>
        <v/>
      </c>
      <c r="BX451" s="68" t="str">
        <f>IF(main!CJ454="","",ROUND(main!CJ454*100,6))</f>
        <v/>
      </c>
      <c r="BY451" s="68" t="str">
        <f>IF(main!CK454="","",ROUND(main!CK454*100,6))</f>
        <v/>
      </c>
      <c r="BZ451" s="68" t="str">
        <f>IF(main!CL454="","",ROUND(main!CL454*100,6))</f>
        <v/>
      </c>
      <c r="CA451" s="68" t="str">
        <f>IF(main!CM454="","",ROUND(main!CM454*100,6))</f>
        <v/>
      </c>
      <c r="CB451" s="68" t="str">
        <f>IF(main!CN454="","",ROUND(main!CN454*100,6))</f>
        <v/>
      </c>
      <c r="CC451" s="68" t="str">
        <f>IF(main!CO454="","",ROUND(main!CO454*100,6))</f>
        <v/>
      </c>
    </row>
    <row r="452" spans="1:81" ht="30" x14ac:dyDescent="0.25">
      <c r="A452" s="65" t="s">
        <v>612</v>
      </c>
      <c r="B452" s="66" t="str">
        <f>main!C455</f>
        <v>ติดตั้งถังเก็บน้ำประปา ( Water Tank ) และ Cold  Water Booster Pump</v>
      </c>
      <c r="C452" s="67">
        <f>main!O455</f>
        <v>100000</v>
      </c>
      <c r="D452" s="65" t="s">
        <v>110</v>
      </c>
      <c r="E452" s="68">
        <f t="shared" si="7"/>
        <v>100</v>
      </c>
      <c r="F452" s="68" t="str">
        <f>IF(main!R455="","",ROUND(main!R455*100,6))</f>
        <v/>
      </c>
      <c r="G452" s="68" t="str">
        <f>IF(main!S455="","",ROUND(main!S455*100,6))</f>
        <v/>
      </c>
      <c r="H452" s="68" t="str">
        <f>IF(main!T455="","",ROUND(main!T455*100,6))</f>
        <v/>
      </c>
      <c r="I452" s="68" t="str">
        <f>IF(main!U455="","",ROUND(main!U455*100,6))</f>
        <v/>
      </c>
      <c r="J452" s="68" t="str">
        <f>IF(main!V455="","",ROUND(main!V455*100,6))</f>
        <v/>
      </c>
      <c r="K452" s="68" t="str">
        <f>IF(main!W455="","",ROUND(main!W455*100,6))</f>
        <v/>
      </c>
      <c r="L452" s="68" t="str">
        <f>IF(main!X455="","",ROUND(main!X455*100,6))</f>
        <v/>
      </c>
      <c r="M452" s="68" t="str">
        <f>IF(main!Y455="","",ROUND(main!Y455*100,6))</f>
        <v/>
      </c>
      <c r="N452" s="68" t="str">
        <f>IF(main!Z455="","",ROUND(main!Z455*100,6))</f>
        <v/>
      </c>
      <c r="O452" s="68" t="str">
        <f>IF(main!AA455="","",ROUND(main!AA455*100,6))</f>
        <v/>
      </c>
      <c r="P452" s="68" t="str">
        <f>IF(main!AB455="","",ROUND(main!AB455*100,6))</f>
        <v/>
      </c>
      <c r="Q452" s="68" t="str">
        <f>IF(main!AC455="","",ROUND(main!AC455*100,6))</f>
        <v/>
      </c>
      <c r="R452" s="68" t="str">
        <f>IF(main!AD455="","",ROUND(main!AD455*100,6))</f>
        <v/>
      </c>
      <c r="S452" s="68" t="str">
        <f>IF(main!AE455="","",ROUND(main!AE455*100,6))</f>
        <v/>
      </c>
      <c r="T452" s="68" t="str">
        <f>IF(main!AF455="","",ROUND(main!AF455*100,6))</f>
        <v/>
      </c>
      <c r="U452" s="68" t="str">
        <f>IF(main!AG455="","",ROUND(main!AG455*100,6))</f>
        <v/>
      </c>
      <c r="V452" s="68" t="str">
        <f>IF(main!AH455="","",ROUND(main!AH455*100,6))</f>
        <v/>
      </c>
      <c r="W452" s="68" t="str">
        <f>IF(main!AI455="","",ROUND(main!AI455*100,6))</f>
        <v/>
      </c>
      <c r="X452" s="68" t="str">
        <f>IF(main!AJ455="","",ROUND(main!AJ455*100,6))</f>
        <v/>
      </c>
      <c r="Y452" s="68" t="str">
        <f>IF(main!AK455="","",ROUND(main!AK455*100,6))</f>
        <v/>
      </c>
      <c r="Z452" s="68" t="str">
        <f>IF(main!AL455="","",ROUND(main!AL455*100,6))</f>
        <v/>
      </c>
      <c r="AA452" s="68" t="str">
        <f>IF(main!AM455="","",ROUND(main!AM455*100,6))</f>
        <v/>
      </c>
      <c r="AB452" s="68" t="str">
        <f>IF(main!AN455="","",ROUND(main!AN455*100,6))</f>
        <v/>
      </c>
      <c r="AC452" s="68" t="str">
        <f>IF(main!AO455="","",ROUND(main!AO455*100,6))</f>
        <v/>
      </c>
      <c r="AD452" s="68" t="str">
        <f>IF(main!AP455="","",ROUND(main!AP455*100,6))</f>
        <v/>
      </c>
      <c r="AE452" s="68" t="str">
        <f>IF(main!AQ455="","",ROUND(main!AQ455*100,6))</f>
        <v/>
      </c>
      <c r="AF452" s="68" t="str">
        <f>IF(main!AR455="","",ROUND(main!AR455*100,6))</f>
        <v/>
      </c>
      <c r="AG452" s="68" t="str">
        <f>IF(main!AS455="","",ROUND(main!AS455*100,6))</f>
        <v/>
      </c>
      <c r="AH452" s="68" t="str">
        <f>IF(main!AT455="","",ROUND(main!AT455*100,6))</f>
        <v/>
      </c>
      <c r="AI452" s="68" t="str">
        <f>IF(main!AU455="","",ROUND(main!AU455*100,6))</f>
        <v/>
      </c>
      <c r="AJ452" s="68" t="str">
        <f>IF(main!AV455="","",ROUND(main!AV455*100,6))</f>
        <v/>
      </c>
      <c r="AK452" s="68" t="str">
        <f>IF(main!AW455="","",ROUND(main!AW455*100,6))</f>
        <v/>
      </c>
      <c r="AL452" s="68" t="str">
        <f>IF(main!AX455="","",ROUND(main!AX455*100,6))</f>
        <v/>
      </c>
      <c r="AM452" s="68" t="str">
        <f>IF(main!AY455="","",ROUND(main!AY455*100,6))</f>
        <v/>
      </c>
      <c r="AN452" s="68" t="str">
        <f>IF(main!AZ455="","",ROUND(main!AZ455*100,6))</f>
        <v/>
      </c>
      <c r="AO452" s="68" t="str">
        <f>IF(main!BA455="","",ROUND(main!BA455*100,6))</f>
        <v/>
      </c>
      <c r="AP452" s="68" t="str">
        <f>IF(main!BB455="","",ROUND(main!BB455*100,6))</f>
        <v/>
      </c>
      <c r="AQ452" s="68" t="str">
        <f>IF(main!BC455="","",ROUND(main!BC455*100,6))</f>
        <v/>
      </c>
      <c r="AR452" s="68" t="str">
        <f>IF(main!BD455="","",ROUND(main!BD455*100,6))</f>
        <v/>
      </c>
      <c r="AS452" s="68" t="str">
        <f>IF(main!BE455="","",ROUND(main!BE455*100,6))</f>
        <v/>
      </c>
      <c r="AT452" s="68" t="str">
        <f>IF(main!BF455="","",ROUND(main!BF455*100,6))</f>
        <v/>
      </c>
      <c r="AU452" s="68">
        <f>IF(main!BG455="","",ROUND(main!BG455*100,6))</f>
        <v>3.5714290000000002</v>
      </c>
      <c r="AV452" s="68">
        <f>IF(main!BH455="","",ROUND(main!BH455*100,6))</f>
        <v>25</v>
      </c>
      <c r="AW452" s="68">
        <f>IF(main!BI455="","",ROUND(main!BI455*100,6))</f>
        <v>25</v>
      </c>
      <c r="AX452" s="68">
        <f>IF(main!BJ455="","",ROUND(main!BJ455*100,6))</f>
        <v>25</v>
      </c>
      <c r="AY452" s="68">
        <f>IF(main!BK455="","",ROUND(main!BK455*100,6))</f>
        <v>21.428571000000002</v>
      </c>
      <c r="AZ452" s="68" t="str">
        <f>IF(main!BL455="","",ROUND(main!BL455*100,6))</f>
        <v/>
      </c>
      <c r="BA452" s="68" t="str">
        <f>IF(main!BM455="","",ROUND(main!BM455*100,6))</f>
        <v/>
      </c>
      <c r="BB452" s="68" t="str">
        <f>IF(main!BN455="","",ROUND(main!BN455*100,6))</f>
        <v/>
      </c>
      <c r="BC452" s="68" t="str">
        <f>IF(main!BO455="","",ROUND(main!BO455*100,6))</f>
        <v/>
      </c>
      <c r="BD452" s="68" t="str">
        <f>IF(main!BP455="","",ROUND(main!BP455*100,6))</f>
        <v/>
      </c>
      <c r="BE452" s="68" t="str">
        <f>IF(main!BQ455="","",ROUND(main!BQ455*100,6))</f>
        <v/>
      </c>
      <c r="BF452" s="68" t="str">
        <f>IF(main!BR455="","",ROUND(main!BR455*100,6))</f>
        <v/>
      </c>
      <c r="BG452" s="68" t="str">
        <f>IF(main!BS455="","",ROUND(main!BS455*100,6))</f>
        <v/>
      </c>
      <c r="BH452" s="68" t="str">
        <f>IF(main!BT455="","",ROUND(main!BT455*100,6))</f>
        <v/>
      </c>
      <c r="BI452" s="68" t="str">
        <f>IF(main!BU455="","",ROUND(main!BU455*100,6))</f>
        <v/>
      </c>
      <c r="BJ452" s="68" t="str">
        <f>IF(main!BV455="","",ROUND(main!BV455*100,6))</f>
        <v/>
      </c>
      <c r="BK452" s="68" t="str">
        <f>IF(main!BW455="","",ROUND(main!BW455*100,6))</f>
        <v/>
      </c>
      <c r="BL452" s="68" t="str">
        <f>IF(main!BX455="","",ROUND(main!BX455*100,6))</f>
        <v/>
      </c>
      <c r="BM452" s="68" t="str">
        <f>IF(main!BY455="","",ROUND(main!BY455*100,6))</f>
        <v/>
      </c>
      <c r="BN452" s="68" t="str">
        <f>IF(main!BZ455="","",ROUND(main!BZ455*100,6))</f>
        <v/>
      </c>
      <c r="BO452" s="68" t="str">
        <f>IF(main!CA455="","",ROUND(main!CA455*100,6))</f>
        <v/>
      </c>
      <c r="BP452" s="68" t="str">
        <f>IF(main!CB455="","",ROUND(main!CB455*100,6))</f>
        <v/>
      </c>
      <c r="BQ452" s="68" t="str">
        <f>IF(main!CC455="","",ROUND(main!CC455*100,6))</f>
        <v/>
      </c>
      <c r="BR452" s="68" t="str">
        <f>IF(main!CD455="","",ROUND(main!CD455*100,6))</f>
        <v/>
      </c>
      <c r="BS452" s="68" t="str">
        <f>IF(main!CE455="","",ROUND(main!CE455*100,6))</f>
        <v/>
      </c>
      <c r="BT452" s="68" t="str">
        <f>IF(main!CF455="","",ROUND(main!CF455*100,6))</f>
        <v/>
      </c>
      <c r="BU452" s="68" t="str">
        <f>IF(main!CG455="","",ROUND(main!CG455*100,6))</f>
        <v/>
      </c>
      <c r="BV452" s="68" t="str">
        <f>IF(main!CH455="","",ROUND(main!CH455*100,6))</f>
        <v/>
      </c>
      <c r="BW452" s="68" t="str">
        <f>IF(main!CI455="","",ROUND(main!CI455*100,6))</f>
        <v/>
      </c>
      <c r="BX452" s="68" t="str">
        <f>IF(main!CJ455="","",ROUND(main!CJ455*100,6))</f>
        <v/>
      </c>
      <c r="BY452" s="68" t="str">
        <f>IF(main!CK455="","",ROUND(main!CK455*100,6))</f>
        <v/>
      </c>
      <c r="BZ452" s="68" t="str">
        <f>IF(main!CL455="","",ROUND(main!CL455*100,6))</f>
        <v/>
      </c>
      <c r="CA452" s="68" t="str">
        <f>IF(main!CM455="","",ROUND(main!CM455*100,6))</f>
        <v/>
      </c>
      <c r="CB452" s="68" t="str">
        <f>IF(main!CN455="","",ROUND(main!CN455*100,6))</f>
        <v/>
      </c>
      <c r="CC452" s="68" t="str">
        <f>IF(main!CO455="","",ROUND(main!CO455*100,6))</f>
        <v/>
      </c>
    </row>
    <row r="453" spans="1:81" ht="30" x14ac:dyDescent="0.25">
      <c r="A453" s="65" t="s">
        <v>612</v>
      </c>
      <c r="B453" s="66" t="str">
        <f>main!C455</f>
        <v>ติดตั้งถังเก็บน้ำประปา ( Water Tank ) และ Cold  Water Booster Pump</v>
      </c>
      <c r="C453" s="67">
        <f>main!O455</f>
        <v>100000</v>
      </c>
      <c r="D453" s="65" t="s">
        <v>111</v>
      </c>
      <c r="E453" s="68" t="str">
        <f t="shared" si="7"/>
        <v/>
      </c>
      <c r="F453" s="68" t="str">
        <f>IF(main!R456="","",ROUND(main!R456*100,6))</f>
        <v/>
      </c>
      <c r="G453" s="68" t="str">
        <f>IF(main!S456="","",ROUND(main!S456*100,6))</f>
        <v/>
      </c>
      <c r="H453" s="68" t="str">
        <f>IF(main!T456="","",ROUND(main!T456*100,6))</f>
        <v/>
      </c>
      <c r="I453" s="68" t="str">
        <f>IF(main!U456="","",ROUND(main!U456*100,6))</f>
        <v/>
      </c>
      <c r="J453" s="68" t="str">
        <f>IF(main!V456="","",ROUND(main!V456*100,6))</f>
        <v/>
      </c>
      <c r="K453" s="68" t="str">
        <f>IF(main!W456="","",ROUND(main!W456*100,6))</f>
        <v/>
      </c>
      <c r="L453" s="68" t="str">
        <f>IF(main!X456="","",ROUND(main!X456*100,6))</f>
        <v/>
      </c>
      <c r="M453" s="68" t="str">
        <f>IF(main!Y456="","",ROUND(main!Y456*100,6))</f>
        <v/>
      </c>
      <c r="N453" s="68" t="str">
        <f>IF(main!Z456="","",ROUND(main!Z456*100,6))</f>
        <v/>
      </c>
      <c r="O453" s="68" t="str">
        <f>IF(main!AA456="","",ROUND(main!AA456*100,6))</f>
        <v/>
      </c>
      <c r="P453" s="68" t="str">
        <f>IF(main!AB456="","",ROUND(main!AB456*100,6))</f>
        <v/>
      </c>
      <c r="Q453" s="68" t="str">
        <f>IF(main!AC456="","",ROUND(main!AC456*100,6))</f>
        <v/>
      </c>
      <c r="R453" s="68" t="str">
        <f>IF(main!AD456="","",ROUND(main!AD456*100,6))</f>
        <v/>
      </c>
      <c r="S453" s="68" t="str">
        <f>IF(main!AE456="","",ROUND(main!AE456*100,6))</f>
        <v/>
      </c>
      <c r="T453" s="68" t="str">
        <f>IF(main!AF456="","",ROUND(main!AF456*100,6))</f>
        <v/>
      </c>
      <c r="U453" s="68" t="str">
        <f>IF(main!AG456="","",ROUND(main!AG456*100,6))</f>
        <v/>
      </c>
      <c r="V453" s="68" t="str">
        <f>IF(main!AH456="","",ROUND(main!AH456*100,6))</f>
        <v/>
      </c>
      <c r="W453" s="68" t="str">
        <f>IF(main!AI456="","",ROUND(main!AI456*100,6))</f>
        <v/>
      </c>
      <c r="X453" s="68" t="str">
        <f>IF(main!AJ456="","",ROUND(main!AJ456*100,6))</f>
        <v/>
      </c>
      <c r="Y453" s="68" t="str">
        <f>IF(main!AK456="","",ROUND(main!AK456*100,6))</f>
        <v/>
      </c>
      <c r="Z453" s="68" t="str">
        <f>IF(main!AL456="","",ROUND(main!AL456*100,6))</f>
        <v/>
      </c>
      <c r="AA453" s="68" t="str">
        <f>IF(main!AM456="","",ROUND(main!AM456*100,6))</f>
        <v/>
      </c>
      <c r="AB453" s="68" t="str">
        <f>IF(main!AN456="","",ROUND(main!AN456*100,6))</f>
        <v/>
      </c>
      <c r="AC453" s="68" t="str">
        <f>IF(main!AO456="","",ROUND(main!AO456*100,6))</f>
        <v/>
      </c>
      <c r="AD453" s="68" t="str">
        <f>IF(main!AP456="","",ROUND(main!AP456*100,6))</f>
        <v/>
      </c>
      <c r="AE453" s="68" t="str">
        <f>IF(main!AQ456="","",ROUND(main!AQ456*100,6))</f>
        <v/>
      </c>
      <c r="AF453" s="68" t="str">
        <f>IF(main!AR456="","",ROUND(main!AR456*100,6))</f>
        <v/>
      </c>
      <c r="AG453" s="68" t="str">
        <f>IF(main!AS456="","",ROUND(main!AS456*100,6))</f>
        <v/>
      </c>
      <c r="AH453" s="68" t="str">
        <f>IF(main!AT456="","",ROUND(main!AT456*100,6))</f>
        <v/>
      </c>
      <c r="AI453" s="68" t="str">
        <f>IF(main!AU456="","",ROUND(main!AU456*100,6))</f>
        <v/>
      </c>
      <c r="AJ453" s="68" t="str">
        <f>IF(main!AV456="","",ROUND(main!AV456*100,6))</f>
        <v/>
      </c>
      <c r="AK453" s="68" t="str">
        <f>IF(main!AW456="","",ROUND(main!AW456*100,6))</f>
        <v/>
      </c>
      <c r="AL453" s="68" t="str">
        <f>IF(main!AX456="","",ROUND(main!AX456*100,6))</f>
        <v/>
      </c>
      <c r="AM453" s="68" t="str">
        <f>IF(main!AY456="","",ROUND(main!AY456*100,6))</f>
        <v/>
      </c>
      <c r="AN453" s="68" t="str">
        <f>IF(main!AZ456="","",ROUND(main!AZ456*100,6))</f>
        <v/>
      </c>
      <c r="AO453" s="68" t="str">
        <f>IF(main!BA456="","",ROUND(main!BA456*100,6))</f>
        <v/>
      </c>
      <c r="AP453" s="68" t="str">
        <f>IF(main!BB456="","",ROUND(main!BB456*100,6))</f>
        <v/>
      </c>
      <c r="AQ453" s="68" t="str">
        <f>IF(main!BC456="","",ROUND(main!BC456*100,6))</f>
        <v/>
      </c>
      <c r="AR453" s="68" t="str">
        <f>IF(main!BD456="","",ROUND(main!BD456*100,6))</f>
        <v/>
      </c>
      <c r="AS453" s="68" t="str">
        <f>IF(main!BE456="","",ROUND(main!BE456*100,6))</f>
        <v/>
      </c>
      <c r="AT453" s="68" t="str">
        <f>IF(main!BF456="","",ROUND(main!BF456*100,6))</f>
        <v/>
      </c>
      <c r="AU453" s="68" t="str">
        <f>IF(main!BG456="","",ROUND(main!BG456*100,6))</f>
        <v/>
      </c>
      <c r="AV453" s="68" t="str">
        <f>IF(main!BH456="","",ROUND(main!BH456*100,6))</f>
        <v/>
      </c>
      <c r="AW453" s="68" t="str">
        <f>IF(main!BI456="","",ROUND(main!BI456*100,6))</f>
        <v/>
      </c>
      <c r="AX453" s="68" t="str">
        <f>IF(main!BJ456="","",ROUND(main!BJ456*100,6))</f>
        <v/>
      </c>
      <c r="AY453" s="68" t="str">
        <f>IF(main!BK456="","",ROUND(main!BK456*100,6))</f>
        <v/>
      </c>
      <c r="AZ453" s="68" t="str">
        <f>IF(main!BL456="","",ROUND(main!BL456*100,6))</f>
        <v/>
      </c>
      <c r="BA453" s="68" t="str">
        <f>IF(main!BM456="","",ROUND(main!BM456*100,6))</f>
        <v/>
      </c>
      <c r="BB453" s="68" t="str">
        <f>IF(main!BN456="","",ROUND(main!BN456*100,6))</f>
        <v/>
      </c>
      <c r="BC453" s="68" t="str">
        <f>IF(main!BO456="","",ROUND(main!BO456*100,6))</f>
        <v/>
      </c>
      <c r="BD453" s="68" t="str">
        <f>IF(main!BP456="","",ROUND(main!BP456*100,6))</f>
        <v/>
      </c>
      <c r="BE453" s="68" t="str">
        <f>IF(main!BQ456="","",ROUND(main!BQ456*100,6))</f>
        <v/>
      </c>
      <c r="BF453" s="68" t="str">
        <f>IF(main!BR456="","",ROUND(main!BR456*100,6))</f>
        <v/>
      </c>
      <c r="BG453" s="68" t="str">
        <f>IF(main!BS456="","",ROUND(main!BS456*100,6))</f>
        <v/>
      </c>
      <c r="BH453" s="68" t="str">
        <f>IF(main!BT456="","",ROUND(main!BT456*100,6))</f>
        <v/>
      </c>
      <c r="BI453" s="68" t="str">
        <f>IF(main!BU456="","",ROUND(main!BU456*100,6))</f>
        <v/>
      </c>
      <c r="BJ453" s="68" t="str">
        <f>IF(main!BV456="","",ROUND(main!BV456*100,6))</f>
        <v/>
      </c>
      <c r="BK453" s="68" t="str">
        <f>IF(main!BW456="","",ROUND(main!BW456*100,6))</f>
        <v/>
      </c>
      <c r="BL453" s="68" t="str">
        <f>IF(main!BX456="","",ROUND(main!BX456*100,6))</f>
        <v/>
      </c>
      <c r="BM453" s="68" t="str">
        <f>IF(main!BY456="","",ROUND(main!BY456*100,6))</f>
        <v/>
      </c>
      <c r="BN453" s="68" t="str">
        <f>IF(main!BZ456="","",ROUND(main!BZ456*100,6))</f>
        <v/>
      </c>
      <c r="BO453" s="68" t="str">
        <f>IF(main!CA456="","",ROUND(main!CA456*100,6))</f>
        <v/>
      </c>
      <c r="BP453" s="68" t="str">
        <f>IF(main!CB456="","",ROUND(main!CB456*100,6))</f>
        <v/>
      </c>
      <c r="BQ453" s="68" t="str">
        <f>IF(main!CC456="","",ROUND(main!CC456*100,6))</f>
        <v/>
      </c>
      <c r="BR453" s="68" t="str">
        <f>IF(main!CD456="","",ROUND(main!CD456*100,6))</f>
        <v/>
      </c>
      <c r="BS453" s="68" t="str">
        <f>IF(main!CE456="","",ROUND(main!CE456*100,6))</f>
        <v/>
      </c>
      <c r="BT453" s="68" t="str">
        <f>IF(main!CF456="","",ROUND(main!CF456*100,6))</f>
        <v/>
      </c>
      <c r="BU453" s="68" t="str">
        <f>IF(main!CG456="","",ROUND(main!CG456*100,6))</f>
        <v/>
      </c>
      <c r="BV453" s="68" t="str">
        <f>IF(main!CH456="","",ROUND(main!CH456*100,6))</f>
        <v/>
      </c>
      <c r="BW453" s="68" t="str">
        <f>IF(main!CI456="","",ROUND(main!CI456*100,6))</f>
        <v/>
      </c>
      <c r="BX453" s="68" t="str">
        <f>IF(main!CJ456="","",ROUND(main!CJ456*100,6))</f>
        <v/>
      </c>
      <c r="BY453" s="68" t="str">
        <f>IF(main!CK456="","",ROUND(main!CK456*100,6))</f>
        <v/>
      </c>
      <c r="BZ453" s="68" t="str">
        <f>IF(main!CL456="","",ROUND(main!CL456*100,6))</f>
        <v/>
      </c>
      <c r="CA453" s="68" t="str">
        <f>IF(main!CM456="","",ROUND(main!CM456*100,6))</f>
        <v/>
      </c>
      <c r="CB453" s="68" t="str">
        <f>IF(main!CN456="","",ROUND(main!CN456*100,6))</f>
        <v/>
      </c>
      <c r="CC453" s="68" t="str">
        <f>IF(main!CO456="","",ROUND(main!CO456*100,6))</f>
        <v/>
      </c>
    </row>
    <row r="454" spans="1:81" x14ac:dyDescent="0.25">
      <c r="A454" s="65" t="s">
        <v>615</v>
      </c>
      <c r="B454" s="66" t="str">
        <f>main!C457</f>
        <v>Electrical and Communication Main Incomming</v>
      </c>
      <c r="C454" s="67">
        <f>main!O457</f>
        <v>100000</v>
      </c>
      <c r="D454" s="65" t="s">
        <v>110</v>
      </c>
      <c r="E454" s="68">
        <f t="shared" si="7"/>
        <v>99.999999000000003</v>
      </c>
      <c r="F454" s="68" t="str">
        <f>IF(main!R457="","",ROUND(main!R457*100,6))</f>
        <v/>
      </c>
      <c r="G454" s="68" t="str">
        <f>IF(main!S457="","",ROUND(main!S457*100,6))</f>
        <v/>
      </c>
      <c r="H454" s="68" t="str">
        <f>IF(main!T457="","",ROUND(main!T457*100,6))</f>
        <v/>
      </c>
      <c r="I454" s="68" t="str">
        <f>IF(main!U457="","",ROUND(main!U457*100,6))</f>
        <v/>
      </c>
      <c r="J454" s="68" t="str">
        <f>IF(main!V457="","",ROUND(main!V457*100,6))</f>
        <v/>
      </c>
      <c r="K454" s="68" t="str">
        <f>IF(main!W457="","",ROUND(main!W457*100,6))</f>
        <v/>
      </c>
      <c r="L454" s="68" t="str">
        <f>IF(main!X457="","",ROUND(main!X457*100,6))</f>
        <v/>
      </c>
      <c r="M454" s="68" t="str">
        <f>IF(main!Y457="","",ROUND(main!Y457*100,6))</f>
        <v/>
      </c>
      <c r="N454" s="68" t="str">
        <f>IF(main!Z457="","",ROUND(main!Z457*100,6))</f>
        <v/>
      </c>
      <c r="O454" s="68" t="str">
        <f>IF(main!AA457="","",ROUND(main!AA457*100,6))</f>
        <v/>
      </c>
      <c r="P454" s="68" t="str">
        <f>IF(main!AB457="","",ROUND(main!AB457*100,6))</f>
        <v/>
      </c>
      <c r="Q454" s="68" t="str">
        <f>IF(main!AC457="","",ROUND(main!AC457*100,6))</f>
        <v/>
      </c>
      <c r="R454" s="68" t="str">
        <f>IF(main!AD457="","",ROUND(main!AD457*100,6))</f>
        <v/>
      </c>
      <c r="S454" s="68" t="str">
        <f>IF(main!AE457="","",ROUND(main!AE457*100,6))</f>
        <v/>
      </c>
      <c r="T454" s="68" t="str">
        <f>IF(main!AF457="","",ROUND(main!AF457*100,6))</f>
        <v/>
      </c>
      <c r="U454" s="68" t="str">
        <f>IF(main!AG457="","",ROUND(main!AG457*100,6))</f>
        <v/>
      </c>
      <c r="V454" s="68" t="str">
        <f>IF(main!AH457="","",ROUND(main!AH457*100,6))</f>
        <v/>
      </c>
      <c r="W454" s="68" t="str">
        <f>IF(main!AI457="","",ROUND(main!AI457*100,6))</f>
        <v/>
      </c>
      <c r="X454" s="68" t="str">
        <f>IF(main!AJ457="","",ROUND(main!AJ457*100,6))</f>
        <v/>
      </c>
      <c r="Y454" s="68" t="str">
        <f>IF(main!AK457="","",ROUND(main!AK457*100,6))</f>
        <v/>
      </c>
      <c r="Z454" s="68" t="str">
        <f>IF(main!AL457="","",ROUND(main!AL457*100,6))</f>
        <v/>
      </c>
      <c r="AA454" s="68" t="str">
        <f>IF(main!AM457="","",ROUND(main!AM457*100,6))</f>
        <v/>
      </c>
      <c r="AB454" s="68" t="str">
        <f>IF(main!AN457="","",ROUND(main!AN457*100,6))</f>
        <v/>
      </c>
      <c r="AC454" s="68" t="str">
        <f>IF(main!AO457="","",ROUND(main!AO457*100,6))</f>
        <v/>
      </c>
      <c r="AD454" s="68" t="str">
        <f>IF(main!AP457="","",ROUND(main!AP457*100,6))</f>
        <v/>
      </c>
      <c r="AE454" s="68" t="str">
        <f>IF(main!AQ457="","",ROUND(main!AQ457*100,6))</f>
        <v/>
      </c>
      <c r="AF454" s="68" t="str">
        <f>IF(main!AR457="","",ROUND(main!AR457*100,6))</f>
        <v/>
      </c>
      <c r="AG454" s="68" t="str">
        <f>IF(main!AS457="","",ROUND(main!AS457*100,6))</f>
        <v/>
      </c>
      <c r="AH454" s="68" t="str">
        <f>IF(main!AT457="","",ROUND(main!AT457*100,6))</f>
        <v/>
      </c>
      <c r="AI454" s="68" t="str">
        <f>IF(main!AU457="","",ROUND(main!AU457*100,6))</f>
        <v/>
      </c>
      <c r="AJ454" s="68" t="str">
        <f>IF(main!AV457="","",ROUND(main!AV457*100,6))</f>
        <v/>
      </c>
      <c r="AK454" s="68" t="str">
        <f>IF(main!AW457="","",ROUND(main!AW457*100,6))</f>
        <v/>
      </c>
      <c r="AL454" s="68" t="str">
        <f>IF(main!AX457="","",ROUND(main!AX457*100,6))</f>
        <v/>
      </c>
      <c r="AM454" s="68" t="str">
        <f>IF(main!AY457="","",ROUND(main!AY457*100,6))</f>
        <v/>
      </c>
      <c r="AN454" s="68" t="str">
        <f>IF(main!AZ457="","",ROUND(main!AZ457*100,6))</f>
        <v/>
      </c>
      <c r="AO454" s="68" t="str">
        <f>IF(main!BA457="","",ROUND(main!BA457*100,6))</f>
        <v/>
      </c>
      <c r="AP454" s="68" t="str">
        <f>IF(main!BB457="","",ROUND(main!BB457*100,6))</f>
        <v/>
      </c>
      <c r="AQ454" s="68" t="str">
        <f>IF(main!BC457="","",ROUND(main!BC457*100,6))</f>
        <v/>
      </c>
      <c r="AR454" s="68" t="str">
        <f>IF(main!BD457="","",ROUND(main!BD457*100,6))</f>
        <v/>
      </c>
      <c r="AS454" s="68" t="str">
        <f>IF(main!BE457="","",ROUND(main!BE457*100,6))</f>
        <v/>
      </c>
      <c r="AT454" s="68" t="str">
        <f>IF(main!BF457="","",ROUND(main!BF457*100,6))</f>
        <v/>
      </c>
      <c r="AU454" s="68" t="str">
        <f>IF(main!BG457="","",ROUND(main!BG457*100,6))</f>
        <v/>
      </c>
      <c r="AV454" s="68" t="str">
        <f>IF(main!BH457="","",ROUND(main!BH457*100,6))</f>
        <v/>
      </c>
      <c r="AW454" s="68" t="str">
        <f>IF(main!BI457="","",ROUND(main!BI457*100,6))</f>
        <v/>
      </c>
      <c r="AX454" s="68" t="str">
        <f>IF(main!BJ457="","",ROUND(main!BJ457*100,6))</f>
        <v/>
      </c>
      <c r="AY454" s="68" t="str">
        <f>IF(main!BK457="","",ROUND(main!BK457*100,6))</f>
        <v/>
      </c>
      <c r="AZ454" s="68">
        <f>IF(main!BL457="","",ROUND(main!BL457*100,6))</f>
        <v>3.8961039999999998</v>
      </c>
      <c r="BA454" s="68">
        <f>IF(main!BM457="","",ROUND(main!BM457*100,6))</f>
        <v>9.0909089999999999</v>
      </c>
      <c r="BB454" s="68">
        <f>IF(main!BN457="","",ROUND(main!BN457*100,6))</f>
        <v>9.0909089999999999</v>
      </c>
      <c r="BC454" s="68">
        <f>IF(main!BO457="","",ROUND(main!BO457*100,6))</f>
        <v>9.0909089999999999</v>
      </c>
      <c r="BD454" s="68">
        <f>IF(main!BP457="","",ROUND(main!BP457*100,6))</f>
        <v>9.0909089999999999</v>
      </c>
      <c r="BE454" s="68">
        <f>IF(main!BQ457="","",ROUND(main!BQ457*100,6))</f>
        <v>9.0909089999999999</v>
      </c>
      <c r="BF454" s="68">
        <f>IF(main!BR457="","",ROUND(main!BR457*100,6))</f>
        <v>9.0909089999999999</v>
      </c>
      <c r="BG454" s="68">
        <f>IF(main!BS457="","",ROUND(main!BS457*100,6))</f>
        <v>9.0909089999999999</v>
      </c>
      <c r="BH454" s="68">
        <f>IF(main!BT457="","",ROUND(main!BT457*100,6))</f>
        <v>9.0909089999999999</v>
      </c>
      <c r="BI454" s="68">
        <f>IF(main!BU457="","",ROUND(main!BU457*100,6))</f>
        <v>9.0909089999999999</v>
      </c>
      <c r="BJ454" s="68">
        <f>IF(main!BV457="","",ROUND(main!BV457*100,6))</f>
        <v>9.0909089999999999</v>
      </c>
      <c r="BK454" s="68">
        <f>IF(main!BW457="","",ROUND(main!BW457*100,6))</f>
        <v>5.1948049999999997</v>
      </c>
      <c r="BL454" s="68" t="str">
        <f>IF(main!BX457="","",ROUND(main!BX457*100,6))</f>
        <v/>
      </c>
      <c r="BM454" s="68" t="str">
        <f>IF(main!BY457="","",ROUND(main!BY457*100,6))</f>
        <v/>
      </c>
      <c r="BN454" s="68" t="str">
        <f>IF(main!BZ457="","",ROUND(main!BZ457*100,6))</f>
        <v/>
      </c>
      <c r="BO454" s="68" t="str">
        <f>IF(main!CA457="","",ROUND(main!CA457*100,6))</f>
        <v/>
      </c>
      <c r="BP454" s="68" t="str">
        <f>IF(main!CB457="","",ROUND(main!CB457*100,6))</f>
        <v/>
      </c>
      <c r="BQ454" s="68" t="str">
        <f>IF(main!CC457="","",ROUND(main!CC457*100,6))</f>
        <v/>
      </c>
      <c r="BR454" s="68" t="str">
        <f>IF(main!CD457="","",ROUND(main!CD457*100,6))</f>
        <v/>
      </c>
      <c r="BS454" s="68" t="str">
        <f>IF(main!CE457="","",ROUND(main!CE457*100,6))</f>
        <v/>
      </c>
      <c r="BT454" s="68" t="str">
        <f>IF(main!CF457="","",ROUND(main!CF457*100,6))</f>
        <v/>
      </c>
      <c r="BU454" s="68" t="str">
        <f>IF(main!CG457="","",ROUND(main!CG457*100,6))</f>
        <v/>
      </c>
      <c r="BV454" s="68" t="str">
        <f>IF(main!CH457="","",ROUND(main!CH457*100,6))</f>
        <v/>
      </c>
      <c r="BW454" s="68" t="str">
        <f>IF(main!CI457="","",ROUND(main!CI457*100,6))</f>
        <v/>
      </c>
      <c r="BX454" s="68" t="str">
        <f>IF(main!CJ457="","",ROUND(main!CJ457*100,6))</f>
        <v/>
      </c>
      <c r="BY454" s="68" t="str">
        <f>IF(main!CK457="","",ROUND(main!CK457*100,6))</f>
        <v/>
      </c>
      <c r="BZ454" s="68" t="str">
        <f>IF(main!CL457="","",ROUND(main!CL457*100,6))</f>
        <v/>
      </c>
      <c r="CA454" s="68" t="str">
        <f>IF(main!CM457="","",ROUND(main!CM457*100,6))</f>
        <v/>
      </c>
      <c r="CB454" s="68" t="str">
        <f>IF(main!CN457="","",ROUND(main!CN457*100,6))</f>
        <v/>
      </c>
      <c r="CC454" s="68" t="str">
        <f>IF(main!CO457="","",ROUND(main!CO457*100,6))</f>
        <v/>
      </c>
    </row>
    <row r="455" spans="1:81" x14ac:dyDescent="0.25">
      <c r="A455" s="65" t="s">
        <v>615</v>
      </c>
      <c r="B455" s="66" t="str">
        <f>main!C457</f>
        <v>Electrical and Communication Main Incomming</v>
      </c>
      <c r="C455" s="67">
        <f>main!O457</f>
        <v>100000</v>
      </c>
      <c r="D455" s="65" t="s">
        <v>111</v>
      </c>
      <c r="E455" s="68" t="str">
        <f t="shared" si="7"/>
        <v/>
      </c>
      <c r="F455" s="68" t="str">
        <f>IF(main!R458="","",ROUND(main!R458*100,6))</f>
        <v/>
      </c>
      <c r="G455" s="68" t="str">
        <f>IF(main!S458="","",ROUND(main!S458*100,6))</f>
        <v/>
      </c>
      <c r="H455" s="68" t="str">
        <f>IF(main!T458="","",ROUND(main!T458*100,6))</f>
        <v/>
      </c>
      <c r="I455" s="68" t="str">
        <f>IF(main!U458="","",ROUND(main!U458*100,6))</f>
        <v/>
      </c>
      <c r="J455" s="68" t="str">
        <f>IF(main!V458="","",ROUND(main!V458*100,6))</f>
        <v/>
      </c>
      <c r="K455" s="68" t="str">
        <f>IF(main!W458="","",ROUND(main!W458*100,6))</f>
        <v/>
      </c>
      <c r="L455" s="68" t="str">
        <f>IF(main!X458="","",ROUND(main!X458*100,6))</f>
        <v/>
      </c>
      <c r="M455" s="68" t="str">
        <f>IF(main!Y458="","",ROUND(main!Y458*100,6))</f>
        <v/>
      </c>
      <c r="N455" s="68" t="str">
        <f>IF(main!Z458="","",ROUND(main!Z458*100,6))</f>
        <v/>
      </c>
      <c r="O455" s="68" t="str">
        <f>IF(main!AA458="","",ROUND(main!AA458*100,6))</f>
        <v/>
      </c>
      <c r="P455" s="68" t="str">
        <f>IF(main!AB458="","",ROUND(main!AB458*100,6))</f>
        <v/>
      </c>
      <c r="Q455" s="68" t="str">
        <f>IF(main!AC458="","",ROUND(main!AC458*100,6))</f>
        <v/>
      </c>
      <c r="R455" s="68" t="str">
        <f>IF(main!AD458="","",ROUND(main!AD458*100,6))</f>
        <v/>
      </c>
      <c r="S455" s="68" t="str">
        <f>IF(main!AE458="","",ROUND(main!AE458*100,6))</f>
        <v/>
      </c>
      <c r="T455" s="68" t="str">
        <f>IF(main!AF458="","",ROUND(main!AF458*100,6))</f>
        <v/>
      </c>
      <c r="U455" s="68" t="str">
        <f>IF(main!AG458="","",ROUND(main!AG458*100,6))</f>
        <v/>
      </c>
      <c r="V455" s="68" t="str">
        <f>IF(main!AH458="","",ROUND(main!AH458*100,6))</f>
        <v/>
      </c>
      <c r="W455" s="68" t="str">
        <f>IF(main!AI458="","",ROUND(main!AI458*100,6))</f>
        <v/>
      </c>
      <c r="X455" s="68" t="str">
        <f>IF(main!AJ458="","",ROUND(main!AJ458*100,6))</f>
        <v/>
      </c>
      <c r="Y455" s="68" t="str">
        <f>IF(main!AK458="","",ROUND(main!AK458*100,6))</f>
        <v/>
      </c>
      <c r="Z455" s="68" t="str">
        <f>IF(main!AL458="","",ROUND(main!AL458*100,6))</f>
        <v/>
      </c>
      <c r="AA455" s="68" t="str">
        <f>IF(main!AM458="","",ROUND(main!AM458*100,6))</f>
        <v/>
      </c>
      <c r="AB455" s="68" t="str">
        <f>IF(main!AN458="","",ROUND(main!AN458*100,6))</f>
        <v/>
      </c>
      <c r="AC455" s="68" t="str">
        <f>IF(main!AO458="","",ROUND(main!AO458*100,6))</f>
        <v/>
      </c>
      <c r="AD455" s="68" t="str">
        <f>IF(main!AP458="","",ROUND(main!AP458*100,6))</f>
        <v/>
      </c>
      <c r="AE455" s="68" t="str">
        <f>IF(main!AQ458="","",ROUND(main!AQ458*100,6))</f>
        <v/>
      </c>
      <c r="AF455" s="68" t="str">
        <f>IF(main!AR458="","",ROUND(main!AR458*100,6))</f>
        <v/>
      </c>
      <c r="AG455" s="68" t="str">
        <f>IF(main!AS458="","",ROUND(main!AS458*100,6))</f>
        <v/>
      </c>
      <c r="AH455" s="68" t="str">
        <f>IF(main!AT458="","",ROUND(main!AT458*100,6))</f>
        <v/>
      </c>
      <c r="AI455" s="68" t="str">
        <f>IF(main!AU458="","",ROUND(main!AU458*100,6))</f>
        <v/>
      </c>
      <c r="AJ455" s="68" t="str">
        <f>IF(main!AV458="","",ROUND(main!AV458*100,6))</f>
        <v/>
      </c>
      <c r="AK455" s="68" t="str">
        <f>IF(main!AW458="","",ROUND(main!AW458*100,6))</f>
        <v/>
      </c>
      <c r="AL455" s="68" t="str">
        <f>IF(main!AX458="","",ROUND(main!AX458*100,6))</f>
        <v/>
      </c>
      <c r="AM455" s="68" t="str">
        <f>IF(main!AY458="","",ROUND(main!AY458*100,6))</f>
        <v/>
      </c>
      <c r="AN455" s="68" t="str">
        <f>IF(main!AZ458="","",ROUND(main!AZ458*100,6))</f>
        <v/>
      </c>
      <c r="AO455" s="68" t="str">
        <f>IF(main!BA458="","",ROUND(main!BA458*100,6))</f>
        <v/>
      </c>
      <c r="AP455" s="68" t="str">
        <f>IF(main!BB458="","",ROUND(main!BB458*100,6))</f>
        <v/>
      </c>
      <c r="AQ455" s="68" t="str">
        <f>IF(main!BC458="","",ROUND(main!BC458*100,6))</f>
        <v/>
      </c>
      <c r="AR455" s="68" t="str">
        <f>IF(main!BD458="","",ROUND(main!BD458*100,6))</f>
        <v/>
      </c>
      <c r="AS455" s="68" t="str">
        <f>IF(main!BE458="","",ROUND(main!BE458*100,6))</f>
        <v/>
      </c>
      <c r="AT455" s="68" t="str">
        <f>IF(main!BF458="","",ROUND(main!BF458*100,6))</f>
        <v/>
      </c>
      <c r="AU455" s="68" t="str">
        <f>IF(main!BG458="","",ROUND(main!BG458*100,6))</f>
        <v/>
      </c>
      <c r="AV455" s="68" t="str">
        <f>IF(main!BH458="","",ROUND(main!BH458*100,6))</f>
        <v/>
      </c>
      <c r="AW455" s="68" t="str">
        <f>IF(main!BI458="","",ROUND(main!BI458*100,6))</f>
        <v/>
      </c>
      <c r="AX455" s="68" t="str">
        <f>IF(main!BJ458="","",ROUND(main!BJ458*100,6))</f>
        <v/>
      </c>
      <c r="AY455" s="68" t="str">
        <f>IF(main!BK458="","",ROUND(main!BK458*100,6))</f>
        <v/>
      </c>
      <c r="AZ455" s="68" t="str">
        <f>IF(main!BL458="","",ROUND(main!BL458*100,6))</f>
        <v/>
      </c>
      <c r="BA455" s="68" t="str">
        <f>IF(main!BM458="","",ROUND(main!BM458*100,6))</f>
        <v/>
      </c>
      <c r="BB455" s="68" t="str">
        <f>IF(main!BN458="","",ROUND(main!BN458*100,6))</f>
        <v/>
      </c>
      <c r="BC455" s="68" t="str">
        <f>IF(main!BO458="","",ROUND(main!BO458*100,6))</f>
        <v/>
      </c>
      <c r="BD455" s="68" t="str">
        <f>IF(main!BP458="","",ROUND(main!BP458*100,6))</f>
        <v/>
      </c>
      <c r="BE455" s="68" t="str">
        <f>IF(main!BQ458="","",ROUND(main!BQ458*100,6))</f>
        <v/>
      </c>
      <c r="BF455" s="68" t="str">
        <f>IF(main!BR458="","",ROUND(main!BR458*100,6))</f>
        <v/>
      </c>
      <c r="BG455" s="68" t="str">
        <f>IF(main!BS458="","",ROUND(main!BS458*100,6))</f>
        <v/>
      </c>
      <c r="BH455" s="68" t="str">
        <f>IF(main!BT458="","",ROUND(main!BT458*100,6))</f>
        <v/>
      </c>
      <c r="BI455" s="68" t="str">
        <f>IF(main!BU458="","",ROUND(main!BU458*100,6))</f>
        <v/>
      </c>
      <c r="BJ455" s="68" t="str">
        <f>IF(main!BV458="","",ROUND(main!BV458*100,6))</f>
        <v/>
      </c>
      <c r="BK455" s="68" t="str">
        <f>IF(main!BW458="","",ROUND(main!BW458*100,6))</f>
        <v/>
      </c>
      <c r="BL455" s="68" t="str">
        <f>IF(main!BX458="","",ROUND(main!BX458*100,6))</f>
        <v/>
      </c>
      <c r="BM455" s="68" t="str">
        <f>IF(main!BY458="","",ROUND(main!BY458*100,6))</f>
        <v/>
      </c>
      <c r="BN455" s="68" t="str">
        <f>IF(main!BZ458="","",ROUND(main!BZ458*100,6))</f>
        <v/>
      </c>
      <c r="BO455" s="68" t="str">
        <f>IF(main!CA458="","",ROUND(main!CA458*100,6))</f>
        <v/>
      </c>
      <c r="BP455" s="68" t="str">
        <f>IF(main!CB458="","",ROUND(main!CB458*100,6))</f>
        <v/>
      </c>
      <c r="BQ455" s="68" t="str">
        <f>IF(main!CC458="","",ROUND(main!CC458*100,6))</f>
        <v/>
      </c>
      <c r="BR455" s="68" t="str">
        <f>IF(main!CD458="","",ROUND(main!CD458*100,6))</f>
        <v/>
      </c>
      <c r="BS455" s="68" t="str">
        <f>IF(main!CE458="","",ROUND(main!CE458*100,6))</f>
        <v/>
      </c>
      <c r="BT455" s="68" t="str">
        <f>IF(main!CF458="","",ROUND(main!CF458*100,6))</f>
        <v/>
      </c>
      <c r="BU455" s="68" t="str">
        <f>IF(main!CG458="","",ROUND(main!CG458*100,6))</f>
        <v/>
      </c>
      <c r="BV455" s="68" t="str">
        <f>IF(main!CH458="","",ROUND(main!CH458*100,6))</f>
        <v/>
      </c>
      <c r="BW455" s="68" t="str">
        <f>IF(main!CI458="","",ROUND(main!CI458*100,6))</f>
        <v/>
      </c>
      <c r="BX455" s="68" t="str">
        <f>IF(main!CJ458="","",ROUND(main!CJ458*100,6))</f>
        <v/>
      </c>
      <c r="BY455" s="68" t="str">
        <f>IF(main!CK458="","",ROUND(main!CK458*100,6))</f>
        <v/>
      </c>
      <c r="BZ455" s="68" t="str">
        <f>IF(main!CL458="","",ROUND(main!CL458*100,6))</f>
        <v/>
      </c>
      <c r="CA455" s="68" t="str">
        <f>IF(main!CM458="","",ROUND(main!CM458*100,6))</f>
        <v/>
      </c>
      <c r="CB455" s="68" t="str">
        <f>IF(main!CN458="","",ROUND(main!CN458*100,6))</f>
        <v/>
      </c>
      <c r="CC455" s="68" t="str">
        <f>IF(main!CO458="","",ROUND(main!CO458*100,6))</f>
        <v/>
      </c>
    </row>
    <row r="456" spans="1:81" x14ac:dyDescent="0.25">
      <c r="A456" s="65" t="s">
        <v>618</v>
      </c>
      <c r="B456" s="66" t="str">
        <f>main!C459</f>
        <v>ติดตั้ง Unit Substation และ Generator Set</v>
      </c>
      <c r="C456" s="67">
        <f>main!O459</f>
        <v>100000</v>
      </c>
      <c r="D456" s="65" t="s">
        <v>110</v>
      </c>
      <c r="E456" s="68">
        <f t="shared" si="7"/>
        <v>99.999995999999996</v>
      </c>
      <c r="F456" s="68" t="str">
        <f>IF(main!R459="","",ROUND(main!R459*100,6))</f>
        <v/>
      </c>
      <c r="G456" s="68" t="str">
        <f>IF(main!S459="","",ROUND(main!S459*100,6))</f>
        <v/>
      </c>
      <c r="H456" s="68" t="str">
        <f>IF(main!T459="","",ROUND(main!T459*100,6))</f>
        <v/>
      </c>
      <c r="I456" s="68" t="str">
        <f>IF(main!U459="","",ROUND(main!U459*100,6))</f>
        <v/>
      </c>
      <c r="J456" s="68" t="str">
        <f>IF(main!V459="","",ROUND(main!V459*100,6))</f>
        <v/>
      </c>
      <c r="K456" s="68" t="str">
        <f>IF(main!W459="","",ROUND(main!W459*100,6))</f>
        <v/>
      </c>
      <c r="L456" s="68" t="str">
        <f>IF(main!X459="","",ROUND(main!X459*100,6))</f>
        <v/>
      </c>
      <c r="M456" s="68" t="str">
        <f>IF(main!Y459="","",ROUND(main!Y459*100,6))</f>
        <v/>
      </c>
      <c r="N456" s="68" t="str">
        <f>IF(main!Z459="","",ROUND(main!Z459*100,6))</f>
        <v/>
      </c>
      <c r="O456" s="68" t="str">
        <f>IF(main!AA459="","",ROUND(main!AA459*100,6))</f>
        <v/>
      </c>
      <c r="P456" s="68" t="str">
        <f>IF(main!AB459="","",ROUND(main!AB459*100,6))</f>
        <v/>
      </c>
      <c r="Q456" s="68" t="str">
        <f>IF(main!AC459="","",ROUND(main!AC459*100,6))</f>
        <v/>
      </c>
      <c r="R456" s="68" t="str">
        <f>IF(main!AD459="","",ROUND(main!AD459*100,6))</f>
        <v/>
      </c>
      <c r="S456" s="68" t="str">
        <f>IF(main!AE459="","",ROUND(main!AE459*100,6))</f>
        <v/>
      </c>
      <c r="T456" s="68" t="str">
        <f>IF(main!AF459="","",ROUND(main!AF459*100,6))</f>
        <v/>
      </c>
      <c r="U456" s="68" t="str">
        <f>IF(main!AG459="","",ROUND(main!AG459*100,6))</f>
        <v/>
      </c>
      <c r="V456" s="68" t="str">
        <f>IF(main!AH459="","",ROUND(main!AH459*100,6))</f>
        <v/>
      </c>
      <c r="W456" s="68" t="str">
        <f>IF(main!AI459="","",ROUND(main!AI459*100,6))</f>
        <v/>
      </c>
      <c r="X456" s="68" t="str">
        <f>IF(main!AJ459="","",ROUND(main!AJ459*100,6))</f>
        <v/>
      </c>
      <c r="Y456" s="68" t="str">
        <f>IF(main!AK459="","",ROUND(main!AK459*100,6))</f>
        <v/>
      </c>
      <c r="Z456" s="68" t="str">
        <f>IF(main!AL459="","",ROUND(main!AL459*100,6))</f>
        <v/>
      </c>
      <c r="AA456" s="68" t="str">
        <f>IF(main!AM459="","",ROUND(main!AM459*100,6))</f>
        <v/>
      </c>
      <c r="AB456" s="68" t="str">
        <f>IF(main!AN459="","",ROUND(main!AN459*100,6))</f>
        <v/>
      </c>
      <c r="AC456" s="68" t="str">
        <f>IF(main!AO459="","",ROUND(main!AO459*100,6))</f>
        <v/>
      </c>
      <c r="AD456" s="68" t="str">
        <f>IF(main!AP459="","",ROUND(main!AP459*100,6))</f>
        <v/>
      </c>
      <c r="AE456" s="68" t="str">
        <f>IF(main!AQ459="","",ROUND(main!AQ459*100,6))</f>
        <v/>
      </c>
      <c r="AF456" s="68" t="str">
        <f>IF(main!AR459="","",ROUND(main!AR459*100,6))</f>
        <v/>
      </c>
      <c r="AG456" s="68" t="str">
        <f>IF(main!AS459="","",ROUND(main!AS459*100,6))</f>
        <v/>
      </c>
      <c r="AH456" s="68" t="str">
        <f>IF(main!AT459="","",ROUND(main!AT459*100,6))</f>
        <v/>
      </c>
      <c r="AI456" s="68" t="str">
        <f>IF(main!AU459="","",ROUND(main!AU459*100,6))</f>
        <v/>
      </c>
      <c r="AJ456" s="68" t="str">
        <f>IF(main!AV459="","",ROUND(main!AV459*100,6))</f>
        <v/>
      </c>
      <c r="AK456" s="68" t="str">
        <f>IF(main!AW459="","",ROUND(main!AW459*100,6))</f>
        <v/>
      </c>
      <c r="AL456" s="68" t="str">
        <f>IF(main!AX459="","",ROUND(main!AX459*100,6))</f>
        <v/>
      </c>
      <c r="AM456" s="68" t="str">
        <f>IF(main!AY459="","",ROUND(main!AY459*100,6))</f>
        <v/>
      </c>
      <c r="AN456" s="68" t="str">
        <f>IF(main!AZ459="","",ROUND(main!AZ459*100,6))</f>
        <v/>
      </c>
      <c r="AO456" s="68" t="str">
        <f>IF(main!BA459="","",ROUND(main!BA459*100,6))</f>
        <v/>
      </c>
      <c r="AP456" s="68" t="str">
        <f>IF(main!BB459="","",ROUND(main!BB459*100,6))</f>
        <v/>
      </c>
      <c r="AQ456" s="68" t="str">
        <f>IF(main!BC459="","",ROUND(main!BC459*100,6))</f>
        <v/>
      </c>
      <c r="AR456" s="68" t="str">
        <f>IF(main!BD459="","",ROUND(main!BD459*100,6))</f>
        <v/>
      </c>
      <c r="AS456" s="68" t="str">
        <f>IF(main!BE459="","",ROUND(main!BE459*100,6))</f>
        <v/>
      </c>
      <c r="AT456" s="68" t="str">
        <f>IF(main!BF459="","",ROUND(main!BF459*100,6))</f>
        <v/>
      </c>
      <c r="AU456" s="68" t="str">
        <f>IF(main!BG459="","",ROUND(main!BG459*100,6))</f>
        <v/>
      </c>
      <c r="AV456" s="68" t="str">
        <f>IF(main!BH459="","",ROUND(main!BH459*100,6))</f>
        <v/>
      </c>
      <c r="AW456" s="68" t="str">
        <f>IF(main!BI459="","",ROUND(main!BI459*100,6))</f>
        <v/>
      </c>
      <c r="AX456" s="68" t="str">
        <f>IF(main!BJ459="","",ROUND(main!BJ459*100,6))</f>
        <v/>
      </c>
      <c r="AY456" s="68" t="str">
        <f>IF(main!BK459="","",ROUND(main!BK459*100,6))</f>
        <v/>
      </c>
      <c r="AZ456" s="68" t="str">
        <f>IF(main!BL459="","",ROUND(main!BL459*100,6))</f>
        <v/>
      </c>
      <c r="BA456" s="68">
        <f>IF(main!BM459="","",ROUND(main!BM459*100,6))</f>
        <v>1.1904760000000001</v>
      </c>
      <c r="BB456" s="68">
        <f>IF(main!BN459="","",ROUND(main!BN459*100,6))</f>
        <v>8.3333329999999997</v>
      </c>
      <c r="BC456" s="68">
        <f>IF(main!BO459="","",ROUND(main!BO459*100,6))</f>
        <v>8.3333329999999997</v>
      </c>
      <c r="BD456" s="68">
        <f>IF(main!BP459="","",ROUND(main!BP459*100,6))</f>
        <v>8.3333329999999997</v>
      </c>
      <c r="BE456" s="68">
        <f>IF(main!BQ459="","",ROUND(main!BQ459*100,6))</f>
        <v>8.3333329999999997</v>
      </c>
      <c r="BF456" s="68">
        <f>IF(main!BR459="","",ROUND(main!BR459*100,6))</f>
        <v>8.3333329999999997</v>
      </c>
      <c r="BG456" s="68">
        <f>IF(main!BS459="","",ROUND(main!BS459*100,6))</f>
        <v>8.3333329999999997</v>
      </c>
      <c r="BH456" s="68">
        <f>IF(main!BT459="","",ROUND(main!BT459*100,6))</f>
        <v>8.3333329999999997</v>
      </c>
      <c r="BI456" s="68">
        <f>IF(main!BU459="","",ROUND(main!BU459*100,6))</f>
        <v>8.3333329999999997</v>
      </c>
      <c r="BJ456" s="68">
        <f>IF(main!BV459="","",ROUND(main!BV459*100,6))</f>
        <v>8.3333329999999997</v>
      </c>
      <c r="BK456" s="68">
        <f>IF(main!BW459="","",ROUND(main!BW459*100,6))</f>
        <v>8.3333329999999997</v>
      </c>
      <c r="BL456" s="68">
        <f>IF(main!BX459="","",ROUND(main!BX459*100,6))</f>
        <v>8.3333329999999997</v>
      </c>
      <c r="BM456" s="68">
        <f>IF(main!BY459="","",ROUND(main!BY459*100,6))</f>
        <v>7.1428570000000002</v>
      </c>
      <c r="BN456" s="68" t="str">
        <f>IF(main!BZ459="","",ROUND(main!BZ459*100,6))</f>
        <v/>
      </c>
      <c r="BO456" s="68" t="str">
        <f>IF(main!CA459="","",ROUND(main!CA459*100,6))</f>
        <v/>
      </c>
      <c r="BP456" s="68" t="str">
        <f>IF(main!CB459="","",ROUND(main!CB459*100,6))</f>
        <v/>
      </c>
      <c r="BQ456" s="68" t="str">
        <f>IF(main!CC459="","",ROUND(main!CC459*100,6))</f>
        <v/>
      </c>
      <c r="BR456" s="68" t="str">
        <f>IF(main!CD459="","",ROUND(main!CD459*100,6))</f>
        <v/>
      </c>
      <c r="BS456" s="68" t="str">
        <f>IF(main!CE459="","",ROUND(main!CE459*100,6))</f>
        <v/>
      </c>
      <c r="BT456" s="68" t="str">
        <f>IF(main!CF459="","",ROUND(main!CF459*100,6))</f>
        <v/>
      </c>
      <c r="BU456" s="68" t="str">
        <f>IF(main!CG459="","",ROUND(main!CG459*100,6))</f>
        <v/>
      </c>
      <c r="BV456" s="68" t="str">
        <f>IF(main!CH459="","",ROUND(main!CH459*100,6))</f>
        <v/>
      </c>
      <c r="BW456" s="68" t="str">
        <f>IF(main!CI459="","",ROUND(main!CI459*100,6))</f>
        <v/>
      </c>
      <c r="BX456" s="68" t="str">
        <f>IF(main!CJ459="","",ROUND(main!CJ459*100,6))</f>
        <v/>
      </c>
      <c r="BY456" s="68" t="str">
        <f>IF(main!CK459="","",ROUND(main!CK459*100,6))</f>
        <v/>
      </c>
      <c r="BZ456" s="68" t="str">
        <f>IF(main!CL459="","",ROUND(main!CL459*100,6))</f>
        <v/>
      </c>
      <c r="CA456" s="68" t="str">
        <f>IF(main!CM459="","",ROUND(main!CM459*100,6))</f>
        <v/>
      </c>
      <c r="CB456" s="68" t="str">
        <f>IF(main!CN459="","",ROUND(main!CN459*100,6))</f>
        <v/>
      </c>
      <c r="CC456" s="68" t="str">
        <f>IF(main!CO459="","",ROUND(main!CO459*100,6))</f>
        <v/>
      </c>
    </row>
    <row r="457" spans="1:81" x14ac:dyDescent="0.25">
      <c r="A457" s="65" t="s">
        <v>618</v>
      </c>
      <c r="B457" s="66" t="str">
        <f>main!C459</f>
        <v>ติดตั้ง Unit Substation และ Generator Set</v>
      </c>
      <c r="C457" s="67">
        <f>main!O459</f>
        <v>100000</v>
      </c>
      <c r="D457" s="65" t="s">
        <v>111</v>
      </c>
      <c r="E457" s="68" t="str">
        <f t="shared" si="7"/>
        <v/>
      </c>
      <c r="F457" s="68" t="str">
        <f>IF(main!R460="","",ROUND(main!R460*100,6))</f>
        <v/>
      </c>
      <c r="G457" s="68" t="str">
        <f>IF(main!S460="","",ROUND(main!S460*100,6))</f>
        <v/>
      </c>
      <c r="H457" s="68" t="str">
        <f>IF(main!T460="","",ROUND(main!T460*100,6))</f>
        <v/>
      </c>
      <c r="I457" s="68" t="str">
        <f>IF(main!U460="","",ROUND(main!U460*100,6))</f>
        <v/>
      </c>
      <c r="J457" s="68" t="str">
        <f>IF(main!V460="","",ROUND(main!V460*100,6))</f>
        <v/>
      </c>
      <c r="K457" s="68" t="str">
        <f>IF(main!W460="","",ROUND(main!W460*100,6))</f>
        <v/>
      </c>
      <c r="L457" s="68" t="str">
        <f>IF(main!X460="","",ROUND(main!X460*100,6))</f>
        <v/>
      </c>
      <c r="M457" s="68" t="str">
        <f>IF(main!Y460="","",ROUND(main!Y460*100,6))</f>
        <v/>
      </c>
      <c r="N457" s="68" t="str">
        <f>IF(main!Z460="","",ROUND(main!Z460*100,6))</f>
        <v/>
      </c>
      <c r="O457" s="68" t="str">
        <f>IF(main!AA460="","",ROUND(main!AA460*100,6))</f>
        <v/>
      </c>
      <c r="P457" s="68" t="str">
        <f>IF(main!AB460="","",ROUND(main!AB460*100,6))</f>
        <v/>
      </c>
      <c r="Q457" s="68" t="str">
        <f>IF(main!AC460="","",ROUND(main!AC460*100,6))</f>
        <v/>
      </c>
      <c r="R457" s="68" t="str">
        <f>IF(main!AD460="","",ROUND(main!AD460*100,6))</f>
        <v/>
      </c>
      <c r="S457" s="68" t="str">
        <f>IF(main!AE460="","",ROUND(main!AE460*100,6))</f>
        <v/>
      </c>
      <c r="T457" s="68" t="str">
        <f>IF(main!AF460="","",ROUND(main!AF460*100,6))</f>
        <v/>
      </c>
      <c r="U457" s="68" t="str">
        <f>IF(main!AG460="","",ROUND(main!AG460*100,6))</f>
        <v/>
      </c>
      <c r="V457" s="68" t="str">
        <f>IF(main!AH460="","",ROUND(main!AH460*100,6))</f>
        <v/>
      </c>
      <c r="W457" s="68" t="str">
        <f>IF(main!AI460="","",ROUND(main!AI460*100,6))</f>
        <v/>
      </c>
      <c r="X457" s="68" t="str">
        <f>IF(main!AJ460="","",ROUND(main!AJ460*100,6))</f>
        <v/>
      </c>
      <c r="Y457" s="68" t="str">
        <f>IF(main!AK460="","",ROUND(main!AK460*100,6))</f>
        <v/>
      </c>
      <c r="Z457" s="68" t="str">
        <f>IF(main!AL460="","",ROUND(main!AL460*100,6))</f>
        <v/>
      </c>
      <c r="AA457" s="68" t="str">
        <f>IF(main!AM460="","",ROUND(main!AM460*100,6))</f>
        <v/>
      </c>
      <c r="AB457" s="68" t="str">
        <f>IF(main!AN460="","",ROUND(main!AN460*100,6))</f>
        <v/>
      </c>
      <c r="AC457" s="68" t="str">
        <f>IF(main!AO460="","",ROUND(main!AO460*100,6))</f>
        <v/>
      </c>
      <c r="AD457" s="68" t="str">
        <f>IF(main!AP460="","",ROUND(main!AP460*100,6))</f>
        <v/>
      </c>
      <c r="AE457" s="68" t="str">
        <f>IF(main!AQ460="","",ROUND(main!AQ460*100,6))</f>
        <v/>
      </c>
      <c r="AF457" s="68" t="str">
        <f>IF(main!AR460="","",ROUND(main!AR460*100,6))</f>
        <v/>
      </c>
      <c r="AG457" s="68" t="str">
        <f>IF(main!AS460="","",ROUND(main!AS460*100,6))</f>
        <v/>
      </c>
      <c r="AH457" s="68" t="str">
        <f>IF(main!AT460="","",ROUND(main!AT460*100,6))</f>
        <v/>
      </c>
      <c r="AI457" s="68" t="str">
        <f>IF(main!AU460="","",ROUND(main!AU460*100,6))</f>
        <v/>
      </c>
      <c r="AJ457" s="68" t="str">
        <f>IF(main!AV460="","",ROUND(main!AV460*100,6))</f>
        <v/>
      </c>
      <c r="AK457" s="68" t="str">
        <f>IF(main!AW460="","",ROUND(main!AW460*100,6))</f>
        <v/>
      </c>
      <c r="AL457" s="68" t="str">
        <f>IF(main!AX460="","",ROUND(main!AX460*100,6))</f>
        <v/>
      </c>
      <c r="AM457" s="68" t="str">
        <f>IF(main!AY460="","",ROUND(main!AY460*100,6))</f>
        <v/>
      </c>
      <c r="AN457" s="68" t="str">
        <f>IF(main!AZ460="","",ROUND(main!AZ460*100,6))</f>
        <v/>
      </c>
      <c r="AO457" s="68" t="str">
        <f>IF(main!BA460="","",ROUND(main!BA460*100,6))</f>
        <v/>
      </c>
      <c r="AP457" s="68" t="str">
        <f>IF(main!BB460="","",ROUND(main!BB460*100,6))</f>
        <v/>
      </c>
      <c r="AQ457" s="68" t="str">
        <f>IF(main!BC460="","",ROUND(main!BC460*100,6))</f>
        <v/>
      </c>
      <c r="AR457" s="68" t="str">
        <f>IF(main!BD460="","",ROUND(main!BD460*100,6))</f>
        <v/>
      </c>
      <c r="AS457" s="68" t="str">
        <f>IF(main!BE460="","",ROUND(main!BE460*100,6))</f>
        <v/>
      </c>
      <c r="AT457" s="68" t="str">
        <f>IF(main!BF460="","",ROUND(main!BF460*100,6))</f>
        <v/>
      </c>
      <c r="AU457" s="68" t="str">
        <f>IF(main!BG460="","",ROUND(main!BG460*100,6))</f>
        <v/>
      </c>
      <c r="AV457" s="68" t="str">
        <f>IF(main!BH460="","",ROUND(main!BH460*100,6))</f>
        <v/>
      </c>
      <c r="AW457" s="68" t="str">
        <f>IF(main!BI460="","",ROUND(main!BI460*100,6))</f>
        <v/>
      </c>
      <c r="AX457" s="68" t="str">
        <f>IF(main!BJ460="","",ROUND(main!BJ460*100,6))</f>
        <v/>
      </c>
      <c r="AY457" s="68" t="str">
        <f>IF(main!BK460="","",ROUND(main!BK460*100,6))</f>
        <v/>
      </c>
      <c r="AZ457" s="68" t="str">
        <f>IF(main!BL460="","",ROUND(main!BL460*100,6))</f>
        <v/>
      </c>
      <c r="BA457" s="68" t="str">
        <f>IF(main!BM460="","",ROUND(main!BM460*100,6))</f>
        <v/>
      </c>
      <c r="BB457" s="68" t="str">
        <f>IF(main!BN460="","",ROUND(main!BN460*100,6))</f>
        <v/>
      </c>
      <c r="BC457" s="68" t="str">
        <f>IF(main!BO460="","",ROUND(main!BO460*100,6))</f>
        <v/>
      </c>
      <c r="BD457" s="68" t="str">
        <f>IF(main!BP460="","",ROUND(main!BP460*100,6))</f>
        <v/>
      </c>
      <c r="BE457" s="68" t="str">
        <f>IF(main!BQ460="","",ROUND(main!BQ460*100,6))</f>
        <v/>
      </c>
      <c r="BF457" s="68" t="str">
        <f>IF(main!BR460="","",ROUND(main!BR460*100,6))</f>
        <v/>
      </c>
      <c r="BG457" s="68" t="str">
        <f>IF(main!BS460="","",ROUND(main!BS460*100,6))</f>
        <v/>
      </c>
      <c r="BH457" s="68" t="str">
        <f>IF(main!BT460="","",ROUND(main!BT460*100,6))</f>
        <v/>
      </c>
      <c r="BI457" s="68" t="str">
        <f>IF(main!BU460="","",ROUND(main!BU460*100,6))</f>
        <v/>
      </c>
      <c r="BJ457" s="68" t="str">
        <f>IF(main!BV460="","",ROUND(main!BV460*100,6))</f>
        <v/>
      </c>
      <c r="BK457" s="68" t="str">
        <f>IF(main!BW460="","",ROUND(main!BW460*100,6))</f>
        <v/>
      </c>
      <c r="BL457" s="68" t="str">
        <f>IF(main!BX460="","",ROUND(main!BX460*100,6))</f>
        <v/>
      </c>
      <c r="BM457" s="68" t="str">
        <f>IF(main!BY460="","",ROUND(main!BY460*100,6))</f>
        <v/>
      </c>
      <c r="BN457" s="68" t="str">
        <f>IF(main!BZ460="","",ROUND(main!BZ460*100,6))</f>
        <v/>
      </c>
      <c r="BO457" s="68" t="str">
        <f>IF(main!CA460="","",ROUND(main!CA460*100,6))</f>
        <v/>
      </c>
      <c r="BP457" s="68" t="str">
        <f>IF(main!CB460="","",ROUND(main!CB460*100,6))</f>
        <v/>
      </c>
      <c r="BQ457" s="68" t="str">
        <f>IF(main!CC460="","",ROUND(main!CC460*100,6))</f>
        <v/>
      </c>
      <c r="BR457" s="68" t="str">
        <f>IF(main!CD460="","",ROUND(main!CD460*100,6))</f>
        <v/>
      </c>
      <c r="BS457" s="68" t="str">
        <f>IF(main!CE460="","",ROUND(main!CE460*100,6))</f>
        <v/>
      </c>
      <c r="BT457" s="68" t="str">
        <f>IF(main!CF460="","",ROUND(main!CF460*100,6))</f>
        <v/>
      </c>
      <c r="BU457" s="68" t="str">
        <f>IF(main!CG460="","",ROUND(main!CG460*100,6))</f>
        <v/>
      </c>
      <c r="BV457" s="68" t="str">
        <f>IF(main!CH460="","",ROUND(main!CH460*100,6))</f>
        <v/>
      </c>
      <c r="BW457" s="68" t="str">
        <f>IF(main!CI460="","",ROUND(main!CI460*100,6))</f>
        <v/>
      </c>
      <c r="BX457" s="68" t="str">
        <f>IF(main!CJ460="","",ROUND(main!CJ460*100,6))</f>
        <v/>
      </c>
      <c r="BY457" s="68" t="str">
        <f>IF(main!CK460="","",ROUND(main!CK460*100,6))</f>
        <v/>
      </c>
      <c r="BZ457" s="68" t="str">
        <f>IF(main!CL460="","",ROUND(main!CL460*100,6))</f>
        <v/>
      </c>
      <c r="CA457" s="68" t="str">
        <f>IF(main!CM460="","",ROUND(main!CM460*100,6))</f>
        <v/>
      </c>
      <c r="CB457" s="68" t="str">
        <f>IF(main!CN460="","",ROUND(main!CN460*100,6))</f>
        <v/>
      </c>
      <c r="CC457" s="68" t="str">
        <f>IF(main!CO460="","",ROUND(main!CO460*100,6))</f>
        <v/>
      </c>
    </row>
    <row r="458" spans="1:81" x14ac:dyDescent="0.25">
      <c r="A458" s="65" t="s">
        <v>621</v>
      </c>
      <c r="B458" s="66" t="str">
        <f>main!C461</f>
        <v>Grounding System</v>
      </c>
      <c r="C458" s="67">
        <f>main!O461</f>
        <v>100000</v>
      </c>
      <c r="D458" s="65" t="s">
        <v>110</v>
      </c>
      <c r="E458" s="68">
        <f t="shared" si="7"/>
        <v>100</v>
      </c>
      <c r="F458" s="68" t="str">
        <f>IF(main!R461="","",ROUND(main!R461*100,6))</f>
        <v/>
      </c>
      <c r="G458" s="68" t="str">
        <f>IF(main!S461="","",ROUND(main!S461*100,6))</f>
        <v/>
      </c>
      <c r="H458" s="68" t="str">
        <f>IF(main!T461="","",ROUND(main!T461*100,6))</f>
        <v/>
      </c>
      <c r="I458" s="68" t="str">
        <f>IF(main!U461="","",ROUND(main!U461*100,6))</f>
        <v/>
      </c>
      <c r="J458" s="68" t="str">
        <f>IF(main!V461="","",ROUND(main!V461*100,6))</f>
        <v/>
      </c>
      <c r="K458" s="68" t="str">
        <f>IF(main!W461="","",ROUND(main!W461*100,6))</f>
        <v/>
      </c>
      <c r="L458" s="68" t="str">
        <f>IF(main!X461="","",ROUND(main!X461*100,6))</f>
        <v/>
      </c>
      <c r="M458" s="68" t="str">
        <f>IF(main!Y461="","",ROUND(main!Y461*100,6))</f>
        <v/>
      </c>
      <c r="N458" s="68" t="str">
        <f>IF(main!Z461="","",ROUND(main!Z461*100,6))</f>
        <v/>
      </c>
      <c r="O458" s="68" t="str">
        <f>IF(main!AA461="","",ROUND(main!AA461*100,6))</f>
        <v/>
      </c>
      <c r="P458" s="68" t="str">
        <f>IF(main!AB461="","",ROUND(main!AB461*100,6))</f>
        <v/>
      </c>
      <c r="Q458" s="68" t="str">
        <f>IF(main!AC461="","",ROUND(main!AC461*100,6))</f>
        <v/>
      </c>
      <c r="R458" s="68" t="str">
        <f>IF(main!AD461="","",ROUND(main!AD461*100,6))</f>
        <v/>
      </c>
      <c r="S458" s="68" t="str">
        <f>IF(main!AE461="","",ROUND(main!AE461*100,6))</f>
        <v/>
      </c>
      <c r="T458" s="68" t="str">
        <f>IF(main!AF461="","",ROUND(main!AF461*100,6))</f>
        <v/>
      </c>
      <c r="U458" s="68" t="str">
        <f>IF(main!AG461="","",ROUND(main!AG461*100,6))</f>
        <v/>
      </c>
      <c r="V458" s="68" t="str">
        <f>IF(main!AH461="","",ROUND(main!AH461*100,6))</f>
        <v/>
      </c>
      <c r="W458" s="68" t="str">
        <f>IF(main!AI461="","",ROUND(main!AI461*100,6))</f>
        <v/>
      </c>
      <c r="X458" s="68" t="str">
        <f>IF(main!AJ461="","",ROUND(main!AJ461*100,6))</f>
        <v/>
      </c>
      <c r="Y458" s="68" t="str">
        <f>IF(main!AK461="","",ROUND(main!AK461*100,6))</f>
        <v/>
      </c>
      <c r="Z458" s="68" t="str">
        <f>IF(main!AL461="","",ROUND(main!AL461*100,6))</f>
        <v/>
      </c>
      <c r="AA458" s="68" t="str">
        <f>IF(main!AM461="","",ROUND(main!AM461*100,6))</f>
        <v/>
      </c>
      <c r="AB458" s="68" t="str">
        <f>IF(main!AN461="","",ROUND(main!AN461*100,6))</f>
        <v/>
      </c>
      <c r="AC458" s="68" t="str">
        <f>IF(main!AO461="","",ROUND(main!AO461*100,6))</f>
        <v/>
      </c>
      <c r="AD458" s="68" t="str">
        <f>IF(main!AP461="","",ROUND(main!AP461*100,6))</f>
        <v/>
      </c>
      <c r="AE458" s="68" t="str">
        <f>IF(main!AQ461="","",ROUND(main!AQ461*100,6))</f>
        <v/>
      </c>
      <c r="AF458" s="68" t="str">
        <f>IF(main!AR461="","",ROUND(main!AR461*100,6))</f>
        <v/>
      </c>
      <c r="AG458" s="68" t="str">
        <f>IF(main!AS461="","",ROUND(main!AS461*100,6))</f>
        <v/>
      </c>
      <c r="AH458" s="68" t="str">
        <f>IF(main!AT461="","",ROUND(main!AT461*100,6))</f>
        <v/>
      </c>
      <c r="AI458" s="68" t="str">
        <f>IF(main!AU461="","",ROUND(main!AU461*100,6))</f>
        <v/>
      </c>
      <c r="AJ458" s="68" t="str">
        <f>IF(main!AV461="","",ROUND(main!AV461*100,6))</f>
        <v/>
      </c>
      <c r="AK458" s="68" t="str">
        <f>IF(main!AW461="","",ROUND(main!AW461*100,6))</f>
        <v/>
      </c>
      <c r="AL458" s="68" t="str">
        <f>IF(main!AX461="","",ROUND(main!AX461*100,6))</f>
        <v/>
      </c>
      <c r="AM458" s="68" t="str">
        <f>IF(main!AY461="","",ROUND(main!AY461*100,6))</f>
        <v/>
      </c>
      <c r="AN458" s="68" t="str">
        <f>IF(main!AZ461="","",ROUND(main!AZ461*100,6))</f>
        <v/>
      </c>
      <c r="AO458" s="68" t="str">
        <f>IF(main!BA461="","",ROUND(main!BA461*100,6))</f>
        <v/>
      </c>
      <c r="AP458" s="68" t="str">
        <f>IF(main!BB461="","",ROUND(main!BB461*100,6))</f>
        <v/>
      </c>
      <c r="AQ458" s="68" t="str">
        <f>IF(main!BC461="","",ROUND(main!BC461*100,6))</f>
        <v/>
      </c>
      <c r="AR458" s="68" t="str">
        <f>IF(main!BD461="","",ROUND(main!BD461*100,6))</f>
        <v/>
      </c>
      <c r="AS458" s="68" t="str">
        <f>IF(main!BE461="","",ROUND(main!BE461*100,6))</f>
        <v/>
      </c>
      <c r="AT458" s="68" t="str">
        <f>IF(main!BF461="","",ROUND(main!BF461*100,6))</f>
        <v/>
      </c>
      <c r="AU458" s="68" t="str">
        <f>IF(main!BG461="","",ROUND(main!BG461*100,6))</f>
        <v/>
      </c>
      <c r="AV458" s="68" t="str">
        <f>IF(main!BH461="","",ROUND(main!BH461*100,6))</f>
        <v/>
      </c>
      <c r="AW458" s="68" t="str">
        <f>IF(main!BI461="","",ROUND(main!BI461*100,6))</f>
        <v/>
      </c>
      <c r="AX458" s="68" t="str">
        <f>IF(main!BJ461="","",ROUND(main!BJ461*100,6))</f>
        <v/>
      </c>
      <c r="AY458" s="68" t="str">
        <f>IF(main!BK461="","",ROUND(main!BK461*100,6))</f>
        <v/>
      </c>
      <c r="AZ458" s="68" t="str">
        <f>IF(main!BL461="","",ROUND(main!BL461*100,6))</f>
        <v/>
      </c>
      <c r="BA458" s="68">
        <f>IF(main!BM461="","",ROUND(main!BM461*100,6))</f>
        <v>1.428571</v>
      </c>
      <c r="BB458" s="68">
        <f>IF(main!BN461="","",ROUND(main!BN461*100,6))</f>
        <v>10</v>
      </c>
      <c r="BC458" s="68">
        <f>IF(main!BO461="","",ROUND(main!BO461*100,6))</f>
        <v>10</v>
      </c>
      <c r="BD458" s="68">
        <f>IF(main!BP461="","",ROUND(main!BP461*100,6))</f>
        <v>10</v>
      </c>
      <c r="BE458" s="68">
        <f>IF(main!BQ461="","",ROUND(main!BQ461*100,6))</f>
        <v>10</v>
      </c>
      <c r="BF458" s="68">
        <f>IF(main!BR461="","",ROUND(main!BR461*100,6))</f>
        <v>10</v>
      </c>
      <c r="BG458" s="68">
        <f>IF(main!BS461="","",ROUND(main!BS461*100,6))</f>
        <v>10</v>
      </c>
      <c r="BH458" s="68">
        <f>IF(main!BT461="","",ROUND(main!BT461*100,6))</f>
        <v>10</v>
      </c>
      <c r="BI458" s="68">
        <f>IF(main!BU461="","",ROUND(main!BU461*100,6))</f>
        <v>10</v>
      </c>
      <c r="BJ458" s="68">
        <f>IF(main!BV461="","",ROUND(main!BV461*100,6))</f>
        <v>10</v>
      </c>
      <c r="BK458" s="68">
        <f>IF(main!BW461="","",ROUND(main!BW461*100,6))</f>
        <v>8.5714290000000002</v>
      </c>
      <c r="BL458" s="68" t="str">
        <f>IF(main!BX461="","",ROUND(main!BX461*100,6))</f>
        <v/>
      </c>
      <c r="BM458" s="68" t="str">
        <f>IF(main!BY461="","",ROUND(main!BY461*100,6))</f>
        <v/>
      </c>
      <c r="BN458" s="68" t="str">
        <f>IF(main!BZ461="","",ROUND(main!BZ461*100,6))</f>
        <v/>
      </c>
      <c r="BO458" s="68" t="str">
        <f>IF(main!CA461="","",ROUND(main!CA461*100,6))</f>
        <v/>
      </c>
      <c r="BP458" s="68" t="str">
        <f>IF(main!CB461="","",ROUND(main!CB461*100,6))</f>
        <v/>
      </c>
      <c r="BQ458" s="68" t="str">
        <f>IF(main!CC461="","",ROUND(main!CC461*100,6))</f>
        <v/>
      </c>
      <c r="BR458" s="68" t="str">
        <f>IF(main!CD461="","",ROUND(main!CD461*100,6))</f>
        <v/>
      </c>
      <c r="BS458" s="68" t="str">
        <f>IF(main!CE461="","",ROUND(main!CE461*100,6))</f>
        <v/>
      </c>
      <c r="BT458" s="68" t="str">
        <f>IF(main!CF461="","",ROUND(main!CF461*100,6))</f>
        <v/>
      </c>
      <c r="BU458" s="68" t="str">
        <f>IF(main!CG461="","",ROUND(main!CG461*100,6))</f>
        <v/>
      </c>
      <c r="BV458" s="68" t="str">
        <f>IF(main!CH461="","",ROUND(main!CH461*100,6))</f>
        <v/>
      </c>
      <c r="BW458" s="68" t="str">
        <f>IF(main!CI461="","",ROUND(main!CI461*100,6))</f>
        <v/>
      </c>
      <c r="BX458" s="68" t="str">
        <f>IF(main!CJ461="","",ROUND(main!CJ461*100,6))</f>
        <v/>
      </c>
      <c r="BY458" s="68" t="str">
        <f>IF(main!CK461="","",ROUND(main!CK461*100,6))</f>
        <v/>
      </c>
      <c r="BZ458" s="68" t="str">
        <f>IF(main!CL461="","",ROUND(main!CL461*100,6))</f>
        <v/>
      </c>
      <c r="CA458" s="68" t="str">
        <f>IF(main!CM461="","",ROUND(main!CM461*100,6))</f>
        <v/>
      </c>
      <c r="CB458" s="68" t="str">
        <f>IF(main!CN461="","",ROUND(main!CN461*100,6))</f>
        <v/>
      </c>
      <c r="CC458" s="68" t="str">
        <f>IF(main!CO461="","",ROUND(main!CO461*100,6))</f>
        <v/>
      </c>
    </row>
    <row r="459" spans="1:81" x14ac:dyDescent="0.25">
      <c r="A459" s="65" t="s">
        <v>621</v>
      </c>
      <c r="B459" s="66" t="str">
        <f>main!C461</f>
        <v>Grounding System</v>
      </c>
      <c r="C459" s="67">
        <f>main!O461</f>
        <v>100000</v>
      </c>
      <c r="D459" s="65" t="s">
        <v>111</v>
      </c>
      <c r="E459" s="68" t="str">
        <f t="shared" si="7"/>
        <v/>
      </c>
      <c r="F459" s="68" t="str">
        <f>IF(main!R462="","",ROUND(main!R462*100,6))</f>
        <v/>
      </c>
      <c r="G459" s="68" t="str">
        <f>IF(main!S462="","",ROUND(main!S462*100,6))</f>
        <v/>
      </c>
      <c r="H459" s="68" t="str">
        <f>IF(main!T462="","",ROUND(main!T462*100,6))</f>
        <v/>
      </c>
      <c r="I459" s="68" t="str">
        <f>IF(main!U462="","",ROUND(main!U462*100,6))</f>
        <v/>
      </c>
      <c r="J459" s="68" t="str">
        <f>IF(main!V462="","",ROUND(main!V462*100,6))</f>
        <v/>
      </c>
      <c r="K459" s="68" t="str">
        <f>IF(main!W462="","",ROUND(main!W462*100,6))</f>
        <v/>
      </c>
      <c r="L459" s="68" t="str">
        <f>IF(main!X462="","",ROUND(main!X462*100,6))</f>
        <v/>
      </c>
      <c r="M459" s="68" t="str">
        <f>IF(main!Y462="","",ROUND(main!Y462*100,6))</f>
        <v/>
      </c>
      <c r="N459" s="68" t="str">
        <f>IF(main!Z462="","",ROUND(main!Z462*100,6))</f>
        <v/>
      </c>
      <c r="O459" s="68" t="str">
        <f>IF(main!AA462="","",ROUND(main!AA462*100,6))</f>
        <v/>
      </c>
      <c r="P459" s="68" t="str">
        <f>IF(main!AB462="","",ROUND(main!AB462*100,6))</f>
        <v/>
      </c>
      <c r="Q459" s="68" t="str">
        <f>IF(main!AC462="","",ROUND(main!AC462*100,6))</f>
        <v/>
      </c>
      <c r="R459" s="68" t="str">
        <f>IF(main!AD462="","",ROUND(main!AD462*100,6))</f>
        <v/>
      </c>
      <c r="S459" s="68" t="str">
        <f>IF(main!AE462="","",ROUND(main!AE462*100,6))</f>
        <v/>
      </c>
      <c r="T459" s="68" t="str">
        <f>IF(main!AF462="","",ROUND(main!AF462*100,6))</f>
        <v/>
      </c>
      <c r="U459" s="68" t="str">
        <f>IF(main!AG462="","",ROUND(main!AG462*100,6))</f>
        <v/>
      </c>
      <c r="V459" s="68" t="str">
        <f>IF(main!AH462="","",ROUND(main!AH462*100,6))</f>
        <v/>
      </c>
      <c r="W459" s="68" t="str">
        <f>IF(main!AI462="","",ROUND(main!AI462*100,6))</f>
        <v/>
      </c>
      <c r="X459" s="68" t="str">
        <f>IF(main!AJ462="","",ROUND(main!AJ462*100,6))</f>
        <v/>
      </c>
      <c r="Y459" s="68" t="str">
        <f>IF(main!AK462="","",ROUND(main!AK462*100,6))</f>
        <v/>
      </c>
      <c r="Z459" s="68" t="str">
        <f>IF(main!AL462="","",ROUND(main!AL462*100,6))</f>
        <v/>
      </c>
      <c r="AA459" s="68" t="str">
        <f>IF(main!AM462="","",ROUND(main!AM462*100,6))</f>
        <v/>
      </c>
      <c r="AB459" s="68" t="str">
        <f>IF(main!AN462="","",ROUND(main!AN462*100,6))</f>
        <v/>
      </c>
      <c r="AC459" s="68" t="str">
        <f>IF(main!AO462="","",ROUND(main!AO462*100,6))</f>
        <v/>
      </c>
      <c r="AD459" s="68" t="str">
        <f>IF(main!AP462="","",ROUND(main!AP462*100,6))</f>
        <v/>
      </c>
      <c r="AE459" s="68" t="str">
        <f>IF(main!AQ462="","",ROUND(main!AQ462*100,6))</f>
        <v/>
      </c>
      <c r="AF459" s="68" t="str">
        <f>IF(main!AR462="","",ROUND(main!AR462*100,6))</f>
        <v/>
      </c>
      <c r="AG459" s="68" t="str">
        <f>IF(main!AS462="","",ROUND(main!AS462*100,6))</f>
        <v/>
      </c>
      <c r="AH459" s="68" t="str">
        <f>IF(main!AT462="","",ROUND(main!AT462*100,6))</f>
        <v/>
      </c>
      <c r="AI459" s="68" t="str">
        <f>IF(main!AU462="","",ROUND(main!AU462*100,6))</f>
        <v/>
      </c>
      <c r="AJ459" s="68" t="str">
        <f>IF(main!AV462="","",ROUND(main!AV462*100,6))</f>
        <v/>
      </c>
      <c r="AK459" s="68" t="str">
        <f>IF(main!AW462="","",ROUND(main!AW462*100,6))</f>
        <v/>
      </c>
      <c r="AL459" s="68" t="str">
        <f>IF(main!AX462="","",ROUND(main!AX462*100,6))</f>
        <v/>
      </c>
      <c r="AM459" s="68" t="str">
        <f>IF(main!AY462="","",ROUND(main!AY462*100,6))</f>
        <v/>
      </c>
      <c r="AN459" s="68" t="str">
        <f>IF(main!AZ462="","",ROUND(main!AZ462*100,6))</f>
        <v/>
      </c>
      <c r="AO459" s="68" t="str">
        <f>IF(main!BA462="","",ROUND(main!BA462*100,6))</f>
        <v/>
      </c>
      <c r="AP459" s="68" t="str">
        <f>IF(main!BB462="","",ROUND(main!BB462*100,6))</f>
        <v/>
      </c>
      <c r="AQ459" s="68" t="str">
        <f>IF(main!BC462="","",ROUND(main!BC462*100,6))</f>
        <v/>
      </c>
      <c r="AR459" s="68" t="str">
        <f>IF(main!BD462="","",ROUND(main!BD462*100,6))</f>
        <v/>
      </c>
      <c r="AS459" s="68" t="str">
        <f>IF(main!BE462="","",ROUND(main!BE462*100,6))</f>
        <v/>
      </c>
      <c r="AT459" s="68" t="str">
        <f>IF(main!BF462="","",ROUND(main!BF462*100,6))</f>
        <v/>
      </c>
      <c r="AU459" s="68" t="str">
        <f>IF(main!BG462="","",ROUND(main!BG462*100,6))</f>
        <v/>
      </c>
      <c r="AV459" s="68" t="str">
        <f>IF(main!BH462="","",ROUND(main!BH462*100,6))</f>
        <v/>
      </c>
      <c r="AW459" s="68" t="str">
        <f>IF(main!BI462="","",ROUND(main!BI462*100,6))</f>
        <v/>
      </c>
      <c r="AX459" s="68" t="str">
        <f>IF(main!BJ462="","",ROUND(main!BJ462*100,6))</f>
        <v/>
      </c>
      <c r="AY459" s="68" t="str">
        <f>IF(main!BK462="","",ROUND(main!BK462*100,6))</f>
        <v/>
      </c>
      <c r="AZ459" s="68" t="str">
        <f>IF(main!BL462="","",ROUND(main!BL462*100,6))</f>
        <v/>
      </c>
      <c r="BA459" s="68" t="str">
        <f>IF(main!BM462="","",ROUND(main!BM462*100,6))</f>
        <v/>
      </c>
      <c r="BB459" s="68" t="str">
        <f>IF(main!BN462="","",ROUND(main!BN462*100,6))</f>
        <v/>
      </c>
      <c r="BC459" s="68" t="str">
        <f>IF(main!BO462="","",ROUND(main!BO462*100,6))</f>
        <v/>
      </c>
      <c r="BD459" s="68" t="str">
        <f>IF(main!BP462="","",ROUND(main!BP462*100,6))</f>
        <v/>
      </c>
      <c r="BE459" s="68" t="str">
        <f>IF(main!BQ462="","",ROUND(main!BQ462*100,6))</f>
        <v/>
      </c>
      <c r="BF459" s="68" t="str">
        <f>IF(main!BR462="","",ROUND(main!BR462*100,6))</f>
        <v/>
      </c>
      <c r="BG459" s="68" t="str">
        <f>IF(main!BS462="","",ROUND(main!BS462*100,6))</f>
        <v/>
      </c>
      <c r="BH459" s="68" t="str">
        <f>IF(main!BT462="","",ROUND(main!BT462*100,6))</f>
        <v/>
      </c>
      <c r="BI459" s="68" t="str">
        <f>IF(main!BU462="","",ROUND(main!BU462*100,6))</f>
        <v/>
      </c>
      <c r="BJ459" s="68" t="str">
        <f>IF(main!BV462="","",ROUND(main!BV462*100,6))</f>
        <v/>
      </c>
      <c r="BK459" s="68" t="str">
        <f>IF(main!BW462="","",ROUND(main!BW462*100,6))</f>
        <v/>
      </c>
      <c r="BL459" s="68" t="str">
        <f>IF(main!BX462="","",ROUND(main!BX462*100,6))</f>
        <v/>
      </c>
      <c r="BM459" s="68" t="str">
        <f>IF(main!BY462="","",ROUND(main!BY462*100,6))</f>
        <v/>
      </c>
      <c r="BN459" s="68" t="str">
        <f>IF(main!BZ462="","",ROUND(main!BZ462*100,6))</f>
        <v/>
      </c>
      <c r="BO459" s="68" t="str">
        <f>IF(main!CA462="","",ROUND(main!CA462*100,6))</f>
        <v/>
      </c>
      <c r="BP459" s="68" t="str">
        <f>IF(main!CB462="","",ROUND(main!CB462*100,6))</f>
        <v/>
      </c>
      <c r="BQ459" s="68" t="str">
        <f>IF(main!CC462="","",ROUND(main!CC462*100,6))</f>
        <v/>
      </c>
      <c r="BR459" s="68" t="str">
        <f>IF(main!CD462="","",ROUND(main!CD462*100,6))</f>
        <v/>
      </c>
      <c r="BS459" s="68" t="str">
        <f>IF(main!CE462="","",ROUND(main!CE462*100,6))</f>
        <v/>
      </c>
      <c r="BT459" s="68" t="str">
        <f>IF(main!CF462="","",ROUND(main!CF462*100,6))</f>
        <v/>
      </c>
      <c r="BU459" s="68" t="str">
        <f>IF(main!CG462="","",ROUND(main!CG462*100,6))</f>
        <v/>
      </c>
      <c r="BV459" s="68" t="str">
        <f>IF(main!CH462="","",ROUND(main!CH462*100,6))</f>
        <v/>
      </c>
      <c r="BW459" s="68" t="str">
        <f>IF(main!CI462="","",ROUND(main!CI462*100,6))</f>
        <v/>
      </c>
      <c r="BX459" s="68" t="str">
        <f>IF(main!CJ462="","",ROUND(main!CJ462*100,6))</f>
        <v/>
      </c>
      <c r="BY459" s="68" t="str">
        <f>IF(main!CK462="","",ROUND(main!CK462*100,6))</f>
        <v/>
      </c>
      <c r="BZ459" s="68" t="str">
        <f>IF(main!CL462="","",ROUND(main!CL462*100,6))</f>
        <v/>
      </c>
      <c r="CA459" s="68" t="str">
        <f>IF(main!CM462="","",ROUND(main!CM462*100,6))</f>
        <v/>
      </c>
      <c r="CB459" s="68" t="str">
        <f>IF(main!CN462="","",ROUND(main!CN462*100,6))</f>
        <v/>
      </c>
      <c r="CC459" s="68" t="str">
        <f>IF(main!CO462="","",ROUND(main!CO462*100,6))</f>
        <v/>
      </c>
    </row>
    <row r="460" spans="1:81" x14ac:dyDescent="0.25">
      <c r="A460" s="65" t="s">
        <v>624</v>
      </c>
      <c r="B460" s="66" t="str">
        <f>main!C463</f>
        <v>Landscape</v>
      </c>
      <c r="C460" s="67">
        <f>main!O463</f>
        <v>300000</v>
      </c>
      <c r="D460" s="65" t="s">
        <v>110</v>
      </c>
      <c r="E460" s="68">
        <f t="shared" si="7"/>
        <v>100.00000300000001</v>
      </c>
      <c r="F460" s="68" t="str">
        <f>IF(main!R463="","",ROUND(main!R463*100,6))</f>
        <v/>
      </c>
      <c r="G460" s="68" t="str">
        <f>IF(main!S463="","",ROUND(main!S463*100,6))</f>
        <v/>
      </c>
      <c r="H460" s="68" t="str">
        <f>IF(main!T463="","",ROUND(main!T463*100,6))</f>
        <v/>
      </c>
      <c r="I460" s="68" t="str">
        <f>IF(main!U463="","",ROUND(main!U463*100,6))</f>
        <v/>
      </c>
      <c r="J460" s="68" t="str">
        <f>IF(main!V463="","",ROUND(main!V463*100,6))</f>
        <v/>
      </c>
      <c r="K460" s="68" t="str">
        <f>IF(main!W463="","",ROUND(main!W463*100,6))</f>
        <v/>
      </c>
      <c r="L460" s="68" t="str">
        <f>IF(main!X463="","",ROUND(main!X463*100,6))</f>
        <v/>
      </c>
      <c r="M460" s="68" t="str">
        <f>IF(main!Y463="","",ROUND(main!Y463*100,6))</f>
        <v/>
      </c>
      <c r="N460" s="68" t="str">
        <f>IF(main!Z463="","",ROUND(main!Z463*100,6))</f>
        <v/>
      </c>
      <c r="O460" s="68" t="str">
        <f>IF(main!AA463="","",ROUND(main!AA463*100,6))</f>
        <v/>
      </c>
      <c r="P460" s="68" t="str">
        <f>IF(main!AB463="","",ROUND(main!AB463*100,6))</f>
        <v/>
      </c>
      <c r="Q460" s="68" t="str">
        <f>IF(main!AC463="","",ROUND(main!AC463*100,6))</f>
        <v/>
      </c>
      <c r="R460" s="68" t="str">
        <f>IF(main!AD463="","",ROUND(main!AD463*100,6))</f>
        <v/>
      </c>
      <c r="S460" s="68" t="str">
        <f>IF(main!AE463="","",ROUND(main!AE463*100,6))</f>
        <v/>
      </c>
      <c r="T460" s="68" t="str">
        <f>IF(main!AF463="","",ROUND(main!AF463*100,6))</f>
        <v/>
      </c>
      <c r="U460" s="68" t="str">
        <f>IF(main!AG463="","",ROUND(main!AG463*100,6))</f>
        <v/>
      </c>
      <c r="V460" s="68" t="str">
        <f>IF(main!AH463="","",ROUND(main!AH463*100,6))</f>
        <v/>
      </c>
      <c r="W460" s="68" t="str">
        <f>IF(main!AI463="","",ROUND(main!AI463*100,6))</f>
        <v/>
      </c>
      <c r="X460" s="68" t="str">
        <f>IF(main!AJ463="","",ROUND(main!AJ463*100,6))</f>
        <v/>
      </c>
      <c r="Y460" s="68" t="str">
        <f>IF(main!AK463="","",ROUND(main!AK463*100,6))</f>
        <v/>
      </c>
      <c r="Z460" s="68" t="str">
        <f>IF(main!AL463="","",ROUND(main!AL463*100,6))</f>
        <v/>
      </c>
      <c r="AA460" s="68" t="str">
        <f>IF(main!AM463="","",ROUND(main!AM463*100,6))</f>
        <v/>
      </c>
      <c r="AB460" s="68" t="str">
        <f>IF(main!AN463="","",ROUND(main!AN463*100,6))</f>
        <v/>
      </c>
      <c r="AC460" s="68" t="str">
        <f>IF(main!AO463="","",ROUND(main!AO463*100,6))</f>
        <v/>
      </c>
      <c r="AD460" s="68" t="str">
        <f>IF(main!AP463="","",ROUND(main!AP463*100,6))</f>
        <v/>
      </c>
      <c r="AE460" s="68" t="str">
        <f>IF(main!AQ463="","",ROUND(main!AQ463*100,6))</f>
        <v/>
      </c>
      <c r="AF460" s="68" t="str">
        <f>IF(main!AR463="","",ROUND(main!AR463*100,6))</f>
        <v/>
      </c>
      <c r="AG460" s="68" t="str">
        <f>IF(main!AS463="","",ROUND(main!AS463*100,6))</f>
        <v/>
      </c>
      <c r="AH460" s="68" t="str">
        <f>IF(main!AT463="","",ROUND(main!AT463*100,6))</f>
        <v/>
      </c>
      <c r="AI460" s="68" t="str">
        <f>IF(main!AU463="","",ROUND(main!AU463*100,6))</f>
        <v/>
      </c>
      <c r="AJ460" s="68" t="str">
        <f>IF(main!AV463="","",ROUND(main!AV463*100,6))</f>
        <v/>
      </c>
      <c r="AK460" s="68" t="str">
        <f>IF(main!AW463="","",ROUND(main!AW463*100,6))</f>
        <v/>
      </c>
      <c r="AL460" s="68" t="str">
        <f>IF(main!AX463="","",ROUND(main!AX463*100,6))</f>
        <v/>
      </c>
      <c r="AM460" s="68" t="str">
        <f>IF(main!AY463="","",ROUND(main!AY463*100,6))</f>
        <v/>
      </c>
      <c r="AN460" s="68" t="str">
        <f>IF(main!AZ463="","",ROUND(main!AZ463*100,6))</f>
        <v/>
      </c>
      <c r="AO460" s="68" t="str">
        <f>IF(main!BA463="","",ROUND(main!BA463*100,6))</f>
        <v/>
      </c>
      <c r="AP460" s="68" t="str">
        <f>IF(main!BB463="","",ROUND(main!BB463*100,6))</f>
        <v/>
      </c>
      <c r="AQ460" s="68" t="str">
        <f>IF(main!BC463="","",ROUND(main!BC463*100,6))</f>
        <v/>
      </c>
      <c r="AR460" s="68" t="str">
        <f>IF(main!BD463="","",ROUND(main!BD463*100,6))</f>
        <v/>
      </c>
      <c r="AS460" s="68" t="str">
        <f>IF(main!BE463="","",ROUND(main!BE463*100,6))</f>
        <v/>
      </c>
      <c r="AT460" s="68" t="str">
        <f>IF(main!BF463="","",ROUND(main!BF463*100,6))</f>
        <v/>
      </c>
      <c r="AU460" s="68" t="str">
        <f>IF(main!BG463="","",ROUND(main!BG463*100,6))</f>
        <v/>
      </c>
      <c r="AV460" s="68" t="str">
        <f>IF(main!BH463="","",ROUND(main!BH463*100,6))</f>
        <v/>
      </c>
      <c r="AW460" s="68" t="str">
        <f>IF(main!BI463="","",ROUND(main!BI463*100,6))</f>
        <v/>
      </c>
      <c r="AX460" s="68" t="str">
        <f>IF(main!BJ463="","",ROUND(main!BJ463*100,6))</f>
        <v/>
      </c>
      <c r="AY460" s="68" t="str">
        <f>IF(main!BK463="","",ROUND(main!BK463*100,6))</f>
        <v/>
      </c>
      <c r="AZ460" s="68" t="str">
        <f>IF(main!BL463="","",ROUND(main!BL463*100,6))</f>
        <v/>
      </c>
      <c r="BA460" s="68" t="str">
        <f>IF(main!BM463="","",ROUND(main!BM463*100,6))</f>
        <v/>
      </c>
      <c r="BB460" s="68" t="str">
        <f>IF(main!BN463="","",ROUND(main!BN463*100,6))</f>
        <v/>
      </c>
      <c r="BC460" s="68" t="str">
        <f>IF(main!BO463="","",ROUND(main!BO463*100,6))</f>
        <v/>
      </c>
      <c r="BD460" s="68" t="str">
        <f>IF(main!BP463="","",ROUND(main!BP463*100,6))</f>
        <v/>
      </c>
      <c r="BE460" s="68" t="str">
        <f>IF(main!BQ463="","",ROUND(main!BQ463*100,6))</f>
        <v/>
      </c>
      <c r="BF460" s="68">
        <f>IF(main!BR463="","",ROUND(main!BR463*100,6))</f>
        <v>2.73224</v>
      </c>
      <c r="BG460" s="68">
        <f>IF(main!BS463="","",ROUND(main!BS463*100,6))</f>
        <v>3.8251369999999998</v>
      </c>
      <c r="BH460" s="68">
        <f>IF(main!BT463="","",ROUND(main!BT463*100,6))</f>
        <v>3.8251369999999998</v>
      </c>
      <c r="BI460" s="68">
        <f>IF(main!BU463="","",ROUND(main!BU463*100,6))</f>
        <v>3.8251369999999998</v>
      </c>
      <c r="BJ460" s="68">
        <f>IF(main!BV463="","",ROUND(main!BV463*100,6))</f>
        <v>3.8251369999999998</v>
      </c>
      <c r="BK460" s="68">
        <f>IF(main!BW463="","",ROUND(main!BW463*100,6))</f>
        <v>3.8251369999999998</v>
      </c>
      <c r="BL460" s="68">
        <f>IF(main!BX463="","",ROUND(main!BX463*100,6))</f>
        <v>6.2060890000000004</v>
      </c>
      <c r="BM460" s="68">
        <f>IF(main!BY463="","",ROUND(main!BY463*100,6))</f>
        <v>9.3806919999999998</v>
      </c>
      <c r="BN460" s="68">
        <f>IF(main!BZ463="","",ROUND(main!BZ463*100,6))</f>
        <v>9.3806919999999998</v>
      </c>
      <c r="BO460" s="68">
        <f>IF(main!CA463="","",ROUND(main!CA463*100,6))</f>
        <v>8.2877960000000002</v>
      </c>
      <c r="BP460" s="68">
        <f>IF(main!CB463="","",ROUND(main!CB463*100,6))</f>
        <v>9.3806919999999998</v>
      </c>
      <c r="BQ460" s="68">
        <f>IF(main!CC463="","",ROUND(main!CC463*100,6))</f>
        <v>9.3806919999999998</v>
      </c>
      <c r="BR460" s="68">
        <f>IF(main!CD463="","",ROUND(main!CD463*100,6))</f>
        <v>6.9997400000000001</v>
      </c>
      <c r="BS460" s="68">
        <f>IF(main!CE463="","",ROUND(main!CE463*100,6))</f>
        <v>3.8251369999999998</v>
      </c>
      <c r="BT460" s="68">
        <f>IF(main!CF463="","",ROUND(main!CF463*100,6))</f>
        <v>3.8251369999999998</v>
      </c>
      <c r="BU460" s="68">
        <f>IF(main!CG463="","",ROUND(main!CG463*100,6))</f>
        <v>3.8251369999999998</v>
      </c>
      <c r="BV460" s="68">
        <f>IF(main!CH463="","",ROUND(main!CH463*100,6))</f>
        <v>3.8251369999999998</v>
      </c>
      <c r="BW460" s="68">
        <f>IF(main!CI463="","",ROUND(main!CI463*100,6))</f>
        <v>3.8251369999999998</v>
      </c>
      <c r="BX460" s="68" t="str">
        <f>IF(main!CJ463="","",ROUND(main!CJ463*100,6))</f>
        <v/>
      </c>
      <c r="BY460" s="68" t="str">
        <f>IF(main!CK463="","",ROUND(main!CK463*100,6))</f>
        <v/>
      </c>
      <c r="BZ460" s="68" t="str">
        <f>IF(main!CL463="","",ROUND(main!CL463*100,6))</f>
        <v/>
      </c>
      <c r="CA460" s="68" t="str">
        <f>IF(main!CM463="","",ROUND(main!CM463*100,6))</f>
        <v/>
      </c>
      <c r="CB460" s="68" t="str">
        <f>IF(main!CN463="","",ROUND(main!CN463*100,6))</f>
        <v/>
      </c>
      <c r="CC460" s="68" t="str">
        <f>IF(main!CO463="","",ROUND(main!CO463*100,6))</f>
        <v/>
      </c>
    </row>
    <row r="461" spans="1:81" x14ac:dyDescent="0.25">
      <c r="A461" s="65" t="s">
        <v>624</v>
      </c>
      <c r="B461" s="66" t="str">
        <f>main!C463</f>
        <v>Landscape</v>
      </c>
      <c r="C461" s="67">
        <f>main!O463</f>
        <v>300000</v>
      </c>
      <c r="D461" s="65" t="s">
        <v>111</v>
      </c>
      <c r="E461" s="68" t="str">
        <f t="shared" si="7"/>
        <v/>
      </c>
      <c r="F461" s="68" t="str">
        <f>IF(main!R464="","",ROUND(main!R464*100,6))</f>
        <v/>
      </c>
      <c r="G461" s="68" t="str">
        <f>IF(main!S464="","",ROUND(main!S464*100,6))</f>
        <v/>
      </c>
      <c r="H461" s="68" t="str">
        <f>IF(main!T464="","",ROUND(main!T464*100,6))</f>
        <v/>
      </c>
      <c r="I461" s="68" t="str">
        <f>IF(main!U464="","",ROUND(main!U464*100,6))</f>
        <v/>
      </c>
      <c r="J461" s="68" t="str">
        <f>IF(main!V464="","",ROUND(main!V464*100,6))</f>
        <v/>
      </c>
      <c r="K461" s="68" t="str">
        <f>IF(main!W464="","",ROUND(main!W464*100,6))</f>
        <v/>
      </c>
      <c r="L461" s="68" t="str">
        <f>IF(main!X464="","",ROUND(main!X464*100,6))</f>
        <v/>
      </c>
      <c r="M461" s="68" t="str">
        <f>IF(main!Y464="","",ROUND(main!Y464*100,6))</f>
        <v/>
      </c>
      <c r="N461" s="68" t="str">
        <f>IF(main!Z464="","",ROUND(main!Z464*100,6))</f>
        <v/>
      </c>
      <c r="O461" s="68" t="str">
        <f>IF(main!AA464="","",ROUND(main!AA464*100,6))</f>
        <v/>
      </c>
      <c r="P461" s="68" t="str">
        <f>IF(main!AB464="","",ROUND(main!AB464*100,6))</f>
        <v/>
      </c>
      <c r="Q461" s="68" t="str">
        <f>IF(main!AC464="","",ROUND(main!AC464*100,6))</f>
        <v/>
      </c>
      <c r="R461" s="68" t="str">
        <f>IF(main!AD464="","",ROUND(main!AD464*100,6))</f>
        <v/>
      </c>
      <c r="S461" s="68" t="str">
        <f>IF(main!AE464="","",ROUND(main!AE464*100,6))</f>
        <v/>
      </c>
      <c r="T461" s="68" t="str">
        <f>IF(main!AF464="","",ROUND(main!AF464*100,6))</f>
        <v/>
      </c>
      <c r="U461" s="68" t="str">
        <f>IF(main!AG464="","",ROUND(main!AG464*100,6))</f>
        <v/>
      </c>
      <c r="V461" s="68" t="str">
        <f>IF(main!AH464="","",ROUND(main!AH464*100,6))</f>
        <v/>
      </c>
      <c r="W461" s="68" t="str">
        <f>IF(main!AI464="","",ROUND(main!AI464*100,6))</f>
        <v/>
      </c>
      <c r="X461" s="68" t="str">
        <f>IF(main!AJ464="","",ROUND(main!AJ464*100,6))</f>
        <v/>
      </c>
      <c r="Y461" s="68" t="str">
        <f>IF(main!AK464="","",ROUND(main!AK464*100,6))</f>
        <v/>
      </c>
      <c r="Z461" s="68" t="str">
        <f>IF(main!AL464="","",ROUND(main!AL464*100,6))</f>
        <v/>
      </c>
      <c r="AA461" s="68" t="str">
        <f>IF(main!AM464="","",ROUND(main!AM464*100,6))</f>
        <v/>
      </c>
      <c r="AB461" s="68" t="str">
        <f>IF(main!AN464="","",ROUND(main!AN464*100,6))</f>
        <v/>
      </c>
      <c r="AC461" s="68" t="str">
        <f>IF(main!AO464="","",ROUND(main!AO464*100,6))</f>
        <v/>
      </c>
      <c r="AD461" s="68" t="str">
        <f>IF(main!AP464="","",ROUND(main!AP464*100,6))</f>
        <v/>
      </c>
      <c r="AE461" s="68" t="str">
        <f>IF(main!AQ464="","",ROUND(main!AQ464*100,6))</f>
        <v/>
      </c>
      <c r="AF461" s="68" t="str">
        <f>IF(main!AR464="","",ROUND(main!AR464*100,6))</f>
        <v/>
      </c>
      <c r="AG461" s="68" t="str">
        <f>IF(main!AS464="","",ROUND(main!AS464*100,6))</f>
        <v/>
      </c>
      <c r="AH461" s="68" t="str">
        <f>IF(main!AT464="","",ROUND(main!AT464*100,6))</f>
        <v/>
      </c>
      <c r="AI461" s="68" t="str">
        <f>IF(main!AU464="","",ROUND(main!AU464*100,6))</f>
        <v/>
      </c>
      <c r="AJ461" s="68" t="str">
        <f>IF(main!AV464="","",ROUND(main!AV464*100,6))</f>
        <v/>
      </c>
      <c r="AK461" s="68" t="str">
        <f>IF(main!AW464="","",ROUND(main!AW464*100,6))</f>
        <v/>
      </c>
      <c r="AL461" s="68" t="str">
        <f>IF(main!AX464="","",ROUND(main!AX464*100,6))</f>
        <v/>
      </c>
      <c r="AM461" s="68" t="str">
        <f>IF(main!AY464="","",ROUND(main!AY464*100,6))</f>
        <v/>
      </c>
      <c r="AN461" s="68" t="str">
        <f>IF(main!AZ464="","",ROUND(main!AZ464*100,6))</f>
        <v/>
      </c>
      <c r="AO461" s="68" t="str">
        <f>IF(main!BA464="","",ROUND(main!BA464*100,6))</f>
        <v/>
      </c>
      <c r="AP461" s="68" t="str">
        <f>IF(main!BB464="","",ROUND(main!BB464*100,6))</f>
        <v/>
      </c>
      <c r="AQ461" s="68" t="str">
        <f>IF(main!BC464="","",ROUND(main!BC464*100,6))</f>
        <v/>
      </c>
      <c r="AR461" s="68" t="str">
        <f>IF(main!BD464="","",ROUND(main!BD464*100,6))</f>
        <v/>
      </c>
      <c r="AS461" s="68" t="str">
        <f>IF(main!BE464="","",ROUND(main!BE464*100,6))</f>
        <v/>
      </c>
      <c r="AT461" s="68" t="str">
        <f>IF(main!BF464="","",ROUND(main!BF464*100,6))</f>
        <v/>
      </c>
      <c r="AU461" s="68" t="str">
        <f>IF(main!BG464="","",ROUND(main!BG464*100,6))</f>
        <v/>
      </c>
      <c r="AV461" s="68" t="str">
        <f>IF(main!BH464="","",ROUND(main!BH464*100,6))</f>
        <v/>
      </c>
      <c r="AW461" s="68" t="str">
        <f>IF(main!BI464="","",ROUND(main!BI464*100,6))</f>
        <v/>
      </c>
      <c r="AX461" s="68" t="str">
        <f>IF(main!BJ464="","",ROUND(main!BJ464*100,6))</f>
        <v/>
      </c>
      <c r="AY461" s="68" t="str">
        <f>IF(main!BK464="","",ROUND(main!BK464*100,6))</f>
        <v/>
      </c>
      <c r="AZ461" s="68" t="str">
        <f>IF(main!BL464="","",ROUND(main!BL464*100,6))</f>
        <v/>
      </c>
      <c r="BA461" s="68" t="str">
        <f>IF(main!BM464="","",ROUND(main!BM464*100,6))</f>
        <v/>
      </c>
      <c r="BB461" s="68" t="str">
        <f>IF(main!BN464="","",ROUND(main!BN464*100,6))</f>
        <v/>
      </c>
      <c r="BC461" s="68" t="str">
        <f>IF(main!BO464="","",ROUND(main!BO464*100,6))</f>
        <v/>
      </c>
      <c r="BD461" s="68" t="str">
        <f>IF(main!BP464="","",ROUND(main!BP464*100,6))</f>
        <v/>
      </c>
      <c r="BE461" s="68" t="str">
        <f>IF(main!BQ464="","",ROUND(main!BQ464*100,6))</f>
        <v/>
      </c>
      <c r="BF461" s="68" t="str">
        <f>IF(main!BR464="","",ROUND(main!BR464*100,6))</f>
        <v/>
      </c>
      <c r="BG461" s="68" t="str">
        <f>IF(main!BS464="","",ROUND(main!BS464*100,6))</f>
        <v/>
      </c>
      <c r="BH461" s="68" t="str">
        <f>IF(main!BT464="","",ROUND(main!BT464*100,6))</f>
        <v/>
      </c>
      <c r="BI461" s="68" t="str">
        <f>IF(main!BU464="","",ROUND(main!BU464*100,6))</f>
        <v/>
      </c>
      <c r="BJ461" s="68" t="str">
        <f>IF(main!BV464="","",ROUND(main!BV464*100,6))</f>
        <v/>
      </c>
      <c r="BK461" s="68" t="str">
        <f>IF(main!BW464="","",ROUND(main!BW464*100,6))</f>
        <v/>
      </c>
      <c r="BL461" s="68" t="str">
        <f>IF(main!BX464="","",ROUND(main!BX464*100,6))</f>
        <v/>
      </c>
      <c r="BM461" s="68" t="str">
        <f>IF(main!BY464="","",ROUND(main!BY464*100,6))</f>
        <v/>
      </c>
      <c r="BN461" s="68" t="str">
        <f>IF(main!BZ464="","",ROUND(main!BZ464*100,6))</f>
        <v/>
      </c>
      <c r="BO461" s="68" t="str">
        <f>IF(main!CA464="","",ROUND(main!CA464*100,6))</f>
        <v/>
      </c>
      <c r="BP461" s="68" t="str">
        <f>IF(main!CB464="","",ROUND(main!CB464*100,6))</f>
        <v/>
      </c>
      <c r="BQ461" s="68" t="str">
        <f>IF(main!CC464="","",ROUND(main!CC464*100,6))</f>
        <v/>
      </c>
      <c r="BR461" s="68" t="str">
        <f>IF(main!CD464="","",ROUND(main!CD464*100,6))</f>
        <v/>
      </c>
      <c r="BS461" s="68" t="str">
        <f>IF(main!CE464="","",ROUND(main!CE464*100,6))</f>
        <v/>
      </c>
      <c r="BT461" s="68" t="str">
        <f>IF(main!CF464="","",ROUND(main!CF464*100,6))</f>
        <v/>
      </c>
      <c r="BU461" s="68" t="str">
        <f>IF(main!CG464="","",ROUND(main!CG464*100,6))</f>
        <v/>
      </c>
      <c r="BV461" s="68" t="str">
        <f>IF(main!CH464="","",ROUND(main!CH464*100,6))</f>
        <v/>
      </c>
      <c r="BW461" s="68" t="str">
        <f>IF(main!CI464="","",ROUND(main!CI464*100,6))</f>
        <v/>
      </c>
      <c r="BX461" s="68" t="str">
        <f>IF(main!CJ464="","",ROUND(main!CJ464*100,6))</f>
        <v/>
      </c>
      <c r="BY461" s="68" t="str">
        <f>IF(main!CK464="","",ROUND(main!CK464*100,6))</f>
        <v/>
      </c>
      <c r="BZ461" s="68" t="str">
        <f>IF(main!CL464="","",ROUND(main!CL464*100,6))</f>
        <v/>
      </c>
      <c r="CA461" s="68" t="str">
        <f>IF(main!CM464="","",ROUND(main!CM464*100,6))</f>
        <v/>
      </c>
      <c r="CB461" s="68" t="str">
        <f>IF(main!CN464="","",ROUND(main!CN464*100,6))</f>
        <v/>
      </c>
      <c r="CC461" s="68" t="str">
        <f>IF(main!CO464="","",ROUND(main!CO464*100,6))</f>
        <v/>
      </c>
    </row>
    <row r="462" spans="1:81" x14ac:dyDescent="0.25">
      <c r="A462" s="65" t="s">
        <v>626</v>
      </c>
      <c r="B462" s="66" t="str">
        <f>main!C465</f>
        <v>Hardscape</v>
      </c>
      <c r="C462" s="67">
        <f>main!O465</f>
        <v>100000</v>
      </c>
      <c r="D462" s="65" t="s">
        <v>110</v>
      </c>
      <c r="E462" s="68">
        <f t="shared" si="7"/>
        <v>100.000001</v>
      </c>
      <c r="F462" s="68" t="str">
        <f>IF(main!R465="","",ROUND(main!R465*100,6))</f>
        <v/>
      </c>
      <c r="G462" s="68" t="str">
        <f>IF(main!S465="","",ROUND(main!S465*100,6))</f>
        <v/>
      </c>
      <c r="H462" s="68" t="str">
        <f>IF(main!T465="","",ROUND(main!T465*100,6))</f>
        <v/>
      </c>
      <c r="I462" s="68" t="str">
        <f>IF(main!U465="","",ROUND(main!U465*100,6))</f>
        <v/>
      </c>
      <c r="J462" s="68" t="str">
        <f>IF(main!V465="","",ROUND(main!V465*100,6))</f>
        <v/>
      </c>
      <c r="K462" s="68" t="str">
        <f>IF(main!W465="","",ROUND(main!W465*100,6))</f>
        <v/>
      </c>
      <c r="L462" s="68" t="str">
        <f>IF(main!X465="","",ROUND(main!X465*100,6))</f>
        <v/>
      </c>
      <c r="M462" s="68" t="str">
        <f>IF(main!Y465="","",ROUND(main!Y465*100,6))</f>
        <v/>
      </c>
      <c r="N462" s="68" t="str">
        <f>IF(main!Z465="","",ROUND(main!Z465*100,6))</f>
        <v/>
      </c>
      <c r="O462" s="68" t="str">
        <f>IF(main!AA465="","",ROUND(main!AA465*100,6))</f>
        <v/>
      </c>
      <c r="P462" s="68" t="str">
        <f>IF(main!AB465="","",ROUND(main!AB465*100,6))</f>
        <v/>
      </c>
      <c r="Q462" s="68" t="str">
        <f>IF(main!AC465="","",ROUND(main!AC465*100,6))</f>
        <v/>
      </c>
      <c r="R462" s="68" t="str">
        <f>IF(main!AD465="","",ROUND(main!AD465*100,6))</f>
        <v/>
      </c>
      <c r="S462" s="68" t="str">
        <f>IF(main!AE465="","",ROUND(main!AE465*100,6))</f>
        <v/>
      </c>
      <c r="T462" s="68" t="str">
        <f>IF(main!AF465="","",ROUND(main!AF465*100,6))</f>
        <v/>
      </c>
      <c r="U462" s="68" t="str">
        <f>IF(main!AG465="","",ROUND(main!AG465*100,6))</f>
        <v/>
      </c>
      <c r="V462" s="68" t="str">
        <f>IF(main!AH465="","",ROUND(main!AH465*100,6))</f>
        <v/>
      </c>
      <c r="W462" s="68" t="str">
        <f>IF(main!AI465="","",ROUND(main!AI465*100,6))</f>
        <v/>
      </c>
      <c r="X462" s="68" t="str">
        <f>IF(main!AJ465="","",ROUND(main!AJ465*100,6))</f>
        <v/>
      </c>
      <c r="Y462" s="68" t="str">
        <f>IF(main!AK465="","",ROUND(main!AK465*100,6))</f>
        <v/>
      </c>
      <c r="Z462" s="68" t="str">
        <f>IF(main!AL465="","",ROUND(main!AL465*100,6))</f>
        <v/>
      </c>
      <c r="AA462" s="68" t="str">
        <f>IF(main!AM465="","",ROUND(main!AM465*100,6))</f>
        <v/>
      </c>
      <c r="AB462" s="68" t="str">
        <f>IF(main!AN465="","",ROUND(main!AN465*100,6))</f>
        <v/>
      </c>
      <c r="AC462" s="68" t="str">
        <f>IF(main!AO465="","",ROUND(main!AO465*100,6))</f>
        <v/>
      </c>
      <c r="AD462" s="68" t="str">
        <f>IF(main!AP465="","",ROUND(main!AP465*100,6))</f>
        <v/>
      </c>
      <c r="AE462" s="68" t="str">
        <f>IF(main!AQ465="","",ROUND(main!AQ465*100,6))</f>
        <v/>
      </c>
      <c r="AF462" s="68" t="str">
        <f>IF(main!AR465="","",ROUND(main!AR465*100,6))</f>
        <v/>
      </c>
      <c r="AG462" s="68" t="str">
        <f>IF(main!AS465="","",ROUND(main!AS465*100,6))</f>
        <v/>
      </c>
      <c r="AH462" s="68" t="str">
        <f>IF(main!AT465="","",ROUND(main!AT465*100,6))</f>
        <v/>
      </c>
      <c r="AI462" s="68" t="str">
        <f>IF(main!AU465="","",ROUND(main!AU465*100,6))</f>
        <v/>
      </c>
      <c r="AJ462" s="68" t="str">
        <f>IF(main!AV465="","",ROUND(main!AV465*100,6))</f>
        <v/>
      </c>
      <c r="AK462" s="68" t="str">
        <f>IF(main!AW465="","",ROUND(main!AW465*100,6))</f>
        <v/>
      </c>
      <c r="AL462" s="68" t="str">
        <f>IF(main!AX465="","",ROUND(main!AX465*100,6))</f>
        <v/>
      </c>
      <c r="AM462" s="68" t="str">
        <f>IF(main!AY465="","",ROUND(main!AY465*100,6))</f>
        <v/>
      </c>
      <c r="AN462" s="68" t="str">
        <f>IF(main!AZ465="","",ROUND(main!AZ465*100,6))</f>
        <v/>
      </c>
      <c r="AO462" s="68" t="str">
        <f>IF(main!BA465="","",ROUND(main!BA465*100,6))</f>
        <v/>
      </c>
      <c r="AP462" s="68" t="str">
        <f>IF(main!BB465="","",ROUND(main!BB465*100,6))</f>
        <v/>
      </c>
      <c r="AQ462" s="68" t="str">
        <f>IF(main!BC465="","",ROUND(main!BC465*100,6))</f>
        <v/>
      </c>
      <c r="AR462" s="68" t="str">
        <f>IF(main!BD465="","",ROUND(main!BD465*100,6))</f>
        <v/>
      </c>
      <c r="AS462" s="68" t="str">
        <f>IF(main!BE465="","",ROUND(main!BE465*100,6))</f>
        <v/>
      </c>
      <c r="AT462" s="68" t="str">
        <f>IF(main!BF465="","",ROUND(main!BF465*100,6))</f>
        <v/>
      </c>
      <c r="AU462" s="68" t="str">
        <f>IF(main!BG465="","",ROUND(main!BG465*100,6))</f>
        <v/>
      </c>
      <c r="AV462" s="68" t="str">
        <f>IF(main!BH465="","",ROUND(main!BH465*100,6))</f>
        <v/>
      </c>
      <c r="AW462" s="68" t="str">
        <f>IF(main!BI465="","",ROUND(main!BI465*100,6))</f>
        <v/>
      </c>
      <c r="AX462" s="68" t="str">
        <f>IF(main!BJ465="","",ROUND(main!BJ465*100,6))</f>
        <v/>
      </c>
      <c r="AY462" s="68" t="str">
        <f>IF(main!BK465="","",ROUND(main!BK465*100,6))</f>
        <v/>
      </c>
      <c r="AZ462" s="68" t="str">
        <f>IF(main!BL465="","",ROUND(main!BL465*100,6))</f>
        <v/>
      </c>
      <c r="BA462" s="68" t="str">
        <f>IF(main!BM465="","",ROUND(main!BM465*100,6))</f>
        <v/>
      </c>
      <c r="BB462" s="68" t="str">
        <f>IF(main!BN465="","",ROUND(main!BN465*100,6))</f>
        <v/>
      </c>
      <c r="BC462" s="68" t="str">
        <f>IF(main!BO465="","",ROUND(main!BO465*100,6))</f>
        <v/>
      </c>
      <c r="BD462" s="68" t="str">
        <f>IF(main!BP465="","",ROUND(main!BP465*100,6))</f>
        <v/>
      </c>
      <c r="BE462" s="68" t="str">
        <f>IF(main!BQ465="","",ROUND(main!BQ465*100,6))</f>
        <v/>
      </c>
      <c r="BF462" s="68">
        <f>IF(main!BR465="","",ROUND(main!BR465*100,6))</f>
        <v>8.1967210000000001</v>
      </c>
      <c r="BG462" s="68">
        <f>IF(main!BS465="","",ROUND(main!BS465*100,6))</f>
        <v>11.47541</v>
      </c>
      <c r="BH462" s="68">
        <f>IF(main!BT465="","",ROUND(main!BT465*100,6))</f>
        <v>11.47541</v>
      </c>
      <c r="BI462" s="68">
        <f>IF(main!BU465="","",ROUND(main!BU465*100,6))</f>
        <v>11.47541</v>
      </c>
      <c r="BJ462" s="68">
        <f>IF(main!BV465="","",ROUND(main!BV465*100,6))</f>
        <v>11.47541</v>
      </c>
      <c r="BK462" s="68">
        <f>IF(main!BW465="","",ROUND(main!BW465*100,6))</f>
        <v>11.47541</v>
      </c>
      <c r="BL462" s="68">
        <f>IF(main!BX465="","",ROUND(main!BX465*100,6))</f>
        <v>11.47541</v>
      </c>
      <c r="BM462" s="68">
        <f>IF(main!BY465="","",ROUND(main!BY465*100,6))</f>
        <v>11.47541</v>
      </c>
      <c r="BN462" s="68">
        <f>IF(main!BZ465="","",ROUND(main!BZ465*100,6))</f>
        <v>11.47541</v>
      </c>
      <c r="BO462" s="68" t="str">
        <f>IF(main!CA465="","",ROUND(main!CA465*100,6))</f>
        <v/>
      </c>
      <c r="BP462" s="68" t="str">
        <f>IF(main!CB465="","",ROUND(main!CB465*100,6))</f>
        <v/>
      </c>
      <c r="BQ462" s="68" t="str">
        <f>IF(main!CC465="","",ROUND(main!CC465*100,6))</f>
        <v/>
      </c>
      <c r="BR462" s="68" t="str">
        <f>IF(main!CD465="","",ROUND(main!CD465*100,6))</f>
        <v/>
      </c>
      <c r="BS462" s="68" t="str">
        <f>IF(main!CE465="","",ROUND(main!CE465*100,6))</f>
        <v/>
      </c>
      <c r="BT462" s="68" t="str">
        <f>IF(main!CF465="","",ROUND(main!CF465*100,6))</f>
        <v/>
      </c>
      <c r="BU462" s="68" t="str">
        <f>IF(main!CG465="","",ROUND(main!CG465*100,6))</f>
        <v/>
      </c>
      <c r="BV462" s="68" t="str">
        <f>IF(main!CH465="","",ROUND(main!CH465*100,6))</f>
        <v/>
      </c>
      <c r="BW462" s="68" t="str">
        <f>IF(main!CI465="","",ROUND(main!CI465*100,6))</f>
        <v/>
      </c>
      <c r="BX462" s="68" t="str">
        <f>IF(main!CJ465="","",ROUND(main!CJ465*100,6))</f>
        <v/>
      </c>
      <c r="BY462" s="68" t="str">
        <f>IF(main!CK465="","",ROUND(main!CK465*100,6))</f>
        <v/>
      </c>
      <c r="BZ462" s="68" t="str">
        <f>IF(main!CL465="","",ROUND(main!CL465*100,6))</f>
        <v/>
      </c>
      <c r="CA462" s="68" t="str">
        <f>IF(main!CM465="","",ROUND(main!CM465*100,6))</f>
        <v/>
      </c>
      <c r="CB462" s="68" t="str">
        <f>IF(main!CN465="","",ROUND(main!CN465*100,6))</f>
        <v/>
      </c>
      <c r="CC462" s="68" t="str">
        <f>IF(main!CO465="","",ROUND(main!CO465*100,6))</f>
        <v/>
      </c>
    </row>
    <row r="463" spans="1:81" x14ac:dyDescent="0.25">
      <c r="A463" s="65" t="s">
        <v>626</v>
      </c>
      <c r="B463" s="66" t="str">
        <f>main!C465</f>
        <v>Hardscape</v>
      </c>
      <c r="C463" s="67">
        <f>main!O465</f>
        <v>100000</v>
      </c>
      <c r="D463" s="65" t="s">
        <v>111</v>
      </c>
      <c r="E463" s="68" t="str">
        <f t="shared" si="7"/>
        <v/>
      </c>
      <c r="F463" s="68" t="str">
        <f>IF(main!R466="","",ROUND(main!R466*100,6))</f>
        <v/>
      </c>
      <c r="G463" s="68" t="str">
        <f>IF(main!S466="","",ROUND(main!S466*100,6))</f>
        <v/>
      </c>
      <c r="H463" s="68" t="str">
        <f>IF(main!T466="","",ROUND(main!T466*100,6))</f>
        <v/>
      </c>
      <c r="I463" s="68" t="str">
        <f>IF(main!U466="","",ROUND(main!U466*100,6))</f>
        <v/>
      </c>
      <c r="J463" s="68" t="str">
        <f>IF(main!V466="","",ROUND(main!V466*100,6))</f>
        <v/>
      </c>
      <c r="K463" s="68" t="str">
        <f>IF(main!W466="","",ROUND(main!W466*100,6))</f>
        <v/>
      </c>
      <c r="L463" s="68" t="str">
        <f>IF(main!X466="","",ROUND(main!X466*100,6))</f>
        <v/>
      </c>
      <c r="M463" s="68" t="str">
        <f>IF(main!Y466="","",ROUND(main!Y466*100,6))</f>
        <v/>
      </c>
      <c r="N463" s="68" t="str">
        <f>IF(main!Z466="","",ROUND(main!Z466*100,6))</f>
        <v/>
      </c>
      <c r="O463" s="68" t="str">
        <f>IF(main!AA466="","",ROUND(main!AA466*100,6))</f>
        <v/>
      </c>
      <c r="P463" s="68" t="str">
        <f>IF(main!AB466="","",ROUND(main!AB466*100,6))</f>
        <v/>
      </c>
      <c r="Q463" s="68" t="str">
        <f>IF(main!AC466="","",ROUND(main!AC466*100,6))</f>
        <v/>
      </c>
      <c r="R463" s="68" t="str">
        <f>IF(main!AD466="","",ROUND(main!AD466*100,6))</f>
        <v/>
      </c>
      <c r="S463" s="68" t="str">
        <f>IF(main!AE466="","",ROUND(main!AE466*100,6))</f>
        <v/>
      </c>
      <c r="T463" s="68" t="str">
        <f>IF(main!AF466="","",ROUND(main!AF466*100,6))</f>
        <v/>
      </c>
      <c r="U463" s="68" t="str">
        <f>IF(main!AG466="","",ROUND(main!AG466*100,6))</f>
        <v/>
      </c>
      <c r="V463" s="68" t="str">
        <f>IF(main!AH466="","",ROUND(main!AH466*100,6))</f>
        <v/>
      </c>
      <c r="W463" s="68" t="str">
        <f>IF(main!AI466="","",ROUND(main!AI466*100,6))</f>
        <v/>
      </c>
      <c r="X463" s="68" t="str">
        <f>IF(main!AJ466="","",ROUND(main!AJ466*100,6))</f>
        <v/>
      </c>
      <c r="Y463" s="68" t="str">
        <f>IF(main!AK466="","",ROUND(main!AK466*100,6))</f>
        <v/>
      </c>
      <c r="Z463" s="68" t="str">
        <f>IF(main!AL466="","",ROUND(main!AL466*100,6))</f>
        <v/>
      </c>
      <c r="AA463" s="68" t="str">
        <f>IF(main!AM466="","",ROUND(main!AM466*100,6))</f>
        <v/>
      </c>
      <c r="AB463" s="68" t="str">
        <f>IF(main!AN466="","",ROUND(main!AN466*100,6))</f>
        <v/>
      </c>
      <c r="AC463" s="68" t="str">
        <f>IF(main!AO466="","",ROUND(main!AO466*100,6))</f>
        <v/>
      </c>
      <c r="AD463" s="68" t="str">
        <f>IF(main!AP466="","",ROUND(main!AP466*100,6))</f>
        <v/>
      </c>
      <c r="AE463" s="68" t="str">
        <f>IF(main!AQ466="","",ROUND(main!AQ466*100,6))</f>
        <v/>
      </c>
      <c r="AF463" s="68" t="str">
        <f>IF(main!AR466="","",ROUND(main!AR466*100,6))</f>
        <v/>
      </c>
      <c r="AG463" s="68" t="str">
        <f>IF(main!AS466="","",ROUND(main!AS466*100,6))</f>
        <v/>
      </c>
      <c r="AH463" s="68" t="str">
        <f>IF(main!AT466="","",ROUND(main!AT466*100,6))</f>
        <v/>
      </c>
      <c r="AI463" s="68" t="str">
        <f>IF(main!AU466="","",ROUND(main!AU466*100,6))</f>
        <v/>
      </c>
      <c r="AJ463" s="68" t="str">
        <f>IF(main!AV466="","",ROUND(main!AV466*100,6))</f>
        <v/>
      </c>
      <c r="AK463" s="68" t="str">
        <f>IF(main!AW466="","",ROUND(main!AW466*100,6))</f>
        <v/>
      </c>
      <c r="AL463" s="68" t="str">
        <f>IF(main!AX466="","",ROUND(main!AX466*100,6))</f>
        <v/>
      </c>
      <c r="AM463" s="68" t="str">
        <f>IF(main!AY466="","",ROUND(main!AY466*100,6))</f>
        <v/>
      </c>
      <c r="AN463" s="68" t="str">
        <f>IF(main!AZ466="","",ROUND(main!AZ466*100,6))</f>
        <v/>
      </c>
      <c r="AO463" s="68" t="str">
        <f>IF(main!BA466="","",ROUND(main!BA466*100,6))</f>
        <v/>
      </c>
      <c r="AP463" s="68" t="str">
        <f>IF(main!BB466="","",ROUND(main!BB466*100,6))</f>
        <v/>
      </c>
      <c r="AQ463" s="68" t="str">
        <f>IF(main!BC466="","",ROUND(main!BC466*100,6))</f>
        <v/>
      </c>
      <c r="AR463" s="68" t="str">
        <f>IF(main!BD466="","",ROUND(main!BD466*100,6))</f>
        <v/>
      </c>
      <c r="AS463" s="68" t="str">
        <f>IF(main!BE466="","",ROUND(main!BE466*100,6))</f>
        <v/>
      </c>
      <c r="AT463" s="68" t="str">
        <f>IF(main!BF466="","",ROUND(main!BF466*100,6))</f>
        <v/>
      </c>
      <c r="AU463" s="68" t="str">
        <f>IF(main!BG466="","",ROUND(main!BG466*100,6))</f>
        <v/>
      </c>
      <c r="AV463" s="68" t="str">
        <f>IF(main!BH466="","",ROUND(main!BH466*100,6))</f>
        <v/>
      </c>
      <c r="AW463" s="68" t="str">
        <f>IF(main!BI466="","",ROUND(main!BI466*100,6))</f>
        <v/>
      </c>
      <c r="AX463" s="68" t="str">
        <f>IF(main!BJ466="","",ROUND(main!BJ466*100,6))</f>
        <v/>
      </c>
      <c r="AY463" s="68" t="str">
        <f>IF(main!BK466="","",ROUND(main!BK466*100,6))</f>
        <v/>
      </c>
      <c r="AZ463" s="68" t="str">
        <f>IF(main!BL466="","",ROUND(main!BL466*100,6))</f>
        <v/>
      </c>
      <c r="BA463" s="68" t="str">
        <f>IF(main!BM466="","",ROUND(main!BM466*100,6))</f>
        <v/>
      </c>
      <c r="BB463" s="68" t="str">
        <f>IF(main!BN466="","",ROUND(main!BN466*100,6))</f>
        <v/>
      </c>
      <c r="BC463" s="68" t="str">
        <f>IF(main!BO466="","",ROUND(main!BO466*100,6))</f>
        <v/>
      </c>
      <c r="BD463" s="68" t="str">
        <f>IF(main!BP466="","",ROUND(main!BP466*100,6))</f>
        <v/>
      </c>
      <c r="BE463" s="68" t="str">
        <f>IF(main!BQ466="","",ROUND(main!BQ466*100,6))</f>
        <v/>
      </c>
      <c r="BF463" s="68" t="str">
        <f>IF(main!BR466="","",ROUND(main!BR466*100,6))</f>
        <v/>
      </c>
      <c r="BG463" s="68" t="str">
        <f>IF(main!BS466="","",ROUND(main!BS466*100,6))</f>
        <v/>
      </c>
      <c r="BH463" s="68" t="str">
        <f>IF(main!BT466="","",ROUND(main!BT466*100,6))</f>
        <v/>
      </c>
      <c r="BI463" s="68" t="str">
        <f>IF(main!BU466="","",ROUND(main!BU466*100,6))</f>
        <v/>
      </c>
      <c r="BJ463" s="68" t="str">
        <f>IF(main!BV466="","",ROUND(main!BV466*100,6))</f>
        <v/>
      </c>
      <c r="BK463" s="68" t="str">
        <f>IF(main!BW466="","",ROUND(main!BW466*100,6))</f>
        <v/>
      </c>
      <c r="BL463" s="68" t="str">
        <f>IF(main!BX466="","",ROUND(main!BX466*100,6))</f>
        <v/>
      </c>
      <c r="BM463" s="68" t="str">
        <f>IF(main!BY466="","",ROUND(main!BY466*100,6))</f>
        <v/>
      </c>
      <c r="BN463" s="68" t="str">
        <f>IF(main!BZ466="","",ROUND(main!BZ466*100,6))</f>
        <v/>
      </c>
      <c r="BO463" s="68" t="str">
        <f>IF(main!CA466="","",ROUND(main!CA466*100,6))</f>
        <v/>
      </c>
      <c r="BP463" s="68" t="str">
        <f>IF(main!CB466="","",ROUND(main!CB466*100,6))</f>
        <v/>
      </c>
      <c r="BQ463" s="68" t="str">
        <f>IF(main!CC466="","",ROUND(main!CC466*100,6))</f>
        <v/>
      </c>
      <c r="BR463" s="68" t="str">
        <f>IF(main!CD466="","",ROUND(main!CD466*100,6))</f>
        <v/>
      </c>
      <c r="BS463" s="68" t="str">
        <f>IF(main!CE466="","",ROUND(main!CE466*100,6))</f>
        <v/>
      </c>
      <c r="BT463" s="68" t="str">
        <f>IF(main!CF466="","",ROUND(main!CF466*100,6))</f>
        <v/>
      </c>
      <c r="BU463" s="68" t="str">
        <f>IF(main!CG466="","",ROUND(main!CG466*100,6))</f>
        <v/>
      </c>
      <c r="BV463" s="68" t="str">
        <f>IF(main!CH466="","",ROUND(main!CH466*100,6))</f>
        <v/>
      </c>
      <c r="BW463" s="68" t="str">
        <f>IF(main!CI466="","",ROUND(main!CI466*100,6))</f>
        <v/>
      </c>
      <c r="BX463" s="68" t="str">
        <f>IF(main!CJ466="","",ROUND(main!CJ466*100,6))</f>
        <v/>
      </c>
      <c r="BY463" s="68" t="str">
        <f>IF(main!CK466="","",ROUND(main!CK466*100,6))</f>
        <v/>
      </c>
      <c r="BZ463" s="68" t="str">
        <f>IF(main!CL466="","",ROUND(main!CL466*100,6))</f>
        <v/>
      </c>
      <c r="CA463" s="68" t="str">
        <f>IF(main!CM466="","",ROUND(main!CM466*100,6))</f>
        <v/>
      </c>
      <c r="CB463" s="68" t="str">
        <f>IF(main!CN466="","",ROUND(main!CN466*100,6))</f>
        <v/>
      </c>
      <c r="CC463" s="68" t="str">
        <f>IF(main!CO466="","",ROUND(main!CO466*100,6))</f>
        <v/>
      </c>
    </row>
    <row r="464" spans="1:81" x14ac:dyDescent="0.25">
      <c r="A464" s="65" t="s">
        <v>628</v>
      </c>
      <c r="B464" s="66" t="str">
        <f>main!C467</f>
        <v>Hardscape</v>
      </c>
      <c r="C464" s="67">
        <f>main!O467</f>
        <v>100000</v>
      </c>
      <c r="D464" s="65" t="s">
        <v>110</v>
      </c>
      <c r="E464" s="68">
        <f t="shared" si="7"/>
        <v>100.000001</v>
      </c>
      <c r="F464" s="68" t="str">
        <f>IF(main!R467="","",ROUND(main!R467*100,6))</f>
        <v/>
      </c>
      <c r="G464" s="68" t="str">
        <f>IF(main!S467="","",ROUND(main!S467*100,6))</f>
        <v/>
      </c>
      <c r="H464" s="68" t="str">
        <f>IF(main!T467="","",ROUND(main!T467*100,6))</f>
        <v/>
      </c>
      <c r="I464" s="68" t="str">
        <f>IF(main!U467="","",ROUND(main!U467*100,6))</f>
        <v/>
      </c>
      <c r="J464" s="68" t="str">
        <f>IF(main!V467="","",ROUND(main!V467*100,6))</f>
        <v/>
      </c>
      <c r="K464" s="68" t="str">
        <f>IF(main!W467="","",ROUND(main!W467*100,6))</f>
        <v/>
      </c>
      <c r="L464" s="68" t="str">
        <f>IF(main!X467="","",ROUND(main!X467*100,6))</f>
        <v/>
      </c>
      <c r="M464" s="68" t="str">
        <f>IF(main!Y467="","",ROUND(main!Y467*100,6))</f>
        <v/>
      </c>
      <c r="N464" s="68" t="str">
        <f>IF(main!Z467="","",ROUND(main!Z467*100,6))</f>
        <v/>
      </c>
      <c r="O464" s="68" t="str">
        <f>IF(main!AA467="","",ROUND(main!AA467*100,6))</f>
        <v/>
      </c>
      <c r="P464" s="68" t="str">
        <f>IF(main!AB467="","",ROUND(main!AB467*100,6))</f>
        <v/>
      </c>
      <c r="Q464" s="68" t="str">
        <f>IF(main!AC467="","",ROUND(main!AC467*100,6))</f>
        <v/>
      </c>
      <c r="R464" s="68" t="str">
        <f>IF(main!AD467="","",ROUND(main!AD467*100,6))</f>
        <v/>
      </c>
      <c r="S464" s="68" t="str">
        <f>IF(main!AE467="","",ROUND(main!AE467*100,6))</f>
        <v/>
      </c>
      <c r="T464" s="68" t="str">
        <f>IF(main!AF467="","",ROUND(main!AF467*100,6))</f>
        <v/>
      </c>
      <c r="U464" s="68" t="str">
        <f>IF(main!AG467="","",ROUND(main!AG467*100,6))</f>
        <v/>
      </c>
      <c r="V464" s="68" t="str">
        <f>IF(main!AH467="","",ROUND(main!AH467*100,6))</f>
        <v/>
      </c>
      <c r="W464" s="68" t="str">
        <f>IF(main!AI467="","",ROUND(main!AI467*100,6))</f>
        <v/>
      </c>
      <c r="X464" s="68" t="str">
        <f>IF(main!AJ467="","",ROUND(main!AJ467*100,6))</f>
        <v/>
      </c>
      <c r="Y464" s="68" t="str">
        <f>IF(main!AK467="","",ROUND(main!AK467*100,6))</f>
        <v/>
      </c>
      <c r="Z464" s="68" t="str">
        <f>IF(main!AL467="","",ROUND(main!AL467*100,6))</f>
        <v/>
      </c>
      <c r="AA464" s="68" t="str">
        <f>IF(main!AM467="","",ROUND(main!AM467*100,6))</f>
        <v/>
      </c>
      <c r="AB464" s="68" t="str">
        <f>IF(main!AN467="","",ROUND(main!AN467*100,6))</f>
        <v/>
      </c>
      <c r="AC464" s="68" t="str">
        <f>IF(main!AO467="","",ROUND(main!AO467*100,6))</f>
        <v/>
      </c>
      <c r="AD464" s="68" t="str">
        <f>IF(main!AP467="","",ROUND(main!AP467*100,6))</f>
        <v/>
      </c>
      <c r="AE464" s="68" t="str">
        <f>IF(main!AQ467="","",ROUND(main!AQ467*100,6))</f>
        <v/>
      </c>
      <c r="AF464" s="68" t="str">
        <f>IF(main!AR467="","",ROUND(main!AR467*100,6))</f>
        <v/>
      </c>
      <c r="AG464" s="68" t="str">
        <f>IF(main!AS467="","",ROUND(main!AS467*100,6))</f>
        <v/>
      </c>
      <c r="AH464" s="68" t="str">
        <f>IF(main!AT467="","",ROUND(main!AT467*100,6))</f>
        <v/>
      </c>
      <c r="AI464" s="68" t="str">
        <f>IF(main!AU467="","",ROUND(main!AU467*100,6))</f>
        <v/>
      </c>
      <c r="AJ464" s="68" t="str">
        <f>IF(main!AV467="","",ROUND(main!AV467*100,6))</f>
        <v/>
      </c>
      <c r="AK464" s="68" t="str">
        <f>IF(main!AW467="","",ROUND(main!AW467*100,6))</f>
        <v/>
      </c>
      <c r="AL464" s="68" t="str">
        <f>IF(main!AX467="","",ROUND(main!AX467*100,6))</f>
        <v/>
      </c>
      <c r="AM464" s="68" t="str">
        <f>IF(main!AY467="","",ROUND(main!AY467*100,6))</f>
        <v/>
      </c>
      <c r="AN464" s="68" t="str">
        <f>IF(main!AZ467="","",ROUND(main!AZ467*100,6))</f>
        <v/>
      </c>
      <c r="AO464" s="68" t="str">
        <f>IF(main!BA467="","",ROUND(main!BA467*100,6))</f>
        <v/>
      </c>
      <c r="AP464" s="68" t="str">
        <f>IF(main!BB467="","",ROUND(main!BB467*100,6))</f>
        <v/>
      </c>
      <c r="AQ464" s="68" t="str">
        <f>IF(main!BC467="","",ROUND(main!BC467*100,6))</f>
        <v/>
      </c>
      <c r="AR464" s="68" t="str">
        <f>IF(main!BD467="","",ROUND(main!BD467*100,6))</f>
        <v/>
      </c>
      <c r="AS464" s="68" t="str">
        <f>IF(main!BE467="","",ROUND(main!BE467*100,6))</f>
        <v/>
      </c>
      <c r="AT464" s="68" t="str">
        <f>IF(main!BF467="","",ROUND(main!BF467*100,6))</f>
        <v/>
      </c>
      <c r="AU464" s="68" t="str">
        <f>IF(main!BG467="","",ROUND(main!BG467*100,6))</f>
        <v/>
      </c>
      <c r="AV464" s="68" t="str">
        <f>IF(main!BH467="","",ROUND(main!BH467*100,6))</f>
        <v/>
      </c>
      <c r="AW464" s="68" t="str">
        <f>IF(main!BI467="","",ROUND(main!BI467*100,6))</f>
        <v/>
      </c>
      <c r="AX464" s="68" t="str">
        <f>IF(main!BJ467="","",ROUND(main!BJ467*100,6))</f>
        <v/>
      </c>
      <c r="AY464" s="68" t="str">
        <f>IF(main!BK467="","",ROUND(main!BK467*100,6))</f>
        <v/>
      </c>
      <c r="AZ464" s="68" t="str">
        <f>IF(main!BL467="","",ROUND(main!BL467*100,6))</f>
        <v/>
      </c>
      <c r="BA464" s="68" t="str">
        <f>IF(main!BM467="","",ROUND(main!BM467*100,6))</f>
        <v/>
      </c>
      <c r="BB464" s="68" t="str">
        <f>IF(main!BN467="","",ROUND(main!BN467*100,6))</f>
        <v/>
      </c>
      <c r="BC464" s="68" t="str">
        <f>IF(main!BO467="","",ROUND(main!BO467*100,6))</f>
        <v/>
      </c>
      <c r="BD464" s="68" t="str">
        <f>IF(main!BP467="","",ROUND(main!BP467*100,6))</f>
        <v/>
      </c>
      <c r="BE464" s="68" t="str">
        <f>IF(main!BQ467="","",ROUND(main!BQ467*100,6))</f>
        <v/>
      </c>
      <c r="BF464" s="68">
        <f>IF(main!BR467="","",ROUND(main!BR467*100,6))</f>
        <v>8.1967210000000001</v>
      </c>
      <c r="BG464" s="68">
        <f>IF(main!BS467="","",ROUND(main!BS467*100,6))</f>
        <v>11.47541</v>
      </c>
      <c r="BH464" s="68">
        <f>IF(main!BT467="","",ROUND(main!BT467*100,6))</f>
        <v>11.47541</v>
      </c>
      <c r="BI464" s="68">
        <f>IF(main!BU467="","",ROUND(main!BU467*100,6))</f>
        <v>11.47541</v>
      </c>
      <c r="BJ464" s="68">
        <f>IF(main!BV467="","",ROUND(main!BV467*100,6))</f>
        <v>11.47541</v>
      </c>
      <c r="BK464" s="68">
        <f>IF(main!BW467="","",ROUND(main!BW467*100,6))</f>
        <v>11.47541</v>
      </c>
      <c r="BL464" s="68">
        <f>IF(main!BX467="","",ROUND(main!BX467*100,6))</f>
        <v>11.47541</v>
      </c>
      <c r="BM464" s="68">
        <f>IF(main!BY467="","",ROUND(main!BY467*100,6))</f>
        <v>11.47541</v>
      </c>
      <c r="BN464" s="68">
        <f>IF(main!BZ467="","",ROUND(main!BZ467*100,6))</f>
        <v>11.47541</v>
      </c>
      <c r="BO464" s="68" t="str">
        <f>IF(main!CA467="","",ROUND(main!CA467*100,6))</f>
        <v/>
      </c>
      <c r="BP464" s="68" t="str">
        <f>IF(main!CB467="","",ROUND(main!CB467*100,6))</f>
        <v/>
      </c>
      <c r="BQ464" s="68" t="str">
        <f>IF(main!CC467="","",ROUND(main!CC467*100,6))</f>
        <v/>
      </c>
      <c r="BR464" s="68" t="str">
        <f>IF(main!CD467="","",ROUND(main!CD467*100,6))</f>
        <v/>
      </c>
      <c r="BS464" s="68" t="str">
        <f>IF(main!CE467="","",ROUND(main!CE467*100,6))</f>
        <v/>
      </c>
      <c r="BT464" s="68" t="str">
        <f>IF(main!CF467="","",ROUND(main!CF467*100,6))</f>
        <v/>
      </c>
      <c r="BU464" s="68" t="str">
        <f>IF(main!CG467="","",ROUND(main!CG467*100,6))</f>
        <v/>
      </c>
      <c r="BV464" s="68" t="str">
        <f>IF(main!CH467="","",ROUND(main!CH467*100,6))</f>
        <v/>
      </c>
      <c r="BW464" s="68" t="str">
        <f>IF(main!CI467="","",ROUND(main!CI467*100,6))</f>
        <v/>
      </c>
      <c r="BX464" s="68" t="str">
        <f>IF(main!CJ467="","",ROUND(main!CJ467*100,6))</f>
        <v/>
      </c>
      <c r="BY464" s="68" t="str">
        <f>IF(main!CK467="","",ROUND(main!CK467*100,6))</f>
        <v/>
      </c>
      <c r="BZ464" s="68" t="str">
        <f>IF(main!CL467="","",ROUND(main!CL467*100,6))</f>
        <v/>
      </c>
      <c r="CA464" s="68" t="str">
        <f>IF(main!CM467="","",ROUND(main!CM467*100,6))</f>
        <v/>
      </c>
      <c r="CB464" s="68" t="str">
        <f>IF(main!CN467="","",ROUND(main!CN467*100,6))</f>
        <v/>
      </c>
      <c r="CC464" s="68" t="str">
        <f>IF(main!CO467="","",ROUND(main!CO467*100,6))</f>
        <v/>
      </c>
    </row>
    <row r="465" spans="1:81" x14ac:dyDescent="0.25">
      <c r="A465" s="65" t="s">
        <v>628</v>
      </c>
      <c r="B465" s="66" t="str">
        <f>main!C467</f>
        <v>Hardscape</v>
      </c>
      <c r="C465" s="67">
        <f>main!O467</f>
        <v>100000</v>
      </c>
      <c r="D465" s="65" t="s">
        <v>111</v>
      </c>
      <c r="E465" s="68" t="str">
        <f t="shared" si="7"/>
        <v/>
      </c>
      <c r="F465" s="68" t="str">
        <f>IF(main!R468="","",ROUND(main!R468*100,6))</f>
        <v/>
      </c>
      <c r="G465" s="68" t="str">
        <f>IF(main!S468="","",ROUND(main!S468*100,6))</f>
        <v/>
      </c>
      <c r="H465" s="68" t="str">
        <f>IF(main!T468="","",ROUND(main!T468*100,6))</f>
        <v/>
      </c>
      <c r="I465" s="68" t="str">
        <f>IF(main!U468="","",ROUND(main!U468*100,6))</f>
        <v/>
      </c>
      <c r="J465" s="68" t="str">
        <f>IF(main!V468="","",ROUND(main!V468*100,6))</f>
        <v/>
      </c>
      <c r="K465" s="68" t="str">
        <f>IF(main!W468="","",ROUND(main!W468*100,6))</f>
        <v/>
      </c>
      <c r="L465" s="68" t="str">
        <f>IF(main!X468="","",ROUND(main!X468*100,6))</f>
        <v/>
      </c>
      <c r="M465" s="68" t="str">
        <f>IF(main!Y468="","",ROUND(main!Y468*100,6))</f>
        <v/>
      </c>
      <c r="N465" s="68" t="str">
        <f>IF(main!Z468="","",ROUND(main!Z468*100,6))</f>
        <v/>
      </c>
      <c r="O465" s="68" t="str">
        <f>IF(main!AA468="","",ROUND(main!AA468*100,6))</f>
        <v/>
      </c>
      <c r="P465" s="68" t="str">
        <f>IF(main!AB468="","",ROUND(main!AB468*100,6))</f>
        <v/>
      </c>
      <c r="Q465" s="68" t="str">
        <f>IF(main!AC468="","",ROUND(main!AC468*100,6))</f>
        <v/>
      </c>
      <c r="R465" s="68" t="str">
        <f>IF(main!AD468="","",ROUND(main!AD468*100,6))</f>
        <v/>
      </c>
      <c r="S465" s="68" t="str">
        <f>IF(main!AE468="","",ROUND(main!AE468*100,6))</f>
        <v/>
      </c>
      <c r="T465" s="68" t="str">
        <f>IF(main!AF468="","",ROUND(main!AF468*100,6))</f>
        <v/>
      </c>
      <c r="U465" s="68" t="str">
        <f>IF(main!AG468="","",ROUND(main!AG468*100,6))</f>
        <v/>
      </c>
      <c r="V465" s="68" t="str">
        <f>IF(main!AH468="","",ROUND(main!AH468*100,6))</f>
        <v/>
      </c>
      <c r="W465" s="68" t="str">
        <f>IF(main!AI468="","",ROUND(main!AI468*100,6))</f>
        <v/>
      </c>
      <c r="X465" s="68" t="str">
        <f>IF(main!AJ468="","",ROUND(main!AJ468*100,6))</f>
        <v/>
      </c>
      <c r="Y465" s="68" t="str">
        <f>IF(main!AK468="","",ROUND(main!AK468*100,6))</f>
        <v/>
      </c>
      <c r="Z465" s="68" t="str">
        <f>IF(main!AL468="","",ROUND(main!AL468*100,6))</f>
        <v/>
      </c>
      <c r="AA465" s="68" t="str">
        <f>IF(main!AM468="","",ROUND(main!AM468*100,6))</f>
        <v/>
      </c>
      <c r="AB465" s="68" t="str">
        <f>IF(main!AN468="","",ROUND(main!AN468*100,6))</f>
        <v/>
      </c>
      <c r="AC465" s="68" t="str">
        <f>IF(main!AO468="","",ROUND(main!AO468*100,6))</f>
        <v/>
      </c>
      <c r="AD465" s="68" t="str">
        <f>IF(main!AP468="","",ROUND(main!AP468*100,6))</f>
        <v/>
      </c>
      <c r="AE465" s="68" t="str">
        <f>IF(main!AQ468="","",ROUND(main!AQ468*100,6))</f>
        <v/>
      </c>
      <c r="AF465" s="68" t="str">
        <f>IF(main!AR468="","",ROUND(main!AR468*100,6))</f>
        <v/>
      </c>
      <c r="AG465" s="68" t="str">
        <f>IF(main!AS468="","",ROUND(main!AS468*100,6))</f>
        <v/>
      </c>
      <c r="AH465" s="68" t="str">
        <f>IF(main!AT468="","",ROUND(main!AT468*100,6))</f>
        <v/>
      </c>
      <c r="AI465" s="68" t="str">
        <f>IF(main!AU468="","",ROUND(main!AU468*100,6))</f>
        <v/>
      </c>
      <c r="AJ465" s="68" t="str">
        <f>IF(main!AV468="","",ROUND(main!AV468*100,6))</f>
        <v/>
      </c>
      <c r="AK465" s="68" t="str">
        <f>IF(main!AW468="","",ROUND(main!AW468*100,6))</f>
        <v/>
      </c>
      <c r="AL465" s="68" t="str">
        <f>IF(main!AX468="","",ROUND(main!AX468*100,6))</f>
        <v/>
      </c>
      <c r="AM465" s="68" t="str">
        <f>IF(main!AY468="","",ROUND(main!AY468*100,6))</f>
        <v/>
      </c>
      <c r="AN465" s="68" t="str">
        <f>IF(main!AZ468="","",ROUND(main!AZ468*100,6))</f>
        <v/>
      </c>
      <c r="AO465" s="68" t="str">
        <f>IF(main!BA468="","",ROUND(main!BA468*100,6))</f>
        <v/>
      </c>
      <c r="AP465" s="68" t="str">
        <f>IF(main!BB468="","",ROUND(main!BB468*100,6))</f>
        <v/>
      </c>
      <c r="AQ465" s="68" t="str">
        <f>IF(main!BC468="","",ROUND(main!BC468*100,6))</f>
        <v/>
      </c>
      <c r="AR465" s="68" t="str">
        <f>IF(main!BD468="","",ROUND(main!BD468*100,6))</f>
        <v/>
      </c>
      <c r="AS465" s="68" t="str">
        <f>IF(main!BE468="","",ROUND(main!BE468*100,6))</f>
        <v/>
      </c>
      <c r="AT465" s="68" t="str">
        <f>IF(main!BF468="","",ROUND(main!BF468*100,6))</f>
        <v/>
      </c>
      <c r="AU465" s="68" t="str">
        <f>IF(main!BG468="","",ROUND(main!BG468*100,6))</f>
        <v/>
      </c>
      <c r="AV465" s="68" t="str">
        <f>IF(main!BH468="","",ROUND(main!BH468*100,6))</f>
        <v/>
      </c>
      <c r="AW465" s="68" t="str">
        <f>IF(main!BI468="","",ROUND(main!BI468*100,6))</f>
        <v/>
      </c>
      <c r="AX465" s="68" t="str">
        <f>IF(main!BJ468="","",ROUND(main!BJ468*100,6))</f>
        <v/>
      </c>
      <c r="AY465" s="68" t="str">
        <f>IF(main!BK468="","",ROUND(main!BK468*100,6))</f>
        <v/>
      </c>
      <c r="AZ465" s="68" t="str">
        <f>IF(main!BL468="","",ROUND(main!BL468*100,6))</f>
        <v/>
      </c>
      <c r="BA465" s="68" t="str">
        <f>IF(main!BM468="","",ROUND(main!BM468*100,6))</f>
        <v/>
      </c>
      <c r="BB465" s="68" t="str">
        <f>IF(main!BN468="","",ROUND(main!BN468*100,6))</f>
        <v/>
      </c>
      <c r="BC465" s="68" t="str">
        <f>IF(main!BO468="","",ROUND(main!BO468*100,6))</f>
        <v/>
      </c>
      <c r="BD465" s="68" t="str">
        <f>IF(main!BP468="","",ROUND(main!BP468*100,6))</f>
        <v/>
      </c>
      <c r="BE465" s="68" t="str">
        <f>IF(main!BQ468="","",ROUND(main!BQ468*100,6))</f>
        <v/>
      </c>
      <c r="BF465" s="68" t="str">
        <f>IF(main!BR468="","",ROUND(main!BR468*100,6))</f>
        <v/>
      </c>
      <c r="BG465" s="68" t="str">
        <f>IF(main!BS468="","",ROUND(main!BS468*100,6))</f>
        <v/>
      </c>
      <c r="BH465" s="68" t="str">
        <f>IF(main!BT468="","",ROUND(main!BT468*100,6))</f>
        <v/>
      </c>
      <c r="BI465" s="68" t="str">
        <f>IF(main!BU468="","",ROUND(main!BU468*100,6))</f>
        <v/>
      </c>
      <c r="BJ465" s="68" t="str">
        <f>IF(main!BV468="","",ROUND(main!BV468*100,6))</f>
        <v/>
      </c>
      <c r="BK465" s="68" t="str">
        <f>IF(main!BW468="","",ROUND(main!BW468*100,6))</f>
        <v/>
      </c>
      <c r="BL465" s="68" t="str">
        <f>IF(main!BX468="","",ROUND(main!BX468*100,6))</f>
        <v/>
      </c>
      <c r="BM465" s="68" t="str">
        <f>IF(main!BY468="","",ROUND(main!BY468*100,6))</f>
        <v/>
      </c>
      <c r="BN465" s="68" t="str">
        <f>IF(main!BZ468="","",ROUND(main!BZ468*100,6))</f>
        <v/>
      </c>
      <c r="BO465" s="68" t="str">
        <f>IF(main!CA468="","",ROUND(main!CA468*100,6))</f>
        <v/>
      </c>
      <c r="BP465" s="68" t="str">
        <f>IF(main!CB468="","",ROUND(main!CB468*100,6))</f>
        <v/>
      </c>
      <c r="BQ465" s="68" t="str">
        <f>IF(main!CC468="","",ROUND(main!CC468*100,6))</f>
        <v/>
      </c>
      <c r="BR465" s="68" t="str">
        <f>IF(main!CD468="","",ROUND(main!CD468*100,6))</f>
        <v/>
      </c>
      <c r="BS465" s="68" t="str">
        <f>IF(main!CE468="","",ROUND(main!CE468*100,6))</f>
        <v/>
      </c>
      <c r="BT465" s="68" t="str">
        <f>IF(main!CF468="","",ROUND(main!CF468*100,6))</f>
        <v/>
      </c>
      <c r="BU465" s="68" t="str">
        <f>IF(main!CG468="","",ROUND(main!CG468*100,6))</f>
        <v/>
      </c>
      <c r="BV465" s="68" t="str">
        <f>IF(main!CH468="","",ROUND(main!CH468*100,6))</f>
        <v/>
      </c>
      <c r="BW465" s="68" t="str">
        <f>IF(main!CI468="","",ROUND(main!CI468*100,6))</f>
        <v/>
      </c>
      <c r="BX465" s="68" t="str">
        <f>IF(main!CJ468="","",ROUND(main!CJ468*100,6))</f>
        <v/>
      </c>
      <c r="BY465" s="68" t="str">
        <f>IF(main!CK468="","",ROUND(main!CK468*100,6))</f>
        <v/>
      </c>
      <c r="BZ465" s="68" t="str">
        <f>IF(main!CL468="","",ROUND(main!CL468*100,6))</f>
        <v/>
      </c>
      <c r="CA465" s="68" t="str">
        <f>IF(main!CM468="","",ROUND(main!CM468*100,6))</f>
        <v/>
      </c>
      <c r="CB465" s="68" t="str">
        <f>IF(main!CN468="","",ROUND(main!CN468*100,6))</f>
        <v/>
      </c>
      <c r="CC465" s="68" t="str">
        <f>IF(main!CO468="","",ROUND(main!CO468*100,6))</f>
        <v/>
      </c>
    </row>
    <row r="466" spans="1:81" x14ac:dyDescent="0.25">
      <c r="A466" s="65" t="s">
        <v>630</v>
      </c>
      <c r="B466" s="66" t="str">
        <f>main!C469</f>
        <v>Softscape</v>
      </c>
      <c r="C466" s="67">
        <f>main!O469</f>
        <v>100000</v>
      </c>
      <c r="D466" s="65" t="s">
        <v>110</v>
      </c>
      <c r="E466" s="68">
        <f t="shared" si="7"/>
        <v>100.000001</v>
      </c>
      <c r="F466" s="68" t="str">
        <f>IF(main!R469="","",ROUND(main!R469*100,6))</f>
        <v/>
      </c>
      <c r="G466" s="68" t="str">
        <f>IF(main!S469="","",ROUND(main!S469*100,6))</f>
        <v/>
      </c>
      <c r="H466" s="68" t="str">
        <f>IF(main!T469="","",ROUND(main!T469*100,6))</f>
        <v/>
      </c>
      <c r="I466" s="68" t="str">
        <f>IF(main!U469="","",ROUND(main!U469*100,6))</f>
        <v/>
      </c>
      <c r="J466" s="68" t="str">
        <f>IF(main!V469="","",ROUND(main!V469*100,6))</f>
        <v/>
      </c>
      <c r="K466" s="68" t="str">
        <f>IF(main!W469="","",ROUND(main!W469*100,6))</f>
        <v/>
      </c>
      <c r="L466" s="68" t="str">
        <f>IF(main!X469="","",ROUND(main!X469*100,6))</f>
        <v/>
      </c>
      <c r="M466" s="68" t="str">
        <f>IF(main!Y469="","",ROUND(main!Y469*100,6))</f>
        <v/>
      </c>
      <c r="N466" s="68" t="str">
        <f>IF(main!Z469="","",ROUND(main!Z469*100,6))</f>
        <v/>
      </c>
      <c r="O466" s="68" t="str">
        <f>IF(main!AA469="","",ROUND(main!AA469*100,6))</f>
        <v/>
      </c>
      <c r="P466" s="68" t="str">
        <f>IF(main!AB469="","",ROUND(main!AB469*100,6))</f>
        <v/>
      </c>
      <c r="Q466" s="68" t="str">
        <f>IF(main!AC469="","",ROUND(main!AC469*100,6))</f>
        <v/>
      </c>
      <c r="R466" s="68" t="str">
        <f>IF(main!AD469="","",ROUND(main!AD469*100,6))</f>
        <v/>
      </c>
      <c r="S466" s="68" t="str">
        <f>IF(main!AE469="","",ROUND(main!AE469*100,6))</f>
        <v/>
      </c>
      <c r="T466" s="68" t="str">
        <f>IF(main!AF469="","",ROUND(main!AF469*100,6))</f>
        <v/>
      </c>
      <c r="U466" s="68" t="str">
        <f>IF(main!AG469="","",ROUND(main!AG469*100,6))</f>
        <v/>
      </c>
      <c r="V466" s="68" t="str">
        <f>IF(main!AH469="","",ROUND(main!AH469*100,6))</f>
        <v/>
      </c>
      <c r="W466" s="68" t="str">
        <f>IF(main!AI469="","",ROUND(main!AI469*100,6))</f>
        <v/>
      </c>
      <c r="X466" s="68" t="str">
        <f>IF(main!AJ469="","",ROUND(main!AJ469*100,6))</f>
        <v/>
      </c>
      <c r="Y466" s="68" t="str">
        <f>IF(main!AK469="","",ROUND(main!AK469*100,6))</f>
        <v/>
      </c>
      <c r="Z466" s="68" t="str">
        <f>IF(main!AL469="","",ROUND(main!AL469*100,6))</f>
        <v/>
      </c>
      <c r="AA466" s="68" t="str">
        <f>IF(main!AM469="","",ROUND(main!AM469*100,6))</f>
        <v/>
      </c>
      <c r="AB466" s="68" t="str">
        <f>IF(main!AN469="","",ROUND(main!AN469*100,6))</f>
        <v/>
      </c>
      <c r="AC466" s="68" t="str">
        <f>IF(main!AO469="","",ROUND(main!AO469*100,6))</f>
        <v/>
      </c>
      <c r="AD466" s="68" t="str">
        <f>IF(main!AP469="","",ROUND(main!AP469*100,6))</f>
        <v/>
      </c>
      <c r="AE466" s="68" t="str">
        <f>IF(main!AQ469="","",ROUND(main!AQ469*100,6))</f>
        <v/>
      </c>
      <c r="AF466" s="68" t="str">
        <f>IF(main!AR469="","",ROUND(main!AR469*100,6))</f>
        <v/>
      </c>
      <c r="AG466" s="68" t="str">
        <f>IF(main!AS469="","",ROUND(main!AS469*100,6))</f>
        <v/>
      </c>
      <c r="AH466" s="68" t="str">
        <f>IF(main!AT469="","",ROUND(main!AT469*100,6))</f>
        <v/>
      </c>
      <c r="AI466" s="68" t="str">
        <f>IF(main!AU469="","",ROUND(main!AU469*100,6))</f>
        <v/>
      </c>
      <c r="AJ466" s="68" t="str">
        <f>IF(main!AV469="","",ROUND(main!AV469*100,6))</f>
        <v/>
      </c>
      <c r="AK466" s="68" t="str">
        <f>IF(main!AW469="","",ROUND(main!AW469*100,6))</f>
        <v/>
      </c>
      <c r="AL466" s="68" t="str">
        <f>IF(main!AX469="","",ROUND(main!AX469*100,6))</f>
        <v/>
      </c>
      <c r="AM466" s="68" t="str">
        <f>IF(main!AY469="","",ROUND(main!AY469*100,6))</f>
        <v/>
      </c>
      <c r="AN466" s="68" t="str">
        <f>IF(main!AZ469="","",ROUND(main!AZ469*100,6))</f>
        <v/>
      </c>
      <c r="AO466" s="68" t="str">
        <f>IF(main!BA469="","",ROUND(main!BA469*100,6))</f>
        <v/>
      </c>
      <c r="AP466" s="68" t="str">
        <f>IF(main!BB469="","",ROUND(main!BB469*100,6))</f>
        <v/>
      </c>
      <c r="AQ466" s="68" t="str">
        <f>IF(main!BC469="","",ROUND(main!BC469*100,6))</f>
        <v/>
      </c>
      <c r="AR466" s="68" t="str">
        <f>IF(main!BD469="","",ROUND(main!BD469*100,6))</f>
        <v/>
      </c>
      <c r="AS466" s="68" t="str">
        <f>IF(main!BE469="","",ROUND(main!BE469*100,6))</f>
        <v/>
      </c>
      <c r="AT466" s="68" t="str">
        <f>IF(main!BF469="","",ROUND(main!BF469*100,6))</f>
        <v/>
      </c>
      <c r="AU466" s="68" t="str">
        <f>IF(main!BG469="","",ROUND(main!BG469*100,6))</f>
        <v/>
      </c>
      <c r="AV466" s="68" t="str">
        <f>IF(main!BH469="","",ROUND(main!BH469*100,6))</f>
        <v/>
      </c>
      <c r="AW466" s="68" t="str">
        <f>IF(main!BI469="","",ROUND(main!BI469*100,6))</f>
        <v/>
      </c>
      <c r="AX466" s="68" t="str">
        <f>IF(main!BJ469="","",ROUND(main!BJ469*100,6))</f>
        <v/>
      </c>
      <c r="AY466" s="68" t="str">
        <f>IF(main!BK469="","",ROUND(main!BK469*100,6))</f>
        <v/>
      </c>
      <c r="AZ466" s="68" t="str">
        <f>IF(main!BL469="","",ROUND(main!BL469*100,6))</f>
        <v/>
      </c>
      <c r="BA466" s="68" t="str">
        <f>IF(main!BM469="","",ROUND(main!BM469*100,6))</f>
        <v/>
      </c>
      <c r="BB466" s="68" t="str">
        <f>IF(main!BN469="","",ROUND(main!BN469*100,6))</f>
        <v/>
      </c>
      <c r="BC466" s="68" t="str">
        <f>IF(main!BO469="","",ROUND(main!BO469*100,6))</f>
        <v/>
      </c>
      <c r="BD466" s="68" t="str">
        <f>IF(main!BP469="","",ROUND(main!BP469*100,6))</f>
        <v/>
      </c>
      <c r="BE466" s="68" t="str">
        <f>IF(main!BQ469="","",ROUND(main!BQ469*100,6))</f>
        <v/>
      </c>
      <c r="BF466" s="68" t="str">
        <f>IF(main!BR469="","",ROUND(main!BR469*100,6))</f>
        <v/>
      </c>
      <c r="BG466" s="68" t="str">
        <f>IF(main!BS469="","",ROUND(main!BS469*100,6))</f>
        <v/>
      </c>
      <c r="BH466" s="68" t="str">
        <f>IF(main!BT469="","",ROUND(main!BT469*100,6))</f>
        <v/>
      </c>
      <c r="BI466" s="68" t="str">
        <f>IF(main!BU469="","",ROUND(main!BU469*100,6))</f>
        <v/>
      </c>
      <c r="BJ466" s="68" t="str">
        <f>IF(main!BV469="","",ROUND(main!BV469*100,6))</f>
        <v/>
      </c>
      <c r="BK466" s="68" t="str">
        <f>IF(main!BW469="","",ROUND(main!BW469*100,6))</f>
        <v/>
      </c>
      <c r="BL466" s="68" t="str">
        <f>IF(main!BX469="","",ROUND(main!BX469*100,6))</f>
        <v/>
      </c>
      <c r="BM466" s="68" t="str">
        <f>IF(main!BY469="","",ROUND(main!BY469*100,6))</f>
        <v/>
      </c>
      <c r="BN466" s="68" t="str">
        <f>IF(main!BZ469="","",ROUND(main!BZ469*100,6))</f>
        <v/>
      </c>
      <c r="BO466" s="68">
        <f>IF(main!CA469="","",ROUND(main!CA469*100,6))</f>
        <v>8.1967210000000001</v>
      </c>
      <c r="BP466" s="68">
        <f>IF(main!CB469="","",ROUND(main!CB469*100,6))</f>
        <v>11.47541</v>
      </c>
      <c r="BQ466" s="68">
        <f>IF(main!CC469="","",ROUND(main!CC469*100,6))</f>
        <v>11.47541</v>
      </c>
      <c r="BR466" s="68">
        <f>IF(main!CD469="","",ROUND(main!CD469*100,6))</f>
        <v>11.47541</v>
      </c>
      <c r="BS466" s="68">
        <f>IF(main!CE469="","",ROUND(main!CE469*100,6))</f>
        <v>11.47541</v>
      </c>
      <c r="BT466" s="68">
        <f>IF(main!CF469="","",ROUND(main!CF469*100,6))</f>
        <v>11.47541</v>
      </c>
      <c r="BU466" s="68">
        <f>IF(main!CG469="","",ROUND(main!CG469*100,6))</f>
        <v>11.47541</v>
      </c>
      <c r="BV466" s="68">
        <f>IF(main!CH469="","",ROUND(main!CH469*100,6))</f>
        <v>11.47541</v>
      </c>
      <c r="BW466" s="68">
        <f>IF(main!CI469="","",ROUND(main!CI469*100,6))</f>
        <v>11.47541</v>
      </c>
      <c r="BX466" s="68" t="str">
        <f>IF(main!CJ469="","",ROUND(main!CJ469*100,6))</f>
        <v/>
      </c>
      <c r="BY466" s="68" t="str">
        <f>IF(main!CK469="","",ROUND(main!CK469*100,6))</f>
        <v/>
      </c>
      <c r="BZ466" s="68" t="str">
        <f>IF(main!CL469="","",ROUND(main!CL469*100,6))</f>
        <v/>
      </c>
      <c r="CA466" s="68" t="str">
        <f>IF(main!CM469="","",ROUND(main!CM469*100,6))</f>
        <v/>
      </c>
      <c r="CB466" s="68" t="str">
        <f>IF(main!CN469="","",ROUND(main!CN469*100,6))</f>
        <v/>
      </c>
      <c r="CC466" s="68" t="str">
        <f>IF(main!CO469="","",ROUND(main!CO469*100,6))</f>
        <v/>
      </c>
    </row>
    <row r="467" spans="1:81" x14ac:dyDescent="0.25">
      <c r="A467" s="65" t="s">
        <v>630</v>
      </c>
      <c r="B467" s="66" t="str">
        <f>main!C469</f>
        <v>Softscape</v>
      </c>
      <c r="C467" s="67">
        <f>main!O469</f>
        <v>100000</v>
      </c>
      <c r="D467" s="65" t="s">
        <v>111</v>
      </c>
      <c r="E467" s="68" t="str">
        <f t="shared" si="7"/>
        <v/>
      </c>
      <c r="F467" s="68" t="str">
        <f>IF(main!R470="","",ROUND(main!R470*100,6))</f>
        <v/>
      </c>
      <c r="G467" s="68" t="str">
        <f>IF(main!S470="","",ROUND(main!S470*100,6))</f>
        <v/>
      </c>
      <c r="H467" s="68" t="str">
        <f>IF(main!T470="","",ROUND(main!T470*100,6))</f>
        <v/>
      </c>
      <c r="I467" s="68" t="str">
        <f>IF(main!U470="","",ROUND(main!U470*100,6))</f>
        <v/>
      </c>
      <c r="J467" s="68" t="str">
        <f>IF(main!V470="","",ROUND(main!V470*100,6))</f>
        <v/>
      </c>
      <c r="K467" s="68" t="str">
        <f>IF(main!W470="","",ROUND(main!W470*100,6))</f>
        <v/>
      </c>
      <c r="L467" s="68" t="str">
        <f>IF(main!X470="","",ROUND(main!X470*100,6))</f>
        <v/>
      </c>
      <c r="M467" s="68" t="str">
        <f>IF(main!Y470="","",ROUND(main!Y470*100,6))</f>
        <v/>
      </c>
      <c r="N467" s="68" t="str">
        <f>IF(main!Z470="","",ROUND(main!Z470*100,6))</f>
        <v/>
      </c>
      <c r="O467" s="68" t="str">
        <f>IF(main!AA470="","",ROUND(main!AA470*100,6))</f>
        <v/>
      </c>
      <c r="P467" s="68" t="str">
        <f>IF(main!AB470="","",ROUND(main!AB470*100,6))</f>
        <v/>
      </c>
      <c r="Q467" s="68" t="str">
        <f>IF(main!AC470="","",ROUND(main!AC470*100,6))</f>
        <v/>
      </c>
      <c r="R467" s="68" t="str">
        <f>IF(main!AD470="","",ROUND(main!AD470*100,6))</f>
        <v/>
      </c>
      <c r="S467" s="68" t="str">
        <f>IF(main!AE470="","",ROUND(main!AE470*100,6))</f>
        <v/>
      </c>
      <c r="T467" s="68" t="str">
        <f>IF(main!AF470="","",ROUND(main!AF470*100,6))</f>
        <v/>
      </c>
      <c r="U467" s="68" t="str">
        <f>IF(main!AG470="","",ROUND(main!AG470*100,6))</f>
        <v/>
      </c>
      <c r="V467" s="68" t="str">
        <f>IF(main!AH470="","",ROUND(main!AH470*100,6))</f>
        <v/>
      </c>
      <c r="W467" s="68" t="str">
        <f>IF(main!AI470="","",ROUND(main!AI470*100,6))</f>
        <v/>
      </c>
      <c r="X467" s="68" t="str">
        <f>IF(main!AJ470="","",ROUND(main!AJ470*100,6))</f>
        <v/>
      </c>
      <c r="Y467" s="68" t="str">
        <f>IF(main!AK470="","",ROUND(main!AK470*100,6))</f>
        <v/>
      </c>
      <c r="Z467" s="68" t="str">
        <f>IF(main!AL470="","",ROUND(main!AL470*100,6))</f>
        <v/>
      </c>
      <c r="AA467" s="68" t="str">
        <f>IF(main!AM470="","",ROUND(main!AM470*100,6))</f>
        <v/>
      </c>
      <c r="AB467" s="68" t="str">
        <f>IF(main!AN470="","",ROUND(main!AN470*100,6))</f>
        <v/>
      </c>
      <c r="AC467" s="68" t="str">
        <f>IF(main!AO470="","",ROUND(main!AO470*100,6))</f>
        <v/>
      </c>
      <c r="AD467" s="68" t="str">
        <f>IF(main!AP470="","",ROUND(main!AP470*100,6))</f>
        <v/>
      </c>
      <c r="AE467" s="68" t="str">
        <f>IF(main!AQ470="","",ROUND(main!AQ470*100,6))</f>
        <v/>
      </c>
      <c r="AF467" s="68" t="str">
        <f>IF(main!AR470="","",ROUND(main!AR470*100,6))</f>
        <v/>
      </c>
      <c r="AG467" s="68" t="str">
        <f>IF(main!AS470="","",ROUND(main!AS470*100,6))</f>
        <v/>
      </c>
      <c r="AH467" s="68" t="str">
        <f>IF(main!AT470="","",ROUND(main!AT470*100,6))</f>
        <v/>
      </c>
      <c r="AI467" s="68" t="str">
        <f>IF(main!AU470="","",ROUND(main!AU470*100,6))</f>
        <v/>
      </c>
      <c r="AJ467" s="68" t="str">
        <f>IF(main!AV470="","",ROUND(main!AV470*100,6))</f>
        <v/>
      </c>
      <c r="AK467" s="68" t="str">
        <f>IF(main!AW470="","",ROUND(main!AW470*100,6))</f>
        <v/>
      </c>
      <c r="AL467" s="68" t="str">
        <f>IF(main!AX470="","",ROUND(main!AX470*100,6))</f>
        <v/>
      </c>
      <c r="AM467" s="68" t="str">
        <f>IF(main!AY470="","",ROUND(main!AY470*100,6))</f>
        <v/>
      </c>
      <c r="AN467" s="68" t="str">
        <f>IF(main!AZ470="","",ROUND(main!AZ470*100,6))</f>
        <v/>
      </c>
      <c r="AO467" s="68" t="str">
        <f>IF(main!BA470="","",ROUND(main!BA470*100,6))</f>
        <v/>
      </c>
      <c r="AP467" s="68" t="str">
        <f>IF(main!BB470="","",ROUND(main!BB470*100,6))</f>
        <v/>
      </c>
      <c r="AQ467" s="68" t="str">
        <f>IF(main!BC470="","",ROUND(main!BC470*100,6))</f>
        <v/>
      </c>
      <c r="AR467" s="68" t="str">
        <f>IF(main!BD470="","",ROUND(main!BD470*100,6))</f>
        <v/>
      </c>
      <c r="AS467" s="68" t="str">
        <f>IF(main!BE470="","",ROUND(main!BE470*100,6))</f>
        <v/>
      </c>
      <c r="AT467" s="68" t="str">
        <f>IF(main!BF470="","",ROUND(main!BF470*100,6))</f>
        <v/>
      </c>
      <c r="AU467" s="68" t="str">
        <f>IF(main!BG470="","",ROUND(main!BG470*100,6))</f>
        <v/>
      </c>
      <c r="AV467" s="68" t="str">
        <f>IF(main!BH470="","",ROUND(main!BH470*100,6))</f>
        <v/>
      </c>
      <c r="AW467" s="68" t="str">
        <f>IF(main!BI470="","",ROUND(main!BI470*100,6))</f>
        <v/>
      </c>
      <c r="AX467" s="68" t="str">
        <f>IF(main!BJ470="","",ROUND(main!BJ470*100,6))</f>
        <v/>
      </c>
      <c r="AY467" s="68" t="str">
        <f>IF(main!BK470="","",ROUND(main!BK470*100,6))</f>
        <v/>
      </c>
      <c r="AZ467" s="68" t="str">
        <f>IF(main!BL470="","",ROUND(main!BL470*100,6))</f>
        <v/>
      </c>
      <c r="BA467" s="68" t="str">
        <f>IF(main!BM470="","",ROUND(main!BM470*100,6))</f>
        <v/>
      </c>
      <c r="BB467" s="68" t="str">
        <f>IF(main!BN470="","",ROUND(main!BN470*100,6))</f>
        <v/>
      </c>
      <c r="BC467" s="68" t="str">
        <f>IF(main!BO470="","",ROUND(main!BO470*100,6))</f>
        <v/>
      </c>
      <c r="BD467" s="68" t="str">
        <f>IF(main!BP470="","",ROUND(main!BP470*100,6))</f>
        <v/>
      </c>
      <c r="BE467" s="68" t="str">
        <f>IF(main!BQ470="","",ROUND(main!BQ470*100,6))</f>
        <v/>
      </c>
      <c r="BF467" s="68" t="str">
        <f>IF(main!BR470="","",ROUND(main!BR470*100,6))</f>
        <v/>
      </c>
      <c r="BG467" s="68" t="str">
        <f>IF(main!BS470="","",ROUND(main!BS470*100,6))</f>
        <v/>
      </c>
      <c r="BH467" s="68" t="str">
        <f>IF(main!BT470="","",ROUND(main!BT470*100,6))</f>
        <v/>
      </c>
      <c r="BI467" s="68" t="str">
        <f>IF(main!BU470="","",ROUND(main!BU470*100,6))</f>
        <v/>
      </c>
      <c r="BJ467" s="68" t="str">
        <f>IF(main!BV470="","",ROUND(main!BV470*100,6))</f>
        <v/>
      </c>
      <c r="BK467" s="68" t="str">
        <f>IF(main!BW470="","",ROUND(main!BW470*100,6))</f>
        <v/>
      </c>
      <c r="BL467" s="68" t="str">
        <f>IF(main!BX470="","",ROUND(main!BX470*100,6))</f>
        <v/>
      </c>
      <c r="BM467" s="68" t="str">
        <f>IF(main!BY470="","",ROUND(main!BY470*100,6))</f>
        <v/>
      </c>
      <c r="BN467" s="68" t="str">
        <f>IF(main!BZ470="","",ROUND(main!BZ470*100,6))</f>
        <v/>
      </c>
      <c r="BO467" s="68" t="str">
        <f>IF(main!CA470="","",ROUND(main!CA470*100,6))</f>
        <v/>
      </c>
      <c r="BP467" s="68" t="str">
        <f>IF(main!CB470="","",ROUND(main!CB470*100,6))</f>
        <v/>
      </c>
      <c r="BQ467" s="68" t="str">
        <f>IF(main!CC470="","",ROUND(main!CC470*100,6))</f>
        <v/>
      </c>
      <c r="BR467" s="68" t="str">
        <f>IF(main!CD470="","",ROUND(main!CD470*100,6))</f>
        <v/>
      </c>
      <c r="BS467" s="68" t="str">
        <f>IF(main!CE470="","",ROUND(main!CE470*100,6))</f>
        <v/>
      </c>
      <c r="BT467" s="68" t="str">
        <f>IF(main!CF470="","",ROUND(main!CF470*100,6))</f>
        <v/>
      </c>
      <c r="BU467" s="68" t="str">
        <f>IF(main!CG470="","",ROUND(main!CG470*100,6))</f>
        <v/>
      </c>
      <c r="BV467" s="68" t="str">
        <f>IF(main!CH470="","",ROUND(main!CH470*100,6))</f>
        <v/>
      </c>
      <c r="BW467" s="68" t="str">
        <f>IF(main!CI470="","",ROUND(main!CI470*100,6))</f>
        <v/>
      </c>
      <c r="BX467" s="68" t="str">
        <f>IF(main!CJ470="","",ROUND(main!CJ470*100,6))</f>
        <v/>
      </c>
      <c r="BY467" s="68" t="str">
        <f>IF(main!CK470="","",ROUND(main!CK470*100,6))</f>
        <v/>
      </c>
      <c r="BZ467" s="68" t="str">
        <f>IF(main!CL470="","",ROUND(main!CL470*100,6))</f>
        <v/>
      </c>
      <c r="CA467" s="68" t="str">
        <f>IF(main!CM470="","",ROUND(main!CM470*100,6))</f>
        <v/>
      </c>
      <c r="CB467" s="68" t="str">
        <f>IF(main!CN470="","",ROUND(main!CN470*100,6))</f>
        <v/>
      </c>
      <c r="CC467" s="68" t="str">
        <f>IF(main!CO470="","",ROUND(main!CO470*100,6))</f>
        <v/>
      </c>
    </row>
    <row r="468" spans="1:81" x14ac:dyDescent="0.25">
      <c r="A468" s="65" t="s">
        <v>632</v>
      </c>
      <c r="B468" s="66" t="str">
        <f>main!C471</f>
        <v>Softscape</v>
      </c>
      <c r="C468" s="67">
        <f>main!O471</f>
        <v>100000</v>
      </c>
      <c r="D468" s="65" t="s">
        <v>110</v>
      </c>
      <c r="E468" s="68">
        <f t="shared" si="7"/>
        <v>100.000001</v>
      </c>
      <c r="F468" s="68" t="str">
        <f>IF(main!R471="","",ROUND(main!R471*100,6))</f>
        <v/>
      </c>
      <c r="G468" s="68" t="str">
        <f>IF(main!S471="","",ROUND(main!S471*100,6))</f>
        <v/>
      </c>
      <c r="H468" s="68" t="str">
        <f>IF(main!T471="","",ROUND(main!T471*100,6))</f>
        <v/>
      </c>
      <c r="I468" s="68" t="str">
        <f>IF(main!U471="","",ROUND(main!U471*100,6))</f>
        <v/>
      </c>
      <c r="J468" s="68" t="str">
        <f>IF(main!V471="","",ROUND(main!V471*100,6))</f>
        <v/>
      </c>
      <c r="K468" s="68" t="str">
        <f>IF(main!W471="","",ROUND(main!W471*100,6))</f>
        <v/>
      </c>
      <c r="L468" s="68" t="str">
        <f>IF(main!X471="","",ROUND(main!X471*100,6))</f>
        <v/>
      </c>
      <c r="M468" s="68" t="str">
        <f>IF(main!Y471="","",ROUND(main!Y471*100,6))</f>
        <v/>
      </c>
      <c r="N468" s="68" t="str">
        <f>IF(main!Z471="","",ROUND(main!Z471*100,6))</f>
        <v/>
      </c>
      <c r="O468" s="68" t="str">
        <f>IF(main!AA471="","",ROUND(main!AA471*100,6))</f>
        <v/>
      </c>
      <c r="P468" s="68" t="str">
        <f>IF(main!AB471="","",ROUND(main!AB471*100,6))</f>
        <v/>
      </c>
      <c r="Q468" s="68" t="str">
        <f>IF(main!AC471="","",ROUND(main!AC471*100,6))</f>
        <v/>
      </c>
      <c r="R468" s="68" t="str">
        <f>IF(main!AD471="","",ROUND(main!AD471*100,6))</f>
        <v/>
      </c>
      <c r="S468" s="68" t="str">
        <f>IF(main!AE471="","",ROUND(main!AE471*100,6))</f>
        <v/>
      </c>
      <c r="T468" s="68" t="str">
        <f>IF(main!AF471="","",ROUND(main!AF471*100,6))</f>
        <v/>
      </c>
      <c r="U468" s="68" t="str">
        <f>IF(main!AG471="","",ROUND(main!AG471*100,6))</f>
        <v/>
      </c>
      <c r="V468" s="68" t="str">
        <f>IF(main!AH471="","",ROUND(main!AH471*100,6))</f>
        <v/>
      </c>
      <c r="W468" s="68" t="str">
        <f>IF(main!AI471="","",ROUND(main!AI471*100,6))</f>
        <v/>
      </c>
      <c r="X468" s="68" t="str">
        <f>IF(main!AJ471="","",ROUND(main!AJ471*100,6))</f>
        <v/>
      </c>
      <c r="Y468" s="68" t="str">
        <f>IF(main!AK471="","",ROUND(main!AK471*100,6))</f>
        <v/>
      </c>
      <c r="Z468" s="68" t="str">
        <f>IF(main!AL471="","",ROUND(main!AL471*100,6))</f>
        <v/>
      </c>
      <c r="AA468" s="68" t="str">
        <f>IF(main!AM471="","",ROUND(main!AM471*100,6))</f>
        <v/>
      </c>
      <c r="AB468" s="68" t="str">
        <f>IF(main!AN471="","",ROUND(main!AN471*100,6))</f>
        <v/>
      </c>
      <c r="AC468" s="68" t="str">
        <f>IF(main!AO471="","",ROUND(main!AO471*100,6))</f>
        <v/>
      </c>
      <c r="AD468" s="68" t="str">
        <f>IF(main!AP471="","",ROUND(main!AP471*100,6))</f>
        <v/>
      </c>
      <c r="AE468" s="68" t="str">
        <f>IF(main!AQ471="","",ROUND(main!AQ471*100,6))</f>
        <v/>
      </c>
      <c r="AF468" s="68" t="str">
        <f>IF(main!AR471="","",ROUND(main!AR471*100,6))</f>
        <v/>
      </c>
      <c r="AG468" s="68" t="str">
        <f>IF(main!AS471="","",ROUND(main!AS471*100,6))</f>
        <v/>
      </c>
      <c r="AH468" s="68" t="str">
        <f>IF(main!AT471="","",ROUND(main!AT471*100,6))</f>
        <v/>
      </c>
      <c r="AI468" s="68" t="str">
        <f>IF(main!AU471="","",ROUND(main!AU471*100,6))</f>
        <v/>
      </c>
      <c r="AJ468" s="68" t="str">
        <f>IF(main!AV471="","",ROUND(main!AV471*100,6))</f>
        <v/>
      </c>
      <c r="AK468" s="68" t="str">
        <f>IF(main!AW471="","",ROUND(main!AW471*100,6))</f>
        <v/>
      </c>
      <c r="AL468" s="68" t="str">
        <f>IF(main!AX471="","",ROUND(main!AX471*100,6))</f>
        <v/>
      </c>
      <c r="AM468" s="68" t="str">
        <f>IF(main!AY471="","",ROUND(main!AY471*100,6))</f>
        <v/>
      </c>
      <c r="AN468" s="68" t="str">
        <f>IF(main!AZ471="","",ROUND(main!AZ471*100,6))</f>
        <v/>
      </c>
      <c r="AO468" s="68" t="str">
        <f>IF(main!BA471="","",ROUND(main!BA471*100,6))</f>
        <v/>
      </c>
      <c r="AP468" s="68" t="str">
        <f>IF(main!BB471="","",ROUND(main!BB471*100,6))</f>
        <v/>
      </c>
      <c r="AQ468" s="68" t="str">
        <f>IF(main!BC471="","",ROUND(main!BC471*100,6))</f>
        <v/>
      </c>
      <c r="AR468" s="68" t="str">
        <f>IF(main!BD471="","",ROUND(main!BD471*100,6))</f>
        <v/>
      </c>
      <c r="AS468" s="68" t="str">
        <f>IF(main!BE471="","",ROUND(main!BE471*100,6))</f>
        <v/>
      </c>
      <c r="AT468" s="68" t="str">
        <f>IF(main!BF471="","",ROUND(main!BF471*100,6))</f>
        <v/>
      </c>
      <c r="AU468" s="68" t="str">
        <f>IF(main!BG471="","",ROUND(main!BG471*100,6))</f>
        <v/>
      </c>
      <c r="AV468" s="68" t="str">
        <f>IF(main!BH471="","",ROUND(main!BH471*100,6))</f>
        <v/>
      </c>
      <c r="AW468" s="68" t="str">
        <f>IF(main!BI471="","",ROUND(main!BI471*100,6))</f>
        <v/>
      </c>
      <c r="AX468" s="68" t="str">
        <f>IF(main!BJ471="","",ROUND(main!BJ471*100,6))</f>
        <v/>
      </c>
      <c r="AY468" s="68" t="str">
        <f>IF(main!BK471="","",ROUND(main!BK471*100,6))</f>
        <v/>
      </c>
      <c r="AZ468" s="68" t="str">
        <f>IF(main!BL471="","",ROUND(main!BL471*100,6))</f>
        <v/>
      </c>
      <c r="BA468" s="68" t="str">
        <f>IF(main!BM471="","",ROUND(main!BM471*100,6))</f>
        <v/>
      </c>
      <c r="BB468" s="68" t="str">
        <f>IF(main!BN471="","",ROUND(main!BN471*100,6))</f>
        <v/>
      </c>
      <c r="BC468" s="68" t="str">
        <f>IF(main!BO471="","",ROUND(main!BO471*100,6))</f>
        <v/>
      </c>
      <c r="BD468" s="68" t="str">
        <f>IF(main!BP471="","",ROUND(main!BP471*100,6))</f>
        <v/>
      </c>
      <c r="BE468" s="68" t="str">
        <f>IF(main!BQ471="","",ROUND(main!BQ471*100,6))</f>
        <v/>
      </c>
      <c r="BF468" s="68" t="str">
        <f>IF(main!BR471="","",ROUND(main!BR471*100,6))</f>
        <v/>
      </c>
      <c r="BG468" s="68" t="str">
        <f>IF(main!BS471="","",ROUND(main!BS471*100,6))</f>
        <v/>
      </c>
      <c r="BH468" s="68" t="str">
        <f>IF(main!BT471="","",ROUND(main!BT471*100,6))</f>
        <v/>
      </c>
      <c r="BI468" s="68" t="str">
        <f>IF(main!BU471="","",ROUND(main!BU471*100,6))</f>
        <v/>
      </c>
      <c r="BJ468" s="68" t="str">
        <f>IF(main!BV471="","",ROUND(main!BV471*100,6))</f>
        <v/>
      </c>
      <c r="BK468" s="68" t="str">
        <f>IF(main!BW471="","",ROUND(main!BW471*100,6))</f>
        <v/>
      </c>
      <c r="BL468" s="68" t="str">
        <f>IF(main!BX471="","",ROUND(main!BX471*100,6))</f>
        <v/>
      </c>
      <c r="BM468" s="68" t="str">
        <f>IF(main!BY471="","",ROUND(main!BY471*100,6))</f>
        <v/>
      </c>
      <c r="BN468" s="68" t="str">
        <f>IF(main!BZ471="","",ROUND(main!BZ471*100,6))</f>
        <v/>
      </c>
      <c r="BO468" s="68">
        <f>IF(main!CA471="","",ROUND(main!CA471*100,6))</f>
        <v>8.1967210000000001</v>
      </c>
      <c r="BP468" s="68">
        <f>IF(main!CB471="","",ROUND(main!CB471*100,6))</f>
        <v>11.47541</v>
      </c>
      <c r="BQ468" s="68">
        <f>IF(main!CC471="","",ROUND(main!CC471*100,6))</f>
        <v>11.47541</v>
      </c>
      <c r="BR468" s="68">
        <f>IF(main!CD471="","",ROUND(main!CD471*100,6))</f>
        <v>11.47541</v>
      </c>
      <c r="BS468" s="68">
        <f>IF(main!CE471="","",ROUND(main!CE471*100,6))</f>
        <v>11.47541</v>
      </c>
      <c r="BT468" s="68">
        <f>IF(main!CF471="","",ROUND(main!CF471*100,6))</f>
        <v>11.47541</v>
      </c>
      <c r="BU468" s="68">
        <f>IF(main!CG471="","",ROUND(main!CG471*100,6))</f>
        <v>11.47541</v>
      </c>
      <c r="BV468" s="68">
        <f>IF(main!CH471="","",ROUND(main!CH471*100,6))</f>
        <v>11.47541</v>
      </c>
      <c r="BW468" s="68">
        <f>IF(main!CI471="","",ROUND(main!CI471*100,6))</f>
        <v>11.47541</v>
      </c>
      <c r="BX468" s="68" t="str">
        <f>IF(main!CJ471="","",ROUND(main!CJ471*100,6))</f>
        <v/>
      </c>
      <c r="BY468" s="68" t="str">
        <f>IF(main!CK471="","",ROUND(main!CK471*100,6))</f>
        <v/>
      </c>
      <c r="BZ468" s="68" t="str">
        <f>IF(main!CL471="","",ROUND(main!CL471*100,6))</f>
        <v/>
      </c>
      <c r="CA468" s="68" t="str">
        <f>IF(main!CM471="","",ROUND(main!CM471*100,6))</f>
        <v/>
      </c>
      <c r="CB468" s="68" t="str">
        <f>IF(main!CN471="","",ROUND(main!CN471*100,6))</f>
        <v/>
      </c>
      <c r="CC468" s="68" t="str">
        <f>IF(main!CO471="","",ROUND(main!CO471*100,6))</f>
        <v/>
      </c>
    </row>
    <row r="469" spans="1:81" x14ac:dyDescent="0.25">
      <c r="A469" s="65" t="s">
        <v>632</v>
      </c>
      <c r="B469" s="66" t="str">
        <f>main!C471</f>
        <v>Softscape</v>
      </c>
      <c r="C469" s="67">
        <f>main!O471</f>
        <v>100000</v>
      </c>
      <c r="D469" s="65" t="s">
        <v>111</v>
      </c>
      <c r="E469" s="68" t="str">
        <f t="shared" si="7"/>
        <v/>
      </c>
      <c r="F469" s="68" t="str">
        <f>IF(main!R472="","",ROUND(main!R472*100,6))</f>
        <v/>
      </c>
      <c r="G469" s="68" t="str">
        <f>IF(main!S472="","",ROUND(main!S472*100,6))</f>
        <v/>
      </c>
      <c r="H469" s="68" t="str">
        <f>IF(main!T472="","",ROUND(main!T472*100,6))</f>
        <v/>
      </c>
      <c r="I469" s="68" t="str">
        <f>IF(main!U472="","",ROUND(main!U472*100,6))</f>
        <v/>
      </c>
      <c r="J469" s="68" t="str">
        <f>IF(main!V472="","",ROUND(main!V472*100,6))</f>
        <v/>
      </c>
      <c r="K469" s="68" t="str">
        <f>IF(main!W472="","",ROUND(main!W472*100,6))</f>
        <v/>
      </c>
      <c r="L469" s="68" t="str">
        <f>IF(main!X472="","",ROUND(main!X472*100,6))</f>
        <v/>
      </c>
      <c r="M469" s="68" t="str">
        <f>IF(main!Y472="","",ROUND(main!Y472*100,6))</f>
        <v/>
      </c>
      <c r="N469" s="68" t="str">
        <f>IF(main!Z472="","",ROUND(main!Z472*100,6))</f>
        <v/>
      </c>
      <c r="O469" s="68" t="str">
        <f>IF(main!AA472="","",ROUND(main!AA472*100,6))</f>
        <v/>
      </c>
      <c r="P469" s="68" t="str">
        <f>IF(main!AB472="","",ROUND(main!AB472*100,6))</f>
        <v/>
      </c>
      <c r="Q469" s="68" t="str">
        <f>IF(main!AC472="","",ROUND(main!AC472*100,6))</f>
        <v/>
      </c>
      <c r="R469" s="68" t="str">
        <f>IF(main!AD472="","",ROUND(main!AD472*100,6))</f>
        <v/>
      </c>
      <c r="S469" s="68" t="str">
        <f>IF(main!AE472="","",ROUND(main!AE472*100,6))</f>
        <v/>
      </c>
      <c r="T469" s="68" t="str">
        <f>IF(main!AF472="","",ROUND(main!AF472*100,6))</f>
        <v/>
      </c>
      <c r="U469" s="68" t="str">
        <f>IF(main!AG472="","",ROUND(main!AG472*100,6))</f>
        <v/>
      </c>
      <c r="V469" s="68" t="str">
        <f>IF(main!AH472="","",ROUND(main!AH472*100,6))</f>
        <v/>
      </c>
      <c r="W469" s="68" t="str">
        <f>IF(main!AI472="","",ROUND(main!AI472*100,6))</f>
        <v/>
      </c>
      <c r="X469" s="68" t="str">
        <f>IF(main!AJ472="","",ROUND(main!AJ472*100,6))</f>
        <v/>
      </c>
      <c r="Y469" s="68" t="str">
        <f>IF(main!AK472="","",ROUND(main!AK472*100,6))</f>
        <v/>
      </c>
      <c r="Z469" s="68" t="str">
        <f>IF(main!AL472="","",ROUND(main!AL472*100,6))</f>
        <v/>
      </c>
      <c r="AA469" s="68" t="str">
        <f>IF(main!AM472="","",ROUND(main!AM472*100,6))</f>
        <v/>
      </c>
      <c r="AB469" s="68" t="str">
        <f>IF(main!AN472="","",ROUND(main!AN472*100,6))</f>
        <v/>
      </c>
      <c r="AC469" s="68" t="str">
        <f>IF(main!AO472="","",ROUND(main!AO472*100,6))</f>
        <v/>
      </c>
      <c r="AD469" s="68" t="str">
        <f>IF(main!AP472="","",ROUND(main!AP472*100,6))</f>
        <v/>
      </c>
      <c r="AE469" s="68" t="str">
        <f>IF(main!AQ472="","",ROUND(main!AQ472*100,6))</f>
        <v/>
      </c>
      <c r="AF469" s="68" t="str">
        <f>IF(main!AR472="","",ROUND(main!AR472*100,6))</f>
        <v/>
      </c>
      <c r="AG469" s="68" t="str">
        <f>IF(main!AS472="","",ROUND(main!AS472*100,6))</f>
        <v/>
      </c>
      <c r="AH469" s="68" t="str">
        <f>IF(main!AT472="","",ROUND(main!AT472*100,6))</f>
        <v/>
      </c>
      <c r="AI469" s="68" t="str">
        <f>IF(main!AU472="","",ROUND(main!AU472*100,6))</f>
        <v/>
      </c>
      <c r="AJ469" s="68" t="str">
        <f>IF(main!AV472="","",ROUND(main!AV472*100,6))</f>
        <v/>
      </c>
      <c r="AK469" s="68" t="str">
        <f>IF(main!AW472="","",ROUND(main!AW472*100,6))</f>
        <v/>
      </c>
      <c r="AL469" s="68" t="str">
        <f>IF(main!AX472="","",ROUND(main!AX472*100,6))</f>
        <v/>
      </c>
      <c r="AM469" s="68" t="str">
        <f>IF(main!AY472="","",ROUND(main!AY472*100,6))</f>
        <v/>
      </c>
      <c r="AN469" s="68" t="str">
        <f>IF(main!AZ472="","",ROUND(main!AZ472*100,6))</f>
        <v/>
      </c>
      <c r="AO469" s="68" t="str">
        <f>IF(main!BA472="","",ROUND(main!BA472*100,6))</f>
        <v/>
      </c>
      <c r="AP469" s="68" t="str">
        <f>IF(main!BB472="","",ROUND(main!BB472*100,6))</f>
        <v/>
      </c>
      <c r="AQ469" s="68" t="str">
        <f>IF(main!BC472="","",ROUND(main!BC472*100,6))</f>
        <v/>
      </c>
      <c r="AR469" s="68" t="str">
        <f>IF(main!BD472="","",ROUND(main!BD472*100,6))</f>
        <v/>
      </c>
      <c r="AS469" s="68" t="str">
        <f>IF(main!BE472="","",ROUND(main!BE472*100,6))</f>
        <v/>
      </c>
      <c r="AT469" s="68" t="str">
        <f>IF(main!BF472="","",ROUND(main!BF472*100,6))</f>
        <v/>
      </c>
      <c r="AU469" s="68" t="str">
        <f>IF(main!BG472="","",ROUND(main!BG472*100,6))</f>
        <v/>
      </c>
      <c r="AV469" s="68" t="str">
        <f>IF(main!BH472="","",ROUND(main!BH472*100,6))</f>
        <v/>
      </c>
      <c r="AW469" s="68" t="str">
        <f>IF(main!BI472="","",ROUND(main!BI472*100,6))</f>
        <v/>
      </c>
      <c r="AX469" s="68" t="str">
        <f>IF(main!BJ472="","",ROUND(main!BJ472*100,6))</f>
        <v/>
      </c>
      <c r="AY469" s="68" t="str">
        <f>IF(main!BK472="","",ROUND(main!BK472*100,6))</f>
        <v/>
      </c>
      <c r="AZ469" s="68" t="str">
        <f>IF(main!BL472="","",ROUND(main!BL472*100,6))</f>
        <v/>
      </c>
      <c r="BA469" s="68" t="str">
        <f>IF(main!BM472="","",ROUND(main!BM472*100,6))</f>
        <v/>
      </c>
      <c r="BB469" s="68" t="str">
        <f>IF(main!BN472="","",ROUND(main!BN472*100,6))</f>
        <v/>
      </c>
      <c r="BC469" s="68" t="str">
        <f>IF(main!BO472="","",ROUND(main!BO472*100,6))</f>
        <v/>
      </c>
      <c r="BD469" s="68" t="str">
        <f>IF(main!BP472="","",ROUND(main!BP472*100,6))</f>
        <v/>
      </c>
      <c r="BE469" s="68" t="str">
        <f>IF(main!BQ472="","",ROUND(main!BQ472*100,6))</f>
        <v/>
      </c>
      <c r="BF469" s="68" t="str">
        <f>IF(main!BR472="","",ROUND(main!BR472*100,6))</f>
        <v/>
      </c>
      <c r="BG469" s="68" t="str">
        <f>IF(main!BS472="","",ROUND(main!BS472*100,6))</f>
        <v/>
      </c>
      <c r="BH469" s="68" t="str">
        <f>IF(main!BT472="","",ROUND(main!BT472*100,6))</f>
        <v/>
      </c>
      <c r="BI469" s="68" t="str">
        <f>IF(main!BU472="","",ROUND(main!BU472*100,6))</f>
        <v/>
      </c>
      <c r="BJ469" s="68" t="str">
        <f>IF(main!BV472="","",ROUND(main!BV472*100,6))</f>
        <v/>
      </c>
      <c r="BK469" s="68" t="str">
        <f>IF(main!BW472="","",ROUND(main!BW472*100,6))</f>
        <v/>
      </c>
      <c r="BL469" s="68" t="str">
        <f>IF(main!BX472="","",ROUND(main!BX472*100,6))</f>
        <v/>
      </c>
      <c r="BM469" s="68" t="str">
        <f>IF(main!BY472="","",ROUND(main!BY472*100,6))</f>
        <v/>
      </c>
      <c r="BN469" s="68" t="str">
        <f>IF(main!BZ472="","",ROUND(main!BZ472*100,6))</f>
        <v/>
      </c>
      <c r="BO469" s="68" t="str">
        <f>IF(main!CA472="","",ROUND(main!CA472*100,6))</f>
        <v/>
      </c>
      <c r="BP469" s="68" t="str">
        <f>IF(main!CB472="","",ROUND(main!CB472*100,6))</f>
        <v/>
      </c>
      <c r="BQ469" s="68" t="str">
        <f>IF(main!CC472="","",ROUND(main!CC472*100,6))</f>
        <v/>
      </c>
      <c r="BR469" s="68" t="str">
        <f>IF(main!CD472="","",ROUND(main!CD472*100,6))</f>
        <v/>
      </c>
      <c r="BS469" s="68" t="str">
        <f>IF(main!CE472="","",ROUND(main!CE472*100,6))</f>
        <v/>
      </c>
      <c r="BT469" s="68" t="str">
        <f>IF(main!CF472="","",ROUND(main!CF472*100,6))</f>
        <v/>
      </c>
      <c r="BU469" s="68" t="str">
        <f>IF(main!CG472="","",ROUND(main!CG472*100,6))</f>
        <v/>
      </c>
      <c r="BV469" s="68" t="str">
        <f>IF(main!CH472="","",ROUND(main!CH472*100,6))</f>
        <v/>
      </c>
      <c r="BW469" s="68" t="str">
        <f>IF(main!CI472="","",ROUND(main!CI472*100,6))</f>
        <v/>
      </c>
      <c r="BX469" s="68" t="str">
        <f>IF(main!CJ472="","",ROUND(main!CJ472*100,6))</f>
        <v/>
      </c>
      <c r="BY469" s="68" t="str">
        <f>IF(main!CK472="","",ROUND(main!CK472*100,6))</f>
        <v/>
      </c>
      <c r="BZ469" s="68" t="str">
        <f>IF(main!CL472="","",ROUND(main!CL472*100,6))</f>
        <v/>
      </c>
      <c r="CA469" s="68" t="str">
        <f>IF(main!CM472="","",ROUND(main!CM472*100,6))</f>
        <v/>
      </c>
      <c r="CB469" s="68" t="str">
        <f>IF(main!CN472="","",ROUND(main!CN472*100,6))</f>
        <v/>
      </c>
      <c r="CC469" s="68" t="str">
        <f>IF(main!CO472="","",ROUND(main!CO472*100,6))</f>
        <v/>
      </c>
    </row>
    <row r="470" spans="1:81" x14ac:dyDescent="0.25">
      <c r="A470" s="65" t="s">
        <v>634</v>
      </c>
      <c r="B470" s="66" t="str">
        <f>main!C473</f>
        <v>Lighting</v>
      </c>
      <c r="C470" s="67">
        <f>main!O473</f>
        <v>100000</v>
      </c>
      <c r="D470" s="65" t="s">
        <v>110</v>
      </c>
      <c r="E470" s="68">
        <f t="shared" si="7"/>
        <v>100.00000199999999</v>
      </c>
      <c r="F470" s="68" t="str">
        <f>IF(main!R473="","",ROUND(main!R473*100,6))</f>
        <v/>
      </c>
      <c r="G470" s="68" t="str">
        <f>IF(main!S473="","",ROUND(main!S473*100,6))</f>
        <v/>
      </c>
      <c r="H470" s="68" t="str">
        <f>IF(main!T473="","",ROUND(main!T473*100,6))</f>
        <v/>
      </c>
      <c r="I470" s="68" t="str">
        <f>IF(main!U473="","",ROUND(main!U473*100,6))</f>
        <v/>
      </c>
      <c r="J470" s="68" t="str">
        <f>IF(main!V473="","",ROUND(main!V473*100,6))</f>
        <v/>
      </c>
      <c r="K470" s="68" t="str">
        <f>IF(main!W473="","",ROUND(main!W473*100,6))</f>
        <v/>
      </c>
      <c r="L470" s="68" t="str">
        <f>IF(main!X473="","",ROUND(main!X473*100,6))</f>
        <v/>
      </c>
      <c r="M470" s="68" t="str">
        <f>IF(main!Y473="","",ROUND(main!Y473*100,6))</f>
        <v/>
      </c>
      <c r="N470" s="68" t="str">
        <f>IF(main!Z473="","",ROUND(main!Z473*100,6))</f>
        <v/>
      </c>
      <c r="O470" s="68" t="str">
        <f>IF(main!AA473="","",ROUND(main!AA473*100,6))</f>
        <v/>
      </c>
      <c r="P470" s="68" t="str">
        <f>IF(main!AB473="","",ROUND(main!AB473*100,6))</f>
        <v/>
      </c>
      <c r="Q470" s="68" t="str">
        <f>IF(main!AC473="","",ROUND(main!AC473*100,6))</f>
        <v/>
      </c>
      <c r="R470" s="68" t="str">
        <f>IF(main!AD473="","",ROUND(main!AD473*100,6))</f>
        <v/>
      </c>
      <c r="S470" s="68" t="str">
        <f>IF(main!AE473="","",ROUND(main!AE473*100,6))</f>
        <v/>
      </c>
      <c r="T470" s="68" t="str">
        <f>IF(main!AF473="","",ROUND(main!AF473*100,6))</f>
        <v/>
      </c>
      <c r="U470" s="68" t="str">
        <f>IF(main!AG473="","",ROUND(main!AG473*100,6))</f>
        <v/>
      </c>
      <c r="V470" s="68" t="str">
        <f>IF(main!AH473="","",ROUND(main!AH473*100,6))</f>
        <v/>
      </c>
      <c r="W470" s="68" t="str">
        <f>IF(main!AI473="","",ROUND(main!AI473*100,6))</f>
        <v/>
      </c>
      <c r="X470" s="68" t="str">
        <f>IF(main!AJ473="","",ROUND(main!AJ473*100,6))</f>
        <v/>
      </c>
      <c r="Y470" s="68" t="str">
        <f>IF(main!AK473="","",ROUND(main!AK473*100,6))</f>
        <v/>
      </c>
      <c r="Z470" s="68" t="str">
        <f>IF(main!AL473="","",ROUND(main!AL473*100,6))</f>
        <v/>
      </c>
      <c r="AA470" s="68" t="str">
        <f>IF(main!AM473="","",ROUND(main!AM473*100,6))</f>
        <v/>
      </c>
      <c r="AB470" s="68" t="str">
        <f>IF(main!AN473="","",ROUND(main!AN473*100,6))</f>
        <v/>
      </c>
      <c r="AC470" s="68" t="str">
        <f>IF(main!AO473="","",ROUND(main!AO473*100,6))</f>
        <v/>
      </c>
      <c r="AD470" s="68" t="str">
        <f>IF(main!AP473="","",ROUND(main!AP473*100,6))</f>
        <v/>
      </c>
      <c r="AE470" s="68" t="str">
        <f>IF(main!AQ473="","",ROUND(main!AQ473*100,6))</f>
        <v/>
      </c>
      <c r="AF470" s="68" t="str">
        <f>IF(main!AR473="","",ROUND(main!AR473*100,6))</f>
        <v/>
      </c>
      <c r="AG470" s="68" t="str">
        <f>IF(main!AS473="","",ROUND(main!AS473*100,6))</f>
        <v/>
      </c>
      <c r="AH470" s="68" t="str">
        <f>IF(main!AT473="","",ROUND(main!AT473*100,6))</f>
        <v/>
      </c>
      <c r="AI470" s="68" t="str">
        <f>IF(main!AU473="","",ROUND(main!AU473*100,6))</f>
        <v/>
      </c>
      <c r="AJ470" s="68" t="str">
        <f>IF(main!AV473="","",ROUND(main!AV473*100,6))</f>
        <v/>
      </c>
      <c r="AK470" s="68" t="str">
        <f>IF(main!AW473="","",ROUND(main!AW473*100,6))</f>
        <v/>
      </c>
      <c r="AL470" s="68" t="str">
        <f>IF(main!AX473="","",ROUND(main!AX473*100,6))</f>
        <v/>
      </c>
      <c r="AM470" s="68" t="str">
        <f>IF(main!AY473="","",ROUND(main!AY473*100,6))</f>
        <v/>
      </c>
      <c r="AN470" s="68" t="str">
        <f>IF(main!AZ473="","",ROUND(main!AZ473*100,6))</f>
        <v/>
      </c>
      <c r="AO470" s="68" t="str">
        <f>IF(main!BA473="","",ROUND(main!BA473*100,6))</f>
        <v/>
      </c>
      <c r="AP470" s="68" t="str">
        <f>IF(main!BB473="","",ROUND(main!BB473*100,6))</f>
        <v/>
      </c>
      <c r="AQ470" s="68" t="str">
        <f>IF(main!BC473="","",ROUND(main!BC473*100,6))</f>
        <v/>
      </c>
      <c r="AR470" s="68" t="str">
        <f>IF(main!BD473="","",ROUND(main!BD473*100,6))</f>
        <v/>
      </c>
      <c r="AS470" s="68" t="str">
        <f>IF(main!BE473="","",ROUND(main!BE473*100,6))</f>
        <v/>
      </c>
      <c r="AT470" s="68" t="str">
        <f>IF(main!BF473="","",ROUND(main!BF473*100,6))</f>
        <v/>
      </c>
      <c r="AU470" s="68" t="str">
        <f>IF(main!BG473="","",ROUND(main!BG473*100,6))</f>
        <v/>
      </c>
      <c r="AV470" s="68" t="str">
        <f>IF(main!BH473="","",ROUND(main!BH473*100,6))</f>
        <v/>
      </c>
      <c r="AW470" s="68" t="str">
        <f>IF(main!BI473="","",ROUND(main!BI473*100,6))</f>
        <v/>
      </c>
      <c r="AX470" s="68" t="str">
        <f>IF(main!BJ473="","",ROUND(main!BJ473*100,6))</f>
        <v/>
      </c>
      <c r="AY470" s="68" t="str">
        <f>IF(main!BK473="","",ROUND(main!BK473*100,6))</f>
        <v/>
      </c>
      <c r="AZ470" s="68" t="str">
        <f>IF(main!BL473="","",ROUND(main!BL473*100,6))</f>
        <v/>
      </c>
      <c r="BA470" s="68" t="str">
        <f>IF(main!BM473="","",ROUND(main!BM473*100,6))</f>
        <v/>
      </c>
      <c r="BB470" s="68" t="str">
        <f>IF(main!BN473="","",ROUND(main!BN473*100,6))</f>
        <v/>
      </c>
      <c r="BC470" s="68" t="str">
        <f>IF(main!BO473="","",ROUND(main!BO473*100,6))</f>
        <v/>
      </c>
      <c r="BD470" s="68" t="str">
        <f>IF(main!BP473="","",ROUND(main!BP473*100,6))</f>
        <v/>
      </c>
      <c r="BE470" s="68" t="str">
        <f>IF(main!BQ473="","",ROUND(main!BQ473*100,6))</f>
        <v/>
      </c>
      <c r="BF470" s="68" t="str">
        <f>IF(main!BR473="","",ROUND(main!BR473*100,6))</f>
        <v/>
      </c>
      <c r="BG470" s="68" t="str">
        <f>IF(main!BS473="","",ROUND(main!BS473*100,6))</f>
        <v/>
      </c>
      <c r="BH470" s="68" t="str">
        <f>IF(main!BT473="","",ROUND(main!BT473*100,6))</f>
        <v/>
      </c>
      <c r="BI470" s="68" t="str">
        <f>IF(main!BU473="","",ROUND(main!BU473*100,6))</f>
        <v/>
      </c>
      <c r="BJ470" s="68" t="str">
        <f>IF(main!BV473="","",ROUND(main!BV473*100,6))</f>
        <v/>
      </c>
      <c r="BK470" s="68" t="str">
        <f>IF(main!BW473="","",ROUND(main!BW473*100,6))</f>
        <v/>
      </c>
      <c r="BL470" s="68">
        <f>IF(main!BX473="","",ROUND(main!BX473*100,6))</f>
        <v>7.1428570000000002</v>
      </c>
      <c r="BM470" s="68">
        <f>IF(main!BY473="","",ROUND(main!BY473*100,6))</f>
        <v>16.666667</v>
      </c>
      <c r="BN470" s="68">
        <f>IF(main!BZ473="","",ROUND(main!BZ473*100,6))</f>
        <v>16.666667</v>
      </c>
      <c r="BO470" s="68">
        <f>IF(main!CA473="","",ROUND(main!CA473*100,6))</f>
        <v>16.666667</v>
      </c>
      <c r="BP470" s="68">
        <f>IF(main!CB473="","",ROUND(main!CB473*100,6))</f>
        <v>16.666667</v>
      </c>
      <c r="BQ470" s="68">
        <f>IF(main!CC473="","",ROUND(main!CC473*100,6))</f>
        <v>16.666667</v>
      </c>
      <c r="BR470" s="68">
        <f>IF(main!CD473="","",ROUND(main!CD473*100,6))</f>
        <v>9.5238099999999992</v>
      </c>
      <c r="BS470" s="68" t="str">
        <f>IF(main!CE473="","",ROUND(main!CE473*100,6))</f>
        <v/>
      </c>
      <c r="BT470" s="68" t="str">
        <f>IF(main!CF473="","",ROUND(main!CF473*100,6))</f>
        <v/>
      </c>
      <c r="BU470" s="68" t="str">
        <f>IF(main!CG473="","",ROUND(main!CG473*100,6))</f>
        <v/>
      </c>
      <c r="BV470" s="68" t="str">
        <f>IF(main!CH473="","",ROUND(main!CH473*100,6))</f>
        <v/>
      </c>
      <c r="BW470" s="68" t="str">
        <f>IF(main!CI473="","",ROUND(main!CI473*100,6))</f>
        <v/>
      </c>
      <c r="BX470" s="68" t="str">
        <f>IF(main!CJ473="","",ROUND(main!CJ473*100,6))</f>
        <v/>
      </c>
      <c r="BY470" s="68" t="str">
        <f>IF(main!CK473="","",ROUND(main!CK473*100,6))</f>
        <v/>
      </c>
      <c r="BZ470" s="68" t="str">
        <f>IF(main!CL473="","",ROUND(main!CL473*100,6))</f>
        <v/>
      </c>
      <c r="CA470" s="68" t="str">
        <f>IF(main!CM473="","",ROUND(main!CM473*100,6))</f>
        <v/>
      </c>
      <c r="CB470" s="68" t="str">
        <f>IF(main!CN473="","",ROUND(main!CN473*100,6))</f>
        <v/>
      </c>
      <c r="CC470" s="68" t="str">
        <f>IF(main!CO473="","",ROUND(main!CO473*100,6))</f>
        <v/>
      </c>
    </row>
    <row r="471" spans="1:81" x14ac:dyDescent="0.25">
      <c r="A471" s="65" t="s">
        <v>634</v>
      </c>
      <c r="B471" s="66" t="str">
        <f>main!C473</f>
        <v>Lighting</v>
      </c>
      <c r="C471" s="67">
        <f>main!O473</f>
        <v>100000</v>
      </c>
      <c r="D471" s="65" t="s">
        <v>111</v>
      </c>
      <c r="E471" s="68" t="str">
        <f t="shared" si="7"/>
        <v/>
      </c>
      <c r="F471" s="68" t="str">
        <f>IF(main!R474="","",ROUND(main!R474*100,6))</f>
        <v/>
      </c>
      <c r="G471" s="68" t="str">
        <f>IF(main!S474="","",ROUND(main!S474*100,6))</f>
        <v/>
      </c>
      <c r="H471" s="68" t="str">
        <f>IF(main!T474="","",ROUND(main!T474*100,6))</f>
        <v/>
      </c>
      <c r="I471" s="68" t="str">
        <f>IF(main!U474="","",ROUND(main!U474*100,6))</f>
        <v/>
      </c>
      <c r="J471" s="68" t="str">
        <f>IF(main!V474="","",ROUND(main!V474*100,6))</f>
        <v/>
      </c>
      <c r="K471" s="68" t="str">
        <f>IF(main!W474="","",ROUND(main!W474*100,6))</f>
        <v/>
      </c>
      <c r="L471" s="68" t="str">
        <f>IF(main!X474="","",ROUND(main!X474*100,6))</f>
        <v/>
      </c>
      <c r="M471" s="68" t="str">
        <f>IF(main!Y474="","",ROUND(main!Y474*100,6))</f>
        <v/>
      </c>
      <c r="N471" s="68" t="str">
        <f>IF(main!Z474="","",ROUND(main!Z474*100,6))</f>
        <v/>
      </c>
      <c r="O471" s="68" t="str">
        <f>IF(main!AA474="","",ROUND(main!AA474*100,6))</f>
        <v/>
      </c>
      <c r="P471" s="68" t="str">
        <f>IF(main!AB474="","",ROUND(main!AB474*100,6))</f>
        <v/>
      </c>
      <c r="Q471" s="68" t="str">
        <f>IF(main!AC474="","",ROUND(main!AC474*100,6))</f>
        <v/>
      </c>
      <c r="R471" s="68" t="str">
        <f>IF(main!AD474="","",ROUND(main!AD474*100,6))</f>
        <v/>
      </c>
      <c r="S471" s="68" t="str">
        <f>IF(main!AE474="","",ROUND(main!AE474*100,6))</f>
        <v/>
      </c>
      <c r="T471" s="68" t="str">
        <f>IF(main!AF474="","",ROUND(main!AF474*100,6))</f>
        <v/>
      </c>
      <c r="U471" s="68" t="str">
        <f>IF(main!AG474="","",ROUND(main!AG474*100,6))</f>
        <v/>
      </c>
      <c r="V471" s="68" t="str">
        <f>IF(main!AH474="","",ROUND(main!AH474*100,6))</f>
        <v/>
      </c>
      <c r="W471" s="68" t="str">
        <f>IF(main!AI474="","",ROUND(main!AI474*100,6))</f>
        <v/>
      </c>
      <c r="X471" s="68" t="str">
        <f>IF(main!AJ474="","",ROUND(main!AJ474*100,6))</f>
        <v/>
      </c>
      <c r="Y471" s="68" t="str">
        <f>IF(main!AK474="","",ROUND(main!AK474*100,6))</f>
        <v/>
      </c>
      <c r="Z471" s="68" t="str">
        <f>IF(main!AL474="","",ROUND(main!AL474*100,6))</f>
        <v/>
      </c>
      <c r="AA471" s="68" t="str">
        <f>IF(main!AM474="","",ROUND(main!AM474*100,6))</f>
        <v/>
      </c>
      <c r="AB471" s="68" t="str">
        <f>IF(main!AN474="","",ROUND(main!AN474*100,6))</f>
        <v/>
      </c>
      <c r="AC471" s="68" t="str">
        <f>IF(main!AO474="","",ROUND(main!AO474*100,6))</f>
        <v/>
      </c>
      <c r="AD471" s="68" t="str">
        <f>IF(main!AP474="","",ROUND(main!AP474*100,6))</f>
        <v/>
      </c>
      <c r="AE471" s="68" t="str">
        <f>IF(main!AQ474="","",ROUND(main!AQ474*100,6))</f>
        <v/>
      </c>
      <c r="AF471" s="68" t="str">
        <f>IF(main!AR474="","",ROUND(main!AR474*100,6))</f>
        <v/>
      </c>
      <c r="AG471" s="68" t="str">
        <f>IF(main!AS474="","",ROUND(main!AS474*100,6))</f>
        <v/>
      </c>
      <c r="AH471" s="68" t="str">
        <f>IF(main!AT474="","",ROUND(main!AT474*100,6))</f>
        <v/>
      </c>
      <c r="AI471" s="68" t="str">
        <f>IF(main!AU474="","",ROUND(main!AU474*100,6))</f>
        <v/>
      </c>
      <c r="AJ471" s="68" t="str">
        <f>IF(main!AV474="","",ROUND(main!AV474*100,6))</f>
        <v/>
      </c>
      <c r="AK471" s="68" t="str">
        <f>IF(main!AW474="","",ROUND(main!AW474*100,6))</f>
        <v/>
      </c>
      <c r="AL471" s="68" t="str">
        <f>IF(main!AX474="","",ROUND(main!AX474*100,6))</f>
        <v/>
      </c>
      <c r="AM471" s="68" t="str">
        <f>IF(main!AY474="","",ROUND(main!AY474*100,6))</f>
        <v/>
      </c>
      <c r="AN471" s="68" t="str">
        <f>IF(main!AZ474="","",ROUND(main!AZ474*100,6))</f>
        <v/>
      </c>
      <c r="AO471" s="68" t="str">
        <f>IF(main!BA474="","",ROUND(main!BA474*100,6))</f>
        <v/>
      </c>
      <c r="AP471" s="68" t="str">
        <f>IF(main!BB474="","",ROUND(main!BB474*100,6))</f>
        <v/>
      </c>
      <c r="AQ471" s="68" t="str">
        <f>IF(main!BC474="","",ROUND(main!BC474*100,6))</f>
        <v/>
      </c>
      <c r="AR471" s="68" t="str">
        <f>IF(main!BD474="","",ROUND(main!BD474*100,6))</f>
        <v/>
      </c>
      <c r="AS471" s="68" t="str">
        <f>IF(main!BE474="","",ROUND(main!BE474*100,6))</f>
        <v/>
      </c>
      <c r="AT471" s="68" t="str">
        <f>IF(main!BF474="","",ROUND(main!BF474*100,6))</f>
        <v/>
      </c>
      <c r="AU471" s="68" t="str">
        <f>IF(main!BG474="","",ROUND(main!BG474*100,6))</f>
        <v/>
      </c>
      <c r="AV471" s="68" t="str">
        <f>IF(main!BH474="","",ROUND(main!BH474*100,6))</f>
        <v/>
      </c>
      <c r="AW471" s="68" t="str">
        <f>IF(main!BI474="","",ROUND(main!BI474*100,6))</f>
        <v/>
      </c>
      <c r="AX471" s="68" t="str">
        <f>IF(main!BJ474="","",ROUND(main!BJ474*100,6))</f>
        <v/>
      </c>
      <c r="AY471" s="68" t="str">
        <f>IF(main!BK474="","",ROUND(main!BK474*100,6))</f>
        <v/>
      </c>
      <c r="AZ471" s="68" t="str">
        <f>IF(main!BL474="","",ROUND(main!BL474*100,6))</f>
        <v/>
      </c>
      <c r="BA471" s="68" t="str">
        <f>IF(main!BM474="","",ROUND(main!BM474*100,6))</f>
        <v/>
      </c>
      <c r="BB471" s="68" t="str">
        <f>IF(main!BN474="","",ROUND(main!BN474*100,6))</f>
        <v/>
      </c>
      <c r="BC471" s="68" t="str">
        <f>IF(main!BO474="","",ROUND(main!BO474*100,6))</f>
        <v/>
      </c>
      <c r="BD471" s="68" t="str">
        <f>IF(main!BP474="","",ROUND(main!BP474*100,6))</f>
        <v/>
      </c>
      <c r="BE471" s="68" t="str">
        <f>IF(main!BQ474="","",ROUND(main!BQ474*100,6))</f>
        <v/>
      </c>
      <c r="BF471" s="68" t="str">
        <f>IF(main!BR474="","",ROUND(main!BR474*100,6))</f>
        <v/>
      </c>
      <c r="BG471" s="68" t="str">
        <f>IF(main!BS474="","",ROUND(main!BS474*100,6))</f>
        <v/>
      </c>
      <c r="BH471" s="68" t="str">
        <f>IF(main!BT474="","",ROUND(main!BT474*100,6))</f>
        <v/>
      </c>
      <c r="BI471" s="68" t="str">
        <f>IF(main!BU474="","",ROUND(main!BU474*100,6))</f>
        <v/>
      </c>
      <c r="BJ471" s="68" t="str">
        <f>IF(main!BV474="","",ROUND(main!BV474*100,6))</f>
        <v/>
      </c>
      <c r="BK471" s="68" t="str">
        <f>IF(main!BW474="","",ROUND(main!BW474*100,6))</f>
        <v/>
      </c>
      <c r="BL471" s="68" t="str">
        <f>IF(main!BX474="","",ROUND(main!BX474*100,6))</f>
        <v/>
      </c>
      <c r="BM471" s="68" t="str">
        <f>IF(main!BY474="","",ROUND(main!BY474*100,6))</f>
        <v/>
      </c>
      <c r="BN471" s="68" t="str">
        <f>IF(main!BZ474="","",ROUND(main!BZ474*100,6))</f>
        <v/>
      </c>
      <c r="BO471" s="68" t="str">
        <f>IF(main!CA474="","",ROUND(main!CA474*100,6))</f>
        <v/>
      </c>
      <c r="BP471" s="68" t="str">
        <f>IF(main!CB474="","",ROUND(main!CB474*100,6))</f>
        <v/>
      </c>
      <c r="BQ471" s="68" t="str">
        <f>IF(main!CC474="","",ROUND(main!CC474*100,6))</f>
        <v/>
      </c>
      <c r="BR471" s="68" t="str">
        <f>IF(main!CD474="","",ROUND(main!CD474*100,6))</f>
        <v/>
      </c>
      <c r="BS471" s="68" t="str">
        <f>IF(main!CE474="","",ROUND(main!CE474*100,6))</f>
        <v/>
      </c>
      <c r="BT471" s="68" t="str">
        <f>IF(main!CF474="","",ROUND(main!CF474*100,6))</f>
        <v/>
      </c>
      <c r="BU471" s="68" t="str">
        <f>IF(main!CG474="","",ROUND(main!CG474*100,6))</f>
        <v/>
      </c>
      <c r="BV471" s="68" t="str">
        <f>IF(main!CH474="","",ROUND(main!CH474*100,6))</f>
        <v/>
      </c>
      <c r="BW471" s="68" t="str">
        <f>IF(main!CI474="","",ROUND(main!CI474*100,6))</f>
        <v/>
      </c>
      <c r="BX471" s="68" t="str">
        <f>IF(main!CJ474="","",ROUND(main!CJ474*100,6))</f>
        <v/>
      </c>
      <c r="BY471" s="68" t="str">
        <f>IF(main!CK474="","",ROUND(main!CK474*100,6))</f>
        <v/>
      </c>
      <c r="BZ471" s="68" t="str">
        <f>IF(main!CL474="","",ROUND(main!CL474*100,6))</f>
        <v/>
      </c>
      <c r="CA471" s="68" t="str">
        <f>IF(main!CM474="","",ROUND(main!CM474*100,6))</f>
        <v/>
      </c>
      <c r="CB471" s="68" t="str">
        <f>IF(main!CN474="","",ROUND(main!CN474*100,6))</f>
        <v/>
      </c>
      <c r="CC471" s="68" t="str">
        <f>IF(main!CO474="","",ROUND(main!CO474*100,6))</f>
        <v/>
      </c>
    </row>
    <row r="472" spans="1:81" x14ac:dyDescent="0.25">
      <c r="A472" s="65" t="s">
        <v>636</v>
      </c>
      <c r="B472" s="66" t="str">
        <f>main!C475</f>
        <v>Lighting Landscape</v>
      </c>
      <c r="C472" s="67">
        <f>main!O475</f>
        <v>100000</v>
      </c>
      <c r="D472" s="65" t="s">
        <v>110</v>
      </c>
      <c r="E472" s="68">
        <f t="shared" si="7"/>
        <v>100.00000199999999</v>
      </c>
      <c r="F472" s="68" t="str">
        <f>IF(main!R475="","",ROUND(main!R475*100,6))</f>
        <v/>
      </c>
      <c r="G472" s="68" t="str">
        <f>IF(main!S475="","",ROUND(main!S475*100,6))</f>
        <v/>
      </c>
      <c r="H472" s="68" t="str">
        <f>IF(main!T475="","",ROUND(main!T475*100,6))</f>
        <v/>
      </c>
      <c r="I472" s="68" t="str">
        <f>IF(main!U475="","",ROUND(main!U475*100,6))</f>
        <v/>
      </c>
      <c r="J472" s="68" t="str">
        <f>IF(main!V475="","",ROUND(main!V475*100,6))</f>
        <v/>
      </c>
      <c r="K472" s="68" t="str">
        <f>IF(main!W475="","",ROUND(main!W475*100,6))</f>
        <v/>
      </c>
      <c r="L472" s="68" t="str">
        <f>IF(main!X475="","",ROUND(main!X475*100,6))</f>
        <v/>
      </c>
      <c r="M472" s="68" t="str">
        <f>IF(main!Y475="","",ROUND(main!Y475*100,6))</f>
        <v/>
      </c>
      <c r="N472" s="68" t="str">
        <f>IF(main!Z475="","",ROUND(main!Z475*100,6))</f>
        <v/>
      </c>
      <c r="O472" s="68" t="str">
        <f>IF(main!AA475="","",ROUND(main!AA475*100,6))</f>
        <v/>
      </c>
      <c r="P472" s="68" t="str">
        <f>IF(main!AB475="","",ROUND(main!AB475*100,6))</f>
        <v/>
      </c>
      <c r="Q472" s="68" t="str">
        <f>IF(main!AC475="","",ROUND(main!AC475*100,6))</f>
        <v/>
      </c>
      <c r="R472" s="68" t="str">
        <f>IF(main!AD475="","",ROUND(main!AD475*100,6))</f>
        <v/>
      </c>
      <c r="S472" s="68" t="str">
        <f>IF(main!AE475="","",ROUND(main!AE475*100,6))</f>
        <v/>
      </c>
      <c r="T472" s="68" t="str">
        <f>IF(main!AF475="","",ROUND(main!AF475*100,6))</f>
        <v/>
      </c>
      <c r="U472" s="68" t="str">
        <f>IF(main!AG475="","",ROUND(main!AG475*100,6))</f>
        <v/>
      </c>
      <c r="V472" s="68" t="str">
        <f>IF(main!AH475="","",ROUND(main!AH475*100,6))</f>
        <v/>
      </c>
      <c r="W472" s="68" t="str">
        <f>IF(main!AI475="","",ROUND(main!AI475*100,6))</f>
        <v/>
      </c>
      <c r="X472" s="68" t="str">
        <f>IF(main!AJ475="","",ROUND(main!AJ475*100,6))</f>
        <v/>
      </c>
      <c r="Y472" s="68" t="str">
        <f>IF(main!AK475="","",ROUND(main!AK475*100,6))</f>
        <v/>
      </c>
      <c r="Z472" s="68" t="str">
        <f>IF(main!AL475="","",ROUND(main!AL475*100,6))</f>
        <v/>
      </c>
      <c r="AA472" s="68" t="str">
        <f>IF(main!AM475="","",ROUND(main!AM475*100,6))</f>
        <v/>
      </c>
      <c r="AB472" s="68" t="str">
        <f>IF(main!AN475="","",ROUND(main!AN475*100,6))</f>
        <v/>
      </c>
      <c r="AC472" s="68" t="str">
        <f>IF(main!AO475="","",ROUND(main!AO475*100,6))</f>
        <v/>
      </c>
      <c r="AD472" s="68" t="str">
        <f>IF(main!AP475="","",ROUND(main!AP475*100,6))</f>
        <v/>
      </c>
      <c r="AE472" s="68" t="str">
        <f>IF(main!AQ475="","",ROUND(main!AQ475*100,6))</f>
        <v/>
      </c>
      <c r="AF472" s="68" t="str">
        <f>IF(main!AR475="","",ROUND(main!AR475*100,6))</f>
        <v/>
      </c>
      <c r="AG472" s="68" t="str">
        <f>IF(main!AS475="","",ROUND(main!AS475*100,6))</f>
        <v/>
      </c>
      <c r="AH472" s="68" t="str">
        <f>IF(main!AT475="","",ROUND(main!AT475*100,6))</f>
        <v/>
      </c>
      <c r="AI472" s="68" t="str">
        <f>IF(main!AU475="","",ROUND(main!AU475*100,6))</f>
        <v/>
      </c>
      <c r="AJ472" s="68" t="str">
        <f>IF(main!AV475="","",ROUND(main!AV475*100,6))</f>
        <v/>
      </c>
      <c r="AK472" s="68" t="str">
        <f>IF(main!AW475="","",ROUND(main!AW475*100,6))</f>
        <v/>
      </c>
      <c r="AL472" s="68" t="str">
        <f>IF(main!AX475="","",ROUND(main!AX475*100,6))</f>
        <v/>
      </c>
      <c r="AM472" s="68" t="str">
        <f>IF(main!AY475="","",ROUND(main!AY475*100,6))</f>
        <v/>
      </c>
      <c r="AN472" s="68" t="str">
        <f>IF(main!AZ475="","",ROUND(main!AZ475*100,6))</f>
        <v/>
      </c>
      <c r="AO472" s="68" t="str">
        <f>IF(main!BA475="","",ROUND(main!BA475*100,6))</f>
        <v/>
      </c>
      <c r="AP472" s="68" t="str">
        <f>IF(main!BB475="","",ROUND(main!BB475*100,6))</f>
        <v/>
      </c>
      <c r="AQ472" s="68" t="str">
        <f>IF(main!BC475="","",ROUND(main!BC475*100,6))</f>
        <v/>
      </c>
      <c r="AR472" s="68" t="str">
        <f>IF(main!BD475="","",ROUND(main!BD475*100,6))</f>
        <v/>
      </c>
      <c r="AS472" s="68" t="str">
        <f>IF(main!BE475="","",ROUND(main!BE475*100,6))</f>
        <v/>
      </c>
      <c r="AT472" s="68" t="str">
        <f>IF(main!BF475="","",ROUND(main!BF475*100,6))</f>
        <v/>
      </c>
      <c r="AU472" s="68" t="str">
        <f>IF(main!BG475="","",ROUND(main!BG475*100,6))</f>
        <v/>
      </c>
      <c r="AV472" s="68" t="str">
        <f>IF(main!BH475="","",ROUND(main!BH475*100,6))</f>
        <v/>
      </c>
      <c r="AW472" s="68" t="str">
        <f>IF(main!BI475="","",ROUND(main!BI475*100,6))</f>
        <v/>
      </c>
      <c r="AX472" s="68" t="str">
        <f>IF(main!BJ475="","",ROUND(main!BJ475*100,6))</f>
        <v/>
      </c>
      <c r="AY472" s="68" t="str">
        <f>IF(main!BK475="","",ROUND(main!BK475*100,6))</f>
        <v/>
      </c>
      <c r="AZ472" s="68" t="str">
        <f>IF(main!BL475="","",ROUND(main!BL475*100,6))</f>
        <v/>
      </c>
      <c r="BA472" s="68" t="str">
        <f>IF(main!BM475="","",ROUND(main!BM475*100,6))</f>
        <v/>
      </c>
      <c r="BB472" s="68" t="str">
        <f>IF(main!BN475="","",ROUND(main!BN475*100,6))</f>
        <v/>
      </c>
      <c r="BC472" s="68" t="str">
        <f>IF(main!BO475="","",ROUND(main!BO475*100,6))</f>
        <v/>
      </c>
      <c r="BD472" s="68" t="str">
        <f>IF(main!BP475="","",ROUND(main!BP475*100,6))</f>
        <v/>
      </c>
      <c r="BE472" s="68" t="str">
        <f>IF(main!BQ475="","",ROUND(main!BQ475*100,6))</f>
        <v/>
      </c>
      <c r="BF472" s="68" t="str">
        <f>IF(main!BR475="","",ROUND(main!BR475*100,6))</f>
        <v/>
      </c>
      <c r="BG472" s="68" t="str">
        <f>IF(main!BS475="","",ROUND(main!BS475*100,6))</f>
        <v/>
      </c>
      <c r="BH472" s="68" t="str">
        <f>IF(main!BT475="","",ROUND(main!BT475*100,6))</f>
        <v/>
      </c>
      <c r="BI472" s="68" t="str">
        <f>IF(main!BU475="","",ROUND(main!BU475*100,6))</f>
        <v/>
      </c>
      <c r="BJ472" s="68" t="str">
        <f>IF(main!BV475="","",ROUND(main!BV475*100,6))</f>
        <v/>
      </c>
      <c r="BK472" s="68" t="str">
        <f>IF(main!BW475="","",ROUND(main!BW475*100,6))</f>
        <v/>
      </c>
      <c r="BL472" s="68">
        <f>IF(main!BX475="","",ROUND(main!BX475*100,6))</f>
        <v>7.1428570000000002</v>
      </c>
      <c r="BM472" s="68">
        <f>IF(main!BY475="","",ROUND(main!BY475*100,6))</f>
        <v>16.666667</v>
      </c>
      <c r="BN472" s="68">
        <f>IF(main!BZ475="","",ROUND(main!BZ475*100,6))</f>
        <v>16.666667</v>
      </c>
      <c r="BO472" s="68">
        <f>IF(main!CA475="","",ROUND(main!CA475*100,6))</f>
        <v>16.666667</v>
      </c>
      <c r="BP472" s="68">
        <f>IF(main!CB475="","",ROUND(main!CB475*100,6))</f>
        <v>16.666667</v>
      </c>
      <c r="BQ472" s="68">
        <f>IF(main!CC475="","",ROUND(main!CC475*100,6))</f>
        <v>16.666667</v>
      </c>
      <c r="BR472" s="68">
        <f>IF(main!CD475="","",ROUND(main!CD475*100,6))</f>
        <v>9.5238099999999992</v>
      </c>
      <c r="BS472" s="68" t="str">
        <f>IF(main!CE475="","",ROUND(main!CE475*100,6))</f>
        <v/>
      </c>
      <c r="BT472" s="68" t="str">
        <f>IF(main!CF475="","",ROUND(main!CF475*100,6))</f>
        <v/>
      </c>
      <c r="BU472" s="68" t="str">
        <f>IF(main!CG475="","",ROUND(main!CG475*100,6))</f>
        <v/>
      </c>
      <c r="BV472" s="68" t="str">
        <f>IF(main!CH475="","",ROUND(main!CH475*100,6))</f>
        <v/>
      </c>
      <c r="BW472" s="68" t="str">
        <f>IF(main!CI475="","",ROUND(main!CI475*100,6))</f>
        <v/>
      </c>
      <c r="BX472" s="68" t="str">
        <f>IF(main!CJ475="","",ROUND(main!CJ475*100,6))</f>
        <v/>
      </c>
      <c r="BY472" s="68" t="str">
        <f>IF(main!CK475="","",ROUND(main!CK475*100,6))</f>
        <v/>
      </c>
      <c r="BZ472" s="68" t="str">
        <f>IF(main!CL475="","",ROUND(main!CL475*100,6))</f>
        <v/>
      </c>
      <c r="CA472" s="68" t="str">
        <f>IF(main!CM475="","",ROUND(main!CM475*100,6))</f>
        <v/>
      </c>
      <c r="CB472" s="68" t="str">
        <f>IF(main!CN475="","",ROUND(main!CN475*100,6))</f>
        <v/>
      </c>
      <c r="CC472" s="68" t="str">
        <f>IF(main!CO475="","",ROUND(main!CO475*100,6))</f>
        <v/>
      </c>
    </row>
    <row r="473" spans="1:81" x14ac:dyDescent="0.25">
      <c r="A473" s="65" t="s">
        <v>636</v>
      </c>
      <c r="B473" s="66" t="str">
        <f>main!C475</f>
        <v>Lighting Landscape</v>
      </c>
      <c r="C473" s="67">
        <f>main!O475</f>
        <v>100000</v>
      </c>
      <c r="D473" s="65" t="s">
        <v>111</v>
      </c>
      <c r="E473" s="68" t="str">
        <f t="shared" si="7"/>
        <v/>
      </c>
      <c r="F473" s="68" t="str">
        <f>IF(main!R476="","",ROUND(main!R476*100,6))</f>
        <v/>
      </c>
      <c r="G473" s="68" t="str">
        <f>IF(main!S476="","",ROUND(main!S476*100,6))</f>
        <v/>
      </c>
      <c r="H473" s="68" t="str">
        <f>IF(main!T476="","",ROUND(main!T476*100,6))</f>
        <v/>
      </c>
      <c r="I473" s="68" t="str">
        <f>IF(main!U476="","",ROUND(main!U476*100,6))</f>
        <v/>
      </c>
      <c r="J473" s="68" t="str">
        <f>IF(main!V476="","",ROUND(main!V476*100,6))</f>
        <v/>
      </c>
      <c r="K473" s="68" t="str">
        <f>IF(main!W476="","",ROUND(main!W476*100,6))</f>
        <v/>
      </c>
      <c r="L473" s="68" t="str">
        <f>IF(main!X476="","",ROUND(main!X476*100,6))</f>
        <v/>
      </c>
      <c r="M473" s="68" t="str">
        <f>IF(main!Y476="","",ROUND(main!Y476*100,6))</f>
        <v/>
      </c>
      <c r="N473" s="68" t="str">
        <f>IF(main!Z476="","",ROUND(main!Z476*100,6))</f>
        <v/>
      </c>
      <c r="O473" s="68" t="str">
        <f>IF(main!AA476="","",ROUND(main!AA476*100,6))</f>
        <v/>
      </c>
      <c r="P473" s="68" t="str">
        <f>IF(main!AB476="","",ROUND(main!AB476*100,6))</f>
        <v/>
      </c>
      <c r="Q473" s="68" t="str">
        <f>IF(main!AC476="","",ROUND(main!AC476*100,6))</f>
        <v/>
      </c>
      <c r="R473" s="68" t="str">
        <f>IF(main!AD476="","",ROUND(main!AD476*100,6))</f>
        <v/>
      </c>
      <c r="S473" s="68" t="str">
        <f>IF(main!AE476="","",ROUND(main!AE476*100,6))</f>
        <v/>
      </c>
      <c r="T473" s="68" t="str">
        <f>IF(main!AF476="","",ROUND(main!AF476*100,6))</f>
        <v/>
      </c>
      <c r="U473" s="68" t="str">
        <f>IF(main!AG476="","",ROUND(main!AG476*100,6))</f>
        <v/>
      </c>
      <c r="V473" s="68" t="str">
        <f>IF(main!AH476="","",ROUND(main!AH476*100,6))</f>
        <v/>
      </c>
      <c r="W473" s="68" t="str">
        <f>IF(main!AI476="","",ROUND(main!AI476*100,6))</f>
        <v/>
      </c>
      <c r="X473" s="68" t="str">
        <f>IF(main!AJ476="","",ROUND(main!AJ476*100,6))</f>
        <v/>
      </c>
      <c r="Y473" s="68" t="str">
        <f>IF(main!AK476="","",ROUND(main!AK476*100,6))</f>
        <v/>
      </c>
      <c r="Z473" s="68" t="str">
        <f>IF(main!AL476="","",ROUND(main!AL476*100,6))</f>
        <v/>
      </c>
      <c r="AA473" s="68" t="str">
        <f>IF(main!AM476="","",ROUND(main!AM476*100,6))</f>
        <v/>
      </c>
      <c r="AB473" s="68" t="str">
        <f>IF(main!AN476="","",ROUND(main!AN476*100,6))</f>
        <v/>
      </c>
      <c r="AC473" s="68" t="str">
        <f>IF(main!AO476="","",ROUND(main!AO476*100,6))</f>
        <v/>
      </c>
      <c r="AD473" s="68" t="str">
        <f>IF(main!AP476="","",ROUND(main!AP476*100,6))</f>
        <v/>
      </c>
      <c r="AE473" s="68" t="str">
        <f>IF(main!AQ476="","",ROUND(main!AQ476*100,6))</f>
        <v/>
      </c>
      <c r="AF473" s="68" t="str">
        <f>IF(main!AR476="","",ROUND(main!AR476*100,6))</f>
        <v/>
      </c>
      <c r="AG473" s="68" t="str">
        <f>IF(main!AS476="","",ROUND(main!AS476*100,6))</f>
        <v/>
      </c>
      <c r="AH473" s="68" t="str">
        <f>IF(main!AT476="","",ROUND(main!AT476*100,6))</f>
        <v/>
      </c>
      <c r="AI473" s="68" t="str">
        <f>IF(main!AU476="","",ROUND(main!AU476*100,6))</f>
        <v/>
      </c>
      <c r="AJ473" s="68" t="str">
        <f>IF(main!AV476="","",ROUND(main!AV476*100,6))</f>
        <v/>
      </c>
      <c r="AK473" s="68" t="str">
        <f>IF(main!AW476="","",ROUND(main!AW476*100,6))</f>
        <v/>
      </c>
      <c r="AL473" s="68" t="str">
        <f>IF(main!AX476="","",ROUND(main!AX476*100,6))</f>
        <v/>
      </c>
      <c r="AM473" s="68" t="str">
        <f>IF(main!AY476="","",ROUND(main!AY476*100,6))</f>
        <v/>
      </c>
      <c r="AN473" s="68" t="str">
        <f>IF(main!AZ476="","",ROUND(main!AZ476*100,6))</f>
        <v/>
      </c>
      <c r="AO473" s="68" t="str">
        <f>IF(main!BA476="","",ROUND(main!BA476*100,6))</f>
        <v/>
      </c>
      <c r="AP473" s="68" t="str">
        <f>IF(main!BB476="","",ROUND(main!BB476*100,6))</f>
        <v/>
      </c>
      <c r="AQ473" s="68" t="str">
        <f>IF(main!BC476="","",ROUND(main!BC476*100,6))</f>
        <v/>
      </c>
      <c r="AR473" s="68" t="str">
        <f>IF(main!BD476="","",ROUND(main!BD476*100,6))</f>
        <v/>
      </c>
      <c r="AS473" s="68" t="str">
        <f>IF(main!BE476="","",ROUND(main!BE476*100,6))</f>
        <v/>
      </c>
      <c r="AT473" s="68" t="str">
        <f>IF(main!BF476="","",ROUND(main!BF476*100,6))</f>
        <v/>
      </c>
      <c r="AU473" s="68" t="str">
        <f>IF(main!BG476="","",ROUND(main!BG476*100,6))</f>
        <v/>
      </c>
      <c r="AV473" s="68" t="str">
        <f>IF(main!BH476="","",ROUND(main!BH476*100,6))</f>
        <v/>
      </c>
      <c r="AW473" s="68" t="str">
        <f>IF(main!BI476="","",ROUND(main!BI476*100,6))</f>
        <v/>
      </c>
      <c r="AX473" s="68" t="str">
        <f>IF(main!BJ476="","",ROUND(main!BJ476*100,6))</f>
        <v/>
      </c>
      <c r="AY473" s="68" t="str">
        <f>IF(main!BK476="","",ROUND(main!BK476*100,6))</f>
        <v/>
      </c>
      <c r="AZ473" s="68" t="str">
        <f>IF(main!BL476="","",ROUND(main!BL476*100,6))</f>
        <v/>
      </c>
      <c r="BA473" s="68" t="str">
        <f>IF(main!BM476="","",ROUND(main!BM476*100,6))</f>
        <v/>
      </c>
      <c r="BB473" s="68" t="str">
        <f>IF(main!BN476="","",ROUND(main!BN476*100,6))</f>
        <v/>
      </c>
      <c r="BC473" s="68" t="str">
        <f>IF(main!BO476="","",ROUND(main!BO476*100,6))</f>
        <v/>
      </c>
      <c r="BD473" s="68" t="str">
        <f>IF(main!BP476="","",ROUND(main!BP476*100,6))</f>
        <v/>
      </c>
      <c r="BE473" s="68" t="str">
        <f>IF(main!BQ476="","",ROUND(main!BQ476*100,6))</f>
        <v/>
      </c>
      <c r="BF473" s="68" t="str">
        <f>IF(main!BR476="","",ROUND(main!BR476*100,6))</f>
        <v/>
      </c>
      <c r="BG473" s="68" t="str">
        <f>IF(main!BS476="","",ROUND(main!BS476*100,6))</f>
        <v/>
      </c>
      <c r="BH473" s="68" t="str">
        <f>IF(main!BT476="","",ROUND(main!BT476*100,6))</f>
        <v/>
      </c>
      <c r="BI473" s="68" t="str">
        <f>IF(main!BU476="","",ROUND(main!BU476*100,6))</f>
        <v/>
      </c>
      <c r="BJ473" s="68" t="str">
        <f>IF(main!BV476="","",ROUND(main!BV476*100,6))</f>
        <v/>
      </c>
      <c r="BK473" s="68" t="str">
        <f>IF(main!BW476="","",ROUND(main!BW476*100,6))</f>
        <v/>
      </c>
      <c r="BL473" s="68" t="str">
        <f>IF(main!BX476="","",ROUND(main!BX476*100,6))</f>
        <v/>
      </c>
      <c r="BM473" s="68" t="str">
        <f>IF(main!BY476="","",ROUND(main!BY476*100,6))</f>
        <v/>
      </c>
      <c r="BN473" s="68" t="str">
        <f>IF(main!BZ476="","",ROUND(main!BZ476*100,6))</f>
        <v/>
      </c>
      <c r="BO473" s="68" t="str">
        <f>IF(main!CA476="","",ROUND(main!CA476*100,6))</f>
        <v/>
      </c>
      <c r="BP473" s="68" t="str">
        <f>IF(main!CB476="","",ROUND(main!CB476*100,6))</f>
        <v/>
      </c>
      <c r="BQ473" s="68" t="str">
        <f>IF(main!CC476="","",ROUND(main!CC476*100,6))</f>
        <v/>
      </c>
      <c r="BR473" s="68" t="str">
        <f>IF(main!CD476="","",ROUND(main!CD476*100,6))</f>
        <v/>
      </c>
      <c r="BS473" s="68" t="str">
        <f>IF(main!CE476="","",ROUND(main!CE476*100,6))</f>
        <v/>
      </c>
      <c r="BT473" s="68" t="str">
        <f>IF(main!CF476="","",ROUND(main!CF476*100,6))</f>
        <v/>
      </c>
      <c r="BU473" s="68" t="str">
        <f>IF(main!CG476="","",ROUND(main!CG476*100,6))</f>
        <v/>
      </c>
      <c r="BV473" s="68" t="str">
        <f>IF(main!CH476="","",ROUND(main!CH476*100,6))</f>
        <v/>
      </c>
      <c r="BW473" s="68" t="str">
        <f>IF(main!CI476="","",ROUND(main!CI476*100,6))</f>
        <v/>
      </c>
      <c r="BX473" s="68" t="str">
        <f>IF(main!CJ476="","",ROUND(main!CJ476*100,6))</f>
        <v/>
      </c>
      <c r="BY473" s="68" t="str">
        <f>IF(main!CK476="","",ROUND(main!CK476*100,6))</f>
        <v/>
      </c>
      <c r="BZ473" s="68" t="str">
        <f>IF(main!CL476="","",ROUND(main!CL476*100,6))</f>
        <v/>
      </c>
      <c r="CA473" s="68" t="str">
        <f>IF(main!CM476="","",ROUND(main!CM476*100,6))</f>
        <v/>
      </c>
      <c r="CB473" s="68" t="str">
        <f>IF(main!CN476="","",ROUND(main!CN476*100,6))</f>
        <v/>
      </c>
      <c r="CC473" s="68" t="str">
        <f>IF(main!CO476="","",ROUND(main!CO476*100,6))</f>
        <v/>
      </c>
    </row>
    <row r="474" spans="1:81" x14ac:dyDescent="0.25">
      <c r="A474" s="65" t="s">
        <v>639</v>
      </c>
      <c r="B474" s="66" t="str">
        <f>main!C477</f>
        <v>คุรุภัณฑ์</v>
      </c>
      <c r="C474" s="67">
        <f>main!O477</f>
        <v>400000</v>
      </c>
      <c r="D474" s="65" t="s">
        <v>110</v>
      </c>
      <c r="E474" s="68">
        <f t="shared" si="7"/>
        <v>99.999994999999998</v>
      </c>
      <c r="F474" s="68" t="str">
        <f>IF(main!R477="","",ROUND(main!R477*100,6))</f>
        <v/>
      </c>
      <c r="G474" s="68" t="str">
        <f>IF(main!S477="","",ROUND(main!S477*100,6))</f>
        <v/>
      </c>
      <c r="H474" s="68" t="str">
        <f>IF(main!T477="","",ROUND(main!T477*100,6))</f>
        <v/>
      </c>
      <c r="I474" s="68" t="str">
        <f>IF(main!U477="","",ROUND(main!U477*100,6))</f>
        <v/>
      </c>
      <c r="J474" s="68" t="str">
        <f>IF(main!V477="","",ROUND(main!V477*100,6))</f>
        <v/>
      </c>
      <c r="K474" s="68" t="str">
        <f>IF(main!W477="","",ROUND(main!W477*100,6))</f>
        <v/>
      </c>
      <c r="L474" s="68" t="str">
        <f>IF(main!X477="","",ROUND(main!X477*100,6))</f>
        <v/>
      </c>
      <c r="M474" s="68" t="str">
        <f>IF(main!Y477="","",ROUND(main!Y477*100,6))</f>
        <v/>
      </c>
      <c r="N474" s="68" t="str">
        <f>IF(main!Z477="","",ROUND(main!Z477*100,6))</f>
        <v/>
      </c>
      <c r="O474" s="68" t="str">
        <f>IF(main!AA477="","",ROUND(main!AA477*100,6))</f>
        <v/>
      </c>
      <c r="P474" s="68" t="str">
        <f>IF(main!AB477="","",ROUND(main!AB477*100,6))</f>
        <v/>
      </c>
      <c r="Q474" s="68" t="str">
        <f>IF(main!AC477="","",ROUND(main!AC477*100,6))</f>
        <v/>
      </c>
      <c r="R474" s="68" t="str">
        <f>IF(main!AD477="","",ROUND(main!AD477*100,6))</f>
        <v/>
      </c>
      <c r="S474" s="68" t="str">
        <f>IF(main!AE477="","",ROUND(main!AE477*100,6))</f>
        <v/>
      </c>
      <c r="T474" s="68" t="str">
        <f>IF(main!AF477="","",ROUND(main!AF477*100,6))</f>
        <v/>
      </c>
      <c r="U474" s="68" t="str">
        <f>IF(main!AG477="","",ROUND(main!AG477*100,6))</f>
        <v/>
      </c>
      <c r="V474" s="68" t="str">
        <f>IF(main!AH477="","",ROUND(main!AH477*100,6))</f>
        <v/>
      </c>
      <c r="W474" s="68" t="str">
        <f>IF(main!AI477="","",ROUND(main!AI477*100,6))</f>
        <v/>
      </c>
      <c r="X474" s="68" t="str">
        <f>IF(main!AJ477="","",ROUND(main!AJ477*100,6))</f>
        <v/>
      </c>
      <c r="Y474" s="68" t="str">
        <f>IF(main!AK477="","",ROUND(main!AK477*100,6))</f>
        <v/>
      </c>
      <c r="Z474" s="68" t="str">
        <f>IF(main!AL477="","",ROUND(main!AL477*100,6))</f>
        <v/>
      </c>
      <c r="AA474" s="68" t="str">
        <f>IF(main!AM477="","",ROUND(main!AM477*100,6))</f>
        <v/>
      </c>
      <c r="AB474" s="68" t="str">
        <f>IF(main!AN477="","",ROUND(main!AN477*100,6))</f>
        <v/>
      </c>
      <c r="AC474" s="68" t="str">
        <f>IF(main!AO477="","",ROUND(main!AO477*100,6))</f>
        <v/>
      </c>
      <c r="AD474" s="68" t="str">
        <f>IF(main!AP477="","",ROUND(main!AP477*100,6))</f>
        <v/>
      </c>
      <c r="AE474" s="68" t="str">
        <f>IF(main!AQ477="","",ROUND(main!AQ477*100,6))</f>
        <v/>
      </c>
      <c r="AF474" s="68" t="str">
        <f>IF(main!AR477="","",ROUND(main!AR477*100,6))</f>
        <v/>
      </c>
      <c r="AG474" s="68" t="str">
        <f>IF(main!AS477="","",ROUND(main!AS477*100,6))</f>
        <v/>
      </c>
      <c r="AH474" s="68" t="str">
        <f>IF(main!AT477="","",ROUND(main!AT477*100,6))</f>
        <v/>
      </c>
      <c r="AI474" s="68" t="str">
        <f>IF(main!AU477="","",ROUND(main!AU477*100,6))</f>
        <v/>
      </c>
      <c r="AJ474" s="68" t="str">
        <f>IF(main!AV477="","",ROUND(main!AV477*100,6))</f>
        <v/>
      </c>
      <c r="AK474" s="68" t="str">
        <f>IF(main!AW477="","",ROUND(main!AW477*100,6))</f>
        <v/>
      </c>
      <c r="AL474" s="68" t="str">
        <f>IF(main!AX477="","",ROUND(main!AX477*100,6))</f>
        <v/>
      </c>
      <c r="AM474" s="68" t="str">
        <f>IF(main!AY477="","",ROUND(main!AY477*100,6))</f>
        <v/>
      </c>
      <c r="AN474" s="68" t="str">
        <f>IF(main!AZ477="","",ROUND(main!AZ477*100,6))</f>
        <v/>
      </c>
      <c r="AO474" s="68" t="str">
        <f>IF(main!BA477="","",ROUND(main!BA477*100,6))</f>
        <v/>
      </c>
      <c r="AP474" s="68" t="str">
        <f>IF(main!BB477="","",ROUND(main!BB477*100,6))</f>
        <v/>
      </c>
      <c r="AQ474" s="68" t="str">
        <f>IF(main!BC477="","",ROUND(main!BC477*100,6))</f>
        <v/>
      </c>
      <c r="AR474" s="68" t="str">
        <f>IF(main!BD477="","",ROUND(main!BD477*100,6))</f>
        <v/>
      </c>
      <c r="AS474" s="68" t="str">
        <f>IF(main!BE477="","",ROUND(main!BE477*100,6))</f>
        <v/>
      </c>
      <c r="AT474" s="68" t="str">
        <f>IF(main!BF477="","",ROUND(main!BF477*100,6))</f>
        <v/>
      </c>
      <c r="AU474" s="68" t="str">
        <f>IF(main!BG477="","",ROUND(main!BG477*100,6))</f>
        <v/>
      </c>
      <c r="AV474" s="68" t="str">
        <f>IF(main!BH477="","",ROUND(main!BH477*100,6))</f>
        <v/>
      </c>
      <c r="AW474" s="68" t="str">
        <f>IF(main!BI477="","",ROUND(main!BI477*100,6))</f>
        <v/>
      </c>
      <c r="AX474" s="68" t="str">
        <f>IF(main!BJ477="","",ROUND(main!BJ477*100,6))</f>
        <v/>
      </c>
      <c r="AY474" s="68" t="str">
        <f>IF(main!BK477="","",ROUND(main!BK477*100,6))</f>
        <v/>
      </c>
      <c r="AZ474" s="68" t="str">
        <f>IF(main!BL477="","",ROUND(main!BL477*100,6))</f>
        <v/>
      </c>
      <c r="BA474" s="68" t="str">
        <f>IF(main!BM477="","",ROUND(main!BM477*100,6))</f>
        <v/>
      </c>
      <c r="BB474" s="68" t="str">
        <f>IF(main!BN477="","",ROUND(main!BN477*100,6))</f>
        <v/>
      </c>
      <c r="BC474" s="68" t="str">
        <f>IF(main!BO477="","",ROUND(main!BO477*100,6))</f>
        <v/>
      </c>
      <c r="BD474" s="68" t="str">
        <f>IF(main!BP477="","",ROUND(main!BP477*100,6))</f>
        <v/>
      </c>
      <c r="BE474" s="68" t="str">
        <f>IF(main!BQ477="","",ROUND(main!BQ477*100,6))</f>
        <v/>
      </c>
      <c r="BF474" s="68" t="str">
        <f>IF(main!BR477="","",ROUND(main!BR477*100,6))</f>
        <v/>
      </c>
      <c r="BG474" s="68" t="str">
        <f>IF(main!BS477="","",ROUND(main!BS477*100,6))</f>
        <v/>
      </c>
      <c r="BH474" s="68">
        <f>IF(main!BT477="","",ROUND(main!BT477*100,6))</f>
        <v>5.1741799999999998</v>
      </c>
      <c r="BI474" s="68">
        <f>IF(main!BU477="","",ROUND(main!BU477*100,6))</f>
        <v>7.2438520000000004</v>
      </c>
      <c r="BJ474" s="68">
        <f>IF(main!BV477="","",ROUND(main!BV477*100,6))</f>
        <v>7.2438520000000004</v>
      </c>
      <c r="BK474" s="68">
        <f>IF(main!BW477="","",ROUND(main!BW477*100,6))</f>
        <v>7.2438520000000004</v>
      </c>
      <c r="BL474" s="68">
        <f>IF(main!BX477="","",ROUND(main!BX477*100,6))</f>
        <v>7.2438520000000004</v>
      </c>
      <c r="BM474" s="68">
        <f>IF(main!BY477="","",ROUND(main!BY477*100,6))</f>
        <v>7.2438520000000004</v>
      </c>
      <c r="BN474" s="68">
        <f>IF(main!BZ477="","",ROUND(main!BZ477*100,6))</f>
        <v>2.868852</v>
      </c>
      <c r="BO474" s="68">
        <f>IF(main!CA477="","",ROUND(main!CA477*100,6))</f>
        <v>9.7257250000000006</v>
      </c>
      <c r="BP474" s="68">
        <f>IF(main!CB477="","",ROUND(main!CB477*100,6))</f>
        <v>12.468474000000001</v>
      </c>
      <c r="BQ474" s="68">
        <f>IF(main!CC477="","",ROUND(main!CC477*100,6))</f>
        <v>9.5996220000000001</v>
      </c>
      <c r="BR474" s="68">
        <f>IF(main!CD477="","",ROUND(main!CD477*100,6))</f>
        <v>9.5996220000000001</v>
      </c>
      <c r="BS474" s="68">
        <f>IF(main!CE477="","",ROUND(main!CE477*100,6))</f>
        <v>2.868852</v>
      </c>
      <c r="BT474" s="68">
        <f>IF(main!CF477="","",ROUND(main!CF477*100,6))</f>
        <v>2.868852</v>
      </c>
      <c r="BU474" s="68">
        <f>IF(main!CG477="","",ROUND(main!CG477*100,6))</f>
        <v>2.868852</v>
      </c>
      <c r="BV474" s="68">
        <f>IF(main!CH477="","",ROUND(main!CH477*100,6))</f>
        <v>2.868852</v>
      </c>
      <c r="BW474" s="68">
        <f>IF(main!CI477="","",ROUND(main!CI477*100,6))</f>
        <v>2.868852</v>
      </c>
      <c r="BX474" s="68" t="str">
        <f>IF(main!CJ477="","",ROUND(main!CJ477*100,6))</f>
        <v/>
      </c>
      <c r="BY474" s="68" t="str">
        <f>IF(main!CK477="","",ROUND(main!CK477*100,6))</f>
        <v/>
      </c>
      <c r="BZ474" s="68" t="str">
        <f>IF(main!CL477="","",ROUND(main!CL477*100,6))</f>
        <v/>
      </c>
      <c r="CA474" s="68" t="str">
        <f>IF(main!CM477="","",ROUND(main!CM477*100,6))</f>
        <v/>
      </c>
      <c r="CB474" s="68" t="str">
        <f>IF(main!CN477="","",ROUND(main!CN477*100,6))</f>
        <v/>
      </c>
      <c r="CC474" s="68" t="str">
        <f>IF(main!CO477="","",ROUND(main!CO477*100,6))</f>
        <v/>
      </c>
    </row>
    <row r="475" spans="1:81" x14ac:dyDescent="0.25">
      <c r="A475" s="65" t="s">
        <v>639</v>
      </c>
      <c r="B475" s="66" t="str">
        <f>main!C477</f>
        <v>คุรุภัณฑ์</v>
      </c>
      <c r="C475" s="67">
        <f>main!O477</f>
        <v>400000</v>
      </c>
      <c r="D475" s="65" t="s">
        <v>111</v>
      </c>
      <c r="E475" s="68" t="str">
        <f t="shared" si="7"/>
        <v/>
      </c>
      <c r="F475" s="68" t="str">
        <f>IF(main!R478="","",ROUND(main!R478*100,6))</f>
        <v/>
      </c>
      <c r="G475" s="68" t="str">
        <f>IF(main!S478="","",ROUND(main!S478*100,6))</f>
        <v/>
      </c>
      <c r="H475" s="68" t="str">
        <f>IF(main!T478="","",ROUND(main!T478*100,6))</f>
        <v/>
      </c>
      <c r="I475" s="68" t="str">
        <f>IF(main!U478="","",ROUND(main!U478*100,6))</f>
        <v/>
      </c>
      <c r="J475" s="68" t="str">
        <f>IF(main!V478="","",ROUND(main!V478*100,6))</f>
        <v/>
      </c>
      <c r="K475" s="68" t="str">
        <f>IF(main!W478="","",ROUND(main!W478*100,6))</f>
        <v/>
      </c>
      <c r="L475" s="68" t="str">
        <f>IF(main!X478="","",ROUND(main!X478*100,6))</f>
        <v/>
      </c>
      <c r="M475" s="68" t="str">
        <f>IF(main!Y478="","",ROUND(main!Y478*100,6))</f>
        <v/>
      </c>
      <c r="N475" s="68" t="str">
        <f>IF(main!Z478="","",ROUND(main!Z478*100,6))</f>
        <v/>
      </c>
      <c r="O475" s="68" t="str">
        <f>IF(main!AA478="","",ROUND(main!AA478*100,6))</f>
        <v/>
      </c>
      <c r="P475" s="68" t="str">
        <f>IF(main!AB478="","",ROUND(main!AB478*100,6))</f>
        <v/>
      </c>
      <c r="Q475" s="68" t="str">
        <f>IF(main!AC478="","",ROUND(main!AC478*100,6))</f>
        <v/>
      </c>
      <c r="R475" s="68" t="str">
        <f>IF(main!AD478="","",ROUND(main!AD478*100,6))</f>
        <v/>
      </c>
      <c r="S475" s="68" t="str">
        <f>IF(main!AE478="","",ROUND(main!AE478*100,6))</f>
        <v/>
      </c>
      <c r="T475" s="68" t="str">
        <f>IF(main!AF478="","",ROUND(main!AF478*100,6))</f>
        <v/>
      </c>
      <c r="U475" s="68" t="str">
        <f>IF(main!AG478="","",ROUND(main!AG478*100,6))</f>
        <v/>
      </c>
      <c r="V475" s="68" t="str">
        <f>IF(main!AH478="","",ROUND(main!AH478*100,6))</f>
        <v/>
      </c>
      <c r="W475" s="68" t="str">
        <f>IF(main!AI478="","",ROUND(main!AI478*100,6))</f>
        <v/>
      </c>
      <c r="X475" s="68" t="str">
        <f>IF(main!AJ478="","",ROUND(main!AJ478*100,6))</f>
        <v/>
      </c>
      <c r="Y475" s="68" t="str">
        <f>IF(main!AK478="","",ROUND(main!AK478*100,6))</f>
        <v/>
      </c>
      <c r="Z475" s="68" t="str">
        <f>IF(main!AL478="","",ROUND(main!AL478*100,6))</f>
        <v/>
      </c>
      <c r="AA475" s="68" t="str">
        <f>IF(main!AM478="","",ROUND(main!AM478*100,6))</f>
        <v/>
      </c>
      <c r="AB475" s="68" t="str">
        <f>IF(main!AN478="","",ROUND(main!AN478*100,6))</f>
        <v/>
      </c>
      <c r="AC475" s="68" t="str">
        <f>IF(main!AO478="","",ROUND(main!AO478*100,6))</f>
        <v/>
      </c>
      <c r="AD475" s="68" t="str">
        <f>IF(main!AP478="","",ROUND(main!AP478*100,6))</f>
        <v/>
      </c>
      <c r="AE475" s="68" t="str">
        <f>IF(main!AQ478="","",ROUND(main!AQ478*100,6))</f>
        <v/>
      </c>
      <c r="AF475" s="68" t="str">
        <f>IF(main!AR478="","",ROUND(main!AR478*100,6))</f>
        <v/>
      </c>
      <c r="AG475" s="68" t="str">
        <f>IF(main!AS478="","",ROUND(main!AS478*100,6))</f>
        <v/>
      </c>
      <c r="AH475" s="68" t="str">
        <f>IF(main!AT478="","",ROUND(main!AT478*100,6))</f>
        <v/>
      </c>
      <c r="AI475" s="68" t="str">
        <f>IF(main!AU478="","",ROUND(main!AU478*100,6))</f>
        <v/>
      </c>
      <c r="AJ475" s="68" t="str">
        <f>IF(main!AV478="","",ROUND(main!AV478*100,6))</f>
        <v/>
      </c>
      <c r="AK475" s="68" t="str">
        <f>IF(main!AW478="","",ROUND(main!AW478*100,6))</f>
        <v/>
      </c>
      <c r="AL475" s="68" t="str">
        <f>IF(main!AX478="","",ROUND(main!AX478*100,6))</f>
        <v/>
      </c>
      <c r="AM475" s="68" t="str">
        <f>IF(main!AY478="","",ROUND(main!AY478*100,6))</f>
        <v/>
      </c>
      <c r="AN475" s="68" t="str">
        <f>IF(main!AZ478="","",ROUND(main!AZ478*100,6))</f>
        <v/>
      </c>
      <c r="AO475" s="68" t="str">
        <f>IF(main!BA478="","",ROUND(main!BA478*100,6))</f>
        <v/>
      </c>
      <c r="AP475" s="68" t="str">
        <f>IF(main!BB478="","",ROUND(main!BB478*100,6))</f>
        <v/>
      </c>
      <c r="AQ475" s="68" t="str">
        <f>IF(main!BC478="","",ROUND(main!BC478*100,6))</f>
        <v/>
      </c>
      <c r="AR475" s="68" t="str">
        <f>IF(main!BD478="","",ROUND(main!BD478*100,6))</f>
        <v/>
      </c>
      <c r="AS475" s="68" t="str">
        <f>IF(main!BE478="","",ROUND(main!BE478*100,6))</f>
        <v/>
      </c>
      <c r="AT475" s="68" t="str">
        <f>IF(main!BF478="","",ROUND(main!BF478*100,6))</f>
        <v/>
      </c>
      <c r="AU475" s="68" t="str">
        <f>IF(main!BG478="","",ROUND(main!BG478*100,6))</f>
        <v/>
      </c>
      <c r="AV475" s="68" t="str">
        <f>IF(main!BH478="","",ROUND(main!BH478*100,6))</f>
        <v/>
      </c>
      <c r="AW475" s="68" t="str">
        <f>IF(main!BI478="","",ROUND(main!BI478*100,6))</f>
        <v/>
      </c>
      <c r="AX475" s="68" t="str">
        <f>IF(main!BJ478="","",ROUND(main!BJ478*100,6))</f>
        <v/>
      </c>
      <c r="AY475" s="68" t="str">
        <f>IF(main!BK478="","",ROUND(main!BK478*100,6))</f>
        <v/>
      </c>
      <c r="AZ475" s="68" t="str">
        <f>IF(main!BL478="","",ROUND(main!BL478*100,6))</f>
        <v/>
      </c>
      <c r="BA475" s="68" t="str">
        <f>IF(main!BM478="","",ROUND(main!BM478*100,6))</f>
        <v/>
      </c>
      <c r="BB475" s="68" t="str">
        <f>IF(main!BN478="","",ROUND(main!BN478*100,6))</f>
        <v/>
      </c>
      <c r="BC475" s="68" t="str">
        <f>IF(main!BO478="","",ROUND(main!BO478*100,6))</f>
        <v/>
      </c>
      <c r="BD475" s="68" t="str">
        <f>IF(main!BP478="","",ROUND(main!BP478*100,6))</f>
        <v/>
      </c>
      <c r="BE475" s="68" t="str">
        <f>IF(main!BQ478="","",ROUND(main!BQ478*100,6))</f>
        <v/>
      </c>
      <c r="BF475" s="68" t="str">
        <f>IF(main!BR478="","",ROUND(main!BR478*100,6))</f>
        <v/>
      </c>
      <c r="BG475" s="68" t="str">
        <f>IF(main!BS478="","",ROUND(main!BS478*100,6))</f>
        <v/>
      </c>
      <c r="BH475" s="68" t="str">
        <f>IF(main!BT478="","",ROUND(main!BT478*100,6))</f>
        <v/>
      </c>
      <c r="BI475" s="68" t="str">
        <f>IF(main!BU478="","",ROUND(main!BU478*100,6))</f>
        <v/>
      </c>
      <c r="BJ475" s="68" t="str">
        <f>IF(main!BV478="","",ROUND(main!BV478*100,6))</f>
        <v/>
      </c>
      <c r="BK475" s="68" t="str">
        <f>IF(main!BW478="","",ROUND(main!BW478*100,6))</f>
        <v/>
      </c>
      <c r="BL475" s="68" t="str">
        <f>IF(main!BX478="","",ROUND(main!BX478*100,6))</f>
        <v/>
      </c>
      <c r="BM475" s="68" t="str">
        <f>IF(main!BY478="","",ROUND(main!BY478*100,6))</f>
        <v/>
      </c>
      <c r="BN475" s="68" t="str">
        <f>IF(main!BZ478="","",ROUND(main!BZ478*100,6))</f>
        <v/>
      </c>
      <c r="BO475" s="68" t="str">
        <f>IF(main!CA478="","",ROUND(main!CA478*100,6))</f>
        <v/>
      </c>
      <c r="BP475" s="68" t="str">
        <f>IF(main!CB478="","",ROUND(main!CB478*100,6))</f>
        <v/>
      </c>
      <c r="BQ475" s="68" t="str">
        <f>IF(main!CC478="","",ROUND(main!CC478*100,6))</f>
        <v/>
      </c>
      <c r="BR475" s="68" t="str">
        <f>IF(main!CD478="","",ROUND(main!CD478*100,6))</f>
        <v/>
      </c>
      <c r="BS475" s="68" t="str">
        <f>IF(main!CE478="","",ROUND(main!CE478*100,6))</f>
        <v/>
      </c>
      <c r="BT475" s="68" t="str">
        <f>IF(main!CF478="","",ROUND(main!CF478*100,6))</f>
        <v/>
      </c>
      <c r="BU475" s="68" t="str">
        <f>IF(main!CG478="","",ROUND(main!CG478*100,6))</f>
        <v/>
      </c>
      <c r="BV475" s="68" t="str">
        <f>IF(main!CH478="","",ROUND(main!CH478*100,6))</f>
        <v/>
      </c>
      <c r="BW475" s="68" t="str">
        <f>IF(main!CI478="","",ROUND(main!CI478*100,6))</f>
        <v/>
      </c>
      <c r="BX475" s="68" t="str">
        <f>IF(main!CJ478="","",ROUND(main!CJ478*100,6))</f>
        <v/>
      </c>
      <c r="BY475" s="68" t="str">
        <f>IF(main!CK478="","",ROUND(main!CK478*100,6))</f>
        <v/>
      </c>
      <c r="BZ475" s="68" t="str">
        <f>IF(main!CL478="","",ROUND(main!CL478*100,6))</f>
        <v/>
      </c>
      <c r="CA475" s="68" t="str">
        <f>IF(main!CM478="","",ROUND(main!CM478*100,6))</f>
        <v/>
      </c>
      <c r="CB475" s="68" t="str">
        <f>IF(main!CN478="","",ROUND(main!CN478*100,6))</f>
        <v/>
      </c>
      <c r="CC475" s="68" t="str">
        <f>IF(main!CO478="","",ROUND(main!CO478*100,6))</f>
        <v/>
      </c>
    </row>
    <row r="476" spans="1:81" x14ac:dyDescent="0.25">
      <c r="A476" s="65" t="s">
        <v>641</v>
      </c>
      <c r="B476" s="66" t="str">
        <f>main!C479</f>
        <v>คุรุภัณฑ์ภาพและเสียง</v>
      </c>
      <c r="C476" s="67">
        <f>main!O479</f>
        <v>100000</v>
      </c>
      <c r="D476" s="65" t="s">
        <v>110</v>
      </c>
      <c r="E476" s="68">
        <f t="shared" si="7"/>
        <v>100.000001</v>
      </c>
      <c r="F476" s="68" t="str">
        <f>IF(main!R479="","",ROUND(main!R479*100,6))</f>
        <v/>
      </c>
      <c r="G476" s="68" t="str">
        <f>IF(main!S479="","",ROUND(main!S479*100,6))</f>
        <v/>
      </c>
      <c r="H476" s="68" t="str">
        <f>IF(main!T479="","",ROUND(main!T479*100,6))</f>
        <v/>
      </c>
      <c r="I476" s="68" t="str">
        <f>IF(main!U479="","",ROUND(main!U479*100,6))</f>
        <v/>
      </c>
      <c r="J476" s="68" t="str">
        <f>IF(main!V479="","",ROUND(main!V479*100,6))</f>
        <v/>
      </c>
      <c r="K476" s="68" t="str">
        <f>IF(main!W479="","",ROUND(main!W479*100,6))</f>
        <v/>
      </c>
      <c r="L476" s="68" t="str">
        <f>IF(main!X479="","",ROUND(main!X479*100,6))</f>
        <v/>
      </c>
      <c r="M476" s="68" t="str">
        <f>IF(main!Y479="","",ROUND(main!Y479*100,6))</f>
        <v/>
      </c>
      <c r="N476" s="68" t="str">
        <f>IF(main!Z479="","",ROUND(main!Z479*100,6))</f>
        <v/>
      </c>
      <c r="O476" s="68" t="str">
        <f>IF(main!AA479="","",ROUND(main!AA479*100,6))</f>
        <v/>
      </c>
      <c r="P476" s="68" t="str">
        <f>IF(main!AB479="","",ROUND(main!AB479*100,6))</f>
        <v/>
      </c>
      <c r="Q476" s="68" t="str">
        <f>IF(main!AC479="","",ROUND(main!AC479*100,6))</f>
        <v/>
      </c>
      <c r="R476" s="68" t="str">
        <f>IF(main!AD479="","",ROUND(main!AD479*100,6))</f>
        <v/>
      </c>
      <c r="S476" s="68" t="str">
        <f>IF(main!AE479="","",ROUND(main!AE479*100,6))</f>
        <v/>
      </c>
      <c r="T476" s="68" t="str">
        <f>IF(main!AF479="","",ROUND(main!AF479*100,6))</f>
        <v/>
      </c>
      <c r="U476" s="68" t="str">
        <f>IF(main!AG479="","",ROUND(main!AG479*100,6))</f>
        <v/>
      </c>
      <c r="V476" s="68" t="str">
        <f>IF(main!AH479="","",ROUND(main!AH479*100,6))</f>
        <v/>
      </c>
      <c r="W476" s="68" t="str">
        <f>IF(main!AI479="","",ROUND(main!AI479*100,6))</f>
        <v/>
      </c>
      <c r="X476" s="68" t="str">
        <f>IF(main!AJ479="","",ROUND(main!AJ479*100,6))</f>
        <v/>
      </c>
      <c r="Y476" s="68" t="str">
        <f>IF(main!AK479="","",ROUND(main!AK479*100,6))</f>
        <v/>
      </c>
      <c r="Z476" s="68" t="str">
        <f>IF(main!AL479="","",ROUND(main!AL479*100,6))</f>
        <v/>
      </c>
      <c r="AA476" s="68" t="str">
        <f>IF(main!AM479="","",ROUND(main!AM479*100,6))</f>
        <v/>
      </c>
      <c r="AB476" s="68" t="str">
        <f>IF(main!AN479="","",ROUND(main!AN479*100,6))</f>
        <v/>
      </c>
      <c r="AC476" s="68" t="str">
        <f>IF(main!AO479="","",ROUND(main!AO479*100,6))</f>
        <v/>
      </c>
      <c r="AD476" s="68" t="str">
        <f>IF(main!AP479="","",ROUND(main!AP479*100,6))</f>
        <v/>
      </c>
      <c r="AE476" s="68" t="str">
        <f>IF(main!AQ479="","",ROUND(main!AQ479*100,6))</f>
        <v/>
      </c>
      <c r="AF476" s="68" t="str">
        <f>IF(main!AR479="","",ROUND(main!AR479*100,6))</f>
        <v/>
      </c>
      <c r="AG476" s="68" t="str">
        <f>IF(main!AS479="","",ROUND(main!AS479*100,6))</f>
        <v/>
      </c>
      <c r="AH476" s="68" t="str">
        <f>IF(main!AT479="","",ROUND(main!AT479*100,6))</f>
        <v/>
      </c>
      <c r="AI476" s="68" t="str">
        <f>IF(main!AU479="","",ROUND(main!AU479*100,6))</f>
        <v/>
      </c>
      <c r="AJ476" s="68" t="str">
        <f>IF(main!AV479="","",ROUND(main!AV479*100,6))</f>
        <v/>
      </c>
      <c r="AK476" s="68" t="str">
        <f>IF(main!AW479="","",ROUND(main!AW479*100,6))</f>
        <v/>
      </c>
      <c r="AL476" s="68" t="str">
        <f>IF(main!AX479="","",ROUND(main!AX479*100,6))</f>
        <v/>
      </c>
      <c r="AM476" s="68" t="str">
        <f>IF(main!AY479="","",ROUND(main!AY479*100,6))</f>
        <v/>
      </c>
      <c r="AN476" s="68" t="str">
        <f>IF(main!AZ479="","",ROUND(main!AZ479*100,6))</f>
        <v/>
      </c>
      <c r="AO476" s="68" t="str">
        <f>IF(main!BA479="","",ROUND(main!BA479*100,6))</f>
        <v/>
      </c>
      <c r="AP476" s="68" t="str">
        <f>IF(main!BB479="","",ROUND(main!BB479*100,6))</f>
        <v/>
      </c>
      <c r="AQ476" s="68" t="str">
        <f>IF(main!BC479="","",ROUND(main!BC479*100,6))</f>
        <v/>
      </c>
      <c r="AR476" s="68" t="str">
        <f>IF(main!BD479="","",ROUND(main!BD479*100,6))</f>
        <v/>
      </c>
      <c r="AS476" s="68" t="str">
        <f>IF(main!BE479="","",ROUND(main!BE479*100,6))</f>
        <v/>
      </c>
      <c r="AT476" s="68" t="str">
        <f>IF(main!BF479="","",ROUND(main!BF479*100,6))</f>
        <v/>
      </c>
      <c r="AU476" s="68" t="str">
        <f>IF(main!BG479="","",ROUND(main!BG479*100,6))</f>
        <v/>
      </c>
      <c r="AV476" s="68" t="str">
        <f>IF(main!BH479="","",ROUND(main!BH479*100,6))</f>
        <v/>
      </c>
      <c r="AW476" s="68" t="str">
        <f>IF(main!BI479="","",ROUND(main!BI479*100,6))</f>
        <v/>
      </c>
      <c r="AX476" s="68" t="str">
        <f>IF(main!BJ479="","",ROUND(main!BJ479*100,6))</f>
        <v/>
      </c>
      <c r="AY476" s="68" t="str">
        <f>IF(main!BK479="","",ROUND(main!BK479*100,6))</f>
        <v/>
      </c>
      <c r="AZ476" s="68" t="str">
        <f>IF(main!BL479="","",ROUND(main!BL479*100,6))</f>
        <v/>
      </c>
      <c r="BA476" s="68" t="str">
        <f>IF(main!BM479="","",ROUND(main!BM479*100,6))</f>
        <v/>
      </c>
      <c r="BB476" s="68" t="str">
        <f>IF(main!BN479="","",ROUND(main!BN479*100,6))</f>
        <v/>
      </c>
      <c r="BC476" s="68" t="str">
        <f>IF(main!BO479="","",ROUND(main!BO479*100,6))</f>
        <v/>
      </c>
      <c r="BD476" s="68" t="str">
        <f>IF(main!BP479="","",ROUND(main!BP479*100,6))</f>
        <v/>
      </c>
      <c r="BE476" s="68" t="str">
        <f>IF(main!BQ479="","",ROUND(main!BQ479*100,6))</f>
        <v/>
      </c>
      <c r="BF476" s="68" t="str">
        <f>IF(main!BR479="","",ROUND(main!BR479*100,6))</f>
        <v/>
      </c>
      <c r="BG476" s="68" t="str">
        <f>IF(main!BS479="","",ROUND(main!BS479*100,6))</f>
        <v/>
      </c>
      <c r="BH476" s="68" t="str">
        <f>IF(main!BT479="","",ROUND(main!BT479*100,6))</f>
        <v/>
      </c>
      <c r="BI476" s="68" t="str">
        <f>IF(main!BU479="","",ROUND(main!BU479*100,6))</f>
        <v/>
      </c>
      <c r="BJ476" s="68" t="str">
        <f>IF(main!BV479="","",ROUND(main!BV479*100,6))</f>
        <v/>
      </c>
      <c r="BK476" s="68" t="str">
        <f>IF(main!BW479="","",ROUND(main!BW479*100,6))</f>
        <v/>
      </c>
      <c r="BL476" s="68" t="str">
        <f>IF(main!BX479="","",ROUND(main!BX479*100,6))</f>
        <v/>
      </c>
      <c r="BM476" s="68" t="str">
        <f>IF(main!BY479="","",ROUND(main!BY479*100,6))</f>
        <v/>
      </c>
      <c r="BN476" s="68" t="str">
        <f>IF(main!BZ479="","",ROUND(main!BZ479*100,6))</f>
        <v/>
      </c>
      <c r="BO476" s="68">
        <f>IF(main!CA479="","",ROUND(main!CA479*100,6))</f>
        <v>8.1967210000000001</v>
      </c>
      <c r="BP476" s="68">
        <f>IF(main!CB479="","",ROUND(main!CB479*100,6))</f>
        <v>11.47541</v>
      </c>
      <c r="BQ476" s="68">
        <f>IF(main!CC479="","",ROUND(main!CC479*100,6))</f>
        <v>11.47541</v>
      </c>
      <c r="BR476" s="68">
        <f>IF(main!CD479="","",ROUND(main!CD479*100,6))</f>
        <v>11.47541</v>
      </c>
      <c r="BS476" s="68">
        <f>IF(main!CE479="","",ROUND(main!CE479*100,6))</f>
        <v>11.47541</v>
      </c>
      <c r="BT476" s="68">
        <f>IF(main!CF479="","",ROUND(main!CF479*100,6))</f>
        <v>11.47541</v>
      </c>
      <c r="BU476" s="68">
        <f>IF(main!CG479="","",ROUND(main!CG479*100,6))</f>
        <v>11.47541</v>
      </c>
      <c r="BV476" s="68">
        <f>IF(main!CH479="","",ROUND(main!CH479*100,6))</f>
        <v>11.47541</v>
      </c>
      <c r="BW476" s="68">
        <f>IF(main!CI479="","",ROUND(main!CI479*100,6))</f>
        <v>11.47541</v>
      </c>
      <c r="BX476" s="68" t="str">
        <f>IF(main!CJ479="","",ROUND(main!CJ479*100,6))</f>
        <v/>
      </c>
      <c r="BY476" s="68" t="str">
        <f>IF(main!CK479="","",ROUND(main!CK479*100,6))</f>
        <v/>
      </c>
      <c r="BZ476" s="68" t="str">
        <f>IF(main!CL479="","",ROUND(main!CL479*100,6))</f>
        <v/>
      </c>
      <c r="CA476" s="68" t="str">
        <f>IF(main!CM479="","",ROUND(main!CM479*100,6))</f>
        <v/>
      </c>
      <c r="CB476" s="68" t="str">
        <f>IF(main!CN479="","",ROUND(main!CN479*100,6))</f>
        <v/>
      </c>
      <c r="CC476" s="68" t="str">
        <f>IF(main!CO479="","",ROUND(main!CO479*100,6))</f>
        <v/>
      </c>
    </row>
    <row r="477" spans="1:81" x14ac:dyDescent="0.25">
      <c r="A477" s="65" t="s">
        <v>641</v>
      </c>
      <c r="B477" s="66" t="str">
        <f>main!C479</f>
        <v>คุรุภัณฑ์ภาพและเสียง</v>
      </c>
      <c r="C477" s="67">
        <f>main!O479</f>
        <v>100000</v>
      </c>
      <c r="D477" s="65" t="s">
        <v>111</v>
      </c>
      <c r="E477" s="68" t="str">
        <f t="shared" si="7"/>
        <v/>
      </c>
      <c r="F477" s="68" t="str">
        <f>IF(main!R480="","",ROUND(main!R480*100,6))</f>
        <v/>
      </c>
      <c r="G477" s="68" t="str">
        <f>IF(main!S480="","",ROUND(main!S480*100,6))</f>
        <v/>
      </c>
      <c r="H477" s="68" t="str">
        <f>IF(main!T480="","",ROUND(main!T480*100,6))</f>
        <v/>
      </c>
      <c r="I477" s="68" t="str">
        <f>IF(main!U480="","",ROUND(main!U480*100,6))</f>
        <v/>
      </c>
      <c r="J477" s="68" t="str">
        <f>IF(main!V480="","",ROUND(main!V480*100,6))</f>
        <v/>
      </c>
      <c r="K477" s="68" t="str">
        <f>IF(main!W480="","",ROUND(main!W480*100,6))</f>
        <v/>
      </c>
      <c r="L477" s="68" t="str">
        <f>IF(main!X480="","",ROUND(main!X480*100,6))</f>
        <v/>
      </c>
      <c r="M477" s="68" t="str">
        <f>IF(main!Y480="","",ROUND(main!Y480*100,6))</f>
        <v/>
      </c>
      <c r="N477" s="68" t="str">
        <f>IF(main!Z480="","",ROUND(main!Z480*100,6))</f>
        <v/>
      </c>
      <c r="O477" s="68" t="str">
        <f>IF(main!AA480="","",ROUND(main!AA480*100,6))</f>
        <v/>
      </c>
      <c r="P477" s="68" t="str">
        <f>IF(main!AB480="","",ROUND(main!AB480*100,6))</f>
        <v/>
      </c>
      <c r="Q477" s="68" t="str">
        <f>IF(main!AC480="","",ROUND(main!AC480*100,6))</f>
        <v/>
      </c>
      <c r="R477" s="68" t="str">
        <f>IF(main!AD480="","",ROUND(main!AD480*100,6))</f>
        <v/>
      </c>
      <c r="S477" s="68" t="str">
        <f>IF(main!AE480="","",ROUND(main!AE480*100,6))</f>
        <v/>
      </c>
      <c r="T477" s="68" t="str">
        <f>IF(main!AF480="","",ROUND(main!AF480*100,6))</f>
        <v/>
      </c>
      <c r="U477" s="68" t="str">
        <f>IF(main!AG480="","",ROUND(main!AG480*100,6))</f>
        <v/>
      </c>
      <c r="V477" s="68" t="str">
        <f>IF(main!AH480="","",ROUND(main!AH480*100,6))</f>
        <v/>
      </c>
      <c r="W477" s="68" t="str">
        <f>IF(main!AI480="","",ROUND(main!AI480*100,6))</f>
        <v/>
      </c>
      <c r="X477" s="68" t="str">
        <f>IF(main!AJ480="","",ROUND(main!AJ480*100,6))</f>
        <v/>
      </c>
      <c r="Y477" s="68" t="str">
        <f>IF(main!AK480="","",ROUND(main!AK480*100,6))</f>
        <v/>
      </c>
      <c r="Z477" s="68" t="str">
        <f>IF(main!AL480="","",ROUND(main!AL480*100,6))</f>
        <v/>
      </c>
      <c r="AA477" s="68" t="str">
        <f>IF(main!AM480="","",ROUND(main!AM480*100,6))</f>
        <v/>
      </c>
      <c r="AB477" s="68" t="str">
        <f>IF(main!AN480="","",ROUND(main!AN480*100,6))</f>
        <v/>
      </c>
      <c r="AC477" s="68" t="str">
        <f>IF(main!AO480="","",ROUND(main!AO480*100,6))</f>
        <v/>
      </c>
      <c r="AD477" s="68" t="str">
        <f>IF(main!AP480="","",ROUND(main!AP480*100,6))</f>
        <v/>
      </c>
      <c r="AE477" s="68" t="str">
        <f>IF(main!AQ480="","",ROUND(main!AQ480*100,6))</f>
        <v/>
      </c>
      <c r="AF477" s="68" t="str">
        <f>IF(main!AR480="","",ROUND(main!AR480*100,6))</f>
        <v/>
      </c>
      <c r="AG477" s="68" t="str">
        <f>IF(main!AS480="","",ROUND(main!AS480*100,6))</f>
        <v/>
      </c>
      <c r="AH477" s="68" t="str">
        <f>IF(main!AT480="","",ROUND(main!AT480*100,6))</f>
        <v/>
      </c>
      <c r="AI477" s="68" t="str">
        <f>IF(main!AU480="","",ROUND(main!AU480*100,6))</f>
        <v/>
      </c>
      <c r="AJ477" s="68" t="str">
        <f>IF(main!AV480="","",ROUND(main!AV480*100,6))</f>
        <v/>
      </c>
      <c r="AK477" s="68" t="str">
        <f>IF(main!AW480="","",ROUND(main!AW480*100,6))</f>
        <v/>
      </c>
      <c r="AL477" s="68" t="str">
        <f>IF(main!AX480="","",ROUND(main!AX480*100,6))</f>
        <v/>
      </c>
      <c r="AM477" s="68" t="str">
        <f>IF(main!AY480="","",ROUND(main!AY480*100,6))</f>
        <v/>
      </c>
      <c r="AN477" s="68" t="str">
        <f>IF(main!AZ480="","",ROUND(main!AZ480*100,6))</f>
        <v/>
      </c>
      <c r="AO477" s="68" t="str">
        <f>IF(main!BA480="","",ROUND(main!BA480*100,6))</f>
        <v/>
      </c>
      <c r="AP477" s="68" t="str">
        <f>IF(main!BB480="","",ROUND(main!BB480*100,6))</f>
        <v/>
      </c>
      <c r="AQ477" s="68" t="str">
        <f>IF(main!BC480="","",ROUND(main!BC480*100,6))</f>
        <v/>
      </c>
      <c r="AR477" s="68" t="str">
        <f>IF(main!BD480="","",ROUND(main!BD480*100,6))</f>
        <v/>
      </c>
      <c r="AS477" s="68" t="str">
        <f>IF(main!BE480="","",ROUND(main!BE480*100,6))</f>
        <v/>
      </c>
      <c r="AT477" s="68" t="str">
        <f>IF(main!BF480="","",ROUND(main!BF480*100,6))</f>
        <v/>
      </c>
      <c r="AU477" s="68" t="str">
        <f>IF(main!BG480="","",ROUND(main!BG480*100,6))</f>
        <v/>
      </c>
      <c r="AV477" s="68" t="str">
        <f>IF(main!BH480="","",ROUND(main!BH480*100,6))</f>
        <v/>
      </c>
      <c r="AW477" s="68" t="str">
        <f>IF(main!BI480="","",ROUND(main!BI480*100,6))</f>
        <v/>
      </c>
      <c r="AX477" s="68" t="str">
        <f>IF(main!BJ480="","",ROUND(main!BJ480*100,6))</f>
        <v/>
      </c>
      <c r="AY477" s="68" t="str">
        <f>IF(main!BK480="","",ROUND(main!BK480*100,6))</f>
        <v/>
      </c>
      <c r="AZ477" s="68" t="str">
        <f>IF(main!BL480="","",ROUND(main!BL480*100,6))</f>
        <v/>
      </c>
      <c r="BA477" s="68" t="str">
        <f>IF(main!BM480="","",ROUND(main!BM480*100,6))</f>
        <v/>
      </c>
      <c r="BB477" s="68" t="str">
        <f>IF(main!BN480="","",ROUND(main!BN480*100,6))</f>
        <v/>
      </c>
      <c r="BC477" s="68" t="str">
        <f>IF(main!BO480="","",ROUND(main!BO480*100,6))</f>
        <v/>
      </c>
      <c r="BD477" s="68" t="str">
        <f>IF(main!BP480="","",ROUND(main!BP480*100,6))</f>
        <v/>
      </c>
      <c r="BE477" s="68" t="str">
        <f>IF(main!BQ480="","",ROUND(main!BQ480*100,6))</f>
        <v/>
      </c>
      <c r="BF477" s="68" t="str">
        <f>IF(main!BR480="","",ROUND(main!BR480*100,6))</f>
        <v/>
      </c>
      <c r="BG477" s="68" t="str">
        <f>IF(main!BS480="","",ROUND(main!BS480*100,6))</f>
        <v/>
      </c>
      <c r="BH477" s="68" t="str">
        <f>IF(main!BT480="","",ROUND(main!BT480*100,6))</f>
        <v/>
      </c>
      <c r="BI477" s="68" t="str">
        <f>IF(main!BU480="","",ROUND(main!BU480*100,6))</f>
        <v/>
      </c>
      <c r="BJ477" s="68" t="str">
        <f>IF(main!BV480="","",ROUND(main!BV480*100,6))</f>
        <v/>
      </c>
      <c r="BK477" s="68" t="str">
        <f>IF(main!BW480="","",ROUND(main!BW480*100,6))</f>
        <v/>
      </c>
      <c r="BL477" s="68" t="str">
        <f>IF(main!BX480="","",ROUND(main!BX480*100,6))</f>
        <v/>
      </c>
      <c r="BM477" s="68" t="str">
        <f>IF(main!BY480="","",ROUND(main!BY480*100,6))</f>
        <v/>
      </c>
      <c r="BN477" s="68" t="str">
        <f>IF(main!BZ480="","",ROUND(main!BZ480*100,6))</f>
        <v/>
      </c>
      <c r="BO477" s="68" t="str">
        <f>IF(main!CA480="","",ROUND(main!CA480*100,6))</f>
        <v/>
      </c>
      <c r="BP477" s="68" t="str">
        <f>IF(main!CB480="","",ROUND(main!CB480*100,6))</f>
        <v/>
      </c>
      <c r="BQ477" s="68" t="str">
        <f>IF(main!CC480="","",ROUND(main!CC480*100,6))</f>
        <v/>
      </c>
      <c r="BR477" s="68" t="str">
        <f>IF(main!CD480="","",ROUND(main!CD480*100,6))</f>
        <v/>
      </c>
      <c r="BS477" s="68" t="str">
        <f>IF(main!CE480="","",ROUND(main!CE480*100,6))</f>
        <v/>
      </c>
      <c r="BT477" s="68" t="str">
        <f>IF(main!CF480="","",ROUND(main!CF480*100,6))</f>
        <v/>
      </c>
      <c r="BU477" s="68" t="str">
        <f>IF(main!CG480="","",ROUND(main!CG480*100,6))</f>
        <v/>
      </c>
      <c r="BV477" s="68" t="str">
        <f>IF(main!CH480="","",ROUND(main!CH480*100,6))</f>
        <v/>
      </c>
      <c r="BW477" s="68" t="str">
        <f>IF(main!CI480="","",ROUND(main!CI480*100,6))</f>
        <v/>
      </c>
      <c r="BX477" s="68" t="str">
        <f>IF(main!CJ480="","",ROUND(main!CJ480*100,6))</f>
        <v/>
      </c>
      <c r="BY477" s="68" t="str">
        <f>IF(main!CK480="","",ROUND(main!CK480*100,6))</f>
        <v/>
      </c>
      <c r="BZ477" s="68" t="str">
        <f>IF(main!CL480="","",ROUND(main!CL480*100,6))</f>
        <v/>
      </c>
      <c r="CA477" s="68" t="str">
        <f>IF(main!CM480="","",ROUND(main!CM480*100,6))</f>
        <v/>
      </c>
      <c r="CB477" s="68" t="str">
        <f>IF(main!CN480="","",ROUND(main!CN480*100,6))</f>
        <v/>
      </c>
      <c r="CC477" s="68" t="str">
        <f>IF(main!CO480="","",ROUND(main!CO480*100,6))</f>
        <v/>
      </c>
    </row>
    <row r="478" spans="1:81" x14ac:dyDescent="0.25">
      <c r="A478" s="65" t="s">
        <v>644</v>
      </c>
      <c r="B478" s="66" t="str">
        <f>main!C481</f>
        <v>คุรุภัณฑ์ลอยตัว</v>
      </c>
      <c r="C478" s="67">
        <f>main!O481</f>
        <v>100000</v>
      </c>
      <c r="D478" s="65" t="s">
        <v>110</v>
      </c>
      <c r="E478" s="68">
        <f t="shared" si="7"/>
        <v>100.000001</v>
      </c>
      <c r="F478" s="68" t="str">
        <f>IF(main!R481="","",ROUND(main!R481*100,6))</f>
        <v/>
      </c>
      <c r="G478" s="68" t="str">
        <f>IF(main!S481="","",ROUND(main!S481*100,6))</f>
        <v/>
      </c>
      <c r="H478" s="68" t="str">
        <f>IF(main!T481="","",ROUND(main!T481*100,6))</f>
        <v/>
      </c>
      <c r="I478" s="68" t="str">
        <f>IF(main!U481="","",ROUND(main!U481*100,6))</f>
        <v/>
      </c>
      <c r="J478" s="68" t="str">
        <f>IF(main!V481="","",ROUND(main!V481*100,6))</f>
        <v/>
      </c>
      <c r="K478" s="68" t="str">
        <f>IF(main!W481="","",ROUND(main!W481*100,6))</f>
        <v/>
      </c>
      <c r="L478" s="68" t="str">
        <f>IF(main!X481="","",ROUND(main!X481*100,6))</f>
        <v/>
      </c>
      <c r="M478" s="68" t="str">
        <f>IF(main!Y481="","",ROUND(main!Y481*100,6))</f>
        <v/>
      </c>
      <c r="N478" s="68" t="str">
        <f>IF(main!Z481="","",ROUND(main!Z481*100,6))</f>
        <v/>
      </c>
      <c r="O478" s="68" t="str">
        <f>IF(main!AA481="","",ROUND(main!AA481*100,6))</f>
        <v/>
      </c>
      <c r="P478" s="68" t="str">
        <f>IF(main!AB481="","",ROUND(main!AB481*100,6))</f>
        <v/>
      </c>
      <c r="Q478" s="68" t="str">
        <f>IF(main!AC481="","",ROUND(main!AC481*100,6))</f>
        <v/>
      </c>
      <c r="R478" s="68" t="str">
        <f>IF(main!AD481="","",ROUND(main!AD481*100,6))</f>
        <v/>
      </c>
      <c r="S478" s="68" t="str">
        <f>IF(main!AE481="","",ROUND(main!AE481*100,6))</f>
        <v/>
      </c>
      <c r="T478" s="68" t="str">
        <f>IF(main!AF481="","",ROUND(main!AF481*100,6))</f>
        <v/>
      </c>
      <c r="U478" s="68" t="str">
        <f>IF(main!AG481="","",ROUND(main!AG481*100,6))</f>
        <v/>
      </c>
      <c r="V478" s="68" t="str">
        <f>IF(main!AH481="","",ROUND(main!AH481*100,6))</f>
        <v/>
      </c>
      <c r="W478" s="68" t="str">
        <f>IF(main!AI481="","",ROUND(main!AI481*100,6))</f>
        <v/>
      </c>
      <c r="X478" s="68" t="str">
        <f>IF(main!AJ481="","",ROUND(main!AJ481*100,6))</f>
        <v/>
      </c>
      <c r="Y478" s="68" t="str">
        <f>IF(main!AK481="","",ROUND(main!AK481*100,6))</f>
        <v/>
      </c>
      <c r="Z478" s="68" t="str">
        <f>IF(main!AL481="","",ROUND(main!AL481*100,6))</f>
        <v/>
      </c>
      <c r="AA478" s="68" t="str">
        <f>IF(main!AM481="","",ROUND(main!AM481*100,6))</f>
        <v/>
      </c>
      <c r="AB478" s="68" t="str">
        <f>IF(main!AN481="","",ROUND(main!AN481*100,6))</f>
        <v/>
      </c>
      <c r="AC478" s="68" t="str">
        <f>IF(main!AO481="","",ROUND(main!AO481*100,6))</f>
        <v/>
      </c>
      <c r="AD478" s="68" t="str">
        <f>IF(main!AP481="","",ROUND(main!AP481*100,6))</f>
        <v/>
      </c>
      <c r="AE478" s="68" t="str">
        <f>IF(main!AQ481="","",ROUND(main!AQ481*100,6))</f>
        <v/>
      </c>
      <c r="AF478" s="68" t="str">
        <f>IF(main!AR481="","",ROUND(main!AR481*100,6))</f>
        <v/>
      </c>
      <c r="AG478" s="68" t="str">
        <f>IF(main!AS481="","",ROUND(main!AS481*100,6))</f>
        <v/>
      </c>
      <c r="AH478" s="68" t="str">
        <f>IF(main!AT481="","",ROUND(main!AT481*100,6))</f>
        <v/>
      </c>
      <c r="AI478" s="68" t="str">
        <f>IF(main!AU481="","",ROUND(main!AU481*100,6))</f>
        <v/>
      </c>
      <c r="AJ478" s="68" t="str">
        <f>IF(main!AV481="","",ROUND(main!AV481*100,6))</f>
        <v/>
      </c>
      <c r="AK478" s="68" t="str">
        <f>IF(main!AW481="","",ROUND(main!AW481*100,6))</f>
        <v/>
      </c>
      <c r="AL478" s="68" t="str">
        <f>IF(main!AX481="","",ROUND(main!AX481*100,6))</f>
        <v/>
      </c>
      <c r="AM478" s="68" t="str">
        <f>IF(main!AY481="","",ROUND(main!AY481*100,6))</f>
        <v/>
      </c>
      <c r="AN478" s="68" t="str">
        <f>IF(main!AZ481="","",ROUND(main!AZ481*100,6))</f>
        <v/>
      </c>
      <c r="AO478" s="68" t="str">
        <f>IF(main!BA481="","",ROUND(main!BA481*100,6))</f>
        <v/>
      </c>
      <c r="AP478" s="68" t="str">
        <f>IF(main!BB481="","",ROUND(main!BB481*100,6))</f>
        <v/>
      </c>
      <c r="AQ478" s="68" t="str">
        <f>IF(main!BC481="","",ROUND(main!BC481*100,6))</f>
        <v/>
      </c>
      <c r="AR478" s="68" t="str">
        <f>IF(main!BD481="","",ROUND(main!BD481*100,6))</f>
        <v/>
      </c>
      <c r="AS478" s="68" t="str">
        <f>IF(main!BE481="","",ROUND(main!BE481*100,6))</f>
        <v/>
      </c>
      <c r="AT478" s="68" t="str">
        <f>IF(main!BF481="","",ROUND(main!BF481*100,6))</f>
        <v/>
      </c>
      <c r="AU478" s="68" t="str">
        <f>IF(main!BG481="","",ROUND(main!BG481*100,6))</f>
        <v/>
      </c>
      <c r="AV478" s="68" t="str">
        <f>IF(main!BH481="","",ROUND(main!BH481*100,6))</f>
        <v/>
      </c>
      <c r="AW478" s="68" t="str">
        <f>IF(main!BI481="","",ROUND(main!BI481*100,6))</f>
        <v/>
      </c>
      <c r="AX478" s="68" t="str">
        <f>IF(main!BJ481="","",ROUND(main!BJ481*100,6))</f>
        <v/>
      </c>
      <c r="AY478" s="68" t="str">
        <f>IF(main!BK481="","",ROUND(main!BK481*100,6))</f>
        <v/>
      </c>
      <c r="AZ478" s="68" t="str">
        <f>IF(main!BL481="","",ROUND(main!BL481*100,6))</f>
        <v/>
      </c>
      <c r="BA478" s="68" t="str">
        <f>IF(main!BM481="","",ROUND(main!BM481*100,6))</f>
        <v/>
      </c>
      <c r="BB478" s="68" t="str">
        <f>IF(main!BN481="","",ROUND(main!BN481*100,6))</f>
        <v/>
      </c>
      <c r="BC478" s="68" t="str">
        <f>IF(main!BO481="","",ROUND(main!BO481*100,6))</f>
        <v/>
      </c>
      <c r="BD478" s="68" t="str">
        <f>IF(main!BP481="","",ROUND(main!BP481*100,6))</f>
        <v/>
      </c>
      <c r="BE478" s="68" t="str">
        <f>IF(main!BQ481="","",ROUND(main!BQ481*100,6))</f>
        <v/>
      </c>
      <c r="BF478" s="68" t="str">
        <f>IF(main!BR481="","",ROUND(main!BR481*100,6))</f>
        <v/>
      </c>
      <c r="BG478" s="68" t="str">
        <f>IF(main!BS481="","",ROUND(main!BS481*100,6))</f>
        <v/>
      </c>
      <c r="BH478" s="68">
        <f>IF(main!BT481="","",ROUND(main!BT481*100,6))</f>
        <v>8.1967210000000001</v>
      </c>
      <c r="BI478" s="68">
        <f>IF(main!BU481="","",ROUND(main!BU481*100,6))</f>
        <v>11.47541</v>
      </c>
      <c r="BJ478" s="68">
        <f>IF(main!BV481="","",ROUND(main!BV481*100,6))</f>
        <v>11.47541</v>
      </c>
      <c r="BK478" s="68">
        <f>IF(main!BW481="","",ROUND(main!BW481*100,6))</f>
        <v>11.47541</v>
      </c>
      <c r="BL478" s="68">
        <f>IF(main!BX481="","",ROUND(main!BX481*100,6))</f>
        <v>11.47541</v>
      </c>
      <c r="BM478" s="68">
        <f>IF(main!BY481="","",ROUND(main!BY481*100,6))</f>
        <v>11.47541</v>
      </c>
      <c r="BN478" s="68">
        <f>IF(main!BZ481="","",ROUND(main!BZ481*100,6))</f>
        <v>11.47541</v>
      </c>
      <c r="BO478" s="68">
        <f>IF(main!CA481="","",ROUND(main!CA481*100,6))</f>
        <v>11.47541</v>
      </c>
      <c r="BP478" s="68">
        <f>IF(main!CB481="","",ROUND(main!CB481*100,6))</f>
        <v>11.47541</v>
      </c>
      <c r="BQ478" s="68" t="str">
        <f>IF(main!CC481="","",ROUND(main!CC481*100,6))</f>
        <v/>
      </c>
      <c r="BR478" s="68" t="str">
        <f>IF(main!CD481="","",ROUND(main!CD481*100,6))</f>
        <v/>
      </c>
      <c r="BS478" s="68" t="str">
        <f>IF(main!CE481="","",ROUND(main!CE481*100,6))</f>
        <v/>
      </c>
      <c r="BT478" s="68" t="str">
        <f>IF(main!CF481="","",ROUND(main!CF481*100,6))</f>
        <v/>
      </c>
      <c r="BU478" s="68" t="str">
        <f>IF(main!CG481="","",ROUND(main!CG481*100,6))</f>
        <v/>
      </c>
      <c r="BV478" s="68" t="str">
        <f>IF(main!CH481="","",ROUND(main!CH481*100,6))</f>
        <v/>
      </c>
      <c r="BW478" s="68" t="str">
        <f>IF(main!CI481="","",ROUND(main!CI481*100,6))</f>
        <v/>
      </c>
      <c r="BX478" s="68" t="str">
        <f>IF(main!CJ481="","",ROUND(main!CJ481*100,6))</f>
        <v/>
      </c>
      <c r="BY478" s="68" t="str">
        <f>IF(main!CK481="","",ROUND(main!CK481*100,6))</f>
        <v/>
      </c>
      <c r="BZ478" s="68" t="str">
        <f>IF(main!CL481="","",ROUND(main!CL481*100,6))</f>
        <v/>
      </c>
      <c r="CA478" s="68" t="str">
        <f>IF(main!CM481="","",ROUND(main!CM481*100,6))</f>
        <v/>
      </c>
      <c r="CB478" s="68" t="str">
        <f>IF(main!CN481="","",ROUND(main!CN481*100,6))</f>
        <v/>
      </c>
      <c r="CC478" s="68" t="str">
        <f>IF(main!CO481="","",ROUND(main!CO481*100,6))</f>
        <v/>
      </c>
    </row>
    <row r="479" spans="1:81" x14ac:dyDescent="0.25">
      <c r="A479" s="65" t="s">
        <v>644</v>
      </c>
      <c r="B479" s="66" t="str">
        <f>main!C481</f>
        <v>คุรุภัณฑ์ลอยตัว</v>
      </c>
      <c r="C479" s="67">
        <f>main!O481</f>
        <v>100000</v>
      </c>
      <c r="D479" s="65" t="s">
        <v>111</v>
      </c>
      <c r="E479" s="68" t="str">
        <f t="shared" si="7"/>
        <v/>
      </c>
      <c r="F479" s="68" t="str">
        <f>IF(main!R482="","",ROUND(main!R482*100,6))</f>
        <v/>
      </c>
      <c r="G479" s="68" t="str">
        <f>IF(main!S482="","",ROUND(main!S482*100,6))</f>
        <v/>
      </c>
      <c r="H479" s="68" t="str">
        <f>IF(main!T482="","",ROUND(main!T482*100,6))</f>
        <v/>
      </c>
      <c r="I479" s="68" t="str">
        <f>IF(main!U482="","",ROUND(main!U482*100,6))</f>
        <v/>
      </c>
      <c r="J479" s="68" t="str">
        <f>IF(main!V482="","",ROUND(main!V482*100,6))</f>
        <v/>
      </c>
      <c r="K479" s="68" t="str">
        <f>IF(main!W482="","",ROUND(main!W482*100,6))</f>
        <v/>
      </c>
      <c r="L479" s="68" t="str">
        <f>IF(main!X482="","",ROUND(main!X482*100,6))</f>
        <v/>
      </c>
      <c r="M479" s="68" t="str">
        <f>IF(main!Y482="","",ROUND(main!Y482*100,6))</f>
        <v/>
      </c>
      <c r="N479" s="68" t="str">
        <f>IF(main!Z482="","",ROUND(main!Z482*100,6))</f>
        <v/>
      </c>
      <c r="O479" s="68" t="str">
        <f>IF(main!AA482="","",ROUND(main!AA482*100,6))</f>
        <v/>
      </c>
      <c r="P479" s="68" t="str">
        <f>IF(main!AB482="","",ROUND(main!AB482*100,6))</f>
        <v/>
      </c>
      <c r="Q479" s="68" t="str">
        <f>IF(main!AC482="","",ROUND(main!AC482*100,6))</f>
        <v/>
      </c>
      <c r="R479" s="68" t="str">
        <f>IF(main!AD482="","",ROUND(main!AD482*100,6))</f>
        <v/>
      </c>
      <c r="S479" s="68" t="str">
        <f>IF(main!AE482="","",ROUND(main!AE482*100,6))</f>
        <v/>
      </c>
      <c r="T479" s="68" t="str">
        <f>IF(main!AF482="","",ROUND(main!AF482*100,6))</f>
        <v/>
      </c>
      <c r="U479" s="68" t="str">
        <f>IF(main!AG482="","",ROUND(main!AG482*100,6))</f>
        <v/>
      </c>
      <c r="V479" s="68" t="str">
        <f>IF(main!AH482="","",ROUND(main!AH482*100,6))</f>
        <v/>
      </c>
      <c r="W479" s="68" t="str">
        <f>IF(main!AI482="","",ROUND(main!AI482*100,6))</f>
        <v/>
      </c>
      <c r="X479" s="68" t="str">
        <f>IF(main!AJ482="","",ROUND(main!AJ482*100,6))</f>
        <v/>
      </c>
      <c r="Y479" s="68" t="str">
        <f>IF(main!AK482="","",ROUND(main!AK482*100,6))</f>
        <v/>
      </c>
      <c r="Z479" s="68" t="str">
        <f>IF(main!AL482="","",ROUND(main!AL482*100,6))</f>
        <v/>
      </c>
      <c r="AA479" s="68" t="str">
        <f>IF(main!AM482="","",ROUND(main!AM482*100,6))</f>
        <v/>
      </c>
      <c r="AB479" s="68" t="str">
        <f>IF(main!AN482="","",ROUND(main!AN482*100,6))</f>
        <v/>
      </c>
      <c r="AC479" s="68" t="str">
        <f>IF(main!AO482="","",ROUND(main!AO482*100,6))</f>
        <v/>
      </c>
      <c r="AD479" s="68" t="str">
        <f>IF(main!AP482="","",ROUND(main!AP482*100,6))</f>
        <v/>
      </c>
      <c r="AE479" s="68" t="str">
        <f>IF(main!AQ482="","",ROUND(main!AQ482*100,6))</f>
        <v/>
      </c>
      <c r="AF479" s="68" t="str">
        <f>IF(main!AR482="","",ROUND(main!AR482*100,6))</f>
        <v/>
      </c>
      <c r="AG479" s="68" t="str">
        <f>IF(main!AS482="","",ROUND(main!AS482*100,6))</f>
        <v/>
      </c>
      <c r="AH479" s="68" t="str">
        <f>IF(main!AT482="","",ROUND(main!AT482*100,6))</f>
        <v/>
      </c>
      <c r="AI479" s="68" t="str">
        <f>IF(main!AU482="","",ROUND(main!AU482*100,6))</f>
        <v/>
      </c>
      <c r="AJ479" s="68" t="str">
        <f>IF(main!AV482="","",ROUND(main!AV482*100,6))</f>
        <v/>
      </c>
      <c r="AK479" s="68" t="str">
        <f>IF(main!AW482="","",ROUND(main!AW482*100,6))</f>
        <v/>
      </c>
      <c r="AL479" s="68" t="str">
        <f>IF(main!AX482="","",ROUND(main!AX482*100,6))</f>
        <v/>
      </c>
      <c r="AM479" s="68" t="str">
        <f>IF(main!AY482="","",ROUND(main!AY482*100,6))</f>
        <v/>
      </c>
      <c r="AN479" s="68" t="str">
        <f>IF(main!AZ482="","",ROUND(main!AZ482*100,6))</f>
        <v/>
      </c>
      <c r="AO479" s="68" t="str">
        <f>IF(main!BA482="","",ROUND(main!BA482*100,6))</f>
        <v/>
      </c>
      <c r="AP479" s="68" t="str">
        <f>IF(main!BB482="","",ROUND(main!BB482*100,6))</f>
        <v/>
      </c>
      <c r="AQ479" s="68" t="str">
        <f>IF(main!BC482="","",ROUND(main!BC482*100,6))</f>
        <v/>
      </c>
      <c r="AR479" s="68" t="str">
        <f>IF(main!BD482="","",ROUND(main!BD482*100,6))</f>
        <v/>
      </c>
      <c r="AS479" s="68" t="str">
        <f>IF(main!BE482="","",ROUND(main!BE482*100,6))</f>
        <v/>
      </c>
      <c r="AT479" s="68" t="str">
        <f>IF(main!BF482="","",ROUND(main!BF482*100,6))</f>
        <v/>
      </c>
      <c r="AU479" s="68" t="str">
        <f>IF(main!BG482="","",ROUND(main!BG482*100,6))</f>
        <v/>
      </c>
      <c r="AV479" s="68" t="str">
        <f>IF(main!BH482="","",ROUND(main!BH482*100,6))</f>
        <v/>
      </c>
      <c r="AW479" s="68" t="str">
        <f>IF(main!BI482="","",ROUND(main!BI482*100,6))</f>
        <v/>
      </c>
      <c r="AX479" s="68" t="str">
        <f>IF(main!BJ482="","",ROUND(main!BJ482*100,6))</f>
        <v/>
      </c>
      <c r="AY479" s="68" t="str">
        <f>IF(main!BK482="","",ROUND(main!BK482*100,6))</f>
        <v/>
      </c>
      <c r="AZ479" s="68" t="str">
        <f>IF(main!BL482="","",ROUND(main!BL482*100,6))</f>
        <v/>
      </c>
      <c r="BA479" s="68" t="str">
        <f>IF(main!BM482="","",ROUND(main!BM482*100,6))</f>
        <v/>
      </c>
      <c r="BB479" s="68" t="str">
        <f>IF(main!BN482="","",ROUND(main!BN482*100,6))</f>
        <v/>
      </c>
      <c r="BC479" s="68" t="str">
        <f>IF(main!BO482="","",ROUND(main!BO482*100,6))</f>
        <v/>
      </c>
      <c r="BD479" s="68" t="str">
        <f>IF(main!BP482="","",ROUND(main!BP482*100,6))</f>
        <v/>
      </c>
      <c r="BE479" s="68" t="str">
        <f>IF(main!BQ482="","",ROUND(main!BQ482*100,6))</f>
        <v/>
      </c>
      <c r="BF479" s="68" t="str">
        <f>IF(main!BR482="","",ROUND(main!BR482*100,6))</f>
        <v/>
      </c>
      <c r="BG479" s="68" t="str">
        <f>IF(main!BS482="","",ROUND(main!BS482*100,6))</f>
        <v/>
      </c>
      <c r="BH479" s="68" t="str">
        <f>IF(main!BT482="","",ROUND(main!BT482*100,6))</f>
        <v/>
      </c>
      <c r="BI479" s="68" t="str">
        <f>IF(main!BU482="","",ROUND(main!BU482*100,6))</f>
        <v/>
      </c>
      <c r="BJ479" s="68" t="str">
        <f>IF(main!BV482="","",ROUND(main!BV482*100,6))</f>
        <v/>
      </c>
      <c r="BK479" s="68" t="str">
        <f>IF(main!BW482="","",ROUND(main!BW482*100,6))</f>
        <v/>
      </c>
      <c r="BL479" s="68" t="str">
        <f>IF(main!BX482="","",ROUND(main!BX482*100,6))</f>
        <v/>
      </c>
      <c r="BM479" s="68" t="str">
        <f>IF(main!BY482="","",ROUND(main!BY482*100,6))</f>
        <v/>
      </c>
      <c r="BN479" s="68" t="str">
        <f>IF(main!BZ482="","",ROUND(main!BZ482*100,6))</f>
        <v/>
      </c>
      <c r="BO479" s="68" t="str">
        <f>IF(main!CA482="","",ROUND(main!CA482*100,6))</f>
        <v/>
      </c>
      <c r="BP479" s="68" t="str">
        <f>IF(main!CB482="","",ROUND(main!CB482*100,6))</f>
        <v/>
      </c>
      <c r="BQ479" s="68" t="str">
        <f>IF(main!CC482="","",ROUND(main!CC482*100,6))</f>
        <v/>
      </c>
      <c r="BR479" s="68" t="str">
        <f>IF(main!CD482="","",ROUND(main!CD482*100,6))</f>
        <v/>
      </c>
      <c r="BS479" s="68" t="str">
        <f>IF(main!CE482="","",ROUND(main!CE482*100,6))</f>
        <v/>
      </c>
      <c r="BT479" s="68" t="str">
        <f>IF(main!CF482="","",ROUND(main!CF482*100,6))</f>
        <v/>
      </c>
      <c r="BU479" s="68" t="str">
        <f>IF(main!CG482="","",ROUND(main!CG482*100,6))</f>
        <v/>
      </c>
      <c r="BV479" s="68" t="str">
        <f>IF(main!CH482="","",ROUND(main!CH482*100,6))</f>
        <v/>
      </c>
      <c r="BW479" s="68" t="str">
        <f>IF(main!CI482="","",ROUND(main!CI482*100,6))</f>
        <v/>
      </c>
      <c r="BX479" s="68" t="str">
        <f>IF(main!CJ482="","",ROUND(main!CJ482*100,6))</f>
        <v/>
      </c>
      <c r="BY479" s="68" t="str">
        <f>IF(main!CK482="","",ROUND(main!CK482*100,6))</f>
        <v/>
      </c>
      <c r="BZ479" s="68" t="str">
        <f>IF(main!CL482="","",ROUND(main!CL482*100,6))</f>
        <v/>
      </c>
      <c r="CA479" s="68" t="str">
        <f>IF(main!CM482="","",ROUND(main!CM482*100,6))</f>
        <v/>
      </c>
      <c r="CB479" s="68" t="str">
        <f>IF(main!CN482="","",ROUND(main!CN482*100,6))</f>
        <v/>
      </c>
      <c r="CC479" s="68" t="str">
        <f>IF(main!CO482="","",ROUND(main!CO482*100,6))</f>
        <v/>
      </c>
    </row>
    <row r="480" spans="1:81" x14ac:dyDescent="0.25">
      <c r="A480" s="65" t="s">
        <v>647</v>
      </c>
      <c r="B480" s="66" t="str">
        <f>main!C483</f>
        <v>Signage</v>
      </c>
      <c r="C480" s="67">
        <f>main!O483</f>
        <v>100000</v>
      </c>
      <c r="D480" s="65" t="s">
        <v>110</v>
      </c>
      <c r="E480" s="68">
        <f t="shared" si="7"/>
        <v>100</v>
      </c>
      <c r="F480" s="68" t="str">
        <f>IF(main!R483="","",ROUND(main!R483*100,6))</f>
        <v/>
      </c>
      <c r="G480" s="68" t="str">
        <f>IF(main!S483="","",ROUND(main!S483*100,6))</f>
        <v/>
      </c>
      <c r="H480" s="68" t="str">
        <f>IF(main!T483="","",ROUND(main!T483*100,6))</f>
        <v/>
      </c>
      <c r="I480" s="68" t="str">
        <f>IF(main!U483="","",ROUND(main!U483*100,6))</f>
        <v/>
      </c>
      <c r="J480" s="68" t="str">
        <f>IF(main!V483="","",ROUND(main!V483*100,6))</f>
        <v/>
      </c>
      <c r="K480" s="68" t="str">
        <f>IF(main!W483="","",ROUND(main!W483*100,6))</f>
        <v/>
      </c>
      <c r="L480" s="68" t="str">
        <f>IF(main!X483="","",ROUND(main!X483*100,6))</f>
        <v/>
      </c>
      <c r="M480" s="68" t="str">
        <f>IF(main!Y483="","",ROUND(main!Y483*100,6))</f>
        <v/>
      </c>
      <c r="N480" s="68" t="str">
        <f>IF(main!Z483="","",ROUND(main!Z483*100,6))</f>
        <v/>
      </c>
      <c r="O480" s="68" t="str">
        <f>IF(main!AA483="","",ROUND(main!AA483*100,6))</f>
        <v/>
      </c>
      <c r="P480" s="68" t="str">
        <f>IF(main!AB483="","",ROUND(main!AB483*100,6))</f>
        <v/>
      </c>
      <c r="Q480" s="68" t="str">
        <f>IF(main!AC483="","",ROUND(main!AC483*100,6))</f>
        <v/>
      </c>
      <c r="R480" s="68" t="str">
        <f>IF(main!AD483="","",ROUND(main!AD483*100,6))</f>
        <v/>
      </c>
      <c r="S480" s="68" t="str">
        <f>IF(main!AE483="","",ROUND(main!AE483*100,6))</f>
        <v/>
      </c>
      <c r="T480" s="68" t="str">
        <f>IF(main!AF483="","",ROUND(main!AF483*100,6))</f>
        <v/>
      </c>
      <c r="U480" s="68" t="str">
        <f>IF(main!AG483="","",ROUND(main!AG483*100,6))</f>
        <v/>
      </c>
      <c r="V480" s="68" t="str">
        <f>IF(main!AH483="","",ROUND(main!AH483*100,6))</f>
        <v/>
      </c>
      <c r="W480" s="68" t="str">
        <f>IF(main!AI483="","",ROUND(main!AI483*100,6))</f>
        <v/>
      </c>
      <c r="X480" s="68" t="str">
        <f>IF(main!AJ483="","",ROUND(main!AJ483*100,6))</f>
        <v/>
      </c>
      <c r="Y480" s="68" t="str">
        <f>IF(main!AK483="","",ROUND(main!AK483*100,6))</f>
        <v/>
      </c>
      <c r="Z480" s="68" t="str">
        <f>IF(main!AL483="","",ROUND(main!AL483*100,6))</f>
        <v/>
      </c>
      <c r="AA480" s="68" t="str">
        <f>IF(main!AM483="","",ROUND(main!AM483*100,6))</f>
        <v/>
      </c>
      <c r="AB480" s="68" t="str">
        <f>IF(main!AN483="","",ROUND(main!AN483*100,6))</f>
        <v/>
      </c>
      <c r="AC480" s="68" t="str">
        <f>IF(main!AO483="","",ROUND(main!AO483*100,6))</f>
        <v/>
      </c>
      <c r="AD480" s="68" t="str">
        <f>IF(main!AP483="","",ROUND(main!AP483*100,6))</f>
        <v/>
      </c>
      <c r="AE480" s="68" t="str">
        <f>IF(main!AQ483="","",ROUND(main!AQ483*100,6))</f>
        <v/>
      </c>
      <c r="AF480" s="68" t="str">
        <f>IF(main!AR483="","",ROUND(main!AR483*100,6))</f>
        <v/>
      </c>
      <c r="AG480" s="68" t="str">
        <f>IF(main!AS483="","",ROUND(main!AS483*100,6))</f>
        <v/>
      </c>
      <c r="AH480" s="68" t="str">
        <f>IF(main!AT483="","",ROUND(main!AT483*100,6))</f>
        <v/>
      </c>
      <c r="AI480" s="68" t="str">
        <f>IF(main!AU483="","",ROUND(main!AU483*100,6))</f>
        <v/>
      </c>
      <c r="AJ480" s="68" t="str">
        <f>IF(main!AV483="","",ROUND(main!AV483*100,6))</f>
        <v/>
      </c>
      <c r="AK480" s="68" t="str">
        <f>IF(main!AW483="","",ROUND(main!AW483*100,6))</f>
        <v/>
      </c>
      <c r="AL480" s="68" t="str">
        <f>IF(main!AX483="","",ROUND(main!AX483*100,6))</f>
        <v/>
      </c>
      <c r="AM480" s="68" t="str">
        <f>IF(main!AY483="","",ROUND(main!AY483*100,6))</f>
        <v/>
      </c>
      <c r="AN480" s="68" t="str">
        <f>IF(main!AZ483="","",ROUND(main!AZ483*100,6))</f>
        <v/>
      </c>
      <c r="AO480" s="68" t="str">
        <f>IF(main!BA483="","",ROUND(main!BA483*100,6))</f>
        <v/>
      </c>
      <c r="AP480" s="68" t="str">
        <f>IF(main!BB483="","",ROUND(main!BB483*100,6))</f>
        <v/>
      </c>
      <c r="AQ480" s="68" t="str">
        <f>IF(main!BC483="","",ROUND(main!BC483*100,6))</f>
        <v/>
      </c>
      <c r="AR480" s="68" t="str">
        <f>IF(main!BD483="","",ROUND(main!BD483*100,6))</f>
        <v/>
      </c>
      <c r="AS480" s="68" t="str">
        <f>IF(main!BE483="","",ROUND(main!BE483*100,6))</f>
        <v/>
      </c>
      <c r="AT480" s="68" t="str">
        <f>IF(main!BF483="","",ROUND(main!BF483*100,6))</f>
        <v/>
      </c>
      <c r="AU480" s="68" t="str">
        <f>IF(main!BG483="","",ROUND(main!BG483*100,6))</f>
        <v/>
      </c>
      <c r="AV480" s="68" t="str">
        <f>IF(main!BH483="","",ROUND(main!BH483*100,6))</f>
        <v/>
      </c>
      <c r="AW480" s="68" t="str">
        <f>IF(main!BI483="","",ROUND(main!BI483*100,6))</f>
        <v/>
      </c>
      <c r="AX480" s="68" t="str">
        <f>IF(main!BJ483="","",ROUND(main!BJ483*100,6))</f>
        <v/>
      </c>
      <c r="AY480" s="68" t="str">
        <f>IF(main!BK483="","",ROUND(main!BK483*100,6))</f>
        <v/>
      </c>
      <c r="AZ480" s="68" t="str">
        <f>IF(main!BL483="","",ROUND(main!BL483*100,6))</f>
        <v/>
      </c>
      <c r="BA480" s="68" t="str">
        <f>IF(main!BM483="","",ROUND(main!BM483*100,6))</f>
        <v/>
      </c>
      <c r="BB480" s="68" t="str">
        <f>IF(main!BN483="","",ROUND(main!BN483*100,6))</f>
        <v/>
      </c>
      <c r="BC480" s="68" t="str">
        <f>IF(main!BO483="","",ROUND(main!BO483*100,6))</f>
        <v/>
      </c>
      <c r="BD480" s="68" t="str">
        <f>IF(main!BP483="","",ROUND(main!BP483*100,6))</f>
        <v/>
      </c>
      <c r="BE480" s="68" t="str">
        <f>IF(main!BQ483="","",ROUND(main!BQ483*100,6))</f>
        <v/>
      </c>
      <c r="BF480" s="68" t="str">
        <f>IF(main!BR483="","",ROUND(main!BR483*100,6))</f>
        <v/>
      </c>
      <c r="BG480" s="68" t="str">
        <f>IF(main!BS483="","",ROUND(main!BS483*100,6))</f>
        <v/>
      </c>
      <c r="BH480" s="68">
        <f>IF(main!BT483="","",ROUND(main!BT483*100,6))</f>
        <v>12.5</v>
      </c>
      <c r="BI480" s="68">
        <f>IF(main!BU483="","",ROUND(main!BU483*100,6))</f>
        <v>17.5</v>
      </c>
      <c r="BJ480" s="68">
        <f>IF(main!BV483="","",ROUND(main!BV483*100,6))</f>
        <v>17.5</v>
      </c>
      <c r="BK480" s="68">
        <f>IF(main!BW483="","",ROUND(main!BW483*100,6))</f>
        <v>17.5</v>
      </c>
      <c r="BL480" s="68">
        <f>IF(main!BX483="","",ROUND(main!BX483*100,6))</f>
        <v>17.5</v>
      </c>
      <c r="BM480" s="68">
        <f>IF(main!BY483="","",ROUND(main!BY483*100,6))</f>
        <v>17.5</v>
      </c>
      <c r="BN480" s="68" t="str">
        <f>IF(main!BZ483="","",ROUND(main!BZ483*100,6))</f>
        <v/>
      </c>
      <c r="BO480" s="68" t="str">
        <f>IF(main!CA483="","",ROUND(main!CA483*100,6))</f>
        <v/>
      </c>
      <c r="BP480" s="68" t="str">
        <f>IF(main!CB483="","",ROUND(main!CB483*100,6))</f>
        <v/>
      </c>
      <c r="BQ480" s="68" t="str">
        <f>IF(main!CC483="","",ROUND(main!CC483*100,6))</f>
        <v/>
      </c>
      <c r="BR480" s="68" t="str">
        <f>IF(main!CD483="","",ROUND(main!CD483*100,6))</f>
        <v/>
      </c>
      <c r="BS480" s="68" t="str">
        <f>IF(main!CE483="","",ROUND(main!CE483*100,6))</f>
        <v/>
      </c>
      <c r="BT480" s="68" t="str">
        <f>IF(main!CF483="","",ROUND(main!CF483*100,6))</f>
        <v/>
      </c>
      <c r="BU480" s="68" t="str">
        <f>IF(main!CG483="","",ROUND(main!CG483*100,6))</f>
        <v/>
      </c>
      <c r="BV480" s="68" t="str">
        <f>IF(main!CH483="","",ROUND(main!CH483*100,6))</f>
        <v/>
      </c>
      <c r="BW480" s="68" t="str">
        <f>IF(main!CI483="","",ROUND(main!CI483*100,6))</f>
        <v/>
      </c>
      <c r="BX480" s="68" t="str">
        <f>IF(main!CJ483="","",ROUND(main!CJ483*100,6))</f>
        <v/>
      </c>
      <c r="BY480" s="68" t="str">
        <f>IF(main!CK483="","",ROUND(main!CK483*100,6))</f>
        <v/>
      </c>
      <c r="BZ480" s="68" t="str">
        <f>IF(main!CL483="","",ROUND(main!CL483*100,6))</f>
        <v/>
      </c>
      <c r="CA480" s="68" t="str">
        <f>IF(main!CM483="","",ROUND(main!CM483*100,6))</f>
        <v/>
      </c>
      <c r="CB480" s="68" t="str">
        <f>IF(main!CN483="","",ROUND(main!CN483*100,6))</f>
        <v/>
      </c>
      <c r="CC480" s="68" t="str">
        <f>IF(main!CO483="","",ROUND(main!CO483*100,6))</f>
        <v/>
      </c>
    </row>
    <row r="481" spans="1:81" x14ac:dyDescent="0.25">
      <c r="A481" s="65" t="s">
        <v>647</v>
      </c>
      <c r="B481" s="66" t="str">
        <f>main!C483</f>
        <v>Signage</v>
      </c>
      <c r="C481" s="67">
        <f>main!O483</f>
        <v>100000</v>
      </c>
      <c r="D481" s="65" t="s">
        <v>111</v>
      </c>
      <c r="E481" s="68" t="str">
        <f t="shared" si="7"/>
        <v/>
      </c>
      <c r="F481" s="68" t="str">
        <f>IF(main!R484="","",ROUND(main!R484*100,6))</f>
        <v/>
      </c>
      <c r="G481" s="68" t="str">
        <f>IF(main!S484="","",ROUND(main!S484*100,6))</f>
        <v/>
      </c>
      <c r="H481" s="68" t="str">
        <f>IF(main!T484="","",ROUND(main!T484*100,6))</f>
        <v/>
      </c>
      <c r="I481" s="68" t="str">
        <f>IF(main!U484="","",ROUND(main!U484*100,6))</f>
        <v/>
      </c>
      <c r="J481" s="68" t="str">
        <f>IF(main!V484="","",ROUND(main!V484*100,6))</f>
        <v/>
      </c>
      <c r="K481" s="68" t="str">
        <f>IF(main!W484="","",ROUND(main!W484*100,6))</f>
        <v/>
      </c>
      <c r="L481" s="68" t="str">
        <f>IF(main!X484="","",ROUND(main!X484*100,6))</f>
        <v/>
      </c>
      <c r="M481" s="68" t="str">
        <f>IF(main!Y484="","",ROUND(main!Y484*100,6))</f>
        <v/>
      </c>
      <c r="N481" s="68" t="str">
        <f>IF(main!Z484="","",ROUND(main!Z484*100,6))</f>
        <v/>
      </c>
      <c r="O481" s="68" t="str">
        <f>IF(main!AA484="","",ROUND(main!AA484*100,6))</f>
        <v/>
      </c>
      <c r="P481" s="68" t="str">
        <f>IF(main!AB484="","",ROUND(main!AB484*100,6))</f>
        <v/>
      </c>
      <c r="Q481" s="68" t="str">
        <f>IF(main!AC484="","",ROUND(main!AC484*100,6))</f>
        <v/>
      </c>
      <c r="R481" s="68" t="str">
        <f>IF(main!AD484="","",ROUND(main!AD484*100,6))</f>
        <v/>
      </c>
      <c r="S481" s="68" t="str">
        <f>IF(main!AE484="","",ROUND(main!AE484*100,6))</f>
        <v/>
      </c>
      <c r="T481" s="68" t="str">
        <f>IF(main!AF484="","",ROUND(main!AF484*100,6))</f>
        <v/>
      </c>
      <c r="U481" s="68" t="str">
        <f>IF(main!AG484="","",ROUND(main!AG484*100,6))</f>
        <v/>
      </c>
      <c r="V481" s="68" t="str">
        <f>IF(main!AH484="","",ROUND(main!AH484*100,6))</f>
        <v/>
      </c>
      <c r="W481" s="68" t="str">
        <f>IF(main!AI484="","",ROUND(main!AI484*100,6))</f>
        <v/>
      </c>
      <c r="X481" s="68" t="str">
        <f>IF(main!AJ484="","",ROUND(main!AJ484*100,6))</f>
        <v/>
      </c>
      <c r="Y481" s="68" t="str">
        <f>IF(main!AK484="","",ROUND(main!AK484*100,6))</f>
        <v/>
      </c>
      <c r="Z481" s="68" t="str">
        <f>IF(main!AL484="","",ROUND(main!AL484*100,6))</f>
        <v/>
      </c>
      <c r="AA481" s="68" t="str">
        <f>IF(main!AM484="","",ROUND(main!AM484*100,6))</f>
        <v/>
      </c>
      <c r="AB481" s="68" t="str">
        <f>IF(main!AN484="","",ROUND(main!AN484*100,6))</f>
        <v/>
      </c>
      <c r="AC481" s="68" t="str">
        <f>IF(main!AO484="","",ROUND(main!AO484*100,6))</f>
        <v/>
      </c>
      <c r="AD481" s="68" t="str">
        <f>IF(main!AP484="","",ROUND(main!AP484*100,6))</f>
        <v/>
      </c>
      <c r="AE481" s="68" t="str">
        <f>IF(main!AQ484="","",ROUND(main!AQ484*100,6))</f>
        <v/>
      </c>
      <c r="AF481" s="68" t="str">
        <f>IF(main!AR484="","",ROUND(main!AR484*100,6))</f>
        <v/>
      </c>
      <c r="AG481" s="68" t="str">
        <f>IF(main!AS484="","",ROUND(main!AS484*100,6))</f>
        <v/>
      </c>
      <c r="AH481" s="68" t="str">
        <f>IF(main!AT484="","",ROUND(main!AT484*100,6))</f>
        <v/>
      </c>
      <c r="AI481" s="68" t="str">
        <f>IF(main!AU484="","",ROUND(main!AU484*100,6))</f>
        <v/>
      </c>
      <c r="AJ481" s="68" t="str">
        <f>IF(main!AV484="","",ROUND(main!AV484*100,6))</f>
        <v/>
      </c>
      <c r="AK481" s="68" t="str">
        <f>IF(main!AW484="","",ROUND(main!AW484*100,6))</f>
        <v/>
      </c>
      <c r="AL481" s="68" t="str">
        <f>IF(main!AX484="","",ROUND(main!AX484*100,6))</f>
        <v/>
      </c>
      <c r="AM481" s="68" t="str">
        <f>IF(main!AY484="","",ROUND(main!AY484*100,6))</f>
        <v/>
      </c>
      <c r="AN481" s="68" t="str">
        <f>IF(main!AZ484="","",ROUND(main!AZ484*100,6))</f>
        <v/>
      </c>
      <c r="AO481" s="68" t="str">
        <f>IF(main!BA484="","",ROUND(main!BA484*100,6))</f>
        <v/>
      </c>
      <c r="AP481" s="68" t="str">
        <f>IF(main!BB484="","",ROUND(main!BB484*100,6))</f>
        <v/>
      </c>
      <c r="AQ481" s="68" t="str">
        <f>IF(main!BC484="","",ROUND(main!BC484*100,6))</f>
        <v/>
      </c>
      <c r="AR481" s="68" t="str">
        <f>IF(main!BD484="","",ROUND(main!BD484*100,6))</f>
        <v/>
      </c>
      <c r="AS481" s="68" t="str">
        <f>IF(main!BE484="","",ROUND(main!BE484*100,6))</f>
        <v/>
      </c>
      <c r="AT481" s="68" t="str">
        <f>IF(main!BF484="","",ROUND(main!BF484*100,6))</f>
        <v/>
      </c>
      <c r="AU481" s="68" t="str">
        <f>IF(main!BG484="","",ROUND(main!BG484*100,6))</f>
        <v/>
      </c>
      <c r="AV481" s="68" t="str">
        <f>IF(main!BH484="","",ROUND(main!BH484*100,6))</f>
        <v/>
      </c>
      <c r="AW481" s="68" t="str">
        <f>IF(main!BI484="","",ROUND(main!BI484*100,6))</f>
        <v/>
      </c>
      <c r="AX481" s="68" t="str">
        <f>IF(main!BJ484="","",ROUND(main!BJ484*100,6))</f>
        <v/>
      </c>
      <c r="AY481" s="68" t="str">
        <f>IF(main!BK484="","",ROUND(main!BK484*100,6))</f>
        <v/>
      </c>
      <c r="AZ481" s="68" t="str">
        <f>IF(main!BL484="","",ROUND(main!BL484*100,6))</f>
        <v/>
      </c>
      <c r="BA481" s="68" t="str">
        <f>IF(main!BM484="","",ROUND(main!BM484*100,6))</f>
        <v/>
      </c>
      <c r="BB481" s="68" t="str">
        <f>IF(main!BN484="","",ROUND(main!BN484*100,6))</f>
        <v/>
      </c>
      <c r="BC481" s="68" t="str">
        <f>IF(main!BO484="","",ROUND(main!BO484*100,6))</f>
        <v/>
      </c>
      <c r="BD481" s="68" t="str">
        <f>IF(main!BP484="","",ROUND(main!BP484*100,6))</f>
        <v/>
      </c>
      <c r="BE481" s="68" t="str">
        <f>IF(main!BQ484="","",ROUND(main!BQ484*100,6))</f>
        <v/>
      </c>
      <c r="BF481" s="68" t="str">
        <f>IF(main!BR484="","",ROUND(main!BR484*100,6))</f>
        <v/>
      </c>
      <c r="BG481" s="68" t="str">
        <f>IF(main!BS484="","",ROUND(main!BS484*100,6))</f>
        <v/>
      </c>
      <c r="BH481" s="68" t="str">
        <f>IF(main!BT484="","",ROUND(main!BT484*100,6))</f>
        <v/>
      </c>
      <c r="BI481" s="68" t="str">
        <f>IF(main!BU484="","",ROUND(main!BU484*100,6))</f>
        <v/>
      </c>
      <c r="BJ481" s="68" t="str">
        <f>IF(main!BV484="","",ROUND(main!BV484*100,6))</f>
        <v/>
      </c>
      <c r="BK481" s="68" t="str">
        <f>IF(main!BW484="","",ROUND(main!BW484*100,6))</f>
        <v/>
      </c>
      <c r="BL481" s="68" t="str">
        <f>IF(main!BX484="","",ROUND(main!BX484*100,6))</f>
        <v/>
      </c>
      <c r="BM481" s="68" t="str">
        <f>IF(main!BY484="","",ROUND(main!BY484*100,6))</f>
        <v/>
      </c>
      <c r="BN481" s="68" t="str">
        <f>IF(main!BZ484="","",ROUND(main!BZ484*100,6))</f>
        <v/>
      </c>
      <c r="BO481" s="68" t="str">
        <f>IF(main!CA484="","",ROUND(main!CA484*100,6))</f>
        <v/>
      </c>
      <c r="BP481" s="68" t="str">
        <f>IF(main!CB484="","",ROUND(main!CB484*100,6))</f>
        <v/>
      </c>
      <c r="BQ481" s="68" t="str">
        <f>IF(main!CC484="","",ROUND(main!CC484*100,6))</f>
        <v/>
      </c>
      <c r="BR481" s="68" t="str">
        <f>IF(main!CD484="","",ROUND(main!CD484*100,6))</f>
        <v/>
      </c>
      <c r="BS481" s="68" t="str">
        <f>IF(main!CE484="","",ROUND(main!CE484*100,6))</f>
        <v/>
      </c>
      <c r="BT481" s="68" t="str">
        <f>IF(main!CF484="","",ROUND(main!CF484*100,6))</f>
        <v/>
      </c>
      <c r="BU481" s="68" t="str">
        <f>IF(main!CG484="","",ROUND(main!CG484*100,6))</f>
        <v/>
      </c>
      <c r="BV481" s="68" t="str">
        <f>IF(main!CH484="","",ROUND(main!CH484*100,6))</f>
        <v/>
      </c>
      <c r="BW481" s="68" t="str">
        <f>IF(main!CI484="","",ROUND(main!CI484*100,6))</f>
        <v/>
      </c>
      <c r="BX481" s="68" t="str">
        <f>IF(main!CJ484="","",ROUND(main!CJ484*100,6))</f>
        <v/>
      </c>
      <c r="BY481" s="68" t="str">
        <f>IF(main!CK484="","",ROUND(main!CK484*100,6))</f>
        <v/>
      </c>
      <c r="BZ481" s="68" t="str">
        <f>IF(main!CL484="","",ROUND(main!CL484*100,6))</f>
        <v/>
      </c>
      <c r="CA481" s="68" t="str">
        <f>IF(main!CM484="","",ROUND(main!CM484*100,6))</f>
        <v/>
      </c>
      <c r="CB481" s="68" t="str">
        <f>IF(main!CN484="","",ROUND(main!CN484*100,6))</f>
        <v/>
      </c>
      <c r="CC481" s="68" t="str">
        <f>IF(main!CO484="","",ROUND(main!CO484*100,6))</f>
        <v/>
      </c>
    </row>
    <row r="482" spans="1:81" x14ac:dyDescent="0.25">
      <c r="A482" s="65" t="s">
        <v>650</v>
      </c>
      <c r="B482" s="66" t="str">
        <f>main!C485</f>
        <v>ผ้าม่าน</v>
      </c>
      <c r="C482" s="67">
        <f>main!O485</f>
        <v>100000</v>
      </c>
      <c r="D482" s="65" t="s">
        <v>110</v>
      </c>
      <c r="E482" s="68">
        <f t="shared" si="7"/>
        <v>100</v>
      </c>
      <c r="F482" s="68" t="str">
        <f>IF(main!R485="","",ROUND(main!R485*100,6))</f>
        <v/>
      </c>
      <c r="G482" s="68" t="str">
        <f>IF(main!S485="","",ROUND(main!S485*100,6))</f>
        <v/>
      </c>
      <c r="H482" s="68" t="str">
        <f>IF(main!T485="","",ROUND(main!T485*100,6))</f>
        <v/>
      </c>
      <c r="I482" s="68" t="str">
        <f>IF(main!U485="","",ROUND(main!U485*100,6))</f>
        <v/>
      </c>
      <c r="J482" s="68" t="str">
        <f>IF(main!V485="","",ROUND(main!V485*100,6))</f>
        <v/>
      </c>
      <c r="K482" s="68" t="str">
        <f>IF(main!W485="","",ROUND(main!W485*100,6))</f>
        <v/>
      </c>
      <c r="L482" s="68" t="str">
        <f>IF(main!X485="","",ROUND(main!X485*100,6))</f>
        <v/>
      </c>
      <c r="M482" s="68" t="str">
        <f>IF(main!Y485="","",ROUND(main!Y485*100,6))</f>
        <v/>
      </c>
      <c r="N482" s="68" t="str">
        <f>IF(main!Z485="","",ROUND(main!Z485*100,6))</f>
        <v/>
      </c>
      <c r="O482" s="68" t="str">
        <f>IF(main!AA485="","",ROUND(main!AA485*100,6))</f>
        <v/>
      </c>
      <c r="P482" s="68" t="str">
        <f>IF(main!AB485="","",ROUND(main!AB485*100,6))</f>
        <v/>
      </c>
      <c r="Q482" s="68" t="str">
        <f>IF(main!AC485="","",ROUND(main!AC485*100,6))</f>
        <v/>
      </c>
      <c r="R482" s="68" t="str">
        <f>IF(main!AD485="","",ROUND(main!AD485*100,6))</f>
        <v/>
      </c>
      <c r="S482" s="68" t="str">
        <f>IF(main!AE485="","",ROUND(main!AE485*100,6))</f>
        <v/>
      </c>
      <c r="T482" s="68" t="str">
        <f>IF(main!AF485="","",ROUND(main!AF485*100,6))</f>
        <v/>
      </c>
      <c r="U482" s="68" t="str">
        <f>IF(main!AG485="","",ROUND(main!AG485*100,6))</f>
        <v/>
      </c>
      <c r="V482" s="68" t="str">
        <f>IF(main!AH485="","",ROUND(main!AH485*100,6))</f>
        <v/>
      </c>
      <c r="W482" s="68" t="str">
        <f>IF(main!AI485="","",ROUND(main!AI485*100,6))</f>
        <v/>
      </c>
      <c r="X482" s="68" t="str">
        <f>IF(main!AJ485="","",ROUND(main!AJ485*100,6))</f>
        <v/>
      </c>
      <c r="Y482" s="68" t="str">
        <f>IF(main!AK485="","",ROUND(main!AK485*100,6))</f>
        <v/>
      </c>
      <c r="Z482" s="68" t="str">
        <f>IF(main!AL485="","",ROUND(main!AL485*100,6))</f>
        <v/>
      </c>
      <c r="AA482" s="68" t="str">
        <f>IF(main!AM485="","",ROUND(main!AM485*100,6))</f>
        <v/>
      </c>
      <c r="AB482" s="68" t="str">
        <f>IF(main!AN485="","",ROUND(main!AN485*100,6))</f>
        <v/>
      </c>
      <c r="AC482" s="68" t="str">
        <f>IF(main!AO485="","",ROUND(main!AO485*100,6))</f>
        <v/>
      </c>
      <c r="AD482" s="68" t="str">
        <f>IF(main!AP485="","",ROUND(main!AP485*100,6))</f>
        <v/>
      </c>
      <c r="AE482" s="68" t="str">
        <f>IF(main!AQ485="","",ROUND(main!AQ485*100,6))</f>
        <v/>
      </c>
      <c r="AF482" s="68" t="str">
        <f>IF(main!AR485="","",ROUND(main!AR485*100,6))</f>
        <v/>
      </c>
      <c r="AG482" s="68" t="str">
        <f>IF(main!AS485="","",ROUND(main!AS485*100,6))</f>
        <v/>
      </c>
      <c r="AH482" s="68" t="str">
        <f>IF(main!AT485="","",ROUND(main!AT485*100,6))</f>
        <v/>
      </c>
      <c r="AI482" s="68" t="str">
        <f>IF(main!AU485="","",ROUND(main!AU485*100,6))</f>
        <v/>
      </c>
      <c r="AJ482" s="68" t="str">
        <f>IF(main!AV485="","",ROUND(main!AV485*100,6))</f>
        <v/>
      </c>
      <c r="AK482" s="68" t="str">
        <f>IF(main!AW485="","",ROUND(main!AW485*100,6))</f>
        <v/>
      </c>
      <c r="AL482" s="68" t="str">
        <f>IF(main!AX485="","",ROUND(main!AX485*100,6))</f>
        <v/>
      </c>
      <c r="AM482" s="68" t="str">
        <f>IF(main!AY485="","",ROUND(main!AY485*100,6))</f>
        <v/>
      </c>
      <c r="AN482" s="68" t="str">
        <f>IF(main!AZ485="","",ROUND(main!AZ485*100,6))</f>
        <v/>
      </c>
      <c r="AO482" s="68" t="str">
        <f>IF(main!BA485="","",ROUND(main!BA485*100,6))</f>
        <v/>
      </c>
      <c r="AP482" s="68" t="str">
        <f>IF(main!BB485="","",ROUND(main!BB485*100,6))</f>
        <v/>
      </c>
      <c r="AQ482" s="68" t="str">
        <f>IF(main!BC485="","",ROUND(main!BC485*100,6))</f>
        <v/>
      </c>
      <c r="AR482" s="68" t="str">
        <f>IF(main!BD485="","",ROUND(main!BD485*100,6))</f>
        <v/>
      </c>
      <c r="AS482" s="68" t="str">
        <f>IF(main!BE485="","",ROUND(main!BE485*100,6))</f>
        <v/>
      </c>
      <c r="AT482" s="68" t="str">
        <f>IF(main!BF485="","",ROUND(main!BF485*100,6))</f>
        <v/>
      </c>
      <c r="AU482" s="68" t="str">
        <f>IF(main!BG485="","",ROUND(main!BG485*100,6))</f>
        <v/>
      </c>
      <c r="AV482" s="68" t="str">
        <f>IF(main!BH485="","",ROUND(main!BH485*100,6))</f>
        <v/>
      </c>
      <c r="AW482" s="68" t="str">
        <f>IF(main!BI485="","",ROUND(main!BI485*100,6))</f>
        <v/>
      </c>
      <c r="AX482" s="68" t="str">
        <f>IF(main!BJ485="","",ROUND(main!BJ485*100,6))</f>
        <v/>
      </c>
      <c r="AY482" s="68" t="str">
        <f>IF(main!BK485="","",ROUND(main!BK485*100,6))</f>
        <v/>
      </c>
      <c r="AZ482" s="68" t="str">
        <f>IF(main!BL485="","",ROUND(main!BL485*100,6))</f>
        <v/>
      </c>
      <c r="BA482" s="68" t="str">
        <f>IF(main!BM485="","",ROUND(main!BM485*100,6))</f>
        <v/>
      </c>
      <c r="BB482" s="68" t="str">
        <f>IF(main!BN485="","",ROUND(main!BN485*100,6))</f>
        <v/>
      </c>
      <c r="BC482" s="68" t="str">
        <f>IF(main!BO485="","",ROUND(main!BO485*100,6))</f>
        <v/>
      </c>
      <c r="BD482" s="68" t="str">
        <f>IF(main!BP485="","",ROUND(main!BP485*100,6))</f>
        <v/>
      </c>
      <c r="BE482" s="68" t="str">
        <f>IF(main!BQ485="","",ROUND(main!BQ485*100,6))</f>
        <v/>
      </c>
      <c r="BF482" s="68" t="str">
        <f>IF(main!BR485="","",ROUND(main!BR485*100,6))</f>
        <v/>
      </c>
      <c r="BG482" s="68" t="str">
        <f>IF(main!BS485="","",ROUND(main!BS485*100,6))</f>
        <v/>
      </c>
      <c r="BH482" s="68" t="str">
        <f>IF(main!BT485="","",ROUND(main!BT485*100,6))</f>
        <v/>
      </c>
      <c r="BI482" s="68" t="str">
        <f>IF(main!BU485="","",ROUND(main!BU485*100,6))</f>
        <v/>
      </c>
      <c r="BJ482" s="68" t="str">
        <f>IF(main!BV485="","",ROUND(main!BV485*100,6))</f>
        <v/>
      </c>
      <c r="BK482" s="68" t="str">
        <f>IF(main!BW485="","",ROUND(main!BW485*100,6))</f>
        <v/>
      </c>
      <c r="BL482" s="68" t="str">
        <f>IF(main!BX485="","",ROUND(main!BX485*100,6))</f>
        <v/>
      </c>
      <c r="BM482" s="68" t="str">
        <f>IF(main!BY485="","",ROUND(main!BY485*100,6))</f>
        <v/>
      </c>
      <c r="BN482" s="68" t="str">
        <f>IF(main!BZ485="","",ROUND(main!BZ485*100,6))</f>
        <v/>
      </c>
      <c r="BO482" s="68">
        <f>IF(main!CA485="","",ROUND(main!CA485*100,6))</f>
        <v>19.230768999999999</v>
      </c>
      <c r="BP482" s="68">
        <f>IF(main!CB485="","",ROUND(main!CB485*100,6))</f>
        <v>26.923076999999999</v>
      </c>
      <c r="BQ482" s="68">
        <f>IF(main!CC485="","",ROUND(main!CC485*100,6))</f>
        <v>26.923076999999999</v>
      </c>
      <c r="BR482" s="68">
        <f>IF(main!CD485="","",ROUND(main!CD485*100,6))</f>
        <v>26.923076999999999</v>
      </c>
      <c r="BS482" s="68" t="str">
        <f>IF(main!CE485="","",ROUND(main!CE485*100,6))</f>
        <v/>
      </c>
      <c r="BT482" s="68" t="str">
        <f>IF(main!CF485="","",ROUND(main!CF485*100,6))</f>
        <v/>
      </c>
      <c r="BU482" s="68" t="str">
        <f>IF(main!CG485="","",ROUND(main!CG485*100,6))</f>
        <v/>
      </c>
      <c r="BV482" s="68" t="str">
        <f>IF(main!CH485="","",ROUND(main!CH485*100,6))</f>
        <v/>
      </c>
      <c r="BW482" s="68" t="str">
        <f>IF(main!CI485="","",ROUND(main!CI485*100,6))</f>
        <v/>
      </c>
      <c r="BX482" s="68" t="str">
        <f>IF(main!CJ485="","",ROUND(main!CJ485*100,6))</f>
        <v/>
      </c>
      <c r="BY482" s="68" t="str">
        <f>IF(main!CK485="","",ROUND(main!CK485*100,6))</f>
        <v/>
      </c>
      <c r="BZ482" s="68" t="str">
        <f>IF(main!CL485="","",ROUND(main!CL485*100,6))</f>
        <v/>
      </c>
      <c r="CA482" s="68" t="str">
        <f>IF(main!CM485="","",ROUND(main!CM485*100,6))</f>
        <v/>
      </c>
      <c r="CB482" s="68" t="str">
        <f>IF(main!CN485="","",ROUND(main!CN485*100,6))</f>
        <v/>
      </c>
      <c r="CC482" s="68" t="str">
        <f>IF(main!CO485="","",ROUND(main!CO485*100,6))</f>
        <v/>
      </c>
    </row>
    <row r="483" spans="1:81" x14ac:dyDescent="0.25">
      <c r="A483" s="65" t="s">
        <v>650</v>
      </c>
      <c r="B483" s="66" t="str">
        <f>main!C485</f>
        <v>ผ้าม่าน</v>
      </c>
      <c r="C483" s="67">
        <f>main!O485</f>
        <v>100000</v>
      </c>
      <c r="D483" s="65" t="s">
        <v>111</v>
      </c>
      <c r="E483" s="68" t="str">
        <f t="shared" si="7"/>
        <v/>
      </c>
      <c r="F483" s="68" t="str">
        <f>IF(main!R486="","",ROUND(main!R486*100,6))</f>
        <v/>
      </c>
      <c r="G483" s="68" t="str">
        <f>IF(main!S486="","",ROUND(main!S486*100,6))</f>
        <v/>
      </c>
      <c r="H483" s="68" t="str">
        <f>IF(main!T486="","",ROUND(main!T486*100,6))</f>
        <v/>
      </c>
      <c r="I483" s="68" t="str">
        <f>IF(main!U486="","",ROUND(main!U486*100,6))</f>
        <v/>
      </c>
      <c r="J483" s="68" t="str">
        <f>IF(main!V486="","",ROUND(main!V486*100,6))</f>
        <v/>
      </c>
      <c r="K483" s="68" t="str">
        <f>IF(main!W486="","",ROUND(main!W486*100,6))</f>
        <v/>
      </c>
      <c r="L483" s="68" t="str">
        <f>IF(main!X486="","",ROUND(main!X486*100,6))</f>
        <v/>
      </c>
      <c r="M483" s="68" t="str">
        <f>IF(main!Y486="","",ROUND(main!Y486*100,6))</f>
        <v/>
      </c>
      <c r="N483" s="68" t="str">
        <f>IF(main!Z486="","",ROUND(main!Z486*100,6))</f>
        <v/>
      </c>
      <c r="O483" s="68" t="str">
        <f>IF(main!AA486="","",ROUND(main!AA486*100,6))</f>
        <v/>
      </c>
      <c r="P483" s="68" t="str">
        <f>IF(main!AB486="","",ROUND(main!AB486*100,6))</f>
        <v/>
      </c>
      <c r="Q483" s="68" t="str">
        <f>IF(main!AC486="","",ROUND(main!AC486*100,6))</f>
        <v/>
      </c>
      <c r="R483" s="68" t="str">
        <f>IF(main!AD486="","",ROUND(main!AD486*100,6))</f>
        <v/>
      </c>
      <c r="S483" s="68" t="str">
        <f>IF(main!AE486="","",ROUND(main!AE486*100,6))</f>
        <v/>
      </c>
      <c r="T483" s="68" t="str">
        <f>IF(main!AF486="","",ROUND(main!AF486*100,6))</f>
        <v/>
      </c>
      <c r="U483" s="68" t="str">
        <f>IF(main!AG486="","",ROUND(main!AG486*100,6))</f>
        <v/>
      </c>
      <c r="V483" s="68" t="str">
        <f>IF(main!AH486="","",ROUND(main!AH486*100,6))</f>
        <v/>
      </c>
      <c r="W483" s="68" t="str">
        <f>IF(main!AI486="","",ROUND(main!AI486*100,6))</f>
        <v/>
      </c>
      <c r="X483" s="68" t="str">
        <f>IF(main!AJ486="","",ROUND(main!AJ486*100,6))</f>
        <v/>
      </c>
      <c r="Y483" s="68" t="str">
        <f>IF(main!AK486="","",ROUND(main!AK486*100,6))</f>
        <v/>
      </c>
      <c r="Z483" s="68" t="str">
        <f>IF(main!AL486="","",ROUND(main!AL486*100,6))</f>
        <v/>
      </c>
      <c r="AA483" s="68" t="str">
        <f>IF(main!AM486="","",ROUND(main!AM486*100,6))</f>
        <v/>
      </c>
      <c r="AB483" s="68" t="str">
        <f>IF(main!AN486="","",ROUND(main!AN486*100,6))</f>
        <v/>
      </c>
      <c r="AC483" s="68" t="str">
        <f>IF(main!AO486="","",ROUND(main!AO486*100,6))</f>
        <v/>
      </c>
      <c r="AD483" s="68" t="str">
        <f>IF(main!AP486="","",ROUND(main!AP486*100,6))</f>
        <v/>
      </c>
      <c r="AE483" s="68" t="str">
        <f>IF(main!AQ486="","",ROUND(main!AQ486*100,6))</f>
        <v/>
      </c>
      <c r="AF483" s="68" t="str">
        <f>IF(main!AR486="","",ROUND(main!AR486*100,6))</f>
        <v/>
      </c>
      <c r="AG483" s="68" t="str">
        <f>IF(main!AS486="","",ROUND(main!AS486*100,6))</f>
        <v/>
      </c>
      <c r="AH483" s="68" t="str">
        <f>IF(main!AT486="","",ROUND(main!AT486*100,6))</f>
        <v/>
      </c>
      <c r="AI483" s="68" t="str">
        <f>IF(main!AU486="","",ROUND(main!AU486*100,6))</f>
        <v/>
      </c>
      <c r="AJ483" s="68" t="str">
        <f>IF(main!AV486="","",ROUND(main!AV486*100,6))</f>
        <v/>
      </c>
      <c r="AK483" s="68" t="str">
        <f>IF(main!AW486="","",ROUND(main!AW486*100,6))</f>
        <v/>
      </c>
      <c r="AL483" s="68" t="str">
        <f>IF(main!AX486="","",ROUND(main!AX486*100,6))</f>
        <v/>
      </c>
      <c r="AM483" s="68" t="str">
        <f>IF(main!AY486="","",ROUND(main!AY486*100,6))</f>
        <v/>
      </c>
      <c r="AN483" s="68" t="str">
        <f>IF(main!AZ486="","",ROUND(main!AZ486*100,6))</f>
        <v/>
      </c>
      <c r="AO483" s="68" t="str">
        <f>IF(main!BA486="","",ROUND(main!BA486*100,6))</f>
        <v/>
      </c>
      <c r="AP483" s="68" t="str">
        <f>IF(main!BB486="","",ROUND(main!BB486*100,6))</f>
        <v/>
      </c>
      <c r="AQ483" s="68" t="str">
        <f>IF(main!BC486="","",ROUND(main!BC486*100,6))</f>
        <v/>
      </c>
      <c r="AR483" s="68" t="str">
        <f>IF(main!BD486="","",ROUND(main!BD486*100,6))</f>
        <v/>
      </c>
      <c r="AS483" s="68" t="str">
        <f>IF(main!BE486="","",ROUND(main!BE486*100,6))</f>
        <v/>
      </c>
      <c r="AT483" s="68" t="str">
        <f>IF(main!BF486="","",ROUND(main!BF486*100,6))</f>
        <v/>
      </c>
      <c r="AU483" s="68" t="str">
        <f>IF(main!BG486="","",ROUND(main!BG486*100,6))</f>
        <v/>
      </c>
      <c r="AV483" s="68" t="str">
        <f>IF(main!BH486="","",ROUND(main!BH486*100,6))</f>
        <v/>
      </c>
      <c r="AW483" s="68" t="str">
        <f>IF(main!BI486="","",ROUND(main!BI486*100,6))</f>
        <v/>
      </c>
      <c r="AX483" s="68" t="str">
        <f>IF(main!BJ486="","",ROUND(main!BJ486*100,6))</f>
        <v/>
      </c>
      <c r="AY483" s="68" t="str">
        <f>IF(main!BK486="","",ROUND(main!BK486*100,6))</f>
        <v/>
      </c>
      <c r="AZ483" s="68" t="str">
        <f>IF(main!BL486="","",ROUND(main!BL486*100,6))</f>
        <v/>
      </c>
      <c r="BA483" s="68" t="str">
        <f>IF(main!BM486="","",ROUND(main!BM486*100,6))</f>
        <v/>
      </c>
      <c r="BB483" s="68" t="str">
        <f>IF(main!BN486="","",ROUND(main!BN486*100,6))</f>
        <v/>
      </c>
      <c r="BC483" s="68" t="str">
        <f>IF(main!BO486="","",ROUND(main!BO486*100,6))</f>
        <v/>
      </c>
      <c r="BD483" s="68" t="str">
        <f>IF(main!BP486="","",ROUND(main!BP486*100,6))</f>
        <v/>
      </c>
      <c r="BE483" s="68" t="str">
        <f>IF(main!BQ486="","",ROUND(main!BQ486*100,6))</f>
        <v/>
      </c>
      <c r="BF483" s="68" t="str">
        <f>IF(main!BR486="","",ROUND(main!BR486*100,6))</f>
        <v/>
      </c>
      <c r="BG483" s="68" t="str">
        <f>IF(main!BS486="","",ROUND(main!BS486*100,6))</f>
        <v/>
      </c>
      <c r="BH483" s="68" t="str">
        <f>IF(main!BT486="","",ROUND(main!BT486*100,6))</f>
        <v/>
      </c>
      <c r="BI483" s="68" t="str">
        <f>IF(main!BU486="","",ROUND(main!BU486*100,6))</f>
        <v/>
      </c>
      <c r="BJ483" s="68" t="str">
        <f>IF(main!BV486="","",ROUND(main!BV486*100,6))</f>
        <v/>
      </c>
      <c r="BK483" s="68" t="str">
        <f>IF(main!BW486="","",ROUND(main!BW486*100,6))</f>
        <v/>
      </c>
      <c r="BL483" s="68" t="str">
        <f>IF(main!BX486="","",ROUND(main!BX486*100,6))</f>
        <v/>
      </c>
      <c r="BM483" s="68" t="str">
        <f>IF(main!BY486="","",ROUND(main!BY486*100,6))</f>
        <v/>
      </c>
      <c r="BN483" s="68" t="str">
        <f>IF(main!BZ486="","",ROUND(main!BZ486*100,6))</f>
        <v/>
      </c>
      <c r="BO483" s="68" t="str">
        <f>IF(main!CA486="","",ROUND(main!CA486*100,6))</f>
        <v/>
      </c>
      <c r="BP483" s="68" t="str">
        <f>IF(main!CB486="","",ROUND(main!CB486*100,6))</f>
        <v/>
      </c>
      <c r="BQ483" s="68" t="str">
        <f>IF(main!CC486="","",ROUND(main!CC486*100,6))</f>
        <v/>
      </c>
      <c r="BR483" s="68" t="str">
        <f>IF(main!CD486="","",ROUND(main!CD486*100,6))</f>
        <v/>
      </c>
      <c r="BS483" s="68" t="str">
        <f>IF(main!CE486="","",ROUND(main!CE486*100,6))</f>
        <v/>
      </c>
      <c r="BT483" s="68" t="str">
        <f>IF(main!CF486="","",ROUND(main!CF486*100,6))</f>
        <v/>
      </c>
      <c r="BU483" s="68" t="str">
        <f>IF(main!CG486="","",ROUND(main!CG486*100,6))</f>
        <v/>
      </c>
      <c r="BV483" s="68" t="str">
        <f>IF(main!CH486="","",ROUND(main!CH486*100,6))</f>
        <v/>
      </c>
      <c r="BW483" s="68" t="str">
        <f>IF(main!CI486="","",ROUND(main!CI486*100,6))</f>
        <v/>
      </c>
      <c r="BX483" s="68" t="str">
        <f>IF(main!CJ486="","",ROUND(main!CJ486*100,6))</f>
        <v/>
      </c>
      <c r="BY483" s="68" t="str">
        <f>IF(main!CK486="","",ROUND(main!CK486*100,6))</f>
        <v/>
      </c>
      <c r="BZ483" s="68" t="str">
        <f>IF(main!CL486="","",ROUND(main!CL486*100,6))</f>
        <v/>
      </c>
      <c r="CA483" s="68" t="str">
        <f>IF(main!CM486="","",ROUND(main!CM486*100,6))</f>
        <v/>
      </c>
      <c r="CB483" s="68" t="str">
        <f>IF(main!CN486="","",ROUND(main!CN486*100,6))</f>
        <v/>
      </c>
      <c r="CC483" s="68" t="str">
        <f>IF(main!CO486="","",ROUND(main!CO486*100,6))</f>
        <v/>
      </c>
    </row>
    <row r="484" spans="1:81" x14ac:dyDescent="0.25">
      <c r="A484" s="65" t="s">
        <v>653</v>
      </c>
      <c r="B484" s="66" t="str">
        <f>main!C487</f>
        <v>Other</v>
      </c>
      <c r="C484" s="67">
        <f>main!O487</f>
        <v>1000000</v>
      </c>
      <c r="D484" s="65" t="s">
        <v>110</v>
      </c>
      <c r="E484" s="68">
        <f t="shared" si="7"/>
        <v>100.000004</v>
      </c>
      <c r="F484" s="68" t="str">
        <f>IF(main!R487="","",ROUND(main!R487*100,6))</f>
        <v/>
      </c>
      <c r="G484" s="68" t="str">
        <f>IF(main!S487="","",ROUND(main!S487*100,6))</f>
        <v/>
      </c>
      <c r="H484" s="68" t="str">
        <f>IF(main!T487="","",ROUND(main!T487*100,6))</f>
        <v/>
      </c>
      <c r="I484" s="68" t="str">
        <f>IF(main!U487="","",ROUND(main!U487*100,6))</f>
        <v/>
      </c>
      <c r="J484" s="68" t="str">
        <f>IF(main!V487="","",ROUND(main!V487*100,6))</f>
        <v/>
      </c>
      <c r="K484" s="68" t="str">
        <f>IF(main!W487="","",ROUND(main!W487*100,6))</f>
        <v/>
      </c>
      <c r="L484" s="68" t="str">
        <f>IF(main!X487="","",ROUND(main!X487*100,6))</f>
        <v/>
      </c>
      <c r="M484" s="68" t="str">
        <f>IF(main!Y487="","",ROUND(main!Y487*100,6))</f>
        <v/>
      </c>
      <c r="N484" s="68" t="str">
        <f>IF(main!Z487="","",ROUND(main!Z487*100,6))</f>
        <v/>
      </c>
      <c r="O484" s="68" t="str">
        <f>IF(main!AA487="","",ROUND(main!AA487*100,6))</f>
        <v/>
      </c>
      <c r="P484" s="68" t="str">
        <f>IF(main!AB487="","",ROUND(main!AB487*100,6))</f>
        <v/>
      </c>
      <c r="Q484" s="68" t="str">
        <f>IF(main!AC487="","",ROUND(main!AC487*100,6))</f>
        <v/>
      </c>
      <c r="R484" s="68" t="str">
        <f>IF(main!AD487="","",ROUND(main!AD487*100,6))</f>
        <v/>
      </c>
      <c r="S484" s="68" t="str">
        <f>IF(main!AE487="","",ROUND(main!AE487*100,6))</f>
        <v/>
      </c>
      <c r="T484" s="68" t="str">
        <f>IF(main!AF487="","",ROUND(main!AF487*100,6))</f>
        <v/>
      </c>
      <c r="U484" s="68" t="str">
        <f>IF(main!AG487="","",ROUND(main!AG487*100,6))</f>
        <v/>
      </c>
      <c r="V484" s="68" t="str">
        <f>IF(main!AH487="","",ROUND(main!AH487*100,6))</f>
        <v/>
      </c>
      <c r="W484" s="68" t="str">
        <f>IF(main!AI487="","",ROUND(main!AI487*100,6))</f>
        <v/>
      </c>
      <c r="X484" s="68" t="str">
        <f>IF(main!AJ487="","",ROUND(main!AJ487*100,6))</f>
        <v/>
      </c>
      <c r="Y484" s="68" t="str">
        <f>IF(main!AK487="","",ROUND(main!AK487*100,6))</f>
        <v/>
      </c>
      <c r="Z484" s="68" t="str">
        <f>IF(main!AL487="","",ROUND(main!AL487*100,6))</f>
        <v/>
      </c>
      <c r="AA484" s="68" t="str">
        <f>IF(main!AM487="","",ROUND(main!AM487*100,6))</f>
        <v/>
      </c>
      <c r="AB484" s="68" t="str">
        <f>IF(main!AN487="","",ROUND(main!AN487*100,6))</f>
        <v/>
      </c>
      <c r="AC484" s="68" t="str">
        <f>IF(main!AO487="","",ROUND(main!AO487*100,6))</f>
        <v/>
      </c>
      <c r="AD484" s="68" t="str">
        <f>IF(main!AP487="","",ROUND(main!AP487*100,6))</f>
        <v/>
      </c>
      <c r="AE484" s="68" t="str">
        <f>IF(main!AQ487="","",ROUND(main!AQ487*100,6))</f>
        <v/>
      </c>
      <c r="AF484" s="68" t="str">
        <f>IF(main!AR487="","",ROUND(main!AR487*100,6))</f>
        <v/>
      </c>
      <c r="AG484" s="68" t="str">
        <f>IF(main!AS487="","",ROUND(main!AS487*100,6))</f>
        <v/>
      </c>
      <c r="AH484" s="68" t="str">
        <f>IF(main!AT487="","",ROUND(main!AT487*100,6))</f>
        <v/>
      </c>
      <c r="AI484" s="68" t="str">
        <f>IF(main!AU487="","",ROUND(main!AU487*100,6))</f>
        <v/>
      </c>
      <c r="AJ484" s="68" t="str">
        <f>IF(main!AV487="","",ROUND(main!AV487*100,6))</f>
        <v/>
      </c>
      <c r="AK484" s="68" t="str">
        <f>IF(main!AW487="","",ROUND(main!AW487*100,6))</f>
        <v/>
      </c>
      <c r="AL484" s="68" t="str">
        <f>IF(main!AX487="","",ROUND(main!AX487*100,6))</f>
        <v/>
      </c>
      <c r="AM484" s="68" t="str">
        <f>IF(main!AY487="","",ROUND(main!AY487*100,6))</f>
        <v/>
      </c>
      <c r="AN484" s="68" t="str">
        <f>IF(main!AZ487="","",ROUND(main!AZ487*100,6))</f>
        <v/>
      </c>
      <c r="AO484" s="68" t="str">
        <f>IF(main!BA487="","",ROUND(main!BA487*100,6))</f>
        <v/>
      </c>
      <c r="AP484" s="68" t="str">
        <f>IF(main!BB487="","",ROUND(main!BB487*100,6))</f>
        <v/>
      </c>
      <c r="AQ484" s="68" t="str">
        <f>IF(main!BC487="","",ROUND(main!BC487*100,6))</f>
        <v/>
      </c>
      <c r="AR484" s="68" t="str">
        <f>IF(main!BD487="","",ROUND(main!BD487*100,6))</f>
        <v/>
      </c>
      <c r="AS484" s="68" t="str">
        <f>IF(main!BE487="","",ROUND(main!BE487*100,6))</f>
        <v/>
      </c>
      <c r="AT484" s="68">
        <f>IF(main!BF487="","",ROUND(main!BF487*100,6))</f>
        <v>0.238095</v>
      </c>
      <c r="AU484" s="68">
        <f>IF(main!BG487="","",ROUND(main!BG487*100,6))</f>
        <v>1.6666669999999999</v>
      </c>
      <c r="AV484" s="68">
        <f>IF(main!BH487="","",ROUND(main!BH487*100,6))</f>
        <v>1.6666669999999999</v>
      </c>
      <c r="AW484" s="68">
        <f>IF(main!BI487="","",ROUND(main!BI487*100,6))</f>
        <v>1.6666669999999999</v>
      </c>
      <c r="AX484" s="68">
        <f>IF(main!BJ487="","",ROUND(main!BJ487*100,6))</f>
        <v>1.6666669999999999</v>
      </c>
      <c r="AY484" s="68">
        <f>IF(main!BK487="","",ROUND(main!BK487*100,6))</f>
        <v>1.6666669999999999</v>
      </c>
      <c r="AZ484" s="68">
        <f>IF(main!BL487="","",ROUND(main!BL487*100,6))</f>
        <v>1.5306120000000001</v>
      </c>
      <c r="BA484" s="68">
        <f>IF(main!BM487="","",ROUND(main!BM487*100,6))</f>
        <v>0.71428599999999998</v>
      </c>
      <c r="BB484" s="68">
        <f>IF(main!BN487="","",ROUND(main!BN487*100,6))</f>
        <v>0.71428599999999998</v>
      </c>
      <c r="BC484" s="68">
        <f>IF(main!BO487="","",ROUND(main!BO487*100,6))</f>
        <v>0.71428599999999998</v>
      </c>
      <c r="BD484" s="68">
        <f>IF(main!BP487="","",ROUND(main!BP487*100,6))</f>
        <v>0.71428599999999998</v>
      </c>
      <c r="BE484" s="68">
        <f>IF(main!BQ487="","",ROUND(main!BQ487*100,6))</f>
        <v>1.5339579999999999</v>
      </c>
      <c r="BF484" s="68">
        <f>IF(main!BR487="","",ROUND(main!BR487*100,6))</f>
        <v>1.8618269999999999</v>
      </c>
      <c r="BG484" s="68">
        <f>IF(main!BS487="","",ROUND(main!BS487*100,6))</f>
        <v>1.8618269999999999</v>
      </c>
      <c r="BH484" s="68">
        <f>IF(main!BT487="","",ROUND(main!BT487*100,6))</f>
        <v>1.8618269999999999</v>
      </c>
      <c r="BI484" s="68">
        <f>IF(main!BU487="","",ROUND(main!BU487*100,6))</f>
        <v>6.0284930000000001</v>
      </c>
      <c r="BJ484" s="68">
        <f>IF(main!BV487="","",ROUND(main!BV487*100,6))</f>
        <v>7.6951599999999996</v>
      </c>
      <c r="BK484" s="68">
        <f>IF(main!BW487="","",ROUND(main!BW487*100,6))</f>
        <v>1.8618269999999999</v>
      </c>
      <c r="BL484" s="68">
        <f>IF(main!BX487="","",ROUND(main!BX487*100,6))</f>
        <v>1.8618269999999999</v>
      </c>
      <c r="BM484" s="68">
        <f>IF(main!BY487="","",ROUND(main!BY487*100,6))</f>
        <v>6.0284930000000001</v>
      </c>
      <c r="BN484" s="68">
        <f>IF(main!BZ487="","",ROUND(main!BZ487*100,6))</f>
        <v>6.6430800000000003</v>
      </c>
      <c r="BO484" s="68">
        <f>IF(main!CA487="","",ROUND(main!CA487*100,6))</f>
        <v>1.7650269999999999</v>
      </c>
      <c r="BP484" s="68">
        <f>IF(main!CB487="","",ROUND(main!CB487*100,6))</f>
        <v>2.1475409999999999</v>
      </c>
      <c r="BQ484" s="68">
        <f>IF(main!CC487="","",ROUND(main!CC487*100,6))</f>
        <v>6.6967210000000001</v>
      </c>
      <c r="BR484" s="68">
        <f>IF(main!CD487="","",ROUND(main!CD487*100,6))</f>
        <v>8.7459019999999992</v>
      </c>
      <c r="BS484" s="68">
        <f>IF(main!CE487="","",ROUND(main!CE487*100,6))</f>
        <v>3.2950819999999998</v>
      </c>
      <c r="BT484" s="68">
        <f>IF(main!CF487="","",ROUND(main!CF487*100,6))</f>
        <v>4.0093680000000003</v>
      </c>
      <c r="BU484" s="68">
        <f>IF(main!CG487="","",ROUND(main!CG487*100,6))</f>
        <v>10.166667</v>
      </c>
      <c r="BV484" s="68">
        <f>IF(main!CH487="","",ROUND(main!CH487*100,6))</f>
        <v>11.119047999999999</v>
      </c>
      <c r="BW484" s="68">
        <f>IF(main!CI487="","",ROUND(main!CI487*100,6))</f>
        <v>1</v>
      </c>
      <c r="BX484" s="68">
        <f>IF(main!CJ487="","",ROUND(main!CJ487*100,6))</f>
        <v>0.85714299999999999</v>
      </c>
      <c r="BY484" s="68" t="str">
        <f>IF(main!CK487="","",ROUND(main!CK487*100,6))</f>
        <v/>
      </c>
      <c r="BZ484" s="68" t="str">
        <f>IF(main!CL487="","",ROUND(main!CL487*100,6))</f>
        <v/>
      </c>
      <c r="CA484" s="68" t="str">
        <f>IF(main!CM487="","",ROUND(main!CM487*100,6))</f>
        <v/>
      </c>
      <c r="CB484" s="68" t="str">
        <f>IF(main!CN487="","",ROUND(main!CN487*100,6))</f>
        <v/>
      </c>
      <c r="CC484" s="68" t="str">
        <f>IF(main!CO487="","",ROUND(main!CO487*100,6))</f>
        <v/>
      </c>
    </row>
    <row r="485" spans="1:81" x14ac:dyDescent="0.25">
      <c r="A485" s="65" t="s">
        <v>653</v>
      </c>
      <c r="B485" s="66" t="str">
        <f>main!C487</f>
        <v>Other</v>
      </c>
      <c r="C485" s="67">
        <f>main!O487</f>
        <v>1000000</v>
      </c>
      <c r="D485" s="65" t="s">
        <v>111</v>
      </c>
      <c r="E485" s="68" t="str">
        <f t="shared" si="7"/>
        <v/>
      </c>
      <c r="F485" s="68" t="str">
        <f>IF(main!R488="","",ROUND(main!R488*100,6))</f>
        <v/>
      </c>
      <c r="G485" s="68" t="str">
        <f>IF(main!S488="","",ROUND(main!S488*100,6))</f>
        <v/>
      </c>
      <c r="H485" s="68" t="str">
        <f>IF(main!T488="","",ROUND(main!T488*100,6))</f>
        <v/>
      </c>
      <c r="I485" s="68" t="str">
        <f>IF(main!U488="","",ROUND(main!U488*100,6))</f>
        <v/>
      </c>
      <c r="J485" s="68" t="str">
        <f>IF(main!V488="","",ROUND(main!V488*100,6))</f>
        <v/>
      </c>
      <c r="K485" s="68" t="str">
        <f>IF(main!W488="","",ROUND(main!W488*100,6))</f>
        <v/>
      </c>
      <c r="L485" s="68" t="str">
        <f>IF(main!X488="","",ROUND(main!X488*100,6))</f>
        <v/>
      </c>
      <c r="M485" s="68" t="str">
        <f>IF(main!Y488="","",ROUND(main!Y488*100,6))</f>
        <v/>
      </c>
      <c r="N485" s="68" t="str">
        <f>IF(main!Z488="","",ROUND(main!Z488*100,6))</f>
        <v/>
      </c>
      <c r="O485" s="68" t="str">
        <f>IF(main!AA488="","",ROUND(main!AA488*100,6))</f>
        <v/>
      </c>
      <c r="P485" s="68" t="str">
        <f>IF(main!AB488="","",ROUND(main!AB488*100,6))</f>
        <v/>
      </c>
      <c r="Q485" s="68" t="str">
        <f>IF(main!AC488="","",ROUND(main!AC488*100,6))</f>
        <v/>
      </c>
      <c r="R485" s="68" t="str">
        <f>IF(main!AD488="","",ROUND(main!AD488*100,6))</f>
        <v/>
      </c>
      <c r="S485" s="68" t="str">
        <f>IF(main!AE488="","",ROUND(main!AE488*100,6))</f>
        <v/>
      </c>
      <c r="T485" s="68" t="str">
        <f>IF(main!AF488="","",ROUND(main!AF488*100,6))</f>
        <v/>
      </c>
      <c r="U485" s="68" t="str">
        <f>IF(main!AG488="","",ROUND(main!AG488*100,6))</f>
        <v/>
      </c>
      <c r="V485" s="68" t="str">
        <f>IF(main!AH488="","",ROUND(main!AH488*100,6))</f>
        <v/>
      </c>
      <c r="W485" s="68" t="str">
        <f>IF(main!AI488="","",ROUND(main!AI488*100,6))</f>
        <v/>
      </c>
      <c r="X485" s="68" t="str">
        <f>IF(main!AJ488="","",ROUND(main!AJ488*100,6))</f>
        <v/>
      </c>
      <c r="Y485" s="68" t="str">
        <f>IF(main!AK488="","",ROUND(main!AK488*100,6))</f>
        <v/>
      </c>
      <c r="Z485" s="68" t="str">
        <f>IF(main!AL488="","",ROUND(main!AL488*100,6))</f>
        <v/>
      </c>
      <c r="AA485" s="68" t="str">
        <f>IF(main!AM488="","",ROUND(main!AM488*100,6))</f>
        <v/>
      </c>
      <c r="AB485" s="68" t="str">
        <f>IF(main!AN488="","",ROUND(main!AN488*100,6))</f>
        <v/>
      </c>
      <c r="AC485" s="68" t="str">
        <f>IF(main!AO488="","",ROUND(main!AO488*100,6))</f>
        <v/>
      </c>
      <c r="AD485" s="68" t="str">
        <f>IF(main!AP488="","",ROUND(main!AP488*100,6))</f>
        <v/>
      </c>
      <c r="AE485" s="68" t="str">
        <f>IF(main!AQ488="","",ROUND(main!AQ488*100,6))</f>
        <v/>
      </c>
      <c r="AF485" s="68" t="str">
        <f>IF(main!AR488="","",ROUND(main!AR488*100,6))</f>
        <v/>
      </c>
      <c r="AG485" s="68" t="str">
        <f>IF(main!AS488="","",ROUND(main!AS488*100,6))</f>
        <v/>
      </c>
      <c r="AH485" s="68" t="str">
        <f>IF(main!AT488="","",ROUND(main!AT488*100,6))</f>
        <v/>
      </c>
      <c r="AI485" s="68" t="str">
        <f>IF(main!AU488="","",ROUND(main!AU488*100,6))</f>
        <v/>
      </c>
      <c r="AJ485" s="68" t="str">
        <f>IF(main!AV488="","",ROUND(main!AV488*100,6))</f>
        <v/>
      </c>
      <c r="AK485" s="68" t="str">
        <f>IF(main!AW488="","",ROUND(main!AW488*100,6))</f>
        <v/>
      </c>
      <c r="AL485" s="68" t="str">
        <f>IF(main!AX488="","",ROUND(main!AX488*100,6))</f>
        <v/>
      </c>
      <c r="AM485" s="68" t="str">
        <f>IF(main!AY488="","",ROUND(main!AY488*100,6))</f>
        <v/>
      </c>
      <c r="AN485" s="68" t="str">
        <f>IF(main!AZ488="","",ROUND(main!AZ488*100,6))</f>
        <v/>
      </c>
      <c r="AO485" s="68" t="str">
        <f>IF(main!BA488="","",ROUND(main!BA488*100,6))</f>
        <v/>
      </c>
      <c r="AP485" s="68" t="str">
        <f>IF(main!BB488="","",ROUND(main!BB488*100,6))</f>
        <v/>
      </c>
      <c r="AQ485" s="68" t="str">
        <f>IF(main!BC488="","",ROUND(main!BC488*100,6))</f>
        <v/>
      </c>
      <c r="AR485" s="68" t="str">
        <f>IF(main!BD488="","",ROUND(main!BD488*100,6))</f>
        <v/>
      </c>
      <c r="AS485" s="68" t="str">
        <f>IF(main!BE488="","",ROUND(main!BE488*100,6))</f>
        <v/>
      </c>
      <c r="AT485" s="68" t="str">
        <f>IF(main!BF488="","",ROUND(main!BF488*100,6))</f>
        <v/>
      </c>
      <c r="AU485" s="68" t="str">
        <f>IF(main!BG488="","",ROUND(main!BG488*100,6))</f>
        <v/>
      </c>
      <c r="AV485" s="68" t="str">
        <f>IF(main!BH488="","",ROUND(main!BH488*100,6))</f>
        <v/>
      </c>
      <c r="AW485" s="68" t="str">
        <f>IF(main!BI488="","",ROUND(main!BI488*100,6))</f>
        <v/>
      </c>
      <c r="AX485" s="68" t="str">
        <f>IF(main!BJ488="","",ROUND(main!BJ488*100,6))</f>
        <v/>
      </c>
      <c r="AY485" s="68" t="str">
        <f>IF(main!BK488="","",ROUND(main!BK488*100,6))</f>
        <v/>
      </c>
      <c r="AZ485" s="68" t="str">
        <f>IF(main!BL488="","",ROUND(main!BL488*100,6))</f>
        <v/>
      </c>
      <c r="BA485" s="68" t="str">
        <f>IF(main!BM488="","",ROUND(main!BM488*100,6))</f>
        <v/>
      </c>
      <c r="BB485" s="68" t="str">
        <f>IF(main!BN488="","",ROUND(main!BN488*100,6))</f>
        <v/>
      </c>
      <c r="BC485" s="68" t="str">
        <f>IF(main!BO488="","",ROUND(main!BO488*100,6))</f>
        <v/>
      </c>
      <c r="BD485" s="68" t="str">
        <f>IF(main!BP488="","",ROUND(main!BP488*100,6))</f>
        <v/>
      </c>
      <c r="BE485" s="68" t="str">
        <f>IF(main!BQ488="","",ROUND(main!BQ488*100,6))</f>
        <v/>
      </c>
      <c r="BF485" s="68" t="str">
        <f>IF(main!BR488="","",ROUND(main!BR488*100,6))</f>
        <v/>
      </c>
      <c r="BG485" s="68" t="str">
        <f>IF(main!BS488="","",ROUND(main!BS488*100,6))</f>
        <v/>
      </c>
      <c r="BH485" s="68" t="str">
        <f>IF(main!BT488="","",ROUND(main!BT488*100,6))</f>
        <v/>
      </c>
      <c r="BI485" s="68" t="str">
        <f>IF(main!BU488="","",ROUND(main!BU488*100,6))</f>
        <v/>
      </c>
      <c r="BJ485" s="68" t="str">
        <f>IF(main!BV488="","",ROUND(main!BV488*100,6))</f>
        <v/>
      </c>
      <c r="BK485" s="68" t="str">
        <f>IF(main!BW488="","",ROUND(main!BW488*100,6))</f>
        <v/>
      </c>
      <c r="BL485" s="68" t="str">
        <f>IF(main!BX488="","",ROUND(main!BX488*100,6))</f>
        <v/>
      </c>
      <c r="BM485" s="68" t="str">
        <f>IF(main!BY488="","",ROUND(main!BY488*100,6))</f>
        <v/>
      </c>
      <c r="BN485" s="68" t="str">
        <f>IF(main!BZ488="","",ROUND(main!BZ488*100,6))</f>
        <v/>
      </c>
      <c r="BO485" s="68" t="str">
        <f>IF(main!CA488="","",ROUND(main!CA488*100,6))</f>
        <v/>
      </c>
      <c r="BP485" s="68" t="str">
        <f>IF(main!CB488="","",ROUND(main!CB488*100,6))</f>
        <v/>
      </c>
      <c r="BQ485" s="68" t="str">
        <f>IF(main!CC488="","",ROUND(main!CC488*100,6))</f>
        <v/>
      </c>
      <c r="BR485" s="68" t="str">
        <f>IF(main!CD488="","",ROUND(main!CD488*100,6))</f>
        <v/>
      </c>
      <c r="BS485" s="68" t="str">
        <f>IF(main!CE488="","",ROUND(main!CE488*100,6))</f>
        <v/>
      </c>
      <c r="BT485" s="68" t="str">
        <f>IF(main!CF488="","",ROUND(main!CF488*100,6))</f>
        <v/>
      </c>
      <c r="BU485" s="68" t="str">
        <f>IF(main!CG488="","",ROUND(main!CG488*100,6))</f>
        <v/>
      </c>
      <c r="BV485" s="68" t="str">
        <f>IF(main!CH488="","",ROUND(main!CH488*100,6))</f>
        <v/>
      </c>
      <c r="BW485" s="68" t="str">
        <f>IF(main!CI488="","",ROUND(main!CI488*100,6))</f>
        <v/>
      </c>
      <c r="BX485" s="68" t="str">
        <f>IF(main!CJ488="","",ROUND(main!CJ488*100,6))</f>
        <v/>
      </c>
      <c r="BY485" s="68" t="str">
        <f>IF(main!CK488="","",ROUND(main!CK488*100,6))</f>
        <v/>
      </c>
      <c r="BZ485" s="68" t="str">
        <f>IF(main!CL488="","",ROUND(main!CL488*100,6))</f>
        <v/>
      </c>
      <c r="CA485" s="68" t="str">
        <f>IF(main!CM488="","",ROUND(main!CM488*100,6))</f>
        <v/>
      </c>
      <c r="CB485" s="68" t="str">
        <f>IF(main!CN488="","",ROUND(main!CN488*100,6))</f>
        <v/>
      </c>
      <c r="CC485" s="68" t="str">
        <f>IF(main!CO488="","",ROUND(main!CO488*100,6))</f>
        <v/>
      </c>
    </row>
    <row r="486" spans="1:81" x14ac:dyDescent="0.25">
      <c r="A486" s="65" t="s">
        <v>655</v>
      </c>
      <c r="B486" s="66" t="str">
        <f>main!C489</f>
        <v>Lift</v>
      </c>
      <c r="C486" s="67">
        <f>main!O489</f>
        <v>400000</v>
      </c>
      <c r="D486" s="65" t="s">
        <v>110</v>
      </c>
      <c r="E486" s="68">
        <f t="shared" si="7"/>
        <v>99.999998000000005</v>
      </c>
      <c r="F486" s="68" t="str">
        <f>IF(main!R489="","",ROUND(main!R489*100,6))</f>
        <v/>
      </c>
      <c r="G486" s="68" t="str">
        <f>IF(main!S489="","",ROUND(main!S489*100,6))</f>
        <v/>
      </c>
      <c r="H486" s="68" t="str">
        <f>IF(main!T489="","",ROUND(main!T489*100,6))</f>
        <v/>
      </c>
      <c r="I486" s="68" t="str">
        <f>IF(main!U489="","",ROUND(main!U489*100,6))</f>
        <v/>
      </c>
      <c r="J486" s="68" t="str">
        <f>IF(main!V489="","",ROUND(main!V489*100,6))</f>
        <v/>
      </c>
      <c r="K486" s="68" t="str">
        <f>IF(main!W489="","",ROUND(main!W489*100,6))</f>
        <v/>
      </c>
      <c r="L486" s="68" t="str">
        <f>IF(main!X489="","",ROUND(main!X489*100,6))</f>
        <v/>
      </c>
      <c r="M486" s="68" t="str">
        <f>IF(main!Y489="","",ROUND(main!Y489*100,6))</f>
        <v/>
      </c>
      <c r="N486" s="68" t="str">
        <f>IF(main!Z489="","",ROUND(main!Z489*100,6))</f>
        <v/>
      </c>
      <c r="O486" s="68" t="str">
        <f>IF(main!AA489="","",ROUND(main!AA489*100,6))</f>
        <v/>
      </c>
      <c r="P486" s="68" t="str">
        <f>IF(main!AB489="","",ROUND(main!AB489*100,6))</f>
        <v/>
      </c>
      <c r="Q486" s="68" t="str">
        <f>IF(main!AC489="","",ROUND(main!AC489*100,6))</f>
        <v/>
      </c>
      <c r="R486" s="68" t="str">
        <f>IF(main!AD489="","",ROUND(main!AD489*100,6))</f>
        <v/>
      </c>
      <c r="S486" s="68" t="str">
        <f>IF(main!AE489="","",ROUND(main!AE489*100,6))</f>
        <v/>
      </c>
      <c r="T486" s="68" t="str">
        <f>IF(main!AF489="","",ROUND(main!AF489*100,6))</f>
        <v/>
      </c>
      <c r="U486" s="68" t="str">
        <f>IF(main!AG489="","",ROUND(main!AG489*100,6))</f>
        <v/>
      </c>
      <c r="V486" s="68" t="str">
        <f>IF(main!AH489="","",ROUND(main!AH489*100,6))</f>
        <v/>
      </c>
      <c r="W486" s="68" t="str">
        <f>IF(main!AI489="","",ROUND(main!AI489*100,6))</f>
        <v/>
      </c>
      <c r="X486" s="68" t="str">
        <f>IF(main!AJ489="","",ROUND(main!AJ489*100,6))</f>
        <v/>
      </c>
      <c r="Y486" s="68" t="str">
        <f>IF(main!AK489="","",ROUND(main!AK489*100,6))</f>
        <v/>
      </c>
      <c r="Z486" s="68" t="str">
        <f>IF(main!AL489="","",ROUND(main!AL489*100,6))</f>
        <v/>
      </c>
      <c r="AA486" s="68" t="str">
        <f>IF(main!AM489="","",ROUND(main!AM489*100,6))</f>
        <v/>
      </c>
      <c r="AB486" s="68" t="str">
        <f>IF(main!AN489="","",ROUND(main!AN489*100,6))</f>
        <v/>
      </c>
      <c r="AC486" s="68" t="str">
        <f>IF(main!AO489="","",ROUND(main!AO489*100,6))</f>
        <v/>
      </c>
      <c r="AD486" s="68" t="str">
        <f>IF(main!AP489="","",ROUND(main!AP489*100,6))</f>
        <v/>
      </c>
      <c r="AE486" s="68" t="str">
        <f>IF(main!AQ489="","",ROUND(main!AQ489*100,6))</f>
        <v/>
      </c>
      <c r="AF486" s="68" t="str">
        <f>IF(main!AR489="","",ROUND(main!AR489*100,6))</f>
        <v/>
      </c>
      <c r="AG486" s="68" t="str">
        <f>IF(main!AS489="","",ROUND(main!AS489*100,6))</f>
        <v/>
      </c>
      <c r="AH486" s="68" t="str">
        <f>IF(main!AT489="","",ROUND(main!AT489*100,6))</f>
        <v/>
      </c>
      <c r="AI486" s="68" t="str">
        <f>IF(main!AU489="","",ROUND(main!AU489*100,6))</f>
        <v/>
      </c>
      <c r="AJ486" s="68" t="str">
        <f>IF(main!AV489="","",ROUND(main!AV489*100,6))</f>
        <v/>
      </c>
      <c r="AK486" s="68" t="str">
        <f>IF(main!AW489="","",ROUND(main!AW489*100,6))</f>
        <v/>
      </c>
      <c r="AL486" s="68" t="str">
        <f>IF(main!AX489="","",ROUND(main!AX489*100,6))</f>
        <v/>
      </c>
      <c r="AM486" s="68" t="str">
        <f>IF(main!AY489="","",ROUND(main!AY489*100,6))</f>
        <v/>
      </c>
      <c r="AN486" s="68" t="str">
        <f>IF(main!AZ489="","",ROUND(main!AZ489*100,6))</f>
        <v/>
      </c>
      <c r="AO486" s="68" t="str">
        <f>IF(main!BA489="","",ROUND(main!BA489*100,6))</f>
        <v/>
      </c>
      <c r="AP486" s="68" t="str">
        <f>IF(main!BB489="","",ROUND(main!BB489*100,6))</f>
        <v/>
      </c>
      <c r="AQ486" s="68" t="str">
        <f>IF(main!BC489="","",ROUND(main!BC489*100,6))</f>
        <v/>
      </c>
      <c r="AR486" s="68" t="str">
        <f>IF(main!BD489="","",ROUND(main!BD489*100,6))</f>
        <v/>
      </c>
      <c r="AS486" s="68" t="str">
        <f>IF(main!BE489="","",ROUND(main!BE489*100,6))</f>
        <v/>
      </c>
      <c r="AT486" s="68">
        <f>IF(main!BF489="","",ROUND(main!BF489*100,6))</f>
        <v>0.59523800000000004</v>
      </c>
      <c r="AU486" s="68">
        <f>IF(main!BG489="","",ROUND(main!BG489*100,6))</f>
        <v>4.1666670000000003</v>
      </c>
      <c r="AV486" s="68">
        <f>IF(main!BH489="","",ROUND(main!BH489*100,6))</f>
        <v>4.1666670000000003</v>
      </c>
      <c r="AW486" s="68">
        <f>IF(main!BI489="","",ROUND(main!BI489*100,6))</f>
        <v>4.1666670000000003</v>
      </c>
      <c r="AX486" s="68">
        <f>IF(main!BJ489="","",ROUND(main!BJ489*100,6))</f>
        <v>4.1666670000000003</v>
      </c>
      <c r="AY486" s="68">
        <f>IF(main!BK489="","",ROUND(main!BK489*100,6))</f>
        <v>4.1666670000000003</v>
      </c>
      <c r="AZ486" s="68">
        <f>IF(main!BL489="","",ROUND(main!BL489*100,6))</f>
        <v>3.8265310000000001</v>
      </c>
      <c r="BA486" s="68">
        <f>IF(main!BM489="","",ROUND(main!BM489*100,6))</f>
        <v>1.785714</v>
      </c>
      <c r="BB486" s="68">
        <f>IF(main!BN489="","",ROUND(main!BN489*100,6))</f>
        <v>1.785714</v>
      </c>
      <c r="BC486" s="68">
        <f>IF(main!BO489="","",ROUND(main!BO489*100,6))</f>
        <v>1.785714</v>
      </c>
      <c r="BD486" s="68">
        <f>IF(main!BP489="","",ROUND(main!BP489*100,6))</f>
        <v>1.785714</v>
      </c>
      <c r="BE486" s="68">
        <f>IF(main!BQ489="","",ROUND(main!BQ489*100,6))</f>
        <v>1.785714</v>
      </c>
      <c r="BF486" s="68">
        <f>IF(main!BR489="","",ROUND(main!BR489*100,6))</f>
        <v>1.785714</v>
      </c>
      <c r="BG486" s="68">
        <f>IF(main!BS489="","",ROUND(main!BS489*100,6))</f>
        <v>1.785714</v>
      </c>
      <c r="BH486" s="68">
        <f>IF(main!BT489="","",ROUND(main!BT489*100,6))</f>
        <v>1.785714</v>
      </c>
      <c r="BI486" s="68">
        <f>IF(main!BU489="","",ROUND(main!BU489*100,6))</f>
        <v>1.785714</v>
      </c>
      <c r="BJ486" s="68">
        <f>IF(main!BV489="","",ROUND(main!BV489*100,6))</f>
        <v>1.785714</v>
      </c>
      <c r="BK486" s="68">
        <f>IF(main!BW489="","",ROUND(main!BW489*100,6))</f>
        <v>1.785714</v>
      </c>
      <c r="BL486" s="68">
        <f>IF(main!BX489="","",ROUND(main!BX489*100,6))</f>
        <v>1.785714</v>
      </c>
      <c r="BM486" s="68">
        <f>IF(main!BY489="","",ROUND(main!BY489*100,6))</f>
        <v>1.785714</v>
      </c>
      <c r="BN486" s="68">
        <f>IF(main!BZ489="","",ROUND(main!BZ489*100,6))</f>
        <v>1.667224</v>
      </c>
      <c r="BO486" s="68">
        <f>IF(main!CA489="","",ROUND(main!CA489*100,6))</f>
        <v>1.912568</v>
      </c>
      <c r="BP486" s="68">
        <f>IF(main!CB489="","",ROUND(main!CB489*100,6))</f>
        <v>2.868852</v>
      </c>
      <c r="BQ486" s="68">
        <f>IF(main!CC489="","",ROUND(main!CC489*100,6))</f>
        <v>3.8251369999999998</v>
      </c>
      <c r="BR486" s="68">
        <f>IF(main!CD489="","",ROUND(main!CD489*100,6))</f>
        <v>4.7814209999999999</v>
      </c>
      <c r="BS486" s="68">
        <f>IF(main!CE489="","",ROUND(main!CE489*100,6))</f>
        <v>5.7377050000000001</v>
      </c>
      <c r="BT486" s="68">
        <f>IF(main!CF489="","",ROUND(main!CF489*100,6))</f>
        <v>7.5234189999999996</v>
      </c>
      <c r="BU486" s="68">
        <f>IF(main!CG489="","",ROUND(main!CG489*100,6))</f>
        <v>12.5</v>
      </c>
      <c r="BV486" s="68">
        <f>IF(main!CH489="","",ROUND(main!CH489*100,6))</f>
        <v>10.714286</v>
      </c>
      <c r="BW486" s="68" t="str">
        <f>IF(main!CI489="","",ROUND(main!CI489*100,6))</f>
        <v/>
      </c>
      <c r="BX486" s="68" t="str">
        <f>IF(main!CJ489="","",ROUND(main!CJ489*100,6))</f>
        <v/>
      </c>
      <c r="BY486" s="68" t="str">
        <f>IF(main!CK489="","",ROUND(main!CK489*100,6))</f>
        <v/>
      </c>
      <c r="BZ486" s="68" t="str">
        <f>IF(main!CL489="","",ROUND(main!CL489*100,6))</f>
        <v/>
      </c>
      <c r="CA486" s="68" t="str">
        <f>IF(main!CM489="","",ROUND(main!CM489*100,6))</f>
        <v/>
      </c>
      <c r="CB486" s="68" t="str">
        <f>IF(main!CN489="","",ROUND(main!CN489*100,6))</f>
        <v/>
      </c>
      <c r="CC486" s="68" t="str">
        <f>IF(main!CO489="","",ROUND(main!CO489*100,6))</f>
        <v/>
      </c>
    </row>
    <row r="487" spans="1:81" x14ac:dyDescent="0.25">
      <c r="A487" s="65" t="s">
        <v>655</v>
      </c>
      <c r="B487" s="66" t="str">
        <f>main!C489</f>
        <v>Lift</v>
      </c>
      <c r="C487" s="67">
        <f>main!O489</f>
        <v>400000</v>
      </c>
      <c r="D487" s="65" t="s">
        <v>111</v>
      </c>
      <c r="E487" s="68" t="str">
        <f t="shared" si="7"/>
        <v/>
      </c>
      <c r="F487" s="68" t="str">
        <f>IF(main!R490="","",ROUND(main!R490*100,6))</f>
        <v/>
      </c>
      <c r="G487" s="68" t="str">
        <f>IF(main!S490="","",ROUND(main!S490*100,6))</f>
        <v/>
      </c>
      <c r="H487" s="68" t="str">
        <f>IF(main!T490="","",ROUND(main!T490*100,6))</f>
        <v/>
      </c>
      <c r="I487" s="68" t="str">
        <f>IF(main!U490="","",ROUND(main!U490*100,6))</f>
        <v/>
      </c>
      <c r="J487" s="68" t="str">
        <f>IF(main!V490="","",ROUND(main!V490*100,6))</f>
        <v/>
      </c>
      <c r="K487" s="68" t="str">
        <f>IF(main!W490="","",ROUND(main!W490*100,6))</f>
        <v/>
      </c>
      <c r="L487" s="68" t="str">
        <f>IF(main!X490="","",ROUND(main!X490*100,6))</f>
        <v/>
      </c>
      <c r="M487" s="68" t="str">
        <f>IF(main!Y490="","",ROUND(main!Y490*100,6))</f>
        <v/>
      </c>
      <c r="N487" s="68" t="str">
        <f>IF(main!Z490="","",ROUND(main!Z490*100,6))</f>
        <v/>
      </c>
      <c r="O487" s="68" t="str">
        <f>IF(main!AA490="","",ROUND(main!AA490*100,6))</f>
        <v/>
      </c>
      <c r="P487" s="68" t="str">
        <f>IF(main!AB490="","",ROUND(main!AB490*100,6))</f>
        <v/>
      </c>
      <c r="Q487" s="68" t="str">
        <f>IF(main!AC490="","",ROUND(main!AC490*100,6))</f>
        <v/>
      </c>
      <c r="R487" s="68" t="str">
        <f>IF(main!AD490="","",ROUND(main!AD490*100,6))</f>
        <v/>
      </c>
      <c r="S487" s="68" t="str">
        <f>IF(main!AE490="","",ROUND(main!AE490*100,6))</f>
        <v/>
      </c>
      <c r="T487" s="68" t="str">
        <f>IF(main!AF490="","",ROUND(main!AF490*100,6))</f>
        <v/>
      </c>
      <c r="U487" s="68" t="str">
        <f>IF(main!AG490="","",ROUND(main!AG490*100,6))</f>
        <v/>
      </c>
      <c r="V487" s="68" t="str">
        <f>IF(main!AH490="","",ROUND(main!AH490*100,6))</f>
        <v/>
      </c>
      <c r="W487" s="68" t="str">
        <f>IF(main!AI490="","",ROUND(main!AI490*100,6))</f>
        <v/>
      </c>
      <c r="X487" s="68" t="str">
        <f>IF(main!AJ490="","",ROUND(main!AJ490*100,6))</f>
        <v/>
      </c>
      <c r="Y487" s="68" t="str">
        <f>IF(main!AK490="","",ROUND(main!AK490*100,6))</f>
        <v/>
      </c>
      <c r="Z487" s="68" t="str">
        <f>IF(main!AL490="","",ROUND(main!AL490*100,6))</f>
        <v/>
      </c>
      <c r="AA487" s="68" t="str">
        <f>IF(main!AM490="","",ROUND(main!AM490*100,6))</f>
        <v/>
      </c>
      <c r="AB487" s="68" t="str">
        <f>IF(main!AN490="","",ROUND(main!AN490*100,6))</f>
        <v/>
      </c>
      <c r="AC487" s="68" t="str">
        <f>IF(main!AO490="","",ROUND(main!AO490*100,6))</f>
        <v/>
      </c>
      <c r="AD487" s="68" t="str">
        <f>IF(main!AP490="","",ROUND(main!AP490*100,6))</f>
        <v/>
      </c>
      <c r="AE487" s="68" t="str">
        <f>IF(main!AQ490="","",ROUND(main!AQ490*100,6))</f>
        <v/>
      </c>
      <c r="AF487" s="68" t="str">
        <f>IF(main!AR490="","",ROUND(main!AR490*100,6))</f>
        <v/>
      </c>
      <c r="AG487" s="68" t="str">
        <f>IF(main!AS490="","",ROUND(main!AS490*100,6))</f>
        <v/>
      </c>
      <c r="AH487" s="68" t="str">
        <f>IF(main!AT490="","",ROUND(main!AT490*100,6))</f>
        <v/>
      </c>
      <c r="AI487" s="68" t="str">
        <f>IF(main!AU490="","",ROUND(main!AU490*100,6))</f>
        <v/>
      </c>
      <c r="AJ487" s="68" t="str">
        <f>IF(main!AV490="","",ROUND(main!AV490*100,6))</f>
        <v/>
      </c>
      <c r="AK487" s="68" t="str">
        <f>IF(main!AW490="","",ROUND(main!AW490*100,6))</f>
        <v/>
      </c>
      <c r="AL487" s="68" t="str">
        <f>IF(main!AX490="","",ROUND(main!AX490*100,6))</f>
        <v/>
      </c>
      <c r="AM487" s="68" t="str">
        <f>IF(main!AY490="","",ROUND(main!AY490*100,6))</f>
        <v/>
      </c>
      <c r="AN487" s="68" t="str">
        <f>IF(main!AZ490="","",ROUND(main!AZ490*100,6))</f>
        <v/>
      </c>
      <c r="AO487" s="68" t="str">
        <f>IF(main!BA490="","",ROUND(main!BA490*100,6))</f>
        <v/>
      </c>
      <c r="AP487" s="68" t="str">
        <f>IF(main!BB490="","",ROUND(main!BB490*100,6))</f>
        <v/>
      </c>
      <c r="AQ487" s="68" t="str">
        <f>IF(main!BC490="","",ROUND(main!BC490*100,6))</f>
        <v/>
      </c>
      <c r="AR487" s="68" t="str">
        <f>IF(main!BD490="","",ROUND(main!BD490*100,6))</f>
        <v/>
      </c>
      <c r="AS487" s="68" t="str">
        <f>IF(main!BE490="","",ROUND(main!BE490*100,6))</f>
        <v/>
      </c>
      <c r="AT487" s="68" t="str">
        <f>IF(main!BF490="","",ROUND(main!BF490*100,6))</f>
        <v/>
      </c>
      <c r="AU487" s="68" t="str">
        <f>IF(main!BG490="","",ROUND(main!BG490*100,6))</f>
        <v/>
      </c>
      <c r="AV487" s="68" t="str">
        <f>IF(main!BH490="","",ROUND(main!BH490*100,6))</f>
        <v/>
      </c>
      <c r="AW487" s="68" t="str">
        <f>IF(main!BI490="","",ROUND(main!BI490*100,6))</f>
        <v/>
      </c>
      <c r="AX487" s="68" t="str">
        <f>IF(main!BJ490="","",ROUND(main!BJ490*100,6))</f>
        <v/>
      </c>
      <c r="AY487" s="68" t="str">
        <f>IF(main!BK490="","",ROUND(main!BK490*100,6))</f>
        <v/>
      </c>
      <c r="AZ487" s="68" t="str">
        <f>IF(main!BL490="","",ROUND(main!BL490*100,6))</f>
        <v/>
      </c>
      <c r="BA487" s="68" t="str">
        <f>IF(main!BM490="","",ROUND(main!BM490*100,6))</f>
        <v/>
      </c>
      <c r="BB487" s="68" t="str">
        <f>IF(main!BN490="","",ROUND(main!BN490*100,6))</f>
        <v/>
      </c>
      <c r="BC487" s="68" t="str">
        <f>IF(main!BO490="","",ROUND(main!BO490*100,6))</f>
        <v/>
      </c>
      <c r="BD487" s="68" t="str">
        <f>IF(main!BP490="","",ROUND(main!BP490*100,6))</f>
        <v/>
      </c>
      <c r="BE487" s="68" t="str">
        <f>IF(main!BQ490="","",ROUND(main!BQ490*100,6))</f>
        <v/>
      </c>
      <c r="BF487" s="68" t="str">
        <f>IF(main!BR490="","",ROUND(main!BR490*100,6))</f>
        <v/>
      </c>
      <c r="BG487" s="68" t="str">
        <f>IF(main!BS490="","",ROUND(main!BS490*100,6))</f>
        <v/>
      </c>
      <c r="BH487" s="68" t="str">
        <f>IF(main!BT490="","",ROUND(main!BT490*100,6))</f>
        <v/>
      </c>
      <c r="BI487" s="68" t="str">
        <f>IF(main!BU490="","",ROUND(main!BU490*100,6))</f>
        <v/>
      </c>
      <c r="BJ487" s="68" t="str">
        <f>IF(main!BV490="","",ROUND(main!BV490*100,6))</f>
        <v/>
      </c>
      <c r="BK487" s="68" t="str">
        <f>IF(main!BW490="","",ROUND(main!BW490*100,6))</f>
        <v/>
      </c>
      <c r="BL487" s="68" t="str">
        <f>IF(main!BX490="","",ROUND(main!BX490*100,6))</f>
        <v/>
      </c>
      <c r="BM487" s="68" t="str">
        <f>IF(main!BY490="","",ROUND(main!BY490*100,6))</f>
        <v/>
      </c>
      <c r="BN487" s="68" t="str">
        <f>IF(main!BZ490="","",ROUND(main!BZ490*100,6))</f>
        <v/>
      </c>
      <c r="BO487" s="68" t="str">
        <f>IF(main!CA490="","",ROUND(main!CA490*100,6))</f>
        <v/>
      </c>
      <c r="BP487" s="68" t="str">
        <f>IF(main!CB490="","",ROUND(main!CB490*100,6))</f>
        <v/>
      </c>
      <c r="BQ487" s="68" t="str">
        <f>IF(main!CC490="","",ROUND(main!CC490*100,6))</f>
        <v/>
      </c>
      <c r="BR487" s="68" t="str">
        <f>IF(main!CD490="","",ROUND(main!CD490*100,6))</f>
        <v/>
      </c>
      <c r="BS487" s="68" t="str">
        <f>IF(main!CE490="","",ROUND(main!CE490*100,6))</f>
        <v/>
      </c>
      <c r="BT487" s="68" t="str">
        <f>IF(main!CF490="","",ROUND(main!CF490*100,6))</f>
        <v/>
      </c>
      <c r="BU487" s="68" t="str">
        <f>IF(main!CG490="","",ROUND(main!CG490*100,6))</f>
        <v/>
      </c>
      <c r="BV487" s="68" t="str">
        <f>IF(main!CH490="","",ROUND(main!CH490*100,6))</f>
        <v/>
      </c>
      <c r="BW487" s="68" t="str">
        <f>IF(main!CI490="","",ROUND(main!CI490*100,6))</f>
        <v/>
      </c>
      <c r="BX487" s="68" t="str">
        <f>IF(main!CJ490="","",ROUND(main!CJ490*100,6))</f>
        <v/>
      </c>
      <c r="BY487" s="68" t="str">
        <f>IF(main!CK490="","",ROUND(main!CK490*100,6))</f>
        <v/>
      </c>
      <c r="BZ487" s="68" t="str">
        <f>IF(main!CL490="","",ROUND(main!CL490*100,6))</f>
        <v/>
      </c>
      <c r="CA487" s="68" t="str">
        <f>IF(main!CM490="","",ROUND(main!CM490*100,6))</f>
        <v/>
      </c>
      <c r="CB487" s="68" t="str">
        <f>IF(main!CN490="","",ROUND(main!CN490*100,6))</f>
        <v/>
      </c>
      <c r="CC487" s="68" t="str">
        <f>IF(main!CO490="","",ROUND(main!CO490*100,6))</f>
        <v/>
      </c>
    </row>
    <row r="488" spans="1:81" x14ac:dyDescent="0.25">
      <c r="A488" s="65" t="s">
        <v>656</v>
      </c>
      <c r="B488" s="66" t="str">
        <f>main!C491</f>
        <v>ผนังกระจกลิฟท์</v>
      </c>
      <c r="C488" s="67">
        <f>main!O491</f>
        <v>100000</v>
      </c>
      <c r="D488" s="65" t="s">
        <v>110</v>
      </c>
      <c r="E488" s="68">
        <f t="shared" si="7"/>
        <v>100.000001</v>
      </c>
      <c r="F488" s="68" t="str">
        <f>IF(main!R491="","",ROUND(main!R491*100,6))</f>
        <v/>
      </c>
      <c r="G488" s="68" t="str">
        <f>IF(main!S491="","",ROUND(main!S491*100,6))</f>
        <v/>
      </c>
      <c r="H488" s="68" t="str">
        <f>IF(main!T491="","",ROUND(main!T491*100,6))</f>
        <v/>
      </c>
      <c r="I488" s="68" t="str">
        <f>IF(main!U491="","",ROUND(main!U491*100,6))</f>
        <v/>
      </c>
      <c r="J488" s="68" t="str">
        <f>IF(main!V491="","",ROUND(main!V491*100,6))</f>
        <v/>
      </c>
      <c r="K488" s="68" t="str">
        <f>IF(main!W491="","",ROUND(main!W491*100,6))</f>
        <v/>
      </c>
      <c r="L488" s="68" t="str">
        <f>IF(main!X491="","",ROUND(main!X491*100,6))</f>
        <v/>
      </c>
      <c r="M488" s="68" t="str">
        <f>IF(main!Y491="","",ROUND(main!Y491*100,6))</f>
        <v/>
      </c>
      <c r="N488" s="68" t="str">
        <f>IF(main!Z491="","",ROUND(main!Z491*100,6))</f>
        <v/>
      </c>
      <c r="O488" s="68" t="str">
        <f>IF(main!AA491="","",ROUND(main!AA491*100,6))</f>
        <v/>
      </c>
      <c r="P488" s="68" t="str">
        <f>IF(main!AB491="","",ROUND(main!AB491*100,6))</f>
        <v/>
      </c>
      <c r="Q488" s="68" t="str">
        <f>IF(main!AC491="","",ROUND(main!AC491*100,6))</f>
        <v/>
      </c>
      <c r="R488" s="68" t="str">
        <f>IF(main!AD491="","",ROUND(main!AD491*100,6))</f>
        <v/>
      </c>
      <c r="S488" s="68" t="str">
        <f>IF(main!AE491="","",ROUND(main!AE491*100,6))</f>
        <v/>
      </c>
      <c r="T488" s="68" t="str">
        <f>IF(main!AF491="","",ROUND(main!AF491*100,6))</f>
        <v/>
      </c>
      <c r="U488" s="68" t="str">
        <f>IF(main!AG491="","",ROUND(main!AG491*100,6))</f>
        <v/>
      </c>
      <c r="V488" s="68" t="str">
        <f>IF(main!AH491="","",ROUND(main!AH491*100,6))</f>
        <v/>
      </c>
      <c r="W488" s="68" t="str">
        <f>IF(main!AI491="","",ROUND(main!AI491*100,6))</f>
        <v/>
      </c>
      <c r="X488" s="68" t="str">
        <f>IF(main!AJ491="","",ROUND(main!AJ491*100,6))</f>
        <v/>
      </c>
      <c r="Y488" s="68" t="str">
        <f>IF(main!AK491="","",ROUND(main!AK491*100,6))</f>
        <v/>
      </c>
      <c r="Z488" s="68" t="str">
        <f>IF(main!AL491="","",ROUND(main!AL491*100,6))</f>
        <v/>
      </c>
      <c r="AA488" s="68" t="str">
        <f>IF(main!AM491="","",ROUND(main!AM491*100,6))</f>
        <v/>
      </c>
      <c r="AB488" s="68" t="str">
        <f>IF(main!AN491="","",ROUND(main!AN491*100,6))</f>
        <v/>
      </c>
      <c r="AC488" s="68" t="str">
        <f>IF(main!AO491="","",ROUND(main!AO491*100,6))</f>
        <v/>
      </c>
      <c r="AD488" s="68" t="str">
        <f>IF(main!AP491="","",ROUND(main!AP491*100,6))</f>
        <v/>
      </c>
      <c r="AE488" s="68" t="str">
        <f>IF(main!AQ491="","",ROUND(main!AQ491*100,6))</f>
        <v/>
      </c>
      <c r="AF488" s="68" t="str">
        <f>IF(main!AR491="","",ROUND(main!AR491*100,6))</f>
        <v/>
      </c>
      <c r="AG488" s="68" t="str">
        <f>IF(main!AS491="","",ROUND(main!AS491*100,6))</f>
        <v/>
      </c>
      <c r="AH488" s="68" t="str">
        <f>IF(main!AT491="","",ROUND(main!AT491*100,6))</f>
        <v/>
      </c>
      <c r="AI488" s="68" t="str">
        <f>IF(main!AU491="","",ROUND(main!AU491*100,6))</f>
        <v/>
      </c>
      <c r="AJ488" s="68" t="str">
        <f>IF(main!AV491="","",ROUND(main!AV491*100,6))</f>
        <v/>
      </c>
      <c r="AK488" s="68" t="str">
        <f>IF(main!AW491="","",ROUND(main!AW491*100,6))</f>
        <v/>
      </c>
      <c r="AL488" s="68" t="str">
        <f>IF(main!AX491="","",ROUND(main!AX491*100,6))</f>
        <v/>
      </c>
      <c r="AM488" s="68" t="str">
        <f>IF(main!AY491="","",ROUND(main!AY491*100,6))</f>
        <v/>
      </c>
      <c r="AN488" s="68" t="str">
        <f>IF(main!AZ491="","",ROUND(main!AZ491*100,6))</f>
        <v/>
      </c>
      <c r="AO488" s="68" t="str">
        <f>IF(main!BA491="","",ROUND(main!BA491*100,6))</f>
        <v/>
      </c>
      <c r="AP488" s="68" t="str">
        <f>IF(main!BB491="","",ROUND(main!BB491*100,6))</f>
        <v/>
      </c>
      <c r="AQ488" s="68" t="str">
        <f>IF(main!BC491="","",ROUND(main!BC491*100,6))</f>
        <v/>
      </c>
      <c r="AR488" s="68" t="str">
        <f>IF(main!BD491="","",ROUND(main!BD491*100,6))</f>
        <v/>
      </c>
      <c r="AS488" s="68" t="str">
        <f>IF(main!BE491="","",ROUND(main!BE491*100,6))</f>
        <v/>
      </c>
      <c r="AT488" s="68">
        <f>IF(main!BF491="","",ROUND(main!BF491*100,6))</f>
        <v>2.3809520000000002</v>
      </c>
      <c r="AU488" s="68">
        <f>IF(main!BG491="","",ROUND(main!BG491*100,6))</f>
        <v>16.666667</v>
      </c>
      <c r="AV488" s="68">
        <f>IF(main!BH491="","",ROUND(main!BH491*100,6))</f>
        <v>16.666667</v>
      </c>
      <c r="AW488" s="68">
        <f>IF(main!BI491="","",ROUND(main!BI491*100,6))</f>
        <v>16.666667</v>
      </c>
      <c r="AX488" s="68">
        <f>IF(main!BJ491="","",ROUND(main!BJ491*100,6))</f>
        <v>16.666667</v>
      </c>
      <c r="AY488" s="68">
        <f>IF(main!BK491="","",ROUND(main!BK491*100,6))</f>
        <v>16.666667</v>
      </c>
      <c r="AZ488" s="68">
        <f>IF(main!BL491="","",ROUND(main!BL491*100,6))</f>
        <v>14.285714</v>
      </c>
      <c r="BA488" s="68" t="str">
        <f>IF(main!BM491="","",ROUND(main!BM491*100,6))</f>
        <v/>
      </c>
      <c r="BB488" s="68" t="str">
        <f>IF(main!BN491="","",ROUND(main!BN491*100,6))</f>
        <v/>
      </c>
      <c r="BC488" s="68" t="str">
        <f>IF(main!BO491="","",ROUND(main!BO491*100,6))</f>
        <v/>
      </c>
      <c r="BD488" s="68" t="str">
        <f>IF(main!BP491="","",ROUND(main!BP491*100,6))</f>
        <v/>
      </c>
      <c r="BE488" s="68" t="str">
        <f>IF(main!BQ491="","",ROUND(main!BQ491*100,6))</f>
        <v/>
      </c>
      <c r="BF488" s="68" t="str">
        <f>IF(main!BR491="","",ROUND(main!BR491*100,6))</f>
        <v/>
      </c>
      <c r="BG488" s="68" t="str">
        <f>IF(main!BS491="","",ROUND(main!BS491*100,6))</f>
        <v/>
      </c>
      <c r="BH488" s="68" t="str">
        <f>IF(main!BT491="","",ROUND(main!BT491*100,6))</f>
        <v/>
      </c>
      <c r="BI488" s="68" t="str">
        <f>IF(main!BU491="","",ROUND(main!BU491*100,6))</f>
        <v/>
      </c>
      <c r="BJ488" s="68" t="str">
        <f>IF(main!BV491="","",ROUND(main!BV491*100,6))</f>
        <v/>
      </c>
      <c r="BK488" s="68" t="str">
        <f>IF(main!BW491="","",ROUND(main!BW491*100,6))</f>
        <v/>
      </c>
      <c r="BL488" s="68" t="str">
        <f>IF(main!BX491="","",ROUND(main!BX491*100,6))</f>
        <v/>
      </c>
      <c r="BM488" s="68" t="str">
        <f>IF(main!BY491="","",ROUND(main!BY491*100,6))</f>
        <v/>
      </c>
      <c r="BN488" s="68" t="str">
        <f>IF(main!BZ491="","",ROUND(main!BZ491*100,6))</f>
        <v/>
      </c>
      <c r="BO488" s="68" t="str">
        <f>IF(main!CA491="","",ROUND(main!CA491*100,6))</f>
        <v/>
      </c>
      <c r="BP488" s="68" t="str">
        <f>IF(main!CB491="","",ROUND(main!CB491*100,6))</f>
        <v/>
      </c>
      <c r="BQ488" s="68" t="str">
        <f>IF(main!CC491="","",ROUND(main!CC491*100,6))</f>
        <v/>
      </c>
      <c r="BR488" s="68" t="str">
        <f>IF(main!CD491="","",ROUND(main!CD491*100,6))</f>
        <v/>
      </c>
      <c r="BS488" s="68" t="str">
        <f>IF(main!CE491="","",ROUND(main!CE491*100,6))</f>
        <v/>
      </c>
      <c r="BT488" s="68" t="str">
        <f>IF(main!CF491="","",ROUND(main!CF491*100,6))</f>
        <v/>
      </c>
      <c r="BU488" s="68" t="str">
        <f>IF(main!CG491="","",ROUND(main!CG491*100,6))</f>
        <v/>
      </c>
      <c r="BV488" s="68" t="str">
        <f>IF(main!CH491="","",ROUND(main!CH491*100,6))</f>
        <v/>
      </c>
      <c r="BW488" s="68" t="str">
        <f>IF(main!CI491="","",ROUND(main!CI491*100,6))</f>
        <v/>
      </c>
      <c r="BX488" s="68" t="str">
        <f>IF(main!CJ491="","",ROUND(main!CJ491*100,6))</f>
        <v/>
      </c>
      <c r="BY488" s="68" t="str">
        <f>IF(main!CK491="","",ROUND(main!CK491*100,6))</f>
        <v/>
      </c>
      <c r="BZ488" s="68" t="str">
        <f>IF(main!CL491="","",ROUND(main!CL491*100,6))</f>
        <v/>
      </c>
      <c r="CA488" s="68" t="str">
        <f>IF(main!CM491="","",ROUND(main!CM491*100,6))</f>
        <v/>
      </c>
      <c r="CB488" s="68" t="str">
        <f>IF(main!CN491="","",ROUND(main!CN491*100,6))</f>
        <v/>
      </c>
      <c r="CC488" s="68" t="str">
        <f>IF(main!CO491="","",ROUND(main!CO491*100,6))</f>
        <v/>
      </c>
    </row>
    <row r="489" spans="1:81" x14ac:dyDescent="0.25">
      <c r="A489" s="65" t="s">
        <v>656</v>
      </c>
      <c r="B489" s="66" t="str">
        <f>main!C491</f>
        <v>ผนังกระจกลิฟท์</v>
      </c>
      <c r="C489" s="67">
        <f>main!O491</f>
        <v>100000</v>
      </c>
      <c r="D489" s="65" t="s">
        <v>111</v>
      </c>
      <c r="E489" s="68" t="str">
        <f t="shared" si="7"/>
        <v/>
      </c>
      <c r="F489" s="68" t="str">
        <f>IF(main!R492="","",ROUND(main!R492*100,6))</f>
        <v/>
      </c>
      <c r="G489" s="68" t="str">
        <f>IF(main!S492="","",ROUND(main!S492*100,6))</f>
        <v/>
      </c>
      <c r="H489" s="68" t="str">
        <f>IF(main!T492="","",ROUND(main!T492*100,6))</f>
        <v/>
      </c>
      <c r="I489" s="68" t="str">
        <f>IF(main!U492="","",ROUND(main!U492*100,6))</f>
        <v/>
      </c>
      <c r="J489" s="68" t="str">
        <f>IF(main!V492="","",ROUND(main!V492*100,6))</f>
        <v/>
      </c>
      <c r="K489" s="68" t="str">
        <f>IF(main!W492="","",ROUND(main!W492*100,6))</f>
        <v/>
      </c>
      <c r="L489" s="68" t="str">
        <f>IF(main!X492="","",ROUND(main!X492*100,6))</f>
        <v/>
      </c>
      <c r="M489" s="68" t="str">
        <f>IF(main!Y492="","",ROUND(main!Y492*100,6))</f>
        <v/>
      </c>
      <c r="N489" s="68" t="str">
        <f>IF(main!Z492="","",ROUND(main!Z492*100,6))</f>
        <v/>
      </c>
      <c r="O489" s="68" t="str">
        <f>IF(main!AA492="","",ROUND(main!AA492*100,6))</f>
        <v/>
      </c>
      <c r="P489" s="68" t="str">
        <f>IF(main!AB492="","",ROUND(main!AB492*100,6))</f>
        <v/>
      </c>
      <c r="Q489" s="68" t="str">
        <f>IF(main!AC492="","",ROUND(main!AC492*100,6))</f>
        <v/>
      </c>
      <c r="R489" s="68" t="str">
        <f>IF(main!AD492="","",ROUND(main!AD492*100,6))</f>
        <v/>
      </c>
      <c r="S489" s="68" t="str">
        <f>IF(main!AE492="","",ROUND(main!AE492*100,6))</f>
        <v/>
      </c>
      <c r="T489" s="68" t="str">
        <f>IF(main!AF492="","",ROUND(main!AF492*100,6))</f>
        <v/>
      </c>
      <c r="U489" s="68" t="str">
        <f>IF(main!AG492="","",ROUND(main!AG492*100,6))</f>
        <v/>
      </c>
      <c r="V489" s="68" t="str">
        <f>IF(main!AH492="","",ROUND(main!AH492*100,6))</f>
        <v/>
      </c>
      <c r="W489" s="68" t="str">
        <f>IF(main!AI492="","",ROUND(main!AI492*100,6))</f>
        <v/>
      </c>
      <c r="X489" s="68" t="str">
        <f>IF(main!AJ492="","",ROUND(main!AJ492*100,6))</f>
        <v/>
      </c>
      <c r="Y489" s="68" t="str">
        <f>IF(main!AK492="","",ROUND(main!AK492*100,6))</f>
        <v/>
      </c>
      <c r="Z489" s="68" t="str">
        <f>IF(main!AL492="","",ROUND(main!AL492*100,6))</f>
        <v/>
      </c>
      <c r="AA489" s="68" t="str">
        <f>IF(main!AM492="","",ROUND(main!AM492*100,6))</f>
        <v/>
      </c>
      <c r="AB489" s="68" t="str">
        <f>IF(main!AN492="","",ROUND(main!AN492*100,6))</f>
        <v/>
      </c>
      <c r="AC489" s="68" t="str">
        <f>IF(main!AO492="","",ROUND(main!AO492*100,6))</f>
        <v/>
      </c>
      <c r="AD489" s="68" t="str">
        <f>IF(main!AP492="","",ROUND(main!AP492*100,6))</f>
        <v/>
      </c>
      <c r="AE489" s="68" t="str">
        <f>IF(main!AQ492="","",ROUND(main!AQ492*100,6))</f>
        <v/>
      </c>
      <c r="AF489" s="68" t="str">
        <f>IF(main!AR492="","",ROUND(main!AR492*100,6))</f>
        <v/>
      </c>
      <c r="AG489" s="68" t="str">
        <f>IF(main!AS492="","",ROUND(main!AS492*100,6))</f>
        <v/>
      </c>
      <c r="AH489" s="68" t="str">
        <f>IF(main!AT492="","",ROUND(main!AT492*100,6))</f>
        <v/>
      </c>
      <c r="AI489" s="68" t="str">
        <f>IF(main!AU492="","",ROUND(main!AU492*100,6))</f>
        <v/>
      </c>
      <c r="AJ489" s="68" t="str">
        <f>IF(main!AV492="","",ROUND(main!AV492*100,6))</f>
        <v/>
      </c>
      <c r="AK489" s="68" t="str">
        <f>IF(main!AW492="","",ROUND(main!AW492*100,6))</f>
        <v/>
      </c>
      <c r="AL489" s="68" t="str">
        <f>IF(main!AX492="","",ROUND(main!AX492*100,6))</f>
        <v/>
      </c>
      <c r="AM489" s="68" t="str">
        <f>IF(main!AY492="","",ROUND(main!AY492*100,6))</f>
        <v/>
      </c>
      <c r="AN489" s="68" t="str">
        <f>IF(main!AZ492="","",ROUND(main!AZ492*100,6))</f>
        <v/>
      </c>
      <c r="AO489" s="68" t="str">
        <f>IF(main!BA492="","",ROUND(main!BA492*100,6))</f>
        <v/>
      </c>
      <c r="AP489" s="68" t="str">
        <f>IF(main!BB492="","",ROUND(main!BB492*100,6))</f>
        <v/>
      </c>
      <c r="AQ489" s="68" t="str">
        <f>IF(main!BC492="","",ROUND(main!BC492*100,6))</f>
        <v/>
      </c>
      <c r="AR489" s="68" t="str">
        <f>IF(main!BD492="","",ROUND(main!BD492*100,6))</f>
        <v/>
      </c>
      <c r="AS489" s="68" t="str">
        <f>IF(main!BE492="","",ROUND(main!BE492*100,6))</f>
        <v/>
      </c>
      <c r="AT489" s="68" t="str">
        <f>IF(main!BF492="","",ROUND(main!BF492*100,6))</f>
        <v/>
      </c>
      <c r="AU489" s="68" t="str">
        <f>IF(main!BG492="","",ROUND(main!BG492*100,6))</f>
        <v/>
      </c>
      <c r="AV489" s="68" t="str">
        <f>IF(main!BH492="","",ROUND(main!BH492*100,6))</f>
        <v/>
      </c>
      <c r="AW489" s="68" t="str">
        <f>IF(main!BI492="","",ROUND(main!BI492*100,6))</f>
        <v/>
      </c>
      <c r="AX489" s="68" t="str">
        <f>IF(main!BJ492="","",ROUND(main!BJ492*100,6))</f>
        <v/>
      </c>
      <c r="AY489" s="68" t="str">
        <f>IF(main!BK492="","",ROUND(main!BK492*100,6))</f>
        <v/>
      </c>
      <c r="AZ489" s="68" t="str">
        <f>IF(main!BL492="","",ROUND(main!BL492*100,6))</f>
        <v/>
      </c>
      <c r="BA489" s="68" t="str">
        <f>IF(main!BM492="","",ROUND(main!BM492*100,6))</f>
        <v/>
      </c>
      <c r="BB489" s="68" t="str">
        <f>IF(main!BN492="","",ROUND(main!BN492*100,6))</f>
        <v/>
      </c>
      <c r="BC489" s="68" t="str">
        <f>IF(main!BO492="","",ROUND(main!BO492*100,6))</f>
        <v/>
      </c>
      <c r="BD489" s="68" t="str">
        <f>IF(main!BP492="","",ROUND(main!BP492*100,6))</f>
        <v/>
      </c>
      <c r="BE489" s="68" t="str">
        <f>IF(main!BQ492="","",ROUND(main!BQ492*100,6))</f>
        <v/>
      </c>
      <c r="BF489" s="68" t="str">
        <f>IF(main!BR492="","",ROUND(main!BR492*100,6))</f>
        <v/>
      </c>
      <c r="BG489" s="68" t="str">
        <f>IF(main!BS492="","",ROUND(main!BS492*100,6))</f>
        <v/>
      </c>
      <c r="BH489" s="68" t="str">
        <f>IF(main!BT492="","",ROUND(main!BT492*100,6))</f>
        <v/>
      </c>
      <c r="BI489" s="68" t="str">
        <f>IF(main!BU492="","",ROUND(main!BU492*100,6))</f>
        <v/>
      </c>
      <c r="BJ489" s="68" t="str">
        <f>IF(main!BV492="","",ROUND(main!BV492*100,6))</f>
        <v/>
      </c>
      <c r="BK489" s="68" t="str">
        <f>IF(main!BW492="","",ROUND(main!BW492*100,6))</f>
        <v/>
      </c>
      <c r="BL489" s="68" t="str">
        <f>IF(main!BX492="","",ROUND(main!BX492*100,6))</f>
        <v/>
      </c>
      <c r="BM489" s="68" t="str">
        <f>IF(main!BY492="","",ROUND(main!BY492*100,6))</f>
        <v/>
      </c>
      <c r="BN489" s="68" t="str">
        <f>IF(main!BZ492="","",ROUND(main!BZ492*100,6))</f>
        <v/>
      </c>
      <c r="BO489" s="68" t="str">
        <f>IF(main!CA492="","",ROUND(main!CA492*100,6))</f>
        <v/>
      </c>
      <c r="BP489" s="68" t="str">
        <f>IF(main!CB492="","",ROUND(main!CB492*100,6))</f>
        <v/>
      </c>
      <c r="BQ489" s="68" t="str">
        <f>IF(main!CC492="","",ROUND(main!CC492*100,6))</f>
        <v/>
      </c>
      <c r="BR489" s="68" t="str">
        <f>IF(main!CD492="","",ROUND(main!CD492*100,6))</f>
        <v/>
      </c>
      <c r="BS489" s="68" t="str">
        <f>IF(main!CE492="","",ROUND(main!CE492*100,6))</f>
        <v/>
      </c>
      <c r="BT489" s="68" t="str">
        <f>IF(main!CF492="","",ROUND(main!CF492*100,6))</f>
        <v/>
      </c>
      <c r="BU489" s="68" t="str">
        <f>IF(main!CG492="","",ROUND(main!CG492*100,6))</f>
        <v/>
      </c>
      <c r="BV489" s="68" t="str">
        <f>IF(main!CH492="","",ROUND(main!CH492*100,6))</f>
        <v/>
      </c>
      <c r="BW489" s="68" t="str">
        <f>IF(main!CI492="","",ROUND(main!CI492*100,6))</f>
        <v/>
      </c>
      <c r="BX489" s="68" t="str">
        <f>IF(main!CJ492="","",ROUND(main!CJ492*100,6))</f>
        <v/>
      </c>
      <c r="BY489" s="68" t="str">
        <f>IF(main!CK492="","",ROUND(main!CK492*100,6))</f>
        <v/>
      </c>
      <c r="BZ489" s="68" t="str">
        <f>IF(main!CL492="","",ROUND(main!CL492*100,6))</f>
        <v/>
      </c>
      <c r="CA489" s="68" t="str">
        <f>IF(main!CM492="","",ROUND(main!CM492*100,6))</f>
        <v/>
      </c>
      <c r="CB489" s="68" t="str">
        <f>IF(main!CN492="","",ROUND(main!CN492*100,6))</f>
        <v/>
      </c>
      <c r="CC489" s="68" t="str">
        <f>IF(main!CO492="","",ROUND(main!CO492*100,6))</f>
        <v/>
      </c>
    </row>
    <row r="490" spans="1:81" x14ac:dyDescent="0.25">
      <c r="A490" s="65" t="s">
        <v>659</v>
      </c>
      <c r="B490" s="66" t="str">
        <f>main!C493</f>
        <v>ติดตั้งลิฟท์</v>
      </c>
      <c r="C490" s="67">
        <f>main!O493</f>
        <v>100000</v>
      </c>
      <c r="D490" s="65" t="s">
        <v>110</v>
      </c>
      <c r="E490" s="68">
        <f t="shared" si="7"/>
        <v>99.999998000000005</v>
      </c>
      <c r="F490" s="68" t="str">
        <f>IF(main!R493="","",ROUND(main!R493*100,6))</f>
        <v/>
      </c>
      <c r="G490" s="68" t="str">
        <f>IF(main!S493="","",ROUND(main!S493*100,6))</f>
        <v/>
      </c>
      <c r="H490" s="68" t="str">
        <f>IF(main!T493="","",ROUND(main!T493*100,6))</f>
        <v/>
      </c>
      <c r="I490" s="68" t="str">
        <f>IF(main!U493="","",ROUND(main!U493*100,6))</f>
        <v/>
      </c>
      <c r="J490" s="68" t="str">
        <f>IF(main!V493="","",ROUND(main!V493*100,6))</f>
        <v/>
      </c>
      <c r="K490" s="68" t="str">
        <f>IF(main!W493="","",ROUND(main!W493*100,6))</f>
        <v/>
      </c>
      <c r="L490" s="68" t="str">
        <f>IF(main!X493="","",ROUND(main!X493*100,6))</f>
        <v/>
      </c>
      <c r="M490" s="68" t="str">
        <f>IF(main!Y493="","",ROUND(main!Y493*100,6))</f>
        <v/>
      </c>
      <c r="N490" s="68" t="str">
        <f>IF(main!Z493="","",ROUND(main!Z493*100,6))</f>
        <v/>
      </c>
      <c r="O490" s="68" t="str">
        <f>IF(main!AA493="","",ROUND(main!AA493*100,6))</f>
        <v/>
      </c>
      <c r="P490" s="68" t="str">
        <f>IF(main!AB493="","",ROUND(main!AB493*100,6))</f>
        <v/>
      </c>
      <c r="Q490" s="68" t="str">
        <f>IF(main!AC493="","",ROUND(main!AC493*100,6))</f>
        <v/>
      </c>
      <c r="R490" s="68" t="str">
        <f>IF(main!AD493="","",ROUND(main!AD493*100,6))</f>
        <v/>
      </c>
      <c r="S490" s="68" t="str">
        <f>IF(main!AE493="","",ROUND(main!AE493*100,6))</f>
        <v/>
      </c>
      <c r="T490" s="68" t="str">
        <f>IF(main!AF493="","",ROUND(main!AF493*100,6))</f>
        <v/>
      </c>
      <c r="U490" s="68" t="str">
        <f>IF(main!AG493="","",ROUND(main!AG493*100,6))</f>
        <v/>
      </c>
      <c r="V490" s="68" t="str">
        <f>IF(main!AH493="","",ROUND(main!AH493*100,6))</f>
        <v/>
      </c>
      <c r="W490" s="68" t="str">
        <f>IF(main!AI493="","",ROUND(main!AI493*100,6))</f>
        <v/>
      </c>
      <c r="X490" s="68" t="str">
        <f>IF(main!AJ493="","",ROUND(main!AJ493*100,6))</f>
        <v/>
      </c>
      <c r="Y490" s="68" t="str">
        <f>IF(main!AK493="","",ROUND(main!AK493*100,6))</f>
        <v/>
      </c>
      <c r="Z490" s="68" t="str">
        <f>IF(main!AL493="","",ROUND(main!AL493*100,6))</f>
        <v/>
      </c>
      <c r="AA490" s="68" t="str">
        <f>IF(main!AM493="","",ROUND(main!AM493*100,6))</f>
        <v/>
      </c>
      <c r="AB490" s="68" t="str">
        <f>IF(main!AN493="","",ROUND(main!AN493*100,6))</f>
        <v/>
      </c>
      <c r="AC490" s="68" t="str">
        <f>IF(main!AO493="","",ROUND(main!AO493*100,6))</f>
        <v/>
      </c>
      <c r="AD490" s="68" t="str">
        <f>IF(main!AP493="","",ROUND(main!AP493*100,6))</f>
        <v/>
      </c>
      <c r="AE490" s="68" t="str">
        <f>IF(main!AQ493="","",ROUND(main!AQ493*100,6))</f>
        <v/>
      </c>
      <c r="AF490" s="68" t="str">
        <f>IF(main!AR493="","",ROUND(main!AR493*100,6))</f>
        <v/>
      </c>
      <c r="AG490" s="68" t="str">
        <f>IF(main!AS493="","",ROUND(main!AS493*100,6))</f>
        <v/>
      </c>
      <c r="AH490" s="68" t="str">
        <f>IF(main!AT493="","",ROUND(main!AT493*100,6))</f>
        <v/>
      </c>
      <c r="AI490" s="68" t="str">
        <f>IF(main!AU493="","",ROUND(main!AU493*100,6))</f>
        <v/>
      </c>
      <c r="AJ490" s="68" t="str">
        <f>IF(main!AV493="","",ROUND(main!AV493*100,6))</f>
        <v/>
      </c>
      <c r="AK490" s="68" t="str">
        <f>IF(main!AW493="","",ROUND(main!AW493*100,6))</f>
        <v/>
      </c>
      <c r="AL490" s="68" t="str">
        <f>IF(main!AX493="","",ROUND(main!AX493*100,6))</f>
        <v/>
      </c>
      <c r="AM490" s="68" t="str">
        <f>IF(main!AY493="","",ROUND(main!AY493*100,6))</f>
        <v/>
      </c>
      <c r="AN490" s="68" t="str">
        <f>IF(main!AZ493="","",ROUND(main!AZ493*100,6))</f>
        <v/>
      </c>
      <c r="AO490" s="68" t="str">
        <f>IF(main!BA493="","",ROUND(main!BA493*100,6))</f>
        <v/>
      </c>
      <c r="AP490" s="68" t="str">
        <f>IF(main!BB493="","",ROUND(main!BB493*100,6))</f>
        <v/>
      </c>
      <c r="AQ490" s="68" t="str">
        <f>IF(main!BC493="","",ROUND(main!BC493*100,6))</f>
        <v/>
      </c>
      <c r="AR490" s="68" t="str">
        <f>IF(main!BD493="","",ROUND(main!BD493*100,6))</f>
        <v/>
      </c>
      <c r="AS490" s="68" t="str">
        <f>IF(main!BE493="","",ROUND(main!BE493*100,6))</f>
        <v/>
      </c>
      <c r="AT490" s="68" t="str">
        <f>IF(main!BF493="","",ROUND(main!BF493*100,6))</f>
        <v/>
      </c>
      <c r="AU490" s="68" t="str">
        <f>IF(main!BG493="","",ROUND(main!BG493*100,6))</f>
        <v/>
      </c>
      <c r="AV490" s="68" t="str">
        <f>IF(main!BH493="","",ROUND(main!BH493*100,6))</f>
        <v/>
      </c>
      <c r="AW490" s="68" t="str">
        <f>IF(main!BI493="","",ROUND(main!BI493*100,6))</f>
        <v/>
      </c>
      <c r="AX490" s="68" t="str">
        <f>IF(main!BJ493="","",ROUND(main!BJ493*100,6))</f>
        <v/>
      </c>
      <c r="AY490" s="68" t="str">
        <f>IF(main!BK493="","",ROUND(main!BK493*100,6))</f>
        <v/>
      </c>
      <c r="AZ490" s="68">
        <f>IF(main!BL493="","",ROUND(main!BL493*100,6))</f>
        <v>1.020408</v>
      </c>
      <c r="BA490" s="68">
        <f>IF(main!BM493="","",ROUND(main!BM493*100,6))</f>
        <v>7.1428570000000002</v>
      </c>
      <c r="BB490" s="68">
        <f>IF(main!BN493="","",ROUND(main!BN493*100,6))</f>
        <v>7.1428570000000002</v>
      </c>
      <c r="BC490" s="68">
        <f>IF(main!BO493="","",ROUND(main!BO493*100,6))</f>
        <v>7.1428570000000002</v>
      </c>
      <c r="BD490" s="68">
        <f>IF(main!BP493="","",ROUND(main!BP493*100,6))</f>
        <v>7.1428570000000002</v>
      </c>
      <c r="BE490" s="68">
        <f>IF(main!BQ493="","",ROUND(main!BQ493*100,6))</f>
        <v>7.1428570000000002</v>
      </c>
      <c r="BF490" s="68">
        <f>IF(main!BR493="","",ROUND(main!BR493*100,6))</f>
        <v>7.1428570000000002</v>
      </c>
      <c r="BG490" s="68">
        <f>IF(main!BS493="","",ROUND(main!BS493*100,6))</f>
        <v>7.1428570000000002</v>
      </c>
      <c r="BH490" s="68">
        <f>IF(main!BT493="","",ROUND(main!BT493*100,6))</f>
        <v>7.1428570000000002</v>
      </c>
      <c r="BI490" s="68">
        <f>IF(main!BU493="","",ROUND(main!BU493*100,6))</f>
        <v>7.1428570000000002</v>
      </c>
      <c r="BJ490" s="68">
        <f>IF(main!BV493="","",ROUND(main!BV493*100,6))</f>
        <v>7.1428570000000002</v>
      </c>
      <c r="BK490" s="68">
        <f>IF(main!BW493="","",ROUND(main!BW493*100,6))</f>
        <v>7.1428570000000002</v>
      </c>
      <c r="BL490" s="68">
        <f>IF(main!BX493="","",ROUND(main!BX493*100,6))</f>
        <v>7.1428570000000002</v>
      </c>
      <c r="BM490" s="68">
        <f>IF(main!BY493="","",ROUND(main!BY493*100,6))</f>
        <v>7.1428570000000002</v>
      </c>
      <c r="BN490" s="68">
        <f>IF(main!BZ493="","",ROUND(main!BZ493*100,6))</f>
        <v>6.1224489999999996</v>
      </c>
      <c r="BO490" s="68" t="str">
        <f>IF(main!CA493="","",ROUND(main!CA493*100,6))</f>
        <v/>
      </c>
      <c r="BP490" s="68" t="str">
        <f>IF(main!CB493="","",ROUND(main!CB493*100,6))</f>
        <v/>
      </c>
      <c r="BQ490" s="68" t="str">
        <f>IF(main!CC493="","",ROUND(main!CC493*100,6))</f>
        <v/>
      </c>
      <c r="BR490" s="68" t="str">
        <f>IF(main!CD493="","",ROUND(main!CD493*100,6))</f>
        <v/>
      </c>
      <c r="BS490" s="68" t="str">
        <f>IF(main!CE493="","",ROUND(main!CE493*100,6))</f>
        <v/>
      </c>
      <c r="BT490" s="68" t="str">
        <f>IF(main!CF493="","",ROUND(main!CF493*100,6))</f>
        <v/>
      </c>
      <c r="BU490" s="68" t="str">
        <f>IF(main!CG493="","",ROUND(main!CG493*100,6))</f>
        <v/>
      </c>
      <c r="BV490" s="68" t="str">
        <f>IF(main!CH493="","",ROUND(main!CH493*100,6))</f>
        <v/>
      </c>
      <c r="BW490" s="68" t="str">
        <f>IF(main!CI493="","",ROUND(main!CI493*100,6))</f>
        <v/>
      </c>
      <c r="BX490" s="68" t="str">
        <f>IF(main!CJ493="","",ROUND(main!CJ493*100,6))</f>
        <v/>
      </c>
      <c r="BY490" s="68" t="str">
        <f>IF(main!CK493="","",ROUND(main!CK493*100,6))</f>
        <v/>
      </c>
      <c r="BZ490" s="68" t="str">
        <f>IF(main!CL493="","",ROUND(main!CL493*100,6))</f>
        <v/>
      </c>
      <c r="CA490" s="68" t="str">
        <f>IF(main!CM493="","",ROUND(main!CM493*100,6))</f>
        <v/>
      </c>
      <c r="CB490" s="68" t="str">
        <f>IF(main!CN493="","",ROUND(main!CN493*100,6))</f>
        <v/>
      </c>
      <c r="CC490" s="68" t="str">
        <f>IF(main!CO493="","",ROUND(main!CO493*100,6))</f>
        <v/>
      </c>
    </row>
    <row r="491" spans="1:81" x14ac:dyDescent="0.25">
      <c r="A491" s="65" t="s">
        <v>659</v>
      </c>
      <c r="B491" s="66" t="str">
        <f>main!C493</f>
        <v>ติดตั้งลิฟท์</v>
      </c>
      <c r="C491" s="67">
        <f>main!O493</f>
        <v>100000</v>
      </c>
      <c r="D491" s="65" t="s">
        <v>111</v>
      </c>
      <c r="E491" s="68" t="str">
        <f t="shared" si="7"/>
        <v/>
      </c>
      <c r="F491" s="68" t="str">
        <f>IF(main!R494="","",ROUND(main!R494*100,6))</f>
        <v/>
      </c>
      <c r="G491" s="68" t="str">
        <f>IF(main!S494="","",ROUND(main!S494*100,6))</f>
        <v/>
      </c>
      <c r="H491" s="68" t="str">
        <f>IF(main!T494="","",ROUND(main!T494*100,6))</f>
        <v/>
      </c>
      <c r="I491" s="68" t="str">
        <f>IF(main!U494="","",ROUND(main!U494*100,6))</f>
        <v/>
      </c>
      <c r="J491" s="68" t="str">
        <f>IF(main!V494="","",ROUND(main!V494*100,6))</f>
        <v/>
      </c>
      <c r="K491" s="68" t="str">
        <f>IF(main!W494="","",ROUND(main!W494*100,6))</f>
        <v/>
      </c>
      <c r="L491" s="68" t="str">
        <f>IF(main!X494="","",ROUND(main!X494*100,6))</f>
        <v/>
      </c>
      <c r="M491" s="68" t="str">
        <f>IF(main!Y494="","",ROUND(main!Y494*100,6))</f>
        <v/>
      </c>
      <c r="N491" s="68" t="str">
        <f>IF(main!Z494="","",ROUND(main!Z494*100,6))</f>
        <v/>
      </c>
      <c r="O491" s="68" t="str">
        <f>IF(main!AA494="","",ROUND(main!AA494*100,6))</f>
        <v/>
      </c>
      <c r="P491" s="68" t="str">
        <f>IF(main!AB494="","",ROUND(main!AB494*100,6))</f>
        <v/>
      </c>
      <c r="Q491" s="68" t="str">
        <f>IF(main!AC494="","",ROUND(main!AC494*100,6))</f>
        <v/>
      </c>
      <c r="R491" s="68" t="str">
        <f>IF(main!AD494="","",ROUND(main!AD494*100,6))</f>
        <v/>
      </c>
      <c r="S491" s="68" t="str">
        <f>IF(main!AE494="","",ROUND(main!AE494*100,6))</f>
        <v/>
      </c>
      <c r="T491" s="68" t="str">
        <f>IF(main!AF494="","",ROUND(main!AF494*100,6))</f>
        <v/>
      </c>
      <c r="U491" s="68" t="str">
        <f>IF(main!AG494="","",ROUND(main!AG494*100,6))</f>
        <v/>
      </c>
      <c r="V491" s="68" t="str">
        <f>IF(main!AH494="","",ROUND(main!AH494*100,6))</f>
        <v/>
      </c>
      <c r="W491" s="68" t="str">
        <f>IF(main!AI494="","",ROUND(main!AI494*100,6))</f>
        <v/>
      </c>
      <c r="X491" s="68" t="str">
        <f>IF(main!AJ494="","",ROUND(main!AJ494*100,6))</f>
        <v/>
      </c>
      <c r="Y491" s="68" t="str">
        <f>IF(main!AK494="","",ROUND(main!AK494*100,6))</f>
        <v/>
      </c>
      <c r="Z491" s="68" t="str">
        <f>IF(main!AL494="","",ROUND(main!AL494*100,6))</f>
        <v/>
      </c>
      <c r="AA491" s="68" t="str">
        <f>IF(main!AM494="","",ROUND(main!AM494*100,6))</f>
        <v/>
      </c>
      <c r="AB491" s="68" t="str">
        <f>IF(main!AN494="","",ROUND(main!AN494*100,6))</f>
        <v/>
      </c>
      <c r="AC491" s="68" t="str">
        <f>IF(main!AO494="","",ROUND(main!AO494*100,6))</f>
        <v/>
      </c>
      <c r="AD491" s="68" t="str">
        <f>IF(main!AP494="","",ROUND(main!AP494*100,6))</f>
        <v/>
      </c>
      <c r="AE491" s="68" t="str">
        <f>IF(main!AQ494="","",ROUND(main!AQ494*100,6))</f>
        <v/>
      </c>
      <c r="AF491" s="68" t="str">
        <f>IF(main!AR494="","",ROUND(main!AR494*100,6))</f>
        <v/>
      </c>
      <c r="AG491" s="68" t="str">
        <f>IF(main!AS494="","",ROUND(main!AS494*100,6))</f>
        <v/>
      </c>
      <c r="AH491" s="68" t="str">
        <f>IF(main!AT494="","",ROUND(main!AT494*100,6))</f>
        <v/>
      </c>
      <c r="AI491" s="68" t="str">
        <f>IF(main!AU494="","",ROUND(main!AU494*100,6))</f>
        <v/>
      </c>
      <c r="AJ491" s="68" t="str">
        <f>IF(main!AV494="","",ROUND(main!AV494*100,6))</f>
        <v/>
      </c>
      <c r="AK491" s="68" t="str">
        <f>IF(main!AW494="","",ROUND(main!AW494*100,6))</f>
        <v/>
      </c>
      <c r="AL491" s="68" t="str">
        <f>IF(main!AX494="","",ROUND(main!AX494*100,6))</f>
        <v/>
      </c>
      <c r="AM491" s="68" t="str">
        <f>IF(main!AY494="","",ROUND(main!AY494*100,6))</f>
        <v/>
      </c>
      <c r="AN491" s="68" t="str">
        <f>IF(main!AZ494="","",ROUND(main!AZ494*100,6))</f>
        <v/>
      </c>
      <c r="AO491" s="68" t="str">
        <f>IF(main!BA494="","",ROUND(main!BA494*100,6))</f>
        <v/>
      </c>
      <c r="AP491" s="68" t="str">
        <f>IF(main!BB494="","",ROUND(main!BB494*100,6))</f>
        <v/>
      </c>
      <c r="AQ491" s="68" t="str">
        <f>IF(main!BC494="","",ROUND(main!BC494*100,6))</f>
        <v/>
      </c>
      <c r="AR491" s="68" t="str">
        <f>IF(main!BD494="","",ROUND(main!BD494*100,6))</f>
        <v/>
      </c>
      <c r="AS491" s="68" t="str">
        <f>IF(main!BE494="","",ROUND(main!BE494*100,6))</f>
        <v/>
      </c>
      <c r="AT491" s="68" t="str">
        <f>IF(main!BF494="","",ROUND(main!BF494*100,6))</f>
        <v/>
      </c>
      <c r="AU491" s="68" t="str">
        <f>IF(main!BG494="","",ROUND(main!BG494*100,6))</f>
        <v/>
      </c>
      <c r="AV491" s="68" t="str">
        <f>IF(main!BH494="","",ROUND(main!BH494*100,6))</f>
        <v/>
      </c>
      <c r="AW491" s="68" t="str">
        <f>IF(main!BI494="","",ROUND(main!BI494*100,6))</f>
        <v/>
      </c>
      <c r="AX491" s="68" t="str">
        <f>IF(main!BJ494="","",ROUND(main!BJ494*100,6))</f>
        <v/>
      </c>
      <c r="AY491" s="68" t="str">
        <f>IF(main!BK494="","",ROUND(main!BK494*100,6))</f>
        <v/>
      </c>
      <c r="AZ491" s="68" t="str">
        <f>IF(main!BL494="","",ROUND(main!BL494*100,6))</f>
        <v/>
      </c>
      <c r="BA491" s="68" t="str">
        <f>IF(main!BM494="","",ROUND(main!BM494*100,6))</f>
        <v/>
      </c>
      <c r="BB491" s="68" t="str">
        <f>IF(main!BN494="","",ROUND(main!BN494*100,6))</f>
        <v/>
      </c>
      <c r="BC491" s="68" t="str">
        <f>IF(main!BO494="","",ROUND(main!BO494*100,6))</f>
        <v/>
      </c>
      <c r="BD491" s="68" t="str">
        <f>IF(main!BP494="","",ROUND(main!BP494*100,6))</f>
        <v/>
      </c>
      <c r="BE491" s="68" t="str">
        <f>IF(main!BQ494="","",ROUND(main!BQ494*100,6))</f>
        <v/>
      </c>
      <c r="BF491" s="68" t="str">
        <f>IF(main!BR494="","",ROUND(main!BR494*100,6))</f>
        <v/>
      </c>
      <c r="BG491" s="68" t="str">
        <f>IF(main!BS494="","",ROUND(main!BS494*100,6))</f>
        <v/>
      </c>
      <c r="BH491" s="68" t="str">
        <f>IF(main!BT494="","",ROUND(main!BT494*100,6))</f>
        <v/>
      </c>
      <c r="BI491" s="68" t="str">
        <f>IF(main!BU494="","",ROUND(main!BU494*100,6))</f>
        <v/>
      </c>
      <c r="BJ491" s="68" t="str">
        <f>IF(main!BV494="","",ROUND(main!BV494*100,6))</f>
        <v/>
      </c>
      <c r="BK491" s="68" t="str">
        <f>IF(main!BW494="","",ROUND(main!BW494*100,6))</f>
        <v/>
      </c>
      <c r="BL491" s="68" t="str">
        <f>IF(main!BX494="","",ROUND(main!BX494*100,6))</f>
        <v/>
      </c>
      <c r="BM491" s="68" t="str">
        <f>IF(main!BY494="","",ROUND(main!BY494*100,6))</f>
        <v/>
      </c>
      <c r="BN491" s="68" t="str">
        <f>IF(main!BZ494="","",ROUND(main!BZ494*100,6))</f>
        <v/>
      </c>
      <c r="BO491" s="68" t="str">
        <f>IF(main!CA494="","",ROUND(main!CA494*100,6))</f>
        <v/>
      </c>
      <c r="BP491" s="68" t="str">
        <f>IF(main!CB494="","",ROUND(main!CB494*100,6))</f>
        <v/>
      </c>
      <c r="BQ491" s="68" t="str">
        <f>IF(main!CC494="","",ROUND(main!CC494*100,6))</f>
        <v/>
      </c>
      <c r="BR491" s="68" t="str">
        <f>IF(main!CD494="","",ROUND(main!CD494*100,6))</f>
        <v/>
      </c>
      <c r="BS491" s="68" t="str">
        <f>IF(main!CE494="","",ROUND(main!CE494*100,6))</f>
        <v/>
      </c>
      <c r="BT491" s="68" t="str">
        <f>IF(main!CF494="","",ROUND(main!CF494*100,6))</f>
        <v/>
      </c>
      <c r="BU491" s="68" t="str">
        <f>IF(main!CG494="","",ROUND(main!CG494*100,6))</f>
        <v/>
      </c>
      <c r="BV491" s="68" t="str">
        <f>IF(main!CH494="","",ROUND(main!CH494*100,6))</f>
        <v/>
      </c>
      <c r="BW491" s="68" t="str">
        <f>IF(main!CI494="","",ROUND(main!CI494*100,6))</f>
        <v/>
      </c>
      <c r="BX491" s="68" t="str">
        <f>IF(main!CJ494="","",ROUND(main!CJ494*100,6))</f>
        <v/>
      </c>
      <c r="BY491" s="68" t="str">
        <f>IF(main!CK494="","",ROUND(main!CK494*100,6))</f>
        <v/>
      </c>
      <c r="BZ491" s="68" t="str">
        <f>IF(main!CL494="","",ROUND(main!CL494*100,6))</f>
        <v/>
      </c>
      <c r="CA491" s="68" t="str">
        <f>IF(main!CM494="","",ROUND(main!CM494*100,6))</f>
        <v/>
      </c>
      <c r="CB491" s="68" t="str">
        <f>IF(main!CN494="","",ROUND(main!CN494*100,6))</f>
        <v/>
      </c>
      <c r="CC491" s="68" t="str">
        <f>IF(main!CO494="","",ROUND(main!CO494*100,6))</f>
        <v/>
      </c>
    </row>
    <row r="492" spans="1:81" x14ac:dyDescent="0.25">
      <c r="A492" s="65" t="s">
        <v>662</v>
      </c>
      <c r="B492" s="66" t="str">
        <f>main!C495</f>
        <v>Test</v>
      </c>
      <c r="C492" s="67">
        <f>main!O495</f>
        <v>100000</v>
      </c>
      <c r="D492" s="65" t="s">
        <v>110</v>
      </c>
      <c r="E492" s="68">
        <f t="shared" si="7"/>
        <v>100</v>
      </c>
      <c r="F492" s="68" t="str">
        <f>IF(main!R495="","",ROUND(main!R495*100,6))</f>
        <v/>
      </c>
      <c r="G492" s="68" t="str">
        <f>IF(main!S495="","",ROUND(main!S495*100,6))</f>
        <v/>
      </c>
      <c r="H492" s="68" t="str">
        <f>IF(main!T495="","",ROUND(main!T495*100,6))</f>
        <v/>
      </c>
      <c r="I492" s="68" t="str">
        <f>IF(main!U495="","",ROUND(main!U495*100,6))</f>
        <v/>
      </c>
      <c r="J492" s="68" t="str">
        <f>IF(main!V495="","",ROUND(main!V495*100,6))</f>
        <v/>
      </c>
      <c r="K492" s="68" t="str">
        <f>IF(main!W495="","",ROUND(main!W495*100,6))</f>
        <v/>
      </c>
      <c r="L492" s="68" t="str">
        <f>IF(main!X495="","",ROUND(main!X495*100,6))</f>
        <v/>
      </c>
      <c r="M492" s="68" t="str">
        <f>IF(main!Y495="","",ROUND(main!Y495*100,6))</f>
        <v/>
      </c>
      <c r="N492" s="68" t="str">
        <f>IF(main!Z495="","",ROUND(main!Z495*100,6))</f>
        <v/>
      </c>
      <c r="O492" s="68" t="str">
        <f>IF(main!AA495="","",ROUND(main!AA495*100,6))</f>
        <v/>
      </c>
      <c r="P492" s="68" t="str">
        <f>IF(main!AB495="","",ROUND(main!AB495*100,6))</f>
        <v/>
      </c>
      <c r="Q492" s="68" t="str">
        <f>IF(main!AC495="","",ROUND(main!AC495*100,6))</f>
        <v/>
      </c>
      <c r="R492" s="68" t="str">
        <f>IF(main!AD495="","",ROUND(main!AD495*100,6))</f>
        <v/>
      </c>
      <c r="S492" s="68" t="str">
        <f>IF(main!AE495="","",ROUND(main!AE495*100,6))</f>
        <v/>
      </c>
      <c r="T492" s="68" t="str">
        <f>IF(main!AF495="","",ROUND(main!AF495*100,6))</f>
        <v/>
      </c>
      <c r="U492" s="68" t="str">
        <f>IF(main!AG495="","",ROUND(main!AG495*100,6))</f>
        <v/>
      </c>
      <c r="V492" s="68" t="str">
        <f>IF(main!AH495="","",ROUND(main!AH495*100,6))</f>
        <v/>
      </c>
      <c r="W492" s="68" t="str">
        <f>IF(main!AI495="","",ROUND(main!AI495*100,6))</f>
        <v/>
      </c>
      <c r="X492" s="68" t="str">
        <f>IF(main!AJ495="","",ROUND(main!AJ495*100,6))</f>
        <v/>
      </c>
      <c r="Y492" s="68" t="str">
        <f>IF(main!AK495="","",ROUND(main!AK495*100,6))</f>
        <v/>
      </c>
      <c r="Z492" s="68" t="str">
        <f>IF(main!AL495="","",ROUND(main!AL495*100,6))</f>
        <v/>
      </c>
      <c r="AA492" s="68" t="str">
        <f>IF(main!AM495="","",ROUND(main!AM495*100,6))</f>
        <v/>
      </c>
      <c r="AB492" s="68" t="str">
        <f>IF(main!AN495="","",ROUND(main!AN495*100,6))</f>
        <v/>
      </c>
      <c r="AC492" s="68" t="str">
        <f>IF(main!AO495="","",ROUND(main!AO495*100,6))</f>
        <v/>
      </c>
      <c r="AD492" s="68" t="str">
        <f>IF(main!AP495="","",ROUND(main!AP495*100,6))</f>
        <v/>
      </c>
      <c r="AE492" s="68" t="str">
        <f>IF(main!AQ495="","",ROUND(main!AQ495*100,6))</f>
        <v/>
      </c>
      <c r="AF492" s="68" t="str">
        <f>IF(main!AR495="","",ROUND(main!AR495*100,6))</f>
        <v/>
      </c>
      <c r="AG492" s="68" t="str">
        <f>IF(main!AS495="","",ROUND(main!AS495*100,6))</f>
        <v/>
      </c>
      <c r="AH492" s="68" t="str">
        <f>IF(main!AT495="","",ROUND(main!AT495*100,6))</f>
        <v/>
      </c>
      <c r="AI492" s="68" t="str">
        <f>IF(main!AU495="","",ROUND(main!AU495*100,6))</f>
        <v/>
      </c>
      <c r="AJ492" s="68" t="str">
        <f>IF(main!AV495="","",ROUND(main!AV495*100,6))</f>
        <v/>
      </c>
      <c r="AK492" s="68" t="str">
        <f>IF(main!AW495="","",ROUND(main!AW495*100,6))</f>
        <v/>
      </c>
      <c r="AL492" s="68" t="str">
        <f>IF(main!AX495="","",ROUND(main!AX495*100,6))</f>
        <v/>
      </c>
      <c r="AM492" s="68" t="str">
        <f>IF(main!AY495="","",ROUND(main!AY495*100,6))</f>
        <v/>
      </c>
      <c r="AN492" s="68" t="str">
        <f>IF(main!AZ495="","",ROUND(main!AZ495*100,6))</f>
        <v/>
      </c>
      <c r="AO492" s="68" t="str">
        <f>IF(main!BA495="","",ROUND(main!BA495*100,6))</f>
        <v/>
      </c>
      <c r="AP492" s="68" t="str">
        <f>IF(main!BB495="","",ROUND(main!BB495*100,6))</f>
        <v/>
      </c>
      <c r="AQ492" s="68" t="str">
        <f>IF(main!BC495="","",ROUND(main!BC495*100,6))</f>
        <v/>
      </c>
      <c r="AR492" s="68" t="str">
        <f>IF(main!BD495="","",ROUND(main!BD495*100,6))</f>
        <v/>
      </c>
      <c r="AS492" s="68" t="str">
        <f>IF(main!BE495="","",ROUND(main!BE495*100,6))</f>
        <v/>
      </c>
      <c r="AT492" s="68" t="str">
        <f>IF(main!BF495="","",ROUND(main!BF495*100,6))</f>
        <v/>
      </c>
      <c r="AU492" s="68" t="str">
        <f>IF(main!BG495="","",ROUND(main!BG495*100,6))</f>
        <v/>
      </c>
      <c r="AV492" s="68" t="str">
        <f>IF(main!BH495="","",ROUND(main!BH495*100,6))</f>
        <v/>
      </c>
      <c r="AW492" s="68" t="str">
        <f>IF(main!BI495="","",ROUND(main!BI495*100,6))</f>
        <v/>
      </c>
      <c r="AX492" s="68" t="str">
        <f>IF(main!BJ495="","",ROUND(main!BJ495*100,6))</f>
        <v/>
      </c>
      <c r="AY492" s="68" t="str">
        <f>IF(main!BK495="","",ROUND(main!BK495*100,6))</f>
        <v/>
      </c>
      <c r="AZ492" s="68" t="str">
        <f>IF(main!BL495="","",ROUND(main!BL495*100,6))</f>
        <v/>
      </c>
      <c r="BA492" s="68" t="str">
        <f>IF(main!BM495="","",ROUND(main!BM495*100,6))</f>
        <v/>
      </c>
      <c r="BB492" s="68" t="str">
        <f>IF(main!BN495="","",ROUND(main!BN495*100,6))</f>
        <v/>
      </c>
      <c r="BC492" s="68" t="str">
        <f>IF(main!BO495="","",ROUND(main!BO495*100,6))</f>
        <v/>
      </c>
      <c r="BD492" s="68" t="str">
        <f>IF(main!BP495="","",ROUND(main!BP495*100,6))</f>
        <v/>
      </c>
      <c r="BE492" s="68" t="str">
        <f>IF(main!BQ495="","",ROUND(main!BQ495*100,6))</f>
        <v/>
      </c>
      <c r="BF492" s="68" t="str">
        <f>IF(main!BR495="","",ROUND(main!BR495*100,6))</f>
        <v/>
      </c>
      <c r="BG492" s="68" t="str">
        <f>IF(main!BS495="","",ROUND(main!BS495*100,6))</f>
        <v/>
      </c>
      <c r="BH492" s="68" t="str">
        <f>IF(main!BT495="","",ROUND(main!BT495*100,6))</f>
        <v/>
      </c>
      <c r="BI492" s="68" t="str">
        <f>IF(main!BU495="","",ROUND(main!BU495*100,6))</f>
        <v/>
      </c>
      <c r="BJ492" s="68" t="str">
        <f>IF(main!BV495="","",ROUND(main!BV495*100,6))</f>
        <v/>
      </c>
      <c r="BK492" s="68" t="str">
        <f>IF(main!BW495="","",ROUND(main!BW495*100,6))</f>
        <v/>
      </c>
      <c r="BL492" s="68" t="str">
        <f>IF(main!BX495="","",ROUND(main!BX495*100,6))</f>
        <v/>
      </c>
      <c r="BM492" s="68" t="str">
        <f>IF(main!BY495="","",ROUND(main!BY495*100,6))</f>
        <v/>
      </c>
      <c r="BN492" s="68">
        <f>IF(main!BZ495="","",ROUND(main!BZ495*100,6))</f>
        <v>0.54644800000000004</v>
      </c>
      <c r="BO492" s="68">
        <f>IF(main!CA495="","",ROUND(main!CA495*100,6))</f>
        <v>7.6502730000000003</v>
      </c>
      <c r="BP492" s="68">
        <f>IF(main!CB495="","",ROUND(main!CB495*100,6))</f>
        <v>11.47541</v>
      </c>
      <c r="BQ492" s="68">
        <f>IF(main!CC495="","",ROUND(main!CC495*100,6))</f>
        <v>15.300546000000001</v>
      </c>
      <c r="BR492" s="68">
        <f>IF(main!CD495="","",ROUND(main!CD495*100,6))</f>
        <v>19.125682999999999</v>
      </c>
      <c r="BS492" s="68">
        <f>IF(main!CE495="","",ROUND(main!CE495*100,6))</f>
        <v>22.95082</v>
      </c>
      <c r="BT492" s="68">
        <f>IF(main!CF495="","",ROUND(main!CF495*100,6))</f>
        <v>22.95082</v>
      </c>
      <c r="BU492" s="68" t="str">
        <f>IF(main!CG495="","",ROUND(main!CG495*100,6))</f>
        <v/>
      </c>
      <c r="BV492" s="68" t="str">
        <f>IF(main!CH495="","",ROUND(main!CH495*100,6))</f>
        <v/>
      </c>
      <c r="BW492" s="68" t="str">
        <f>IF(main!CI495="","",ROUND(main!CI495*100,6))</f>
        <v/>
      </c>
      <c r="BX492" s="68" t="str">
        <f>IF(main!CJ495="","",ROUND(main!CJ495*100,6))</f>
        <v/>
      </c>
      <c r="BY492" s="68" t="str">
        <f>IF(main!CK495="","",ROUND(main!CK495*100,6))</f>
        <v/>
      </c>
      <c r="BZ492" s="68" t="str">
        <f>IF(main!CL495="","",ROUND(main!CL495*100,6))</f>
        <v/>
      </c>
      <c r="CA492" s="68" t="str">
        <f>IF(main!CM495="","",ROUND(main!CM495*100,6))</f>
        <v/>
      </c>
      <c r="CB492" s="68" t="str">
        <f>IF(main!CN495="","",ROUND(main!CN495*100,6))</f>
        <v/>
      </c>
      <c r="CC492" s="68" t="str">
        <f>IF(main!CO495="","",ROUND(main!CO495*100,6))</f>
        <v/>
      </c>
    </row>
    <row r="493" spans="1:81" x14ac:dyDescent="0.25">
      <c r="A493" s="65" t="s">
        <v>662</v>
      </c>
      <c r="B493" s="66" t="str">
        <f>main!C495</f>
        <v>Test</v>
      </c>
      <c r="C493" s="67">
        <f>main!O495</f>
        <v>100000</v>
      </c>
      <c r="D493" s="65" t="s">
        <v>111</v>
      </c>
      <c r="E493" s="68" t="str">
        <f t="shared" si="7"/>
        <v/>
      </c>
      <c r="F493" s="68" t="str">
        <f>IF(main!R496="","",ROUND(main!R496*100,6))</f>
        <v/>
      </c>
      <c r="G493" s="68" t="str">
        <f>IF(main!S496="","",ROUND(main!S496*100,6))</f>
        <v/>
      </c>
      <c r="H493" s="68" t="str">
        <f>IF(main!T496="","",ROUND(main!T496*100,6))</f>
        <v/>
      </c>
      <c r="I493" s="68" t="str">
        <f>IF(main!U496="","",ROUND(main!U496*100,6))</f>
        <v/>
      </c>
      <c r="J493" s="68" t="str">
        <f>IF(main!V496="","",ROUND(main!V496*100,6))</f>
        <v/>
      </c>
      <c r="K493" s="68" t="str">
        <f>IF(main!W496="","",ROUND(main!W496*100,6))</f>
        <v/>
      </c>
      <c r="L493" s="68" t="str">
        <f>IF(main!X496="","",ROUND(main!X496*100,6))</f>
        <v/>
      </c>
      <c r="M493" s="68" t="str">
        <f>IF(main!Y496="","",ROUND(main!Y496*100,6))</f>
        <v/>
      </c>
      <c r="N493" s="68" t="str">
        <f>IF(main!Z496="","",ROUND(main!Z496*100,6))</f>
        <v/>
      </c>
      <c r="O493" s="68" t="str">
        <f>IF(main!AA496="","",ROUND(main!AA496*100,6))</f>
        <v/>
      </c>
      <c r="P493" s="68" t="str">
        <f>IF(main!AB496="","",ROUND(main!AB496*100,6))</f>
        <v/>
      </c>
      <c r="Q493" s="68" t="str">
        <f>IF(main!AC496="","",ROUND(main!AC496*100,6))</f>
        <v/>
      </c>
      <c r="R493" s="68" t="str">
        <f>IF(main!AD496="","",ROUND(main!AD496*100,6))</f>
        <v/>
      </c>
      <c r="S493" s="68" t="str">
        <f>IF(main!AE496="","",ROUND(main!AE496*100,6))</f>
        <v/>
      </c>
      <c r="T493" s="68" t="str">
        <f>IF(main!AF496="","",ROUND(main!AF496*100,6))</f>
        <v/>
      </c>
      <c r="U493" s="68" t="str">
        <f>IF(main!AG496="","",ROUND(main!AG496*100,6))</f>
        <v/>
      </c>
      <c r="V493" s="68" t="str">
        <f>IF(main!AH496="","",ROUND(main!AH496*100,6))</f>
        <v/>
      </c>
      <c r="W493" s="68" t="str">
        <f>IF(main!AI496="","",ROUND(main!AI496*100,6))</f>
        <v/>
      </c>
      <c r="X493" s="68" t="str">
        <f>IF(main!AJ496="","",ROUND(main!AJ496*100,6))</f>
        <v/>
      </c>
      <c r="Y493" s="68" t="str">
        <f>IF(main!AK496="","",ROUND(main!AK496*100,6))</f>
        <v/>
      </c>
      <c r="Z493" s="68" t="str">
        <f>IF(main!AL496="","",ROUND(main!AL496*100,6))</f>
        <v/>
      </c>
      <c r="AA493" s="68" t="str">
        <f>IF(main!AM496="","",ROUND(main!AM496*100,6))</f>
        <v/>
      </c>
      <c r="AB493" s="68" t="str">
        <f>IF(main!AN496="","",ROUND(main!AN496*100,6))</f>
        <v/>
      </c>
      <c r="AC493" s="68" t="str">
        <f>IF(main!AO496="","",ROUND(main!AO496*100,6))</f>
        <v/>
      </c>
      <c r="AD493" s="68" t="str">
        <f>IF(main!AP496="","",ROUND(main!AP496*100,6))</f>
        <v/>
      </c>
      <c r="AE493" s="68" t="str">
        <f>IF(main!AQ496="","",ROUND(main!AQ496*100,6))</f>
        <v/>
      </c>
      <c r="AF493" s="68" t="str">
        <f>IF(main!AR496="","",ROUND(main!AR496*100,6))</f>
        <v/>
      </c>
      <c r="AG493" s="68" t="str">
        <f>IF(main!AS496="","",ROUND(main!AS496*100,6))</f>
        <v/>
      </c>
      <c r="AH493" s="68" t="str">
        <f>IF(main!AT496="","",ROUND(main!AT496*100,6))</f>
        <v/>
      </c>
      <c r="AI493" s="68" t="str">
        <f>IF(main!AU496="","",ROUND(main!AU496*100,6))</f>
        <v/>
      </c>
      <c r="AJ493" s="68" t="str">
        <f>IF(main!AV496="","",ROUND(main!AV496*100,6))</f>
        <v/>
      </c>
      <c r="AK493" s="68" t="str">
        <f>IF(main!AW496="","",ROUND(main!AW496*100,6))</f>
        <v/>
      </c>
      <c r="AL493" s="68" t="str">
        <f>IF(main!AX496="","",ROUND(main!AX496*100,6))</f>
        <v/>
      </c>
      <c r="AM493" s="68" t="str">
        <f>IF(main!AY496="","",ROUND(main!AY496*100,6))</f>
        <v/>
      </c>
      <c r="AN493" s="68" t="str">
        <f>IF(main!AZ496="","",ROUND(main!AZ496*100,6))</f>
        <v/>
      </c>
      <c r="AO493" s="68" t="str">
        <f>IF(main!BA496="","",ROUND(main!BA496*100,6))</f>
        <v/>
      </c>
      <c r="AP493" s="68" t="str">
        <f>IF(main!BB496="","",ROUND(main!BB496*100,6))</f>
        <v/>
      </c>
      <c r="AQ493" s="68" t="str">
        <f>IF(main!BC496="","",ROUND(main!BC496*100,6))</f>
        <v/>
      </c>
      <c r="AR493" s="68" t="str">
        <f>IF(main!BD496="","",ROUND(main!BD496*100,6))</f>
        <v/>
      </c>
      <c r="AS493" s="68" t="str">
        <f>IF(main!BE496="","",ROUND(main!BE496*100,6))</f>
        <v/>
      </c>
      <c r="AT493" s="68" t="str">
        <f>IF(main!BF496="","",ROUND(main!BF496*100,6))</f>
        <v/>
      </c>
      <c r="AU493" s="68" t="str">
        <f>IF(main!BG496="","",ROUND(main!BG496*100,6))</f>
        <v/>
      </c>
      <c r="AV493" s="68" t="str">
        <f>IF(main!BH496="","",ROUND(main!BH496*100,6))</f>
        <v/>
      </c>
      <c r="AW493" s="68" t="str">
        <f>IF(main!BI496="","",ROUND(main!BI496*100,6))</f>
        <v/>
      </c>
      <c r="AX493" s="68" t="str">
        <f>IF(main!BJ496="","",ROUND(main!BJ496*100,6))</f>
        <v/>
      </c>
      <c r="AY493" s="68" t="str">
        <f>IF(main!BK496="","",ROUND(main!BK496*100,6))</f>
        <v/>
      </c>
      <c r="AZ493" s="68" t="str">
        <f>IF(main!BL496="","",ROUND(main!BL496*100,6))</f>
        <v/>
      </c>
      <c r="BA493" s="68" t="str">
        <f>IF(main!BM496="","",ROUND(main!BM496*100,6))</f>
        <v/>
      </c>
      <c r="BB493" s="68" t="str">
        <f>IF(main!BN496="","",ROUND(main!BN496*100,6))</f>
        <v/>
      </c>
      <c r="BC493" s="68" t="str">
        <f>IF(main!BO496="","",ROUND(main!BO496*100,6))</f>
        <v/>
      </c>
      <c r="BD493" s="68" t="str">
        <f>IF(main!BP496="","",ROUND(main!BP496*100,6))</f>
        <v/>
      </c>
      <c r="BE493" s="68" t="str">
        <f>IF(main!BQ496="","",ROUND(main!BQ496*100,6))</f>
        <v/>
      </c>
      <c r="BF493" s="68" t="str">
        <f>IF(main!BR496="","",ROUND(main!BR496*100,6))</f>
        <v/>
      </c>
      <c r="BG493" s="68" t="str">
        <f>IF(main!BS496="","",ROUND(main!BS496*100,6))</f>
        <v/>
      </c>
      <c r="BH493" s="68" t="str">
        <f>IF(main!BT496="","",ROUND(main!BT496*100,6))</f>
        <v/>
      </c>
      <c r="BI493" s="68" t="str">
        <f>IF(main!BU496="","",ROUND(main!BU496*100,6))</f>
        <v/>
      </c>
      <c r="BJ493" s="68" t="str">
        <f>IF(main!BV496="","",ROUND(main!BV496*100,6))</f>
        <v/>
      </c>
      <c r="BK493" s="68" t="str">
        <f>IF(main!BW496="","",ROUND(main!BW496*100,6))</f>
        <v/>
      </c>
      <c r="BL493" s="68" t="str">
        <f>IF(main!BX496="","",ROUND(main!BX496*100,6))</f>
        <v/>
      </c>
      <c r="BM493" s="68" t="str">
        <f>IF(main!BY496="","",ROUND(main!BY496*100,6))</f>
        <v/>
      </c>
      <c r="BN493" s="68" t="str">
        <f>IF(main!BZ496="","",ROUND(main!BZ496*100,6))</f>
        <v/>
      </c>
      <c r="BO493" s="68" t="str">
        <f>IF(main!CA496="","",ROUND(main!CA496*100,6))</f>
        <v/>
      </c>
      <c r="BP493" s="68" t="str">
        <f>IF(main!CB496="","",ROUND(main!CB496*100,6))</f>
        <v/>
      </c>
      <c r="BQ493" s="68" t="str">
        <f>IF(main!CC496="","",ROUND(main!CC496*100,6))</f>
        <v/>
      </c>
      <c r="BR493" s="68" t="str">
        <f>IF(main!CD496="","",ROUND(main!CD496*100,6))</f>
        <v/>
      </c>
      <c r="BS493" s="68" t="str">
        <f>IF(main!CE496="","",ROUND(main!CE496*100,6))</f>
        <v/>
      </c>
      <c r="BT493" s="68" t="str">
        <f>IF(main!CF496="","",ROUND(main!CF496*100,6))</f>
        <v/>
      </c>
      <c r="BU493" s="68" t="str">
        <f>IF(main!CG496="","",ROUND(main!CG496*100,6))</f>
        <v/>
      </c>
      <c r="BV493" s="68" t="str">
        <f>IF(main!CH496="","",ROUND(main!CH496*100,6))</f>
        <v/>
      </c>
      <c r="BW493" s="68" t="str">
        <f>IF(main!CI496="","",ROUND(main!CI496*100,6))</f>
        <v/>
      </c>
      <c r="BX493" s="68" t="str">
        <f>IF(main!CJ496="","",ROUND(main!CJ496*100,6))</f>
        <v/>
      </c>
      <c r="BY493" s="68" t="str">
        <f>IF(main!CK496="","",ROUND(main!CK496*100,6))</f>
        <v/>
      </c>
      <c r="BZ493" s="68" t="str">
        <f>IF(main!CL496="","",ROUND(main!CL496*100,6))</f>
        <v/>
      </c>
      <c r="CA493" s="68" t="str">
        <f>IF(main!CM496="","",ROUND(main!CM496*100,6))</f>
        <v/>
      </c>
      <c r="CB493" s="68" t="str">
        <f>IF(main!CN496="","",ROUND(main!CN496*100,6))</f>
        <v/>
      </c>
      <c r="CC493" s="68" t="str">
        <f>IF(main!CO496="","",ROUND(main!CO496*100,6))</f>
        <v/>
      </c>
    </row>
    <row r="494" spans="1:81" x14ac:dyDescent="0.25">
      <c r="A494" s="65" t="s">
        <v>665</v>
      </c>
      <c r="B494" s="66" t="str">
        <f>main!C497</f>
        <v>ตกแต่งโถงลิฟท์</v>
      </c>
      <c r="C494" s="67">
        <f>main!O497</f>
        <v>100000</v>
      </c>
      <c r="D494" s="65" t="s">
        <v>110</v>
      </c>
      <c r="E494" s="68">
        <f t="shared" si="7"/>
        <v>100</v>
      </c>
      <c r="F494" s="68" t="str">
        <f>IF(main!R497="","",ROUND(main!R497*100,6))</f>
        <v/>
      </c>
      <c r="G494" s="68" t="str">
        <f>IF(main!S497="","",ROUND(main!S497*100,6))</f>
        <v/>
      </c>
      <c r="H494" s="68" t="str">
        <f>IF(main!T497="","",ROUND(main!T497*100,6))</f>
        <v/>
      </c>
      <c r="I494" s="68" t="str">
        <f>IF(main!U497="","",ROUND(main!U497*100,6))</f>
        <v/>
      </c>
      <c r="J494" s="68" t="str">
        <f>IF(main!V497="","",ROUND(main!V497*100,6))</f>
        <v/>
      </c>
      <c r="K494" s="68" t="str">
        <f>IF(main!W497="","",ROUND(main!W497*100,6))</f>
        <v/>
      </c>
      <c r="L494" s="68" t="str">
        <f>IF(main!X497="","",ROUND(main!X497*100,6))</f>
        <v/>
      </c>
      <c r="M494" s="68" t="str">
        <f>IF(main!Y497="","",ROUND(main!Y497*100,6))</f>
        <v/>
      </c>
      <c r="N494" s="68" t="str">
        <f>IF(main!Z497="","",ROUND(main!Z497*100,6))</f>
        <v/>
      </c>
      <c r="O494" s="68" t="str">
        <f>IF(main!AA497="","",ROUND(main!AA497*100,6))</f>
        <v/>
      </c>
      <c r="P494" s="68" t="str">
        <f>IF(main!AB497="","",ROUND(main!AB497*100,6))</f>
        <v/>
      </c>
      <c r="Q494" s="68" t="str">
        <f>IF(main!AC497="","",ROUND(main!AC497*100,6))</f>
        <v/>
      </c>
      <c r="R494" s="68" t="str">
        <f>IF(main!AD497="","",ROUND(main!AD497*100,6))</f>
        <v/>
      </c>
      <c r="S494" s="68" t="str">
        <f>IF(main!AE497="","",ROUND(main!AE497*100,6))</f>
        <v/>
      </c>
      <c r="T494" s="68" t="str">
        <f>IF(main!AF497="","",ROUND(main!AF497*100,6))</f>
        <v/>
      </c>
      <c r="U494" s="68" t="str">
        <f>IF(main!AG497="","",ROUND(main!AG497*100,6))</f>
        <v/>
      </c>
      <c r="V494" s="68" t="str">
        <f>IF(main!AH497="","",ROUND(main!AH497*100,6))</f>
        <v/>
      </c>
      <c r="W494" s="68" t="str">
        <f>IF(main!AI497="","",ROUND(main!AI497*100,6))</f>
        <v/>
      </c>
      <c r="X494" s="68" t="str">
        <f>IF(main!AJ497="","",ROUND(main!AJ497*100,6))</f>
        <v/>
      </c>
      <c r="Y494" s="68" t="str">
        <f>IF(main!AK497="","",ROUND(main!AK497*100,6))</f>
        <v/>
      </c>
      <c r="Z494" s="68" t="str">
        <f>IF(main!AL497="","",ROUND(main!AL497*100,6))</f>
        <v/>
      </c>
      <c r="AA494" s="68" t="str">
        <f>IF(main!AM497="","",ROUND(main!AM497*100,6))</f>
        <v/>
      </c>
      <c r="AB494" s="68" t="str">
        <f>IF(main!AN497="","",ROUND(main!AN497*100,6))</f>
        <v/>
      </c>
      <c r="AC494" s="68" t="str">
        <f>IF(main!AO497="","",ROUND(main!AO497*100,6))</f>
        <v/>
      </c>
      <c r="AD494" s="68" t="str">
        <f>IF(main!AP497="","",ROUND(main!AP497*100,6))</f>
        <v/>
      </c>
      <c r="AE494" s="68" t="str">
        <f>IF(main!AQ497="","",ROUND(main!AQ497*100,6))</f>
        <v/>
      </c>
      <c r="AF494" s="68" t="str">
        <f>IF(main!AR497="","",ROUND(main!AR497*100,6))</f>
        <v/>
      </c>
      <c r="AG494" s="68" t="str">
        <f>IF(main!AS497="","",ROUND(main!AS497*100,6))</f>
        <v/>
      </c>
      <c r="AH494" s="68" t="str">
        <f>IF(main!AT497="","",ROUND(main!AT497*100,6))</f>
        <v/>
      </c>
      <c r="AI494" s="68" t="str">
        <f>IF(main!AU497="","",ROUND(main!AU497*100,6))</f>
        <v/>
      </c>
      <c r="AJ494" s="68" t="str">
        <f>IF(main!AV497="","",ROUND(main!AV497*100,6))</f>
        <v/>
      </c>
      <c r="AK494" s="68" t="str">
        <f>IF(main!AW497="","",ROUND(main!AW497*100,6))</f>
        <v/>
      </c>
      <c r="AL494" s="68" t="str">
        <f>IF(main!AX497="","",ROUND(main!AX497*100,6))</f>
        <v/>
      </c>
      <c r="AM494" s="68" t="str">
        <f>IF(main!AY497="","",ROUND(main!AY497*100,6))</f>
        <v/>
      </c>
      <c r="AN494" s="68" t="str">
        <f>IF(main!AZ497="","",ROUND(main!AZ497*100,6))</f>
        <v/>
      </c>
      <c r="AO494" s="68" t="str">
        <f>IF(main!BA497="","",ROUND(main!BA497*100,6))</f>
        <v/>
      </c>
      <c r="AP494" s="68" t="str">
        <f>IF(main!BB497="","",ROUND(main!BB497*100,6))</f>
        <v/>
      </c>
      <c r="AQ494" s="68" t="str">
        <f>IF(main!BC497="","",ROUND(main!BC497*100,6))</f>
        <v/>
      </c>
      <c r="AR494" s="68" t="str">
        <f>IF(main!BD497="","",ROUND(main!BD497*100,6))</f>
        <v/>
      </c>
      <c r="AS494" s="68" t="str">
        <f>IF(main!BE497="","",ROUND(main!BE497*100,6))</f>
        <v/>
      </c>
      <c r="AT494" s="68" t="str">
        <f>IF(main!BF497="","",ROUND(main!BF497*100,6))</f>
        <v/>
      </c>
      <c r="AU494" s="68" t="str">
        <f>IF(main!BG497="","",ROUND(main!BG497*100,6))</f>
        <v/>
      </c>
      <c r="AV494" s="68" t="str">
        <f>IF(main!BH497="","",ROUND(main!BH497*100,6))</f>
        <v/>
      </c>
      <c r="AW494" s="68" t="str">
        <f>IF(main!BI497="","",ROUND(main!BI497*100,6))</f>
        <v/>
      </c>
      <c r="AX494" s="68" t="str">
        <f>IF(main!BJ497="","",ROUND(main!BJ497*100,6))</f>
        <v/>
      </c>
      <c r="AY494" s="68" t="str">
        <f>IF(main!BK497="","",ROUND(main!BK497*100,6))</f>
        <v/>
      </c>
      <c r="AZ494" s="68" t="str">
        <f>IF(main!BL497="","",ROUND(main!BL497*100,6))</f>
        <v/>
      </c>
      <c r="BA494" s="68" t="str">
        <f>IF(main!BM497="","",ROUND(main!BM497*100,6))</f>
        <v/>
      </c>
      <c r="BB494" s="68" t="str">
        <f>IF(main!BN497="","",ROUND(main!BN497*100,6))</f>
        <v/>
      </c>
      <c r="BC494" s="68" t="str">
        <f>IF(main!BO497="","",ROUND(main!BO497*100,6))</f>
        <v/>
      </c>
      <c r="BD494" s="68" t="str">
        <f>IF(main!BP497="","",ROUND(main!BP497*100,6))</f>
        <v/>
      </c>
      <c r="BE494" s="68" t="str">
        <f>IF(main!BQ497="","",ROUND(main!BQ497*100,6))</f>
        <v/>
      </c>
      <c r="BF494" s="68" t="str">
        <f>IF(main!BR497="","",ROUND(main!BR497*100,6))</f>
        <v/>
      </c>
      <c r="BG494" s="68" t="str">
        <f>IF(main!BS497="","",ROUND(main!BS497*100,6))</f>
        <v/>
      </c>
      <c r="BH494" s="68" t="str">
        <f>IF(main!BT497="","",ROUND(main!BT497*100,6))</f>
        <v/>
      </c>
      <c r="BI494" s="68" t="str">
        <f>IF(main!BU497="","",ROUND(main!BU497*100,6))</f>
        <v/>
      </c>
      <c r="BJ494" s="68" t="str">
        <f>IF(main!BV497="","",ROUND(main!BV497*100,6))</f>
        <v/>
      </c>
      <c r="BK494" s="68" t="str">
        <f>IF(main!BW497="","",ROUND(main!BW497*100,6))</f>
        <v/>
      </c>
      <c r="BL494" s="68" t="str">
        <f>IF(main!BX497="","",ROUND(main!BX497*100,6))</f>
        <v/>
      </c>
      <c r="BM494" s="68" t="str">
        <f>IF(main!BY497="","",ROUND(main!BY497*100,6))</f>
        <v/>
      </c>
      <c r="BN494" s="68" t="str">
        <f>IF(main!BZ497="","",ROUND(main!BZ497*100,6))</f>
        <v/>
      </c>
      <c r="BO494" s="68" t="str">
        <f>IF(main!CA497="","",ROUND(main!CA497*100,6))</f>
        <v/>
      </c>
      <c r="BP494" s="68" t="str">
        <f>IF(main!CB497="","",ROUND(main!CB497*100,6))</f>
        <v/>
      </c>
      <c r="BQ494" s="68" t="str">
        <f>IF(main!CC497="","",ROUND(main!CC497*100,6))</f>
        <v/>
      </c>
      <c r="BR494" s="68" t="str">
        <f>IF(main!CD497="","",ROUND(main!CD497*100,6))</f>
        <v/>
      </c>
      <c r="BS494" s="68" t="str">
        <f>IF(main!CE497="","",ROUND(main!CE497*100,6))</f>
        <v/>
      </c>
      <c r="BT494" s="68">
        <f>IF(main!CF497="","",ROUND(main!CF497*100,6))</f>
        <v>7.1428570000000002</v>
      </c>
      <c r="BU494" s="68">
        <f>IF(main!CG497="","",ROUND(main!CG497*100,6))</f>
        <v>50</v>
      </c>
      <c r="BV494" s="68">
        <f>IF(main!CH497="","",ROUND(main!CH497*100,6))</f>
        <v>42.857143000000001</v>
      </c>
      <c r="BW494" s="68" t="str">
        <f>IF(main!CI497="","",ROUND(main!CI497*100,6))</f>
        <v/>
      </c>
      <c r="BX494" s="68" t="str">
        <f>IF(main!CJ497="","",ROUND(main!CJ497*100,6))</f>
        <v/>
      </c>
      <c r="BY494" s="68" t="str">
        <f>IF(main!CK497="","",ROUND(main!CK497*100,6))</f>
        <v/>
      </c>
      <c r="BZ494" s="68" t="str">
        <f>IF(main!CL497="","",ROUND(main!CL497*100,6))</f>
        <v/>
      </c>
      <c r="CA494" s="68" t="str">
        <f>IF(main!CM497="","",ROUND(main!CM497*100,6))</f>
        <v/>
      </c>
      <c r="CB494" s="68" t="str">
        <f>IF(main!CN497="","",ROUND(main!CN497*100,6))</f>
        <v/>
      </c>
      <c r="CC494" s="68" t="str">
        <f>IF(main!CO497="","",ROUND(main!CO497*100,6))</f>
        <v/>
      </c>
    </row>
    <row r="495" spans="1:81" x14ac:dyDescent="0.25">
      <c r="A495" s="65" t="s">
        <v>665</v>
      </c>
      <c r="B495" s="66" t="str">
        <f>main!C497</f>
        <v>ตกแต่งโถงลิฟท์</v>
      </c>
      <c r="C495" s="67">
        <f>main!O497</f>
        <v>100000</v>
      </c>
      <c r="D495" s="65" t="s">
        <v>111</v>
      </c>
      <c r="E495" s="68" t="str">
        <f t="shared" si="7"/>
        <v/>
      </c>
      <c r="F495" s="68" t="str">
        <f>IF(main!R498="","",ROUND(main!R498*100,6))</f>
        <v/>
      </c>
      <c r="G495" s="68" t="str">
        <f>IF(main!S498="","",ROUND(main!S498*100,6))</f>
        <v/>
      </c>
      <c r="H495" s="68" t="str">
        <f>IF(main!T498="","",ROUND(main!T498*100,6))</f>
        <v/>
      </c>
      <c r="I495" s="68" t="str">
        <f>IF(main!U498="","",ROUND(main!U498*100,6))</f>
        <v/>
      </c>
      <c r="J495" s="68" t="str">
        <f>IF(main!V498="","",ROUND(main!V498*100,6))</f>
        <v/>
      </c>
      <c r="K495" s="68" t="str">
        <f>IF(main!W498="","",ROUND(main!W498*100,6))</f>
        <v/>
      </c>
      <c r="L495" s="68" t="str">
        <f>IF(main!X498="","",ROUND(main!X498*100,6))</f>
        <v/>
      </c>
      <c r="M495" s="68" t="str">
        <f>IF(main!Y498="","",ROUND(main!Y498*100,6))</f>
        <v/>
      </c>
      <c r="N495" s="68" t="str">
        <f>IF(main!Z498="","",ROUND(main!Z498*100,6))</f>
        <v/>
      </c>
      <c r="O495" s="68" t="str">
        <f>IF(main!AA498="","",ROUND(main!AA498*100,6))</f>
        <v/>
      </c>
      <c r="P495" s="68" t="str">
        <f>IF(main!AB498="","",ROUND(main!AB498*100,6))</f>
        <v/>
      </c>
      <c r="Q495" s="68" t="str">
        <f>IF(main!AC498="","",ROUND(main!AC498*100,6))</f>
        <v/>
      </c>
      <c r="R495" s="68" t="str">
        <f>IF(main!AD498="","",ROUND(main!AD498*100,6))</f>
        <v/>
      </c>
      <c r="S495" s="68" t="str">
        <f>IF(main!AE498="","",ROUND(main!AE498*100,6))</f>
        <v/>
      </c>
      <c r="T495" s="68" t="str">
        <f>IF(main!AF498="","",ROUND(main!AF498*100,6))</f>
        <v/>
      </c>
      <c r="U495" s="68" t="str">
        <f>IF(main!AG498="","",ROUND(main!AG498*100,6))</f>
        <v/>
      </c>
      <c r="V495" s="68" t="str">
        <f>IF(main!AH498="","",ROUND(main!AH498*100,6))</f>
        <v/>
      </c>
      <c r="W495" s="68" t="str">
        <f>IF(main!AI498="","",ROUND(main!AI498*100,6))</f>
        <v/>
      </c>
      <c r="X495" s="68" t="str">
        <f>IF(main!AJ498="","",ROUND(main!AJ498*100,6))</f>
        <v/>
      </c>
      <c r="Y495" s="68" t="str">
        <f>IF(main!AK498="","",ROUND(main!AK498*100,6))</f>
        <v/>
      </c>
      <c r="Z495" s="68" t="str">
        <f>IF(main!AL498="","",ROUND(main!AL498*100,6))</f>
        <v/>
      </c>
      <c r="AA495" s="68" t="str">
        <f>IF(main!AM498="","",ROUND(main!AM498*100,6))</f>
        <v/>
      </c>
      <c r="AB495" s="68" t="str">
        <f>IF(main!AN498="","",ROUND(main!AN498*100,6))</f>
        <v/>
      </c>
      <c r="AC495" s="68" t="str">
        <f>IF(main!AO498="","",ROUND(main!AO498*100,6))</f>
        <v/>
      </c>
      <c r="AD495" s="68" t="str">
        <f>IF(main!AP498="","",ROUND(main!AP498*100,6))</f>
        <v/>
      </c>
      <c r="AE495" s="68" t="str">
        <f>IF(main!AQ498="","",ROUND(main!AQ498*100,6))</f>
        <v/>
      </c>
      <c r="AF495" s="68" t="str">
        <f>IF(main!AR498="","",ROUND(main!AR498*100,6))</f>
        <v/>
      </c>
      <c r="AG495" s="68" t="str">
        <f>IF(main!AS498="","",ROUND(main!AS498*100,6))</f>
        <v/>
      </c>
      <c r="AH495" s="68" t="str">
        <f>IF(main!AT498="","",ROUND(main!AT498*100,6))</f>
        <v/>
      </c>
      <c r="AI495" s="68" t="str">
        <f>IF(main!AU498="","",ROUND(main!AU498*100,6))</f>
        <v/>
      </c>
      <c r="AJ495" s="68" t="str">
        <f>IF(main!AV498="","",ROUND(main!AV498*100,6))</f>
        <v/>
      </c>
      <c r="AK495" s="68" t="str">
        <f>IF(main!AW498="","",ROUND(main!AW498*100,6))</f>
        <v/>
      </c>
      <c r="AL495" s="68" t="str">
        <f>IF(main!AX498="","",ROUND(main!AX498*100,6))</f>
        <v/>
      </c>
      <c r="AM495" s="68" t="str">
        <f>IF(main!AY498="","",ROUND(main!AY498*100,6))</f>
        <v/>
      </c>
      <c r="AN495" s="68" t="str">
        <f>IF(main!AZ498="","",ROUND(main!AZ498*100,6))</f>
        <v/>
      </c>
      <c r="AO495" s="68" t="str">
        <f>IF(main!BA498="","",ROUND(main!BA498*100,6))</f>
        <v/>
      </c>
      <c r="AP495" s="68" t="str">
        <f>IF(main!BB498="","",ROUND(main!BB498*100,6))</f>
        <v/>
      </c>
      <c r="AQ495" s="68" t="str">
        <f>IF(main!BC498="","",ROUND(main!BC498*100,6))</f>
        <v/>
      </c>
      <c r="AR495" s="68" t="str">
        <f>IF(main!BD498="","",ROUND(main!BD498*100,6))</f>
        <v/>
      </c>
      <c r="AS495" s="68" t="str">
        <f>IF(main!BE498="","",ROUND(main!BE498*100,6))</f>
        <v/>
      </c>
      <c r="AT495" s="68" t="str">
        <f>IF(main!BF498="","",ROUND(main!BF498*100,6))</f>
        <v/>
      </c>
      <c r="AU495" s="68" t="str">
        <f>IF(main!BG498="","",ROUND(main!BG498*100,6))</f>
        <v/>
      </c>
      <c r="AV495" s="68" t="str">
        <f>IF(main!BH498="","",ROUND(main!BH498*100,6))</f>
        <v/>
      </c>
      <c r="AW495" s="68" t="str">
        <f>IF(main!BI498="","",ROUND(main!BI498*100,6))</f>
        <v/>
      </c>
      <c r="AX495" s="68" t="str">
        <f>IF(main!BJ498="","",ROUND(main!BJ498*100,6))</f>
        <v/>
      </c>
      <c r="AY495" s="68" t="str">
        <f>IF(main!BK498="","",ROUND(main!BK498*100,6))</f>
        <v/>
      </c>
      <c r="AZ495" s="68" t="str">
        <f>IF(main!BL498="","",ROUND(main!BL498*100,6))</f>
        <v/>
      </c>
      <c r="BA495" s="68" t="str">
        <f>IF(main!BM498="","",ROUND(main!BM498*100,6))</f>
        <v/>
      </c>
      <c r="BB495" s="68" t="str">
        <f>IF(main!BN498="","",ROUND(main!BN498*100,6))</f>
        <v/>
      </c>
      <c r="BC495" s="68" t="str">
        <f>IF(main!BO498="","",ROUND(main!BO498*100,6))</f>
        <v/>
      </c>
      <c r="BD495" s="68" t="str">
        <f>IF(main!BP498="","",ROUND(main!BP498*100,6))</f>
        <v/>
      </c>
      <c r="BE495" s="68" t="str">
        <f>IF(main!BQ498="","",ROUND(main!BQ498*100,6))</f>
        <v/>
      </c>
      <c r="BF495" s="68" t="str">
        <f>IF(main!BR498="","",ROUND(main!BR498*100,6))</f>
        <v/>
      </c>
      <c r="BG495" s="68" t="str">
        <f>IF(main!BS498="","",ROUND(main!BS498*100,6))</f>
        <v/>
      </c>
      <c r="BH495" s="68" t="str">
        <f>IF(main!BT498="","",ROUND(main!BT498*100,6))</f>
        <v/>
      </c>
      <c r="BI495" s="68" t="str">
        <f>IF(main!BU498="","",ROUND(main!BU498*100,6))</f>
        <v/>
      </c>
      <c r="BJ495" s="68" t="str">
        <f>IF(main!BV498="","",ROUND(main!BV498*100,6))</f>
        <v/>
      </c>
      <c r="BK495" s="68" t="str">
        <f>IF(main!BW498="","",ROUND(main!BW498*100,6))</f>
        <v/>
      </c>
      <c r="BL495" s="68" t="str">
        <f>IF(main!BX498="","",ROUND(main!BX498*100,6))</f>
        <v/>
      </c>
      <c r="BM495" s="68" t="str">
        <f>IF(main!BY498="","",ROUND(main!BY498*100,6))</f>
        <v/>
      </c>
      <c r="BN495" s="68" t="str">
        <f>IF(main!BZ498="","",ROUND(main!BZ498*100,6))</f>
        <v/>
      </c>
      <c r="BO495" s="68" t="str">
        <f>IF(main!CA498="","",ROUND(main!CA498*100,6))</f>
        <v/>
      </c>
      <c r="BP495" s="68" t="str">
        <f>IF(main!CB498="","",ROUND(main!CB498*100,6))</f>
        <v/>
      </c>
      <c r="BQ495" s="68" t="str">
        <f>IF(main!CC498="","",ROUND(main!CC498*100,6))</f>
        <v/>
      </c>
      <c r="BR495" s="68" t="str">
        <f>IF(main!CD498="","",ROUND(main!CD498*100,6))</f>
        <v/>
      </c>
      <c r="BS495" s="68" t="str">
        <f>IF(main!CE498="","",ROUND(main!CE498*100,6))</f>
        <v/>
      </c>
      <c r="BT495" s="68" t="str">
        <f>IF(main!CF498="","",ROUND(main!CF498*100,6))</f>
        <v/>
      </c>
      <c r="BU495" s="68" t="str">
        <f>IF(main!CG498="","",ROUND(main!CG498*100,6))</f>
        <v/>
      </c>
      <c r="BV495" s="68" t="str">
        <f>IF(main!CH498="","",ROUND(main!CH498*100,6))</f>
        <v/>
      </c>
      <c r="BW495" s="68" t="str">
        <f>IF(main!CI498="","",ROUND(main!CI498*100,6))</f>
        <v/>
      </c>
      <c r="BX495" s="68" t="str">
        <f>IF(main!CJ498="","",ROUND(main!CJ498*100,6))</f>
        <v/>
      </c>
      <c r="BY495" s="68" t="str">
        <f>IF(main!CK498="","",ROUND(main!CK498*100,6))</f>
        <v/>
      </c>
      <c r="BZ495" s="68" t="str">
        <f>IF(main!CL498="","",ROUND(main!CL498*100,6))</f>
        <v/>
      </c>
      <c r="CA495" s="68" t="str">
        <f>IF(main!CM498="","",ROUND(main!CM498*100,6))</f>
        <v/>
      </c>
      <c r="CB495" s="68" t="str">
        <f>IF(main!CN498="","",ROUND(main!CN498*100,6))</f>
        <v/>
      </c>
      <c r="CC495" s="68" t="str">
        <f>IF(main!CO498="","",ROUND(main!CO498*100,6))</f>
        <v/>
      </c>
    </row>
    <row r="496" spans="1:81" x14ac:dyDescent="0.25">
      <c r="A496" s="65" t="s">
        <v>668</v>
      </c>
      <c r="B496" s="66" t="str">
        <f>main!C499</f>
        <v>Sanitary</v>
      </c>
      <c r="C496" s="67">
        <f>main!O499</f>
        <v>400000</v>
      </c>
      <c r="D496" s="65" t="s">
        <v>110</v>
      </c>
      <c r="E496" s="68">
        <f t="shared" si="7"/>
        <v>100</v>
      </c>
      <c r="F496" s="68" t="str">
        <f>IF(main!R499="","",ROUND(main!R499*100,6))</f>
        <v/>
      </c>
      <c r="G496" s="68" t="str">
        <f>IF(main!S499="","",ROUND(main!S499*100,6))</f>
        <v/>
      </c>
      <c r="H496" s="68" t="str">
        <f>IF(main!T499="","",ROUND(main!T499*100,6))</f>
        <v/>
      </c>
      <c r="I496" s="68" t="str">
        <f>IF(main!U499="","",ROUND(main!U499*100,6))</f>
        <v/>
      </c>
      <c r="J496" s="68" t="str">
        <f>IF(main!V499="","",ROUND(main!V499*100,6))</f>
        <v/>
      </c>
      <c r="K496" s="68" t="str">
        <f>IF(main!W499="","",ROUND(main!W499*100,6))</f>
        <v/>
      </c>
      <c r="L496" s="68" t="str">
        <f>IF(main!X499="","",ROUND(main!X499*100,6))</f>
        <v/>
      </c>
      <c r="M496" s="68" t="str">
        <f>IF(main!Y499="","",ROUND(main!Y499*100,6))</f>
        <v/>
      </c>
      <c r="N496" s="68" t="str">
        <f>IF(main!Z499="","",ROUND(main!Z499*100,6))</f>
        <v/>
      </c>
      <c r="O496" s="68" t="str">
        <f>IF(main!AA499="","",ROUND(main!AA499*100,6))</f>
        <v/>
      </c>
      <c r="P496" s="68" t="str">
        <f>IF(main!AB499="","",ROUND(main!AB499*100,6))</f>
        <v/>
      </c>
      <c r="Q496" s="68" t="str">
        <f>IF(main!AC499="","",ROUND(main!AC499*100,6))</f>
        <v/>
      </c>
      <c r="R496" s="68" t="str">
        <f>IF(main!AD499="","",ROUND(main!AD499*100,6))</f>
        <v/>
      </c>
      <c r="S496" s="68" t="str">
        <f>IF(main!AE499="","",ROUND(main!AE499*100,6))</f>
        <v/>
      </c>
      <c r="T496" s="68" t="str">
        <f>IF(main!AF499="","",ROUND(main!AF499*100,6))</f>
        <v/>
      </c>
      <c r="U496" s="68" t="str">
        <f>IF(main!AG499="","",ROUND(main!AG499*100,6))</f>
        <v/>
      </c>
      <c r="V496" s="68" t="str">
        <f>IF(main!AH499="","",ROUND(main!AH499*100,6))</f>
        <v/>
      </c>
      <c r="W496" s="68" t="str">
        <f>IF(main!AI499="","",ROUND(main!AI499*100,6))</f>
        <v/>
      </c>
      <c r="X496" s="68" t="str">
        <f>IF(main!AJ499="","",ROUND(main!AJ499*100,6))</f>
        <v/>
      </c>
      <c r="Y496" s="68" t="str">
        <f>IF(main!AK499="","",ROUND(main!AK499*100,6))</f>
        <v/>
      </c>
      <c r="Z496" s="68" t="str">
        <f>IF(main!AL499="","",ROUND(main!AL499*100,6))</f>
        <v/>
      </c>
      <c r="AA496" s="68" t="str">
        <f>IF(main!AM499="","",ROUND(main!AM499*100,6))</f>
        <v/>
      </c>
      <c r="AB496" s="68" t="str">
        <f>IF(main!AN499="","",ROUND(main!AN499*100,6))</f>
        <v/>
      </c>
      <c r="AC496" s="68" t="str">
        <f>IF(main!AO499="","",ROUND(main!AO499*100,6))</f>
        <v/>
      </c>
      <c r="AD496" s="68" t="str">
        <f>IF(main!AP499="","",ROUND(main!AP499*100,6))</f>
        <v/>
      </c>
      <c r="AE496" s="68" t="str">
        <f>IF(main!AQ499="","",ROUND(main!AQ499*100,6))</f>
        <v/>
      </c>
      <c r="AF496" s="68" t="str">
        <f>IF(main!AR499="","",ROUND(main!AR499*100,6))</f>
        <v/>
      </c>
      <c r="AG496" s="68" t="str">
        <f>IF(main!AS499="","",ROUND(main!AS499*100,6))</f>
        <v/>
      </c>
      <c r="AH496" s="68" t="str">
        <f>IF(main!AT499="","",ROUND(main!AT499*100,6))</f>
        <v/>
      </c>
      <c r="AI496" s="68" t="str">
        <f>IF(main!AU499="","",ROUND(main!AU499*100,6))</f>
        <v/>
      </c>
      <c r="AJ496" s="68" t="str">
        <f>IF(main!AV499="","",ROUND(main!AV499*100,6))</f>
        <v/>
      </c>
      <c r="AK496" s="68" t="str">
        <f>IF(main!AW499="","",ROUND(main!AW499*100,6))</f>
        <v/>
      </c>
      <c r="AL496" s="68" t="str">
        <f>IF(main!AX499="","",ROUND(main!AX499*100,6))</f>
        <v/>
      </c>
      <c r="AM496" s="68" t="str">
        <f>IF(main!AY499="","",ROUND(main!AY499*100,6))</f>
        <v/>
      </c>
      <c r="AN496" s="68" t="str">
        <f>IF(main!AZ499="","",ROUND(main!AZ499*100,6))</f>
        <v/>
      </c>
      <c r="AO496" s="68" t="str">
        <f>IF(main!BA499="","",ROUND(main!BA499*100,6))</f>
        <v/>
      </c>
      <c r="AP496" s="68" t="str">
        <f>IF(main!BB499="","",ROUND(main!BB499*100,6))</f>
        <v/>
      </c>
      <c r="AQ496" s="68" t="str">
        <f>IF(main!BC499="","",ROUND(main!BC499*100,6))</f>
        <v/>
      </c>
      <c r="AR496" s="68" t="str">
        <f>IF(main!BD499="","",ROUND(main!BD499*100,6))</f>
        <v/>
      </c>
      <c r="AS496" s="68" t="str">
        <f>IF(main!BE499="","",ROUND(main!BE499*100,6))</f>
        <v/>
      </c>
      <c r="AT496" s="68" t="str">
        <f>IF(main!BF499="","",ROUND(main!BF499*100,6))</f>
        <v/>
      </c>
      <c r="AU496" s="68" t="str">
        <f>IF(main!BG499="","",ROUND(main!BG499*100,6))</f>
        <v/>
      </c>
      <c r="AV496" s="68" t="str">
        <f>IF(main!BH499="","",ROUND(main!BH499*100,6))</f>
        <v/>
      </c>
      <c r="AW496" s="68" t="str">
        <f>IF(main!BI499="","",ROUND(main!BI499*100,6))</f>
        <v/>
      </c>
      <c r="AX496" s="68" t="str">
        <f>IF(main!BJ499="","",ROUND(main!BJ499*100,6))</f>
        <v/>
      </c>
      <c r="AY496" s="68" t="str">
        <f>IF(main!BK499="","",ROUND(main!BK499*100,6))</f>
        <v/>
      </c>
      <c r="AZ496" s="68" t="str">
        <f>IF(main!BL499="","",ROUND(main!BL499*100,6))</f>
        <v/>
      </c>
      <c r="BA496" s="68" t="str">
        <f>IF(main!BM499="","",ROUND(main!BM499*100,6))</f>
        <v/>
      </c>
      <c r="BB496" s="68" t="str">
        <f>IF(main!BN499="","",ROUND(main!BN499*100,6))</f>
        <v/>
      </c>
      <c r="BC496" s="68" t="str">
        <f>IF(main!BO499="","",ROUND(main!BO499*100,6))</f>
        <v/>
      </c>
      <c r="BD496" s="68" t="str">
        <f>IF(main!BP499="","",ROUND(main!BP499*100,6))</f>
        <v/>
      </c>
      <c r="BE496" s="68" t="str">
        <f>IF(main!BQ499="","",ROUND(main!BQ499*100,6))</f>
        <v/>
      </c>
      <c r="BF496" s="68" t="str">
        <f>IF(main!BR499="","",ROUND(main!BR499*100,6))</f>
        <v/>
      </c>
      <c r="BG496" s="68" t="str">
        <f>IF(main!BS499="","",ROUND(main!BS499*100,6))</f>
        <v/>
      </c>
      <c r="BH496" s="68" t="str">
        <f>IF(main!BT499="","",ROUND(main!BT499*100,6))</f>
        <v/>
      </c>
      <c r="BI496" s="68">
        <f>IF(main!BU499="","",ROUND(main!BU499*100,6))</f>
        <v>10.416667</v>
      </c>
      <c r="BJ496" s="68">
        <f>IF(main!BV499="","",ROUND(main!BV499*100,6))</f>
        <v>14.583333</v>
      </c>
      <c r="BK496" s="68" t="str">
        <f>IF(main!BW499="","",ROUND(main!BW499*100,6))</f>
        <v/>
      </c>
      <c r="BL496" s="68" t="str">
        <f>IF(main!BX499="","",ROUND(main!BX499*100,6))</f>
        <v/>
      </c>
      <c r="BM496" s="68">
        <f>IF(main!BY499="","",ROUND(main!BY499*100,6))</f>
        <v>10.416667</v>
      </c>
      <c r="BN496" s="68">
        <f>IF(main!BZ499="","",ROUND(main!BZ499*100,6))</f>
        <v>14.583333</v>
      </c>
      <c r="BO496" s="68" t="str">
        <f>IF(main!CA499="","",ROUND(main!CA499*100,6))</f>
        <v/>
      </c>
      <c r="BP496" s="68" t="str">
        <f>IF(main!CB499="","",ROUND(main!CB499*100,6))</f>
        <v/>
      </c>
      <c r="BQ496" s="68">
        <f>IF(main!CC499="","",ROUND(main!CC499*100,6))</f>
        <v>10.416667</v>
      </c>
      <c r="BR496" s="68">
        <f>IF(main!CD499="","",ROUND(main!CD499*100,6))</f>
        <v>14.583333</v>
      </c>
      <c r="BS496" s="68" t="str">
        <f>IF(main!CE499="","",ROUND(main!CE499*100,6))</f>
        <v/>
      </c>
      <c r="BT496" s="68" t="str">
        <f>IF(main!CF499="","",ROUND(main!CF499*100,6))</f>
        <v/>
      </c>
      <c r="BU496" s="68">
        <f>IF(main!CG499="","",ROUND(main!CG499*100,6))</f>
        <v>10.416667</v>
      </c>
      <c r="BV496" s="68">
        <f>IF(main!CH499="","",ROUND(main!CH499*100,6))</f>
        <v>14.583333</v>
      </c>
      <c r="BW496" s="68" t="str">
        <f>IF(main!CI499="","",ROUND(main!CI499*100,6))</f>
        <v/>
      </c>
      <c r="BX496" s="68" t="str">
        <f>IF(main!CJ499="","",ROUND(main!CJ499*100,6))</f>
        <v/>
      </c>
      <c r="BY496" s="68" t="str">
        <f>IF(main!CK499="","",ROUND(main!CK499*100,6))</f>
        <v/>
      </c>
      <c r="BZ496" s="68" t="str">
        <f>IF(main!CL499="","",ROUND(main!CL499*100,6))</f>
        <v/>
      </c>
      <c r="CA496" s="68" t="str">
        <f>IF(main!CM499="","",ROUND(main!CM499*100,6))</f>
        <v/>
      </c>
      <c r="CB496" s="68" t="str">
        <f>IF(main!CN499="","",ROUND(main!CN499*100,6))</f>
        <v/>
      </c>
      <c r="CC496" s="68" t="str">
        <f>IF(main!CO499="","",ROUND(main!CO499*100,6))</f>
        <v/>
      </c>
    </row>
    <row r="497" spans="1:81" x14ac:dyDescent="0.25">
      <c r="A497" s="65" t="s">
        <v>668</v>
      </c>
      <c r="B497" s="66" t="str">
        <f>main!C499</f>
        <v>Sanitary</v>
      </c>
      <c r="C497" s="67">
        <f>main!O499</f>
        <v>400000</v>
      </c>
      <c r="D497" s="65" t="s">
        <v>111</v>
      </c>
      <c r="E497" s="68" t="str">
        <f t="shared" si="7"/>
        <v/>
      </c>
      <c r="F497" s="68" t="str">
        <f>IF(main!R500="","",ROUND(main!R500*100,6))</f>
        <v/>
      </c>
      <c r="G497" s="68" t="str">
        <f>IF(main!S500="","",ROUND(main!S500*100,6))</f>
        <v/>
      </c>
      <c r="H497" s="68" t="str">
        <f>IF(main!T500="","",ROUND(main!T500*100,6))</f>
        <v/>
      </c>
      <c r="I497" s="68" t="str">
        <f>IF(main!U500="","",ROUND(main!U500*100,6))</f>
        <v/>
      </c>
      <c r="J497" s="68" t="str">
        <f>IF(main!V500="","",ROUND(main!V500*100,6))</f>
        <v/>
      </c>
      <c r="K497" s="68" t="str">
        <f>IF(main!W500="","",ROUND(main!W500*100,6))</f>
        <v/>
      </c>
      <c r="L497" s="68" t="str">
        <f>IF(main!X500="","",ROUND(main!X500*100,6))</f>
        <v/>
      </c>
      <c r="M497" s="68" t="str">
        <f>IF(main!Y500="","",ROUND(main!Y500*100,6))</f>
        <v/>
      </c>
      <c r="N497" s="68" t="str">
        <f>IF(main!Z500="","",ROUND(main!Z500*100,6))</f>
        <v/>
      </c>
      <c r="O497" s="68" t="str">
        <f>IF(main!AA500="","",ROUND(main!AA500*100,6))</f>
        <v/>
      </c>
      <c r="P497" s="68" t="str">
        <f>IF(main!AB500="","",ROUND(main!AB500*100,6))</f>
        <v/>
      </c>
      <c r="Q497" s="68" t="str">
        <f>IF(main!AC500="","",ROUND(main!AC500*100,6))</f>
        <v/>
      </c>
      <c r="R497" s="68" t="str">
        <f>IF(main!AD500="","",ROUND(main!AD500*100,6))</f>
        <v/>
      </c>
      <c r="S497" s="68" t="str">
        <f>IF(main!AE500="","",ROUND(main!AE500*100,6))</f>
        <v/>
      </c>
      <c r="T497" s="68" t="str">
        <f>IF(main!AF500="","",ROUND(main!AF500*100,6))</f>
        <v/>
      </c>
      <c r="U497" s="68" t="str">
        <f>IF(main!AG500="","",ROUND(main!AG500*100,6))</f>
        <v/>
      </c>
      <c r="V497" s="68" t="str">
        <f>IF(main!AH500="","",ROUND(main!AH500*100,6))</f>
        <v/>
      </c>
      <c r="W497" s="68" t="str">
        <f>IF(main!AI500="","",ROUND(main!AI500*100,6))</f>
        <v/>
      </c>
      <c r="X497" s="68" t="str">
        <f>IF(main!AJ500="","",ROUND(main!AJ500*100,6))</f>
        <v/>
      </c>
      <c r="Y497" s="68" t="str">
        <f>IF(main!AK500="","",ROUND(main!AK500*100,6))</f>
        <v/>
      </c>
      <c r="Z497" s="68" t="str">
        <f>IF(main!AL500="","",ROUND(main!AL500*100,6))</f>
        <v/>
      </c>
      <c r="AA497" s="68" t="str">
        <f>IF(main!AM500="","",ROUND(main!AM500*100,6))</f>
        <v/>
      </c>
      <c r="AB497" s="68" t="str">
        <f>IF(main!AN500="","",ROUND(main!AN500*100,6))</f>
        <v/>
      </c>
      <c r="AC497" s="68" t="str">
        <f>IF(main!AO500="","",ROUND(main!AO500*100,6))</f>
        <v/>
      </c>
      <c r="AD497" s="68" t="str">
        <f>IF(main!AP500="","",ROUND(main!AP500*100,6))</f>
        <v/>
      </c>
      <c r="AE497" s="68" t="str">
        <f>IF(main!AQ500="","",ROUND(main!AQ500*100,6))</f>
        <v/>
      </c>
      <c r="AF497" s="68" t="str">
        <f>IF(main!AR500="","",ROUND(main!AR500*100,6))</f>
        <v/>
      </c>
      <c r="AG497" s="68" t="str">
        <f>IF(main!AS500="","",ROUND(main!AS500*100,6))</f>
        <v/>
      </c>
      <c r="AH497" s="68" t="str">
        <f>IF(main!AT500="","",ROUND(main!AT500*100,6))</f>
        <v/>
      </c>
      <c r="AI497" s="68" t="str">
        <f>IF(main!AU500="","",ROUND(main!AU500*100,6))</f>
        <v/>
      </c>
      <c r="AJ497" s="68" t="str">
        <f>IF(main!AV500="","",ROUND(main!AV500*100,6))</f>
        <v/>
      </c>
      <c r="AK497" s="68" t="str">
        <f>IF(main!AW500="","",ROUND(main!AW500*100,6))</f>
        <v/>
      </c>
      <c r="AL497" s="68" t="str">
        <f>IF(main!AX500="","",ROUND(main!AX500*100,6))</f>
        <v/>
      </c>
      <c r="AM497" s="68" t="str">
        <f>IF(main!AY500="","",ROUND(main!AY500*100,6))</f>
        <v/>
      </c>
      <c r="AN497" s="68" t="str">
        <f>IF(main!AZ500="","",ROUND(main!AZ500*100,6))</f>
        <v/>
      </c>
      <c r="AO497" s="68" t="str">
        <f>IF(main!BA500="","",ROUND(main!BA500*100,6))</f>
        <v/>
      </c>
      <c r="AP497" s="68" t="str">
        <f>IF(main!BB500="","",ROUND(main!BB500*100,6))</f>
        <v/>
      </c>
      <c r="AQ497" s="68" t="str">
        <f>IF(main!BC500="","",ROUND(main!BC500*100,6))</f>
        <v/>
      </c>
      <c r="AR497" s="68" t="str">
        <f>IF(main!BD500="","",ROUND(main!BD500*100,6))</f>
        <v/>
      </c>
      <c r="AS497" s="68" t="str">
        <f>IF(main!BE500="","",ROUND(main!BE500*100,6))</f>
        <v/>
      </c>
      <c r="AT497" s="68" t="str">
        <f>IF(main!BF500="","",ROUND(main!BF500*100,6))</f>
        <v/>
      </c>
      <c r="AU497" s="68" t="str">
        <f>IF(main!BG500="","",ROUND(main!BG500*100,6))</f>
        <v/>
      </c>
      <c r="AV497" s="68" t="str">
        <f>IF(main!BH500="","",ROUND(main!BH500*100,6))</f>
        <v/>
      </c>
      <c r="AW497" s="68" t="str">
        <f>IF(main!BI500="","",ROUND(main!BI500*100,6))</f>
        <v/>
      </c>
      <c r="AX497" s="68" t="str">
        <f>IF(main!BJ500="","",ROUND(main!BJ500*100,6))</f>
        <v/>
      </c>
      <c r="AY497" s="68" t="str">
        <f>IF(main!BK500="","",ROUND(main!BK500*100,6))</f>
        <v/>
      </c>
      <c r="AZ497" s="68" t="str">
        <f>IF(main!BL500="","",ROUND(main!BL500*100,6))</f>
        <v/>
      </c>
      <c r="BA497" s="68" t="str">
        <f>IF(main!BM500="","",ROUND(main!BM500*100,6))</f>
        <v/>
      </c>
      <c r="BB497" s="68" t="str">
        <f>IF(main!BN500="","",ROUND(main!BN500*100,6))</f>
        <v/>
      </c>
      <c r="BC497" s="68" t="str">
        <f>IF(main!BO500="","",ROUND(main!BO500*100,6))</f>
        <v/>
      </c>
      <c r="BD497" s="68" t="str">
        <f>IF(main!BP500="","",ROUND(main!BP500*100,6))</f>
        <v/>
      </c>
      <c r="BE497" s="68" t="str">
        <f>IF(main!BQ500="","",ROUND(main!BQ500*100,6))</f>
        <v/>
      </c>
      <c r="BF497" s="68" t="str">
        <f>IF(main!BR500="","",ROUND(main!BR500*100,6))</f>
        <v/>
      </c>
      <c r="BG497" s="68" t="str">
        <f>IF(main!BS500="","",ROUND(main!BS500*100,6))</f>
        <v/>
      </c>
      <c r="BH497" s="68" t="str">
        <f>IF(main!BT500="","",ROUND(main!BT500*100,6))</f>
        <v/>
      </c>
      <c r="BI497" s="68" t="str">
        <f>IF(main!BU500="","",ROUND(main!BU500*100,6))</f>
        <v/>
      </c>
      <c r="BJ497" s="68" t="str">
        <f>IF(main!BV500="","",ROUND(main!BV500*100,6))</f>
        <v/>
      </c>
      <c r="BK497" s="68" t="str">
        <f>IF(main!BW500="","",ROUND(main!BW500*100,6))</f>
        <v/>
      </c>
      <c r="BL497" s="68" t="str">
        <f>IF(main!BX500="","",ROUND(main!BX500*100,6))</f>
        <v/>
      </c>
      <c r="BM497" s="68" t="str">
        <f>IF(main!BY500="","",ROUND(main!BY500*100,6))</f>
        <v/>
      </c>
      <c r="BN497" s="68" t="str">
        <f>IF(main!BZ500="","",ROUND(main!BZ500*100,6))</f>
        <v/>
      </c>
      <c r="BO497" s="68" t="str">
        <f>IF(main!CA500="","",ROUND(main!CA500*100,6))</f>
        <v/>
      </c>
      <c r="BP497" s="68" t="str">
        <f>IF(main!CB500="","",ROUND(main!CB500*100,6))</f>
        <v/>
      </c>
      <c r="BQ497" s="68" t="str">
        <f>IF(main!CC500="","",ROUND(main!CC500*100,6))</f>
        <v/>
      </c>
      <c r="BR497" s="68" t="str">
        <f>IF(main!CD500="","",ROUND(main!CD500*100,6))</f>
        <v/>
      </c>
      <c r="BS497" s="68" t="str">
        <f>IF(main!CE500="","",ROUND(main!CE500*100,6))</f>
        <v/>
      </c>
      <c r="BT497" s="68" t="str">
        <f>IF(main!CF500="","",ROUND(main!CF500*100,6))</f>
        <v/>
      </c>
      <c r="BU497" s="68" t="str">
        <f>IF(main!CG500="","",ROUND(main!CG500*100,6))</f>
        <v/>
      </c>
      <c r="BV497" s="68" t="str">
        <f>IF(main!CH500="","",ROUND(main!CH500*100,6))</f>
        <v/>
      </c>
      <c r="BW497" s="68" t="str">
        <f>IF(main!CI500="","",ROUND(main!CI500*100,6))</f>
        <v/>
      </c>
      <c r="BX497" s="68" t="str">
        <f>IF(main!CJ500="","",ROUND(main!CJ500*100,6))</f>
        <v/>
      </c>
      <c r="BY497" s="68" t="str">
        <f>IF(main!CK500="","",ROUND(main!CK500*100,6))</f>
        <v/>
      </c>
      <c r="BZ497" s="68" t="str">
        <f>IF(main!CL500="","",ROUND(main!CL500*100,6))</f>
        <v/>
      </c>
      <c r="CA497" s="68" t="str">
        <f>IF(main!CM500="","",ROUND(main!CM500*100,6))</f>
        <v/>
      </c>
      <c r="CB497" s="68" t="str">
        <f>IF(main!CN500="","",ROUND(main!CN500*100,6))</f>
        <v/>
      </c>
      <c r="CC497" s="68" t="str">
        <f>IF(main!CO500="","",ROUND(main!CO500*100,6))</f>
        <v/>
      </c>
    </row>
    <row r="498" spans="1:81" x14ac:dyDescent="0.25">
      <c r="A498" s="65" t="s">
        <v>670</v>
      </c>
      <c r="B498" s="66" t="str">
        <f>main!C501</f>
        <v>1st Floor</v>
      </c>
      <c r="C498" s="67">
        <f>main!O501</f>
        <v>100000</v>
      </c>
      <c r="D498" s="65" t="s">
        <v>110</v>
      </c>
      <c r="E498" s="68">
        <f t="shared" si="7"/>
        <v>100</v>
      </c>
      <c r="F498" s="68" t="str">
        <f>IF(main!R501="","",ROUND(main!R501*100,6))</f>
        <v/>
      </c>
      <c r="G498" s="68" t="str">
        <f>IF(main!S501="","",ROUND(main!S501*100,6))</f>
        <v/>
      </c>
      <c r="H498" s="68" t="str">
        <f>IF(main!T501="","",ROUND(main!T501*100,6))</f>
        <v/>
      </c>
      <c r="I498" s="68" t="str">
        <f>IF(main!U501="","",ROUND(main!U501*100,6))</f>
        <v/>
      </c>
      <c r="J498" s="68" t="str">
        <f>IF(main!V501="","",ROUND(main!V501*100,6))</f>
        <v/>
      </c>
      <c r="K498" s="68" t="str">
        <f>IF(main!W501="","",ROUND(main!W501*100,6))</f>
        <v/>
      </c>
      <c r="L498" s="68" t="str">
        <f>IF(main!X501="","",ROUND(main!X501*100,6))</f>
        <v/>
      </c>
      <c r="M498" s="68" t="str">
        <f>IF(main!Y501="","",ROUND(main!Y501*100,6))</f>
        <v/>
      </c>
      <c r="N498" s="68" t="str">
        <f>IF(main!Z501="","",ROUND(main!Z501*100,6))</f>
        <v/>
      </c>
      <c r="O498" s="68" t="str">
        <f>IF(main!AA501="","",ROUND(main!AA501*100,6))</f>
        <v/>
      </c>
      <c r="P498" s="68" t="str">
        <f>IF(main!AB501="","",ROUND(main!AB501*100,6))</f>
        <v/>
      </c>
      <c r="Q498" s="68" t="str">
        <f>IF(main!AC501="","",ROUND(main!AC501*100,6))</f>
        <v/>
      </c>
      <c r="R498" s="68" t="str">
        <f>IF(main!AD501="","",ROUND(main!AD501*100,6))</f>
        <v/>
      </c>
      <c r="S498" s="68" t="str">
        <f>IF(main!AE501="","",ROUND(main!AE501*100,6))</f>
        <v/>
      </c>
      <c r="T498" s="68" t="str">
        <f>IF(main!AF501="","",ROUND(main!AF501*100,6))</f>
        <v/>
      </c>
      <c r="U498" s="68" t="str">
        <f>IF(main!AG501="","",ROUND(main!AG501*100,6))</f>
        <v/>
      </c>
      <c r="V498" s="68" t="str">
        <f>IF(main!AH501="","",ROUND(main!AH501*100,6))</f>
        <v/>
      </c>
      <c r="W498" s="68" t="str">
        <f>IF(main!AI501="","",ROUND(main!AI501*100,6))</f>
        <v/>
      </c>
      <c r="X498" s="68" t="str">
        <f>IF(main!AJ501="","",ROUND(main!AJ501*100,6))</f>
        <v/>
      </c>
      <c r="Y498" s="68" t="str">
        <f>IF(main!AK501="","",ROUND(main!AK501*100,6))</f>
        <v/>
      </c>
      <c r="Z498" s="68" t="str">
        <f>IF(main!AL501="","",ROUND(main!AL501*100,6))</f>
        <v/>
      </c>
      <c r="AA498" s="68" t="str">
        <f>IF(main!AM501="","",ROUND(main!AM501*100,6))</f>
        <v/>
      </c>
      <c r="AB498" s="68" t="str">
        <f>IF(main!AN501="","",ROUND(main!AN501*100,6))</f>
        <v/>
      </c>
      <c r="AC498" s="68" t="str">
        <f>IF(main!AO501="","",ROUND(main!AO501*100,6))</f>
        <v/>
      </c>
      <c r="AD498" s="68" t="str">
        <f>IF(main!AP501="","",ROUND(main!AP501*100,6))</f>
        <v/>
      </c>
      <c r="AE498" s="68" t="str">
        <f>IF(main!AQ501="","",ROUND(main!AQ501*100,6))</f>
        <v/>
      </c>
      <c r="AF498" s="68" t="str">
        <f>IF(main!AR501="","",ROUND(main!AR501*100,6))</f>
        <v/>
      </c>
      <c r="AG498" s="68" t="str">
        <f>IF(main!AS501="","",ROUND(main!AS501*100,6))</f>
        <v/>
      </c>
      <c r="AH498" s="68" t="str">
        <f>IF(main!AT501="","",ROUND(main!AT501*100,6))</f>
        <v/>
      </c>
      <c r="AI498" s="68" t="str">
        <f>IF(main!AU501="","",ROUND(main!AU501*100,6))</f>
        <v/>
      </c>
      <c r="AJ498" s="68" t="str">
        <f>IF(main!AV501="","",ROUND(main!AV501*100,6))</f>
        <v/>
      </c>
      <c r="AK498" s="68" t="str">
        <f>IF(main!AW501="","",ROUND(main!AW501*100,6))</f>
        <v/>
      </c>
      <c r="AL498" s="68" t="str">
        <f>IF(main!AX501="","",ROUND(main!AX501*100,6))</f>
        <v/>
      </c>
      <c r="AM498" s="68" t="str">
        <f>IF(main!AY501="","",ROUND(main!AY501*100,6))</f>
        <v/>
      </c>
      <c r="AN498" s="68" t="str">
        <f>IF(main!AZ501="","",ROUND(main!AZ501*100,6))</f>
        <v/>
      </c>
      <c r="AO498" s="68" t="str">
        <f>IF(main!BA501="","",ROUND(main!BA501*100,6))</f>
        <v/>
      </c>
      <c r="AP498" s="68" t="str">
        <f>IF(main!BB501="","",ROUND(main!BB501*100,6))</f>
        <v/>
      </c>
      <c r="AQ498" s="68" t="str">
        <f>IF(main!BC501="","",ROUND(main!BC501*100,6))</f>
        <v/>
      </c>
      <c r="AR498" s="68" t="str">
        <f>IF(main!BD501="","",ROUND(main!BD501*100,6))</f>
        <v/>
      </c>
      <c r="AS498" s="68" t="str">
        <f>IF(main!BE501="","",ROUND(main!BE501*100,6))</f>
        <v/>
      </c>
      <c r="AT498" s="68" t="str">
        <f>IF(main!BF501="","",ROUND(main!BF501*100,6))</f>
        <v/>
      </c>
      <c r="AU498" s="68" t="str">
        <f>IF(main!BG501="","",ROUND(main!BG501*100,6))</f>
        <v/>
      </c>
      <c r="AV498" s="68" t="str">
        <f>IF(main!BH501="","",ROUND(main!BH501*100,6))</f>
        <v/>
      </c>
      <c r="AW498" s="68" t="str">
        <f>IF(main!BI501="","",ROUND(main!BI501*100,6))</f>
        <v/>
      </c>
      <c r="AX498" s="68" t="str">
        <f>IF(main!BJ501="","",ROUND(main!BJ501*100,6))</f>
        <v/>
      </c>
      <c r="AY498" s="68" t="str">
        <f>IF(main!BK501="","",ROUND(main!BK501*100,6))</f>
        <v/>
      </c>
      <c r="AZ498" s="68" t="str">
        <f>IF(main!BL501="","",ROUND(main!BL501*100,6))</f>
        <v/>
      </c>
      <c r="BA498" s="68" t="str">
        <f>IF(main!BM501="","",ROUND(main!BM501*100,6))</f>
        <v/>
      </c>
      <c r="BB498" s="68" t="str">
        <f>IF(main!BN501="","",ROUND(main!BN501*100,6))</f>
        <v/>
      </c>
      <c r="BC498" s="68" t="str">
        <f>IF(main!BO501="","",ROUND(main!BO501*100,6))</f>
        <v/>
      </c>
      <c r="BD498" s="68" t="str">
        <f>IF(main!BP501="","",ROUND(main!BP501*100,6))</f>
        <v/>
      </c>
      <c r="BE498" s="68" t="str">
        <f>IF(main!BQ501="","",ROUND(main!BQ501*100,6))</f>
        <v/>
      </c>
      <c r="BF498" s="68" t="str">
        <f>IF(main!BR501="","",ROUND(main!BR501*100,6))</f>
        <v/>
      </c>
      <c r="BG498" s="68" t="str">
        <f>IF(main!BS501="","",ROUND(main!BS501*100,6))</f>
        <v/>
      </c>
      <c r="BH498" s="68" t="str">
        <f>IF(main!BT501="","",ROUND(main!BT501*100,6))</f>
        <v/>
      </c>
      <c r="BI498" s="68">
        <f>IF(main!BU501="","",ROUND(main!BU501*100,6))</f>
        <v>41.666666999999997</v>
      </c>
      <c r="BJ498" s="68">
        <f>IF(main!BV501="","",ROUND(main!BV501*100,6))</f>
        <v>58.333333000000003</v>
      </c>
      <c r="BK498" s="68" t="str">
        <f>IF(main!BW501="","",ROUND(main!BW501*100,6))</f>
        <v/>
      </c>
      <c r="BL498" s="68" t="str">
        <f>IF(main!BX501="","",ROUND(main!BX501*100,6))</f>
        <v/>
      </c>
      <c r="BM498" s="68" t="str">
        <f>IF(main!BY501="","",ROUND(main!BY501*100,6))</f>
        <v/>
      </c>
      <c r="BN498" s="68" t="str">
        <f>IF(main!BZ501="","",ROUND(main!BZ501*100,6))</f>
        <v/>
      </c>
      <c r="BO498" s="68" t="str">
        <f>IF(main!CA501="","",ROUND(main!CA501*100,6))</f>
        <v/>
      </c>
      <c r="BP498" s="68" t="str">
        <f>IF(main!CB501="","",ROUND(main!CB501*100,6))</f>
        <v/>
      </c>
      <c r="BQ498" s="68" t="str">
        <f>IF(main!CC501="","",ROUND(main!CC501*100,6))</f>
        <v/>
      </c>
      <c r="BR498" s="68" t="str">
        <f>IF(main!CD501="","",ROUND(main!CD501*100,6))</f>
        <v/>
      </c>
      <c r="BS498" s="68" t="str">
        <f>IF(main!CE501="","",ROUND(main!CE501*100,6))</f>
        <v/>
      </c>
      <c r="BT498" s="68" t="str">
        <f>IF(main!CF501="","",ROUND(main!CF501*100,6))</f>
        <v/>
      </c>
      <c r="BU498" s="68" t="str">
        <f>IF(main!CG501="","",ROUND(main!CG501*100,6))</f>
        <v/>
      </c>
      <c r="BV498" s="68" t="str">
        <f>IF(main!CH501="","",ROUND(main!CH501*100,6))</f>
        <v/>
      </c>
      <c r="BW498" s="68" t="str">
        <f>IF(main!CI501="","",ROUND(main!CI501*100,6))</f>
        <v/>
      </c>
      <c r="BX498" s="68" t="str">
        <f>IF(main!CJ501="","",ROUND(main!CJ501*100,6))</f>
        <v/>
      </c>
      <c r="BY498" s="68" t="str">
        <f>IF(main!CK501="","",ROUND(main!CK501*100,6))</f>
        <v/>
      </c>
      <c r="BZ498" s="68" t="str">
        <f>IF(main!CL501="","",ROUND(main!CL501*100,6))</f>
        <v/>
      </c>
      <c r="CA498" s="68" t="str">
        <f>IF(main!CM501="","",ROUND(main!CM501*100,6))</f>
        <v/>
      </c>
      <c r="CB498" s="68" t="str">
        <f>IF(main!CN501="","",ROUND(main!CN501*100,6))</f>
        <v/>
      </c>
      <c r="CC498" s="68" t="str">
        <f>IF(main!CO501="","",ROUND(main!CO501*100,6))</f>
        <v/>
      </c>
    </row>
    <row r="499" spans="1:81" x14ac:dyDescent="0.25">
      <c r="A499" s="65" t="s">
        <v>670</v>
      </c>
      <c r="B499" s="66" t="str">
        <f>main!C501</f>
        <v>1st Floor</v>
      </c>
      <c r="C499" s="67">
        <f>main!O501</f>
        <v>100000</v>
      </c>
      <c r="D499" s="65" t="s">
        <v>111</v>
      </c>
      <c r="E499" s="68" t="str">
        <f t="shared" si="7"/>
        <v/>
      </c>
      <c r="F499" s="68" t="str">
        <f>IF(main!R502="","",ROUND(main!R502*100,6))</f>
        <v/>
      </c>
      <c r="G499" s="68" t="str">
        <f>IF(main!S502="","",ROUND(main!S502*100,6))</f>
        <v/>
      </c>
      <c r="H499" s="68" t="str">
        <f>IF(main!T502="","",ROUND(main!T502*100,6))</f>
        <v/>
      </c>
      <c r="I499" s="68" t="str">
        <f>IF(main!U502="","",ROUND(main!U502*100,6))</f>
        <v/>
      </c>
      <c r="J499" s="68" t="str">
        <f>IF(main!V502="","",ROUND(main!V502*100,6))</f>
        <v/>
      </c>
      <c r="K499" s="68" t="str">
        <f>IF(main!W502="","",ROUND(main!W502*100,6))</f>
        <v/>
      </c>
      <c r="L499" s="68" t="str">
        <f>IF(main!X502="","",ROUND(main!X502*100,6))</f>
        <v/>
      </c>
      <c r="M499" s="68" t="str">
        <f>IF(main!Y502="","",ROUND(main!Y502*100,6))</f>
        <v/>
      </c>
      <c r="N499" s="68" t="str">
        <f>IF(main!Z502="","",ROUND(main!Z502*100,6))</f>
        <v/>
      </c>
      <c r="O499" s="68" t="str">
        <f>IF(main!AA502="","",ROUND(main!AA502*100,6))</f>
        <v/>
      </c>
      <c r="P499" s="68" t="str">
        <f>IF(main!AB502="","",ROUND(main!AB502*100,6))</f>
        <v/>
      </c>
      <c r="Q499" s="68" t="str">
        <f>IF(main!AC502="","",ROUND(main!AC502*100,6))</f>
        <v/>
      </c>
      <c r="R499" s="68" t="str">
        <f>IF(main!AD502="","",ROUND(main!AD502*100,6))</f>
        <v/>
      </c>
      <c r="S499" s="68" t="str">
        <f>IF(main!AE502="","",ROUND(main!AE502*100,6))</f>
        <v/>
      </c>
      <c r="T499" s="68" t="str">
        <f>IF(main!AF502="","",ROUND(main!AF502*100,6))</f>
        <v/>
      </c>
      <c r="U499" s="68" t="str">
        <f>IF(main!AG502="","",ROUND(main!AG502*100,6))</f>
        <v/>
      </c>
      <c r="V499" s="68" t="str">
        <f>IF(main!AH502="","",ROUND(main!AH502*100,6))</f>
        <v/>
      </c>
      <c r="W499" s="68" t="str">
        <f>IF(main!AI502="","",ROUND(main!AI502*100,6))</f>
        <v/>
      </c>
      <c r="X499" s="68" t="str">
        <f>IF(main!AJ502="","",ROUND(main!AJ502*100,6))</f>
        <v/>
      </c>
      <c r="Y499" s="68" t="str">
        <f>IF(main!AK502="","",ROUND(main!AK502*100,6))</f>
        <v/>
      </c>
      <c r="Z499" s="68" t="str">
        <f>IF(main!AL502="","",ROUND(main!AL502*100,6))</f>
        <v/>
      </c>
      <c r="AA499" s="68" t="str">
        <f>IF(main!AM502="","",ROUND(main!AM502*100,6))</f>
        <v/>
      </c>
      <c r="AB499" s="68" t="str">
        <f>IF(main!AN502="","",ROUND(main!AN502*100,6))</f>
        <v/>
      </c>
      <c r="AC499" s="68" t="str">
        <f>IF(main!AO502="","",ROUND(main!AO502*100,6))</f>
        <v/>
      </c>
      <c r="AD499" s="68" t="str">
        <f>IF(main!AP502="","",ROUND(main!AP502*100,6))</f>
        <v/>
      </c>
      <c r="AE499" s="68" t="str">
        <f>IF(main!AQ502="","",ROUND(main!AQ502*100,6))</f>
        <v/>
      </c>
      <c r="AF499" s="68" t="str">
        <f>IF(main!AR502="","",ROUND(main!AR502*100,6))</f>
        <v/>
      </c>
      <c r="AG499" s="68" t="str">
        <f>IF(main!AS502="","",ROUND(main!AS502*100,6))</f>
        <v/>
      </c>
      <c r="AH499" s="68" t="str">
        <f>IF(main!AT502="","",ROUND(main!AT502*100,6))</f>
        <v/>
      </c>
      <c r="AI499" s="68" t="str">
        <f>IF(main!AU502="","",ROUND(main!AU502*100,6))</f>
        <v/>
      </c>
      <c r="AJ499" s="68" t="str">
        <f>IF(main!AV502="","",ROUND(main!AV502*100,6))</f>
        <v/>
      </c>
      <c r="AK499" s="68" t="str">
        <f>IF(main!AW502="","",ROUND(main!AW502*100,6))</f>
        <v/>
      </c>
      <c r="AL499" s="68" t="str">
        <f>IF(main!AX502="","",ROUND(main!AX502*100,6))</f>
        <v/>
      </c>
      <c r="AM499" s="68" t="str">
        <f>IF(main!AY502="","",ROUND(main!AY502*100,6))</f>
        <v/>
      </c>
      <c r="AN499" s="68" t="str">
        <f>IF(main!AZ502="","",ROUND(main!AZ502*100,6))</f>
        <v/>
      </c>
      <c r="AO499" s="68" t="str">
        <f>IF(main!BA502="","",ROUND(main!BA502*100,6))</f>
        <v/>
      </c>
      <c r="AP499" s="68" t="str">
        <f>IF(main!BB502="","",ROUND(main!BB502*100,6))</f>
        <v/>
      </c>
      <c r="AQ499" s="68" t="str">
        <f>IF(main!BC502="","",ROUND(main!BC502*100,6))</f>
        <v/>
      </c>
      <c r="AR499" s="68" t="str">
        <f>IF(main!BD502="","",ROUND(main!BD502*100,6))</f>
        <v/>
      </c>
      <c r="AS499" s="68" t="str">
        <f>IF(main!BE502="","",ROUND(main!BE502*100,6))</f>
        <v/>
      </c>
      <c r="AT499" s="68" t="str">
        <f>IF(main!BF502="","",ROUND(main!BF502*100,6))</f>
        <v/>
      </c>
      <c r="AU499" s="68" t="str">
        <f>IF(main!BG502="","",ROUND(main!BG502*100,6))</f>
        <v/>
      </c>
      <c r="AV499" s="68" t="str">
        <f>IF(main!BH502="","",ROUND(main!BH502*100,6))</f>
        <v/>
      </c>
      <c r="AW499" s="68" t="str">
        <f>IF(main!BI502="","",ROUND(main!BI502*100,6))</f>
        <v/>
      </c>
      <c r="AX499" s="68" t="str">
        <f>IF(main!BJ502="","",ROUND(main!BJ502*100,6))</f>
        <v/>
      </c>
      <c r="AY499" s="68" t="str">
        <f>IF(main!BK502="","",ROUND(main!BK502*100,6))</f>
        <v/>
      </c>
      <c r="AZ499" s="68" t="str">
        <f>IF(main!BL502="","",ROUND(main!BL502*100,6))</f>
        <v/>
      </c>
      <c r="BA499" s="68" t="str">
        <f>IF(main!BM502="","",ROUND(main!BM502*100,6))</f>
        <v/>
      </c>
      <c r="BB499" s="68" t="str">
        <f>IF(main!BN502="","",ROUND(main!BN502*100,6))</f>
        <v/>
      </c>
      <c r="BC499" s="68" t="str">
        <f>IF(main!BO502="","",ROUND(main!BO502*100,6))</f>
        <v/>
      </c>
      <c r="BD499" s="68" t="str">
        <f>IF(main!BP502="","",ROUND(main!BP502*100,6))</f>
        <v/>
      </c>
      <c r="BE499" s="68" t="str">
        <f>IF(main!BQ502="","",ROUND(main!BQ502*100,6))</f>
        <v/>
      </c>
      <c r="BF499" s="68" t="str">
        <f>IF(main!BR502="","",ROUND(main!BR502*100,6))</f>
        <v/>
      </c>
      <c r="BG499" s="68" t="str">
        <f>IF(main!BS502="","",ROUND(main!BS502*100,6))</f>
        <v/>
      </c>
      <c r="BH499" s="68" t="str">
        <f>IF(main!BT502="","",ROUND(main!BT502*100,6))</f>
        <v/>
      </c>
      <c r="BI499" s="68" t="str">
        <f>IF(main!BU502="","",ROUND(main!BU502*100,6))</f>
        <v/>
      </c>
      <c r="BJ499" s="68" t="str">
        <f>IF(main!BV502="","",ROUND(main!BV502*100,6))</f>
        <v/>
      </c>
      <c r="BK499" s="68" t="str">
        <f>IF(main!BW502="","",ROUND(main!BW502*100,6))</f>
        <v/>
      </c>
      <c r="BL499" s="68" t="str">
        <f>IF(main!BX502="","",ROUND(main!BX502*100,6))</f>
        <v/>
      </c>
      <c r="BM499" s="68" t="str">
        <f>IF(main!BY502="","",ROUND(main!BY502*100,6))</f>
        <v/>
      </c>
      <c r="BN499" s="68" t="str">
        <f>IF(main!BZ502="","",ROUND(main!BZ502*100,6))</f>
        <v/>
      </c>
      <c r="BO499" s="68" t="str">
        <f>IF(main!CA502="","",ROUND(main!CA502*100,6))</f>
        <v/>
      </c>
      <c r="BP499" s="68" t="str">
        <f>IF(main!CB502="","",ROUND(main!CB502*100,6))</f>
        <v/>
      </c>
      <c r="BQ499" s="68" t="str">
        <f>IF(main!CC502="","",ROUND(main!CC502*100,6))</f>
        <v/>
      </c>
      <c r="BR499" s="68" t="str">
        <f>IF(main!CD502="","",ROUND(main!CD502*100,6))</f>
        <v/>
      </c>
      <c r="BS499" s="68" t="str">
        <f>IF(main!CE502="","",ROUND(main!CE502*100,6))</f>
        <v/>
      </c>
      <c r="BT499" s="68" t="str">
        <f>IF(main!CF502="","",ROUND(main!CF502*100,6))</f>
        <v/>
      </c>
      <c r="BU499" s="68" t="str">
        <f>IF(main!CG502="","",ROUND(main!CG502*100,6))</f>
        <v/>
      </c>
      <c r="BV499" s="68" t="str">
        <f>IF(main!CH502="","",ROUND(main!CH502*100,6))</f>
        <v/>
      </c>
      <c r="BW499" s="68" t="str">
        <f>IF(main!CI502="","",ROUND(main!CI502*100,6))</f>
        <v/>
      </c>
      <c r="BX499" s="68" t="str">
        <f>IF(main!CJ502="","",ROUND(main!CJ502*100,6))</f>
        <v/>
      </c>
      <c r="BY499" s="68" t="str">
        <f>IF(main!CK502="","",ROUND(main!CK502*100,6))</f>
        <v/>
      </c>
      <c r="BZ499" s="68" t="str">
        <f>IF(main!CL502="","",ROUND(main!CL502*100,6))</f>
        <v/>
      </c>
      <c r="CA499" s="68" t="str">
        <f>IF(main!CM502="","",ROUND(main!CM502*100,6))</f>
        <v/>
      </c>
      <c r="CB499" s="68" t="str">
        <f>IF(main!CN502="","",ROUND(main!CN502*100,6))</f>
        <v/>
      </c>
      <c r="CC499" s="68" t="str">
        <f>IF(main!CO502="","",ROUND(main!CO502*100,6))</f>
        <v/>
      </c>
    </row>
    <row r="500" spans="1:81" x14ac:dyDescent="0.25">
      <c r="A500" s="65" t="s">
        <v>672</v>
      </c>
      <c r="B500" s="66" t="str">
        <f>main!C503</f>
        <v>M Floor</v>
      </c>
      <c r="C500" s="67">
        <f>main!O503</f>
        <v>100000</v>
      </c>
      <c r="D500" s="65" t="s">
        <v>110</v>
      </c>
      <c r="E500" s="68">
        <f t="shared" si="7"/>
        <v>100</v>
      </c>
      <c r="F500" s="68" t="str">
        <f>IF(main!R503="","",ROUND(main!R503*100,6))</f>
        <v/>
      </c>
      <c r="G500" s="68" t="str">
        <f>IF(main!S503="","",ROUND(main!S503*100,6))</f>
        <v/>
      </c>
      <c r="H500" s="68" t="str">
        <f>IF(main!T503="","",ROUND(main!T503*100,6))</f>
        <v/>
      </c>
      <c r="I500" s="68" t="str">
        <f>IF(main!U503="","",ROUND(main!U503*100,6))</f>
        <v/>
      </c>
      <c r="J500" s="68" t="str">
        <f>IF(main!V503="","",ROUND(main!V503*100,6))</f>
        <v/>
      </c>
      <c r="K500" s="68" t="str">
        <f>IF(main!W503="","",ROUND(main!W503*100,6))</f>
        <v/>
      </c>
      <c r="L500" s="68" t="str">
        <f>IF(main!X503="","",ROUND(main!X503*100,6))</f>
        <v/>
      </c>
      <c r="M500" s="68" t="str">
        <f>IF(main!Y503="","",ROUND(main!Y503*100,6))</f>
        <v/>
      </c>
      <c r="N500" s="68" t="str">
        <f>IF(main!Z503="","",ROUND(main!Z503*100,6))</f>
        <v/>
      </c>
      <c r="O500" s="68" t="str">
        <f>IF(main!AA503="","",ROUND(main!AA503*100,6))</f>
        <v/>
      </c>
      <c r="P500" s="68" t="str">
        <f>IF(main!AB503="","",ROUND(main!AB503*100,6))</f>
        <v/>
      </c>
      <c r="Q500" s="68" t="str">
        <f>IF(main!AC503="","",ROUND(main!AC503*100,6))</f>
        <v/>
      </c>
      <c r="R500" s="68" t="str">
        <f>IF(main!AD503="","",ROUND(main!AD503*100,6))</f>
        <v/>
      </c>
      <c r="S500" s="68" t="str">
        <f>IF(main!AE503="","",ROUND(main!AE503*100,6))</f>
        <v/>
      </c>
      <c r="T500" s="68" t="str">
        <f>IF(main!AF503="","",ROUND(main!AF503*100,6))</f>
        <v/>
      </c>
      <c r="U500" s="68" t="str">
        <f>IF(main!AG503="","",ROUND(main!AG503*100,6))</f>
        <v/>
      </c>
      <c r="V500" s="68" t="str">
        <f>IF(main!AH503="","",ROUND(main!AH503*100,6))</f>
        <v/>
      </c>
      <c r="W500" s="68" t="str">
        <f>IF(main!AI503="","",ROUND(main!AI503*100,6))</f>
        <v/>
      </c>
      <c r="X500" s="68" t="str">
        <f>IF(main!AJ503="","",ROUND(main!AJ503*100,6))</f>
        <v/>
      </c>
      <c r="Y500" s="68" t="str">
        <f>IF(main!AK503="","",ROUND(main!AK503*100,6))</f>
        <v/>
      </c>
      <c r="Z500" s="68" t="str">
        <f>IF(main!AL503="","",ROUND(main!AL503*100,6))</f>
        <v/>
      </c>
      <c r="AA500" s="68" t="str">
        <f>IF(main!AM503="","",ROUND(main!AM503*100,6))</f>
        <v/>
      </c>
      <c r="AB500" s="68" t="str">
        <f>IF(main!AN503="","",ROUND(main!AN503*100,6))</f>
        <v/>
      </c>
      <c r="AC500" s="68" t="str">
        <f>IF(main!AO503="","",ROUND(main!AO503*100,6))</f>
        <v/>
      </c>
      <c r="AD500" s="68" t="str">
        <f>IF(main!AP503="","",ROUND(main!AP503*100,6))</f>
        <v/>
      </c>
      <c r="AE500" s="68" t="str">
        <f>IF(main!AQ503="","",ROUND(main!AQ503*100,6))</f>
        <v/>
      </c>
      <c r="AF500" s="68" t="str">
        <f>IF(main!AR503="","",ROUND(main!AR503*100,6))</f>
        <v/>
      </c>
      <c r="AG500" s="68" t="str">
        <f>IF(main!AS503="","",ROUND(main!AS503*100,6))</f>
        <v/>
      </c>
      <c r="AH500" s="68" t="str">
        <f>IF(main!AT503="","",ROUND(main!AT503*100,6))</f>
        <v/>
      </c>
      <c r="AI500" s="68" t="str">
        <f>IF(main!AU503="","",ROUND(main!AU503*100,6))</f>
        <v/>
      </c>
      <c r="AJ500" s="68" t="str">
        <f>IF(main!AV503="","",ROUND(main!AV503*100,6))</f>
        <v/>
      </c>
      <c r="AK500" s="68" t="str">
        <f>IF(main!AW503="","",ROUND(main!AW503*100,6))</f>
        <v/>
      </c>
      <c r="AL500" s="68" t="str">
        <f>IF(main!AX503="","",ROUND(main!AX503*100,6))</f>
        <v/>
      </c>
      <c r="AM500" s="68" t="str">
        <f>IF(main!AY503="","",ROUND(main!AY503*100,6))</f>
        <v/>
      </c>
      <c r="AN500" s="68" t="str">
        <f>IF(main!AZ503="","",ROUND(main!AZ503*100,6))</f>
        <v/>
      </c>
      <c r="AO500" s="68" t="str">
        <f>IF(main!BA503="","",ROUND(main!BA503*100,6))</f>
        <v/>
      </c>
      <c r="AP500" s="68" t="str">
        <f>IF(main!BB503="","",ROUND(main!BB503*100,6))</f>
        <v/>
      </c>
      <c r="AQ500" s="68" t="str">
        <f>IF(main!BC503="","",ROUND(main!BC503*100,6))</f>
        <v/>
      </c>
      <c r="AR500" s="68" t="str">
        <f>IF(main!BD503="","",ROUND(main!BD503*100,6))</f>
        <v/>
      </c>
      <c r="AS500" s="68" t="str">
        <f>IF(main!BE503="","",ROUND(main!BE503*100,6))</f>
        <v/>
      </c>
      <c r="AT500" s="68" t="str">
        <f>IF(main!BF503="","",ROUND(main!BF503*100,6))</f>
        <v/>
      </c>
      <c r="AU500" s="68" t="str">
        <f>IF(main!BG503="","",ROUND(main!BG503*100,6))</f>
        <v/>
      </c>
      <c r="AV500" s="68" t="str">
        <f>IF(main!BH503="","",ROUND(main!BH503*100,6))</f>
        <v/>
      </c>
      <c r="AW500" s="68" t="str">
        <f>IF(main!BI503="","",ROUND(main!BI503*100,6))</f>
        <v/>
      </c>
      <c r="AX500" s="68" t="str">
        <f>IF(main!BJ503="","",ROUND(main!BJ503*100,6))</f>
        <v/>
      </c>
      <c r="AY500" s="68" t="str">
        <f>IF(main!BK503="","",ROUND(main!BK503*100,6))</f>
        <v/>
      </c>
      <c r="AZ500" s="68" t="str">
        <f>IF(main!BL503="","",ROUND(main!BL503*100,6))</f>
        <v/>
      </c>
      <c r="BA500" s="68" t="str">
        <f>IF(main!BM503="","",ROUND(main!BM503*100,6))</f>
        <v/>
      </c>
      <c r="BB500" s="68" t="str">
        <f>IF(main!BN503="","",ROUND(main!BN503*100,6))</f>
        <v/>
      </c>
      <c r="BC500" s="68" t="str">
        <f>IF(main!BO503="","",ROUND(main!BO503*100,6))</f>
        <v/>
      </c>
      <c r="BD500" s="68" t="str">
        <f>IF(main!BP503="","",ROUND(main!BP503*100,6))</f>
        <v/>
      </c>
      <c r="BE500" s="68" t="str">
        <f>IF(main!BQ503="","",ROUND(main!BQ503*100,6))</f>
        <v/>
      </c>
      <c r="BF500" s="68" t="str">
        <f>IF(main!BR503="","",ROUND(main!BR503*100,6))</f>
        <v/>
      </c>
      <c r="BG500" s="68" t="str">
        <f>IF(main!BS503="","",ROUND(main!BS503*100,6))</f>
        <v/>
      </c>
      <c r="BH500" s="68" t="str">
        <f>IF(main!BT503="","",ROUND(main!BT503*100,6))</f>
        <v/>
      </c>
      <c r="BI500" s="68" t="str">
        <f>IF(main!BU503="","",ROUND(main!BU503*100,6))</f>
        <v/>
      </c>
      <c r="BJ500" s="68" t="str">
        <f>IF(main!BV503="","",ROUND(main!BV503*100,6))</f>
        <v/>
      </c>
      <c r="BK500" s="68" t="str">
        <f>IF(main!BW503="","",ROUND(main!BW503*100,6))</f>
        <v/>
      </c>
      <c r="BL500" s="68" t="str">
        <f>IF(main!BX503="","",ROUND(main!BX503*100,6))</f>
        <v/>
      </c>
      <c r="BM500" s="68">
        <f>IF(main!BY503="","",ROUND(main!BY503*100,6))</f>
        <v>41.666666999999997</v>
      </c>
      <c r="BN500" s="68">
        <f>IF(main!BZ503="","",ROUND(main!BZ503*100,6))</f>
        <v>58.333333000000003</v>
      </c>
      <c r="BO500" s="68" t="str">
        <f>IF(main!CA503="","",ROUND(main!CA503*100,6))</f>
        <v/>
      </c>
      <c r="BP500" s="68" t="str">
        <f>IF(main!CB503="","",ROUND(main!CB503*100,6))</f>
        <v/>
      </c>
      <c r="BQ500" s="68" t="str">
        <f>IF(main!CC503="","",ROUND(main!CC503*100,6))</f>
        <v/>
      </c>
      <c r="BR500" s="68" t="str">
        <f>IF(main!CD503="","",ROUND(main!CD503*100,6))</f>
        <v/>
      </c>
      <c r="BS500" s="68" t="str">
        <f>IF(main!CE503="","",ROUND(main!CE503*100,6))</f>
        <v/>
      </c>
      <c r="BT500" s="68" t="str">
        <f>IF(main!CF503="","",ROUND(main!CF503*100,6))</f>
        <v/>
      </c>
      <c r="BU500" s="68" t="str">
        <f>IF(main!CG503="","",ROUND(main!CG503*100,6))</f>
        <v/>
      </c>
      <c r="BV500" s="68" t="str">
        <f>IF(main!CH503="","",ROUND(main!CH503*100,6))</f>
        <v/>
      </c>
      <c r="BW500" s="68" t="str">
        <f>IF(main!CI503="","",ROUND(main!CI503*100,6))</f>
        <v/>
      </c>
      <c r="BX500" s="68" t="str">
        <f>IF(main!CJ503="","",ROUND(main!CJ503*100,6))</f>
        <v/>
      </c>
      <c r="BY500" s="68" t="str">
        <f>IF(main!CK503="","",ROUND(main!CK503*100,6))</f>
        <v/>
      </c>
      <c r="BZ500" s="68" t="str">
        <f>IF(main!CL503="","",ROUND(main!CL503*100,6))</f>
        <v/>
      </c>
      <c r="CA500" s="68" t="str">
        <f>IF(main!CM503="","",ROUND(main!CM503*100,6))</f>
        <v/>
      </c>
      <c r="CB500" s="68" t="str">
        <f>IF(main!CN503="","",ROUND(main!CN503*100,6))</f>
        <v/>
      </c>
      <c r="CC500" s="68" t="str">
        <f>IF(main!CO503="","",ROUND(main!CO503*100,6))</f>
        <v/>
      </c>
    </row>
    <row r="501" spans="1:81" x14ac:dyDescent="0.25">
      <c r="A501" s="65" t="s">
        <v>672</v>
      </c>
      <c r="B501" s="66" t="str">
        <f>main!C503</f>
        <v>M Floor</v>
      </c>
      <c r="C501" s="67">
        <f>main!O503</f>
        <v>100000</v>
      </c>
      <c r="D501" s="65" t="s">
        <v>111</v>
      </c>
      <c r="E501" s="68" t="str">
        <f t="shared" si="7"/>
        <v/>
      </c>
      <c r="F501" s="68" t="str">
        <f>IF(main!R504="","",ROUND(main!R504*100,6))</f>
        <v/>
      </c>
      <c r="G501" s="68" t="str">
        <f>IF(main!S504="","",ROUND(main!S504*100,6))</f>
        <v/>
      </c>
      <c r="H501" s="68" t="str">
        <f>IF(main!T504="","",ROUND(main!T504*100,6))</f>
        <v/>
      </c>
      <c r="I501" s="68" t="str">
        <f>IF(main!U504="","",ROUND(main!U504*100,6))</f>
        <v/>
      </c>
      <c r="J501" s="68" t="str">
        <f>IF(main!V504="","",ROUND(main!V504*100,6))</f>
        <v/>
      </c>
      <c r="K501" s="68" t="str">
        <f>IF(main!W504="","",ROUND(main!W504*100,6))</f>
        <v/>
      </c>
      <c r="L501" s="68" t="str">
        <f>IF(main!X504="","",ROUND(main!X504*100,6))</f>
        <v/>
      </c>
      <c r="M501" s="68" t="str">
        <f>IF(main!Y504="","",ROUND(main!Y504*100,6))</f>
        <v/>
      </c>
      <c r="N501" s="68" t="str">
        <f>IF(main!Z504="","",ROUND(main!Z504*100,6))</f>
        <v/>
      </c>
      <c r="O501" s="68" t="str">
        <f>IF(main!AA504="","",ROUND(main!AA504*100,6))</f>
        <v/>
      </c>
      <c r="P501" s="68" t="str">
        <f>IF(main!AB504="","",ROUND(main!AB504*100,6))</f>
        <v/>
      </c>
      <c r="Q501" s="68" t="str">
        <f>IF(main!AC504="","",ROUND(main!AC504*100,6))</f>
        <v/>
      </c>
      <c r="R501" s="68" t="str">
        <f>IF(main!AD504="","",ROUND(main!AD504*100,6))</f>
        <v/>
      </c>
      <c r="S501" s="68" t="str">
        <f>IF(main!AE504="","",ROUND(main!AE504*100,6))</f>
        <v/>
      </c>
      <c r="T501" s="68" t="str">
        <f>IF(main!AF504="","",ROUND(main!AF504*100,6))</f>
        <v/>
      </c>
      <c r="U501" s="68" t="str">
        <f>IF(main!AG504="","",ROUND(main!AG504*100,6))</f>
        <v/>
      </c>
      <c r="V501" s="68" t="str">
        <f>IF(main!AH504="","",ROUND(main!AH504*100,6))</f>
        <v/>
      </c>
      <c r="W501" s="68" t="str">
        <f>IF(main!AI504="","",ROUND(main!AI504*100,6))</f>
        <v/>
      </c>
      <c r="X501" s="68" t="str">
        <f>IF(main!AJ504="","",ROUND(main!AJ504*100,6))</f>
        <v/>
      </c>
      <c r="Y501" s="68" t="str">
        <f>IF(main!AK504="","",ROUND(main!AK504*100,6))</f>
        <v/>
      </c>
      <c r="Z501" s="68" t="str">
        <f>IF(main!AL504="","",ROUND(main!AL504*100,6))</f>
        <v/>
      </c>
      <c r="AA501" s="68" t="str">
        <f>IF(main!AM504="","",ROUND(main!AM504*100,6))</f>
        <v/>
      </c>
      <c r="AB501" s="68" t="str">
        <f>IF(main!AN504="","",ROUND(main!AN504*100,6))</f>
        <v/>
      </c>
      <c r="AC501" s="68" t="str">
        <f>IF(main!AO504="","",ROUND(main!AO504*100,6))</f>
        <v/>
      </c>
      <c r="AD501" s="68" t="str">
        <f>IF(main!AP504="","",ROUND(main!AP504*100,6))</f>
        <v/>
      </c>
      <c r="AE501" s="68" t="str">
        <f>IF(main!AQ504="","",ROUND(main!AQ504*100,6))</f>
        <v/>
      </c>
      <c r="AF501" s="68" t="str">
        <f>IF(main!AR504="","",ROUND(main!AR504*100,6))</f>
        <v/>
      </c>
      <c r="AG501" s="68" t="str">
        <f>IF(main!AS504="","",ROUND(main!AS504*100,6))</f>
        <v/>
      </c>
      <c r="AH501" s="68" t="str">
        <f>IF(main!AT504="","",ROUND(main!AT504*100,6))</f>
        <v/>
      </c>
      <c r="AI501" s="68" t="str">
        <f>IF(main!AU504="","",ROUND(main!AU504*100,6))</f>
        <v/>
      </c>
      <c r="AJ501" s="68" t="str">
        <f>IF(main!AV504="","",ROUND(main!AV504*100,6))</f>
        <v/>
      </c>
      <c r="AK501" s="68" t="str">
        <f>IF(main!AW504="","",ROUND(main!AW504*100,6))</f>
        <v/>
      </c>
      <c r="AL501" s="68" t="str">
        <f>IF(main!AX504="","",ROUND(main!AX504*100,6))</f>
        <v/>
      </c>
      <c r="AM501" s="68" t="str">
        <f>IF(main!AY504="","",ROUND(main!AY504*100,6))</f>
        <v/>
      </c>
      <c r="AN501" s="68" t="str">
        <f>IF(main!AZ504="","",ROUND(main!AZ504*100,6))</f>
        <v/>
      </c>
      <c r="AO501" s="68" t="str">
        <f>IF(main!BA504="","",ROUND(main!BA504*100,6))</f>
        <v/>
      </c>
      <c r="AP501" s="68" t="str">
        <f>IF(main!BB504="","",ROUND(main!BB504*100,6))</f>
        <v/>
      </c>
      <c r="AQ501" s="68" t="str">
        <f>IF(main!BC504="","",ROUND(main!BC504*100,6))</f>
        <v/>
      </c>
      <c r="AR501" s="68" t="str">
        <f>IF(main!BD504="","",ROUND(main!BD504*100,6))</f>
        <v/>
      </c>
      <c r="AS501" s="68" t="str">
        <f>IF(main!BE504="","",ROUND(main!BE504*100,6))</f>
        <v/>
      </c>
      <c r="AT501" s="68" t="str">
        <f>IF(main!BF504="","",ROUND(main!BF504*100,6))</f>
        <v/>
      </c>
      <c r="AU501" s="68" t="str">
        <f>IF(main!BG504="","",ROUND(main!BG504*100,6))</f>
        <v/>
      </c>
      <c r="AV501" s="68" t="str">
        <f>IF(main!BH504="","",ROUND(main!BH504*100,6))</f>
        <v/>
      </c>
      <c r="AW501" s="68" t="str">
        <f>IF(main!BI504="","",ROUND(main!BI504*100,6))</f>
        <v/>
      </c>
      <c r="AX501" s="68" t="str">
        <f>IF(main!BJ504="","",ROUND(main!BJ504*100,6))</f>
        <v/>
      </c>
      <c r="AY501" s="68" t="str">
        <f>IF(main!BK504="","",ROUND(main!BK504*100,6))</f>
        <v/>
      </c>
      <c r="AZ501" s="68" t="str">
        <f>IF(main!BL504="","",ROUND(main!BL504*100,6))</f>
        <v/>
      </c>
      <c r="BA501" s="68" t="str">
        <f>IF(main!BM504="","",ROUND(main!BM504*100,6))</f>
        <v/>
      </c>
      <c r="BB501" s="68" t="str">
        <f>IF(main!BN504="","",ROUND(main!BN504*100,6))</f>
        <v/>
      </c>
      <c r="BC501" s="68" t="str">
        <f>IF(main!BO504="","",ROUND(main!BO504*100,6))</f>
        <v/>
      </c>
      <c r="BD501" s="68" t="str">
        <f>IF(main!BP504="","",ROUND(main!BP504*100,6))</f>
        <v/>
      </c>
      <c r="BE501" s="68" t="str">
        <f>IF(main!BQ504="","",ROUND(main!BQ504*100,6))</f>
        <v/>
      </c>
      <c r="BF501" s="68" t="str">
        <f>IF(main!BR504="","",ROUND(main!BR504*100,6))</f>
        <v/>
      </c>
      <c r="BG501" s="68" t="str">
        <f>IF(main!BS504="","",ROUND(main!BS504*100,6))</f>
        <v/>
      </c>
      <c r="BH501" s="68" t="str">
        <f>IF(main!BT504="","",ROUND(main!BT504*100,6))</f>
        <v/>
      </c>
      <c r="BI501" s="68" t="str">
        <f>IF(main!BU504="","",ROUND(main!BU504*100,6))</f>
        <v/>
      </c>
      <c r="BJ501" s="68" t="str">
        <f>IF(main!BV504="","",ROUND(main!BV504*100,6))</f>
        <v/>
      </c>
      <c r="BK501" s="68" t="str">
        <f>IF(main!BW504="","",ROUND(main!BW504*100,6))</f>
        <v/>
      </c>
      <c r="BL501" s="68" t="str">
        <f>IF(main!BX504="","",ROUND(main!BX504*100,6))</f>
        <v/>
      </c>
      <c r="BM501" s="68" t="str">
        <f>IF(main!BY504="","",ROUND(main!BY504*100,6))</f>
        <v/>
      </c>
      <c r="BN501" s="68" t="str">
        <f>IF(main!BZ504="","",ROUND(main!BZ504*100,6))</f>
        <v/>
      </c>
      <c r="BO501" s="68" t="str">
        <f>IF(main!CA504="","",ROUND(main!CA504*100,6))</f>
        <v/>
      </c>
      <c r="BP501" s="68" t="str">
        <f>IF(main!CB504="","",ROUND(main!CB504*100,6))</f>
        <v/>
      </c>
      <c r="BQ501" s="68" t="str">
        <f>IF(main!CC504="","",ROUND(main!CC504*100,6))</f>
        <v/>
      </c>
      <c r="BR501" s="68" t="str">
        <f>IF(main!CD504="","",ROUND(main!CD504*100,6))</f>
        <v/>
      </c>
      <c r="BS501" s="68" t="str">
        <f>IF(main!CE504="","",ROUND(main!CE504*100,6))</f>
        <v/>
      </c>
      <c r="BT501" s="68" t="str">
        <f>IF(main!CF504="","",ROUND(main!CF504*100,6))</f>
        <v/>
      </c>
      <c r="BU501" s="68" t="str">
        <f>IF(main!CG504="","",ROUND(main!CG504*100,6))</f>
        <v/>
      </c>
      <c r="BV501" s="68" t="str">
        <f>IF(main!CH504="","",ROUND(main!CH504*100,6))</f>
        <v/>
      </c>
      <c r="BW501" s="68" t="str">
        <f>IF(main!CI504="","",ROUND(main!CI504*100,6))</f>
        <v/>
      </c>
      <c r="BX501" s="68" t="str">
        <f>IF(main!CJ504="","",ROUND(main!CJ504*100,6))</f>
        <v/>
      </c>
      <c r="BY501" s="68" t="str">
        <f>IF(main!CK504="","",ROUND(main!CK504*100,6))</f>
        <v/>
      </c>
      <c r="BZ501" s="68" t="str">
        <f>IF(main!CL504="","",ROUND(main!CL504*100,6))</f>
        <v/>
      </c>
      <c r="CA501" s="68" t="str">
        <f>IF(main!CM504="","",ROUND(main!CM504*100,6))</f>
        <v/>
      </c>
      <c r="CB501" s="68" t="str">
        <f>IF(main!CN504="","",ROUND(main!CN504*100,6))</f>
        <v/>
      </c>
      <c r="CC501" s="68" t="str">
        <f>IF(main!CO504="","",ROUND(main!CO504*100,6))</f>
        <v/>
      </c>
    </row>
    <row r="502" spans="1:81" x14ac:dyDescent="0.25">
      <c r="A502" s="65" t="s">
        <v>675</v>
      </c>
      <c r="B502" s="66" t="str">
        <f>main!C505</f>
        <v>2nd Floor</v>
      </c>
      <c r="C502" s="67">
        <f>main!O505</f>
        <v>100000</v>
      </c>
      <c r="D502" s="65" t="s">
        <v>110</v>
      </c>
      <c r="E502" s="68">
        <f t="shared" si="7"/>
        <v>100</v>
      </c>
      <c r="F502" s="68" t="str">
        <f>IF(main!R505="","",ROUND(main!R505*100,6))</f>
        <v/>
      </c>
      <c r="G502" s="68" t="str">
        <f>IF(main!S505="","",ROUND(main!S505*100,6))</f>
        <v/>
      </c>
      <c r="H502" s="68" t="str">
        <f>IF(main!T505="","",ROUND(main!T505*100,6))</f>
        <v/>
      </c>
      <c r="I502" s="68" t="str">
        <f>IF(main!U505="","",ROUND(main!U505*100,6))</f>
        <v/>
      </c>
      <c r="J502" s="68" t="str">
        <f>IF(main!V505="","",ROUND(main!V505*100,6))</f>
        <v/>
      </c>
      <c r="K502" s="68" t="str">
        <f>IF(main!W505="","",ROUND(main!W505*100,6))</f>
        <v/>
      </c>
      <c r="L502" s="68" t="str">
        <f>IF(main!X505="","",ROUND(main!X505*100,6))</f>
        <v/>
      </c>
      <c r="M502" s="68" t="str">
        <f>IF(main!Y505="","",ROUND(main!Y505*100,6))</f>
        <v/>
      </c>
      <c r="N502" s="68" t="str">
        <f>IF(main!Z505="","",ROUND(main!Z505*100,6))</f>
        <v/>
      </c>
      <c r="O502" s="68" t="str">
        <f>IF(main!AA505="","",ROUND(main!AA505*100,6))</f>
        <v/>
      </c>
      <c r="P502" s="68" t="str">
        <f>IF(main!AB505="","",ROUND(main!AB505*100,6))</f>
        <v/>
      </c>
      <c r="Q502" s="68" t="str">
        <f>IF(main!AC505="","",ROUND(main!AC505*100,6))</f>
        <v/>
      </c>
      <c r="R502" s="68" t="str">
        <f>IF(main!AD505="","",ROUND(main!AD505*100,6))</f>
        <v/>
      </c>
      <c r="S502" s="68" t="str">
        <f>IF(main!AE505="","",ROUND(main!AE505*100,6))</f>
        <v/>
      </c>
      <c r="T502" s="68" t="str">
        <f>IF(main!AF505="","",ROUND(main!AF505*100,6))</f>
        <v/>
      </c>
      <c r="U502" s="68" t="str">
        <f>IF(main!AG505="","",ROUND(main!AG505*100,6))</f>
        <v/>
      </c>
      <c r="V502" s="68" t="str">
        <f>IF(main!AH505="","",ROUND(main!AH505*100,6))</f>
        <v/>
      </c>
      <c r="W502" s="68" t="str">
        <f>IF(main!AI505="","",ROUND(main!AI505*100,6))</f>
        <v/>
      </c>
      <c r="X502" s="68" t="str">
        <f>IF(main!AJ505="","",ROUND(main!AJ505*100,6))</f>
        <v/>
      </c>
      <c r="Y502" s="68" t="str">
        <f>IF(main!AK505="","",ROUND(main!AK505*100,6))</f>
        <v/>
      </c>
      <c r="Z502" s="68" t="str">
        <f>IF(main!AL505="","",ROUND(main!AL505*100,6))</f>
        <v/>
      </c>
      <c r="AA502" s="68" t="str">
        <f>IF(main!AM505="","",ROUND(main!AM505*100,6))</f>
        <v/>
      </c>
      <c r="AB502" s="68" t="str">
        <f>IF(main!AN505="","",ROUND(main!AN505*100,6))</f>
        <v/>
      </c>
      <c r="AC502" s="68" t="str">
        <f>IF(main!AO505="","",ROUND(main!AO505*100,6))</f>
        <v/>
      </c>
      <c r="AD502" s="68" t="str">
        <f>IF(main!AP505="","",ROUND(main!AP505*100,6))</f>
        <v/>
      </c>
      <c r="AE502" s="68" t="str">
        <f>IF(main!AQ505="","",ROUND(main!AQ505*100,6))</f>
        <v/>
      </c>
      <c r="AF502" s="68" t="str">
        <f>IF(main!AR505="","",ROUND(main!AR505*100,6))</f>
        <v/>
      </c>
      <c r="AG502" s="68" t="str">
        <f>IF(main!AS505="","",ROUND(main!AS505*100,6))</f>
        <v/>
      </c>
      <c r="AH502" s="68" t="str">
        <f>IF(main!AT505="","",ROUND(main!AT505*100,6))</f>
        <v/>
      </c>
      <c r="AI502" s="68" t="str">
        <f>IF(main!AU505="","",ROUND(main!AU505*100,6))</f>
        <v/>
      </c>
      <c r="AJ502" s="68" t="str">
        <f>IF(main!AV505="","",ROUND(main!AV505*100,6))</f>
        <v/>
      </c>
      <c r="AK502" s="68" t="str">
        <f>IF(main!AW505="","",ROUND(main!AW505*100,6))</f>
        <v/>
      </c>
      <c r="AL502" s="68" t="str">
        <f>IF(main!AX505="","",ROUND(main!AX505*100,6))</f>
        <v/>
      </c>
      <c r="AM502" s="68" t="str">
        <f>IF(main!AY505="","",ROUND(main!AY505*100,6))</f>
        <v/>
      </c>
      <c r="AN502" s="68" t="str">
        <f>IF(main!AZ505="","",ROUND(main!AZ505*100,6))</f>
        <v/>
      </c>
      <c r="AO502" s="68" t="str">
        <f>IF(main!BA505="","",ROUND(main!BA505*100,6))</f>
        <v/>
      </c>
      <c r="AP502" s="68" t="str">
        <f>IF(main!BB505="","",ROUND(main!BB505*100,6))</f>
        <v/>
      </c>
      <c r="AQ502" s="68" t="str">
        <f>IF(main!BC505="","",ROUND(main!BC505*100,6))</f>
        <v/>
      </c>
      <c r="AR502" s="68" t="str">
        <f>IF(main!BD505="","",ROUND(main!BD505*100,6))</f>
        <v/>
      </c>
      <c r="AS502" s="68" t="str">
        <f>IF(main!BE505="","",ROUND(main!BE505*100,6))</f>
        <v/>
      </c>
      <c r="AT502" s="68" t="str">
        <f>IF(main!BF505="","",ROUND(main!BF505*100,6))</f>
        <v/>
      </c>
      <c r="AU502" s="68" t="str">
        <f>IF(main!BG505="","",ROUND(main!BG505*100,6))</f>
        <v/>
      </c>
      <c r="AV502" s="68" t="str">
        <f>IF(main!BH505="","",ROUND(main!BH505*100,6))</f>
        <v/>
      </c>
      <c r="AW502" s="68" t="str">
        <f>IF(main!BI505="","",ROUND(main!BI505*100,6))</f>
        <v/>
      </c>
      <c r="AX502" s="68" t="str">
        <f>IF(main!BJ505="","",ROUND(main!BJ505*100,6))</f>
        <v/>
      </c>
      <c r="AY502" s="68" t="str">
        <f>IF(main!BK505="","",ROUND(main!BK505*100,6))</f>
        <v/>
      </c>
      <c r="AZ502" s="68" t="str">
        <f>IF(main!BL505="","",ROUND(main!BL505*100,6))</f>
        <v/>
      </c>
      <c r="BA502" s="68" t="str">
        <f>IF(main!BM505="","",ROUND(main!BM505*100,6))</f>
        <v/>
      </c>
      <c r="BB502" s="68" t="str">
        <f>IF(main!BN505="","",ROUND(main!BN505*100,6))</f>
        <v/>
      </c>
      <c r="BC502" s="68" t="str">
        <f>IF(main!BO505="","",ROUND(main!BO505*100,6))</f>
        <v/>
      </c>
      <c r="BD502" s="68" t="str">
        <f>IF(main!BP505="","",ROUND(main!BP505*100,6))</f>
        <v/>
      </c>
      <c r="BE502" s="68" t="str">
        <f>IF(main!BQ505="","",ROUND(main!BQ505*100,6))</f>
        <v/>
      </c>
      <c r="BF502" s="68" t="str">
        <f>IF(main!BR505="","",ROUND(main!BR505*100,6))</f>
        <v/>
      </c>
      <c r="BG502" s="68" t="str">
        <f>IF(main!BS505="","",ROUND(main!BS505*100,6))</f>
        <v/>
      </c>
      <c r="BH502" s="68" t="str">
        <f>IF(main!BT505="","",ROUND(main!BT505*100,6))</f>
        <v/>
      </c>
      <c r="BI502" s="68" t="str">
        <f>IF(main!BU505="","",ROUND(main!BU505*100,6))</f>
        <v/>
      </c>
      <c r="BJ502" s="68" t="str">
        <f>IF(main!BV505="","",ROUND(main!BV505*100,6))</f>
        <v/>
      </c>
      <c r="BK502" s="68" t="str">
        <f>IF(main!BW505="","",ROUND(main!BW505*100,6))</f>
        <v/>
      </c>
      <c r="BL502" s="68" t="str">
        <f>IF(main!BX505="","",ROUND(main!BX505*100,6))</f>
        <v/>
      </c>
      <c r="BM502" s="68" t="str">
        <f>IF(main!BY505="","",ROUND(main!BY505*100,6))</f>
        <v/>
      </c>
      <c r="BN502" s="68" t="str">
        <f>IF(main!BZ505="","",ROUND(main!BZ505*100,6))</f>
        <v/>
      </c>
      <c r="BO502" s="68" t="str">
        <f>IF(main!CA505="","",ROUND(main!CA505*100,6))</f>
        <v/>
      </c>
      <c r="BP502" s="68" t="str">
        <f>IF(main!CB505="","",ROUND(main!CB505*100,6))</f>
        <v/>
      </c>
      <c r="BQ502" s="68">
        <f>IF(main!CC505="","",ROUND(main!CC505*100,6))</f>
        <v>41.666666999999997</v>
      </c>
      <c r="BR502" s="68">
        <f>IF(main!CD505="","",ROUND(main!CD505*100,6))</f>
        <v>58.333333000000003</v>
      </c>
      <c r="BS502" s="68" t="str">
        <f>IF(main!CE505="","",ROUND(main!CE505*100,6))</f>
        <v/>
      </c>
      <c r="BT502" s="68" t="str">
        <f>IF(main!CF505="","",ROUND(main!CF505*100,6))</f>
        <v/>
      </c>
      <c r="BU502" s="68" t="str">
        <f>IF(main!CG505="","",ROUND(main!CG505*100,6))</f>
        <v/>
      </c>
      <c r="BV502" s="68" t="str">
        <f>IF(main!CH505="","",ROUND(main!CH505*100,6))</f>
        <v/>
      </c>
      <c r="BW502" s="68" t="str">
        <f>IF(main!CI505="","",ROUND(main!CI505*100,6))</f>
        <v/>
      </c>
      <c r="BX502" s="68" t="str">
        <f>IF(main!CJ505="","",ROUND(main!CJ505*100,6))</f>
        <v/>
      </c>
      <c r="BY502" s="68" t="str">
        <f>IF(main!CK505="","",ROUND(main!CK505*100,6))</f>
        <v/>
      </c>
      <c r="BZ502" s="68" t="str">
        <f>IF(main!CL505="","",ROUND(main!CL505*100,6))</f>
        <v/>
      </c>
      <c r="CA502" s="68" t="str">
        <f>IF(main!CM505="","",ROUND(main!CM505*100,6))</f>
        <v/>
      </c>
      <c r="CB502" s="68" t="str">
        <f>IF(main!CN505="","",ROUND(main!CN505*100,6))</f>
        <v/>
      </c>
      <c r="CC502" s="68" t="str">
        <f>IF(main!CO505="","",ROUND(main!CO505*100,6))</f>
        <v/>
      </c>
    </row>
    <row r="503" spans="1:81" x14ac:dyDescent="0.25">
      <c r="A503" s="65" t="s">
        <v>675</v>
      </c>
      <c r="B503" s="66" t="str">
        <f>main!C505</f>
        <v>2nd Floor</v>
      </c>
      <c r="C503" s="67">
        <f>main!O505</f>
        <v>100000</v>
      </c>
      <c r="D503" s="65" t="s">
        <v>111</v>
      </c>
      <c r="E503" s="68" t="str">
        <f t="shared" si="7"/>
        <v/>
      </c>
      <c r="F503" s="68" t="str">
        <f>IF(main!R506="","",ROUND(main!R506*100,6))</f>
        <v/>
      </c>
      <c r="G503" s="68" t="str">
        <f>IF(main!S506="","",ROUND(main!S506*100,6))</f>
        <v/>
      </c>
      <c r="H503" s="68" t="str">
        <f>IF(main!T506="","",ROUND(main!T506*100,6))</f>
        <v/>
      </c>
      <c r="I503" s="68" t="str">
        <f>IF(main!U506="","",ROUND(main!U506*100,6))</f>
        <v/>
      </c>
      <c r="J503" s="68" t="str">
        <f>IF(main!V506="","",ROUND(main!V506*100,6))</f>
        <v/>
      </c>
      <c r="K503" s="68" t="str">
        <f>IF(main!W506="","",ROUND(main!W506*100,6))</f>
        <v/>
      </c>
      <c r="L503" s="68" t="str">
        <f>IF(main!X506="","",ROUND(main!X506*100,6))</f>
        <v/>
      </c>
      <c r="M503" s="68" t="str">
        <f>IF(main!Y506="","",ROUND(main!Y506*100,6))</f>
        <v/>
      </c>
      <c r="N503" s="68" t="str">
        <f>IF(main!Z506="","",ROUND(main!Z506*100,6))</f>
        <v/>
      </c>
      <c r="O503" s="68" t="str">
        <f>IF(main!AA506="","",ROUND(main!AA506*100,6))</f>
        <v/>
      </c>
      <c r="P503" s="68" t="str">
        <f>IF(main!AB506="","",ROUND(main!AB506*100,6))</f>
        <v/>
      </c>
      <c r="Q503" s="68" t="str">
        <f>IF(main!AC506="","",ROUND(main!AC506*100,6))</f>
        <v/>
      </c>
      <c r="R503" s="68" t="str">
        <f>IF(main!AD506="","",ROUND(main!AD506*100,6))</f>
        <v/>
      </c>
      <c r="S503" s="68" t="str">
        <f>IF(main!AE506="","",ROUND(main!AE506*100,6))</f>
        <v/>
      </c>
      <c r="T503" s="68" t="str">
        <f>IF(main!AF506="","",ROUND(main!AF506*100,6))</f>
        <v/>
      </c>
      <c r="U503" s="68" t="str">
        <f>IF(main!AG506="","",ROUND(main!AG506*100,6))</f>
        <v/>
      </c>
      <c r="V503" s="68" t="str">
        <f>IF(main!AH506="","",ROUND(main!AH506*100,6))</f>
        <v/>
      </c>
      <c r="W503" s="68" t="str">
        <f>IF(main!AI506="","",ROUND(main!AI506*100,6))</f>
        <v/>
      </c>
      <c r="X503" s="68" t="str">
        <f>IF(main!AJ506="","",ROUND(main!AJ506*100,6))</f>
        <v/>
      </c>
      <c r="Y503" s="68" t="str">
        <f>IF(main!AK506="","",ROUND(main!AK506*100,6))</f>
        <v/>
      </c>
      <c r="Z503" s="68" t="str">
        <f>IF(main!AL506="","",ROUND(main!AL506*100,6))</f>
        <v/>
      </c>
      <c r="AA503" s="68" t="str">
        <f>IF(main!AM506="","",ROUND(main!AM506*100,6))</f>
        <v/>
      </c>
      <c r="AB503" s="68" t="str">
        <f>IF(main!AN506="","",ROUND(main!AN506*100,6))</f>
        <v/>
      </c>
      <c r="AC503" s="68" t="str">
        <f>IF(main!AO506="","",ROUND(main!AO506*100,6))</f>
        <v/>
      </c>
      <c r="AD503" s="68" t="str">
        <f>IF(main!AP506="","",ROUND(main!AP506*100,6))</f>
        <v/>
      </c>
      <c r="AE503" s="68" t="str">
        <f>IF(main!AQ506="","",ROUND(main!AQ506*100,6))</f>
        <v/>
      </c>
      <c r="AF503" s="68" t="str">
        <f>IF(main!AR506="","",ROUND(main!AR506*100,6))</f>
        <v/>
      </c>
      <c r="AG503" s="68" t="str">
        <f>IF(main!AS506="","",ROUND(main!AS506*100,6))</f>
        <v/>
      </c>
      <c r="AH503" s="68" t="str">
        <f>IF(main!AT506="","",ROUND(main!AT506*100,6))</f>
        <v/>
      </c>
      <c r="AI503" s="68" t="str">
        <f>IF(main!AU506="","",ROUND(main!AU506*100,6))</f>
        <v/>
      </c>
      <c r="AJ503" s="68" t="str">
        <f>IF(main!AV506="","",ROUND(main!AV506*100,6))</f>
        <v/>
      </c>
      <c r="AK503" s="68" t="str">
        <f>IF(main!AW506="","",ROUND(main!AW506*100,6))</f>
        <v/>
      </c>
      <c r="AL503" s="68" t="str">
        <f>IF(main!AX506="","",ROUND(main!AX506*100,6))</f>
        <v/>
      </c>
      <c r="AM503" s="68" t="str">
        <f>IF(main!AY506="","",ROUND(main!AY506*100,6))</f>
        <v/>
      </c>
      <c r="AN503" s="68" t="str">
        <f>IF(main!AZ506="","",ROUND(main!AZ506*100,6))</f>
        <v/>
      </c>
      <c r="AO503" s="68" t="str">
        <f>IF(main!BA506="","",ROUND(main!BA506*100,6))</f>
        <v/>
      </c>
      <c r="AP503" s="68" t="str">
        <f>IF(main!BB506="","",ROUND(main!BB506*100,6))</f>
        <v/>
      </c>
      <c r="AQ503" s="68" t="str">
        <f>IF(main!BC506="","",ROUND(main!BC506*100,6))</f>
        <v/>
      </c>
      <c r="AR503" s="68" t="str">
        <f>IF(main!BD506="","",ROUND(main!BD506*100,6))</f>
        <v/>
      </c>
      <c r="AS503" s="68" t="str">
        <f>IF(main!BE506="","",ROUND(main!BE506*100,6))</f>
        <v/>
      </c>
      <c r="AT503" s="68" t="str">
        <f>IF(main!BF506="","",ROUND(main!BF506*100,6))</f>
        <v/>
      </c>
      <c r="AU503" s="68" t="str">
        <f>IF(main!BG506="","",ROUND(main!BG506*100,6))</f>
        <v/>
      </c>
      <c r="AV503" s="68" t="str">
        <f>IF(main!BH506="","",ROUND(main!BH506*100,6))</f>
        <v/>
      </c>
      <c r="AW503" s="68" t="str">
        <f>IF(main!BI506="","",ROUND(main!BI506*100,6))</f>
        <v/>
      </c>
      <c r="AX503" s="68" t="str">
        <f>IF(main!BJ506="","",ROUND(main!BJ506*100,6))</f>
        <v/>
      </c>
      <c r="AY503" s="68" t="str">
        <f>IF(main!BK506="","",ROUND(main!BK506*100,6))</f>
        <v/>
      </c>
      <c r="AZ503" s="68" t="str">
        <f>IF(main!BL506="","",ROUND(main!BL506*100,6))</f>
        <v/>
      </c>
      <c r="BA503" s="68" t="str">
        <f>IF(main!BM506="","",ROUND(main!BM506*100,6))</f>
        <v/>
      </c>
      <c r="BB503" s="68" t="str">
        <f>IF(main!BN506="","",ROUND(main!BN506*100,6))</f>
        <v/>
      </c>
      <c r="BC503" s="68" t="str">
        <f>IF(main!BO506="","",ROUND(main!BO506*100,6))</f>
        <v/>
      </c>
      <c r="BD503" s="68" t="str">
        <f>IF(main!BP506="","",ROUND(main!BP506*100,6))</f>
        <v/>
      </c>
      <c r="BE503" s="68" t="str">
        <f>IF(main!BQ506="","",ROUND(main!BQ506*100,6))</f>
        <v/>
      </c>
      <c r="BF503" s="68" t="str">
        <f>IF(main!BR506="","",ROUND(main!BR506*100,6))</f>
        <v/>
      </c>
      <c r="BG503" s="68" t="str">
        <f>IF(main!BS506="","",ROUND(main!BS506*100,6))</f>
        <v/>
      </c>
      <c r="BH503" s="68" t="str">
        <f>IF(main!BT506="","",ROUND(main!BT506*100,6))</f>
        <v/>
      </c>
      <c r="BI503" s="68" t="str">
        <f>IF(main!BU506="","",ROUND(main!BU506*100,6))</f>
        <v/>
      </c>
      <c r="BJ503" s="68" t="str">
        <f>IF(main!BV506="","",ROUND(main!BV506*100,6))</f>
        <v/>
      </c>
      <c r="BK503" s="68" t="str">
        <f>IF(main!BW506="","",ROUND(main!BW506*100,6))</f>
        <v/>
      </c>
      <c r="BL503" s="68" t="str">
        <f>IF(main!BX506="","",ROUND(main!BX506*100,6))</f>
        <v/>
      </c>
      <c r="BM503" s="68" t="str">
        <f>IF(main!BY506="","",ROUND(main!BY506*100,6))</f>
        <v/>
      </c>
      <c r="BN503" s="68" t="str">
        <f>IF(main!BZ506="","",ROUND(main!BZ506*100,6))</f>
        <v/>
      </c>
      <c r="BO503" s="68" t="str">
        <f>IF(main!CA506="","",ROUND(main!CA506*100,6))</f>
        <v/>
      </c>
      <c r="BP503" s="68" t="str">
        <f>IF(main!CB506="","",ROUND(main!CB506*100,6))</f>
        <v/>
      </c>
      <c r="BQ503" s="68" t="str">
        <f>IF(main!CC506="","",ROUND(main!CC506*100,6))</f>
        <v/>
      </c>
      <c r="BR503" s="68" t="str">
        <f>IF(main!CD506="","",ROUND(main!CD506*100,6))</f>
        <v/>
      </c>
      <c r="BS503" s="68" t="str">
        <f>IF(main!CE506="","",ROUND(main!CE506*100,6))</f>
        <v/>
      </c>
      <c r="BT503" s="68" t="str">
        <f>IF(main!CF506="","",ROUND(main!CF506*100,6))</f>
        <v/>
      </c>
      <c r="BU503" s="68" t="str">
        <f>IF(main!CG506="","",ROUND(main!CG506*100,6))</f>
        <v/>
      </c>
      <c r="BV503" s="68" t="str">
        <f>IF(main!CH506="","",ROUND(main!CH506*100,6))</f>
        <v/>
      </c>
      <c r="BW503" s="68" t="str">
        <f>IF(main!CI506="","",ROUND(main!CI506*100,6))</f>
        <v/>
      </c>
      <c r="BX503" s="68" t="str">
        <f>IF(main!CJ506="","",ROUND(main!CJ506*100,6))</f>
        <v/>
      </c>
      <c r="BY503" s="68" t="str">
        <f>IF(main!CK506="","",ROUND(main!CK506*100,6))</f>
        <v/>
      </c>
      <c r="BZ503" s="68" t="str">
        <f>IF(main!CL506="","",ROUND(main!CL506*100,6))</f>
        <v/>
      </c>
      <c r="CA503" s="68" t="str">
        <f>IF(main!CM506="","",ROUND(main!CM506*100,6))</f>
        <v/>
      </c>
      <c r="CB503" s="68" t="str">
        <f>IF(main!CN506="","",ROUND(main!CN506*100,6))</f>
        <v/>
      </c>
      <c r="CC503" s="68" t="str">
        <f>IF(main!CO506="","",ROUND(main!CO506*100,6))</f>
        <v/>
      </c>
    </row>
    <row r="504" spans="1:81" x14ac:dyDescent="0.25">
      <c r="A504" s="65" t="s">
        <v>677</v>
      </c>
      <c r="B504" s="66" t="str">
        <f>main!C507</f>
        <v>3rd Floor</v>
      </c>
      <c r="C504" s="67">
        <f>main!O507</f>
        <v>100000</v>
      </c>
      <c r="D504" s="65" t="s">
        <v>110</v>
      </c>
      <c r="E504" s="68">
        <f t="shared" si="7"/>
        <v>100</v>
      </c>
      <c r="F504" s="68" t="str">
        <f>IF(main!R507="","",ROUND(main!R507*100,6))</f>
        <v/>
      </c>
      <c r="G504" s="68" t="str">
        <f>IF(main!S507="","",ROUND(main!S507*100,6))</f>
        <v/>
      </c>
      <c r="H504" s="68" t="str">
        <f>IF(main!T507="","",ROUND(main!T507*100,6))</f>
        <v/>
      </c>
      <c r="I504" s="68" t="str">
        <f>IF(main!U507="","",ROUND(main!U507*100,6))</f>
        <v/>
      </c>
      <c r="J504" s="68" t="str">
        <f>IF(main!V507="","",ROUND(main!V507*100,6))</f>
        <v/>
      </c>
      <c r="K504" s="68" t="str">
        <f>IF(main!W507="","",ROUND(main!W507*100,6))</f>
        <v/>
      </c>
      <c r="L504" s="68" t="str">
        <f>IF(main!X507="","",ROUND(main!X507*100,6))</f>
        <v/>
      </c>
      <c r="M504" s="68" t="str">
        <f>IF(main!Y507="","",ROUND(main!Y507*100,6))</f>
        <v/>
      </c>
      <c r="N504" s="68" t="str">
        <f>IF(main!Z507="","",ROUND(main!Z507*100,6))</f>
        <v/>
      </c>
      <c r="O504" s="68" t="str">
        <f>IF(main!AA507="","",ROUND(main!AA507*100,6))</f>
        <v/>
      </c>
      <c r="P504" s="68" t="str">
        <f>IF(main!AB507="","",ROUND(main!AB507*100,6))</f>
        <v/>
      </c>
      <c r="Q504" s="68" t="str">
        <f>IF(main!AC507="","",ROUND(main!AC507*100,6))</f>
        <v/>
      </c>
      <c r="R504" s="68" t="str">
        <f>IF(main!AD507="","",ROUND(main!AD507*100,6))</f>
        <v/>
      </c>
      <c r="S504" s="68" t="str">
        <f>IF(main!AE507="","",ROUND(main!AE507*100,6))</f>
        <v/>
      </c>
      <c r="T504" s="68" t="str">
        <f>IF(main!AF507="","",ROUND(main!AF507*100,6))</f>
        <v/>
      </c>
      <c r="U504" s="68" t="str">
        <f>IF(main!AG507="","",ROUND(main!AG507*100,6))</f>
        <v/>
      </c>
      <c r="V504" s="68" t="str">
        <f>IF(main!AH507="","",ROUND(main!AH507*100,6))</f>
        <v/>
      </c>
      <c r="W504" s="68" t="str">
        <f>IF(main!AI507="","",ROUND(main!AI507*100,6))</f>
        <v/>
      </c>
      <c r="X504" s="68" t="str">
        <f>IF(main!AJ507="","",ROUND(main!AJ507*100,6))</f>
        <v/>
      </c>
      <c r="Y504" s="68" t="str">
        <f>IF(main!AK507="","",ROUND(main!AK507*100,6))</f>
        <v/>
      </c>
      <c r="Z504" s="68" t="str">
        <f>IF(main!AL507="","",ROUND(main!AL507*100,6))</f>
        <v/>
      </c>
      <c r="AA504" s="68" t="str">
        <f>IF(main!AM507="","",ROUND(main!AM507*100,6))</f>
        <v/>
      </c>
      <c r="AB504" s="68" t="str">
        <f>IF(main!AN507="","",ROUND(main!AN507*100,6))</f>
        <v/>
      </c>
      <c r="AC504" s="68" t="str">
        <f>IF(main!AO507="","",ROUND(main!AO507*100,6))</f>
        <v/>
      </c>
      <c r="AD504" s="68" t="str">
        <f>IF(main!AP507="","",ROUND(main!AP507*100,6))</f>
        <v/>
      </c>
      <c r="AE504" s="68" t="str">
        <f>IF(main!AQ507="","",ROUND(main!AQ507*100,6))</f>
        <v/>
      </c>
      <c r="AF504" s="68" t="str">
        <f>IF(main!AR507="","",ROUND(main!AR507*100,6))</f>
        <v/>
      </c>
      <c r="AG504" s="68" t="str">
        <f>IF(main!AS507="","",ROUND(main!AS507*100,6))</f>
        <v/>
      </c>
      <c r="AH504" s="68" t="str">
        <f>IF(main!AT507="","",ROUND(main!AT507*100,6))</f>
        <v/>
      </c>
      <c r="AI504" s="68" t="str">
        <f>IF(main!AU507="","",ROUND(main!AU507*100,6))</f>
        <v/>
      </c>
      <c r="AJ504" s="68" t="str">
        <f>IF(main!AV507="","",ROUND(main!AV507*100,6))</f>
        <v/>
      </c>
      <c r="AK504" s="68" t="str">
        <f>IF(main!AW507="","",ROUND(main!AW507*100,6))</f>
        <v/>
      </c>
      <c r="AL504" s="68" t="str">
        <f>IF(main!AX507="","",ROUND(main!AX507*100,6))</f>
        <v/>
      </c>
      <c r="AM504" s="68" t="str">
        <f>IF(main!AY507="","",ROUND(main!AY507*100,6))</f>
        <v/>
      </c>
      <c r="AN504" s="68" t="str">
        <f>IF(main!AZ507="","",ROUND(main!AZ507*100,6))</f>
        <v/>
      </c>
      <c r="AO504" s="68" t="str">
        <f>IF(main!BA507="","",ROUND(main!BA507*100,6))</f>
        <v/>
      </c>
      <c r="AP504" s="68" t="str">
        <f>IF(main!BB507="","",ROUND(main!BB507*100,6))</f>
        <v/>
      </c>
      <c r="AQ504" s="68" t="str">
        <f>IF(main!BC507="","",ROUND(main!BC507*100,6))</f>
        <v/>
      </c>
      <c r="AR504" s="68" t="str">
        <f>IF(main!BD507="","",ROUND(main!BD507*100,6))</f>
        <v/>
      </c>
      <c r="AS504" s="68" t="str">
        <f>IF(main!BE507="","",ROUND(main!BE507*100,6))</f>
        <v/>
      </c>
      <c r="AT504" s="68" t="str">
        <f>IF(main!BF507="","",ROUND(main!BF507*100,6))</f>
        <v/>
      </c>
      <c r="AU504" s="68" t="str">
        <f>IF(main!BG507="","",ROUND(main!BG507*100,6))</f>
        <v/>
      </c>
      <c r="AV504" s="68" t="str">
        <f>IF(main!BH507="","",ROUND(main!BH507*100,6))</f>
        <v/>
      </c>
      <c r="AW504" s="68" t="str">
        <f>IF(main!BI507="","",ROUND(main!BI507*100,6))</f>
        <v/>
      </c>
      <c r="AX504" s="68" t="str">
        <f>IF(main!BJ507="","",ROUND(main!BJ507*100,6))</f>
        <v/>
      </c>
      <c r="AY504" s="68" t="str">
        <f>IF(main!BK507="","",ROUND(main!BK507*100,6))</f>
        <v/>
      </c>
      <c r="AZ504" s="68" t="str">
        <f>IF(main!BL507="","",ROUND(main!BL507*100,6))</f>
        <v/>
      </c>
      <c r="BA504" s="68" t="str">
        <f>IF(main!BM507="","",ROUND(main!BM507*100,6))</f>
        <v/>
      </c>
      <c r="BB504" s="68" t="str">
        <f>IF(main!BN507="","",ROUND(main!BN507*100,6))</f>
        <v/>
      </c>
      <c r="BC504" s="68" t="str">
        <f>IF(main!BO507="","",ROUND(main!BO507*100,6))</f>
        <v/>
      </c>
      <c r="BD504" s="68" t="str">
        <f>IF(main!BP507="","",ROUND(main!BP507*100,6))</f>
        <v/>
      </c>
      <c r="BE504" s="68" t="str">
        <f>IF(main!BQ507="","",ROUND(main!BQ507*100,6))</f>
        <v/>
      </c>
      <c r="BF504" s="68" t="str">
        <f>IF(main!BR507="","",ROUND(main!BR507*100,6))</f>
        <v/>
      </c>
      <c r="BG504" s="68" t="str">
        <f>IF(main!BS507="","",ROUND(main!BS507*100,6))</f>
        <v/>
      </c>
      <c r="BH504" s="68" t="str">
        <f>IF(main!BT507="","",ROUND(main!BT507*100,6))</f>
        <v/>
      </c>
      <c r="BI504" s="68" t="str">
        <f>IF(main!BU507="","",ROUND(main!BU507*100,6))</f>
        <v/>
      </c>
      <c r="BJ504" s="68" t="str">
        <f>IF(main!BV507="","",ROUND(main!BV507*100,6))</f>
        <v/>
      </c>
      <c r="BK504" s="68" t="str">
        <f>IF(main!BW507="","",ROUND(main!BW507*100,6))</f>
        <v/>
      </c>
      <c r="BL504" s="68" t="str">
        <f>IF(main!BX507="","",ROUND(main!BX507*100,6))</f>
        <v/>
      </c>
      <c r="BM504" s="68" t="str">
        <f>IF(main!BY507="","",ROUND(main!BY507*100,6))</f>
        <v/>
      </c>
      <c r="BN504" s="68" t="str">
        <f>IF(main!BZ507="","",ROUND(main!BZ507*100,6))</f>
        <v/>
      </c>
      <c r="BO504" s="68" t="str">
        <f>IF(main!CA507="","",ROUND(main!CA507*100,6))</f>
        <v/>
      </c>
      <c r="BP504" s="68" t="str">
        <f>IF(main!CB507="","",ROUND(main!CB507*100,6))</f>
        <v/>
      </c>
      <c r="BQ504" s="68" t="str">
        <f>IF(main!CC507="","",ROUND(main!CC507*100,6))</f>
        <v/>
      </c>
      <c r="BR504" s="68" t="str">
        <f>IF(main!CD507="","",ROUND(main!CD507*100,6))</f>
        <v/>
      </c>
      <c r="BS504" s="68" t="str">
        <f>IF(main!CE507="","",ROUND(main!CE507*100,6))</f>
        <v/>
      </c>
      <c r="BT504" s="68" t="str">
        <f>IF(main!CF507="","",ROUND(main!CF507*100,6))</f>
        <v/>
      </c>
      <c r="BU504" s="68">
        <f>IF(main!CG507="","",ROUND(main!CG507*100,6))</f>
        <v>41.666666999999997</v>
      </c>
      <c r="BV504" s="68">
        <f>IF(main!CH507="","",ROUND(main!CH507*100,6))</f>
        <v>58.333333000000003</v>
      </c>
      <c r="BW504" s="68" t="str">
        <f>IF(main!CI507="","",ROUND(main!CI507*100,6))</f>
        <v/>
      </c>
      <c r="BX504" s="68" t="str">
        <f>IF(main!CJ507="","",ROUND(main!CJ507*100,6))</f>
        <v/>
      </c>
      <c r="BY504" s="68" t="str">
        <f>IF(main!CK507="","",ROUND(main!CK507*100,6))</f>
        <v/>
      </c>
      <c r="BZ504" s="68" t="str">
        <f>IF(main!CL507="","",ROUND(main!CL507*100,6))</f>
        <v/>
      </c>
      <c r="CA504" s="68" t="str">
        <f>IF(main!CM507="","",ROUND(main!CM507*100,6))</f>
        <v/>
      </c>
      <c r="CB504" s="68" t="str">
        <f>IF(main!CN507="","",ROUND(main!CN507*100,6))</f>
        <v/>
      </c>
      <c r="CC504" s="68" t="str">
        <f>IF(main!CO507="","",ROUND(main!CO507*100,6))</f>
        <v/>
      </c>
    </row>
    <row r="505" spans="1:81" x14ac:dyDescent="0.25">
      <c r="A505" s="65" t="s">
        <v>677</v>
      </c>
      <c r="B505" s="66" t="str">
        <f>main!C507</f>
        <v>3rd Floor</v>
      </c>
      <c r="C505" s="67">
        <f>main!O507</f>
        <v>100000</v>
      </c>
      <c r="D505" s="65" t="s">
        <v>111</v>
      </c>
      <c r="E505" s="68" t="str">
        <f t="shared" si="7"/>
        <v/>
      </c>
      <c r="F505" s="68" t="str">
        <f>IF(main!R508="","",ROUND(main!R508*100,6))</f>
        <v/>
      </c>
      <c r="G505" s="68" t="str">
        <f>IF(main!S508="","",ROUND(main!S508*100,6))</f>
        <v/>
      </c>
      <c r="H505" s="68" t="str">
        <f>IF(main!T508="","",ROUND(main!T508*100,6))</f>
        <v/>
      </c>
      <c r="I505" s="68" t="str">
        <f>IF(main!U508="","",ROUND(main!U508*100,6))</f>
        <v/>
      </c>
      <c r="J505" s="68" t="str">
        <f>IF(main!V508="","",ROUND(main!V508*100,6))</f>
        <v/>
      </c>
      <c r="K505" s="68" t="str">
        <f>IF(main!W508="","",ROUND(main!W508*100,6))</f>
        <v/>
      </c>
      <c r="L505" s="68" t="str">
        <f>IF(main!X508="","",ROUND(main!X508*100,6))</f>
        <v/>
      </c>
      <c r="M505" s="68" t="str">
        <f>IF(main!Y508="","",ROUND(main!Y508*100,6))</f>
        <v/>
      </c>
      <c r="N505" s="68" t="str">
        <f>IF(main!Z508="","",ROUND(main!Z508*100,6))</f>
        <v/>
      </c>
      <c r="O505" s="68" t="str">
        <f>IF(main!AA508="","",ROUND(main!AA508*100,6))</f>
        <v/>
      </c>
      <c r="P505" s="68" t="str">
        <f>IF(main!AB508="","",ROUND(main!AB508*100,6))</f>
        <v/>
      </c>
      <c r="Q505" s="68" t="str">
        <f>IF(main!AC508="","",ROUND(main!AC508*100,6))</f>
        <v/>
      </c>
      <c r="R505" s="68" t="str">
        <f>IF(main!AD508="","",ROUND(main!AD508*100,6))</f>
        <v/>
      </c>
      <c r="S505" s="68" t="str">
        <f>IF(main!AE508="","",ROUND(main!AE508*100,6))</f>
        <v/>
      </c>
      <c r="T505" s="68" t="str">
        <f>IF(main!AF508="","",ROUND(main!AF508*100,6))</f>
        <v/>
      </c>
      <c r="U505" s="68" t="str">
        <f>IF(main!AG508="","",ROUND(main!AG508*100,6))</f>
        <v/>
      </c>
      <c r="V505" s="68" t="str">
        <f>IF(main!AH508="","",ROUND(main!AH508*100,6))</f>
        <v/>
      </c>
      <c r="W505" s="68" t="str">
        <f>IF(main!AI508="","",ROUND(main!AI508*100,6))</f>
        <v/>
      </c>
      <c r="X505" s="68" t="str">
        <f>IF(main!AJ508="","",ROUND(main!AJ508*100,6))</f>
        <v/>
      </c>
      <c r="Y505" s="68" t="str">
        <f>IF(main!AK508="","",ROUND(main!AK508*100,6))</f>
        <v/>
      </c>
      <c r="Z505" s="68" t="str">
        <f>IF(main!AL508="","",ROUND(main!AL508*100,6))</f>
        <v/>
      </c>
      <c r="AA505" s="68" t="str">
        <f>IF(main!AM508="","",ROUND(main!AM508*100,6))</f>
        <v/>
      </c>
      <c r="AB505" s="68" t="str">
        <f>IF(main!AN508="","",ROUND(main!AN508*100,6))</f>
        <v/>
      </c>
      <c r="AC505" s="68" t="str">
        <f>IF(main!AO508="","",ROUND(main!AO508*100,6))</f>
        <v/>
      </c>
      <c r="AD505" s="68" t="str">
        <f>IF(main!AP508="","",ROUND(main!AP508*100,6))</f>
        <v/>
      </c>
      <c r="AE505" s="68" t="str">
        <f>IF(main!AQ508="","",ROUND(main!AQ508*100,6))</f>
        <v/>
      </c>
      <c r="AF505" s="68" t="str">
        <f>IF(main!AR508="","",ROUND(main!AR508*100,6))</f>
        <v/>
      </c>
      <c r="AG505" s="68" t="str">
        <f>IF(main!AS508="","",ROUND(main!AS508*100,6))</f>
        <v/>
      </c>
      <c r="AH505" s="68" t="str">
        <f>IF(main!AT508="","",ROUND(main!AT508*100,6))</f>
        <v/>
      </c>
      <c r="AI505" s="68" t="str">
        <f>IF(main!AU508="","",ROUND(main!AU508*100,6))</f>
        <v/>
      </c>
      <c r="AJ505" s="68" t="str">
        <f>IF(main!AV508="","",ROUND(main!AV508*100,6))</f>
        <v/>
      </c>
      <c r="AK505" s="68" t="str">
        <f>IF(main!AW508="","",ROUND(main!AW508*100,6))</f>
        <v/>
      </c>
      <c r="AL505" s="68" t="str">
        <f>IF(main!AX508="","",ROUND(main!AX508*100,6))</f>
        <v/>
      </c>
      <c r="AM505" s="68" t="str">
        <f>IF(main!AY508="","",ROUND(main!AY508*100,6))</f>
        <v/>
      </c>
      <c r="AN505" s="68" t="str">
        <f>IF(main!AZ508="","",ROUND(main!AZ508*100,6))</f>
        <v/>
      </c>
      <c r="AO505" s="68" t="str">
        <f>IF(main!BA508="","",ROUND(main!BA508*100,6))</f>
        <v/>
      </c>
      <c r="AP505" s="68" t="str">
        <f>IF(main!BB508="","",ROUND(main!BB508*100,6))</f>
        <v/>
      </c>
      <c r="AQ505" s="68" t="str">
        <f>IF(main!BC508="","",ROUND(main!BC508*100,6))</f>
        <v/>
      </c>
      <c r="AR505" s="68" t="str">
        <f>IF(main!BD508="","",ROUND(main!BD508*100,6))</f>
        <v/>
      </c>
      <c r="AS505" s="68" t="str">
        <f>IF(main!BE508="","",ROUND(main!BE508*100,6))</f>
        <v/>
      </c>
      <c r="AT505" s="68" t="str">
        <f>IF(main!BF508="","",ROUND(main!BF508*100,6))</f>
        <v/>
      </c>
      <c r="AU505" s="68" t="str">
        <f>IF(main!BG508="","",ROUND(main!BG508*100,6))</f>
        <v/>
      </c>
      <c r="AV505" s="68" t="str">
        <f>IF(main!BH508="","",ROUND(main!BH508*100,6))</f>
        <v/>
      </c>
      <c r="AW505" s="68" t="str">
        <f>IF(main!BI508="","",ROUND(main!BI508*100,6))</f>
        <v/>
      </c>
      <c r="AX505" s="68" t="str">
        <f>IF(main!BJ508="","",ROUND(main!BJ508*100,6))</f>
        <v/>
      </c>
      <c r="AY505" s="68" t="str">
        <f>IF(main!BK508="","",ROUND(main!BK508*100,6))</f>
        <v/>
      </c>
      <c r="AZ505" s="68" t="str">
        <f>IF(main!BL508="","",ROUND(main!BL508*100,6))</f>
        <v/>
      </c>
      <c r="BA505" s="68" t="str">
        <f>IF(main!BM508="","",ROUND(main!BM508*100,6))</f>
        <v/>
      </c>
      <c r="BB505" s="68" t="str">
        <f>IF(main!BN508="","",ROUND(main!BN508*100,6))</f>
        <v/>
      </c>
      <c r="BC505" s="68" t="str">
        <f>IF(main!BO508="","",ROUND(main!BO508*100,6))</f>
        <v/>
      </c>
      <c r="BD505" s="68" t="str">
        <f>IF(main!BP508="","",ROUND(main!BP508*100,6))</f>
        <v/>
      </c>
      <c r="BE505" s="68" t="str">
        <f>IF(main!BQ508="","",ROUND(main!BQ508*100,6))</f>
        <v/>
      </c>
      <c r="BF505" s="68" t="str">
        <f>IF(main!BR508="","",ROUND(main!BR508*100,6))</f>
        <v/>
      </c>
      <c r="BG505" s="68" t="str">
        <f>IF(main!BS508="","",ROUND(main!BS508*100,6))</f>
        <v/>
      </c>
      <c r="BH505" s="68" t="str">
        <f>IF(main!BT508="","",ROUND(main!BT508*100,6))</f>
        <v/>
      </c>
      <c r="BI505" s="68" t="str">
        <f>IF(main!BU508="","",ROUND(main!BU508*100,6))</f>
        <v/>
      </c>
      <c r="BJ505" s="68" t="str">
        <f>IF(main!BV508="","",ROUND(main!BV508*100,6))</f>
        <v/>
      </c>
      <c r="BK505" s="68" t="str">
        <f>IF(main!BW508="","",ROUND(main!BW508*100,6))</f>
        <v/>
      </c>
      <c r="BL505" s="68" t="str">
        <f>IF(main!BX508="","",ROUND(main!BX508*100,6))</f>
        <v/>
      </c>
      <c r="BM505" s="68" t="str">
        <f>IF(main!BY508="","",ROUND(main!BY508*100,6))</f>
        <v/>
      </c>
      <c r="BN505" s="68" t="str">
        <f>IF(main!BZ508="","",ROUND(main!BZ508*100,6))</f>
        <v/>
      </c>
      <c r="BO505" s="68" t="str">
        <f>IF(main!CA508="","",ROUND(main!CA508*100,6))</f>
        <v/>
      </c>
      <c r="BP505" s="68" t="str">
        <f>IF(main!CB508="","",ROUND(main!CB508*100,6))</f>
        <v/>
      </c>
      <c r="BQ505" s="68" t="str">
        <f>IF(main!CC508="","",ROUND(main!CC508*100,6))</f>
        <v/>
      </c>
      <c r="BR505" s="68" t="str">
        <f>IF(main!CD508="","",ROUND(main!CD508*100,6))</f>
        <v/>
      </c>
      <c r="BS505" s="68" t="str">
        <f>IF(main!CE508="","",ROUND(main!CE508*100,6))</f>
        <v/>
      </c>
      <c r="BT505" s="68" t="str">
        <f>IF(main!CF508="","",ROUND(main!CF508*100,6))</f>
        <v/>
      </c>
      <c r="BU505" s="68" t="str">
        <f>IF(main!CG508="","",ROUND(main!CG508*100,6))</f>
        <v/>
      </c>
      <c r="BV505" s="68" t="str">
        <f>IF(main!CH508="","",ROUND(main!CH508*100,6))</f>
        <v/>
      </c>
      <c r="BW505" s="68" t="str">
        <f>IF(main!CI508="","",ROUND(main!CI508*100,6))</f>
        <v/>
      </c>
      <c r="BX505" s="68" t="str">
        <f>IF(main!CJ508="","",ROUND(main!CJ508*100,6))</f>
        <v/>
      </c>
      <c r="BY505" s="68" t="str">
        <f>IF(main!CK508="","",ROUND(main!CK508*100,6))</f>
        <v/>
      </c>
      <c r="BZ505" s="68" t="str">
        <f>IF(main!CL508="","",ROUND(main!CL508*100,6))</f>
        <v/>
      </c>
      <c r="CA505" s="68" t="str">
        <f>IF(main!CM508="","",ROUND(main!CM508*100,6))</f>
        <v/>
      </c>
      <c r="CB505" s="68" t="str">
        <f>IF(main!CN508="","",ROUND(main!CN508*100,6))</f>
        <v/>
      </c>
      <c r="CC505" s="68" t="str">
        <f>IF(main!CO508="","",ROUND(main!CO508*100,6))</f>
        <v/>
      </c>
    </row>
    <row r="506" spans="1:81" x14ac:dyDescent="0.25">
      <c r="A506" s="65" t="s">
        <v>679</v>
      </c>
      <c r="B506" s="66" t="str">
        <f>main!C509</f>
        <v>งานผนังและกันสาดภายนอก</v>
      </c>
      <c r="C506" s="67">
        <f>main!O509</f>
        <v>200000</v>
      </c>
      <c r="D506" s="65" t="s">
        <v>110</v>
      </c>
      <c r="E506" s="68">
        <f t="shared" si="7"/>
        <v>100.000001</v>
      </c>
      <c r="F506" s="68" t="str">
        <f>IF(main!R509="","",ROUND(main!R509*100,6))</f>
        <v/>
      </c>
      <c r="G506" s="68" t="str">
        <f>IF(main!S509="","",ROUND(main!S509*100,6))</f>
        <v/>
      </c>
      <c r="H506" s="68" t="str">
        <f>IF(main!T509="","",ROUND(main!T509*100,6))</f>
        <v/>
      </c>
      <c r="I506" s="68" t="str">
        <f>IF(main!U509="","",ROUND(main!U509*100,6))</f>
        <v/>
      </c>
      <c r="J506" s="68" t="str">
        <f>IF(main!V509="","",ROUND(main!V509*100,6))</f>
        <v/>
      </c>
      <c r="K506" s="68" t="str">
        <f>IF(main!W509="","",ROUND(main!W509*100,6))</f>
        <v/>
      </c>
      <c r="L506" s="68" t="str">
        <f>IF(main!X509="","",ROUND(main!X509*100,6))</f>
        <v/>
      </c>
      <c r="M506" s="68" t="str">
        <f>IF(main!Y509="","",ROUND(main!Y509*100,6))</f>
        <v/>
      </c>
      <c r="N506" s="68" t="str">
        <f>IF(main!Z509="","",ROUND(main!Z509*100,6))</f>
        <v/>
      </c>
      <c r="O506" s="68" t="str">
        <f>IF(main!AA509="","",ROUND(main!AA509*100,6))</f>
        <v/>
      </c>
      <c r="P506" s="68" t="str">
        <f>IF(main!AB509="","",ROUND(main!AB509*100,6))</f>
        <v/>
      </c>
      <c r="Q506" s="68" t="str">
        <f>IF(main!AC509="","",ROUND(main!AC509*100,6))</f>
        <v/>
      </c>
      <c r="R506" s="68" t="str">
        <f>IF(main!AD509="","",ROUND(main!AD509*100,6))</f>
        <v/>
      </c>
      <c r="S506" s="68" t="str">
        <f>IF(main!AE509="","",ROUND(main!AE509*100,6))</f>
        <v/>
      </c>
      <c r="T506" s="68" t="str">
        <f>IF(main!AF509="","",ROUND(main!AF509*100,6))</f>
        <v/>
      </c>
      <c r="U506" s="68" t="str">
        <f>IF(main!AG509="","",ROUND(main!AG509*100,6))</f>
        <v/>
      </c>
      <c r="V506" s="68" t="str">
        <f>IF(main!AH509="","",ROUND(main!AH509*100,6))</f>
        <v/>
      </c>
      <c r="W506" s="68" t="str">
        <f>IF(main!AI509="","",ROUND(main!AI509*100,6))</f>
        <v/>
      </c>
      <c r="X506" s="68" t="str">
        <f>IF(main!AJ509="","",ROUND(main!AJ509*100,6))</f>
        <v/>
      </c>
      <c r="Y506" s="68" t="str">
        <f>IF(main!AK509="","",ROUND(main!AK509*100,6))</f>
        <v/>
      </c>
      <c r="Z506" s="68" t="str">
        <f>IF(main!AL509="","",ROUND(main!AL509*100,6))</f>
        <v/>
      </c>
      <c r="AA506" s="68" t="str">
        <f>IF(main!AM509="","",ROUND(main!AM509*100,6))</f>
        <v/>
      </c>
      <c r="AB506" s="68" t="str">
        <f>IF(main!AN509="","",ROUND(main!AN509*100,6))</f>
        <v/>
      </c>
      <c r="AC506" s="68" t="str">
        <f>IF(main!AO509="","",ROUND(main!AO509*100,6))</f>
        <v/>
      </c>
      <c r="AD506" s="68" t="str">
        <f>IF(main!AP509="","",ROUND(main!AP509*100,6))</f>
        <v/>
      </c>
      <c r="AE506" s="68" t="str">
        <f>IF(main!AQ509="","",ROUND(main!AQ509*100,6))</f>
        <v/>
      </c>
      <c r="AF506" s="68" t="str">
        <f>IF(main!AR509="","",ROUND(main!AR509*100,6))</f>
        <v/>
      </c>
      <c r="AG506" s="68" t="str">
        <f>IF(main!AS509="","",ROUND(main!AS509*100,6))</f>
        <v/>
      </c>
      <c r="AH506" s="68" t="str">
        <f>IF(main!AT509="","",ROUND(main!AT509*100,6))</f>
        <v/>
      </c>
      <c r="AI506" s="68" t="str">
        <f>IF(main!AU509="","",ROUND(main!AU509*100,6))</f>
        <v/>
      </c>
      <c r="AJ506" s="68" t="str">
        <f>IF(main!AV509="","",ROUND(main!AV509*100,6))</f>
        <v/>
      </c>
      <c r="AK506" s="68" t="str">
        <f>IF(main!AW509="","",ROUND(main!AW509*100,6))</f>
        <v/>
      </c>
      <c r="AL506" s="68" t="str">
        <f>IF(main!AX509="","",ROUND(main!AX509*100,6))</f>
        <v/>
      </c>
      <c r="AM506" s="68" t="str">
        <f>IF(main!AY509="","",ROUND(main!AY509*100,6))</f>
        <v/>
      </c>
      <c r="AN506" s="68" t="str">
        <f>IF(main!AZ509="","",ROUND(main!AZ509*100,6))</f>
        <v/>
      </c>
      <c r="AO506" s="68" t="str">
        <f>IF(main!BA509="","",ROUND(main!BA509*100,6))</f>
        <v/>
      </c>
      <c r="AP506" s="68" t="str">
        <f>IF(main!BB509="","",ROUND(main!BB509*100,6))</f>
        <v/>
      </c>
      <c r="AQ506" s="68" t="str">
        <f>IF(main!BC509="","",ROUND(main!BC509*100,6))</f>
        <v/>
      </c>
      <c r="AR506" s="68" t="str">
        <f>IF(main!BD509="","",ROUND(main!BD509*100,6))</f>
        <v/>
      </c>
      <c r="AS506" s="68" t="str">
        <f>IF(main!BE509="","",ROUND(main!BE509*100,6))</f>
        <v/>
      </c>
      <c r="AT506" s="68" t="str">
        <f>IF(main!BF509="","",ROUND(main!BF509*100,6))</f>
        <v/>
      </c>
      <c r="AU506" s="68" t="str">
        <f>IF(main!BG509="","",ROUND(main!BG509*100,6))</f>
        <v/>
      </c>
      <c r="AV506" s="68" t="str">
        <f>IF(main!BH509="","",ROUND(main!BH509*100,6))</f>
        <v/>
      </c>
      <c r="AW506" s="68" t="str">
        <f>IF(main!BI509="","",ROUND(main!BI509*100,6))</f>
        <v/>
      </c>
      <c r="AX506" s="68" t="str">
        <f>IF(main!BJ509="","",ROUND(main!BJ509*100,6))</f>
        <v/>
      </c>
      <c r="AY506" s="68" t="str">
        <f>IF(main!BK509="","",ROUND(main!BK509*100,6))</f>
        <v/>
      </c>
      <c r="AZ506" s="68" t="str">
        <f>IF(main!BL509="","",ROUND(main!BL509*100,6))</f>
        <v/>
      </c>
      <c r="BA506" s="68" t="str">
        <f>IF(main!BM509="","",ROUND(main!BM509*100,6))</f>
        <v/>
      </c>
      <c r="BB506" s="68" t="str">
        <f>IF(main!BN509="","",ROUND(main!BN509*100,6))</f>
        <v/>
      </c>
      <c r="BC506" s="68" t="str">
        <f>IF(main!BO509="","",ROUND(main!BO509*100,6))</f>
        <v/>
      </c>
      <c r="BD506" s="68" t="str">
        <f>IF(main!BP509="","",ROUND(main!BP509*100,6))</f>
        <v/>
      </c>
      <c r="BE506" s="68">
        <f>IF(main!BQ509="","",ROUND(main!BQ509*100,6))</f>
        <v>4.0983609999999997</v>
      </c>
      <c r="BF506" s="68">
        <f>IF(main!BR509="","",ROUND(main!BR509*100,6))</f>
        <v>5.7377050000000001</v>
      </c>
      <c r="BG506" s="68">
        <f>IF(main!BS509="","",ROUND(main!BS509*100,6))</f>
        <v>5.7377050000000001</v>
      </c>
      <c r="BH506" s="68">
        <f>IF(main!BT509="","",ROUND(main!BT509*100,6))</f>
        <v>5.7377050000000001</v>
      </c>
      <c r="BI506" s="68">
        <f>IF(main!BU509="","",ROUND(main!BU509*100,6))</f>
        <v>5.7377050000000001</v>
      </c>
      <c r="BJ506" s="68">
        <f>IF(main!BV509="","",ROUND(main!BV509*100,6))</f>
        <v>5.7377050000000001</v>
      </c>
      <c r="BK506" s="68">
        <f>IF(main!BW509="","",ROUND(main!BW509*100,6))</f>
        <v>5.7377050000000001</v>
      </c>
      <c r="BL506" s="68">
        <f>IF(main!BX509="","",ROUND(main!BX509*100,6))</f>
        <v>5.7377050000000001</v>
      </c>
      <c r="BM506" s="68">
        <f>IF(main!BY509="","",ROUND(main!BY509*100,6))</f>
        <v>5.7377050000000001</v>
      </c>
      <c r="BN506" s="68">
        <f>IF(main!BZ509="","",ROUND(main!BZ509*100,6))</f>
        <v>0.71428599999999998</v>
      </c>
      <c r="BO506" s="68">
        <f>IF(main!CA509="","",ROUND(main!CA509*100,6))</f>
        <v>5</v>
      </c>
      <c r="BP506" s="68">
        <f>IF(main!CB509="","",ROUND(main!CB509*100,6))</f>
        <v>5</v>
      </c>
      <c r="BQ506" s="68">
        <f>IF(main!CC509="","",ROUND(main!CC509*100,6))</f>
        <v>5</v>
      </c>
      <c r="BR506" s="68">
        <f>IF(main!CD509="","",ROUND(main!CD509*100,6))</f>
        <v>5</v>
      </c>
      <c r="BS506" s="68">
        <f>IF(main!CE509="","",ROUND(main!CE509*100,6))</f>
        <v>5</v>
      </c>
      <c r="BT506" s="68">
        <f>IF(main!CF509="","",ROUND(main!CF509*100,6))</f>
        <v>5</v>
      </c>
      <c r="BU506" s="68">
        <f>IF(main!CG509="","",ROUND(main!CG509*100,6))</f>
        <v>5</v>
      </c>
      <c r="BV506" s="68">
        <f>IF(main!CH509="","",ROUND(main!CH509*100,6))</f>
        <v>5</v>
      </c>
      <c r="BW506" s="68">
        <f>IF(main!CI509="","",ROUND(main!CI509*100,6))</f>
        <v>5</v>
      </c>
      <c r="BX506" s="68">
        <f>IF(main!CJ509="","",ROUND(main!CJ509*100,6))</f>
        <v>4.2857139999999996</v>
      </c>
      <c r="BY506" s="68" t="str">
        <f>IF(main!CK509="","",ROUND(main!CK509*100,6))</f>
        <v/>
      </c>
      <c r="BZ506" s="68" t="str">
        <f>IF(main!CL509="","",ROUND(main!CL509*100,6))</f>
        <v/>
      </c>
      <c r="CA506" s="68" t="str">
        <f>IF(main!CM509="","",ROUND(main!CM509*100,6))</f>
        <v/>
      </c>
      <c r="CB506" s="68" t="str">
        <f>IF(main!CN509="","",ROUND(main!CN509*100,6))</f>
        <v/>
      </c>
      <c r="CC506" s="68" t="str">
        <f>IF(main!CO509="","",ROUND(main!CO509*100,6))</f>
        <v/>
      </c>
    </row>
    <row r="507" spans="1:81" x14ac:dyDescent="0.25">
      <c r="A507" s="65" t="s">
        <v>679</v>
      </c>
      <c r="B507" s="66" t="str">
        <f>main!C509</f>
        <v>งานผนังและกันสาดภายนอก</v>
      </c>
      <c r="C507" s="67">
        <f>main!O509</f>
        <v>200000</v>
      </c>
      <c r="D507" s="65" t="s">
        <v>111</v>
      </c>
      <c r="E507" s="68" t="str">
        <f t="shared" si="7"/>
        <v/>
      </c>
      <c r="F507" s="68" t="str">
        <f>IF(main!R510="","",ROUND(main!R510*100,6))</f>
        <v/>
      </c>
      <c r="G507" s="68" t="str">
        <f>IF(main!S510="","",ROUND(main!S510*100,6))</f>
        <v/>
      </c>
      <c r="H507" s="68" t="str">
        <f>IF(main!T510="","",ROUND(main!T510*100,6))</f>
        <v/>
      </c>
      <c r="I507" s="68" t="str">
        <f>IF(main!U510="","",ROUND(main!U510*100,6))</f>
        <v/>
      </c>
      <c r="J507" s="68" t="str">
        <f>IF(main!V510="","",ROUND(main!V510*100,6))</f>
        <v/>
      </c>
      <c r="K507" s="68" t="str">
        <f>IF(main!W510="","",ROUND(main!W510*100,6))</f>
        <v/>
      </c>
      <c r="L507" s="68" t="str">
        <f>IF(main!X510="","",ROUND(main!X510*100,6))</f>
        <v/>
      </c>
      <c r="M507" s="68" t="str">
        <f>IF(main!Y510="","",ROUND(main!Y510*100,6))</f>
        <v/>
      </c>
      <c r="N507" s="68" t="str">
        <f>IF(main!Z510="","",ROUND(main!Z510*100,6))</f>
        <v/>
      </c>
      <c r="O507" s="68" t="str">
        <f>IF(main!AA510="","",ROUND(main!AA510*100,6))</f>
        <v/>
      </c>
      <c r="P507" s="68" t="str">
        <f>IF(main!AB510="","",ROUND(main!AB510*100,6))</f>
        <v/>
      </c>
      <c r="Q507" s="68" t="str">
        <f>IF(main!AC510="","",ROUND(main!AC510*100,6))</f>
        <v/>
      </c>
      <c r="R507" s="68" t="str">
        <f>IF(main!AD510="","",ROUND(main!AD510*100,6))</f>
        <v/>
      </c>
      <c r="S507" s="68" t="str">
        <f>IF(main!AE510="","",ROUND(main!AE510*100,6))</f>
        <v/>
      </c>
      <c r="T507" s="68" t="str">
        <f>IF(main!AF510="","",ROUND(main!AF510*100,6))</f>
        <v/>
      </c>
      <c r="U507" s="68" t="str">
        <f>IF(main!AG510="","",ROUND(main!AG510*100,6))</f>
        <v/>
      </c>
      <c r="V507" s="68" t="str">
        <f>IF(main!AH510="","",ROUND(main!AH510*100,6))</f>
        <v/>
      </c>
      <c r="W507" s="68" t="str">
        <f>IF(main!AI510="","",ROUND(main!AI510*100,6))</f>
        <v/>
      </c>
      <c r="X507" s="68" t="str">
        <f>IF(main!AJ510="","",ROUND(main!AJ510*100,6))</f>
        <v/>
      </c>
      <c r="Y507" s="68" t="str">
        <f>IF(main!AK510="","",ROUND(main!AK510*100,6))</f>
        <v/>
      </c>
      <c r="Z507" s="68" t="str">
        <f>IF(main!AL510="","",ROUND(main!AL510*100,6))</f>
        <v/>
      </c>
      <c r="AA507" s="68" t="str">
        <f>IF(main!AM510="","",ROUND(main!AM510*100,6))</f>
        <v/>
      </c>
      <c r="AB507" s="68" t="str">
        <f>IF(main!AN510="","",ROUND(main!AN510*100,6))</f>
        <v/>
      </c>
      <c r="AC507" s="68" t="str">
        <f>IF(main!AO510="","",ROUND(main!AO510*100,6))</f>
        <v/>
      </c>
      <c r="AD507" s="68" t="str">
        <f>IF(main!AP510="","",ROUND(main!AP510*100,6))</f>
        <v/>
      </c>
      <c r="AE507" s="68" t="str">
        <f>IF(main!AQ510="","",ROUND(main!AQ510*100,6))</f>
        <v/>
      </c>
      <c r="AF507" s="68" t="str">
        <f>IF(main!AR510="","",ROUND(main!AR510*100,6))</f>
        <v/>
      </c>
      <c r="AG507" s="68" t="str">
        <f>IF(main!AS510="","",ROUND(main!AS510*100,6))</f>
        <v/>
      </c>
      <c r="AH507" s="68" t="str">
        <f>IF(main!AT510="","",ROUND(main!AT510*100,6))</f>
        <v/>
      </c>
      <c r="AI507" s="68" t="str">
        <f>IF(main!AU510="","",ROUND(main!AU510*100,6))</f>
        <v/>
      </c>
      <c r="AJ507" s="68" t="str">
        <f>IF(main!AV510="","",ROUND(main!AV510*100,6))</f>
        <v/>
      </c>
      <c r="AK507" s="68" t="str">
        <f>IF(main!AW510="","",ROUND(main!AW510*100,6))</f>
        <v/>
      </c>
      <c r="AL507" s="68" t="str">
        <f>IF(main!AX510="","",ROUND(main!AX510*100,6))</f>
        <v/>
      </c>
      <c r="AM507" s="68" t="str">
        <f>IF(main!AY510="","",ROUND(main!AY510*100,6))</f>
        <v/>
      </c>
      <c r="AN507" s="68" t="str">
        <f>IF(main!AZ510="","",ROUND(main!AZ510*100,6))</f>
        <v/>
      </c>
      <c r="AO507" s="68" t="str">
        <f>IF(main!BA510="","",ROUND(main!BA510*100,6))</f>
        <v/>
      </c>
      <c r="AP507" s="68" t="str">
        <f>IF(main!BB510="","",ROUND(main!BB510*100,6))</f>
        <v/>
      </c>
      <c r="AQ507" s="68" t="str">
        <f>IF(main!BC510="","",ROUND(main!BC510*100,6))</f>
        <v/>
      </c>
      <c r="AR507" s="68" t="str">
        <f>IF(main!BD510="","",ROUND(main!BD510*100,6))</f>
        <v/>
      </c>
      <c r="AS507" s="68" t="str">
        <f>IF(main!BE510="","",ROUND(main!BE510*100,6))</f>
        <v/>
      </c>
      <c r="AT507" s="68" t="str">
        <f>IF(main!BF510="","",ROUND(main!BF510*100,6))</f>
        <v/>
      </c>
      <c r="AU507" s="68" t="str">
        <f>IF(main!BG510="","",ROUND(main!BG510*100,6))</f>
        <v/>
      </c>
      <c r="AV507" s="68" t="str">
        <f>IF(main!BH510="","",ROUND(main!BH510*100,6))</f>
        <v/>
      </c>
      <c r="AW507" s="68" t="str">
        <f>IF(main!BI510="","",ROUND(main!BI510*100,6))</f>
        <v/>
      </c>
      <c r="AX507" s="68" t="str">
        <f>IF(main!BJ510="","",ROUND(main!BJ510*100,6))</f>
        <v/>
      </c>
      <c r="AY507" s="68" t="str">
        <f>IF(main!BK510="","",ROUND(main!BK510*100,6))</f>
        <v/>
      </c>
      <c r="AZ507" s="68" t="str">
        <f>IF(main!BL510="","",ROUND(main!BL510*100,6))</f>
        <v/>
      </c>
      <c r="BA507" s="68" t="str">
        <f>IF(main!BM510="","",ROUND(main!BM510*100,6))</f>
        <v/>
      </c>
      <c r="BB507" s="68" t="str">
        <f>IF(main!BN510="","",ROUND(main!BN510*100,6))</f>
        <v/>
      </c>
      <c r="BC507" s="68" t="str">
        <f>IF(main!BO510="","",ROUND(main!BO510*100,6))</f>
        <v/>
      </c>
      <c r="BD507" s="68" t="str">
        <f>IF(main!BP510="","",ROUND(main!BP510*100,6))</f>
        <v/>
      </c>
      <c r="BE507" s="68" t="str">
        <f>IF(main!BQ510="","",ROUND(main!BQ510*100,6))</f>
        <v/>
      </c>
      <c r="BF507" s="68" t="str">
        <f>IF(main!BR510="","",ROUND(main!BR510*100,6))</f>
        <v/>
      </c>
      <c r="BG507" s="68" t="str">
        <f>IF(main!BS510="","",ROUND(main!BS510*100,6))</f>
        <v/>
      </c>
      <c r="BH507" s="68" t="str">
        <f>IF(main!BT510="","",ROUND(main!BT510*100,6))</f>
        <v/>
      </c>
      <c r="BI507" s="68" t="str">
        <f>IF(main!BU510="","",ROUND(main!BU510*100,6))</f>
        <v/>
      </c>
      <c r="BJ507" s="68" t="str">
        <f>IF(main!BV510="","",ROUND(main!BV510*100,6))</f>
        <v/>
      </c>
      <c r="BK507" s="68" t="str">
        <f>IF(main!BW510="","",ROUND(main!BW510*100,6))</f>
        <v/>
      </c>
      <c r="BL507" s="68" t="str">
        <f>IF(main!BX510="","",ROUND(main!BX510*100,6))</f>
        <v/>
      </c>
      <c r="BM507" s="68" t="str">
        <f>IF(main!BY510="","",ROUND(main!BY510*100,6))</f>
        <v/>
      </c>
      <c r="BN507" s="68" t="str">
        <f>IF(main!BZ510="","",ROUND(main!BZ510*100,6))</f>
        <v/>
      </c>
      <c r="BO507" s="68" t="str">
        <f>IF(main!CA510="","",ROUND(main!CA510*100,6))</f>
        <v/>
      </c>
      <c r="BP507" s="68" t="str">
        <f>IF(main!CB510="","",ROUND(main!CB510*100,6))</f>
        <v/>
      </c>
      <c r="BQ507" s="68" t="str">
        <f>IF(main!CC510="","",ROUND(main!CC510*100,6))</f>
        <v/>
      </c>
      <c r="BR507" s="68" t="str">
        <f>IF(main!CD510="","",ROUND(main!CD510*100,6))</f>
        <v/>
      </c>
      <c r="BS507" s="68" t="str">
        <f>IF(main!CE510="","",ROUND(main!CE510*100,6))</f>
        <v/>
      </c>
      <c r="BT507" s="68" t="str">
        <f>IF(main!CF510="","",ROUND(main!CF510*100,6))</f>
        <v/>
      </c>
      <c r="BU507" s="68" t="str">
        <f>IF(main!CG510="","",ROUND(main!CG510*100,6))</f>
        <v/>
      </c>
      <c r="BV507" s="68" t="str">
        <f>IF(main!CH510="","",ROUND(main!CH510*100,6))</f>
        <v/>
      </c>
      <c r="BW507" s="68" t="str">
        <f>IF(main!CI510="","",ROUND(main!CI510*100,6))</f>
        <v/>
      </c>
      <c r="BX507" s="68" t="str">
        <f>IF(main!CJ510="","",ROUND(main!CJ510*100,6))</f>
        <v/>
      </c>
      <c r="BY507" s="68" t="str">
        <f>IF(main!CK510="","",ROUND(main!CK510*100,6))</f>
        <v/>
      </c>
      <c r="BZ507" s="68" t="str">
        <f>IF(main!CL510="","",ROUND(main!CL510*100,6))</f>
        <v/>
      </c>
      <c r="CA507" s="68" t="str">
        <f>IF(main!CM510="","",ROUND(main!CM510*100,6))</f>
        <v/>
      </c>
      <c r="CB507" s="68" t="str">
        <f>IF(main!CN510="","",ROUND(main!CN510*100,6))</f>
        <v/>
      </c>
      <c r="CC507" s="68" t="str">
        <f>IF(main!CO510="","",ROUND(main!CO510*100,6))</f>
        <v/>
      </c>
    </row>
    <row r="508" spans="1:81" x14ac:dyDescent="0.25">
      <c r="A508" s="65" t="s">
        <v>681</v>
      </c>
      <c r="B508" s="66" t="str">
        <f>main!C511</f>
        <v>งานตกแต่งผนังภายนอกเดิม</v>
      </c>
      <c r="C508" s="67">
        <f>main!O511</f>
        <v>100000</v>
      </c>
      <c r="D508" s="65" t="s">
        <v>110</v>
      </c>
      <c r="E508" s="68">
        <f t="shared" si="7"/>
        <v>100</v>
      </c>
      <c r="F508" s="68" t="str">
        <f>IF(main!R511="","",ROUND(main!R511*100,6))</f>
        <v/>
      </c>
      <c r="G508" s="68" t="str">
        <f>IF(main!S511="","",ROUND(main!S511*100,6))</f>
        <v/>
      </c>
      <c r="H508" s="68" t="str">
        <f>IF(main!T511="","",ROUND(main!T511*100,6))</f>
        <v/>
      </c>
      <c r="I508" s="68" t="str">
        <f>IF(main!U511="","",ROUND(main!U511*100,6))</f>
        <v/>
      </c>
      <c r="J508" s="68" t="str">
        <f>IF(main!V511="","",ROUND(main!V511*100,6))</f>
        <v/>
      </c>
      <c r="K508" s="68" t="str">
        <f>IF(main!W511="","",ROUND(main!W511*100,6))</f>
        <v/>
      </c>
      <c r="L508" s="68" t="str">
        <f>IF(main!X511="","",ROUND(main!X511*100,6))</f>
        <v/>
      </c>
      <c r="M508" s="68" t="str">
        <f>IF(main!Y511="","",ROUND(main!Y511*100,6))</f>
        <v/>
      </c>
      <c r="N508" s="68" t="str">
        <f>IF(main!Z511="","",ROUND(main!Z511*100,6))</f>
        <v/>
      </c>
      <c r="O508" s="68" t="str">
        <f>IF(main!AA511="","",ROUND(main!AA511*100,6))</f>
        <v/>
      </c>
      <c r="P508" s="68" t="str">
        <f>IF(main!AB511="","",ROUND(main!AB511*100,6))</f>
        <v/>
      </c>
      <c r="Q508" s="68" t="str">
        <f>IF(main!AC511="","",ROUND(main!AC511*100,6))</f>
        <v/>
      </c>
      <c r="R508" s="68" t="str">
        <f>IF(main!AD511="","",ROUND(main!AD511*100,6))</f>
        <v/>
      </c>
      <c r="S508" s="68" t="str">
        <f>IF(main!AE511="","",ROUND(main!AE511*100,6))</f>
        <v/>
      </c>
      <c r="T508" s="68" t="str">
        <f>IF(main!AF511="","",ROUND(main!AF511*100,6))</f>
        <v/>
      </c>
      <c r="U508" s="68" t="str">
        <f>IF(main!AG511="","",ROUND(main!AG511*100,6))</f>
        <v/>
      </c>
      <c r="V508" s="68" t="str">
        <f>IF(main!AH511="","",ROUND(main!AH511*100,6))</f>
        <v/>
      </c>
      <c r="W508" s="68" t="str">
        <f>IF(main!AI511="","",ROUND(main!AI511*100,6))</f>
        <v/>
      </c>
      <c r="X508" s="68" t="str">
        <f>IF(main!AJ511="","",ROUND(main!AJ511*100,6))</f>
        <v/>
      </c>
      <c r="Y508" s="68" t="str">
        <f>IF(main!AK511="","",ROUND(main!AK511*100,6))</f>
        <v/>
      </c>
      <c r="Z508" s="68" t="str">
        <f>IF(main!AL511="","",ROUND(main!AL511*100,6))</f>
        <v/>
      </c>
      <c r="AA508" s="68" t="str">
        <f>IF(main!AM511="","",ROUND(main!AM511*100,6))</f>
        <v/>
      </c>
      <c r="AB508" s="68" t="str">
        <f>IF(main!AN511="","",ROUND(main!AN511*100,6))</f>
        <v/>
      </c>
      <c r="AC508" s="68" t="str">
        <f>IF(main!AO511="","",ROUND(main!AO511*100,6))</f>
        <v/>
      </c>
      <c r="AD508" s="68" t="str">
        <f>IF(main!AP511="","",ROUND(main!AP511*100,6))</f>
        <v/>
      </c>
      <c r="AE508" s="68" t="str">
        <f>IF(main!AQ511="","",ROUND(main!AQ511*100,6))</f>
        <v/>
      </c>
      <c r="AF508" s="68" t="str">
        <f>IF(main!AR511="","",ROUND(main!AR511*100,6))</f>
        <v/>
      </c>
      <c r="AG508" s="68" t="str">
        <f>IF(main!AS511="","",ROUND(main!AS511*100,6))</f>
        <v/>
      </c>
      <c r="AH508" s="68" t="str">
        <f>IF(main!AT511="","",ROUND(main!AT511*100,6))</f>
        <v/>
      </c>
      <c r="AI508" s="68" t="str">
        <f>IF(main!AU511="","",ROUND(main!AU511*100,6))</f>
        <v/>
      </c>
      <c r="AJ508" s="68" t="str">
        <f>IF(main!AV511="","",ROUND(main!AV511*100,6))</f>
        <v/>
      </c>
      <c r="AK508" s="68" t="str">
        <f>IF(main!AW511="","",ROUND(main!AW511*100,6))</f>
        <v/>
      </c>
      <c r="AL508" s="68" t="str">
        <f>IF(main!AX511="","",ROUND(main!AX511*100,6))</f>
        <v/>
      </c>
      <c r="AM508" s="68" t="str">
        <f>IF(main!AY511="","",ROUND(main!AY511*100,6))</f>
        <v/>
      </c>
      <c r="AN508" s="68" t="str">
        <f>IF(main!AZ511="","",ROUND(main!AZ511*100,6))</f>
        <v/>
      </c>
      <c r="AO508" s="68" t="str">
        <f>IF(main!BA511="","",ROUND(main!BA511*100,6))</f>
        <v/>
      </c>
      <c r="AP508" s="68" t="str">
        <f>IF(main!BB511="","",ROUND(main!BB511*100,6))</f>
        <v/>
      </c>
      <c r="AQ508" s="68" t="str">
        <f>IF(main!BC511="","",ROUND(main!BC511*100,6))</f>
        <v/>
      </c>
      <c r="AR508" s="68" t="str">
        <f>IF(main!BD511="","",ROUND(main!BD511*100,6))</f>
        <v/>
      </c>
      <c r="AS508" s="68" t="str">
        <f>IF(main!BE511="","",ROUND(main!BE511*100,6))</f>
        <v/>
      </c>
      <c r="AT508" s="68" t="str">
        <f>IF(main!BF511="","",ROUND(main!BF511*100,6))</f>
        <v/>
      </c>
      <c r="AU508" s="68" t="str">
        <f>IF(main!BG511="","",ROUND(main!BG511*100,6))</f>
        <v/>
      </c>
      <c r="AV508" s="68" t="str">
        <f>IF(main!BH511="","",ROUND(main!BH511*100,6))</f>
        <v/>
      </c>
      <c r="AW508" s="68" t="str">
        <f>IF(main!BI511="","",ROUND(main!BI511*100,6))</f>
        <v/>
      </c>
      <c r="AX508" s="68" t="str">
        <f>IF(main!BJ511="","",ROUND(main!BJ511*100,6))</f>
        <v/>
      </c>
      <c r="AY508" s="68" t="str">
        <f>IF(main!BK511="","",ROUND(main!BK511*100,6))</f>
        <v/>
      </c>
      <c r="AZ508" s="68" t="str">
        <f>IF(main!BL511="","",ROUND(main!BL511*100,6))</f>
        <v/>
      </c>
      <c r="BA508" s="68" t="str">
        <f>IF(main!BM511="","",ROUND(main!BM511*100,6))</f>
        <v/>
      </c>
      <c r="BB508" s="68" t="str">
        <f>IF(main!BN511="","",ROUND(main!BN511*100,6))</f>
        <v/>
      </c>
      <c r="BC508" s="68" t="str">
        <f>IF(main!BO511="","",ROUND(main!BO511*100,6))</f>
        <v/>
      </c>
      <c r="BD508" s="68" t="str">
        <f>IF(main!BP511="","",ROUND(main!BP511*100,6))</f>
        <v/>
      </c>
      <c r="BE508" s="68" t="str">
        <f>IF(main!BQ511="","",ROUND(main!BQ511*100,6))</f>
        <v/>
      </c>
      <c r="BF508" s="68" t="str">
        <f>IF(main!BR511="","",ROUND(main!BR511*100,6))</f>
        <v/>
      </c>
      <c r="BG508" s="68" t="str">
        <f>IF(main!BS511="","",ROUND(main!BS511*100,6))</f>
        <v/>
      </c>
      <c r="BH508" s="68" t="str">
        <f>IF(main!BT511="","",ROUND(main!BT511*100,6))</f>
        <v/>
      </c>
      <c r="BI508" s="68" t="str">
        <f>IF(main!BU511="","",ROUND(main!BU511*100,6))</f>
        <v/>
      </c>
      <c r="BJ508" s="68" t="str">
        <f>IF(main!BV511="","",ROUND(main!BV511*100,6))</f>
        <v/>
      </c>
      <c r="BK508" s="68" t="str">
        <f>IF(main!BW511="","",ROUND(main!BW511*100,6))</f>
        <v/>
      </c>
      <c r="BL508" s="68" t="str">
        <f>IF(main!BX511="","",ROUND(main!BX511*100,6))</f>
        <v/>
      </c>
      <c r="BM508" s="68" t="str">
        <f>IF(main!BY511="","",ROUND(main!BY511*100,6))</f>
        <v/>
      </c>
      <c r="BN508" s="68">
        <f>IF(main!BZ511="","",ROUND(main!BZ511*100,6))</f>
        <v>1.428571</v>
      </c>
      <c r="BO508" s="68">
        <f>IF(main!CA511="","",ROUND(main!CA511*100,6))</f>
        <v>10</v>
      </c>
      <c r="BP508" s="68">
        <f>IF(main!CB511="","",ROUND(main!CB511*100,6))</f>
        <v>10</v>
      </c>
      <c r="BQ508" s="68">
        <f>IF(main!CC511="","",ROUND(main!CC511*100,6))</f>
        <v>10</v>
      </c>
      <c r="BR508" s="68">
        <f>IF(main!CD511="","",ROUND(main!CD511*100,6))</f>
        <v>10</v>
      </c>
      <c r="BS508" s="68">
        <f>IF(main!CE511="","",ROUND(main!CE511*100,6))</f>
        <v>10</v>
      </c>
      <c r="BT508" s="68">
        <f>IF(main!CF511="","",ROUND(main!CF511*100,6))</f>
        <v>10</v>
      </c>
      <c r="BU508" s="68">
        <f>IF(main!CG511="","",ROUND(main!CG511*100,6))</f>
        <v>10</v>
      </c>
      <c r="BV508" s="68">
        <f>IF(main!CH511="","",ROUND(main!CH511*100,6))</f>
        <v>10</v>
      </c>
      <c r="BW508" s="68">
        <f>IF(main!CI511="","",ROUND(main!CI511*100,6))</f>
        <v>10</v>
      </c>
      <c r="BX508" s="68">
        <f>IF(main!CJ511="","",ROUND(main!CJ511*100,6))</f>
        <v>8.5714290000000002</v>
      </c>
      <c r="BY508" s="68" t="str">
        <f>IF(main!CK511="","",ROUND(main!CK511*100,6))</f>
        <v/>
      </c>
      <c r="BZ508" s="68" t="str">
        <f>IF(main!CL511="","",ROUND(main!CL511*100,6))</f>
        <v/>
      </c>
      <c r="CA508" s="68" t="str">
        <f>IF(main!CM511="","",ROUND(main!CM511*100,6))</f>
        <v/>
      </c>
      <c r="CB508" s="68" t="str">
        <f>IF(main!CN511="","",ROUND(main!CN511*100,6))</f>
        <v/>
      </c>
      <c r="CC508" s="68" t="str">
        <f>IF(main!CO511="","",ROUND(main!CO511*100,6))</f>
        <v/>
      </c>
    </row>
    <row r="509" spans="1:81" x14ac:dyDescent="0.25">
      <c r="A509" s="65" t="s">
        <v>681</v>
      </c>
      <c r="B509" s="66" t="str">
        <f>main!C511</f>
        <v>งานตกแต่งผนังภายนอกเดิม</v>
      </c>
      <c r="C509" s="67">
        <f>main!O511</f>
        <v>100000</v>
      </c>
      <c r="D509" s="65" t="s">
        <v>111</v>
      </c>
      <c r="E509" s="68" t="str">
        <f t="shared" si="7"/>
        <v/>
      </c>
      <c r="F509" s="68" t="str">
        <f>IF(main!R512="","",ROUND(main!R512*100,6))</f>
        <v/>
      </c>
      <c r="G509" s="68" t="str">
        <f>IF(main!S512="","",ROUND(main!S512*100,6))</f>
        <v/>
      </c>
      <c r="H509" s="68" t="str">
        <f>IF(main!T512="","",ROUND(main!T512*100,6))</f>
        <v/>
      </c>
      <c r="I509" s="68" t="str">
        <f>IF(main!U512="","",ROUND(main!U512*100,6))</f>
        <v/>
      </c>
      <c r="J509" s="68" t="str">
        <f>IF(main!V512="","",ROUND(main!V512*100,6))</f>
        <v/>
      </c>
      <c r="K509" s="68" t="str">
        <f>IF(main!W512="","",ROUND(main!W512*100,6))</f>
        <v/>
      </c>
      <c r="L509" s="68" t="str">
        <f>IF(main!X512="","",ROUND(main!X512*100,6))</f>
        <v/>
      </c>
      <c r="M509" s="68" t="str">
        <f>IF(main!Y512="","",ROUND(main!Y512*100,6))</f>
        <v/>
      </c>
      <c r="N509" s="68" t="str">
        <f>IF(main!Z512="","",ROUND(main!Z512*100,6))</f>
        <v/>
      </c>
      <c r="O509" s="68" t="str">
        <f>IF(main!AA512="","",ROUND(main!AA512*100,6))</f>
        <v/>
      </c>
      <c r="P509" s="68" t="str">
        <f>IF(main!AB512="","",ROUND(main!AB512*100,6))</f>
        <v/>
      </c>
      <c r="Q509" s="68" t="str">
        <f>IF(main!AC512="","",ROUND(main!AC512*100,6))</f>
        <v/>
      </c>
      <c r="R509" s="68" t="str">
        <f>IF(main!AD512="","",ROUND(main!AD512*100,6))</f>
        <v/>
      </c>
      <c r="S509" s="68" t="str">
        <f>IF(main!AE512="","",ROUND(main!AE512*100,6))</f>
        <v/>
      </c>
      <c r="T509" s="68" t="str">
        <f>IF(main!AF512="","",ROUND(main!AF512*100,6))</f>
        <v/>
      </c>
      <c r="U509" s="68" t="str">
        <f>IF(main!AG512="","",ROUND(main!AG512*100,6))</f>
        <v/>
      </c>
      <c r="V509" s="68" t="str">
        <f>IF(main!AH512="","",ROUND(main!AH512*100,6))</f>
        <v/>
      </c>
      <c r="W509" s="68" t="str">
        <f>IF(main!AI512="","",ROUND(main!AI512*100,6))</f>
        <v/>
      </c>
      <c r="X509" s="68" t="str">
        <f>IF(main!AJ512="","",ROUND(main!AJ512*100,6))</f>
        <v/>
      </c>
      <c r="Y509" s="68" t="str">
        <f>IF(main!AK512="","",ROUND(main!AK512*100,6))</f>
        <v/>
      </c>
      <c r="Z509" s="68" t="str">
        <f>IF(main!AL512="","",ROUND(main!AL512*100,6))</f>
        <v/>
      </c>
      <c r="AA509" s="68" t="str">
        <f>IF(main!AM512="","",ROUND(main!AM512*100,6))</f>
        <v/>
      </c>
      <c r="AB509" s="68" t="str">
        <f>IF(main!AN512="","",ROUND(main!AN512*100,6))</f>
        <v/>
      </c>
      <c r="AC509" s="68" t="str">
        <f>IF(main!AO512="","",ROUND(main!AO512*100,6))</f>
        <v/>
      </c>
      <c r="AD509" s="68" t="str">
        <f>IF(main!AP512="","",ROUND(main!AP512*100,6))</f>
        <v/>
      </c>
      <c r="AE509" s="68" t="str">
        <f>IF(main!AQ512="","",ROUND(main!AQ512*100,6))</f>
        <v/>
      </c>
      <c r="AF509" s="68" t="str">
        <f>IF(main!AR512="","",ROUND(main!AR512*100,6))</f>
        <v/>
      </c>
      <c r="AG509" s="68" t="str">
        <f>IF(main!AS512="","",ROUND(main!AS512*100,6))</f>
        <v/>
      </c>
      <c r="AH509" s="68" t="str">
        <f>IF(main!AT512="","",ROUND(main!AT512*100,6))</f>
        <v/>
      </c>
      <c r="AI509" s="68" t="str">
        <f>IF(main!AU512="","",ROUND(main!AU512*100,6))</f>
        <v/>
      </c>
      <c r="AJ509" s="68" t="str">
        <f>IF(main!AV512="","",ROUND(main!AV512*100,6))</f>
        <v/>
      </c>
      <c r="AK509" s="68" t="str">
        <f>IF(main!AW512="","",ROUND(main!AW512*100,6))</f>
        <v/>
      </c>
      <c r="AL509" s="68" t="str">
        <f>IF(main!AX512="","",ROUND(main!AX512*100,6))</f>
        <v/>
      </c>
      <c r="AM509" s="68" t="str">
        <f>IF(main!AY512="","",ROUND(main!AY512*100,6))</f>
        <v/>
      </c>
      <c r="AN509" s="68" t="str">
        <f>IF(main!AZ512="","",ROUND(main!AZ512*100,6))</f>
        <v/>
      </c>
      <c r="AO509" s="68" t="str">
        <f>IF(main!BA512="","",ROUND(main!BA512*100,6))</f>
        <v/>
      </c>
      <c r="AP509" s="68" t="str">
        <f>IF(main!BB512="","",ROUND(main!BB512*100,6))</f>
        <v/>
      </c>
      <c r="AQ509" s="68" t="str">
        <f>IF(main!BC512="","",ROUND(main!BC512*100,6))</f>
        <v/>
      </c>
      <c r="AR509" s="68" t="str">
        <f>IF(main!BD512="","",ROUND(main!BD512*100,6))</f>
        <v/>
      </c>
      <c r="AS509" s="68" t="str">
        <f>IF(main!BE512="","",ROUND(main!BE512*100,6))</f>
        <v/>
      </c>
      <c r="AT509" s="68" t="str">
        <f>IF(main!BF512="","",ROUND(main!BF512*100,6))</f>
        <v/>
      </c>
      <c r="AU509" s="68" t="str">
        <f>IF(main!BG512="","",ROUND(main!BG512*100,6))</f>
        <v/>
      </c>
      <c r="AV509" s="68" t="str">
        <f>IF(main!BH512="","",ROUND(main!BH512*100,6))</f>
        <v/>
      </c>
      <c r="AW509" s="68" t="str">
        <f>IF(main!BI512="","",ROUND(main!BI512*100,6))</f>
        <v/>
      </c>
      <c r="AX509" s="68" t="str">
        <f>IF(main!BJ512="","",ROUND(main!BJ512*100,6))</f>
        <v/>
      </c>
      <c r="AY509" s="68" t="str">
        <f>IF(main!BK512="","",ROUND(main!BK512*100,6))</f>
        <v/>
      </c>
      <c r="AZ509" s="68" t="str">
        <f>IF(main!BL512="","",ROUND(main!BL512*100,6))</f>
        <v/>
      </c>
      <c r="BA509" s="68" t="str">
        <f>IF(main!BM512="","",ROUND(main!BM512*100,6))</f>
        <v/>
      </c>
      <c r="BB509" s="68" t="str">
        <f>IF(main!BN512="","",ROUND(main!BN512*100,6))</f>
        <v/>
      </c>
      <c r="BC509" s="68" t="str">
        <f>IF(main!BO512="","",ROUND(main!BO512*100,6))</f>
        <v/>
      </c>
      <c r="BD509" s="68" t="str">
        <f>IF(main!BP512="","",ROUND(main!BP512*100,6))</f>
        <v/>
      </c>
      <c r="BE509" s="68" t="str">
        <f>IF(main!BQ512="","",ROUND(main!BQ512*100,6))</f>
        <v/>
      </c>
      <c r="BF509" s="68" t="str">
        <f>IF(main!BR512="","",ROUND(main!BR512*100,6))</f>
        <v/>
      </c>
      <c r="BG509" s="68" t="str">
        <f>IF(main!BS512="","",ROUND(main!BS512*100,6))</f>
        <v/>
      </c>
      <c r="BH509" s="68" t="str">
        <f>IF(main!BT512="","",ROUND(main!BT512*100,6))</f>
        <v/>
      </c>
      <c r="BI509" s="68" t="str">
        <f>IF(main!BU512="","",ROUND(main!BU512*100,6))</f>
        <v/>
      </c>
      <c r="BJ509" s="68" t="str">
        <f>IF(main!BV512="","",ROUND(main!BV512*100,6))</f>
        <v/>
      </c>
      <c r="BK509" s="68" t="str">
        <f>IF(main!BW512="","",ROUND(main!BW512*100,6))</f>
        <v/>
      </c>
      <c r="BL509" s="68" t="str">
        <f>IF(main!BX512="","",ROUND(main!BX512*100,6))</f>
        <v/>
      </c>
      <c r="BM509" s="68" t="str">
        <f>IF(main!BY512="","",ROUND(main!BY512*100,6))</f>
        <v/>
      </c>
      <c r="BN509" s="68" t="str">
        <f>IF(main!BZ512="","",ROUND(main!BZ512*100,6))</f>
        <v/>
      </c>
      <c r="BO509" s="68" t="str">
        <f>IF(main!CA512="","",ROUND(main!CA512*100,6))</f>
        <v/>
      </c>
      <c r="BP509" s="68" t="str">
        <f>IF(main!CB512="","",ROUND(main!CB512*100,6))</f>
        <v/>
      </c>
      <c r="BQ509" s="68" t="str">
        <f>IF(main!CC512="","",ROUND(main!CC512*100,6))</f>
        <v/>
      </c>
      <c r="BR509" s="68" t="str">
        <f>IF(main!CD512="","",ROUND(main!CD512*100,6))</f>
        <v/>
      </c>
      <c r="BS509" s="68" t="str">
        <f>IF(main!CE512="","",ROUND(main!CE512*100,6))</f>
        <v/>
      </c>
      <c r="BT509" s="68" t="str">
        <f>IF(main!CF512="","",ROUND(main!CF512*100,6))</f>
        <v/>
      </c>
      <c r="BU509" s="68" t="str">
        <f>IF(main!CG512="","",ROUND(main!CG512*100,6))</f>
        <v/>
      </c>
      <c r="BV509" s="68" t="str">
        <f>IF(main!CH512="","",ROUND(main!CH512*100,6))</f>
        <v/>
      </c>
      <c r="BW509" s="68" t="str">
        <f>IF(main!CI512="","",ROUND(main!CI512*100,6))</f>
        <v/>
      </c>
      <c r="BX509" s="68" t="str">
        <f>IF(main!CJ512="","",ROUND(main!CJ512*100,6))</f>
        <v/>
      </c>
      <c r="BY509" s="68" t="str">
        <f>IF(main!CK512="","",ROUND(main!CK512*100,6))</f>
        <v/>
      </c>
      <c r="BZ509" s="68" t="str">
        <f>IF(main!CL512="","",ROUND(main!CL512*100,6))</f>
        <v/>
      </c>
      <c r="CA509" s="68" t="str">
        <f>IF(main!CM512="","",ROUND(main!CM512*100,6))</f>
        <v/>
      </c>
      <c r="CB509" s="68" t="str">
        <f>IF(main!CN512="","",ROUND(main!CN512*100,6))</f>
        <v/>
      </c>
      <c r="CC509" s="68" t="str">
        <f>IF(main!CO512="","",ROUND(main!CO512*100,6))</f>
        <v/>
      </c>
    </row>
    <row r="510" spans="1:81" x14ac:dyDescent="0.25">
      <c r="A510" s="65" t="s">
        <v>684</v>
      </c>
      <c r="B510" s="66" t="str">
        <f>main!C513</f>
        <v>งานระบบกันซึมกันสาด พื้นยื่นเดิม</v>
      </c>
      <c r="C510" s="67">
        <f>main!O513</f>
        <v>100000</v>
      </c>
      <c r="D510" s="65" t="s">
        <v>110</v>
      </c>
      <c r="E510" s="68">
        <f t="shared" si="7"/>
        <v>100.000001</v>
      </c>
      <c r="F510" s="68" t="str">
        <f>IF(main!R513="","",ROUND(main!R513*100,6))</f>
        <v/>
      </c>
      <c r="G510" s="68" t="str">
        <f>IF(main!S513="","",ROUND(main!S513*100,6))</f>
        <v/>
      </c>
      <c r="H510" s="68" t="str">
        <f>IF(main!T513="","",ROUND(main!T513*100,6))</f>
        <v/>
      </c>
      <c r="I510" s="68" t="str">
        <f>IF(main!U513="","",ROUND(main!U513*100,6))</f>
        <v/>
      </c>
      <c r="J510" s="68" t="str">
        <f>IF(main!V513="","",ROUND(main!V513*100,6))</f>
        <v/>
      </c>
      <c r="K510" s="68" t="str">
        <f>IF(main!W513="","",ROUND(main!W513*100,6))</f>
        <v/>
      </c>
      <c r="L510" s="68" t="str">
        <f>IF(main!X513="","",ROUND(main!X513*100,6))</f>
        <v/>
      </c>
      <c r="M510" s="68" t="str">
        <f>IF(main!Y513="","",ROUND(main!Y513*100,6))</f>
        <v/>
      </c>
      <c r="N510" s="68" t="str">
        <f>IF(main!Z513="","",ROUND(main!Z513*100,6))</f>
        <v/>
      </c>
      <c r="O510" s="68" t="str">
        <f>IF(main!AA513="","",ROUND(main!AA513*100,6))</f>
        <v/>
      </c>
      <c r="P510" s="68" t="str">
        <f>IF(main!AB513="","",ROUND(main!AB513*100,6))</f>
        <v/>
      </c>
      <c r="Q510" s="68" t="str">
        <f>IF(main!AC513="","",ROUND(main!AC513*100,6))</f>
        <v/>
      </c>
      <c r="R510" s="68" t="str">
        <f>IF(main!AD513="","",ROUND(main!AD513*100,6))</f>
        <v/>
      </c>
      <c r="S510" s="68" t="str">
        <f>IF(main!AE513="","",ROUND(main!AE513*100,6))</f>
        <v/>
      </c>
      <c r="T510" s="68" t="str">
        <f>IF(main!AF513="","",ROUND(main!AF513*100,6))</f>
        <v/>
      </c>
      <c r="U510" s="68" t="str">
        <f>IF(main!AG513="","",ROUND(main!AG513*100,6))</f>
        <v/>
      </c>
      <c r="V510" s="68" t="str">
        <f>IF(main!AH513="","",ROUND(main!AH513*100,6))</f>
        <v/>
      </c>
      <c r="W510" s="68" t="str">
        <f>IF(main!AI513="","",ROUND(main!AI513*100,6))</f>
        <v/>
      </c>
      <c r="X510" s="68" t="str">
        <f>IF(main!AJ513="","",ROUND(main!AJ513*100,6))</f>
        <v/>
      </c>
      <c r="Y510" s="68" t="str">
        <f>IF(main!AK513="","",ROUND(main!AK513*100,6))</f>
        <v/>
      </c>
      <c r="Z510" s="68" t="str">
        <f>IF(main!AL513="","",ROUND(main!AL513*100,6))</f>
        <v/>
      </c>
      <c r="AA510" s="68" t="str">
        <f>IF(main!AM513="","",ROUND(main!AM513*100,6))</f>
        <v/>
      </c>
      <c r="AB510" s="68" t="str">
        <f>IF(main!AN513="","",ROUND(main!AN513*100,6))</f>
        <v/>
      </c>
      <c r="AC510" s="68" t="str">
        <f>IF(main!AO513="","",ROUND(main!AO513*100,6))</f>
        <v/>
      </c>
      <c r="AD510" s="68" t="str">
        <f>IF(main!AP513="","",ROUND(main!AP513*100,6))</f>
        <v/>
      </c>
      <c r="AE510" s="68" t="str">
        <f>IF(main!AQ513="","",ROUND(main!AQ513*100,6))</f>
        <v/>
      </c>
      <c r="AF510" s="68" t="str">
        <f>IF(main!AR513="","",ROUND(main!AR513*100,6))</f>
        <v/>
      </c>
      <c r="AG510" s="68" t="str">
        <f>IF(main!AS513="","",ROUND(main!AS513*100,6))</f>
        <v/>
      </c>
      <c r="AH510" s="68" t="str">
        <f>IF(main!AT513="","",ROUND(main!AT513*100,6))</f>
        <v/>
      </c>
      <c r="AI510" s="68" t="str">
        <f>IF(main!AU513="","",ROUND(main!AU513*100,6))</f>
        <v/>
      </c>
      <c r="AJ510" s="68" t="str">
        <f>IF(main!AV513="","",ROUND(main!AV513*100,6))</f>
        <v/>
      </c>
      <c r="AK510" s="68" t="str">
        <f>IF(main!AW513="","",ROUND(main!AW513*100,6))</f>
        <v/>
      </c>
      <c r="AL510" s="68" t="str">
        <f>IF(main!AX513="","",ROUND(main!AX513*100,6))</f>
        <v/>
      </c>
      <c r="AM510" s="68" t="str">
        <f>IF(main!AY513="","",ROUND(main!AY513*100,6))</f>
        <v/>
      </c>
      <c r="AN510" s="68" t="str">
        <f>IF(main!AZ513="","",ROUND(main!AZ513*100,6))</f>
        <v/>
      </c>
      <c r="AO510" s="68" t="str">
        <f>IF(main!BA513="","",ROUND(main!BA513*100,6))</f>
        <v/>
      </c>
      <c r="AP510" s="68" t="str">
        <f>IF(main!BB513="","",ROUND(main!BB513*100,6))</f>
        <v/>
      </c>
      <c r="AQ510" s="68" t="str">
        <f>IF(main!BC513="","",ROUND(main!BC513*100,6))</f>
        <v/>
      </c>
      <c r="AR510" s="68" t="str">
        <f>IF(main!BD513="","",ROUND(main!BD513*100,6))</f>
        <v/>
      </c>
      <c r="AS510" s="68" t="str">
        <f>IF(main!BE513="","",ROUND(main!BE513*100,6))</f>
        <v/>
      </c>
      <c r="AT510" s="68" t="str">
        <f>IF(main!BF513="","",ROUND(main!BF513*100,6))</f>
        <v/>
      </c>
      <c r="AU510" s="68" t="str">
        <f>IF(main!BG513="","",ROUND(main!BG513*100,6))</f>
        <v/>
      </c>
      <c r="AV510" s="68" t="str">
        <f>IF(main!BH513="","",ROUND(main!BH513*100,6))</f>
        <v/>
      </c>
      <c r="AW510" s="68" t="str">
        <f>IF(main!BI513="","",ROUND(main!BI513*100,6))</f>
        <v/>
      </c>
      <c r="AX510" s="68" t="str">
        <f>IF(main!BJ513="","",ROUND(main!BJ513*100,6))</f>
        <v/>
      </c>
      <c r="AY510" s="68" t="str">
        <f>IF(main!BK513="","",ROUND(main!BK513*100,6))</f>
        <v/>
      </c>
      <c r="AZ510" s="68" t="str">
        <f>IF(main!BL513="","",ROUND(main!BL513*100,6))</f>
        <v/>
      </c>
      <c r="BA510" s="68" t="str">
        <f>IF(main!BM513="","",ROUND(main!BM513*100,6))</f>
        <v/>
      </c>
      <c r="BB510" s="68" t="str">
        <f>IF(main!BN513="","",ROUND(main!BN513*100,6))</f>
        <v/>
      </c>
      <c r="BC510" s="68" t="str">
        <f>IF(main!BO513="","",ROUND(main!BO513*100,6))</f>
        <v/>
      </c>
      <c r="BD510" s="68" t="str">
        <f>IF(main!BP513="","",ROUND(main!BP513*100,6))</f>
        <v/>
      </c>
      <c r="BE510" s="68">
        <f>IF(main!BQ513="","",ROUND(main!BQ513*100,6))</f>
        <v>8.1967210000000001</v>
      </c>
      <c r="BF510" s="68">
        <f>IF(main!BR513="","",ROUND(main!BR513*100,6))</f>
        <v>11.47541</v>
      </c>
      <c r="BG510" s="68">
        <f>IF(main!BS513="","",ROUND(main!BS513*100,6))</f>
        <v>11.47541</v>
      </c>
      <c r="BH510" s="68">
        <f>IF(main!BT513="","",ROUND(main!BT513*100,6))</f>
        <v>11.47541</v>
      </c>
      <c r="BI510" s="68">
        <f>IF(main!BU513="","",ROUND(main!BU513*100,6))</f>
        <v>11.47541</v>
      </c>
      <c r="BJ510" s="68">
        <f>IF(main!BV513="","",ROUND(main!BV513*100,6))</f>
        <v>11.47541</v>
      </c>
      <c r="BK510" s="68">
        <f>IF(main!BW513="","",ROUND(main!BW513*100,6))</f>
        <v>11.47541</v>
      </c>
      <c r="BL510" s="68">
        <f>IF(main!BX513="","",ROUND(main!BX513*100,6))</f>
        <v>11.47541</v>
      </c>
      <c r="BM510" s="68">
        <f>IF(main!BY513="","",ROUND(main!BY513*100,6))</f>
        <v>11.47541</v>
      </c>
      <c r="BN510" s="68" t="str">
        <f>IF(main!BZ513="","",ROUND(main!BZ513*100,6))</f>
        <v/>
      </c>
      <c r="BO510" s="68" t="str">
        <f>IF(main!CA513="","",ROUND(main!CA513*100,6))</f>
        <v/>
      </c>
      <c r="BP510" s="68" t="str">
        <f>IF(main!CB513="","",ROUND(main!CB513*100,6))</f>
        <v/>
      </c>
      <c r="BQ510" s="68" t="str">
        <f>IF(main!CC513="","",ROUND(main!CC513*100,6))</f>
        <v/>
      </c>
      <c r="BR510" s="68" t="str">
        <f>IF(main!CD513="","",ROUND(main!CD513*100,6))</f>
        <v/>
      </c>
      <c r="BS510" s="68" t="str">
        <f>IF(main!CE513="","",ROUND(main!CE513*100,6))</f>
        <v/>
      </c>
      <c r="BT510" s="68" t="str">
        <f>IF(main!CF513="","",ROUND(main!CF513*100,6))</f>
        <v/>
      </c>
      <c r="BU510" s="68" t="str">
        <f>IF(main!CG513="","",ROUND(main!CG513*100,6))</f>
        <v/>
      </c>
      <c r="BV510" s="68" t="str">
        <f>IF(main!CH513="","",ROUND(main!CH513*100,6))</f>
        <v/>
      </c>
      <c r="BW510" s="68" t="str">
        <f>IF(main!CI513="","",ROUND(main!CI513*100,6))</f>
        <v/>
      </c>
      <c r="BX510" s="68" t="str">
        <f>IF(main!CJ513="","",ROUND(main!CJ513*100,6))</f>
        <v/>
      </c>
      <c r="BY510" s="68" t="str">
        <f>IF(main!CK513="","",ROUND(main!CK513*100,6))</f>
        <v/>
      </c>
      <c r="BZ510" s="68" t="str">
        <f>IF(main!CL513="","",ROUND(main!CL513*100,6))</f>
        <v/>
      </c>
      <c r="CA510" s="68" t="str">
        <f>IF(main!CM513="","",ROUND(main!CM513*100,6))</f>
        <v/>
      </c>
      <c r="CB510" s="68" t="str">
        <f>IF(main!CN513="","",ROUND(main!CN513*100,6))</f>
        <v/>
      </c>
      <c r="CC510" s="68" t="str">
        <f>IF(main!CO513="","",ROUND(main!CO513*100,6))</f>
        <v/>
      </c>
    </row>
    <row r="511" spans="1:81" x14ac:dyDescent="0.25">
      <c r="A511" s="65" t="s">
        <v>684</v>
      </c>
      <c r="B511" s="66" t="str">
        <f>main!C513</f>
        <v>งานระบบกันซึมกันสาด พื้นยื่นเดิม</v>
      </c>
      <c r="C511" s="67">
        <f>main!O513</f>
        <v>100000</v>
      </c>
      <c r="D511" s="65" t="s">
        <v>111</v>
      </c>
      <c r="E511" s="68" t="str">
        <f t="shared" si="7"/>
        <v/>
      </c>
      <c r="F511" s="68" t="str">
        <f>IF(main!R514="","",ROUND(main!R514*100,6))</f>
        <v/>
      </c>
      <c r="G511" s="68" t="str">
        <f>IF(main!S514="","",ROUND(main!S514*100,6))</f>
        <v/>
      </c>
      <c r="H511" s="68" t="str">
        <f>IF(main!T514="","",ROUND(main!T514*100,6))</f>
        <v/>
      </c>
      <c r="I511" s="68" t="str">
        <f>IF(main!U514="","",ROUND(main!U514*100,6))</f>
        <v/>
      </c>
      <c r="J511" s="68" t="str">
        <f>IF(main!V514="","",ROUND(main!V514*100,6))</f>
        <v/>
      </c>
      <c r="K511" s="68" t="str">
        <f>IF(main!W514="","",ROUND(main!W514*100,6))</f>
        <v/>
      </c>
      <c r="L511" s="68" t="str">
        <f>IF(main!X514="","",ROUND(main!X514*100,6))</f>
        <v/>
      </c>
      <c r="M511" s="68" t="str">
        <f>IF(main!Y514="","",ROUND(main!Y514*100,6))</f>
        <v/>
      </c>
      <c r="N511" s="68" t="str">
        <f>IF(main!Z514="","",ROUND(main!Z514*100,6))</f>
        <v/>
      </c>
      <c r="O511" s="68" t="str">
        <f>IF(main!AA514="","",ROUND(main!AA514*100,6))</f>
        <v/>
      </c>
      <c r="P511" s="68" t="str">
        <f>IF(main!AB514="","",ROUND(main!AB514*100,6))</f>
        <v/>
      </c>
      <c r="Q511" s="68" t="str">
        <f>IF(main!AC514="","",ROUND(main!AC514*100,6))</f>
        <v/>
      </c>
      <c r="R511" s="68" t="str">
        <f>IF(main!AD514="","",ROUND(main!AD514*100,6))</f>
        <v/>
      </c>
      <c r="S511" s="68" t="str">
        <f>IF(main!AE514="","",ROUND(main!AE514*100,6))</f>
        <v/>
      </c>
      <c r="T511" s="68" t="str">
        <f>IF(main!AF514="","",ROUND(main!AF514*100,6))</f>
        <v/>
      </c>
      <c r="U511" s="68" t="str">
        <f>IF(main!AG514="","",ROUND(main!AG514*100,6))</f>
        <v/>
      </c>
      <c r="V511" s="68" t="str">
        <f>IF(main!AH514="","",ROUND(main!AH514*100,6))</f>
        <v/>
      </c>
      <c r="W511" s="68" t="str">
        <f>IF(main!AI514="","",ROUND(main!AI514*100,6))</f>
        <v/>
      </c>
      <c r="X511" s="68" t="str">
        <f>IF(main!AJ514="","",ROUND(main!AJ514*100,6))</f>
        <v/>
      </c>
      <c r="Y511" s="68" t="str">
        <f>IF(main!AK514="","",ROUND(main!AK514*100,6))</f>
        <v/>
      </c>
      <c r="Z511" s="68" t="str">
        <f>IF(main!AL514="","",ROUND(main!AL514*100,6))</f>
        <v/>
      </c>
      <c r="AA511" s="68" t="str">
        <f>IF(main!AM514="","",ROUND(main!AM514*100,6))</f>
        <v/>
      </c>
      <c r="AB511" s="68" t="str">
        <f>IF(main!AN514="","",ROUND(main!AN514*100,6))</f>
        <v/>
      </c>
      <c r="AC511" s="68" t="str">
        <f>IF(main!AO514="","",ROUND(main!AO514*100,6))</f>
        <v/>
      </c>
      <c r="AD511" s="68" t="str">
        <f>IF(main!AP514="","",ROUND(main!AP514*100,6))</f>
        <v/>
      </c>
      <c r="AE511" s="68" t="str">
        <f>IF(main!AQ514="","",ROUND(main!AQ514*100,6))</f>
        <v/>
      </c>
      <c r="AF511" s="68" t="str">
        <f>IF(main!AR514="","",ROUND(main!AR514*100,6))</f>
        <v/>
      </c>
      <c r="AG511" s="68" t="str">
        <f>IF(main!AS514="","",ROUND(main!AS514*100,6))</f>
        <v/>
      </c>
      <c r="AH511" s="68" t="str">
        <f>IF(main!AT514="","",ROUND(main!AT514*100,6))</f>
        <v/>
      </c>
      <c r="AI511" s="68" t="str">
        <f>IF(main!AU514="","",ROUND(main!AU514*100,6))</f>
        <v/>
      </c>
      <c r="AJ511" s="68" t="str">
        <f>IF(main!AV514="","",ROUND(main!AV514*100,6))</f>
        <v/>
      </c>
      <c r="AK511" s="68" t="str">
        <f>IF(main!AW514="","",ROUND(main!AW514*100,6))</f>
        <v/>
      </c>
      <c r="AL511" s="68" t="str">
        <f>IF(main!AX514="","",ROUND(main!AX514*100,6))</f>
        <v/>
      </c>
      <c r="AM511" s="68" t="str">
        <f>IF(main!AY514="","",ROUND(main!AY514*100,6))</f>
        <v/>
      </c>
      <c r="AN511" s="68" t="str">
        <f>IF(main!AZ514="","",ROUND(main!AZ514*100,6))</f>
        <v/>
      </c>
      <c r="AO511" s="68" t="str">
        <f>IF(main!BA514="","",ROUND(main!BA514*100,6))</f>
        <v/>
      </c>
      <c r="AP511" s="68" t="str">
        <f>IF(main!BB514="","",ROUND(main!BB514*100,6))</f>
        <v/>
      </c>
      <c r="AQ511" s="68" t="str">
        <f>IF(main!BC514="","",ROUND(main!BC514*100,6))</f>
        <v/>
      </c>
      <c r="AR511" s="68" t="str">
        <f>IF(main!BD514="","",ROUND(main!BD514*100,6))</f>
        <v/>
      </c>
      <c r="AS511" s="68" t="str">
        <f>IF(main!BE514="","",ROUND(main!BE514*100,6))</f>
        <v/>
      </c>
      <c r="AT511" s="68" t="str">
        <f>IF(main!BF514="","",ROUND(main!BF514*100,6))</f>
        <v/>
      </c>
      <c r="AU511" s="68" t="str">
        <f>IF(main!BG514="","",ROUND(main!BG514*100,6))</f>
        <v/>
      </c>
      <c r="AV511" s="68" t="str">
        <f>IF(main!BH514="","",ROUND(main!BH514*100,6))</f>
        <v/>
      </c>
      <c r="AW511" s="68" t="str">
        <f>IF(main!BI514="","",ROUND(main!BI514*100,6))</f>
        <v/>
      </c>
      <c r="AX511" s="68" t="str">
        <f>IF(main!BJ514="","",ROUND(main!BJ514*100,6))</f>
        <v/>
      </c>
      <c r="AY511" s="68" t="str">
        <f>IF(main!BK514="","",ROUND(main!BK514*100,6))</f>
        <v/>
      </c>
      <c r="AZ511" s="68" t="str">
        <f>IF(main!BL514="","",ROUND(main!BL514*100,6))</f>
        <v/>
      </c>
      <c r="BA511" s="68" t="str">
        <f>IF(main!BM514="","",ROUND(main!BM514*100,6))</f>
        <v/>
      </c>
      <c r="BB511" s="68" t="str">
        <f>IF(main!BN514="","",ROUND(main!BN514*100,6))</f>
        <v/>
      </c>
      <c r="BC511" s="68" t="str">
        <f>IF(main!BO514="","",ROUND(main!BO514*100,6))</f>
        <v/>
      </c>
      <c r="BD511" s="68" t="str">
        <f>IF(main!BP514="","",ROUND(main!BP514*100,6))</f>
        <v/>
      </c>
      <c r="BE511" s="68" t="str">
        <f>IF(main!BQ514="","",ROUND(main!BQ514*100,6))</f>
        <v/>
      </c>
      <c r="BF511" s="68" t="str">
        <f>IF(main!BR514="","",ROUND(main!BR514*100,6))</f>
        <v/>
      </c>
      <c r="BG511" s="68" t="str">
        <f>IF(main!BS514="","",ROUND(main!BS514*100,6))</f>
        <v/>
      </c>
      <c r="BH511" s="68" t="str">
        <f>IF(main!BT514="","",ROUND(main!BT514*100,6))</f>
        <v/>
      </c>
      <c r="BI511" s="68" t="str">
        <f>IF(main!BU514="","",ROUND(main!BU514*100,6))</f>
        <v/>
      </c>
      <c r="BJ511" s="68" t="str">
        <f>IF(main!BV514="","",ROUND(main!BV514*100,6))</f>
        <v/>
      </c>
      <c r="BK511" s="68" t="str">
        <f>IF(main!BW514="","",ROUND(main!BW514*100,6))</f>
        <v/>
      </c>
      <c r="BL511" s="68" t="str">
        <f>IF(main!BX514="","",ROUND(main!BX514*100,6))</f>
        <v/>
      </c>
      <c r="BM511" s="68" t="str">
        <f>IF(main!BY514="","",ROUND(main!BY514*100,6))</f>
        <v/>
      </c>
      <c r="BN511" s="68" t="str">
        <f>IF(main!BZ514="","",ROUND(main!BZ514*100,6))</f>
        <v/>
      </c>
      <c r="BO511" s="68" t="str">
        <f>IF(main!CA514="","",ROUND(main!CA514*100,6))</f>
        <v/>
      </c>
      <c r="BP511" s="68" t="str">
        <f>IF(main!CB514="","",ROUND(main!CB514*100,6))</f>
        <v/>
      </c>
      <c r="BQ511" s="68" t="str">
        <f>IF(main!CC514="","",ROUND(main!CC514*100,6))</f>
        <v/>
      </c>
      <c r="BR511" s="68" t="str">
        <f>IF(main!CD514="","",ROUND(main!CD514*100,6))</f>
        <v/>
      </c>
      <c r="BS511" s="68" t="str">
        <f>IF(main!CE514="","",ROUND(main!CE514*100,6))</f>
        <v/>
      </c>
      <c r="BT511" s="68" t="str">
        <f>IF(main!CF514="","",ROUND(main!CF514*100,6))</f>
        <v/>
      </c>
      <c r="BU511" s="68" t="str">
        <f>IF(main!CG514="","",ROUND(main!CG514*100,6))</f>
        <v/>
      </c>
      <c r="BV511" s="68" t="str">
        <f>IF(main!CH514="","",ROUND(main!CH514*100,6))</f>
        <v/>
      </c>
      <c r="BW511" s="68" t="str">
        <f>IF(main!CI514="","",ROUND(main!CI514*100,6))</f>
        <v/>
      </c>
      <c r="BX511" s="68" t="str">
        <f>IF(main!CJ514="","",ROUND(main!CJ514*100,6))</f>
        <v/>
      </c>
      <c r="BY511" s="68" t="str">
        <f>IF(main!CK514="","",ROUND(main!CK514*100,6))</f>
        <v/>
      </c>
      <c r="BZ511" s="68" t="str">
        <f>IF(main!CL514="","",ROUND(main!CL514*100,6))</f>
        <v/>
      </c>
      <c r="CA511" s="68" t="str">
        <f>IF(main!CM514="","",ROUND(main!CM514*100,6))</f>
        <v/>
      </c>
      <c r="CB511" s="68" t="str">
        <f>IF(main!CN514="","",ROUND(main!CN514*100,6))</f>
        <v/>
      </c>
      <c r="CC511" s="68" t="str">
        <f>IF(main!CO514="","",ROUND(main!CO514*100,6))</f>
        <v/>
      </c>
    </row>
  </sheetData>
  <autoFilter ref="A1:CC511" xr:uid="{00000000-0009-0000-0000-000006000000}"/>
  <conditionalFormatting sqref="F2:CC511">
    <cfRule type="expression" dxfId="1" priority="1" stopIfTrue="1">
      <formula>AND($D2="P",F2&lt;&gt;"")</formula>
    </cfRule>
    <cfRule type="expression" dxfId="0" priority="2" stopIfTrue="1">
      <formula>AND($D2="A",F2&lt;&gt;"")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main</vt:lpstr>
      <vt:lpstr>Info</vt:lpstr>
      <vt:lpstr>Timescale Info</vt:lpstr>
      <vt:lpstr>Amount Mapping</vt:lpstr>
      <vt:lpstr>Distribution Report</vt:lpstr>
      <vt:lpstr>progress</vt:lpstr>
      <vt:lpstr>progress_table</vt:lpstr>
      <vt:lpstr>AccActual</vt:lpstr>
      <vt:lpstr>AccPlan</vt:lpstr>
      <vt:lpstr>ActualRange</vt:lpstr>
      <vt:lpstr>AmountRange</vt:lpstr>
      <vt:lpstr>PlanRange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Suzanoo S.</cp:lastModifiedBy>
  <dcterms:created xsi:type="dcterms:W3CDTF">2026-07-28T16:15:37Z</dcterms:created>
  <dcterms:modified xsi:type="dcterms:W3CDTF">2026-07-28T17:15:41Z</dcterms:modified>
</cp:coreProperties>
</file>